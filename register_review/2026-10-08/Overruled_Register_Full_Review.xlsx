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Findings" sheetId="3" state="visible" r:id="rId3"/>
    <sheet xmlns:r="http://schemas.openxmlformats.org/officeDocument/2006/relationships" name="Register" sheetId="4" state="visible" r:id="rId4"/>
    <sheet xmlns:r="http://schemas.openxmlformats.org/officeDocument/2006/relationships" name="Post-2015 list (59)" sheetId="5" state="visible" r:id="rId5"/>
    <sheet xmlns:r="http://schemas.openxmlformats.org/officeDocument/2006/relationships" name="Post-2015 siblings (18)" sheetId="6" state="visible" r:id="rId6"/>
    <sheet xmlns:r="http://schemas.openxmlformats.org/officeDocument/2006/relationships" name="Post-2015 other hits (60)" sheetId="7" state="visible" r:id="rId7"/>
    <sheet xmlns:r="http://schemas.openxmlformats.org/officeDocument/2006/relationships" name="Sweep proposals" sheetId="8" state="visible" r:id="rId8"/>
    <sheet xmlns:r="http://schemas.openxmlformats.org/officeDocument/2006/relationships" name="Checker flags" sheetId="9" state="visible" r:id="rId9"/>
    <sheet xmlns:r="http://schemas.openxmlformats.org/officeDocument/2006/relationships" name="Review sheet" sheetId="10" state="visible" r:id="rId10"/>
    <sheet xmlns:r="http://schemas.openxmlformats.org/officeDocument/2006/relationships" name="Review backlog" sheetId="11" state="visible" r:id="rId11"/>
    <sheet xmlns:r="http://schemas.openxmlformats.org/officeDocument/2006/relationships" name="Chains" sheetId="12" state="visible" r:id="rId12"/>
    <sheet xmlns:r="http://schemas.openxmlformats.org/officeDocument/2006/relationships" name="Listing issues" sheetId="13" state="visible" r:id="rId13"/>
    <sheet xmlns:r="http://schemas.openxmlformats.org/officeDocument/2006/relationships" name="Needs citation or year" sheetId="14" state="visible" r:id="rId14"/>
    <sheet xmlns:r="http://schemas.openxmlformats.org/officeDocument/2006/relationships" name="List1 parse (1688)" sheetId="15" state="visible" r:id="rId15"/>
    <sheet xmlns:r="http://schemas.openxmlformats.org/officeDocument/2006/relationships" name="List1 checker test (308)" sheetId="16" state="visible" r:id="rId16"/>
    <sheet xmlns:r="http://schemas.openxmlformats.org/officeDocument/2006/relationships" name="Library cards (76)" sheetId="17" state="visible" r:id="rId17"/>
    <sheet xmlns:r="http://schemas.openxmlformats.org/officeDocument/2006/relationships" name="Known cases" sheetId="18" state="visible" r:id="rId18"/>
    <sheet xmlns:r="http://schemas.openxmlformats.org/officeDocument/2006/relationships" name="Currency pass" sheetId="19" state="visible" r:id="rId19"/>
    <sheet xmlns:r="http://schemas.openxmlformats.org/officeDocument/2006/relationships" name="Index gaps" sheetId="20" state="visible" r:id="rId20"/>
    <sheet xmlns:r="http://schemas.openxmlformats.org/officeDocument/2006/relationships" name="Where in repo" sheetId="21" state="visible" r:id="rId21"/>
  </sheets>
  <definedNames>
    <definedName name="_xlnm._FilterDatabase" localSheetId="2" hidden="1">'Findings'!$A$3:$G$40</definedName>
    <definedName name="_xlnm._FilterDatabase" localSheetId="3" hidden="1">'Register'!$A$1:$AF$1766</definedName>
    <definedName name="_xlnm._FilterDatabase" localSheetId="4" hidden="1">'Post-2015 list (59)'!$A$3:$S$62</definedName>
    <definedName name="_xlnm._FilterDatabase" localSheetId="5" hidden="1">'Post-2015 siblings (18)'!$A$3:$M$21</definedName>
    <definedName name="_xlnm._FilterDatabase" localSheetId="6" hidden="1">'Post-2015 other hits (60)'!$A$3:$G$63</definedName>
    <definedName name="_xlnm._FilterDatabase" localSheetId="7" hidden="1">'Sweep proposals'!$A$3:$N$332</definedName>
    <definedName name="_xlnm._FilterDatabase" localSheetId="8" hidden="1">'Checker flags'!$A$3:$N$8</definedName>
    <definedName name="_xlnm._FilterDatabase" localSheetId="9" hidden="1">'Review sheet'!$A$1:$R$61</definedName>
    <definedName name="_xlnm._FilterDatabase" localSheetId="10" hidden="1">'Review backlog'!$A$1:$S$505</definedName>
    <definedName name="_xlnm._FilterDatabase" localSheetId="11" hidden="1">'Chains'!$A$3:$J$88</definedName>
    <definedName name="_xlnm._FilterDatabase" localSheetId="12" hidden="1">'Listing issues'!$A$3:$G$24</definedName>
    <definedName name="_xlnm._FilterDatabase" localSheetId="13" hidden="1">'Needs citation or year'!$A$3:$F$113</definedName>
    <definedName name="_xlnm._FilterDatabase" localSheetId="14" hidden="1">'List1 parse (1688)'!$A$3:$L$1691</definedName>
    <definedName name="_xlnm._FilterDatabase" localSheetId="15" hidden="1">'List1 checker test (308)'!$A$3:$N$311</definedName>
    <definedName name="_xlnm._FilterDatabase" localSheetId="16" hidden="1">'Library cards (76)'!$A$3:$U$79</definedName>
    <definedName name="_xlnm._FilterDatabase" localSheetId="17" hidden="1">'Known cases'!$A$3:$H$26</definedName>
    <definedName name="_xlnm._FilterDatabase" localSheetId="18" hidden="1">'Currency pass'!$A$3:$J$11</definedName>
    <definedName name="_xlnm._FilterDatabase" localSheetId="19" hidden="1">'Index gaps'!$A$3:$C$9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sz val="10"/>
    </font>
    <font>
      <name val="Arial"/>
      <b val="1"/>
      <sz val="10"/>
    </font>
    <font>
      <name val="Arial"/>
      <i val="1"/>
      <sz val="10"/>
    </font>
    <font>
      <name val="Arial"/>
      <b val="1"/>
      <color rgb="00000000"/>
      <sz val="10"/>
    </font>
    <font>
      <name val="Arial"/>
      <color rgb="00000000"/>
      <sz val="10"/>
    </font>
    <font>
      <name val="Arial"/>
      <b val="1"/>
      <color rgb="00FFFFFF"/>
      <sz val="10"/>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0" borderId="0" pivotButton="0" quotePrefix="0" xfId="0"/>
    <xf numFmtId="0" fontId="7" fillId="2" borderId="0" pivotButton="0" quotePrefix="0" xfId="0"/>
    <xf numFmtId="0" fontId="5" fillId="0" borderId="0" pivotButton="0" quotePrefix="0" xfId="0"/>
    <xf numFmtId="0" fontId="6" fillId="0" borderId="0" pivotButton="0" quotePrefix="0" xfId="0"/>
    <xf numFmtId="0" fontId="4" fillId="0" borderId="0" applyAlignment="1" pivotButton="0" quotePrefix="0" xfId="0">
      <alignment vertical="top" wrapText="1"/>
    </xf>
    <xf numFmtId="0" fontId="7" fillId="2" borderId="0" applyAlignment="1" pivotButton="0" quotePrefix="0" xfId="0">
      <alignment vertical="center" wrapText="1"/>
    </xf>
    <xf numFmtId="0" fontId="2" fillId="0" borderId="0" applyAlignment="1" pivotButton="0" quotePrefix="0" xfId="0">
      <alignment vertical="top"/>
    </xf>
    <xf numFmtId="0" fontId="2" fillId="3" borderId="0" applyAlignment="1" pivotButton="0" quotePrefix="0" xfId="0">
      <alignment vertical="top"/>
    </xf>
    <xf numFmtId="0" fontId="2" fillId="3"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50" customWidth="1" min="1" max="1"/>
  </cols>
  <sheetData>
    <row r="1">
      <c r="A1" s="1" t="inlineStr">
        <is>
          <t>THE OVERRULED REGISTER: workbook for checking</t>
        </is>
      </c>
    </row>
    <row r="2">
      <c r="A2" s="2" t="inlineStr">
        <is>
          <t>Built 2026-10-08 from the repository (branch claude/sharp-euler-unyfv0). Source label on everything: the register's own words; only the 1,688 list-1 rows are recorded as verified (on the owner's statement that Mr. Advocate verified that list on 2026-10-07; Claude did not see the verification). Nothing else is confirmed by a person. The register only subtracts trust or warns; it never says a case is good law.</t>
        </is>
      </c>
    </row>
    <row r="3">
      <c r="A3" s="2" t="inlineStr"/>
    </row>
    <row r="4">
      <c r="A4" s="3" t="inlineStr">
        <is>
          <t>HOW TO CHECK</t>
        </is>
      </c>
    </row>
    <row r="5">
      <c r="A5" s="2" t="inlineStr">
        <is>
          <t>1. Start with 'Summary' for the counts, then 'Findings' (every finding made so far, with where the evidence is).</t>
        </is>
      </c>
    </row>
    <row r="6">
      <c r="A6" s="2" t="inlineStr">
        <is>
          <t>2. 'Register' is every row (1,765) with its trust, treatment, both cases, the court's own words and the wording the site would use. Filter on 'List' = 'List 2 (after 2015)' for the post-2015 rows.</t>
        </is>
      </c>
    </row>
    <row r="7">
      <c r="A7" s="2" t="inlineStr">
        <is>
          <t>3. 'Review sheet' holds this week's 60 items and 'Review backlog' all items. Fill the yellow columns (decision, new_treatment, scope, overruling_case, overruling_year, overruled_cites, overruled_year, note) and send the file back; Claude records it with register-review.</t>
        </is>
      </c>
    </row>
    <row r="8">
      <c r="A8" s="2" t="inlineStr">
        <is>
          <t>4. Decisions: confirm / change / reject / keep for rows; confirm_overruled / confirm_partial / confirm_not_good_law / confirm_per_incuriam / confirm_not_binding / clear / keep_open for the checker's flags; add_row / reject / keep for sweep proposals; supply for a row that needs a citation or year. A verified row is never rejected here (use change). Nothing is deleted. Anything left blank or 'keep' returns in 7 days.</t>
        </is>
      </c>
    </row>
    <row r="9">
      <c r="A9" s="2" t="inlineStr"/>
    </row>
    <row r="10">
      <c r="A10" s="3" t="inlineStr">
        <is>
          <t>DOES IT CONTAIN JUDGMENTS FROM AFTER 2015?</t>
        </is>
      </c>
    </row>
    <row r="11">
      <c r="A11" s="2" t="inlineStr">
        <is>
          <t>Yes. List 1 (the 1,688-entry list) stops around 2015: 2 entries from 2015, none later. The post-2015 material is: List 2 (59 entries whose OVERRULING judgment is from 2016 on; the overruled cases are mostly older), 18 siblings found in the same judgments, the 60 other post-2015 hits not on the list, and the 329 sweep proposals (judgments of 2000 on, 232 open). Sheets: 'Post-2015 list (59)', 'Post-2015 siblings (18)', 'Post-2015 other hits (60)', 'Sweep proposals', and the checker's two flags (Mohan Lal 2018, Mhetre 2011).</t>
        </is>
      </c>
    </row>
    <row r="12">
      <c r="A12" s="2" t="inlineStr"/>
    </row>
    <row r="13">
      <c r="A13" s="3" t="inlineStr">
        <is>
          <t>SHEETS</t>
        </is>
      </c>
    </row>
    <row r="14">
      <c r="A14" s="2" t="inlineStr">
        <is>
          <t xml:space="preserve">   Summary: counts (formulas on the Register sheet)</t>
        </is>
      </c>
    </row>
    <row r="15">
      <c r="A15" s="2" t="inlineStr">
        <is>
          <t xml:space="preserve">   Findings: every finding so far, with source and status</t>
        </is>
      </c>
    </row>
    <row r="16">
      <c r="A16" s="2" t="inlineStr">
        <is>
          <t xml:space="preserve">   Register: all 1,765 rows</t>
        </is>
      </c>
    </row>
    <row r="17">
      <c r="A17" s="2" t="inlineStr">
        <is>
          <t xml:space="preserve">   Post-2015 list (59): list 2 with Claude's verdict on each entry</t>
        </is>
      </c>
    </row>
    <row r="18">
      <c r="A18" s="2" t="inlineStr">
        <is>
          <t xml:space="preserve">   Post-2015 siblings (18): further decisions overruled in the same judgments</t>
        </is>
      </c>
    </row>
    <row r="19">
      <c r="A19" s="2" t="inlineStr">
        <is>
          <t xml:space="preserve">   Post-2015 other hits (60): machine hits not on list 2, unread</t>
        </is>
      </c>
    </row>
    <row r="20">
      <c r="A20" s="2" t="inlineStr">
        <is>
          <t xml:space="preserve">   Sweep proposals: 329 proposals from the sweep (2000 on)</t>
        </is>
      </c>
    </row>
    <row r="21">
      <c r="A21" s="2" t="inlineStr">
        <is>
          <t xml:space="preserve">   Checker flags: the 2 open warnings</t>
        </is>
      </c>
    </row>
    <row r="22">
      <c r="A22" s="2" t="inlineStr">
        <is>
          <t xml:space="preserve">   Review sheet: this week's items, to fill in</t>
        </is>
      </c>
    </row>
    <row r="23">
      <c r="A23" s="2" t="inlineStr">
        <is>
          <t xml:space="preserve">   Review backlog: every item that is or will be due</t>
        </is>
      </c>
    </row>
    <row r="24">
      <c r="A24" s="2" t="inlineStr">
        <is>
          <t xml:space="preserve">   Chains: rows whose overruling case was itself later overruled</t>
        </is>
      </c>
    </row>
    <row r="25">
      <c r="A25" s="2" t="inlineStr">
        <is>
          <t xml:space="preserve">   Listing issues: list 1 rows the list itself contradicts</t>
        </is>
      </c>
    </row>
    <row r="26">
      <c r="A26" s="2" t="inlineStr">
        <is>
          <t xml:space="preserve">   Needs citation or year: list 1 rows that cannot be recognised</t>
        </is>
      </c>
    </row>
    <row r="27">
      <c r="A27" s="2" t="inlineStr">
        <is>
          <t xml:space="preserve">   List1 parse (1688): how each list-1 row was classified (court, appeal, in the collection)</t>
        </is>
      </c>
    </row>
    <row r="28">
      <c r="A28" s="2" t="inlineStr">
        <is>
          <t xml:space="preserve">   List1 checker test (308): the checker's test on list-1 pairs</t>
        </is>
      </c>
    </row>
    <row r="29">
      <c r="A29" s="2" t="inlineStr">
        <is>
          <t xml:space="preserve">   Library cards (76): the checker's card for each case the site can show</t>
        </is>
      </c>
    </row>
    <row r="30">
      <c r="A30" s="2" t="inlineStr">
        <is>
          <t xml:space="preserve">   Known cases: cases whose later history is known, and whether the register holds them</t>
        </is>
      </c>
    </row>
    <row r="31">
      <c r="A31" s="2" t="inlineStr">
        <is>
          <t xml:space="preserve">   Currency pass: the register run over the first search test</t>
        </is>
      </c>
    </row>
    <row r="32">
      <c r="A32" s="2" t="inlineStr">
        <is>
          <t xml:space="preserve">   Index gaps: cases the search cannot show, and why</t>
        </is>
      </c>
    </row>
    <row r="33">
      <c r="A33" s="2" t="inlineStr">
        <is>
          <t xml:space="preserve">   Where in repo: file locations</t>
        </is>
      </c>
    </row>
    <row r="34">
      <c r="A34" s="2" t="inlineStr"/>
    </row>
    <row r="35">
      <c r="A35" s="3" t="inlineStr">
        <is>
          <t>TRUST LEVELS</t>
        </is>
      </c>
    </row>
    <row r="36">
      <c r="A36" s="2" t="inlineStr">
        <is>
          <t>verified: list 1, on the owner's statement. reviewer_confirmed: a person confirmed it at a weekly review. candidate: reported, not yet confirmed (worded 'reported as ... not yet confirmed by our reviewer'). unchecked: no wording at all. rejected: kept, never worded.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70" customWidth="1" min="1" max="1"/>
    <col width="18" customWidth="1" min="2" max="2"/>
    <col width="22" customWidth="1" min="3" max="3"/>
  </cols>
  <sheetData>
    <row r="1">
      <c r="A1" s="4" t="inlineStr">
        <is>
          <t>Counts</t>
        </is>
      </c>
    </row>
    <row r="2">
      <c r="A2" s="5" t="inlineStr">
        <is>
          <t>Column B was counted when the file was built. Column C is a live formula on the Register sheet that Excel computes when you open the file; the two should agree.</t>
        </is>
      </c>
    </row>
    <row r="4">
      <c r="A4" s="6" t="inlineStr">
        <is>
          <t>Item</t>
        </is>
      </c>
      <c r="B4" s="6" t="inlineStr">
        <is>
          <t>Count at export</t>
        </is>
      </c>
      <c r="C4" s="6" t="inlineStr">
        <is>
          <t>Live formula (Excel)</t>
        </is>
      </c>
    </row>
    <row r="5">
      <c r="A5" s="7" t="inlineStr">
        <is>
          <t>By list and trust</t>
        </is>
      </c>
      <c r="B5" s="7" t="n"/>
      <c r="C5" s="7" t="n"/>
    </row>
    <row r="6">
      <c r="A6" s="8" t="inlineStr">
        <is>
          <t>List 1 (to ~2015) / verified</t>
        </is>
      </c>
      <c r="B6" s="8" t="n">
        <v>1688</v>
      </c>
      <c r="C6" s="8">
        <f>COUNTIFS(Register!$B$2:$B$1766,"List 1 (to ~2015)",Register!$D$2:$D$1766,"verified")</f>
        <v/>
      </c>
    </row>
    <row r="7">
      <c r="A7" s="8" t="inlineStr">
        <is>
          <t>List 2 (after 2015) / candidate</t>
        </is>
      </c>
      <c r="B7" s="8" t="n">
        <v>58</v>
      </c>
      <c r="C7" s="8">
        <f>COUNTIFS(Register!$B$2:$B$1766,"List 2 (after 2015)",Register!$D$2:$D$1766,"candidate")</f>
        <v/>
      </c>
    </row>
    <row r="8">
      <c r="A8" s="8" t="inlineStr">
        <is>
          <t>List 2 (after 2015) / unchecked</t>
        </is>
      </c>
      <c r="B8" s="8" t="n">
        <v>1</v>
      </c>
      <c r="C8" s="8">
        <f>COUNTIFS(Register!$B$2:$B$1766,"List 2 (after 2015)",Register!$D$2:$D$1766,"unchecked")</f>
        <v/>
      </c>
    </row>
    <row r="9">
      <c r="A9" s="8" t="inlineStr">
        <is>
          <t>List 2 sibling / candidate</t>
        </is>
      </c>
      <c r="B9" s="8" t="n">
        <v>18</v>
      </c>
      <c r="C9" s="8">
        <f>COUNTIFS(Register!$B$2:$B$1766,"List 2 sibling",Register!$D$2:$D$1766,"candidate")</f>
        <v/>
      </c>
    </row>
    <row r="10">
      <c r="A10" s="7" t="inlineStr">
        <is>
          <t>All rows</t>
        </is>
      </c>
      <c r="B10" s="7" t="n">
        <v>1765</v>
      </c>
      <c r="C10" s="7">
        <f>COUNTA(Register!$A$2:$A$1766)</f>
        <v/>
      </c>
    </row>
    <row r="11">
      <c r="A11" s="8" t="inlineStr"/>
      <c r="B11" s="8" t="n"/>
      <c r="C11" s="8" t="n"/>
    </row>
    <row r="12">
      <c r="A12" s="7" t="inlineStr">
        <is>
          <t>By treatment</t>
        </is>
      </c>
      <c r="B12" s="7" t="n"/>
      <c r="C12" s="7" t="n"/>
    </row>
    <row r="13">
      <c r="A13" s="8" t="inlineStr">
        <is>
          <t>disputed_listing</t>
        </is>
      </c>
      <c r="B13" s="8" t="n">
        <v>13</v>
      </c>
      <c r="C13" s="8">
        <f>COUNTIF(Register!$E$2:$E$1766,"disputed_listing")</f>
        <v/>
      </c>
    </row>
    <row r="14">
      <c r="A14" s="8" t="inlineStr">
        <is>
          <t>not_approved</t>
        </is>
      </c>
      <c r="B14" s="8" t="n">
        <v>1</v>
      </c>
      <c r="C14" s="8">
        <f>COUNTIF(Register!$E$2:$E$1766,"not_approved")</f>
        <v/>
      </c>
    </row>
    <row r="15">
      <c r="A15" s="8" t="inlineStr">
        <is>
          <t>not_binding</t>
        </is>
      </c>
      <c r="B15" s="8" t="n">
        <v>3</v>
      </c>
      <c r="C15" s="8">
        <f>COUNTIF(Register!$E$2:$E$1766,"not_binding")</f>
        <v/>
      </c>
    </row>
    <row r="16">
      <c r="A16" s="8" t="inlineStr">
        <is>
          <t>not_good_law</t>
        </is>
      </c>
      <c r="B16" s="8" t="n">
        <v>5</v>
      </c>
      <c r="C16" s="8">
        <f>COUNTIF(Register!$E$2:$E$1766,"not_good_law")</f>
        <v/>
      </c>
    </row>
    <row r="17">
      <c r="A17" s="8" t="inlineStr">
        <is>
          <t>overruled</t>
        </is>
      </c>
      <c r="B17" s="8" t="n">
        <v>1218</v>
      </c>
      <c r="C17" s="8">
        <f>COUNTIF(Register!$E$2:$E$1766,"overruled")</f>
        <v/>
      </c>
    </row>
    <row r="18">
      <c r="A18" s="8" t="inlineStr">
        <is>
          <t>overruled_in_part</t>
        </is>
      </c>
      <c r="B18" s="8" t="n">
        <v>17</v>
      </c>
      <c r="C18" s="8">
        <f>COUNTIF(Register!$E$2:$E$1766,"overruled_in_part")</f>
        <v/>
      </c>
    </row>
    <row r="19">
      <c r="A19" s="8" t="inlineStr">
        <is>
          <t>per_incuriam</t>
        </is>
      </c>
      <c r="B19" s="8" t="n">
        <v>1</v>
      </c>
      <c r="C19" s="8">
        <f>COUNTIF(Register!$E$2:$E$1766,"per_incuriam")</f>
        <v/>
      </c>
    </row>
    <row r="20">
      <c r="A20" s="8" t="inlineStr">
        <is>
          <t>reversed_on_appeal</t>
        </is>
      </c>
      <c r="B20" s="8" t="n">
        <v>507</v>
      </c>
      <c r="C20" s="8">
        <f>COUNTIF(Register!$E$2:$E$1766,"reversed_on_appeal")</f>
        <v/>
      </c>
    </row>
    <row r="21">
      <c r="A21" s="8" t="inlineStr"/>
      <c r="B21" s="8" t="n"/>
      <c r="C21" s="8" t="n"/>
    </row>
    <row r="22">
      <c r="A22" s="7" t="inlineStr">
        <is>
          <t>How a row can be recognised in an answer</t>
        </is>
      </c>
      <c r="B22" s="7" t="n"/>
      <c r="C22" s="7" t="n"/>
    </row>
    <row r="23">
      <c r="A23" s="8" t="inlineStr">
        <is>
          <t>strongly, by its own names and a year</t>
        </is>
      </c>
      <c r="B23" s="8" t="n">
        <v>1615</v>
      </c>
      <c r="C23" s="8">
        <f>COUNTIF(Register!$AB$2:$AB$1766,"name_year")</f>
        <v/>
      </c>
    </row>
    <row r="24">
      <c r="A24" s="8" t="inlineStr">
        <is>
          <t>strongly, by a reported citation only</t>
        </is>
      </c>
      <c r="B24" s="8" t="n">
        <v>40</v>
      </c>
      <c r="C24" s="8">
        <f>COUNTIF(Register!$AB$2:$AB$1766,"citation")</f>
        <v/>
      </c>
    </row>
    <row r="25">
      <c r="A25" s="8" t="inlineStr">
        <is>
          <t>weakly (names only: never worded as a fact)</t>
        </is>
      </c>
      <c r="B25" s="8" t="n">
        <v>68</v>
      </c>
      <c r="C25" s="8">
        <f>COUNTIF(Register!$AB$2:$AB$1766,"weak")</f>
        <v/>
      </c>
    </row>
    <row r="26">
      <c r="A26" s="8" t="inlineStr">
        <is>
          <t>not at all</t>
        </is>
      </c>
      <c r="B26" s="8" t="n">
        <v>42</v>
      </c>
      <c r="C26" s="8">
        <f>COUNTIF(Register!$AB$2:$AB$1766,"none")</f>
        <v/>
      </c>
    </row>
    <row r="27">
      <c r="A27" s="8" t="inlineStr"/>
      <c r="B27" s="8" t="n"/>
      <c r="C27" s="8" t="n"/>
    </row>
    <row r="28">
      <c r="A28" s="8" t="inlineStr">
        <is>
          <t>Chains (the overruling case was itself later overruled)</t>
        </is>
      </c>
      <c r="B28" s="8" t="n">
        <v>85</v>
      </c>
      <c r="C28" s="8">
        <f>COUNTIF(Register!$AC$2:$AC$1766,"?*")</f>
        <v/>
      </c>
    </row>
    <row r="29">
      <c r="A29" s="8" t="inlineStr">
        <is>
          <t>Rows whose overruling judgment is dated 2016 or later</t>
        </is>
      </c>
      <c r="B29" s="8" t="n">
        <v>77</v>
      </c>
      <c r="C29" s="8">
        <f>COUNTIF(Register!$N$2:$N$1766,"&gt;=2016")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10" customWidth="1" min="3" max="3"/>
    <col width="46" customWidth="1" min="4" max="4"/>
    <col width="24" customWidth="1" min="5" max="5"/>
    <col width="34" customWidth="1" min="6" max="6"/>
    <col width="34" customWidth="1" min="7" max="7"/>
  </cols>
  <sheetData>
    <row r="1" ht="44" customHeight="1">
      <c r="A1" s="9" t="inlineStr">
        <is>
          <t>Every finding made so far on the lists, the register, the checker and the index, with where the evidence is. Source file: goodlaw/data/register/findings.json. Nothing here is a lawyer's finding.</t>
        </is>
      </c>
    </row>
    <row r="3">
      <c r="A3" s="10" t="inlineStr">
        <is>
          <t>No.</t>
        </is>
      </c>
      <c r="B3" s="10" t="inlineStr">
        <is>
          <t>Area</t>
        </is>
      </c>
      <c r="C3" s="10" t="inlineStr">
        <is>
          <t>Finding</t>
        </is>
      </c>
      <c r="D3" s="10" t="inlineStr">
        <is>
          <t>Where the evidence is</t>
        </is>
      </c>
      <c r="E3" s="10" t="inlineStr">
        <is>
          <t>Confidence</t>
        </is>
      </c>
      <c r="F3" s="10" t="inlineStr">
        <is>
          <t>Status</t>
        </is>
      </c>
      <c r="G3" s="10" t="inlineStr">
        <is>
          <t>Who acts</t>
        </is>
      </c>
    </row>
    <row r="4">
      <c r="A4" s="11" t="n">
        <v>1</v>
      </c>
      <c r="B4" s="2" t="inlineStr">
        <is>
          <t>List 1 (to ~2015)</t>
        </is>
      </c>
      <c r="C4" s="2" t="inlineStr">
        <is>
          <t>1,688 numbered entries, 260 pages, no stated compiler or source. The author field says 'PADMARAJA'; the file was created 2020-10-29. Read as data only.</t>
        </is>
      </c>
      <c r="D4" s="2" t="inlineStr">
        <is>
          <t>external_lists/2026-10-07_overruled_cases_pdf/README.md</t>
        </is>
      </c>
      <c r="E4" s="2" t="inlineStr">
        <is>
          <t>Certain</t>
        </is>
      </c>
      <c r="F4" s="2" t="inlineStr">
        <is>
          <t>Recorded</t>
        </is>
      </c>
      <c r="G4" s="2" t="inlineStr"/>
    </row>
    <row r="5">
      <c r="A5" s="11" t="n">
        <v>2</v>
      </c>
      <c r="B5" s="2" t="inlineStr">
        <is>
          <t>List 1 (to ~2015)</t>
        </is>
      </c>
      <c r="C5" s="2" t="inlineStr">
        <is>
          <t>71% of entries (1,196) are High Court or tribunal decisions overruled by the Supreme Court; 409 of them are the same dispute reversed on appeal. 29% (492) are Supreme Court judgments overruled by a later Supreme Court judgment. Our collection holds Supreme Court judgments only.</t>
        </is>
      </c>
      <c r="D5" s="2" t="inlineStr">
        <is>
          <t>external_lists/2026-10-07_overruled_cases_pdf/README.md</t>
        </is>
      </c>
      <c r="E5" s="2" t="inlineStr">
        <is>
          <t>Certain</t>
        </is>
      </c>
      <c r="F5" s="2" t="inlineStr">
        <is>
          <t>Recorded</t>
        </is>
      </c>
      <c r="G5" s="2" t="inlineStr"/>
    </row>
    <row r="6">
      <c r="A6" s="11" t="n">
        <v>3</v>
      </c>
      <c r="B6" s="2" t="inlineStr">
        <is>
          <t>List 1 (to ~2015)</t>
        </is>
      </c>
      <c r="C6" s="2" t="inlineStr">
        <is>
          <t>The list stops around 2014-15 (2 entries from 2015, none later) although the file was created in 2020. It cannot contain, for example, Mukesh Singh (2020) overruling Mohan Lal (2018).</t>
        </is>
      </c>
      <c r="D6" s="2" t="inlineStr">
        <is>
          <t>external_lists/2026-10-07_overruled_cases_pdf/README.md</t>
        </is>
      </c>
      <c r="E6" s="2" t="inlineStr">
        <is>
          <t>Certain</t>
        </is>
      </c>
      <c r="F6" s="2" t="inlineStr">
        <is>
          <t>Recorded; list 2 and the sweep cover the later years</t>
        </is>
      </c>
      <c r="G6" s="2" t="inlineStr"/>
    </row>
    <row r="7">
      <c r="A7" s="11" t="n">
        <v>4</v>
      </c>
      <c r="B7" s="2" t="inlineStr">
        <is>
          <t>List 1 (to ~2015)</t>
        </is>
      </c>
      <c r="C7" s="2" t="inlineStr">
        <is>
          <t>Incomplete even inside its own dates: Prabha Shankar Dubey (overruled in 2010 by the Jadeja Constitution Bench) and Krishna Janardhan Bhat (its s.139 view rejected in part by Rangappa, 2010) are not in it.</t>
        </is>
      </c>
      <c r="D7" s="2" t="inlineStr">
        <is>
          <t>external_lists/2026-10-07_overruled_cases_pdf/README.md; see also findings below</t>
        </is>
      </c>
      <c r="E7" s="2" t="inlineStr">
        <is>
          <t>Certain on absence; Likely on the law</t>
        </is>
      </c>
      <c r="F7" s="2" t="inlineStr">
        <is>
          <t>Open</t>
        </is>
      </c>
      <c r="G7" s="2" t="inlineStr">
        <is>
          <t>Mr. Advocate: say how each should be recorded (see findings on the sweep)</t>
        </is>
      </c>
    </row>
    <row r="8">
      <c r="A8" s="11" t="n">
        <v>5</v>
      </c>
      <c r="B8" s="2" t="inlineStr">
        <is>
          <t>List 1 (to ~2015)</t>
        </is>
      </c>
      <c r="C8" s="2" t="inlineStr">
        <is>
          <t>Internal errors: 6 pairs list each case as overruled by the other (rows 247/506, 265/242, 270/258, 446/645, 463/535, 594/474); 14 matched pairs name an overruling decision dated before the overruled one; row 75 has an empty 'overruled by' cell; 27 of 1,354 citations point at a different judgment in our store (typo in the list or a wrong key in our store: not told apart).</t>
        </is>
      </c>
      <c r="D8" s="2" t="inlineStr">
        <is>
          <t>external_lists/2026-10-07_overruled_cases_pdf/README.md</t>
        </is>
      </c>
      <c r="E8" s="2" t="inlineStr">
        <is>
          <t>Certain</t>
        </is>
      </c>
      <c r="F8" s="2" t="inlineStr">
        <is>
          <t>13 rows carry the flag disputed_listing and are on the weekly sheet ('listing' items)</t>
        </is>
      </c>
      <c r="G8" s="2" t="inlineStr">
        <is>
          <t>Mr. Advocate</t>
        </is>
      </c>
    </row>
    <row r="9">
      <c r="A9" s="11" t="n">
        <v>6</v>
      </c>
      <c r="B9" s="2" t="inlineStr">
        <is>
          <t>List 1 (to ~2015)</t>
        </is>
      </c>
      <c r="C9" s="2" t="inlineStr">
        <is>
          <t>'Overruled' is used loosely: 24% of rows are an appeal reversing a lower court; some Supreme Court rows are partial overrulings or 'not followed'. The list gives no date, bench, paragraph or 'partly'. 507 register rows are marked reversed_on_appeal by comparing party names (a heuristic, not read row by row).</t>
        </is>
      </c>
      <c r="D9" s="2" t="inlineStr">
        <is>
          <t>external_lists/2026-10-07_overruled_cases_pdf/README.md; REGISTER.md</t>
        </is>
      </c>
      <c r="E9" s="2" t="inlineStr">
        <is>
          <t>Certain (loose usage); Likely (heuristic marking)</t>
        </is>
      </c>
      <c r="F9" s="2" t="inlineStr">
        <is>
          <t>Open</t>
        </is>
      </c>
      <c r="G9" s="2" t="inlineStr">
        <is>
          <t>Mr. Advocate may spot-check the reversed_on_appeal rows</t>
        </is>
      </c>
    </row>
    <row r="10">
      <c r="A10" s="11" t="n">
        <v>7</v>
      </c>
      <c r="B10" s="2" t="inlineStr">
        <is>
          <t>List 1 (to ~2015)</t>
        </is>
      </c>
      <c r="C10" s="2" t="inlineStr">
        <is>
          <t>The same list is published on www.referencer.in (1,677 of 1,688 pairs identical, same errors, same last year), a site that reserves its copyright. The licence for a facts-only register built from it is NOT cleared. Only names, citations, years and row numbers are kept.</t>
        </is>
      </c>
      <c r="D10" s="2" t="inlineStr">
        <is>
          <t>external_lists/2026-10-07_overruled_cases_pdf/README.md (section 'The same list on referencer.in'); register meta</t>
        </is>
      </c>
      <c r="E10" s="2" t="inlineStr">
        <is>
          <t>Certain</t>
        </is>
      </c>
      <c r="F10" s="2" t="inlineStr">
        <is>
          <t>Open</t>
        </is>
      </c>
      <c r="G10" s="2" t="inlineStr">
        <is>
          <t>Owner / lawyer: is a facts-only register allowed in a product? If not, drop the list1 rows and rebuild</t>
        </is>
      </c>
    </row>
    <row r="11">
      <c r="A11" s="11" t="n">
        <v>8</v>
      </c>
      <c r="B11" s="2" t="inlineStr">
        <is>
          <t>List 1 (to ~2015)</t>
        </is>
      </c>
      <c r="C11" s="2" t="inlineStr">
        <is>
          <t>The owner stated on 2026-10-07 that a lawyer, Mr. Advocate, verified this list as fully correct (verification date that day). Claude did not see the verification; the 1,688 rows are recorded 'verified' on that statement.</t>
        </is>
      </c>
      <c r="D11" s="2" t="inlineStr">
        <is>
          <t>register.json meta; REGISTER.md</t>
        </is>
      </c>
      <c r="E11" s="2" t="inlineStr">
        <is>
          <t>Certain that this is the owner's statement</t>
        </is>
      </c>
      <c r="F11" s="2" t="inlineStr">
        <is>
          <t>Recorded</t>
        </is>
      </c>
      <c r="G11" s="2" t="inlineStr"/>
    </row>
    <row r="12">
      <c r="A12" s="11" t="n">
        <v>9</v>
      </c>
      <c r="B12" s="2" t="inlineStr">
        <is>
          <t>List 1 (to ~2015)</t>
        </is>
      </c>
      <c r="C12" s="2" t="inlineStr">
        <is>
          <t>Coverage of the list inside our collection: 395 of 492 Supreme Court decisions named as overruled (80%) and 1,417 of 1,683 named as overruling (84%) are found. Thinner for 1990-2009 (about 20% short), which fits the 8,821 crawl ids with no file at the court. These percentages undercount.</t>
        </is>
      </c>
      <c r="D12" s="2" t="inlineStr">
        <is>
          <t>external_lists/2026-10-07_overruled_cases_pdf/README.md</t>
        </is>
      </c>
      <c r="E12" s="2" t="inlineStr">
        <is>
          <t>Likely</t>
        </is>
      </c>
      <c r="F12" s="2" t="inlineStr">
        <is>
          <t>Recorded</t>
        </is>
      </c>
      <c r="G12" s="2" t="inlineStr"/>
    </row>
    <row r="13">
      <c r="A13" s="11" t="n">
        <v>10</v>
      </c>
      <c r="B13" s="2" t="inlineStr">
        <is>
          <t>List 1 (to ~2015)</t>
        </is>
      </c>
      <c r="C13" s="2" t="inlineStr">
        <is>
          <t>None of the 61 library judgments (the cases Recourse can show that are in our collection) appears as overruled in the list.</t>
        </is>
      </c>
      <c r="D13" s="2" t="inlineStr">
        <is>
          <t>external_lists/2026-10-07_overruled_cases_pdf/README.md</t>
        </is>
      </c>
      <c r="E13" s="2" t="inlineStr">
        <is>
          <t>Certain</t>
        </is>
      </c>
      <c r="F13" s="2" t="inlineStr">
        <is>
          <t>Recorded</t>
        </is>
      </c>
      <c r="G13" s="2" t="inlineStr"/>
    </row>
    <row r="14">
      <c r="A14" s="11" t="n">
        <v>11</v>
      </c>
      <c r="B14" s="2" t="inlineStr">
        <is>
          <t>List 1 (to ~2015)</t>
        </is>
      </c>
      <c r="C14" s="2" t="inlineStr">
        <is>
          <t>110 of the 1,688 rows have no citation or year, so the register cannot recognise them in an answer (68 only weakly, 42 not at all). They come up on the weekly sheet as 'match' items for the reviewer to supply a citation or year.</t>
        </is>
      </c>
      <c r="D14" s="2" t="inlineStr">
        <is>
          <t>REGISTER.md; sheet 'Needs citation or year'</t>
        </is>
      </c>
      <c r="E14" s="2" t="inlineStr">
        <is>
          <t>Certain</t>
        </is>
      </c>
      <c r="F14" s="2" t="inlineStr">
        <is>
          <t>Open</t>
        </is>
      </c>
      <c r="G14" s="2" t="inlineStr">
        <is>
          <t>Mr. Advocate</t>
        </is>
      </c>
    </row>
    <row r="15">
      <c r="A15" s="11" t="n">
        <v>12</v>
      </c>
      <c r="B15" s="2" t="inlineStr">
        <is>
          <t>List 1 (to ~2015)</t>
        </is>
      </c>
      <c r="C15" s="2" t="inlineStr">
        <is>
          <t>85 register rows have a chain (the overruling decision was itself later overruled or disapproved); 83 of them are list 1 rows, for example K.L. Verma, State of U.P. v Synthetics (1980), Ram Lal Narang, H.R.S. Murthy, the Delhi High Court's Naz Foundation, N.N. Global. A chain row keeps its recorded status and goes to the weekly sheet; nothing is carried forward silently.</t>
        </is>
      </c>
      <c r="D15" s="2" t="inlineStr">
        <is>
          <t>REGISTER.md; sheet 'Chains'</t>
        </is>
      </c>
      <c r="E15" s="2" t="inlineStr">
        <is>
          <t>Certain</t>
        </is>
      </c>
      <c r="F15" s="2" t="inlineStr">
        <is>
          <t>Open</t>
        </is>
      </c>
      <c r="G15" s="2" t="inlineStr">
        <is>
          <t>Mr. Advocate</t>
        </is>
      </c>
    </row>
    <row r="16">
      <c r="A16" s="11" t="n">
        <v>13</v>
      </c>
      <c r="B16" s="2" t="inlineStr">
        <is>
          <t>Checker test on list 1</t>
        </is>
      </c>
      <c r="C16" s="2" t="inlineStr">
        <is>
          <t>308 usable pairs where both the overruled and the overruling judgment are in our collection (331 minus 14 with the overruling dated first and 9 whose citation matched a differently named judgment). Split by the list's row number: even rows = tuning half (146 pairs, run), odd rows = untouched half (162 pairs, NOT run).</t>
        </is>
      </c>
      <c r="D16" s="2" t="inlineStr">
        <is>
          <t>external_lists/2026-10-07_overruled_cases_pdf/README.md</t>
        </is>
      </c>
      <c r="E16" s="2" t="inlineStr">
        <is>
          <t>Certain</t>
        </is>
      </c>
      <c r="F16" s="2" t="inlineStr">
        <is>
          <t>Odd half still unrun; it must be run once, at a frozen commit</t>
        </is>
      </c>
      <c r="G16" s="2" t="inlineStr"/>
    </row>
    <row r="17">
      <c r="A17" s="11" t="n">
        <v>14</v>
      </c>
      <c r="B17" s="2" t="inlineStr">
        <is>
          <t>Checker test on list 1</t>
        </is>
      </c>
      <c r="C17" s="2" t="inlineStr">
        <is>
          <t>On the tuning half the checker read 38 of 146 pairs (26%) as overrules, disagrees or doubts (33 confident and in the Court's or headnote's voice; 30 explicit overrulings). 84% of pairs: the later judgment names the case. After fixes made from reading these pairs (2026-10-07): 42 (29%). The 29% is in-sample. Criminal-marked pairs: 4 of 24 flagged. Every pair is a positive, so this measures recall only, not false alarms.</t>
        </is>
      </c>
      <c r="D17" s="2" t="inlineStr">
        <is>
          <t>external_lists/2026-10-07_overruled_cases_pdf/README.md; sheet 'List1 checker test (308)'</t>
        </is>
      </c>
      <c r="E17" s="2" t="inlineStr">
        <is>
          <t>Certain for the counts; Likely that 26% is the better guide to real recall</t>
        </is>
      </c>
      <c r="F17" s="2" t="inlineStr">
        <is>
          <t>Open</t>
        </is>
      </c>
      <c r="G17" s="2" t="inlineStr"/>
    </row>
    <row r="18">
      <c r="A18" s="11" t="n">
        <v>15</v>
      </c>
      <c r="B18" s="2" t="inlineStr">
        <is>
          <t>Checker test on list 1</t>
        </is>
      </c>
      <c r="C18" s="2" t="inlineStr">
        <is>
          <t>Three misses found on the tuning half: row 668 Rajinder Kaur ('hereby over-ruled' with the name and no citation), row 422 Jugraj Singh (scan error '1s erroneous'), row 420 Paras Ram (read as 'follows' although the sentence says 'not good law'). Fixed 2026-10-07 except row 422, which reads adverse but not confidently.</t>
        </is>
      </c>
      <c r="D18" s="2" t="inlineStr">
        <is>
          <t>external_lists/2026-10-07_overruled_cases_pdf/README.md; goodlaw/EVALUATION.md</t>
        </is>
      </c>
      <c r="E18" s="2" t="inlineStr">
        <is>
          <t>Certain</t>
        </is>
      </c>
      <c r="F18" s="2" t="inlineStr">
        <is>
          <t>Partly fixed</t>
        </is>
      </c>
      <c r="G18" s="2" t="inlineStr"/>
    </row>
    <row r="19">
      <c r="A19" s="11" t="n">
        <v>16</v>
      </c>
      <c r="B19" s="2" t="inlineStr">
        <is>
          <t>Checker (general)</t>
        </is>
      </c>
      <c r="C19" s="2" t="inlineStr">
        <is>
          <t>The checker catches about 3 in 10 of the overrulings an outside key verifies, so it misses about 7 in 10. A quiet card is weak evidence, never 'good law'. Nothing measures 2018-2026 text beyond the 20 known cases.</t>
        </is>
      </c>
      <c r="D19" s="2" t="inlineStr">
        <is>
          <t>FOLLOW_UPS.md items 0 and 1b; goodlaw/EVALUATION.md</t>
        </is>
      </c>
      <c r="E19" s="2" t="inlineStr">
        <is>
          <t>Likely</t>
        </is>
      </c>
      <c r="F19" s="2" t="inlineStr">
        <is>
          <t>Standing limit</t>
        </is>
      </c>
      <c r="G19" s="2" t="inlineStr"/>
    </row>
    <row r="20">
      <c r="A20" s="11" t="n">
        <v>17</v>
      </c>
      <c r="B20" s="2" t="inlineStr">
        <is>
          <t>Checker (general)</t>
        </is>
      </c>
      <c r="C20" s="2" t="inlineStr">
        <is>
          <t>The checker's known-case list (goodlaw/targets/known.json: 7 overruled/doubted/overcome, 13 settled) was labelled by an AI assistant from general knowledge, not by a lawyer.</t>
        </is>
      </c>
      <c r="D20" s="2" t="inlineStr">
        <is>
          <t>goodlaw/targets/known.json note</t>
        </is>
      </c>
      <c r="E20" s="2" t="inlineStr">
        <is>
          <t>Certain</t>
        </is>
      </c>
      <c r="F20" s="2" t="inlineStr">
        <is>
          <t>Open</t>
        </is>
      </c>
      <c r="G20" s="2" t="inlineStr">
        <is>
          <t>Lawyer: check the 20 labels</t>
        </is>
      </c>
    </row>
    <row r="21">
      <c r="A21" s="11" t="n">
        <v>18</v>
      </c>
      <c r="B21" s="2" t="inlineStr">
        <is>
          <t>List 2 (after 2015)</t>
        </is>
      </c>
      <c r="C21" s="2" t="inlineStr">
        <is>
          <t>The post-2015 list ('Judgments Overruled After 2015', 59 entries, 30 distinct overruling judgments) is a lead list, not a register. It has no author, no date and no verification; it calls itself 'research-compiled'. It is NOT marked verified: its 58 usable rows are 'candidate' (hedged wording), row 43 is 'unchecked'. Mr. Advocate is assigned as reviewer; nothing is verified until he confirms it.</t>
        </is>
      </c>
      <c r="D21" s="2" t="inlineStr">
        <is>
          <t>external_lists/2026-10-07_overruled_after_2015_pdf/README.md</t>
        </is>
      </c>
      <c r="E21" s="2" t="inlineStr">
        <is>
          <t>Certain</t>
        </is>
      </c>
      <c r="F21" s="2" t="inlineStr">
        <is>
          <t>Open</t>
        </is>
      </c>
      <c r="G21" s="2" t="inlineStr">
        <is>
          <t>Owner: did Mr. Advocate also verify list 2? Mr. Advocate: confirm rows at the weekly review</t>
        </is>
      </c>
    </row>
    <row r="22">
      <c r="A22" s="11" t="n">
        <v>19</v>
      </c>
      <c r="B22" s="2" t="inlineStr">
        <is>
          <t>List 2 (after 2015)</t>
        </is>
      </c>
      <c r="C22" s="2" t="inlineStr">
        <is>
          <t>Result of Claude's reading of the judgments: 41 confirmed as stated (C), 11 confirmed but need a caveat (CN), 4 where the court's words are weaker than the label (P), 2 wrong in a material detail (W), 1 not checkable (U). 52 of 59 (88%) are right that the named later judgment overruled the earlier one at least in part. Not a lawyer's verification.</t>
        </is>
      </c>
      <c r="D22" s="2" t="inlineStr">
        <is>
          <t>external_lists/2026-10-07_overruled_after_2015_pdf/README.md; sheet 'Post-2015 list (59)'</t>
        </is>
      </c>
      <c r="E22" s="2" t="inlineStr">
        <is>
          <t>Certain for the 49 where the judgment's own sentence was read; headnote only for rows 44-46</t>
        </is>
      </c>
      <c r="F22" s="2" t="inlineStr">
        <is>
          <t>Open</t>
        </is>
      </c>
      <c r="G22" s="2" t="inlineStr">
        <is>
          <t>Mr. Advocate: read rows 33, 39, 42, 43, 47, 48, 50, 52, 57, 58, 59 and the chain rows</t>
        </is>
      </c>
    </row>
    <row r="23">
      <c r="A23" s="11" t="n">
        <v>20</v>
      </c>
      <c r="B23" s="2" t="inlineStr">
        <is>
          <t>List 2 (after 2015)</t>
        </is>
      </c>
      <c r="C23" s="2" t="inlineStr">
        <is>
          <t>Row 39 (V. Surendra Mohan): the court says 'would not be a binding precedent', not overruled. Row 42 (Sree Balaji Nagar): right fact, wrong overruling case; it was overruled by Indore Development Authority v Manoharlal (2020, 5 judges) and already by Shailendra (2018). Row 43 (Shri Kant Sharma): the later judgment (Parshotam Dass, 2023) is not in the collection.</t>
        </is>
      </c>
      <c r="D23" s="2" t="inlineStr">
        <is>
          <t>external_lists/2026-10-07_overruled_after_2015_pdf/README.md</t>
        </is>
      </c>
      <c r="E23" s="2" t="inlineStr">
        <is>
          <t>Certain</t>
        </is>
      </c>
      <c r="F23" s="2" t="inlineStr">
        <is>
          <t>Open</t>
        </is>
      </c>
      <c r="G23" s="2" t="inlineStr">
        <is>
          <t>Mr. Advocate</t>
        </is>
      </c>
    </row>
    <row r="24">
      <c r="A24" s="11" t="n">
        <v>21</v>
      </c>
      <c r="B24" s="2" t="inlineStr">
        <is>
          <t>List 2 (after 2015)</t>
        </is>
      </c>
      <c r="C24" s="2" t="inlineStr">
        <is>
          <t>Label stronger than the court's words: rows 13 (Foreshore: 'cannot be said to be laying down the law correctly'), 47 (SRD Nutrients: 'per incuriam'), 52 (Asian Resurfacing: directions 36 and 37 'not approved', rest stands), 58 and 59 (Choodamani, Bharat Bhushan: 'should not be treated as binding'). Rows 4 and 5: what is overruled is the 'enduring rights' theory for ordinances, not the re-promulgation holding the list describes.</t>
        </is>
      </c>
      <c r="D24" s="2" t="inlineStr">
        <is>
          <t>external_lists/2026-10-07_overruled_after_2015_pdf/README.md</t>
        </is>
      </c>
      <c r="E24" s="2" t="inlineStr">
        <is>
          <t>Certain</t>
        </is>
      </c>
      <c r="F24" s="2" t="inlineStr">
        <is>
          <t>Recorded in the register as the court's own treatment type</t>
        </is>
      </c>
      <c r="G24" s="2" t="inlineStr"/>
    </row>
    <row r="25">
      <c r="A25" s="11" t="n">
        <v>22</v>
      </c>
      <c r="B25" s="2" t="inlineStr">
        <is>
          <t>List 2 (after 2015)</t>
        </is>
      </c>
      <c r="C25" s="2" t="inlineStr">
        <is>
          <t>Chains: N.N. Global (row 57) was overruled by a 5-judge bench in 2023 and the 2021 holding's status after the 7-judge In re Interplay (13 Dec 2023) needs a lawyer; Prabhu Lal was overruled twice (2017, 2024); Sree Balaji Nagar twice (2018, 2020). Six list 1 rows (256, 374, 499, 407, 598, 1405) name as the overruling case a decision that list 2 says was overruled later.</t>
        </is>
      </c>
      <c r="D25" s="2" t="inlineStr">
        <is>
          <t>external_lists/2026-10-07_overruled_after_2015_pdf/README.md</t>
        </is>
      </c>
      <c r="E25" s="2" t="inlineStr">
        <is>
          <t>Certain that the chains exist; Guessing what a lawyer will conclude</t>
        </is>
      </c>
      <c r="F25" s="2" t="inlineStr">
        <is>
          <t>Open</t>
        </is>
      </c>
      <c r="G25" s="2" t="inlineStr">
        <is>
          <t>Mr. Advocate</t>
        </is>
      </c>
    </row>
    <row r="26">
      <c r="A26" s="11" t="n">
        <v>23</v>
      </c>
      <c r="B26" s="2" t="inlineStr">
        <is>
          <t>List 2 (after 2015)</t>
        </is>
      </c>
      <c r="C26" s="2" t="inlineStr">
        <is>
          <t>India Cement (row 50, 8:1) overrules six other decisions 'to the extent of the observations made'; Azeez Basha (row 48) is a 4:3 split; Tomaso Bruno (row 33) was overruled by a bench of the same strength. 18 sibling decisions found in the same judgments were added as candidate rows.</t>
        </is>
      </c>
      <c r="D26" s="2" t="inlineStr">
        <is>
          <t>external_lists/2026-10-07_overruled_after_2015_pdf/README.md</t>
        </is>
      </c>
      <c r="E26" s="2" t="inlineStr">
        <is>
          <t>Certain</t>
        </is>
      </c>
      <c r="F26" s="2" t="inlineStr">
        <is>
          <t>Open</t>
        </is>
      </c>
      <c r="G26" s="2" t="inlineStr">
        <is>
          <t>Mr. Advocate</t>
        </is>
      </c>
    </row>
    <row r="27">
      <c r="A27" s="11" t="n">
        <v>24</v>
      </c>
      <c r="B27" s="2" t="inlineStr">
        <is>
          <t>List 2 (after 2015)</t>
        </is>
      </c>
      <c r="C27" s="2" t="inlineStr">
        <is>
          <t>The list mixes the year of decision and the year of the reporter volume (for example Kharak Singh decided 1962, listed 1963; Unicorn decided 6 Dec 2019, listed 2020). The register keys on citation and decision date, never on the list's year; a year within one is accepted when matching names.</t>
        </is>
      </c>
      <c r="D27" s="2" t="inlineStr">
        <is>
          <t>external_lists/2026-10-07_overruled_after_2015_pdf/README.md</t>
        </is>
      </c>
      <c r="E27" s="2" t="inlineStr">
        <is>
          <t>Certain</t>
        </is>
      </c>
      <c r="F27" s="2" t="inlineStr">
        <is>
          <t>Handled in code</t>
        </is>
      </c>
      <c r="G27" s="2" t="inlineStr"/>
    </row>
    <row r="28">
      <c r="A28" s="11" t="n">
        <v>25</v>
      </c>
      <c r="B28" s="2" t="inlineStr">
        <is>
          <t>List 2 (after 2015)</t>
        </is>
      </c>
      <c r="C28" s="2" t="inlineStr">
        <is>
          <t>The scan for other post-2015 overrulings found 60 judgments of three or more judges with an overruling-looking sentence that are not on the list (about 30 look real; Guessing). The scan missed Tofan Singh (2020), which overrules Raj Kumar Karwal and Kanhaiyalal and is in the collection, so 60 is a floor. These hits are machine hits, not individually read.</t>
        </is>
      </c>
      <c r="D28" s="2" t="inlineStr">
        <is>
          <t>external_lists/2026-10-07_overruled_after_2015_pdf/README.md; sheet 'Post-2015 other hits (60)'</t>
        </is>
      </c>
      <c r="E28" s="2" t="inlineStr">
        <is>
          <t>Certain for Tofan Singh; Likely that the true number is higher</t>
        </is>
      </c>
      <c r="F28" s="2" t="inlineStr">
        <is>
          <t>Open</t>
        </is>
      </c>
      <c r="G28" s="2" t="inlineStr">
        <is>
          <t>Mr. Advocate / Claude: read the 60</t>
        </is>
      </c>
    </row>
    <row r="29">
      <c r="A29" s="11" t="n">
        <v>26</v>
      </c>
      <c r="B29" s="2" t="inlineStr">
        <is>
          <t>Register</t>
        </is>
      </c>
      <c r="C29" s="2" t="inlineStr">
        <is>
          <t>1,765 rows: 1,688 verified (list 1), 58 candidate and 1 unchecked (list 2), 18 candidate siblings. No row has yet been confirmed by a reviewer. A row names the court's own treatment type (overruled, in part, not good law, per incuriam, not binding, not approved, reversed on appeal, disputed listing), not one flag.</t>
        </is>
      </c>
      <c r="D29" s="2" t="inlineStr">
        <is>
          <t>REGISTER.md; sheet 'Register'</t>
        </is>
      </c>
      <c r="E29" s="2" t="inlineStr">
        <is>
          <t>Certain</t>
        </is>
      </c>
      <c r="F29" s="2" t="inlineStr">
        <is>
          <t>Open</t>
        </is>
      </c>
      <c r="G29" s="2" t="inlineStr">
        <is>
          <t>Mr. Advocate</t>
        </is>
      </c>
    </row>
    <row r="30">
      <c r="A30" s="11" t="n">
        <v>27</v>
      </c>
      <c r="B30" s="2" t="inlineStr">
        <is>
          <t>Register</t>
        </is>
      </c>
      <c r="C30" s="2" t="inlineStr">
        <is>
          <t>Recognition: 1,655 of 1,765 rows are recognised strongly (1,615 by name and year, 40 by citation only), 68 weakly and 42 not at all. Scanning 45,186 collection titles gives 477 strong hits on 459 rows and no collision. The 76 library cases hit only Mohan Lal and Mhetre (both candidate rows). A bare name is never matched; both names with no year is weak and never worded as a fact.</t>
        </is>
      </c>
      <c r="D30" s="2" t="inlineStr">
        <is>
          <t>REGISTER.md</t>
        </is>
      </c>
      <c r="E30" s="2" t="inlineStr">
        <is>
          <t>Certain</t>
        </is>
      </c>
      <c r="F30" s="2" t="inlineStr">
        <is>
          <t>Recorded</t>
        </is>
      </c>
      <c r="G30" s="2" t="inlineStr"/>
    </row>
    <row r="31">
      <c r="A31" s="11" t="n">
        <v>28</v>
      </c>
      <c r="B31" s="2" t="inlineStr">
        <is>
          <t>Register</t>
        </is>
      </c>
      <c r="C31" s="2" t="inlineStr">
        <is>
          <t>The register only subtracts trust or warns; it never says a case is good law. A row not confirmed by a person is worded 'reported ... not yet confirmed by our reviewer'. It knows only decisions overruled by a later Supreme Court decision: not statutes that override a decision, High Court rulings overruled by a High Court, or decisions merely doubted or distinguished.</t>
        </is>
      </c>
      <c r="D31" s="2" t="inlineStr">
        <is>
          <t>REGISTER.md; CLAUDE.md</t>
        </is>
      </c>
      <c r="E31" s="2" t="inlineStr">
        <is>
          <t>Certain</t>
        </is>
      </c>
      <c r="F31" s="2" t="inlineStr">
        <is>
          <t>Standing limit</t>
        </is>
      </c>
      <c r="G31" s="2" t="inlineStr"/>
    </row>
    <row r="32">
      <c r="A32" s="11" t="n">
        <v>29</v>
      </c>
      <c r="B32" s="2" t="inlineStr">
        <is>
          <t>Register</t>
        </is>
      </c>
      <c r="C32" s="2" t="inlineStr">
        <is>
          <t>Nothing is connected to the live site. REGISTER_SITE_PATCH.md is for the Recourse owner and untested inside Recourse. The 50-question trap exam is built and has not been run (it needs the live assistant). The licence question on list 1 and who reviews flags (Mr. Advocate assumed) are open.</t>
        </is>
      </c>
      <c r="D32" s="2" t="inlineStr">
        <is>
          <t>REGISTER.md; REGISTER_SITE_PATCH.md</t>
        </is>
      </c>
      <c r="E32" s="2" t="inlineStr">
        <is>
          <t>Certain</t>
        </is>
      </c>
      <c r="F32" s="2" t="inlineStr">
        <is>
          <t>Open</t>
        </is>
      </c>
      <c r="G32" s="2" t="inlineStr">
        <is>
          <t>Owner</t>
        </is>
      </c>
    </row>
    <row r="33">
      <c r="A33" s="11" t="n">
        <v>30</v>
      </c>
      <c r="B33" s="2" t="inlineStr">
        <is>
          <t>Checker cards (76 library cases)</t>
        </is>
      </c>
      <c r="C33" s="2" t="inlineStr">
        <is>
          <t>Cards of 2026-10-06: 46 NO_ADVERSE_FOUND, 18 INSUFFICIENT, 10 NOT_CHECKABLE_HIGH_COURT, 2 ADVERSE_SIGNAL. 'No adverse found' is silence in what we hold, not a finding about the law. The two warnings are Mohan Lal v State of Punjab (2018; overruled by the 5-judge Mukesh Singh, 2020) and Siddharam Satlingappa Mhetre (2011; overruled in part by the 5-judge Sushila Aggarwal, 2020). Recourse has no curated currency record for either.</t>
        </is>
      </c>
      <c r="D33" s="2" t="inlineStr">
        <is>
          <t>cards/README.md; cards/currency_cards.json; sheet 'Library cards (76)'</t>
        </is>
      </c>
      <c r="E33" s="2" t="inlineStr">
        <is>
          <t>Certain</t>
        </is>
      </c>
      <c r="F33" s="2" t="inlineStr">
        <is>
          <t>Open: two open flags on the weekly sheet</t>
        </is>
      </c>
      <c r="G33" s="2" t="inlineStr">
        <is>
          <t>Mr. Advocate</t>
        </is>
      </c>
    </row>
    <row r="34">
      <c r="A34" s="11" t="n">
        <v>31</v>
      </c>
      <c r="B34" s="2" t="inlineStr">
        <is>
          <t>Checker cards (76 library cases)</t>
        </is>
      </c>
      <c r="C34" s="2" t="inlineStr">
        <is>
          <t>Mohan Lal (2018) IS in the collection and in the index (as 'MOHANLAL versus THE STATE OF PUNJAB', doc_key b2018_9_1006_1023, index doc 1000250931), so its own passages, which state the rejected view, can appear in a search. An earlier note of 2026-10-08 in the ruler files said it was missing; that was an error (a search had split the name in two) and has been corrected.</t>
        </is>
      </c>
      <c r="D34" s="2" t="inlineStr">
        <is>
          <t>sheet 'Known cases'; review_data/ruler/README.md</t>
        </is>
      </c>
      <c r="E34" s="2" t="inlineStr">
        <is>
          <t>Certain</t>
        </is>
      </c>
      <c r="F34" s="2" t="inlineStr">
        <is>
          <t>Corrected 2026-10-08</t>
        </is>
      </c>
      <c r="G34" s="2" t="inlineStr"/>
    </row>
    <row r="35">
      <c r="A35" s="11" t="n">
        <v>32</v>
      </c>
      <c r="B35" s="2" t="inlineStr">
        <is>
          <t>Register sweep</t>
        </is>
      </c>
      <c r="C35" s="2" t="inlineStr">
        <is>
          <t>The sweep reads later judgments of three or more judges for overruling sentences and law-report tags. Run from 2016 (1,514 judgments): 127 tag and 63 sentence proposals. Widened to 2000 on 2026-10-08 (3,406 judgments): 42 more proposals (41 sentence, 1 tag). 329 proposals in all, 232 open and not already in the register, none read by anyone. Proposals only: nothing enters the register until a person confirms it.</t>
        </is>
      </c>
      <c r="D35" s="2" t="inlineStr">
        <is>
          <t>goodlaw/data/register/proposals.json; sheet 'Sweep proposals'</t>
        </is>
      </c>
      <c r="E35" s="2" t="inlineStr">
        <is>
          <t>Certain</t>
        </is>
      </c>
      <c r="F35" s="2" t="inlineStr">
        <is>
          <t>Open</t>
        </is>
      </c>
      <c r="G35" s="2" t="inlineStr">
        <is>
          <t>Mr. Advocate (20 a week)</t>
        </is>
      </c>
    </row>
    <row r="36">
      <c r="A36" s="11" t="n">
        <v>33</v>
      </c>
      <c r="B36" s="2" t="inlineStr">
        <is>
          <t>Register sweep</t>
        </is>
      </c>
      <c r="C36" s="2" t="inlineStr">
        <is>
          <t>The sweep found NEITHER Prabha Shankar Dubey NOR Krishna Janardhan Bhat, because the later courts did not write 'overruled' or 'not good law'. Jadeja (2010): the 'substantial compliance' view introduced in Joseph Fernandez and Prabha Shankar Dubey 'is neither borne out from the language of sub-section (1) of Section 50 nor it is in consonance with the dictum laid down in Baldev Singh's case'. Rangappa (2010): 'the impugned observations in Krishna Janardhan Bhat (supra) may not be correct. However, this does not in any way cast doubt on the correctness of the decision in that case'. So Krishna Janardhan Bhat is partly doubted, not overruled. The sweep sees explicit overruling words only.</t>
        </is>
      </c>
      <c r="D36" s="2" t="inlineStr">
        <is>
          <t>REGISTER.md; texts of Jadeja (corpus id 29975) and Rangappa (29368)</t>
        </is>
      </c>
      <c r="E36" s="2" t="inlineStr">
        <is>
          <t>Certain</t>
        </is>
      </c>
      <c r="F36" s="2" t="inlineStr">
        <is>
          <t>Open: widening the wording needs a precision test on a labelled sample first</t>
        </is>
      </c>
      <c r="G36" s="2" t="inlineStr">
        <is>
          <t>Claude, with Mr. Advocate's list of such cases</t>
        </is>
      </c>
    </row>
    <row r="37">
      <c r="A37" s="11" t="n">
        <v>34</v>
      </c>
      <c r="B37" s="2" t="inlineStr">
        <is>
          <t>Currency pass (first review pool)</t>
        </is>
      </c>
      <c r="C37" s="2" t="inlineStr">
        <is>
          <t>On the 199 passages of the first review pool the register held 6 of the 10 known-stale cases (not Prabha Shankar Dubey, Rajesh Sharma, Dashrath Rupsingh Rathod, Krishna Janardhan Bhat), flagged none of the stale passages in the pool (because those cases are not in it), and wrongly flagged none of the 13 known-settled cases. Stale passages in a version's top 5: A 1, B 0, C 0, E 2, F 0, M 1, S 2 (too few to rank versions). Five passages in the pool come from the two stale cases (consensus 'Misleading').</t>
        </is>
      </c>
      <c r="D37" s="2" t="inlineStr">
        <is>
          <t>review_results/2026-10-08_currency_pass_first_pool/; sheet 'Currency pass'</t>
        </is>
      </c>
      <c r="E37" s="2" t="inlineStr">
        <is>
          <t>Certain</t>
        </is>
      </c>
      <c r="F37" s="2" t="inlineStr">
        <is>
          <t>Recorded; to be repeated on the pools of the 30 real questions</t>
        </is>
      </c>
      <c r="G37" s="2" t="inlineStr"/>
    </row>
    <row r="38">
      <c r="A38" s="11" t="n">
        <v>35</v>
      </c>
      <c r="B38" s="2" t="inlineStr">
        <is>
          <t>Index and collection</t>
        </is>
      </c>
      <c r="C38" s="2" t="inlineStr">
        <is>
          <t>The index holds 10,509 criminal-law judgments (236,814 passages). About 33,000 civil and tax judgments were filtered out. By decade: 1,237 before 1990; 4,640 in 1990-2009; 2,375 in 2010-16; 2,257 from 2017. Only 93 judgments mention the new codes (BNS, BNSS, BSA): the index speaks IPC and CrPC while users now speak BNS and BNSS. The search's section boost ignores which code a section number belongs to.</t>
        </is>
      </c>
      <c r="D38" s="2" t="inlineStr">
        <is>
          <t>review_data/ruler/PLAN_30_REAL_QUESTIONS.md; sci_index.py (section_numbers, has_section)</t>
        </is>
      </c>
      <c r="E38" s="2" t="inlineStr">
        <is>
          <t>Certain</t>
        </is>
      </c>
      <c r="F38" s="2" t="inlineStr">
        <is>
          <t>Open: test translating through Recourse's concordance before searching</t>
        </is>
      </c>
      <c r="G38" s="2" t="inlineStr"/>
    </row>
    <row r="39">
      <c r="A39" s="11" t="n">
        <v>36</v>
      </c>
      <c r="B39" s="2" t="inlineStr">
        <is>
          <t>Index and collection</t>
        </is>
      </c>
      <c r="C39" s="2" t="inlineStr">
        <is>
          <t>Cases Recourse relies on that the search cannot show: Satender Kumar Antil v CBI (2026 INSC 115) is not in the collection (2026 coverage is partial: 214 judgments, INSC numbers up to 847); Youth Bar Association (2016) and Usha Chakraborty (2023) have no title match; Shreya Singhal (2015), Hiral Harsora (2016), Satish Chander Ahuja (2020) and S. Vanitha (2020) are in the collection but excluded by the index's criminal-law filter. Rakhi Mitra and Viraj Chetan Shah are High Court decisions.</t>
        </is>
      </c>
      <c r="D39" s="2" t="inlineStr">
        <is>
          <t>sheet 'Index gaps'; review_data/ruler/topics_v2.json</t>
        </is>
      </c>
      <c r="E39" s="2" t="inlineStr">
        <is>
          <t>Certain</t>
        </is>
      </c>
      <c r="F39" s="2" t="inlineStr">
        <is>
          <t>Open</t>
        </is>
      </c>
      <c r="G39" s="2" t="inlineStr"/>
    </row>
    <row r="40">
      <c r="A40" s="11" t="n">
        <v>37</v>
      </c>
      <c r="B40" s="2" t="inlineStr">
        <is>
          <t>Ruler and plan</t>
        </is>
      </c>
      <c r="C40" s="2" t="inlineStr">
        <is>
          <t>The ruler (16 topics, 32 active questions, 8 sealed) and the plan for 30 real questions are recorded in review_data/ruler/ (README.md, PLAN_30_REAL_QUESTIONS.md). Its answer key is Recourse's hand-verified excerpts plus this project's own picks: not lawyer-checked and biased toward famous, settled cases.</t>
        </is>
      </c>
      <c r="D40" s="2" t="inlineStr">
        <is>
          <t>review_data/ruler/</t>
        </is>
      </c>
      <c r="E40" s="2" t="inlineStr">
        <is>
          <t>Certain</t>
        </is>
      </c>
      <c r="F40" s="2" t="inlineStr">
        <is>
          <t>In progress</t>
        </is>
      </c>
      <c r="G40" s="2" t="inlineStr"/>
    </row>
  </sheetData>
  <autoFilter ref="A3:G40"/>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7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2" customWidth="1" min="3" max="3"/>
    <col width="12" customWidth="1" min="4" max="4"/>
    <col width="16" customWidth="1" min="5" max="5"/>
    <col width="44" customWidth="1" min="6" max="6"/>
    <col width="24" customWidth="1" min="7" max="7"/>
    <col width="16" customWidth="1" min="8" max="8"/>
    <col width="32" customWidth="1" min="9" max="9"/>
    <col width="16" customWidth="1" min="10" max="10"/>
    <col width="44" customWidth="1" min="11" max="11"/>
    <col width="16" customWidth="1" min="12" max="12"/>
    <col width="30" customWidth="1" min="13" max="13"/>
    <col width="16" customWidth="1" min="14" max="14"/>
    <col width="16" customWidth="1" min="15" max="15"/>
    <col width="16" customWidth="1" min="16" max="16"/>
    <col width="16" customWidth="1" min="17" max="17"/>
    <col width="50" customWidth="1" min="18" max="18"/>
    <col width="36" customWidth="1" min="19" max="19"/>
    <col width="16" customWidth="1" min="20" max="20"/>
    <col width="24" customWidth="1" min="21" max="21"/>
    <col width="16" customWidth="1" min="22" max="22"/>
    <col width="16" customWidth="1" min="23" max="23"/>
    <col width="28" customWidth="1" min="24" max="24"/>
    <col width="16" customWidth="1" min="25" max="25"/>
    <col width="16" customWidth="1" min="26" max="26"/>
    <col width="16" customWidth="1" min="27" max="27"/>
    <col width="16" customWidth="1" min="28" max="28"/>
    <col width="48" customWidth="1" min="29" max="29"/>
    <col width="70" customWidth="1" min="30" max="30"/>
    <col width="50" customWidth="1" min="31" max="31"/>
    <col width="30" customWidth="1" min="32" max="32"/>
  </cols>
  <sheetData>
    <row r="1">
      <c r="A1" s="10" t="inlineStr">
        <is>
          <t>ID</t>
        </is>
      </c>
      <c r="B1" s="10" t="inlineStr">
        <is>
          <t>List</t>
        </is>
      </c>
      <c r="C1" s="10" t="inlineStr">
        <is>
          <t>Source code</t>
        </is>
      </c>
      <c r="D1" s="10" t="inlineStr">
        <is>
          <t>Trust</t>
        </is>
      </c>
      <c r="E1" s="10" t="inlineStr">
        <is>
          <t>Treatment</t>
        </is>
      </c>
      <c r="F1" s="10" t="inlineStr">
        <is>
          <t>Overruled case</t>
        </is>
      </c>
      <c r="G1" s="10" t="inlineStr">
        <is>
          <t>Other names</t>
        </is>
      </c>
      <c r="H1" s="10" t="inlineStr">
        <is>
          <t>Overruled court</t>
        </is>
      </c>
      <c r="I1" s="10" t="inlineStr">
        <is>
          <t>Overruled citations</t>
        </is>
      </c>
      <c r="J1" s="10" t="inlineStr">
        <is>
          <t>Overruled year</t>
        </is>
      </c>
      <c r="K1" s="10" t="inlineStr">
        <is>
          <t>Overruling case</t>
        </is>
      </c>
      <c r="L1" s="10" t="inlineStr">
        <is>
          <t>Overruling court</t>
        </is>
      </c>
      <c r="M1" s="10" t="inlineStr">
        <is>
          <t>Overruling citations</t>
        </is>
      </c>
      <c r="N1" s="10" t="inlineStr">
        <is>
          <t>Overruling year</t>
        </is>
      </c>
      <c r="O1" s="10" t="inlineStr">
        <is>
          <t>Overruling date</t>
        </is>
      </c>
      <c r="P1" s="10" t="inlineStr">
        <is>
          <t>Bench</t>
        </is>
      </c>
      <c r="Q1" s="10" t="inlineStr">
        <is>
          <t>Overruling judgment key</t>
        </is>
      </c>
      <c r="R1" s="10" t="inlineStr">
        <is>
          <t>Court's own words</t>
        </is>
      </c>
      <c r="S1" s="10" t="inlineStr">
        <is>
          <t>Scope</t>
        </is>
      </c>
      <c r="T1" s="10" t="inlineStr">
        <is>
          <t>Same parties (appeal)</t>
        </is>
      </c>
      <c r="U1" s="10" t="inlineStr">
        <is>
          <t>Flags</t>
        </is>
      </c>
      <c r="V1" s="10" t="inlineStr">
        <is>
          <t>Evidence kind</t>
        </is>
      </c>
      <c r="W1" s="10" t="inlineStr">
        <is>
          <t>Evidence basis</t>
        </is>
      </c>
      <c r="X1" s="10" t="inlineStr">
        <is>
          <t>Checked by</t>
        </is>
      </c>
      <c r="Y1" s="10" t="inlineStr">
        <is>
          <t>List verdict</t>
        </is>
      </c>
      <c r="Z1" s="10" t="inlineStr">
        <is>
          <t>Verified by</t>
        </is>
      </c>
      <c r="AA1" s="10" t="inlineStr">
        <is>
          <t>Verified on</t>
        </is>
      </c>
      <c r="AB1" s="10" t="inlineStr">
        <is>
          <t>Recognised how</t>
        </is>
      </c>
      <c r="AC1" s="10" t="inlineStr">
        <is>
          <t>Chain (overruling case later overruled)</t>
        </is>
      </c>
      <c r="AD1" s="10" t="inlineStr">
        <is>
          <t>Wording the site would use</t>
        </is>
      </c>
      <c r="AE1" s="10" t="inlineStr">
        <is>
          <t>Note</t>
        </is>
      </c>
      <c r="AF1" s="10" t="inlineStr">
        <is>
          <t>Last event</t>
        </is>
      </c>
    </row>
    <row r="2">
      <c r="A2" s="11" t="inlineStr">
        <is>
          <t>L1-0001</t>
        </is>
      </c>
      <c r="B2" s="11" t="inlineStr">
        <is>
          <t>List 1 (to ~2015)</t>
        </is>
      </c>
      <c r="C2" s="11" t="inlineStr">
        <is>
          <t>list1</t>
        </is>
      </c>
      <c r="D2" s="11" t="inlineStr">
        <is>
          <t>verified</t>
        </is>
      </c>
      <c r="E2" s="11" t="inlineStr">
        <is>
          <t>reversed_on_appeal</t>
        </is>
      </c>
      <c r="F2" s="2" t="inlineStr">
        <is>
          <t>National Building Material Supply v. Jai Jai Ram Manohar Lal</t>
        </is>
      </c>
      <c r="G2" s="11" t="inlineStr"/>
      <c r="H2" s="11" t="inlineStr">
        <is>
          <t>Allahabad</t>
        </is>
      </c>
      <c r="I2" s="2" t="inlineStr">
        <is>
          <t>AIR 1965 All 586</t>
        </is>
      </c>
      <c r="J2" s="11" t="n">
        <v>1965</v>
      </c>
      <c r="K2" s="2" t="inlineStr">
        <is>
          <t>Jai Jai Ram Manohar Lal v. National Building Material Supply Gurgaon</t>
        </is>
      </c>
      <c r="L2" s="11" t="inlineStr">
        <is>
          <t>Supreme Court</t>
        </is>
      </c>
      <c r="M2" s="2" t="inlineStr">
        <is>
          <t>AIR 1969 SC 1267; (1969) 1 SCC 869; (1970) 1 SCR 22</t>
        </is>
      </c>
      <c r="N2" s="11" t="n">
        <v>1969</v>
      </c>
      <c r="O2" s="11" t="n"/>
      <c r="P2" s="11" t="n"/>
      <c r="Q2" s="11" t="n"/>
      <c r="R2" s="2" t="n"/>
      <c r="S2" s="2" t="n"/>
      <c r="T2" s="11" t="inlineStr">
        <is>
          <t>yes</t>
        </is>
      </c>
      <c r="U2" s="11" t="inlineStr"/>
      <c r="V2" s="11" t="inlineStr">
        <is>
          <t>outside_list</t>
        </is>
      </c>
      <c r="W2" s="11" t="n"/>
      <c r="X2" s="11" t="n"/>
      <c r="Y2" s="11" t="n"/>
      <c r="Z2" s="11" t="inlineStr">
        <is>
          <t>Mr. Advocate</t>
        </is>
      </c>
      <c r="AA2" s="11" t="inlineStr">
        <is>
          <t>2026-10-07</t>
        </is>
      </c>
      <c r="AB2" s="11" t="inlineStr">
        <is>
          <t>name_year</t>
        </is>
      </c>
      <c r="AC2" s="2" t="inlineStr"/>
      <c r="AD2" s="2" t="inlineStr">
        <is>
          <t>National Building Material Supply v. Jai Jai Ram Manohar Lal (1965) was reversed on appeal by the Supreme Court in Jai Jai Ram Manohar Lal v. National Building Material Supply Gurgaon (1969).</t>
        </is>
      </c>
      <c r="AE2" s="2" t="n"/>
      <c r="AF2" s="11" t="inlineStr">
        <is>
          <t>created from list 1</t>
        </is>
      </c>
    </row>
    <row r="3">
      <c r="A3" s="11" t="inlineStr">
        <is>
          <t>L1-0002</t>
        </is>
      </c>
      <c r="B3" s="11" t="inlineStr">
        <is>
          <t>List 1 (to ~2015)</t>
        </is>
      </c>
      <c r="C3" s="11" t="inlineStr">
        <is>
          <t>list1</t>
        </is>
      </c>
      <c r="D3" s="11" t="inlineStr">
        <is>
          <t>verified</t>
        </is>
      </c>
      <c r="E3" s="11" t="inlineStr">
        <is>
          <t>overruled</t>
        </is>
      </c>
      <c r="F3" s="2" t="inlineStr">
        <is>
          <t>Seth Brothers v. The Commissioner of Income Tax and Others</t>
        </is>
      </c>
      <c r="G3" s="11" t="inlineStr"/>
      <c r="H3" s="11" t="inlineStr">
        <is>
          <t>Allahabad</t>
        </is>
      </c>
      <c r="I3" s="2" t="inlineStr">
        <is>
          <t>AIR 1965 All 487</t>
        </is>
      </c>
      <c r="J3" s="11" t="n">
        <v>1965</v>
      </c>
      <c r="K3" s="2" t="inlineStr">
        <is>
          <t>Income Tax Officer, Special Investigation Circle-B, Meerut v. Seth Brothers and Others</t>
        </is>
      </c>
      <c r="L3" s="11" t="inlineStr">
        <is>
          <t>Supreme Court</t>
        </is>
      </c>
      <c r="M3" s="2" t="inlineStr">
        <is>
          <t>AIR 1970 SC 292; (1969) 74 ITR 836; (1969) 2 SCC 324; (1970) 1 SCR 601</t>
        </is>
      </c>
      <c r="N3" s="11" t="n">
        <v>1970</v>
      </c>
      <c r="O3" s="11" t="n"/>
      <c r="P3" s="11" t="n"/>
      <c r="Q3" s="11" t="n"/>
      <c r="R3" s="2" t="n"/>
      <c r="S3" s="2" t="n"/>
      <c r="T3" s="11" t="inlineStr"/>
      <c r="U3" s="11" t="inlineStr"/>
      <c r="V3" s="11" t="inlineStr">
        <is>
          <t>outside_list</t>
        </is>
      </c>
      <c r="W3" s="11" t="n"/>
      <c r="X3" s="11" t="n"/>
      <c r="Y3" s="11" t="n"/>
      <c r="Z3" s="11" t="inlineStr">
        <is>
          <t>Mr. Advocate</t>
        </is>
      </c>
      <c r="AA3" s="11" t="inlineStr">
        <is>
          <t>2026-10-07</t>
        </is>
      </c>
      <c r="AB3" s="11" t="inlineStr">
        <is>
          <t>name_year</t>
        </is>
      </c>
      <c r="AC3" s="2" t="inlineStr"/>
      <c r="AD3" s="2" t="inlineStr">
        <is>
          <t>Seth Brothers v. The Commissioner of Income Tax and Others (1965) was overruled by Income Tax Officer, Special Investigation Circle-B, Meerut v. Seth Brothers and Others (1970).</t>
        </is>
      </c>
      <c r="AE3" s="2" t="n"/>
      <c r="AF3" s="11" t="inlineStr">
        <is>
          <t>created from list 1</t>
        </is>
      </c>
    </row>
    <row r="4">
      <c r="A4" s="11" t="inlineStr">
        <is>
          <t>L1-0003</t>
        </is>
      </c>
      <c r="B4" s="11" t="inlineStr">
        <is>
          <t>List 1 (to ~2015)</t>
        </is>
      </c>
      <c r="C4" s="11" t="inlineStr">
        <is>
          <t>list1</t>
        </is>
      </c>
      <c r="D4" s="11" t="inlineStr">
        <is>
          <t>verified</t>
        </is>
      </c>
      <c r="E4" s="11" t="inlineStr">
        <is>
          <t>overruled</t>
        </is>
      </c>
      <c r="F4" s="2" t="inlineStr">
        <is>
          <t>Raja Ram Verma v. State of U.P. and Others</t>
        </is>
      </c>
      <c r="G4" s="11" t="inlineStr"/>
      <c r="H4" s="11" t="inlineStr">
        <is>
          <t>Allahabad</t>
        </is>
      </c>
      <c r="I4" s="2" t="inlineStr">
        <is>
          <t>AIR 1968 All 369; (1968) 38 AWR 409</t>
        </is>
      </c>
      <c r="J4" s="11" t="n">
        <v>1968</v>
      </c>
      <c r="K4" s="2" t="inlineStr">
        <is>
          <t>State of Uttar Pradesh v. Arshad Ali Khan</t>
        </is>
      </c>
      <c r="L4" s="11" t="inlineStr">
        <is>
          <t>Supreme Court</t>
        </is>
      </c>
      <c r="M4" s="2" t="inlineStr">
        <is>
          <t>AIR 1982 SC 780(1); (1981) 4 SCC 144</t>
        </is>
      </c>
      <c r="N4" s="11" t="n">
        <v>1982</v>
      </c>
      <c r="O4" s="11" t="n"/>
      <c r="P4" s="11" t="n"/>
      <c r="Q4" s="11" t="n"/>
      <c r="R4" s="2" t="n"/>
      <c r="S4" s="2" t="n"/>
      <c r="T4" s="11" t="inlineStr"/>
      <c r="U4" s="11" t="inlineStr"/>
      <c r="V4" s="11" t="inlineStr">
        <is>
          <t>outside_list</t>
        </is>
      </c>
      <c r="W4" s="11" t="n"/>
      <c r="X4" s="11" t="n"/>
      <c r="Y4" s="11" t="n"/>
      <c r="Z4" s="11" t="inlineStr">
        <is>
          <t>Mr. Advocate</t>
        </is>
      </c>
      <c r="AA4" s="11" t="inlineStr">
        <is>
          <t>2026-10-07</t>
        </is>
      </c>
      <c r="AB4" s="11" t="inlineStr">
        <is>
          <t>name_year</t>
        </is>
      </c>
      <c r="AC4" s="2" t="inlineStr"/>
      <c r="AD4" s="2" t="inlineStr">
        <is>
          <t>Raja Ram Verma v. State of U.P. and Others (1968) was overruled by State of Uttar Pradesh v. Arshad Ali Khan (1982).</t>
        </is>
      </c>
      <c r="AE4" s="2" t="n"/>
      <c r="AF4" s="11" t="inlineStr">
        <is>
          <t>created from list 1</t>
        </is>
      </c>
    </row>
    <row r="5">
      <c r="A5" s="11" t="inlineStr">
        <is>
          <t>L1-0004</t>
        </is>
      </c>
      <c r="B5" s="11" t="inlineStr">
        <is>
          <t>List 1 (to ~2015)</t>
        </is>
      </c>
      <c r="C5" s="11" t="inlineStr">
        <is>
          <t>list1</t>
        </is>
      </c>
      <c r="D5" s="11" t="inlineStr">
        <is>
          <t>verified</t>
        </is>
      </c>
      <c r="E5" s="11" t="inlineStr">
        <is>
          <t>reversed_on_appeal</t>
        </is>
      </c>
      <c r="F5" s="2" t="inlineStr">
        <is>
          <t>The Agricultural and Industrial Syndicate Ltd., Saharanpur v. The State of U.P. and Others</t>
        </is>
      </c>
      <c r="G5" s="11" t="inlineStr"/>
      <c r="H5" s="11" t="inlineStr">
        <is>
          <t>Allahabad</t>
        </is>
      </c>
      <c r="I5" s="2" t="inlineStr">
        <is>
          <t>AIR 1971 All 134; (1970) 40 AWR 753; (1971) RD 29</t>
        </is>
      </c>
      <c r="J5" s="11" t="n">
        <v>1971</v>
      </c>
      <c r="K5" s="2" t="inlineStr">
        <is>
          <t>The Agricultural and Industrial Syndicate Ltd. v. State of U.P. and Others</t>
        </is>
      </c>
      <c r="L5" s="11" t="inlineStr">
        <is>
          <t>Supreme Court</t>
        </is>
      </c>
      <c r="M5" s="2" t="inlineStr">
        <is>
          <t>AIR 1974 SC 1920; (1974) 2 SCC 27; (1974) 1 SCR 253</t>
        </is>
      </c>
      <c r="N5" s="11" t="n">
        <v>1974</v>
      </c>
      <c r="O5" s="11" t="n"/>
      <c r="P5" s="11" t="n"/>
      <c r="Q5" s="11" t="n"/>
      <c r="R5" s="2" t="n"/>
      <c r="S5" s="2" t="n"/>
      <c r="T5" s="11" t="inlineStr">
        <is>
          <t>yes</t>
        </is>
      </c>
      <c r="U5" s="11" t="inlineStr"/>
      <c r="V5" s="11" t="inlineStr">
        <is>
          <t>outside_list</t>
        </is>
      </c>
      <c r="W5" s="11" t="n"/>
      <c r="X5" s="11" t="n"/>
      <c r="Y5" s="11" t="n"/>
      <c r="Z5" s="11" t="inlineStr">
        <is>
          <t>Mr. Advocate</t>
        </is>
      </c>
      <c r="AA5" s="11" t="inlineStr">
        <is>
          <t>2026-10-07</t>
        </is>
      </c>
      <c r="AB5" s="11" t="inlineStr">
        <is>
          <t>name_year</t>
        </is>
      </c>
      <c r="AC5" s="2" t="inlineStr"/>
      <c r="AD5" s="2" t="inlineStr">
        <is>
          <t>The Agricultural and Industrial Syndicate Ltd., Saharanpur v. The State of U.P. and Others (1971) was reversed on appeal by the Supreme Court in The Agricultural and Industrial Syndicate Ltd. v. State of U.P. and Others (1974).</t>
        </is>
      </c>
      <c r="AE5" s="2" t="n"/>
      <c r="AF5" s="11" t="inlineStr">
        <is>
          <t>created from list 1</t>
        </is>
      </c>
    </row>
    <row r="6">
      <c r="A6" s="11" t="inlineStr">
        <is>
          <t>L1-0005</t>
        </is>
      </c>
      <c r="B6" s="11" t="inlineStr">
        <is>
          <t>List 1 (to ~2015)</t>
        </is>
      </c>
      <c r="C6" s="11" t="inlineStr">
        <is>
          <t>list1</t>
        </is>
      </c>
      <c r="D6" s="11" t="inlineStr">
        <is>
          <t>verified</t>
        </is>
      </c>
      <c r="E6" s="11" t="inlineStr">
        <is>
          <t>overruled</t>
        </is>
      </c>
      <c r="F6" s="2" t="inlineStr">
        <is>
          <t>Elgin Mills Co. Ltd. v. Income Tax Officer, “A” Ward</t>
        </is>
      </c>
      <c r="G6" s="11" t="inlineStr"/>
      <c r="H6" s="11" t="inlineStr">
        <is>
          <t>unknown</t>
        </is>
      </c>
      <c r="I6" s="2" t="inlineStr">
        <is>
          <t>(1978) 111 ITR 287</t>
        </is>
      </c>
      <c r="J6" s="11" t="n">
        <v>1978</v>
      </c>
      <c r="K6" s="2" t="inlineStr">
        <is>
          <t>Indian and Eastern Newspaper Society, New Delhi v. Commissioner of Income Tax, New Delhi</t>
        </is>
      </c>
      <c r="L6" s="11" t="inlineStr">
        <is>
          <t>Supreme Court</t>
        </is>
      </c>
      <c r="M6" s="2" t="inlineStr">
        <is>
          <t>AIR 1979 SC 1960; (1979) 12 CTR 190; (1979) 119 ITR 996; (1979) 4 SCC 248; (1980) 1 SCR 442; (1979) 2 TAXMAN 197; (1980) 12 UJ 305</t>
        </is>
      </c>
      <c r="N6" s="11" t="n">
        <v>1979</v>
      </c>
      <c r="O6" s="11" t="n"/>
      <c r="P6" s="11" t="n"/>
      <c r="Q6" s="11" t="n"/>
      <c r="R6" s="2" t="n"/>
      <c r="S6" s="2" t="n"/>
      <c r="T6" s="11" t="inlineStr"/>
      <c r="U6" s="11" t="inlineStr"/>
      <c r="V6" s="11" t="inlineStr">
        <is>
          <t>outside_list</t>
        </is>
      </c>
      <c r="W6" s="11" t="n"/>
      <c r="X6" s="11" t="n"/>
      <c r="Y6" s="11" t="n"/>
      <c r="Z6" s="11" t="inlineStr">
        <is>
          <t>Mr. Advocate</t>
        </is>
      </c>
      <c r="AA6" s="11" t="inlineStr">
        <is>
          <t>2026-10-07</t>
        </is>
      </c>
      <c r="AB6" s="11" t="inlineStr">
        <is>
          <t>name_year</t>
        </is>
      </c>
      <c r="AC6" s="2" t="inlineStr"/>
      <c r="AD6" s="2" t="inlineStr">
        <is>
          <t>Elgin Mills Co. Ltd. v. Income Tax Officer, “A” Ward (1978) was overruled by Indian and Eastern Newspaper Society, New Delhi v. Commissioner of Income Tax, New Delhi (1979).</t>
        </is>
      </c>
      <c r="AE6" s="2" t="n"/>
      <c r="AF6" s="11" t="inlineStr">
        <is>
          <t>created from list 1</t>
        </is>
      </c>
    </row>
    <row r="7">
      <c r="A7" s="11" t="inlineStr">
        <is>
          <t>L1-0006</t>
        </is>
      </c>
      <c r="B7" s="11" t="inlineStr">
        <is>
          <t>List 1 (to ~2015)</t>
        </is>
      </c>
      <c r="C7" s="11" t="inlineStr">
        <is>
          <t>list1</t>
        </is>
      </c>
      <c r="D7" s="11" t="inlineStr">
        <is>
          <t>verified</t>
        </is>
      </c>
      <c r="E7" s="11" t="inlineStr">
        <is>
          <t>overruled</t>
        </is>
      </c>
      <c r="F7" s="2" t="inlineStr">
        <is>
          <t>Textile Traders Syndicate Ltd., Bulandshahr v. The State of U.P. and Others</t>
        </is>
      </c>
      <c r="G7" s="11" t="inlineStr"/>
      <c r="H7" s="11" t="inlineStr">
        <is>
          <t>Allahabad</t>
        </is>
      </c>
      <c r="I7" s="2" t="inlineStr">
        <is>
          <t>AIR 1960 All 405</t>
        </is>
      </c>
      <c r="J7" s="11" t="n">
        <v>1960</v>
      </c>
      <c r="K7" s="2" t="inlineStr">
        <is>
          <t>Union of India (UOI) v. A.L. Rallia Ram</t>
        </is>
      </c>
      <c r="L7" s="11" t="inlineStr">
        <is>
          <t>Supreme Court</t>
        </is>
      </c>
      <c r="M7" s="2" t="inlineStr">
        <is>
          <t>AIR 1963 SC 1685; (1964) 3 SCR 164</t>
        </is>
      </c>
      <c r="N7" s="11" t="n">
        <v>1963</v>
      </c>
      <c r="O7" s="11" t="n"/>
      <c r="P7" s="11" t="n"/>
      <c r="Q7" s="11" t="n"/>
      <c r="R7" s="2" t="n"/>
      <c r="S7" s="2" t="n"/>
      <c r="T7" s="11" t="inlineStr"/>
      <c r="U7" s="11" t="inlineStr"/>
      <c r="V7" s="11" t="inlineStr">
        <is>
          <t>outside_list</t>
        </is>
      </c>
      <c r="W7" s="11" t="n"/>
      <c r="X7" s="11" t="n"/>
      <c r="Y7" s="11" t="n"/>
      <c r="Z7" s="11" t="inlineStr">
        <is>
          <t>Mr. Advocate</t>
        </is>
      </c>
      <c r="AA7" s="11" t="inlineStr">
        <is>
          <t>2026-10-07</t>
        </is>
      </c>
      <c r="AB7" s="11" t="inlineStr">
        <is>
          <t>name_year</t>
        </is>
      </c>
      <c r="AC7" s="2" t="inlineStr"/>
      <c r="AD7" s="2" t="inlineStr">
        <is>
          <t>Textile Traders Syndicate Ltd., Bulandshahr v. The State of U.P. and Others (1960) was overruled by Union of India (UOI) v. A.L. Rallia Ram (1963).</t>
        </is>
      </c>
      <c r="AE7" s="2" t="n"/>
      <c r="AF7" s="11" t="inlineStr">
        <is>
          <t>created from list 1</t>
        </is>
      </c>
    </row>
    <row r="8">
      <c r="A8" s="11" t="inlineStr">
        <is>
          <t>L1-0007</t>
        </is>
      </c>
      <c r="B8" s="11" t="inlineStr">
        <is>
          <t>List 1 (to ~2015)</t>
        </is>
      </c>
      <c r="C8" s="11" t="inlineStr">
        <is>
          <t>list1</t>
        </is>
      </c>
      <c r="D8" s="11" t="inlineStr">
        <is>
          <t>verified</t>
        </is>
      </c>
      <c r="E8" s="11" t="inlineStr">
        <is>
          <t>reversed_on_appeal</t>
        </is>
      </c>
      <c r="F8" s="2" t="inlineStr">
        <is>
          <t>Commissioner of Sales Tax, U.P., Lucknow v. Parson Tools and Plants, Kanpur</t>
        </is>
      </c>
      <c r="G8" s="11" t="inlineStr"/>
      <c r="H8" s="11" t="inlineStr">
        <is>
          <t>Allahabad</t>
        </is>
      </c>
      <c r="I8" s="2" t="inlineStr">
        <is>
          <t>AIR 1970 All 428; (1971) 27 STC 73</t>
        </is>
      </c>
      <c r="J8" s="11" t="n">
        <v>1970</v>
      </c>
      <c r="K8" s="2" t="inlineStr">
        <is>
          <t>The Commissioner of Sales Tax, U.P., Lucknow v. Parson Tools and Plants, Kanpur</t>
        </is>
      </c>
      <c r="L8" s="11" t="inlineStr">
        <is>
          <t>Supreme Court</t>
        </is>
      </c>
      <c r="M8" s="2" t="inlineStr">
        <is>
          <t>AIR 1975 SC 1039; (1975) 4 SCC 22; (1975) 3 SCR 743; (1975) 35 STC 413; (1975) 7 UJ 267</t>
        </is>
      </c>
      <c r="N8" s="11" t="n">
        <v>1975</v>
      </c>
      <c r="O8" s="11" t="n"/>
      <c r="P8" s="11" t="n"/>
      <c r="Q8" s="11" t="n"/>
      <c r="R8" s="2" t="n"/>
      <c r="S8" s="2" t="n"/>
      <c r="T8" s="11" t="inlineStr">
        <is>
          <t>yes</t>
        </is>
      </c>
      <c r="U8" s="11" t="inlineStr"/>
      <c r="V8" s="11" t="inlineStr">
        <is>
          <t>outside_list</t>
        </is>
      </c>
      <c r="W8" s="11" t="n"/>
      <c r="X8" s="11" t="n"/>
      <c r="Y8" s="11" t="n"/>
      <c r="Z8" s="11" t="inlineStr">
        <is>
          <t>Mr. Advocate</t>
        </is>
      </c>
      <c r="AA8" s="11" t="inlineStr">
        <is>
          <t>2026-10-07</t>
        </is>
      </c>
      <c r="AB8" s="11" t="inlineStr">
        <is>
          <t>name_year</t>
        </is>
      </c>
      <c r="AC8" s="2" t="inlineStr"/>
      <c r="AD8" s="2" t="inlineStr">
        <is>
          <t>Commissioner of Sales Tax, U.P., Lucknow v. Parson Tools and Plants, Kanpur (1970) was reversed on appeal by the Supreme Court in The Commissioner of Sales Tax, U.P., Lucknow v. Parson Tools and Plants, Kanpur (1975).</t>
        </is>
      </c>
      <c r="AE8" s="2" t="n"/>
      <c r="AF8" s="11" t="inlineStr">
        <is>
          <t>created from list 1</t>
        </is>
      </c>
    </row>
    <row r="9">
      <c r="A9" s="11" t="inlineStr">
        <is>
          <t>L1-0008</t>
        </is>
      </c>
      <c r="B9" s="11" t="inlineStr">
        <is>
          <t>List 1 (to ~2015)</t>
        </is>
      </c>
      <c r="C9" s="11" t="inlineStr">
        <is>
          <t>list1</t>
        </is>
      </c>
      <c r="D9" s="11" t="inlineStr">
        <is>
          <t>verified</t>
        </is>
      </c>
      <c r="E9" s="11" t="inlineStr">
        <is>
          <t>overruled</t>
        </is>
      </c>
      <c r="F9" s="2" t="inlineStr">
        <is>
          <t>The Regional Manager, State Bank of India, Region-III v. The Presiding Officer, Central Government, Industrial Tribunal-cum-Labour Court and Mahatma Mishra</t>
        </is>
      </c>
      <c r="G9" s="11" t="inlineStr"/>
      <c r="H9" s="11" t="inlineStr">
        <is>
          <t>unknown</t>
        </is>
      </c>
      <c r="I9" s="2" t="inlineStr">
        <is>
          <t>(2007) 1 LLJ 249</t>
        </is>
      </c>
      <c r="J9" s="11" t="n">
        <v>2007</v>
      </c>
      <c r="K9" s="2" t="inlineStr">
        <is>
          <t>Regional Manager, SBI v. Mahatma Mishra</t>
        </is>
      </c>
      <c r="L9" s="11" t="inlineStr">
        <is>
          <t>Supreme Court</t>
        </is>
      </c>
      <c r="M9" s="2" t="inlineStr">
        <is>
          <t>(2007) 112 FLR 338; (2006) 10 JT 179; (2006) 11 SCALE 258; (2006) 13 SCC 727; (2006) 8 SCR 216 Supp</t>
        </is>
      </c>
      <c r="N9" s="11" t="n">
        <v>2006</v>
      </c>
      <c r="O9" s="11" t="n"/>
      <c r="P9" s="11" t="n"/>
      <c r="Q9" s="11" t="n"/>
      <c r="R9" s="2" t="n"/>
      <c r="S9" s="2" t="n"/>
      <c r="T9" s="11" t="inlineStr"/>
      <c r="U9" s="11" t="inlineStr"/>
      <c r="V9" s="11" t="inlineStr">
        <is>
          <t>outside_list</t>
        </is>
      </c>
      <c r="W9" s="11" t="n"/>
      <c r="X9" s="11" t="n"/>
      <c r="Y9" s="11" t="n"/>
      <c r="Z9" s="11" t="inlineStr">
        <is>
          <t>Mr. Advocate</t>
        </is>
      </c>
      <c r="AA9" s="11" t="inlineStr">
        <is>
          <t>2026-10-07</t>
        </is>
      </c>
      <c r="AB9" s="11" t="inlineStr">
        <is>
          <t>name_year</t>
        </is>
      </c>
      <c r="AC9" s="2" t="inlineStr"/>
      <c r="AD9" s="2" t="inlineStr">
        <is>
          <t>The Regional Manager, State Bank of India, Region-III v. The Presiding Officer, Central Government, Industrial Tribunal-cum-Labour Court and Mahatma Mishra (2007) was overruled by Regional Manager, SBI v. Mahatma Mishra (2006).</t>
        </is>
      </c>
      <c r="AE9" s="2" t="n"/>
      <c r="AF9" s="11" t="inlineStr">
        <is>
          <t>created from list 1</t>
        </is>
      </c>
    </row>
    <row r="10">
      <c r="A10" s="11" t="inlineStr">
        <is>
          <t>L1-0009</t>
        </is>
      </c>
      <c r="B10" s="11" t="inlineStr">
        <is>
          <t>List 1 (to ~2015)</t>
        </is>
      </c>
      <c r="C10" s="11" t="inlineStr">
        <is>
          <t>list1</t>
        </is>
      </c>
      <c r="D10" s="11" t="inlineStr">
        <is>
          <t>verified</t>
        </is>
      </c>
      <c r="E10" s="11" t="inlineStr">
        <is>
          <t>reversed_on_appeal</t>
        </is>
      </c>
      <c r="F10" s="2" t="inlineStr">
        <is>
          <t>Addl. Commissioner of Income Tax v. Farrukhabad Cold Storage (P.) Ltd.</t>
        </is>
      </c>
      <c r="G10" s="11" t="inlineStr"/>
      <c r="H10" s="11" t="inlineStr">
        <is>
          <t>unknown</t>
        </is>
      </c>
      <c r="I10" s="2" t="inlineStr">
        <is>
          <t>(1977) 107 ITR 816</t>
        </is>
      </c>
      <c r="J10" s="11" t="n">
        <v>1977</v>
      </c>
      <c r="K10" s="2" t="inlineStr">
        <is>
          <t>Delhi Cold Storage Pvt. Ltd. v. Commissioner of Income Tax, New Delhi</t>
        </is>
      </c>
      <c r="L10" s="11" t="inlineStr">
        <is>
          <t>Supreme Court</t>
        </is>
      </c>
      <c r="M10" s="2" t="inlineStr">
        <is>
          <t>AIR 1991 SC 2125; (1991) 72 CompCas 723; (1991) 3 CompLJ 131; (1991) 98 CTR 165; (1991) 191 ITR 656; (1991) 3 JT 449; (1991) 2 SCALE 346; (1991) 4 SCC 239; (1991) 3 SCR 589</t>
        </is>
      </c>
      <c r="N10" s="11" t="n">
        <v>1991</v>
      </c>
      <c r="O10" s="11" t="n"/>
      <c r="P10" s="11" t="n"/>
      <c r="Q10" s="11" t="n"/>
      <c r="R10" s="2" t="n"/>
      <c r="S10" s="2" t="n"/>
      <c r="T10" s="11" t="inlineStr">
        <is>
          <t>yes</t>
        </is>
      </c>
      <c r="U10" s="11" t="inlineStr"/>
      <c r="V10" s="11" t="inlineStr">
        <is>
          <t>outside_list</t>
        </is>
      </c>
      <c r="W10" s="11" t="n"/>
      <c r="X10" s="11" t="n"/>
      <c r="Y10" s="11" t="n"/>
      <c r="Z10" s="11" t="inlineStr">
        <is>
          <t>Mr. Advocate</t>
        </is>
      </c>
      <c r="AA10" s="11" t="inlineStr">
        <is>
          <t>2026-10-07</t>
        </is>
      </c>
      <c r="AB10" s="11" t="inlineStr">
        <is>
          <t>name_year</t>
        </is>
      </c>
      <c r="AC10" s="2" t="inlineStr"/>
      <c r="AD10" s="2" t="inlineStr">
        <is>
          <t>Addl. Commissioner of Income Tax v. Farrukhabad Cold Storage (P.) Ltd. (1977) was reversed on appeal by the Supreme Court in Delhi Cold Storage Pvt. Ltd. v. Commissioner of Income Tax, New Delhi (1991).</t>
        </is>
      </c>
      <c r="AE10" s="2" t="n"/>
      <c r="AF10" s="11" t="inlineStr">
        <is>
          <t>created from list 1</t>
        </is>
      </c>
    </row>
    <row r="11">
      <c r="A11" s="11" t="inlineStr">
        <is>
          <t>L1-0010</t>
        </is>
      </c>
      <c r="B11" s="11" t="inlineStr">
        <is>
          <t>List 1 (to ~2015)</t>
        </is>
      </c>
      <c r="C11" s="11" t="inlineStr">
        <is>
          <t>list1</t>
        </is>
      </c>
      <c r="D11" s="11" t="inlineStr">
        <is>
          <t>verified</t>
        </is>
      </c>
      <c r="E11" s="11" t="inlineStr">
        <is>
          <t>overruled</t>
        </is>
      </c>
      <c r="F11" s="2" t="inlineStr">
        <is>
          <t>Mani Kant Gupta and Others v. State of U.P. and Another</t>
        </is>
      </c>
      <c r="G11" s="11" t="inlineStr"/>
      <c r="H11" s="11" t="inlineStr">
        <is>
          <t>unknown</t>
        </is>
      </c>
      <c r="I11" s="2" t="inlineStr">
        <is>
          <t>(2003) 3 AWC 1728</t>
        </is>
      </c>
      <c r="J11" s="11" t="n">
        <v>2003</v>
      </c>
      <c r="K11" s="2" t="inlineStr">
        <is>
          <t>Indu Shekhar Singh and Others v. State of U.P. and Others</t>
        </is>
      </c>
      <c r="L11" s="11" t="inlineStr">
        <is>
          <t>Supreme Court</t>
        </is>
      </c>
      <c r="M11" s="2" t="inlineStr">
        <is>
          <t>AIR 2006 SC 2432; (2006) 5 JT 260; (2006) 5 SCALE 107; (2006) 8 SCC 129; (2006) SCC(L&amp;S) 1916; (2006) 1 SCR 497 Supp; (2006) AIRSCW 2582; (2006) 5 Supreme 12</t>
        </is>
      </c>
      <c r="N11" s="11" t="n">
        <v>2006</v>
      </c>
      <c r="O11" s="11" t="n"/>
      <c r="P11" s="11" t="n"/>
      <c r="Q11" s="11" t="n"/>
      <c r="R11" s="2" t="n"/>
      <c r="S11" s="2" t="n"/>
      <c r="T11" s="11" t="inlineStr"/>
      <c r="U11" s="11" t="inlineStr"/>
      <c r="V11" s="11" t="inlineStr">
        <is>
          <t>outside_list</t>
        </is>
      </c>
      <c r="W11" s="11" t="n"/>
      <c r="X11" s="11" t="n"/>
      <c r="Y11" s="11" t="n"/>
      <c r="Z11" s="11" t="inlineStr">
        <is>
          <t>Mr. Advocate</t>
        </is>
      </c>
      <c r="AA11" s="11" t="inlineStr">
        <is>
          <t>2026-10-07</t>
        </is>
      </c>
      <c r="AB11" s="11" t="inlineStr">
        <is>
          <t>name_year</t>
        </is>
      </c>
      <c r="AC11" s="2" t="inlineStr"/>
      <c r="AD11" s="2" t="inlineStr">
        <is>
          <t>Mani Kant Gupta and Others v. State of U.P. and Another (2003) was overruled by Indu Shekhar Singh and Others v. State of U.P. and Others (2006).</t>
        </is>
      </c>
      <c r="AE11" s="2" t="n"/>
      <c r="AF11" s="11" t="inlineStr">
        <is>
          <t>created from list 1</t>
        </is>
      </c>
    </row>
    <row r="12">
      <c r="A12" s="11" t="inlineStr">
        <is>
          <t>L1-0011</t>
        </is>
      </c>
      <c r="B12" s="11" t="inlineStr">
        <is>
          <t>List 1 (to ~2015)</t>
        </is>
      </c>
      <c r="C12" s="11" t="inlineStr">
        <is>
          <t>list1</t>
        </is>
      </c>
      <c r="D12" s="11" t="inlineStr">
        <is>
          <t>verified</t>
        </is>
      </c>
      <c r="E12" s="11" t="inlineStr">
        <is>
          <t>overruled</t>
        </is>
      </c>
      <c r="F12" s="2" t="inlineStr">
        <is>
          <t>Banshidhar v. Smt. Dhirjadbari and Others</t>
        </is>
      </c>
      <c r="G12" s="11" t="inlineStr"/>
      <c r="H12" s="11" t="inlineStr">
        <is>
          <t>Allahabad</t>
        </is>
      </c>
      <c r="I12" s="2" t="inlineStr">
        <is>
          <t>AIR 1971 All 526; (1971) 41 AWR 440; (1971) RD 371</t>
        </is>
      </c>
      <c r="J12" s="11" t="n">
        <v>1971</v>
      </c>
      <c r="K12" s="2" t="inlineStr">
        <is>
          <t>Deo Nandan and Another v. Ram Saran and Others</t>
        </is>
      </c>
      <c r="L12" s="11" t="inlineStr">
        <is>
          <t>Supreme Court</t>
        </is>
      </c>
      <c r="M12" s="2" t="inlineStr">
        <is>
          <t>AIR 2000 SC 1192; (2000) 3 JT 108; (2000) 2 SCALE 326; (2000) 3 SCC 440; (2000) 2 SCR 209; (2000) 2 UJ 847; (2000) AIRSCW 853; (2000) 2 Supreme 203</t>
        </is>
      </c>
      <c r="N12" s="11" t="n">
        <v>2000</v>
      </c>
      <c r="O12" s="11" t="n"/>
      <c r="P12" s="11" t="n"/>
      <c r="Q12" s="11" t="n"/>
      <c r="R12" s="2" t="n"/>
      <c r="S12" s="2" t="n"/>
      <c r="T12" s="11" t="inlineStr"/>
      <c r="U12" s="11" t="inlineStr"/>
      <c r="V12" s="11" t="inlineStr">
        <is>
          <t>outside_list</t>
        </is>
      </c>
      <c r="W12" s="11" t="n"/>
      <c r="X12" s="11" t="n"/>
      <c r="Y12" s="11" t="n"/>
      <c r="Z12" s="11" t="inlineStr">
        <is>
          <t>Mr. Advocate</t>
        </is>
      </c>
      <c r="AA12" s="11" t="inlineStr">
        <is>
          <t>2026-10-07</t>
        </is>
      </c>
      <c r="AB12" s="11" t="inlineStr">
        <is>
          <t>name_year</t>
        </is>
      </c>
      <c r="AC12" s="2" t="inlineStr"/>
      <c r="AD12" s="2" t="inlineStr">
        <is>
          <t>Banshidhar v. Smt. Dhirjadbari and Others (1971) was overruled by Deo Nandan and Another v. Ram Saran and Others (2000).</t>
        </is>
      </c>
      <c r="AE12" s="2" t="n"/>
      <c r="AF12" s="11" t="inlineStr">
        <is>
          <t>created from list 1</t>
        </is>
      </c>
    </row>
    <row r="13">
      <c r="A13" s="11" t="inlineStr">
        <is>
          <t>L1-0012</t>
        </is>
      </c>
      <c r="B13" s="11" t="inlineStr">
        <is>
          <t>List 1 (to ~2015)</t>
        </is>
      </c>
      <c r="C13" s="11" t="inlineStr">
        <is>
          <t>list1</t>
        </is>
      </c>
      <c r="D13" s="11" t="inlineStr">
        <is>
          <t>verified</t>
        </is>
      </c>
      <c r="E13" s="11" t="inlineStr">
        <is>
          <t>overruled</t>
        </is>
      </c>
      <c r="F13" s="2" t="inlineStr">
        <is>
          <t>Ram Sahai and Another v. Ram Sewak</t>
        </is>
      </c>
      <c r="G13" s="11" t="inlineStr"/>
      <c r="H13" s="11" t="inlineStr">
        <is>
          <t>Allahabad</t>
        </is>
      </c>
      <c r="I13" s="2" t="inlineStr">
        <is>
          <t>AIR 1956 All 321; (1955) 25 AWR 724</t>
        </is>
      </c>
      <c r="J13" s="11" t="n">
        <v>1956</v>
      </c>
      <c r="K13" s="2" t="inlineStr">
        <is>
          <t>Garikapatti Veeraya v. N. Subbiah Choudhury</t>
        </is>
      </c>
      <c r="L13" s="11" t="inlineStr">
        <is>
          <t>Supreme Court</t>
        </is>
      </c>
      <c r="M13" s="2" t="inlineStr">
        <is>
          <t>AIR 1957 SC 540; (1957) 1 SCR 488</t>
        </is>
      </c>
      <c r="N13" s="11" t="n">
        <v>1957</v>
      </c>
      <c r="O13" s="11" t="n"/>
      <c r="P13" s="11" t="n"/>
      <c r="Q13" s="11" t="n"/>
      <c r="R13" s="2" t="n"/>
      <c r="S13" s="2" t="n"/>
      <c r="T13" s="11" t="inlineStr"/>
      <c r="U13" s="11" t="inlineStr"/>
      <c r="V13" s="11" t="inlineStr">
        <is>
          <t>outside_list</t>
        </is>
      </c>
      <c r="W13" s="11" t="n"/>
      <c r="X13" s="11" t="n"/>
      <c r="Y13" s="11" t="n"/>
      <c r="Z13" s="11" t="inlineStr">
        <is>
          <t>Mr. Advocate</t>
        </is>
      </c>
      <c r="AA13" s="11" t="inlineStr">
        <is>
          <t>2026-10-07</t>
        </is>
      </c>
      <c r="AB13" s="11" t="inlineStr">
        <is>
          <t>name_year</t>
        </is>
      </c>
      <c r="AC13" s="2" t="inlineStr"/>
      <c r="AD13" s="2" t="inlineStr">
        <is>
          <t>Ram Sahai and Another v. Ram Sewak (1956) was overruled by Garikapatti Veeraya v. N. Subbiah Choudhury (1957).</t>
        </is>
      </c>
      <c r="AE13" s="2" t="n"/>
      <c r="AF13" s="11" t="inlineStr">
        <is>
          <t>created from list 1</t>
        </is>
      </c>
    </row>
    <row r="14">
      <c r="A14" s="11" t="inlineStr">
        <is>
          <t>L1-0013</t>
        </is>
      </c>
      <c r="B14" s="11" t="inlineStr">
        <is>
          <t>List 1 (to ~2015)</t>
        </is>
      </c>
      <c r="C14" s="11" t="inlineStr">
        <is>
          <t>list1</t>
        </is>
      </c>
      <c r="D14" s="11" t="inlineStr">
        <is>
          <t>verified</t>
        </is>
      </c>
      <c r="E14" s="11" t="inlineStr">
        <is>
          <t>overruled</t>
        </is>
      </c>
      <c r="F14" s="2" t="inlineStr">
        <is>
          <t>Phool Wati and Others v. Gur Sahai</t>
        </is>
      </c>
      <c r="G14" s="11" t="inlineStr"/>
      <c r="H14" s="11" t="inlineStr">
        <is>
          <t>Allahabad</t>
        </is>
      </c>
      <c r="I14" s="2" t="inlineStr">
        <is>
          <t>AIR 1975 All 262; (1975) AWC 197</t>
        </is>
      </c>
      <c r="J14" s="11" t="n">
        <v>1975</v>
      </c>
      <c r="K14" s="2" t="inlineStr">
        <is>
          <t>Vishesh Kumar v. Shanti Prasad</t>
        </is>
      </c>
      <c r="L14" s="11" t="inlineStr">
        <is>
          <t>Supreme Court</t>
        </is>
      </c>
      <c r="M14" s="2" t="inlineStr">
        <is>
          <t>AIR 1980 SC 892; (1980) 2 SCC 378; (1980) 3 SCR 32</t>
        </is>
      </c>
      <c r="N14" s="11" t="n">
        <v>1980</v>
      </c>
      <c r="O14" s="11" t="n"/>
      <c r="P14" s="11" t="n"/>
      <c r="Q14" s="11" t="n"/>
      <c r="R14" s="2" t="n"/>
      <c r="S14" s="2" t="n"/>
      <c r="T14" s="11" t="inlineStr"/>
      <c r="U14" s="11" t="inlineStr"/>
      <c r="V14" s="11" t="inlineStr">
        <is>
          <t>outside_list</t>
        </is>
      </c>
      <c r="W14" s="11" t="n"/>
      <c r="X14" s="11" t="n"/>
      <c r="Y14" s="11" t="n"/>
      <c r="Z14" s="11" t="inlineStr">
        <is>
          <t>Mr. Advocate</t>
        </is>
      </c>
      <c r="AA14" s="11" t="inlineStr">
        <is>
          <t>2026-10-07</t>
        </is>
      </c>
      <c r="AB14" s="11" t="inlineStr">
        <is>
          <t>name_year</t>
        </is>
      </c>
      <c r="AC14" s="2" t="inlineStr"/>
      <c r="AD14" s="2" t="inlineStr">
        <is>
          <t>Phool Wati and Others v. Gur Sahai (1975) was overruled by Vishesh Kumar v. Shanti Prasad (1980).</t>
        </is>
      </c>
      <c r="AE14" s="2" t="n"/>
      <c r="AF14" s="11" t="inlineStr">
        <is>
          <t>created from list 1</t>
        </is>
      </c>
    </row>
    <row r="15">
      <c r="A15" s="11" t="inlineStr">
        <is>
          <t>L1-0014</t>
        </is>
      </c>
      <c r="B15" s="11" t="inlineStr">
        <is>
          <t>List 1 (to ~2015)</t>
        </is>
      </c>
      <c r="C15" s="11" t="inlineStr">
        <is>
          <t>list1</t>
        </is>
      </c>
      <c r="D15" s="11" t="inlineStr">
        <is>
          <t>verified</t>
        </is>
      </c>
      <c r="E15" s="11" t="inlineStr">
        <is>
          <t>overruled</t>
        </is>
      </c>
      <c r="F15" s="2" t="inlineStr">
        <is>
          <t>Smt. J.K. Kalra v. Regional Inspectress of Girls Schools, Meerut and others</t>
        </is>
      </c>
      <c r="G15" s="11" t="inlineStr"/>
      <c r="H15" s="11" t="inlineStr">
        <is>
          <t>Allahabad</t>
        </is>
      </c>
      <c r="I15" s="2" t="inlineStr">
        <is>
          <t>AIR 1997 All 44; (1996) 3 UPLBEC 1691</t>
        </is>
      </c>
      <c r="J15" s="11" t="n">
        <v>1997</v>
      </c>
      <c r="K15" s="2" t="inlineStr">
        <is>
          <t>C/M. St. John Inter College v. Girdhari Singh and Others</t>
        </is>
      </c>
      <c r="L15" s="11" t="inlineStr">
        <is>
          <t>Supreme Court</t>
        </is>
      </c>
      <c r="M15" s="2" t="inlineStr">
        <is>
          <t>AIR 2001 SC 1891; (2001) 89 FLR 613; (2001) 4 JT 355; (2001) 3 SCALE 161; (2001) 4 SCC 296; (2001) SCC(L&amp;S) 695; (2001) 2 SCR 945</t>
        </is>
      </c>
      <c r="N15" s="11" t="n">
        <v>2001</v>
      </c>
      <c r="O15" s="11" t="n"/>
      <c r="P15" s="11" t="n"/>
      <c r="Q15" s="11" t="n"/>
      <c r="R15" s="2" t="n"/>
      <c r="S15" s="2" t="n"/>
      <c r="T15" s="11" t="inlineStr"/>
      <c r="U15" s="11" t="inlineStr"/>
      <c r="V15" s="11" t="inlineStr">
        <is>
          <t>outside_list</t>
        </is>
      </c>
      <c r="W15" s="11" t="n"/>
      <c r="X15" s="11" t="n"/>
      <c r="Y15" s="11" t="n"/>
      <c r="Z15" s="11" t="inlineStr">
        <is>
          <t>Mr. Advocate</t>
        </is>
      </c>
      <c r="AA15" s="11" t="inlineStr">
        <is>
          <t>2026-10-07</t>
        </is>
      </c>
      <c r="AB15" s="11" t="inlineStr">
        <is>
          <t>name_year</t>
        </is>
      </c>
      <c r="AC15" s="2" t="inlineStr"/>
      <c r="AD15" s="2" t="inlineStr">
        <is>
          <t>Smt. J.K. Kalra v. Regional Inspectress of Girls Schools, Meerut and others (1997) was overruled by C/M. St. John Inter College v. Girdhari Singh and Others (2001).</t>
        </is>
      </c>
      <c r="AE15" s="2" t="n"/>
      <c r="AF15" s="11" t="inlineStr">
        <is>
          <t>created from list 1</t>
        </is>
      </c>
    </row>
    <row r="16">
      <c r="A16" s="11" t="inlineStr">
        <is>
          <t>L1-0015</t>
        </is>
      </c>
      <c r="B16" s="11" t="inlineStr">
        <is>
          <t>List 1 (to ~2015)</t>
        </is>
      </c>
      <c r="C16" s="11" t="inlineStr">
        <is>
          <t>list1</t>
        </is>
      </c>
      <c r="D16" s="11" t="inlineStr">
        <is>
          <t>verified</t>
        </is>
      </c>
      <c r="E16" s="11" t="inlineStr">
        <is>
          <t>overruled</t>
        </is>
      </c>
      <c r="F16" s="2" t="inlineStr">
        <is>
          <t>Hanuman Pershad Gupta and Another v. Hira Lal</t>
        </is>
      </c>
      <c r="G16" s="11" t="inlineStr"/>
      <c r="H16" s="11" t="inlineStr">
        <is>
          <t>Allahabad</t>
        </is>
      </c>
      <c r="I16" s="2" t="inlineStr">
        <is>
          <t>AIR 1967 All 135; (1967) CriLJ 305</t>
        </is>
      </c>
      <c r="J16" s="11" t="n">
        <v>1967</v>
      </c>
      <c r="K16" s="2" t="inlineStr">
        <is>
          <t>H.P. Gupta v. Hiralal</t>
        </is>
      </c>
      <c r="L16" s="11" t="inlineStr">
        <is>
          <t>Supreme Court</t>
        </is>
      </c>
      <c r="M16" s="2" t="inlineStr">
        <is>
          <t>AIR 1971 SC 206; (1970) 40 CompCas 1058; (1971) CriLJ 262; (1970) 1 SCC 437; (1970) 1 SCC(Cri) 190; (1970) 3 SCR 788</t>
        </is>
      </c>
      <c r="N16" s="11" t="n">
        <v>1971</v>
      </c>
      <c r="O16" s="11" t="n"/>
      <c r="P16" s="11" t="n"/>
      <c r="Q16" s="11" t="n"/>
      <c r="R16" s="2" t="n"/>
      <c r="S16" s="2" t="n"/>
      <c r="T16" s="11" t="inlineStr"/>
      <c r="U16" s="11" t="inlineStr"/>
      <c r="V16" s="11" t="inlineStr">
        <is>
          <t>outside_list</t>
        </is>
      </c>
      <c r="W16" s="11" t="n"/>
      <c r="X16" s="11" t="n"/>
      <c r="Y16" s="11" t="n"/>
      <c r="Z16" s="11" t="inlineStr">
        <is>
          <t>Mr. Advocate</t>
        </is>
      </c>
      <c r="AA16" s="11" t="inlineStr">
        <is>
          <t>2026-10-07</t>
        </is>
      </c>
      <c r="AB16" s="11" t="inlineStr">
        <is>
          <t>name_year</t>
        </is>
      </c>
      <c r="AC16" s="2" t="inlineStr"/>
      <c r="AD16" s="2" t="inlineStr">
        <is>
          <t>Hanuman Pershad Gupta and Another v. Hira Lal (1967) was overruled by H.P. Gupta v. Hiralal (1971).</t>
        </is>
      </c>
      <c r="AE16" s="2" t="n"/>
      <c r="AF16" s="11" t="inlineStr">
        <is>
          <t>created from list 1</t>
        </is>
      </c>
    </row>
    <row r="17">
      <c r="A17" s="11" t="inlineStr">
        <is>
          <t>L1-0016</t>
        </is>
      </c>
      <c r="B17" s="11" t="inlineStr">
        <is>
          <t>List 1 (to ~2015)</t>
        </is>
      </c>
      <c r="C17" s="11" t="inlineStr">
        <is>
          <t>list1</t>
        </is>
      </c>
      <c r="D17" s="11" t="inlineStr">
        <is>
          <t>verified</t>
        </is>
      </c>
      <c r="E17" s="11" t="inlineStr">
        <is>
          <t>overruled</t>
        </is>
      </c>
      <c r="F17" s="2" t="inlineStr">
        <is>
          <t>Swarup Sing v. The Election Tribunal, Municipal Board, Aligarh and Others</t>
        </is>
      </c>
      <c r="G17" s="11" t="inlineStr"/>
      <c r="H17" s="11" t="inlineStr">
        <is>
          <t>Allahabad</t>
        </is>
      </c>
      <c r="I17" s="2" t="inlineStr">
        <is>
          <t>AIR 1960 All 66</t>
        </is>
      </c>
      <c r="J17" s="11" t="n">
        <v>1960</v>
      </c>
      <c r="K17" s="2" t="inlineStr">
        <is>
          <t>M. Narayana Rao v. G. Venkata Reddy and Others</t>
        </is>
      </c>
      <c r="L17" s="11" t="inlineStr">
        <is>
          <t>Supreme Court</t>
        </is>
      </c>
      <c r="M17" s="2" t="inlineStr">
        <is>
          <t>AIR 1977 SC 208; (1977) 1 SCC 771; (1977) 1 SCR 490</t>
        </is>
      </c>
      <c r="N17" s="11" t="n">
        <v>1977</v>
      </c>
      <c r="O17" s="11" t="n"/>
      <c r="P17" s="11" t="n"/>
      <c r="Q17" s="11" t="n"/>
      <c r="R17" s="2" t="n"/>
      <c r="S17" s="2" t="n"/>
      <c r="T17" s="11" t="inlineStr"/>
      <c r="U17" s="11" t="inlineStr"/>
      <c r="V17" s="11" t="inlineStr">
        <is>
          <t>outside_list</t>
        </is>
      </c>
      <c r="W17" s="11" t="n"/>
      <c r="X17" s="11" t="n"/>
      <c r="Y17" s="11" t="n"/>
      <c r="Z17" s="11" t="inlineStr">
        <is>
          <t>Mr. Advocate</t>
        </is>
      </c>
      <c r="AA17" s="11" t="inlineStr">
        <is>
          <t>2026-10-07</t>
        </is>
      </c>
      <c r="AB17" s="11" t="inlineStr">
        <is>
          <t>name_year</t>
        </is>
      </c>
      <c r="AC17" s="2" t="inlineStr"/>
      <c r="AD17" s="2" t="inlineStr">
        <is>
          <t>Swarup Sing v. The Election Tribunal, Municipal Board, Aligarh and Others (1960) was overruled by M. Narayana Rao v. G. Venkata Reddy and Others (1977).</t>
        </is>
      </c>
      <c r="AE17" s="2" t="n"/>
      <c r="AF17" s="11" t="inlineStr">
        <is>
          <t>created from list 1</t>
        </is>
      </c>
    </row>
    <row r="18">
      <c r="A18" s="11" t="inlineStr">
        <is>
          <t>L1-0017</t>
        </is>
      </c>
      <c r="B18" s="11" t="inlineStr">
        <is>
          <t>List 1 (to ~2015)</t>
        </is>
      </c>
      <c r="C18" s="11" t="inlineStr">
        <is>
          <t>list1</t>
        </is>
      </c>
      <c r="D18" s="11" t="inlineStr">
        <is>
          <t>verified</t>
        </is>
      </c>
      <c r="E18" s="11" t="inlineStr">
        <is>
          <t>reversed_on_appeal</t>
        </is>
      </c>
      <c r="F18" s="2" t="inlineStr">
        <is>
          <t>Agarwal and Co. v. Commissioner of Income Tax</t>
        </is>
      </c>
      <c r="G18" s="11" t="inlineStr"/>
      <c r="H18" s="11" t="inlineStr">
        <is>
          <t>unknown</t>
        </is>
      </c>
      <c r="I18" s="2" t="inlineStr">
        <is>
          <t>(1968) 68 ITR 673</t>
        </is>
      </c>
      <c r="J18" s="11" t="n">
        <v>1968</v>
      </c>
      <c r="K18" s="2" t="inlineStr">
        <is>
          <t>Agarwal and Co. v. Commissioner of Income Tax, Uttar Pradesh</t>
        </is>
      </c>
      <c r="L18" s="11" t="inlineStr">
        <is>
          <t>Supreme Court</t>
        </is>
      </c>
      <c r="M18" s="2" t="inlineStr">
        <is>
          <t>AIR 1970 SC 1343; (1970) 77 ITR 10; (1970) 2 SCC 48; (1971) 1 SCR 237</t>
        </is>
      </c>
      <c r="N18" s="11" t="n">
        <v>1970</v>
      </c>
      <c r="O18" s="11" t="n"/>
      <c r="P18" s="11" t="n"/>
      <c r="Q18" s="11" t="n"/>
      <c r="R18" s="2" t="n"/>
      <c r="S18" s="2" t="n"/>
      <c r="T18" s="11" t="inlineStr">
        <is>
          <t>yes</t>
        </is>
      </c>
      <c r="U18" s="11" t="inlineStr">
        <is>
          <t>needs_citation_or_year</t>
        </is>
      </c>
      <c r="V18" s="11" t="inlineStr">
        <is>
          <t>outside_list</t>
        </is>
      </c>
      <c r="W18" s="11" t="n"/>
      <c r="X18" s="11" t="n"/>
      <c r="Y18" s="11" t="n"/>
      <c r="Z18" s="11" t="inlineStr">
        <is>
          <t>Mr. Advocate</t>
        </is>
      </c>
      <c r="AA18" s="11" t="inlineStr">
        <is>
          <t>2026-10-07</t>
        </is>
      </c>
      <c r="AB18" s="11" t="inlineStr">
        <is>
          <t>none</t>
        </is>
      </c>
      <c r="AC18" s="2" t="inlineStr"/>
      <c r="AD18" s="2" t="inlineStr">
        <is>
          <t>Agarwal and Co. v. Commissioner of Income Tax (1968) was reversed on appeal by the Supreme Court in Agarwal and Co. v. Commissioner of Income Tax, Uttar Pradesh (1970).</t>
        </is>
      </c>
      <c r="AE18" s="2" t="n"/>
      <c r="AF18" s="11" t="inlineStr">
        <is>
          <t>created from list 1</t>
        </is>
      </c>
    </row>
    <row r="19">
      <c r="A19" s="11" t="inlineStr">
        <is>
          <t>L1-0018</t>
        </is>
      </c>
      <c r="B19" s="11" t="inlineStr">
        <is>
          <t>List 1 (to ~2015)</t>
        </is>
      </c>
      <c r="C19" s="11" t="inlineStr">
        <is>
          <t>list1</t>
        </is>
      </c>
      <c r="D19" s="11" t="inlineStr">
        <is>
          <t>verified</t>
        </is>
      </c>
      <c r="E19" s="11" t="inlineStr">
        <is>
          <t>reversed_on_appeal</t>
        </is>
      </c>
      <c r="F19" s="2" t="inlineStr">
        <is>
          <t>Smt. Vrinda Gujarati and others v. Bareilly Development Authority and others</t>
        </is>
      </c>
      <c r="G19" s="11" t="inlineStr"/>
      <c r="H19" s="11" t="inlineStr">
        <is>
          <t>Allahabad</t>
        </is>
      </c>
      <c r="I19" s="2" t="inlineStr">
        <is>
          <t>AIR 1997 All 107</t>
        </is>
      </c>
      <c r="J19" s="11" t="n">
        <v>1997</v>
      </c>
      <c r="K19" s="2" t="inlineStr">
        <is>
          <t>Bareilly Development Authority v. Vrinda Gujarati and Others</t>
        </is>
      </c>
      <c r="L19" s="11" t="inlineStr">
        <is>
          <t>Supreme Court</t>
        </is>
      </c>
      <c r="M19" s="2" t="inlineStr">
        <is>
          <t>AIR 2004 SC 1749; (2004) 1 CTC 785; (2004) 1 CTLJ 588; (2004) 3 JT 83; (2004) 2 SCALE 719; (2004) 4 SCC 606; (2004) 2 SCR 728; (2004) AIRSCW 3179; (2004) AIRSCW 1275; (2004) 4 Supreme 103</t>
        </is>
      </c>
      <c r="N19" s="11" t="n">
        <v>2004</v>
      </c>
      <c r="O19" s="11" t="n"/>
      <c r="P19" s="11" t="n"/>
      <c r="Q19" s="11" t="n"/>
      <c r="R19" s="2" t="n"/>
      <c r="S19" s="2" t="n"/>
      <c r="T19" s="11" t="inlineStr">
        <is>
          <t>yes</t>
        </is>
      </c>
      <c r="U19" s="11" t="inlineStr"/>
      <c r="V19" s="11" t="inlineStr">
        <is>
          <t>outside_list</t>
        </is>
      </c>
      <c r="W19" s="11" t="n"/>
      <c r="X19" s="11" t="n"/>
      <c r="Y19" s="11" t="n"/>
      <c r="Z19" s="11" t="inlineStr">
        <is>
          <t>Mr. Advocate</t>
        </is>
      </c>
      <c r="AA19" s="11" t="inlineStr">
        <is>
          <t>2026-10-07</t>
        </is>
      </c>
      <c r="AB19" s="11" t="inlineStr">
        <is>
          <t>name_year</t>
        </is>
      </c>
      <c r="AC19" s="2" t="inlineStr"/>
      <c r="AD19" s="2" t="inlineStr">
        <is>
          <t>Smt. Vrinda Gujarati and others v. Bareilly Development Authority and others (1997) was reversed on appeal by the Supreme Court in Bareilly Development Authority v. Vrinda Gujarati and Others (2004).</t>
        </is>
      </c>
      <c r="AE19" s="2" t="n"/>
      <c r="AF19" s="11" t="inlineStr">
        <is>
          <t>created from list 1</t>
        </is>
      </c>
    </row>
    <row r="20">
      <c r="A20" s="11" t="inlineStr">
        <is>
          <t>L1-0019</t>
        </is>
      </c>
      <c r="B20" s="11" t="inlineStr">
        <is>
          <t>List 1 (to ~2015)</t>
        </is>
      </c>
      <c r="C20" s="11" t="inlineStr">
        <is>
          <t>list1</t>
        </is>
      </c>
      <c r="D20" s="11" t="inlineStr">
        <is>
          <t>verified</t>
        </is>
      </c>
      <c r="E20" s="11" t="inlineStr">
        <is>
          <t>overruled</t>
        </is>
      </c>
      <c r="F20" s="2" t="inlineStr">
        <is>
          <t>Chitra Talkies v. Durga Dass Mehta</t>
        </is>
      </c>
      <c r="G20" s="11" t="inlineStr"/>
      <c r="H20" s="11" t="inlineStr">
        <is>
          <t>Allahabad</t>
        </is>
      </c>
      <c r="I20" s="2" t="inlineStr">
        <is>
          <t>AIR 1973 All 40</t>
        </is>
      </c>
      <c r="J20" s="11" t="n">
        <v>1973</v>
      </c>
      <c r="K20" s="2" t="inlineStr">
        <is>
          <t>Sultana Begum v. Prem Chand Jain</t>
        </is>
      </c>
      <c r="L20" s="11" t="inlineStr">
        <is>
          <t>Supreme Court</t>
        </is>
      </c>
      <c r="M20" s="2" t="inlineStr">
        <is>
          <t>(1996) 9 AD 469; AIR 1997 SC 1006; (1996) 11 JT 1; (1996) 9 SCALE 55; (1997) 1 SCC 373; (1996) 9 SCR 707 Supp; (1997) 1 UJ 227</t>
        </is>
      </c>
      <c r="N20" s="11" t="n">
        <v>1997</v>
      </c>
      <c r="O20" s="11" t="n"/>
      <c r="P20" s="11" t="n"/>
      <c r="Q20" s="11" t="n"/>
      <c r="R20" s="2" t="n"/>
      <c r="S20" s="2" t="n"/>
      <c r="T20" s="11" t="inlineStr"/>
      <c r="U20" s="11" t="inlineStr"/>
      <c r="V20" s="11" t="inlineStr">
        <is>
          <t>outside_list</t>
        </is>
      </c>
      <c r="W20" s="11" t="n"/>
      <c r="X20" s="11" t="n"/>
      <c r="Y20" s="11" t="n"/>
      <c r="Z20" s="11" t="inlineStr">
        <is>
          <t>Mr. Advocate</t>
        </is>
      </c>
      <c r="AA20" s="11" t="inlineStr">
        <is>
          <t>2026-10-07</t>
        </is>
      </c>
      <c r="AB20" s="11" t="inlineStr">
        <is>
          <t>name_year</t>
        </is>
      </c>
      <c r="AC20" s="2" t="inlineStr"/>
      <c r="AD20" s="2" t="inlineStr">
        <is>
          <t>Chitra Talkies v. Durga Dass Mehta (1973) was overruled by Sultana Begum v. Prem Chand Jain (1997).</t>
        </is>
      </c>
      <c r="AE20" s="2" t="n"/>
      <c r="AF20" s="11" t="inlineStr">
        <is>
          <t>created from list 1</t>
        </is>
      </c>
    </row>
    <row r="21">
      <c r="A21" s="11" t="inlineStr">
        <is>
          <t>L1-0020</t>
        </is>
      </c>
      <c r="B21" s="11" t="inlineStr">
        <is>
          <t>List 1 (to ~2015)</t>
        </is>
      </c>
      <c r="C21" s="11" t="inlineStr">
        <is>
          <t>list1</t>
        </is>
      </c>
      <c r="D21" s="11" t="inlineStr">
        <is>
          <t>verified</t>
        </is>
      </c>
      <c r="E21" s="11" t="inlineStr">
        <is>
          <t>reversed_on_appeal</t>
        </is>
      </c>
      <c r="F21" s="2" t="inlineStr">
        <is>
          <t>Maharaj Kumar Mahmud Hasan Khan v. Moti Lal Banker</t>
        </is>
      </c>
      <c r="G21" s="11" t="inlineStr"/>
      <c r="H21" s="11" t="inlineStr">
        <is>
          <t>Allahabad</t>
        </is>
      </c>
      <c r="I21" s="2" t="inlineStr">
        <is>
          <t>AIR 1961 All 1</t>
        </is>
      </c>
      <c r="J21" s="11" t="n">
        <v>1961</v>
      </c>
      <c r="K21" s="2" t="inlineStr">
        <is>
          <t>Moti Lal Banker v. Mahraj Kumar Mahmood Hasan Khan</t>
        </is>
      </c>
      <c r="L21" s="11" t="inlineStr">
        <is>
          <t>Supreme Court</t>
        </is>
      </c>
      <c r="M21" s="2" t="inlineStr">
        <is>
          <t>AIR 1968 SC 1087; (1968) 3 SCR 158</t>
        </is>
      </c>
      <c r="N21" s="11" t="n">
        <v>1968</v>
      </c>
      <c r="O21" s="11" t="n"/>
      <c r="P21" s="11" t="n"/>
      <c r="Q21" s="11" t="n"/>
      <c r="R21" s="2" t="n"/>
      <c r="S21" s="2" t="n"/>
      <c r="T21" s="11" t="inlineStr">
        <is>
          <t>yes</t>
        </is>
      </c>
      <c r="U21" s="11" t="inlineStr"/>
      <c r="V21" s="11" t="inlineStr">
        <is>
          <t>outside_list</t>
        </is>
      </c>
      <c r="W21" s="11" t="n"/>
      <c r="X21" s="11" t="n"/>
      <c r="Y21" s="11" t="n"/>
      <c r="Z21" s="11" t="inlineStr">
        <is>
          <t>Mr. Advocate</t>
        </is>
      </c>
      <c r="AA21" s="11" t="inlineStr">
        <is>
          <t>2026-10-07</t>
        </is>
      </c>
      <c r="AB21" s="11" t="inlineStr">
        <is>
          <t>name_year</t>
        </is>
      </c>
      <c r="AC21" s="2" t="inlineStr"/>
      <c r="AD21" s="2" t="inlineStr">
        <is>
          <t>Maharaj Kumar Mahmud Hasan Khan v. Moti Lal Banker (1961) was reversed on appeal by the Supreme Court in Moti Lal Banker v. Mahraj Kumar Mahmood Hasan Khan (1968).</t>
        </is>
      </c>
      <c r="AE21" s="2" t="n"/>
      <c r="AF21" s="11" t="inlineStr">
        <is>
          <t>created from list 1</t>
        </is>
      </c>
    </row>
    <row r="22">
      <c r="A22" s="11" t="inlineStr">
        <is>
          <t>L1-0021</t>
        </is>
      </c>
      <c r="B22" s="11" t="inlineStr">
        <is>
          <t>List 1 (to ~2015)</t>
        </is>
      </c>
      <c r="C22" s="11" t="inlineStr">
        <is>
          <t>list1</t>
        </is>
      </c>
      <c r="D22" s="11" t="inlineStr">
        <is>
          <t>verified</t>
        </is>
      </c>
      <c r="E22" s="11" t="inlineStr">
        <is>
          <t>overruled</t>
        </is>
      </c>
      <c r="F22" s="2" t="inlineStr">
        <is>
          <t>Ved Prakash Joshi v. Amrit Prakash and Others</t>
        </is>
      </c>
      <c r="G22" s="11" t="inlineStr"/>
      <c r="H22" s="11" t="inlineStr">
        <is>
          <t>unknown</t>
        </is>
      </c>
      <c r="I22" s="2" t="inlineStr">
        <is>
          <t>(2004) 101 FLR 837; (2004) 3 LLJ 54; (2004) 1 UPLBEC 972</t>
        </is>
      </c>
      <c r="J22" s="11" t="n">
        <v>2004</v>
      </c>
      <c r="K22" s="2" t="inlineStr">
        <is>
          <t>Director of Education, Uttaranchal and Others v. Ved Prakash Joshi and Others</t>
        </is>
      </c>
      <c r="L22" s="11" t="inlineStr">
        <is>
          <t>Supreme Court</t>
        </is>
      </c>
      <c r="M22" s="2" t="inlineStr">
        <is>
          <t>AIR 2005 SC 3200; (2005) CriLJ 3731; (2005) 6 JT 276; (2005) 6 SCC 98; (2005) SCC(L&amp;S) 812; (2005) 1 SCR 620 Supp; (2005) 3 SLJ 4</t>
        </is>
      </c>
      <c r="N22" s="11" t="n">
        <v>2005</v>
      </c>
      <c r="O22" s="11" t="n"/>
      <c r="P22" s="11" t="n"/>
      <c r="Q22" s="11" t="n"/>
      <c r="R22" s="2" t="n"/>
      <c r="S22" s="2" t="n"/>
      <c r="T22" s="11" t="inlineStr"/>
      <c r="U22" s="11" t="inlineStr"/>
      <c r="V22" s="11" t="inlineStr">
        <is>
          <t>outside_list</t>
        </is>
      </c>
      <c r="W22" s="11" t="n"/>
      <c r="X22" s="11" t="n"/>
      <c r="Y22" s="11" t="n"/>
      <c r="Z22" s="11" t="inlineStr">
        <is>
          <t>Mr. Advocate</t>
        </is>
      </c>
      <c r="AA22" s="11" t="inlineStr">
        <is>
          <t>2026-10-07</t>
        </is>
      </c>
      <c r="AB22" s="11" t="inlineStr">
        <is>
          <t>name_year</t>
        </is>
      </c>
      <c r="AC22" s="2" t="inlineStr"/>
      <c r="AD22" s="2" t="inlineStr">
        <is>
          <t>Ved Prakash Joshi v. Amrit Prakash and Others (2004) was overruled by Director of Education, Uttaranchal and Others v. Ved Prakash Joshi and Others (2005).</t>
        </is>
      </c>
      <c r="AE22" s="2" t="n"/>
      <c r="AF22" s="11" t="inlineStr">
        <is>
          <t>created from list 1</t>
        </is>
      </c>
    </row>
    <row r="23">
      <c r="A23" s="11" t="inlineStr">
        <is>
          <t>L1-0022</t>
        </is>
      </c>
      <c r="B23" s="11" t="inlineStr">
        <is>
          <t>List 1 (to ~2015)</t>
        </is>
      </c>
      <c r="C23" s="11" t="inlineStr">
        <is>
          <t>list1</t>
        </is>
      </c>
      <c r="D23" s="11" t="inlineStr">
        <is>
          <t>verified</t>
        </is>
      </c>
      <c r="E23" s="11" t="inlineStr">
        <is>
          <t>overruled</t>
        </is>
      </c>
      <c r="F23" s="2" t="inlineStr">
        <is>
          <t>Commissioner of Wealth Tax v. Aditya Vikram Birla</t>
        </is>
      </c>
      <c r="G23" s="11" t="inlineStr"/>
      <c r="H23" s="11" t="inlineStr">
        <is>
          <t>unknown</t>
        </is>
      </c>
      <c r="I23" s="2" t="inlineStr">
        <is>
          <t>(1978) 114 ITR 711</t>
        </is>
      </c>
      <c r="J23" s="11" t="n">
        <v>1978</v>
      </c>
      <c r="K23" s="2" t="inlineStr">
        <is>
          <t>Commissioner of Wealth-tax, Orissa, Bhubaneswar v. Smt. Binapani Chakravarty</t>
        </is>
      </c>
      <c r="L23" s="11" t="inlineStr">
        <is>
          <t>Supreme Court</t>
        </is>
      </c>
      <c r="M23" s="2" t="inlineStr">
        <is>
          <t>AIR 1995 SC 1380; (1995) 125 CTR 119; (1995) 214 ITR 721; (1995) 3 JT 506; (1995) 2 SCALE 496; (1995) 2 SCC 262 Supp</t>
        </is>
      </c>
      <c r="N23" s="11" t="n">
        <v>1995</v>
      </c>
      <c r="O23" s="11" t="n"/>
      <c r="P23" s="11" t="n"/>
      <c r="Q23" s="11" t="n"/>
      <c r="R23" s="2" t="n"/>
      <c r="S23" s="2" t="n"/>
      <c r="T23" s="11" t="inlineStr"/>
      <c r="U23" s="11" t="inlineStr"/>
      <c r="V23" s="11" t="inlineStr">
        <is>
          <t>outside_list</t>
        </is>
      </c>
      <c r="W23" s="11" t="n"/>
      <c r="X23" s="11" t="n"/>
      <c r="Y23" s="11" t="n"/>
      <c r="Z23" s="11" t="inlineStr">
        <is>
          <t>Mr. Advocate</t>
        </is>
      </c>
      <c r="AA23" s="11" t="inlineStr">
        <is>
          <t>2026-10-07</t>
        </is>
      </c>
      <c r="AB23" s="11" t="inlineStr">
        <is>
          <t>name_year</t>
        </is>
      </c>
      <c r="AC23" s="2" t="inlineStr"/>
      <c r="AD23" s="2" t="inlineStr">
        <is>
          <t>Commissioner of Wealth Tax v. Aditya Vikram Birla (1978) was overruled by Commissioner of Wealth-tax, Orissa, Bhubaneswar v. Smt. Binapani Chakravarty (1995).</t>
        </is>
      </c>
      <c r="AE23" s="2" t="n"/>
      <c r="AF23" s="11" t="inlineStr">
        <is>
          <t>created from list 1</t>
        </is>
      </c>
    </row>
    <row r="24">
      <c r="A24" s="11" t="inlineStr">
        <is>
          <t>L1-0023</t>
        </is>
      </c>
      <c r="B24" s="11" t="inlineStr">
        <is>
          <t>List 1 (to ~2015)</t>
        </is>
      </c>
      <c r="C24" s="11" t="inlineStr">
        <is>
          <t>list1</t>
        </is>
      </c>
      <c r="D24" s="11" t="inlineStr">
        <is>
          <t>verified</t>
        </is>
      </c>
      <c r="E24" s="11" t="inlineStr">
        <is>
          <t>reversed_on_appeal</t>
        </is>
      </c>
      <c r="F24" s="2" t="inlineStr">
        <is>
          <t>Ashish Kumar Roy and Others v. Union of India (UOI) and Others</t>
        </is>
      </c>
      <c r="G24" s="11" t="inlineStr"/>
      <c r="H24" s="11" t="inlineStr">
        <is>
          <t>Calcutta</t>
        </is>
      </c>
      <c r="I24" s="2" t="inlineStr">
        <is>
          <t>AIR 1999 Cal 242; (1999) 3 CALLT 466; 2 CWN 181</t>
        </is>
      </c>
      <c r="J24" s="11" t="n">
        <v>1999</v>
      </c>
      <c r="K24" s="2" t="inlineStr">
        <is>
          <t>State of West Bengal v. Ashish Kumar Roy and Others</t>
        </is>
      </c>
      <c r="L24" s="11" t="inlineStr">
        <is>
          <t>Supreme Court</t>
        </is>
      </c>
      <c r="M24" s="2" t="inlineStr">
        <is>
          <t>AIR 2005 SC 254; (2004) 10 JT 217; (2004) 10 SCALE 202; (2005) 10 SCC 110; (2004) AIRSCW 6905; (2005) 4 Supreme 554</t>
        </is>
      </c>
      <c r="N24" s="11" t="n">
        <v>2005</v>
      </c>
      <c r="O24" s="11" t="n"/>
      <c r="P24" s="11" t="n"/>
      <c r="Q24" s="11" t="n"/>
      <c r="R24" s="2" t="n"/>
      <c r="S24" s="2" t="n"/>
      <c r="T24" s="11" t="inlineStr">
        <is>
          <t>yes</t>
        </is>
      </c>
      <c r="U24" s="11" t="inlineStr"/>
      <c r="V24" s="11" t="inlineStr">
        <is>
          <t>outside_list</t>
        </is>
      </c>
      <c r="W24" s="11" t="n"/>
      <c r="X24" s="11" t="n"/>
      <c r="Y24" s="11" t="n"/>
      <c r="Z24" s="11" t="inlineStr">
        <is>
          <t>Mr. Advocate</t>
        </is>
      </c>
      <c r="AA24" s="11" t="inlineStr">
        <is>
          <t>2026-10-07</t>
        </is>
      </c>
      <c r="AB24" s="11" t="inlineStr">
        <is>
          <t>name_year</t>
        </is>
      </c>
      <c r="AC24" s="2" t="inlineStr"/>
      <c r="AD24" s="2" t="inlineStr">
        <is>
          <t>Ashish Kumar Roy and Others v. Union of India (UOI) and Others (1999) was reversed on appeal by the Supreme Court in State of West Bengal v. Ashish Kumar Roy and Others (2005).</t>
        </is>
      </c>
      <c r="AE24" s="2" t="n"/>
      <c r="AF24" s="11" t="inlineStr">
        <is>
          <t>created from list 1</t>
        </is>
      </c>
    </row>
    <row r="25">
      <c r="A25" s="11" t="inlineStr">
        <is>
          <t>L1-0024</t>
        </is>
      </c>
      <c r="B25" s="11" t="inlineStr">
        <is>
          <t>List 1 (to ~2015)</t>
        </is>
      </c>
      <c r="C25" s="11" t="inlineStr">
        <is>
          <t>list1</t>
        </is>
      </c>
      <c r="D25" s="11" t="inlineStr">
        <is>
          <t>verified</t>
        </is>
      </c>
      <c r="E25" s="11" t="inlineStr">
        <is>
          <t>overruled</t>
        </is>
      </c>
      <c r="F25" s="2" t="inlineStr">
        <is>
          <t>Hiraman v. State of U.P. and Others</t>
        </is>
      </c>
      <c r="G25" s="11" t="inlineStr"/>
      <c r="H25" s="11" t="inlineStr">
        <is>
          <t>unknown</t>
        </is>
      </c>
      <c r="I25" s="2" t="inlineStr">
        <is>
          <t>(1995) 2 LLJ 484; (1994) 1 UPLBEC 420</t>
        </is>
      </c>
      <c r="J25" s="11" t="n">
        <v>1994</v>
      </c>
      <c r="K25" s="2" t="inlineStr">
        <is>
          <t>Hira Man v. State of U.P. and others</t>
        </is>
      </c>
      <c r="L25" s="11" t="inlineStr">
        <is>
          <t>Supreme Court</t>
        </is>
      </c>
      <c r="M25" s="2" t="inlineStr">
        <is>
          <t>AIR 1997 SC 3288; (1997) 7 JT 324; (1997) 5 SCALE 430; (1997) 11 SCC 630; (1998) SCC(L&amp;S) 323; (1997) 3 SCR 396 Supp; (1997) 2 UJ 556</t>
        </is>
      </c>
      <c r="N25" s="11" t="n">
        <v>1997</v>
      </c>
      <c r="O25" s="11" t="n"/>
      <c r="P25" s="11" t="n"/>
      <c r="Q25" s="11" t="n"/>
      <c r="R25" s="2" t="n"/>
      <c r="S25" s="2" t="n"/>
      <c r="T25" s="11" t="inlineStr"/>
      <c r="U25" s="11" t="inlineStr">
        <is>
          <t>needs_citation_or_year</t>
        </is>
      </c>
      <c r="V25" s="11" t="inlineStr">
        <is>
          <t>outside_list</t>
        </is>
      </c>
      <c r="W25" s="11" t="n"/>
      <c r="X25" s="11" t="n"/>
      <c r="Y25" s="11" t="n"/>
      <c r="Z25" s="11" t="inlineStr">
        <is>
          <t>Mr. Advocate</t>
        </is>
      </c>
      <c r="AA25" s="11" t="inlineStr">
        <is>
          <t>2026-10-07</t>
        </is>
      </c>
      <c r="AB25" s="11" t="inlineStr">
        <is>
          <t>none</t>
        </is>
      </c>
      <c r="AC25" s="2" t="inlineStr"/>
      <c r="AD25" s="2" t="inlineStr">
        <is>
          <t>Hiraman v. State of U.P. and Others (1994) was overruled by Hira Man v. State of U.P. and others (1997).</t>
        </is>
      </c>
      <c r="AE25" s="2" t="n"/>
      <c r="AF25" s="11" t="inlineStr">
        <is>
          <t>created from list 1</t>
        </is>
      </c>
    </row>
    <row r="26">
      <c r="A26" s="11" t="inlineStr">
        <is>
          <t>L1-0025</t>
        </is>
      </c>
      <c r="B26" s="11" t="inlineStr">
        <is>
          <t>List 1 (to ~2015)</t>
        </is>
      </c>
      <c r="C26" s="11" t="inlineStr">
        <is>
          <t>list1</t>
        </is>
      </c>
      <c r="D26" s="11" t="inlineStr">
        <is>
          <t>verified</t>
        </is>
      </c>
      <c r="E26" s="11" t="inlineStr">
        <is>
          <t>overruled</t>
        </is>
      </c>
      <c r="F26" s="2" t="inlineStr">
        <is>
          <t>Addl. Commissioner of Income Tax v. Jiwan Lal Shah</t>
        </is>
      </c>
      <c r="G26" s="11" t="inlineStr"/>
      <c r="H26" s="11" t="inlineStr">
        <is>
          <t>unknown</t>
        </is>
      </c>
      <c r="I26" s="2" t="inlineStr">
        <is>
          <t>(1977) 109 ITR 474</t>
        </is>
      </c>
      <c r="J26" s="11" t="n">
        <v>1977</v>
      </c>
      <c r="K26" s="2" t="inlineStr">
        <is>
          <t>Commissioner of Income Tax (Additional), Lucknow v. Jeevan Lal Sah</t>
        </is>
      </c>
      <c r="L26" s="11" t="inlineStr">
        <is>
          <t>Supreme Court</t>
        </is>
      </c>
      <c r="M26" s="2" t="inlineStr">
        <is>
          <t>(1994) 205 ITR 244; (1995) 4 SCC 247 Supp; (1995) 4 SCC 247</t>
        </is>
      </c>
      <c r="N26" s="11" t="n">
        <v>1994</v>
      </c>
      <c r="O26" s="11" t="n"/>
      <c r="P26" s="11" t="n"/>
      <c r="Q26" s="11" t="n"/>
      <c r="R26" s="2" t="n"/>
      <c r="S26" s="2" t="n"/>
      <c r="T26" s="11" t="inlineStr"/>
      <c r="U26" s="11" t="inlineStr"/>
      <c r="V26" s="11" t="inlineStr">
        <is>
          <t>outside_list</t>
        </is>
      </c>
      <c r="W26" s="11" t="n"/>
      <c r="X26" s="11" t="n"/>
      <c r="Y26" s="11" t="n"/>
      <c r="Z26" s="11" t="inlineStr">
        <is>
          <t>Mr. Advocate</t>
        </is>
      </c>
      <c r="AA26" s="11" t="inlineStr">
        <is>
          <t>2026-10-07</t>
        </is>
      </c>
      <c r="AB26" s="11" t="inlineStr">
        <is>
          <t>name_year</t>
        </is>
      </c>
      <c r="AC26" s="2" t="inlineStr"/>
      <c r="AD26" s="2" t="inlineStr">
        <is>
          <t>Addl. Commissioner of Income Tax v. Jiwan Lal Shah (1977) was overruled by Commissioner of Income Tax (Additional), Lucknow v. Jeevan Lal Sah (1994).</t>
        </is>
      </c>
      <c r="AE26" s="2" t="n"/>
      <c r="AF26" s="11" t="inlineStr">
        <is>
          <t>created from list 1</t>
        </is>
      </c>
    </row>
    <row r="27">
      <c r="A27" s="11" t="inlineStr">
        <is>
          <t>L1-0026</t>
        </is>
      </c>
      <c r="B27" s="11" t="inlineStr">
        <is>
          <t>List 1 (to ~2015)</t>
        </is>
      </c>
      <c r="C27" s="11" t="inlineStr">
        <is>
          <t>list1</t>
        </is>
      </c>
      <c r="D27" s="11" t="inlineStr">
        <is>
          <t>verified</t>
        </is>
      </c>
      <c r="E27" s="11" t="inlineStr">
        <is>
          <t>reversed_on_appeal</t>
        </is>
      </c>
      <c r="F27" s="2" t="inlineStr">
        <is>
          <t>Sukhpal Singh Bal v. State of U.P. and Others</t>
        </is>
      </c>
      <c r="G27" s="11" t="inlineStr"/>
      <c r="H27" s="11" t="inlineStr">
        <is>
          <t>Allahabad</t>
        </is>
      </c>
      <c r="I27" s="2" t="inlineStr">
        <is>
          <t>AIR 2003 All 295; (2003) 2 AWC 1448</t>
        </is>
      </c>
      <c r="J27" s="11" t="n">
        <v>2003</v>
      </c>
      <c r="K27" s="2" t="inlineStr">
        <is>
          <t>State of U.P. and Others v. Sukhpal Singh Bal etc.</t>
        </is>
      </c>
      <c r="L27" s="11" t="inlineStr">
        <is>
          <t>Supreme Court</t>
        </is>
      </c>
      <c r="M27" s="2" t="inlineStr">
        <is>
          <t>(2005) 3 ACC 785; AIR 2005 SC 3324; (2005) 8 JT 115; (2005) 7 SCC 615; (2005) 3 SCR 1135 Supp; (2005) AIRSCW 4325; (2005) 7 Supreme 52</t>
        </is>
      </c>
      <c r="N27" s="11" t="n">
        <v>2005</v>
      </c>
      <c r="O27" s="11" t="n"/>
      <c r="P27" s="11" t="n"/>
      <c r="Q27" s="11" t="n"/>
      <c r="R27" s="2" t="n"/>
      <c r="S27" s="2" t="n"/>
      <c r="T27" s="11" t="inlineStr">
        <is>
          <t>yes</t>
        </is>
      </c>
      <c r="U27" s="11" t="inlineStr"/>
      <c r="V27" s="11" t="inlineStr">
        <is>
          <t>outside_list</t>
        </is>
      </c>
      <c r="W27" s="11" t="n"/>
      <c r="X27" s="11" t="n"/>
      <c r="Y27" s="11" t="n"/>
      <c r="Z27" s="11" t="inlineStr">
        <is>
          <t>Mr. Advocate</t>
        </is>
      </c>
      <c r="AA27" s="11" t="inlineStr">
        <is>
          <t>2026-10-07</t>
        </is>
      </c>
      <c r="AB27" s="11" t="inlineStr">
        <is>
          <t>name_year</t>
        </is>
      </c>
      <c r="AC27" s="2" t="inlineStr"/>
      <c r="AD27" s="2" t="inlineStr">
        <is>
          <t>Sukhpal Singh Bal v. State of U.P. and Others (2003) was reversed on appeal by the Supreme Court in State of U.P. and Others v. Sukhpal Singh Bal etc. (2005).</t>
        </is>
      </c>
      <c r="AE27" s="2" t="n"/>
      <c r="AF27" s="11" t="inlineStr">
        <is>
          <t>created from list 1</t>
        </is>
      </c>
    </row>
    <row r="28">
      <c r="A28" s="11" t="inlineStr">
        <is>
          <t>L1-0027</t>
        </is>
      </c>
      <c r="B28" s="11" t="inlineStr">
        <is>
          <t>List 1 (to ~2015)</t>
        </is>
      </c>
      <c r="C28" s="11" t="inlineStr">
        <is>
          <t>list1</t>
        </is>
      </c>
      <c r="D28" s="11" t="inlineStr">
        <is>
          <t>verified</t>
        </is>
      </c>
      <c r="E28" s="11" t="inlineStr">
        <is>
          <t>reversed_on_appeal</t>
        </is>
      </c>
      <c r="F28" s="2" t="inlineStr">
        <is>
          <t>Sardar and another v. Ram Khilauna and others</t>
        </is>
      </c>
      <c r="G28" s="11" t="inlineStr"/>
      <c r="H28" s="11" t="inlineStr">
        <is>
          <t>Allahabad</t>
        </is>
      </c>
      <c r="I28" s="2" t="inlineStr">
        <is>
          <t>AIR 1997 All 268</t>
        </is>
      </c>
      <c r="J28" s="11" t="n">
        <v>1997</v>
      </c>
      <c r="K28" s="2" t="inlineStr">
        <is>
          <t>Ram Khilona and Others v. Sardar and Others</t>
        </is>
      </c>
      <c r="L28" s="11" t="inlineStr">
        <is>
          <t>Supreme Court</t>
        </is>
      </c>
      <c r="M28" s="2" t="inlineStr">
        <is>
          <t>AIR 2002 SC 2548; (2003) 1 ARBLR 1; (2002) 5 JT 503; (2002) 5 SCALE 210; (2002) 6 SCC 375; (2002) 1 SCR 187 Supp; (2002) 2 UJ 1034; (2002) AIRSCW 2842; (2002) 5 Supreme 1</t>
        </is>
      </c>
      <c r="N28" s="11" t="n">
        <v>2002</v>
      </c>
      <c r="O28" s="11" t="n"/>
      <c r="P28" s="11" t="n"/>
      <c r="Q28" s="11" t="n"/>
      <c r="R28" s="2" t="n"/>
      <c r="S28" s="2" t="n"/>
      <c r="T28" s="11" t="inlineStr">
        <is>
          <t>yes</t>
        </is>
      </c>
      <c r="U28" s="11" t="inlineStr"/>
      <c r="V28" s="11" t="inlineStr">
        <is>
          <t>outside_list</t>
        </is>
      </c>
      <c r="W28" s="11" t="n"/>
      <c r="X28" s="11" t="n"/>
      <c r="Y28" s="11" t="n"/>
      <c r="Z28" s="11" t="inlineStr">
        <is>
          <t>Mr. Advocate</t>
        </is>
      </c>
      <c r="AA28" s="11" t="inlineStr">
        <is>
          <t>2026-10-07</t>
        </is>
      </c>
      <c r="AB28" s="11" t="inlineStr">
        <is>
          <t>name_year</t>
        </is>
      </c>
      <c r="AC28" s="2" t="inlineStr"/>
      <c r="AD28" s="2" t="inlineStr">
        <is>
          <t>Sardar and another v. Ram Khilauna and others (1997) was reversed on appeal by the Supreme Court in Ram Khilona and Others v. Sardar and Others (2002).</t>
        </is>
      </c>
      <c r="AE28" s="2" t="n"/>
      <c r="AF28" s="11" t="inlineStr">
        <is>
          <t>created from list 1</t>
        </is>
      </c>
    </row>
    <row r="29">
      <c r="A29" s="11" t="inlineStr">
        <is>
          <t>L1-0028</t>
        </is>
      </c>
      <c r="B29" s="11" t="inlineStr">
        <is>
          <t>List 1 (to ~2015)</t>
        </is>
      </c>
      <c r="C29" s="11" t="inlineStr">
        <is>
          <t>list1</t>
        </is>
      </c>
      <c r="D29" s="11" t="inlineStr">
        <is>
          <t>verified</t>
        </is>
      </c>
      <c r="E29" s="11" t="inlineStr">
        <is>
          <t>overruled</t>
        </is>
      </c>
      <c r="F29" s="2" t="inlineStr">
        <is>
          <t>Punjab Lime and Lime-stone Co. v. Cantonment Board and Another</t>
        </is>
      </c>
      <c r="G29" s="11" t="inlineStr"/>
      <c r="H29" s="11" t="inlineStr">
        <is>
          <t>Allahabad</t>
        </is>
      </c>
      <c r="I29" s="2" t="inlineStr">
        <is>
          <t>AIR 1967 All 15</t>
        </is>
      </c>
      <c r="J29" s="11" t="n">
        <v>1967</v>
      </c>
      <c r="K29" s="2" t="inlineStr">
        <is>
          <t>Cantonment Board, Mathura v. Krishna Bricks and Lime Factory</t>
        </is>
      </c>
      <c r="L29" s="11" t="inlineStr">
        <is>
          <t>Supreme Court</t>
        </is>
      </c>
      <c r="M29" s="2" t="inlineStr">
        <is>
          <t>(1996) 7 AD 80; (1996) 8 JT 180; (1996) 6 SCALE 510; (1996) 6 SCC 72; (1996) 6 SCR 135 Supp</t>
        </is>
      </c>
      <c r="N29" s="11" t="n">
        <v>1996</v>
      </c>
      <c r="O29" s="11" t="n"/>
      <c r="P29" s="11" t="n"/>
      <c r="Q29" s="11" t="n"/>
      <c r="R29" s="2" t="n"/>
      <c r="S29" s="2" t="n"/>
      <c r="T29" s="11" t="inlineStr"/>
      <c r="U29" s="11" t="inlineStr"/>
      <c r="V29" s="11" t="inlineStr">
        <is>
          <t>outside_list</t>
        </is>
      </c>
      <c r="W29" s="11" t="n"/>
      <c r="X29" s="11" t="n"/>
      <c r="Y29" s="11" t="n"/>
      <c r="Z29" s="11" t="inlineStr">
        <is>
          <t>Mr. Advocate</t>
        </is>
      </c>
      <c r="AA29" s="11" t="inlineStr">
        <is>
          <t>2026-10-07</t>
        </is>
      </c>
      <c r="AB29" s="11" t="inlineStr">
        <is>
          <t>name_year</t>
        </is>
      </c>
      <c r="AC29" s="2" t="inlineStr"/>
      <c r="AD29" s="2" t="inlineStr">
        <is>
          <t>Punjab Lime and Lime-stone Co. v. Cantonment Board and Another (1967) was overruled by Cantonment Board, Mathura v. Krishna Bricks and Lime Factory (1996).</t>
        </is>
      </c>
      <c r="AE29" s="2" t="n"/>
      <c r="AF29" s="11" t="inlineStr">
        <is>
          <t>created from list 1</t>
        </is>
      </c>
    </row>
    <row r="30">
      <c r="A30" s="11" t="inlineStr">
        <is>
          <t>L1-0029</t>
        </is>
      </c>
      <c r="B30" s="11" t="inlineStr">
        <is>
          <t>List 1 (to ~2015)</t>
        </is>
      </c>
      <c r="C30" s="11" t="inlineStr">
        <is>
          <t>list1</t>
        </is>
      </c>
      <c r="D30" s="11" t="inlineStr">
        <is>
          <t>verified</t>
        </is>
      </c>
      <c r="E30" s="11" t="inlineStr">
        <is>
          <t>overruled</t>
        </is>
      </c>
      <c r="F30" s="2" t="inlineStr">
        <is>
          <t>Hari Shankar Tripathi v. Sheo Harakh</t>
        </is>
      </c>
      <c r="G30" s="11" t="inlineStr"/>
      <c r="H30" s="11" t="inlineStr">
        <is>
          <t>Allahabad</t>
        </is>
      </c>
      <c r="I30" s="2" t="inlineStr">
        <is>
          <t>AIR 1975 All 408</t>
        </is>
      </c>
      <c r="J30" s="11" t="n">
        <v>1975</v>
      </c>
      <c r="K30" s="2" t="inlineStr">
        <is>
          <t>Hari Shanker Tripathi v. Shiv Harsh and Others</t>
        </is>
      </c>
      <c r="L30" s="11" t="inlineStr">
        <is>
          <t>Supreme Court</t>
        </is>
      </c>
      <c r="M30" s="2" t="inlineStr">
        <is>
          <t>(1976) 1 SCC 897; (1976) 3 SCR 308; (1976) 8 UJ 242</t>
        </is>
      </c>
      <c r="N30" s="11" t="n">
        <v>1976</v>
      </c>
      <c r="O30" s="11" t="n"/>
      <c r="P30" s="11" t="n"/>
      <c r="Q30" s="11" t="n"/>
      <c r="R30" s="2" t="n"/>
      <c r="S30" s="2" t="n"/>
      <c r="T30" s="11" t="inlineStr"/>
      <c r="U30" s="11" t="inlineStr"/>
      <c r="V30" s="11" t="inlineStr">
        <is>
          <t>outside_list</t>
        </is>
      </c>
      <c r="W30" s="11" t="n"/>
      <c r="X30" s="11" t="n"/>
      <c r="Y30" s="11" t="n"/>
      <c r="Z30" s="11" t="inlineStr">
        <is>
          <t>Mr. Advocate</t>
        </is>
      </c>
      <c r="AA30" s="11" t="inlineStr">
        <is>
          <t>2026-10-07</t>
        </is>
      </c>
      <c r="AB30" s="11" t="inlineStr">
        <is>
          <t>name_year</t>
        </is>
      </c>
      <c r="AC30" s="2" t="inlineStr"/>
      <c r="AD30" s="2" t="inlineStr">
        <is>
          <t>Hari Shankar Tripathi v. Sheo Harakh (1975) was overruled by Hari Shanker Tripathi v. Shiv Harsh and Others (1976).</t>
        </is>
      </c>
      <c r="AE30" s="2" t="n"/>
      <c r="AF30" s="11" t="inlineStr">
        <is>
          <t>created from list 1</t>
        </is>
      </c>
    </row>
    <row r="31">
      <c r="A31" s="11" t="inlineStr">
        <is>
          <t>L1-0030</t>
        </is>
      </c>
      <c r="B31" s="11" t="inlineStr">
        <is>
          <t>List 1 (to ~2015)</t>
        </is>
      </c>
      <c r="C31" s="11" t="inlineStr">
        <is>
          <t>list1</t>
        </is>
      </c>
      <c r="D31" s="11" t="inlineStr">
        <is>
          <t>verified</t>
        </is>
      </c>
      <c r="E31" s="11" t="inlineStr">
        <is>
          <t>overruled</t>
        </is>
      </c>
      <c r="F31" s="2" t="inlineStr">
        <is>
          <t>Commissioner of Income Tax v. Nityanand Deokinandan</t>
        </is>
      </c>
      <c r="G31" s="11" t="inlineStr"/>
      <c r="H31" s="11" t="inlineStr">
        <is>
          <t>unknown</t>
        </is>
      </c>
      <c r="I31" s="2" t="inlineStr">
        <is>
          <t>(1981) 21 CTR 68; (1981) 129 ITR 177; (1981) 5 TAXMAN 262</t>
        </is>
      </c>
      <c r="J31" s="11" t="n">
        <v>1981</v>
      </c>
      <c r="K31" s="2" t="inlineStr">
        <is>
          <t>Commissioner of Income Tax, Kanpur v. Nitya Nand Devkinandan</t>
        </is>
      </c>
      <c r="L31" s="11" t="inlineStr">
        <is>
          <t>Supreme Court</t>
        </is>
      </c>
      <c r="M31" s="2" t="inlineStr">
        <is>
          <t>AIR 1997 SC 3743; (1997) 141 CTR 363; (1997) 227 ITR 154; (1997) 6 JT 161; (1997) 4 SCALE 560; (1997) 6 SCC 429; (1997) 1 SCR 575 Supp; (1997) 93 TAXMAN 392; (1997) AIRSCW 2992; (1997) 7 Supreme 350</t>
        </is>
      </c>
      <c r="N31" s="11" t="n">
        <v>1997</v>
      </c>
      <c r="O31" s="11" t="n"/>
      <c r="P31" s="11" t="n"/>
      <c r="Q31" s="11" t="n"/>
      <c r="R31" s="2" t="n"/>
      <c r="S31" s="2" t="n"/>
      <c r="T31" s="11" t="inlineStr"/>
      <c r="U31" s="11" t="inlineStr"/>
      <c r="V31" s="11" t="inlineStr">
        <is>
          <t>outside_list</t>
        </is>
      </c>
      <c r="W31" s="11" t="n"/>
      <c r="X31" s="11" t="n"/>
      <c r="Y31" s="11" t="n"/>
      <c r="Z31" s="11" t="inlineStr">
        <is>
          <t>Mr. Advocate</t>
        </is>
      </c>
      <c r="AA31" s="11" t="inlineStr">
        <is>
          <t>2026-10-07</t>
        </is>
      </c>
      <c r="AB31" s="11" t="inlineStr">
        <is>
          <t>name_year</t>
        </is>
      </c>
      <c r="AC31" s="2" t="inlineStr"/>
      <c r="AD31" s="2" t="inlineStr">
        <is>
          <t>Commissioner of Income Tax v. Nityanand Deokinandan (1981) was overruled by Commissioner of Income Tax, Kanpur v. Nitya Nand Devkinandan (1997).</t>
        </is>
      </c>
      <c r="AE31" s="2" t="n"/>
      <c r="AF31" s="11" t="inlineStr">
        <is>
          <t>created from list 1</t>
        </is>
      </c>
    </row>
    <row r="32">
      <c r="A32" s="11" t="inlineStr">
        <is>
          <t>L1-0031</t>
        </is>
      </c>
      <c r="B32" s="11" t="inlineStr">
        <is>
          <t>List 1 (to ~2015)</t>
        </is>
      </c>
      <c r="C32" s="11" t="inlineStr">
        <is>
          <t>list1</t>
        </is>
      </c>
      <c r="D32" s="11" t="inlineStr">
        <is>
          <t>verified</t>
        </is>
      </c>
      <c r="E32" s="11" t="inlineStr">
        <is>
          <t>overruled</t>
        </is>
      </c>
      <c r="F32" s="2" t="inlineStr">
        <is>
          <t>Lakshmi Ratan Cotton Mills Co. Ltd. v. Aluminium Corporation of India Ltd.</t>
        </is>
      </c>
      <c r="G32" s="11" t="inlineStr"/>
      <c r="H32" s="11" t="inlineStr">
        <is>
          <t>Allahabad</t>
        </is>
      </c>
      <c r="I32" s="2" t="inlineStr">
        <is>
          <t>AIR 1967 All 391; (1967) 37 CompCas 586</t>
        </is>
      </c>
      <c r="J32" s="11" t="n">
        <v>1967</v>
      </c>
      <c r="K32" s="2" t="inlineStr">
        <is>
          <t>Lakshmirattan Cotton Mills Co.Ltd. and Behari Lal Ram Charan v. The Aluminium Corporation of India Ltd.</t>
        </is>
      </c>
      <c r="L32" s="11" t="inlineStr">
        <is>
          <t>Supreme Court</t>
        </is>
      </c>
      <c r="M32" s="2" t="inlineStr">
        <is>
          <t>AIR 1971 SC 1482; (1971) 1 SCC 67; (1971) 2 SCR 623</t>
        </is>
      </c>
      <c r="N32" s="11" t="n">
        <v>1971</v>
      </c>
      <c r="O32" s="11" t="n"/>
      <c r="P32" s="11" t="n"/>
      <c r="Q32" s="11" t="n"/>
      <c r="R32" s="2" t="n"/>
      <c r="S32" s="2" t="n"/>
      <c r="T32" s="11" t="inlineStr"/>
      <c r="U32" s="11" t="inlineStr"/>
      <c r="V32" s="11" t="inlineStr">
        <is>
          <t>outside_list</t>
        </is>
      </c>
      <c r="W32" s="11" t="n"/>
      <c r="X32" s="11" t="n"/>
      <c r="Y32" s="11" t="n"/>
      <c r="Z32" s="11" t="inlineStr">
        <is>
          <t>Mr. Advocate</t>
        </is>
      </c>
      <c r="AA32" s="11" t="inlineStr">
        <is>
          <t>2026-10-07</t>
        </is>
      </c>
      <c r="AB32" s="11" t="inlineStr">
        <is>
          <t>name_year</t>
        </is>
      </c>
      <c r="AC32" s="2" t="inlineStr"/>
      <c r="AD32" s="2" t="inlineStr">
        <is>
          <t>Lakshmi Ratan Cotton Mills Co. Ltd. v. Aluminium Corporation of India Ltd. (1967) was overruled by Lakshmirattan Cotton Mills Co.Ltd. and Behari Lal Ram Charan v. The Aluminium Corporation of India Ltd. (1971).</t>
        </is>
      </c>
      <c r="AE32" s="2" t="n"/>
      <c r="AF32" s="11" t="inlineStr">
        <is>
          <t>created from list 1</t>
        </is>
      </c>
    </row>
    <row r="33">
      <c r="A33" s="11" t="inlineStr">
        <is>
          <t>L1-0032</t>
        </is>
      </c>
      <c r="B33" s="11" t="inlineStr">
        <is>
          <t>List 1 (to ~2015)</t>
        </is>
      </c>
      <c r="C33" s="11" t="inlineStr">
        <is>
          <t>list1</t>
        </is>
      </c>
      <c r="D33" s="11" t="inlineStr">
        <is>
          <t>verified</t>
        </is>
      </c>
      <c r="E33" s="11" t="inlineStr">
        <is>
          <t>overruled</t>
        </is>
      </c>
      <c r="F33" s="2" t="inlineStr">
        <is>
          <t>Bimla Rani Kohli v. Bandu Motor Finance Private Ltd.</t>
        </is>
      </c>
      <c r="G33" s="11" t="inlineStr"/>
      <c r="H33" s="11" t="inlineStr">
        <is>
          <t>Allahabad</t>
        </is>
      </c>
      <c r="I33" s="2" t="inlineStr">
        <is>
          <t>AIR 1972 All 242; (1971) 41 AWR 483</t>
        </is>
      </c>
      <c r="J33" s="11" t="n">
        <v>1972</v>
      </c>
      <c r="K33" s="2" t="inlineStr">
        <is>
          <t>Vishesh Kumar v. Shanti Prasad</t>
        </is>
      </c>
      <c r="L33" s="11" t="inlineStr">
        <is>
          <t>Supreme Court</t>
        </is>
      </c>
      <c r="M33" s="2" t="inlineStr">
        <is>
          <t>AIR 1980 SC 892; (1980) 2 SCC 378; (1980) 3 SCR 32</t>
        </is>
      </c>
      <c r="N33" s="11" t="n">
        <v>1980</v>
      </c>
      <c r="O33" s="11" t="n"/>
      <c r="P33" s="11" t="n"/>
      <c r="Q33" s="11" t="n"/>
      <c r="R33" s="2" t="n"/>
      <c r="S33" s="2" t="n"/>
      <c r="T33" s="11" t="inlineStr"/>
      <c r="U33" s="11" t="inlineStr"/>
      <c r="V33" s="11" t="inlineStr">
        <is>
          <t>outside_list</t>
        </is>
      </c>
      <c r="W33" s="11" t="n"/>
      <c r="X33" s="11" t="n"/>
      <c r="Y33" s="11" t="n"/>
      <c r="Z33" s="11" t="inlineStr">
        <is>
          <t>Mr. Advocate</t>
        </is>
      </c>
      <c r="AA33" s="11" t="inlineStr">
        <is>
          <t>2026-10-07</t>
        </is>
      </c>
      <c r="AB33" s="11" t="inlineStr">
        <is>
          <t>name_year</t>
        </is>
      </c>
      <c r="AC33" s="2" t="inlineStr"/>
      <c r="AD33" s="2" t="inlineStr">
        <is>
          <t>Bimla Rani Kohli v. Bandu Motor Finance Private Ltd. (1972) was overruled by Vishesh Kumar v. Shanti Prasad (1980).</t>
        </is>
      </c>
      <c r="AE33" s="2" t="n"/>
      <c r="AF33" s="11" t="inlineStr">
        <is>
          <t>created from list 1</t>
        </is>
      </c>
    </row>
    <row r="34">
      <c r="A34" s="11" t="inlineStr">
        <is>
          <t>L1-0033</t>
        </is>
      </c>
      <c r="B34" s="11" t="inlineStr">
        <is>
          <t>List 1 (to ~2015)</t>
        </is>
      </c>
      <c r="C34" s="11" t="inlineStr">
        <is>
          <t>list1</t>
        </is>
      </c>
      <c r="D34" s="11" t="inlineStr">
        <is>
          <t>verified</t>
        </is>
      </c>
      <c r="E34" s="11" t="inlineStr">
        <is>
          <t>overruled</t>
        </is>
      </c>
      <c r="F34" s="2" t="inlineStr">
        <is>
          <t>Dr. Madan Gopal Gupta v. The Agra University and Others</t>
        </is>
      </c>
      <c r="G34" s="11" t="inlineStr"/>
      <c r="H34" s="11" t="inlineStr">
        <is>
          <t>Allahabad</t>
        </is>
      </c>
      <c r="I34" s="2" t="inlineStr">
        <is>
          <t>AIR 1974 All 39</t>
        </is>
      </c>
      <c r="J34" s="11" t="n">
        <v>1974</v>
      </c>
      <c r="K34" s="2" t="inlineStr">
        <is>
          <t>Pravin C. Shah v. K.A. Mohd. Ali and Another</t>
        </is>
      </c>
      <c r="L34" s="11" t="inlineStr">
        <is>
          <t>Supreme Court</t>
        </is>
      </c>
      <c r="M34" s="2" t="inlineStr">
        <is>
          <t>AIR 2001 SC 3041; (2002) 1 CompLJ 35; (2001) 9 JT 46; (2001) 7 SCALE 60; (2001) 8 SCC 650; (2001) 2 UJ 1542; (2001) AIRSCW 4193; (2001) 7 Supreme 386</t>
        </is>
      </c>
      <c r="N34" s="11" t="n">
        <v>2001</v>
      </c>
      <c r="O34" s="11" t="n"/>
      <c r="P34" s="11" t="n"/>
      <c r="Q34" s="11" t="n"/>
      <c r="R34" s="2" t="n"/>
      <c r="S34" s="2" t="n"/>
      <c r="T34" s="11" t="inlineStr"/>
      <c r="U34" s="11" t="inlineStr"/>
      <c r="V34" s="11" t="inlineStr">
        <is>
          <t>outside_list</t>
        </is>
      </c>
      <c r="W34" s="11" t="n"/>
      <c r="X34" s="11" t="n"/>
      <c r="Y34" s="11" t="n"/>
      <c r="Z34" s="11" t="inlineStr">
        <is>
          <t>Mr. Advocate</t>
        </is>
      </c>
      <c r="AA34" s="11" t="inlineStr">
        <is>
          <t>2026-10-07</t>
        </is>
      </c>
      <c r="AB34" s="11" t="inlineStr">
        <is>
          <t>name_year</t>
        </is>
      </c>
      <c r="AC34" s="2" t="inlineStr"/>
      <c r="AD34" s="2" t="inlineStr">
        <is>
          <t>Dr. Madan Gopal Gupta v. The Agra University and Others (1974) was overruled by Pravin C. Shah v. K.A. Mohd. Ali and Another (2001).</t>
        </is>
      </c>
      <c r="AE34" s="2" t="n"/>
      <c r="AF34" s="11" t="inlineStr">
        <is>
          <t>created from list 1</t>
        </is>
      </c>
    </row>
    <row r="35">
      <c r="A35" s="11" t="inlineStr">
        <is>
          <t>L1-0034</t>
        </is>
      </c>
      <c r="B35" s="11" t="inlineStr">
        <is>
          <t>List 1 (to ~2015)</t>
        </is>
      </c>
      <c r="C35" s="11" t="inlineStr">
        <is>
          <t>list1</t>
        </is>
      </c>
      <c r="D35" s="11" t="inlineStr">
        <is>
          <t>verified</t>
        </is>
      </c>
      <c r="E35" s="11" t="inlineStr">
        <is>
          <t>overruled</t>
        </is>
      </c>
      <c r="F35" s="2" t="inlineStr">
        <is>
          <t>Ram Jag Misir and Others v. The Director of Consolidation, U.P. and Others</t>
        </is>
      </c>
      <c r="G35" s="11" t="inlineStr"/>
      <c r="H35" s="11" t="inlineStr">
        <is>
          <t>Allahabad</t>
        </is>
      </c>
      <c r="I35" s="2" t="inlineStr">
        <is>
          <t>AIR 1975 All 151; (1975) AWC 101</t>
        </is>
      </c>
      <c r="J35" s="11" t="n">
        <v>1975</v>
      </c>
      <c r="K35" s="2" t="inlineStr">
        <is>
          <t>V. Tulasamma and Others v. Sesha Reddy (Dead) by Lrs.</t>
        </is>
      </c>
      <c r="L35" s="11" t="inlineStr">
        <is>
          <t>Supreme Court</t>
        </is>
      </c>
      <c r="M35" s="2" t="inlineStr">
        <is>
          <t>AIR 1977 SC 1944; (1977) 3 SCC 99; (1977) 3 SCR 261</t>
        </is>
      </c>
      <c r="N35" s="11" t="n">
        <v>1977</v>
      </c>
      <c r="O35" s="11" t="n"/>
      <c r="P35" s="11" t="n"/>
      <c r="Q35" s="11" t="n"/>
      <c r="R35" s="2" t="n"/>
      <c r="S35" s="2" t="n"/>
      <c r="T35" s="11" t="inlineStr"/>
      <c r="U35" s="11" t="inlineStr"/>
      <c r="V35" s="11" t="inlineStr">
        <is>
          <t>outside_list</t>
        </is>
      </c>
      <c r="W35" s="11" t="n"/>
      <c r="X35" s="11" t="n"/>
      <c r="Y35" s="11" t="n"/>
      <c r="Z35" s="11" t="inlineStr">
        <is>
          <t>Mr. Advocate</t>
        </is>
      </c>
      <c r="AA35" s="11" t="inlineStr">
        <is>
          <t>2026-10-07</t>
        </is>
      </c>
      <c r="AB35" s="11" t="inlineStr">
        <is>
          <t>name_year</t>
        </is>
      </c>
      <c r="AC35" s="2" t="inlineStr"/>
      <c r="AD35" s="2" t="inlineStr">
        <is>
          <t>Ram Jag Misir and Others v. The Director of Consolidation, U.P. and Others (1975) was overruled by V. Tulasamma and Others v. Sesha Reddy (Dead) by Lrs. (1977).</t>
        </is>
      </c>
      <c r="AE35" s="2" t="n"/>
      <c r="AF35" s="11" t="inlineStr">
        <is>
          <t>created from list 1</t>
        </is>
      </c>
    </row>
    <row r="36">
      <c r="A36" s="11" t="inlineStr">
        <is>
          <t>L1-0035</t>
        </is>
      </c>
      <c r="B36" s="11" t="inlineStr">
        <is>
          <t>List 1 (to ~2015)</t>
        </is>
      </c>
      <c r="C36" s="11" t="inlineStr">
        <is>
          <t>list1</t>
        </is>
      </c>
      <c r="D36" s="11" t="inlineStr">
        <is>
          <t>verified</t>
        </is>
      </c>
      <c r="E36" s="11" t="inlineStr">
        <is>
          <t>overruled</t>
        </is>
      </c>
      <c r="F36" s="2" t="inlineStr">
        <is>
          <t>Board of Management Dayanand College of Law, Kanpur Nagar v. State of U.P. and others</t>
        </is>
      </c>
      <c r="G36" s="11" t="inlineStr"/>
      <c r="H36" s="11" t="inlineStr">
        <is>
          <t>unknown</t>
        </is>
      </c>
      <c r="I36" s="2" t="inlineStr">
        <is>
          <t>(2001) 1 AWC 190; (2001) 1 UPLBEC 440</t>
        </is>
      </c>
      <c r="J36" s="11" t="n">
        <v>2001</v>
      </c>
      <c r="K36" s="2" t="inlineStr">
        <is>
          <t>Bar Council of India v. Board of Mang. Dayanand Coll. of law and Others</t>
        </is>
      </c>
      <c r="L36" s="11" t="inlineStr">
        <is>
          <t>Supreme Court</t>
        </is>
      </c>
      <c r="M36" s="2" t="inlineStr">
        <is>
          <t>AIR 2007 SC 1342; (2006) 10 JT 603; (2006) 13 SCALE 236; (2007) 2 SCC 202; (2006) 9 SCR 756 Supp; (2007) 3 SLJ 54; (2007) AIRSCW 1518</t>
        </is>
      </c>
      <c r="N36" s="11" t="n">
        <v>2007</v>
      </c>
      <c r="O36" s="11" t="n"/>
      <c r="P36" s="11" t="n"/>
      <c r="Q36" s="11" t="n"/>
      <c r="R36" s="2" t="n"/>
      <c r="S36" s="2" t="n"/>
      <c r="T36" s="11" t="inlineStr"/>
      <c r="U36" s="11" t="inlineStr"/>
      <c r="V36" s="11" t="inlineStr">
        <is>
          <t>outside_list</t>
        </is>
      </c>
      <c r="W36" s="11" t="n"/>
      <c r="X36" s="11" t="n"/>
      <c r="Y36" s="11" t="n"/>
      <c r="Z36" s="11" t="inlineStr">
        <is>
          <t>Mr. Advocate</t>
        </is>
      </c>
      <c r="AA36" s="11" t="inlineStr">
        <is>
          <t>2026-10-07</t>
        </is>
      </c>
      <c r="AB36" s="11" t="inlineStr">
        <is>
          <t>name_year</t>
        </is>
      </c>
      <c r="AC36" s="2" t="inlineStr"/>
      <c r="AD36" s="2" t="inlineStr">
        <is>
          <t>Board of Management Dayanand College of Law, Kanpur Nagar v. State of U.P. and others (2001) was overruled by Bar Council of India v. Board of Mang. Dayanand Coll. of law and Others (2007).</t>
        </is>
      </c>
      <c r="AE36" s="2" t="n"/>
      <c r="AF36" s="11" t="inlineStr">
        <is>
          <t>created from list 1</t>
        </is>
      </c>
    </row>
    <row r="37">
      <c r="A37" s="11" t="inlineStr">
        <is>
          <t>L1-0036</t>
        </is>
      </c>
      <c r="B37" s="11" t="inlineStr">
        <is>
          <t>List 1 (to ~2015)</t>
        </is>
      </c>
      <c r="C37" s="11" t="inlineStr">
        <is>
          <t>list1</t>
        </is>
      </c>
      <c r="D37" s="11" t="inlineStr">
        <is>
          <t>verified</t>
        </is>
      </c>
      <c r="E37" s="11" t="inlineStr">
        <is>
          <t>overruled</t>
        </is>
      </c>
      <c r="F37" s="2" t="inlineStr">
        <is>
          <t>Subhash Chandra v. The State of U.P. and Others</t>
        </is>
      </c>
      <c r="G37" s="11" t="inlineStr"/>
      <c r="H37" s="11" t="inlineStr">
        <is>
          <t>Allahabad</t>
        </is>
      </c>
      <c r="I37" s="2" t="inlineStr">
        <is>
          <t>AIR 1973 All 295</t>
        </is>
      </c>
      <c r="J37" s="11" t="n">
        <v>1973</v>
      </c>
      <c r="K37" s="2" t="inlineStr">
        <is>
          <t>State of Uttar Pradesh and Others v. Pradip Tandon and Others</t>
        </is>
      </c>
      <c r="L37" s="11" t="inlineStr">
        <is>
          <t>Supreme Court</t>
        </is>
      </c>
      <c r="M37" s="2" t="inlineStr">
        <is>
          <t>AIR 1975 SC 563; (1975) 1 SCC 267; (1975) 2 SCR 761</t>
        </is>
      </c>
      <c r="N37" s="11" t="n">
        <v>1975</v>
      </c>
      <c r="O37" s="11" t="n"/>
      <c r="P37" s="11" t="n"/>
      <c r="Q37" s="11" t="n"/>
      <c r="R37" s="2" t="n"/>
      <c r="S37" s="2" t="n"/>
      <c r="T37" s="11" t="inlineStr"/>
      <c r="U37" s="11" t="inlineStr"/>
      <c r="V37" s="11" t="inlineStr">
        <is>
          <t>outside_list</t>
        </is>
      </c>
      <c r="W37" s="11" t="n"/>
      <c r="X37" s="11" t="n"/>
      <c r="Y37" s="11" t="n"/>
      <c r="Z37" s="11" t="inlineStr">
        <is>
          <t>Mr. Advocate</t>
        </is>
      </c>
      <c r="AA37" s="11" t="inlineStr">
        <is>
          <t>2026-10-07</t>
        </is>
      </c>
      <c r="AB37" s="11" t="inlineStr">
        <is>
          <t>name_year</t>
        </is>
      </c>
      <c r="AC37" s="2" t="inlineStr"/>
      <c r="AD37" s="2" t="inlineStr">
        <is>
          <t>Subhash Chandra v. The State of U.P. and Others (1973) was overruled by State of Uttar Pradesh and Others v. Pradip Tandon and Others (1975).</t>
        </is>
      </c>
      <c r="AE37" s="2" t="n"/>
      <c r="AF37" s="11" t="inlineStr">
        <is>
          <t>created from list 1</t>
        </is>
      </c>
    </row>
    <row r="38">
      <c r="A38" s="11" t="inlineStr">
        <is>
          <t>L1-0037</t>
        </is>
      </c>
      <c r="B38" s="11" t="inlineStr">
        <is>
          <t>List 1 (to ~2015)</t>
        </is>
      </c>
      <c r="C38" s="11" t="inlineStr">
        <is>
          <t>list1</t>
        </is>
      </c>
      <c r="D38" s="11" t="inlineStr">
        <is>
          <t>verified</t>
        </is>
      </c>
      <c r="E38" s="11" t="inlineStr">
        <is>
          <t>overruled</t>
        </is>
      </c>
      <c r="F38" s="2" t="inlineStr">
        <is>
          <t>The Regional Manager, UPSRTC, Jhansi Region v. Man Singh and The Presiding Officer, Labour Court</t>
        </is>
      </c>
      <c r="G38" s="11" t="inlineStr"/>
      <c r="H38" s="11" t="inlineStr">
        <is>
          <t>unknown</t>
        </is>
      </c>
      <c r="I38" s="2" t="inlineStr">
        <is>
          <t>(2005) 6 AWC 5540; (2005) 2 ESC 1458; (2005) 106 FLR 144; (2005) 2 UPLBEC 1449</t>
        </is>
      </c>
      <c r="J38" s="11" t="n">
        <v>2005</v>
      </c>
      <c r="K38" s="2" t="inlineStr">
        <is>
          <t>U.P. State Road Transport Corporation v. Man Singh</t>
        </is>
      </c>
      <c r="L38" s="11" t="inlineStr">
        <is>
          <t>Supreme Court</t>
        </is>
      </c>
      <c r="M38" s="2" t="inlineStr">
        <is>
          <t>(2006) 111 FLR 323; (2006) 3 LLJ 1058; (2006) 9 SCALE 230; (2006) 7 SCC 752; (2006) SCC(L&amp;S) 1776; (2006) 7 SCR 121 Supp; (2007) 2 SLJ 237</t>
        </is>
      </c>
      <c r="N38" s="11" t="n">
        <v>2006</v>
      </c>
      <c r="O38" s="11" t="n"/>
      <c r="P38" s="11" t="n"/>
      <c r="Q38" s="11" t="n"/>
      <c r="R38" s="2" t="n"/>
      <c r="S38" s="2" t="n"/>
      <c r="T38" s="11" t="inlineStr"/>
      <c r="U38" s="11" t="inlineStr"/>
      <c r="V38" s="11" t="inlineStr">
        <is>
          <t>outside_list</t>
        </is>
      </c>
      <c r="W38" s="11" t="n"/>
      <c r="X38" s="11" t="n"/>
      <c r="Y38" s="11" t="n"/>
      <c r="Z38" s="11" t="inlineStr">
        <is>
          <t>Mr. Advocate</t>
        </is>
      </c>
      <c r="AA38" s="11" t="inlineStr">
        <is>
          <t>2026-10-07</t>
        </is>
      </c>
      <c r="AB38" s="11" t="inlineStr">
        <is>
          <t>name_year</t>
        </is>
      </c>
      <c r="AC38" s="2" t="inlineStr"/>
      <c r="AD38" s="2" t="inlineStr">
        <is>
          <t>The Regional Manager, UPSRTC, Jhansi Region v. Man Singh and The Presiding Officer, Labour Court (2005) was overruled by U.P. State Road Transport Corporation v. Man Singh (2006).</t>
        </is>
      </c>
      <c r="AE38" s="2" t="n"/>
      <c r="AF38" s="11" t="inlineStr">
        <is>
          <t>created from list 1</t>
        </is>
      </c>
    </row>
    <row r="39">
      <c r="A39" s="11" t="inlineStr">
        <is>
          <t>L1-0038</t>
        </is>
      </c>
      <c r="B39" s="11" t="inlineStr">
        <is>
          <t>List 1 (to ~2015)</t>
        </is>
      </c>
      <c r="C39" s="11" t="inlineStr">
        <is>
          <t>list1</t>
        </is>
      </c>
      <c r="D39" s="11" t="inlineStr">
        <is>
          <t>verified</t>
        </is>
      </c>
      <c r="E39" s="11" t="inlineStr">
        <is>
          <t>overruled</t>
        </is>
      </c>
      <c r="F39" s="2" t="inlineStr">
        <is>
          <t>Mukesh Ram Chandani and others v. State of U.P. and others</t>
        </is>
      </c>
      <c r="G39" s="11" t="inlineStr"/>
      <c r="H39" s="11" t="inlineStr">
        <is>
          <t>Allahabad</t>
        </is>
      </c>
      <c r="I39" s="2" t="inlineStr">
        <is>
          <t>AIR 1996 All 219; (1996) 1 AWC 153; (1995) 3 UPLBEC 2006</t>
        </is>
      </c>
      <c r="J39" s="11" t="n">
        <v>1996</v>
      </c>
      <c r="K39" s="2" t="inlineStr">
        <is>
          <t>Anugrah Narain Singh and Another v. State of U.P. and Others</t>
        </is>
      </c>
      <c r="L39" s="11" t="inlineStr">
        <is>
          <t>Supreme Court</t>
        </is>
      </c>
      <c r="M39" s="2" t="inlineStr">
        <is>
          <t>(1996) 7 AD 477; (1996) 8 JT 733; (1996) 7 SCALE 56; (1996) 6 SCC 303; (1996) 5 SCR 719 Supp</t>
        </is>
      </c>
      <c r="N39" s="11" t="n">
        <v>1996</v>
      </c>
      <c r="O39" s="11" t="n"/>
      <c r="P39" s="11" t="n"/>
      <c r="Q39" s="11" t="n"/>
      <c r="R39" s="2" t="n"/>
      <c r="S39" s="2" t="n"/>
      <c r="T39" s="11" t="inlineStr"/>
      <c r="U39" s="11" t="inlineStr"/>
      <c r="V39" s="11" t="inlineStr">
        <is>
          <t>outside_list</t>
        </is>
      </c>
      <c r="W39" s="11" t="n"/>
      <c r="X39" s="11" t="n"/>
      <c r="Y39" s="11" t="n"/>
      <c r="Z39" s="11" t="inlineStr">
        <is>
          <t>Mr. Advocate</t>
        </is>
      </c>
      <c r="AA39" s="11" t="inlineStr">
        <is>
          <t>2026-10-07</t>
        </is>
      </c>
      <c r="AB39" s="11" t="inlineStr">
        <is>
          <t>name_year</t>
        </is>
      </c>
      <c r="AC39" s="2" t="inlineStr"/>
      <c r="AD39" s="2" t="inlineStr">
        <is>
          <t>Mukesh Ram Chandani and others v. State of U.P. and others (1996) was overruled by Anugrah Narain Singh and Another v. State of U.P. and Others (1996).</t>
        </is>
      </c>
      <c r="AE39" s="2" t="n"/>
      <c r="AF39" s="11" t="inlineStr">
        <is>
          <t>created from list 1</t>
        </is>
      </c>
    </row>
    <row r="40">
      <c r="A40" s="11" t="inlineStr">
        <is>
          <t>L1-0039</t>
        </is>
      </c>
      <c r="B40" s="11" t="inlineStr">
        <is>
          <t>List 1 (to ~2015)</t>
        </is>
      </c>
      <c r="C40" s="11" t="inlineStr">
        <is>
          <t>list1</t>
        </is>
      </c>
      <c r="D40" s="11" t="inlineStr">
        <is>
          <t>verified</t>
        </is>
      </c>
      <c r="E40" s="11" t="inlineStr">
        <is>
          <t>reversed_on_appeal</t>
        </is>
      </c>
      <c r="F40" s="2" t="inlineStr">
        <is>
          <t>Hindustan Safety Glass Works (P.) Ltd. v. The State of Uttar Pradesh and Another</t>
        </is>
      </c>
      <c r="G40" s="11" t="inlineStr"/>
      <c r="H40" s="11" t="inlineStr">
        <is>
          <t>unknown</t>
        </is>
      </c>
      <c r="I40" s="2" t="inlineStr">
        <is>
          <t>(1974) 34 STC 209</t>
        </is>
      </c>
      <c r="J40" s="11" t="n">
        <v>1974</v>
      </c>
      <c r="K40" s="2" t="inlineStr">
        <is>
          <t>State of Uttar Pradesh and another v. M/s. Hindustan Safety Glass Works (P) Ltd.</t>
        </is>
      </c>
      <c r="L40" s="11" t="inlineStr">
        <is>
          <t>Supreme Court</t>
        </is>
      </c>
      <c r="M40" s="2" t="inlineStr">
        <is>
          <t>(1996) 3 AD 483; AIR 1996 SC 1519; (1996) 64 ECR 337; (1996) 5 JT 549; (1996) 3 SCALE 11; (1996) 8 SCC 84; (1996) 3 SCR 678; (1996) 101 STC 529</t>
        </is>
      </c>
      <c r="N40" s="11" t="n">
        <v>1996</v>
      </c>
      <c r="O40" s="11" t="n"/>
      <c r="P40" s="11" t="n"/>
      <c r="Q40" s="11" t="n"/>
      <c r="R40" s="2" t="n"/>
      <c r="S40" s="2" t="n"/>
      <c r="T40" s="11" t="inlineStr">
        <is>
          <t>yes</t>
        </is>
      </c>
      <c r="U40" s="11" t="inlineStr"/>
      <c r="V40" s="11" t="inlineStr">
        <is>
          <t>outside_list</t>
        </is>
      </c>
      <c r="W40" s="11" t="n"/>
      <c r="X40" s="11" t="n"/>
      <c r="Y40" s="11" t="n"/>
      <c r="Z40" s="11" t="inlineStr">
        <is>
          <t>Mr. Advocate</t>
        </is>
      </c>
      <c r="AA40" s="11" t="inlineStr">
        <is>
          <t>2026-10-07</t>
        </is>
      </c>
      <c r="AB40" s="11" t="inlineStr">
        <is>
          <t>name_year</t>
        </is>
      </c>
      <c r="AC40" s="2" t="inlineStr"/>
      <c r="AD40" s="2" t="inlineStr">
        <is>
          <t>Hindustan Safety Glass Works (P.) Ltd. v. The State of Uttar Pradesh and Another (1974) was reversed on appeal by the Supreme Court in State of Uttar Pradesh and another v. M/s. Hindustan Safety Glass Works (P) Ltd. (1996).</t>
        </is>
      </c>
      <c r="AE40" s="2" t="n"/>
      <c r="AF40" s="11" t="inlineStr">
        <is>
          <t>created from list 1</t>
        </is>
      </c>
    </row>
    <row r="41">
      <c r="A41" s="11" t="inlineStr">
        <is>
          <t>L1-0040</t>
        </is>
      </c>
      <c r="B41" s="11" t="inlineStr">
        <is>
          <t>List 1 (to ~2015)</t>
        </is>
      </c>
      <c r="C41" s="11" t="inlineStr">
        <is>
          <t>list1</t>
        </is>
      </c>
      <c r="D41" s="11" t="inlineStr">
        <is>
          <t>verified</t>
        </is>
      </c>
      <c r="E41" s="11" t="inlineStr">
        <is>
          <t>overruled</t>
        </is>
      </c>
      <c r="F41" s="2" t="inlineStr">
        <is>
          <t>Shankar Lal and Another v. Sarup Lal and Another</t>
        </is>
      </c>
      <c r="G41" s="11" t="inlineStr"/>
      <c r="H41" s="11" t="inlineStr">
        <is>
          <t>unknown</t>
        </is>
      </c>
      <c r="I41" s="2" t="inlineStr">
        <is>
          <t>(1912) ILR (All) 140</t>
        </is>
      </c>
      <c r="J41" s="11" t="n">
        <v>1912</v>
      </c>
      <c r="K41" s="2" t="inlineStr">
        <is>
          <t>Municipal Corporation of Delhi and Others v. Intnl. Security and Intelligence Agency Ltd.</t>
        </is>
      </c>
      <c r="L41" s="11" t="inlineStr">
        <is>
          <t>Supreme Court</t>
        </is>
      </c>
      <c r="M41" s="2" t="inlineStr">
        <is>
          <t>AIR 2003 SC 1515; (2003) 1 ARBLR 432; (2003) 2 JT 103; (2003) 1 SCALE 771; (2004) 3 SCC 250; (2003) 1 SCR 951; (2003) 1 UJ 562; (2003) AIRSCW 870; (2003) 1 Supreme 923</t>
        </is>
      </c>
      <c r="N41" s="11" t="n">
        <v>2003</v>
      </c>
      <c r="O41" s="11" t="n"/>
      <c r="P41" s="11" t="n"/>
      <c r="Q41" s="11" t="n"/>
      <c r="R41" s="2" t="n"/>
      <c r="S41" s="2" t="n"/>
      <c r="T41" s="11" t="inlineStr"/>
      <c r="U41" s="11" t="inlineStr"/>
      <c r="V41" s="11" t="inlineStr">
        <is>
          <t>outside_list</t>
        </is>
      </c>
      <c r="W41" s="11" t="n"/>
      <c r="X41" s="11" t="n"/>
      <c r="Y41" s="11" t="n"/>
      <c r="Z41" s="11" t="inlineStr">
        <is>
          <t>Mr. Advocate</t>
        </is>
      </c>
      <c r="AA41" s="11" t="inlineStr">
        <is>
          <t>2026-10-07</t>
        </is>
      </c>
      <c r="AB41" s="11" t="inlineStr">
        <is>
          <t>name_year</t>
        </is>
      </c>
      <c r="AC41" s="2" t="inlineStr"/>
      <c r="AD41" s="2" t="inlineStr">
        <is>
          <t>Shankar Lal and Another v. Sarup Lal and Another (1912) was overruled by Municipal Corporation of Delhi and Others v. Intnl. Security and Intelligence Agency Ltd. (2003).</t>
        </is>
      </c>
      <c r="AE41" s="2" t="n"/>
      <c r="AF41" s="11" t="inlineStr">
        <is>
          <t>created from list 1</t>
        </is>
      </c>
    </row>
    <row r="42">
      <c r="A42" s="11" t="inlineStr">
        <is>
          <t>L1-0041</t>
        </is>
      </c>
      <c r="B42" s="11" t="inlineStr">
        <is>
          <t>List 1 (to ~2015)</t>
        </is>
      </c>
      <c r="C42" s="11" t="inlineStr">
        <is>
          <t>list1</t>
        </is>
      </c>
      <c r="D42" s="11" t="inlineStr">
        <is>
          <t>verified</t>
        </is>
      </c>
      <c r="E42" s="11" t="inlineStr">
        <is>
          <t>overruled</t>
        </is>
      </c>
      <c r="F42" s="2" t="inlineStr">
        <is>
          <t>Moti Lal Purshottam Das v. The Income Tax Officer, Kanpur</t>
        </is>
      </c>
      <c r="G42" s="11" t="inlineStr"/>
      <c r="H42" s="11" t="inlineStr">
        <is>
          <t>Allahabad</t>
        </is>
      </c>
      <c r="I42" s="2" t="inlineStr">
        <is>
          <t>AIR 1961 All 133; (1960) 39 ITR 497</t>
        </is>
      </c>
      <c r="J42" s="11" t="n">
        <v>1961</v>
      </c>
      <c r="K42" s="2" t="inlineStr">
        <is>
          <t>Sahu Rajeshwar Nath v. Income Tax Officer, C-Ward, Meerut and Another</t>
        </is>
      </c>
      <c r="L42" s="11" t="inlineStr">
        <is>
          <t>Supreme Court</t>
        </is>
      </c>
      <c r="M42" s="2" t="inlineStr">
        <is>
          <t>AIR 1969 SC 667; (1969) 72 ITR 617; (1969) 1 SCR 999</t>
        </is>
      </c>
      <c r="N42" s="11" t="n">
        <v>1969</v>
      </c>
      <c r="O42" s="11" t="n"/>
      <c r="P42" s="11" t="n"/>
      <c r="Q42" s="11" t="n"/>
      <c r="R42" s="2" t="n"/>
      <c r="S42" s="2" t="n"/>
      <c r="T42" s="11" t="inlineStr"/>
      <c r="U42" s="11" t="inlineStr"/>
      <c r="V42" s="11" t="inlineStr">
        <is>
          <t>outside_list</t>
        </is>
      </c>
      <c r="W42" s="11" t="n"/>
      <c r="X42" s="11" t="n"/>
      <c r="Y42" s="11" t="n"/>
      <c r="Z42" s="11" t="inlineStr">
        <is>
          <t>Mr. Advocate</t>
        </is>
      </c>
      <c r="AA42" s="11" t="inlineStr">
        <is>
          <t>2026-10-07</t>
        </is>
      </c>
      <c r="AB42" s="11" t="inlineStr">
        <is>
          <t>name_year</t>
        </is>
      </c>
      <c r="AC42" s="2" t="inlineStr"/>
      <c r="AD42" s="2" t="inlineStr">
        <is>
          <t>Moti Lal Purshottam Das v. The Income Tax Officer, Kanpur (1961) was overruled by Sahu Rajeshwar Nath v. Income Tax Officer, C-Ward, Meerut and Another (1969).</t>
        </is>
      </c>
      <c r="AE42" s="2" t="n"/>
      <c r="AF42" s="11" t="inlineStr">
        <is>
          <t>created from list 1</t>
        </is>
      </c>
    </row>
    <row r="43">
      <c r="A43" s="11" t="inlineStr">
        <is>
          <t>L1-0042</t>
        </is>
      </c>
      <c r="B43" s="11" t="inlineStr">
        <is>
          <t>List 1 (to ~2015)</t>
        </is>
      </c>
      <c r="C43" s="11" t="inlineStr">
        <is>
          <t>list1</t>
        </is>
      </c>
      <c r="D43" s="11" t="inlineStr">
        <is>
          <t>verified</t>
        </is>
      </c>
      <c r="E43" s="11" t="inlineStr">
        <is>
          <t>overruled</t>
        </is>
      </c>
      <c r="F43" s="2" t="inlineStr">
        <is>
          <t>Lala Jageshwar Prasad v. Shyam Behari Lal</t>
        </is>
      </c>
      <c r="G43" s="11" t="inlineStr"/>
      <c r="H43" s="11" t="inlineStr">
        <is>
          <t>Allahabad</t>
        </is>
      </c>
      <c r="I43" s="2" t="inlineStr">
        <is>
          <t>AIR 1967 All 125</t>
        </is>
      </c>
      <c r="J43" s="11" t="n">
        <v>1967</v>
      </c>
      <c r="K43" s="2" t="inlineStr">
        <is>
          <t>Smt. Gangabai Gilda v. Smt. Chhabubai Gandhi</t>
        </is>
      </c>
      <c r="L43" s="11" t="inlineStr">
        <is>
          <t>Supreme Court</t>
        </is>
      </c>
      <c r="M43" s="2" t="inlineStr">
        <is>
          <t>AIR 1982 SC 20; (1981) 3 SCALE 1753; (1982) 1 SCC 4; (1982) 1 SCR 1176; (1982) 14 UJ 1</t>
        </is>
      </c>
      <c r="N43" s="11" t="n">
        <v>1982</v>
      </c>
      <c r="O43" s="11" t="n"/>
      <c r="P43" s="11" t="n"/>
      <c r="Q43" s="11" t="n"/>
      <c r="R43" s="2" t="n"/>
      <c r="S43" s="2" t="n"/>
      <c r="T43" s="11" t="inlineStr"/>
      <c r="U43" s="11" t="inlineStr"/>
      <c r="V43" s="11" t="inlineStr">
        <is>
          <t>outside_list</t>
        </is>
      </c>
      <c r="W43" s="11" t="n"/>
      <c r="X43" s="11" t="n"/>
      <c r="Y43" s="11" t="n"/>
      <c r="Z43" s="11" t="inlineStr">
        <is>
          <t>Mr. Advocate</t>
        </is>
      </c>
      <c r="AA43" s="11" t="inlineStr">
        <is>
          <t>2026-10-07</t>
        </is>
      </c>
      <c r="AB43" s="11" t="inlineStr">
        <is>
          <t>name_year</t>
        </is>
      </c>
      <c r="AC43" s="2" t="inlineStr"/>
      <c r="AD43" s="2" t="inlineStr">
        <is>
          <t>Lala Jageshwar Prasad v. Shyam Behari Lal (1967) was overruled by Smt. Gangabai Gilda v. Smt. Chhabubai Gandhi (1982).</t>
        </is>
      </c>
      <c r="AE43" s="2" t="n"/>
      <c r="AF43" s="11" t="inlineStr">
        <is>
          <t>created from list 1</t>
        </is>
      </c>
    </row>
    <row r="44">
      <c r="A44" s="11" t="inlineStr">
        <is>
          <t>L1-0043</t>
        </is>
      </c>
      <c r="B44" s="11" t="inlineStr">
        <is>
          <t>List 1 (to ~2015)</t>
        </is>
      </c>
      <c r="C44" s="11" t="inlineStr">
        <is>
          <t>list1</t>
        </is>
      </c>
      <c r="D44" s="11" t="inlineStr">
        <is>
          <t>verified</t>
        </is>
      </c>
      <c r="E44" s="11" t="inlineStr">
        <is>
          <t>overruled</t>
        </is>
      </c>
      <c r="F44" s="2" t="inlineStr">
        <is>
          <t>Balwant Singh and Others v. L. Murari Lal</t>
        </is>
      </c>
      <c r="G44" s="11" t="inlineStr"/>
      <c r="H44" s="11" t="inlineStr">
        <is>
          <t>Allahabad</t>
        </is>
      </c>
      <c r="I44" s="2" t="inlineStr">
        <is>
          <t>AIR 1965 All 187</t>
        </is>
      </c>
      <c r="J44" s="11" t="n">
        <v>1965</v>
      </c>
      <c r="K44" s="2" t="inlineStr">
        <is>
          <t>Samir Mukherjee v. Davinder K. Bajaj and Others</t>
        </is>
      </c>
      <c r="L44" s="11" t="inlineStr">
        <is>
          <t>Supreme Court</t>
        </is>
      </c>
      <c r="M44" s="2" t="inlineStr">
        <is>
          <t>AIR 2001 SC 1696; (2001) 5 JT 75; (2001) 3 SCALE 431; (2001) 5 SCC 259; (2001) 3 SCR 88; (2001) 2 UJ 1171; (2001) AIRSCW 1740; (2001) 3 Supreme 482</t>
        </is>
      </c>
      <c r="N44" s="11" t="n">
        <v>2001</v>
      </c>
      <c r="O44" s="11" t="n"/>
      <c r="P44" s="11" t="n"/>
      <c r="Q44" s="11" t="n"/>
      <c r="R44" s="2" t="n"/>
      <c r="S44" s="2" t="n"/>
      <c r="T44" s="11" t="inlineStr"/>
      <c r="U44" s="11" t="inlineStr"/>
      <c r="V44" s="11" t="inlineStr">
        <is>
          <t>outside_list</t>
        </is>
      </c>
      <c r="W44" s="11" t="n"/>
      <c r="X44" s="11" t="n"/>
      <c r="Y44" s="11" t="n"/>
      <c r="Z44" s="11" t="inlineStr">
        <is>
          <t>Mr. Advocate</t>
        </is>
      </c>
      <c r="AA44" s="11" t="inlineStr">
        <is>
          <t>2026-10-07</t>
        </is>
      </c>
      <c r="AB44" s="11" t="inlineStr">
        <is>
          <t>name_year</t>
        </is>
      </c>
      <c r="AC44" s="2" t="inlineStr"/>
      <c r="AD44" s="2" t="inlineStr">
        <is>
          <t>Balwant Singh and Others v. L. Murari Lal (1965) was overruled by Samir Mukherjee v. Davinder K. Bajaj and Others (2001).</t>
        </is>
      </c>
      <c r="AE44" s="2" t="n"/>
      <c r="AF44" s="11" t="inlineStr">
        <is>
          <t>created from list 1</t>
        </is>
      </c>
    </row>
    <row r="45">
      <c r="A45" s="11" t="inlineStr">
        <is>
          <t>L1-0044</t>
        </is>
      </c>
      <c r="B45" s="11" t="inlineStr">
        <is>
          <t>List 1 (to ~2015)</t>
        </is>
      </c>
      <c r="C45" s="11" t="inlineStr">
        <is>
          <t>list1</t>
        </is>
      </c>
      <c r="D45" s="11" t="inlineStr">
        <is>
          <t>verified</t>
        </is>
      </c>
      <c r="E45" s="11" t="inlineStr">
        <is>
          <t>overruled</t>
        </is>
      </c>
      <c r="F45" s="2" t="inlineStr">
        <is>
          <t>Raj Narain v. Smt. Indira Nehru Gandhi and Another</t>
        </is>
      </c>
      <c r="G45" s="11" t="inlineStr"/>
      <c r="H45" s="11" t="inlineStr">
        <is>
          <t>Allahabad</t>
        </is>
      </c>
      <c r="I45" s="2" t="inlineStr">
        <is>
          <t>AIR 1974 All 324</t>
        </is>
      </c>
      <c r="J45" s="11" t="n">
        <v>1974</v>
      </c>
      <c r="K45" s="2" t="inlineStr">
        <is>
          <t>The State of U.P. v. Raj Narain and Others</t>
        </is>
      </c>
      <c r="L45" s="11" t="inlineStr">
        <is>
          <t>Supreme Court</t>
        </is>
      </c>
      <c r="M45" s="2" t="inlineStr">
        <is>
          <t>AIR 1975 SC 865; (1975) 4 SCC 428; (1975) 3 SCR 333</t>
        </is>
      </c>
      <c r="N45" s="11" t="n">
        <v>1975</v>
      </c>
      <c r="O45" s="11" t="n"/>
      <c r="P45" s="11" t="n"/>
      <c r="Q45" s="11" t="n"/>
      <c r="R45" s="2" t="n"/>
      <c r="S45" s="2" t="n"/>
      <c r="T45" s="11" t="inlineStr"/>
      <c r="U45" s="11" t="inlineStr"/>
      <c r="V45" s="11" t="inlineStr">
        <is>
          <t>outside_list</t>
        </is>
      </c>
      <c r="W45" s="11" t="n"/>
      <c r="X45" s="11" t="n"/>
      <c r="Y45" s="11" t="n"/>
      <c r="Z45" s="11" t="inlineStr">
        <is>
          <t>Mr. Advocate</t>
        </is>
      </c>
      <c r="AA45" s="11" t="inlineStr">
        <is>
          <t>2026-10-07</t>
        </is>
      </c>
      <c r="AB45" s="11" t="inlineStr">
        <is>
          <t>name_year</t>
        </is>
      </c>
      <c r="AC45" s="2" t="inlineStr"/>
      <c r="AD45" s="2" t="inlineStr">
        <is>
          <t>Raj Narain v. Smt. Indira Nehru Gandhi and Another (1974) was overruled by The State of U.P. v. Raj Narain and Others (1975).</t>
        </is>
      </c>
      <c r="AE45" s="2" t="n"/>
      <c r="AF45" s="11" t="inlineStr">
        <is>
          <t>created from list 1</t>
        </is>
      </c>
    </row>
    <row r="46">
      <c r="A46" s="11" t="inlineStr">
        <is>
          <t>L1-0045</t>
        </is>
      </c>
      <c r="B46" s="11" t="inlineStr">
        <is>
          <t>List 1 (to ~2015)</t>
        </is>
      </c>
      <c r="C46" s="11" t="inlineStr">
        <is>
          <t>list1</t>
        </is>
      </c>
      <c r="D46" s="11" t="inlineStr">
        <is>
          <t>verified</t>
        </is>
      </c>
      <c r="E46" s="11" t="inlineStr">
        <is>
          <t>overruled</t>
        </is>
      </c>
      <c r="F46" s="2" t="inlineStr">
        <is>
          <t>Haji Rahim Bux and Sons and Others v. Firm Samiullah and Sons</t>
        </is>
      </c>
      <c r="G46" s="11" t="inlineStr"/>
      <c r="H46" s="11" t="inlineStr">
        <is>
          <t>Allahabad</t>
        </is>
      </c>
      <c r="I46" s="2" t="inlineStr">
        <is>
          <t>AIR 1963 All 320</t>
        </is>
      </c>
      <c r="J46" s="11" t="n">
        <v>1963</v>
      </c>
      <c r="K46" s="2" t="inlineStr">
        <is>
          <t>Rajender Singh v. Ramdhar Singh and Others</t>
        </is>
      </c>
      <c r="L46" s="11" t="inlineStr">
        <is>
          <t>Supreme Court</t>
        </is>
      </c>
      <c r="M46" s="2" t="inlineStr">
        <is>
          <t>AIR 2001 SC 2220; (2001) 1 JT 95 Supp; (2001) 4 SCALE 170; (2001) 6 SCC 213; (2001) 3 SCR 736; (2001) AIRSCW 2118; (2001) 4 Supreme 170</t>
        </is>
      </c>
      <c r="N46" s="11" t="n">
        <v>2001</v>
      </c>
      <c r="O46" s="11" t="n"/>
      <c r="P46" s="11" t="n"/>
      <c r="Q46" s="11" t="n"/>
      <c r="R46" s="2" t="n"/>
      <c r="S46" s="2" t="n"/>
      <c r="T46" s="11" t="inlineStr"/>
      <c r="U46" s="11" t="inlineStr"/>
      <c r="V46" s="11" t="inlineStr">
        <is>
          <t>outside_list</t>
        </is>
      </c>
      <c r="W46" s="11" t="n"/>
      <c r="X46" s="11" t="n"/>
      <c r="Y46" s="11" t="n"/>
      <c r="Z46" s="11" t="inlineStr">
        <is>
          <t>Mr. Advocate</t>
        </is>
      </c>
      <c r="AA46" s="11" t="inlineStr">
        <is>
          <t>2026-10-07</t>
        </is>
      </c>
      <c r="AB46" s="11" t="inlineStr">
        <is>
          <t>name_year</t>
        </is>
      </c>
      <c r="AC46" s="2" t="inlineStr"/>
      <c r="AD46" s="2" t="inlineStr">
        <is>
          <t>Haji Rahim Bux and Sons and Others v. Firm Samiullah and Sons (1963) was overruled by Rajender Singh v. Ramdhar Singh and Others (2001).</t>
        </is>
      </c>
      <c r="AE46" s="2" t="n"/>
      <c r="AF46" s="11" t="inlineStr">
        <is>
          <t>created from list 1</t>
        </is>
      </c>
    </row>
    <row r="47">
      <c r="A47" s="11" t="inlineStr">
        <is>
          <t>L1-0046</t>
        </is>
      </c>
      <c r="B47" s="11" t="inlineStr">
        <is>
          <t>List 1 (to ~2015)</t>
        </is>
      </c>
      <c r="C47" s="11" t="inlineStr">
        <is>
          <t>list1</t>
        </is>
      </c>
      <c r="D47" s="11" t="inlineStr">
        <is>
          <t>verified</t>
        </is>
      </c>
      <c r="E47" s="11" t="inlineStr">
        <is>
          <t>overruled</t>
        </is>
      </c>
      <c r="F47" s="2" t="inlineStr">
        <is>
          <t>Abdul Rashid v. Sultana Begum</t>
        </is>
      </c>
      <c r="G47" s="11" t="inlineStr"/>
      <c r="H47" s="11" t="inlineStr">
        <is>
          <t>unknown</t>
        </is>
      </c>
      <c r="I47" s="2" t="inlineStr">
        <is>
          <t>(1992) CriLJ 76</t>
        </is>
      </c>
      <c r="J47" s="11" t="n">
        <v>1992</v>
      </c>
      <c r="K47" s="2" t="inlineStr">
        <is>
          <t>Danial Latifi and Another v. Union of India</t>
        </is>
      </c>
      <c r="L47" s="11" t="inlineStr">
        <is>
          <t>Supreme Court</t>
        </is>
      </c>
      <c r="M47" s="2" t="inlineStr">
        <is>
          <t>(2001) 8 AD 1; AIR 2001 SC 3958; (2001) CriLJ 4660; (2001) 2 DMC 714; (2001) 8 JT 218; (2001) 6 SCALE 537; (2001) 7 SCC 740; (2001) AIRSCW 3932; (2001) 7 Supreme 297</t>
        </is>
      </c>
      <c r="N47" s="11" t="n">
        <v>2001</v>
      </c>
      <c r="O47" s="11" t="n"/>
      <c r="P47" s="11" t="n"/>
      <c r="Q47" s="11" t="n"/>
      <c r="R47" s="2" t="n"/>
      <c r="S47" s="2" t="n"/>
      <c r="T47" s="11" t="inlineStr"/>
      <c r="U47" s="11" t="inlineStr"/>
      <c r="V47" s="11" t="inlineStr">
        <is>
          <t>outside_list</t>
        </is>
      </c>
      <c r="W47" s="11" t="n"/>
      <c r="X47" s="11" t="n"/>
      <c r="Y47" s="11" t="n"/>
      <c r="Z47" s="11" t="inlineStr">
        <is>
          <t>Mr. Advocate</t>
        </is>
      </c>
      <c r="AA47" s="11" t="inlineStr">
        <is>
          <t>2026-10-07</t>
        </is>
      </c>
      <c r="AB47" s="11" t="inlineStr">
        <is>
          <t>name_year</t>
        </is>
      </c>
      <c r="AC47" s="2" t="inlineStr"/>
      <c r="AD47" s="2" t="inlineStr">
        <is>
          <t>Abdul Rashid v. Sultana Begum (1992) was overruled by Danial Latifi and Another v. Union of India (2001).</t>
        </is>
      </c>
      <c r="AE47" s="2" t="n"/>
      <c r="AF47" s="11" t="inlineStr">
        <is>
          <t>created from list 1</t>
        </is>
      </c>
    </row>
    <row r="48">
      <c r="A48" s="11" t="inlineStr">
        <is>
          <t>L1-0047</t>
        </is>
      </c>
      <c r="B48" s="11" t="inlineStr">
        <is>
          <t>List 1 (to ~2015)</t>
        </is>
      </c>
      <c r="C48" s="11" t="inlineStr">
        <is>
          <t>list1</t>
        </is>
      </c>
      <c r="D48" s="11" t="inlineStr">
        <is>
          <t>verified</t>
        </is>
      </c>
      <c r="E48" s="11" t="inlineStr">
        <is>
          <t>reversed_on_appeal</t>
        </is>
      </c>
      <c r="F48" s="2" t="inlineStr">
        <is>
          <t>Sher Bahadur v. Union of India and others</t>
        </is>
      </c>
      <c r="G48" s="11" t="inlineStr"/>
      <c r="H48" s="11" t="inlineStr">
        <is>
          <t>unknown</t>
        </is>
      </c>
      <c r="I48" s="2" t="inlineStr">
        <is>
          <t>(2001) 3 AWC 1860; (2001) 90 FLR 354; (2001) LabIC 3887; (2001) 2 UPLBEC 1656</t>
        </is>
      </c>
      <c r="J48" s="11" t="n">
        <v>2001</v>
      </c>
      <c r="K48" s="2" t="inlineStr">
        <is>
          <t>Sher Bahadur v. Union of India (UOI) and Others</t>
        </is>
      </c>
      <c r="L48" s="11" t="inlineStr">
        <is>
          <t>Supreme Court</t>
        </is>
      </c>
      <c r="M48" s="2" t="inlineStr">
        <is>
          <t>AIR 2002 SC 3030; (2002) 95 FLR 11; (2002) 6 JT 152; (2002) LabIC 2974; (2002) 3 LLJ 848; (2002) 5 SCALE 616; (2002) 7 SCC 142; (2002) 1 SCR 568 Supp; (2002) 3 SCT 1069; (2002) AIRSCW 3379; (2002) 5 Supreme 330</t>
        </is>
      </c>
      <c r="N48" s="11" t="n">
        <v>2002</v>
      </c>
      <c r="O48" s="11" t="n"/>
      <c r="P48" s="11" t="n"/>
      <c r="Q48" s="11" t="n"/>
      <c r="R48" s="2" t="n"/>
      <c r="S48" s="2" t="n"/>
      <c r="T48" s="11" t="inlineStr">
        <is>
          <t>yes</t>
        </is>
      </c>
      <c r="U48" s="11" t="inlineStr"/>
      <c r="V48" s="11" t="inlineStr">
        <is>
          <t>outside_list</t>
        </is>
      </c>
      <c r="W48" s="11" t="n"/>
      <c r="X48" s="11" t="n"/>
      <c r="Y48" s="11" t="n"/>
      <c r="Z48" s="11" t="inlineStr">
        <is>
          <t>Mr. Advocate</t>
        </is>
      </c>
      <c r="AA48" s="11" t="inlineStr">
        <is>
          <t>2026-10-07</t>
        </is>
      </c>
      <c r="AB48" s="11" t="inlineStr">
        <is>
          <t>name_year</t>
        </is>
      </c>
      <c r="AC48" s="2" t="inlineStr"/>
      <c r="AD48" s="2" t="inlineStr">
        <is>
          <t>Sher Bahadur v. Union of India and others (2001) was reversed on appeal by the Supreme Court in Sher Bahadur v. Union of India (UOI) and Others (2002).</t>
        </is>
      </c>
      <c r="AE48" s="2" t="n"/>
      <c r="AF48" s="11" t="inlineStr">
        <is>
          <t>created from list 1</t>
        </is>
      </c>
    </row>
    <row r="49">
      <c r="A49" s="11" t="inlineStr">
        <is>
          <t>L1-0048</t>
        </is>
      </c>
      <c r="B49" s="11" t="inlineStr">
        <is>
          <t>List 1 (to ~2015)</t>
        </is>
      </c>
      <c r="C49" s="11" t="inlineStr">
        <is>
          <t>list1</t>
        </is>
      </c>
      <c r="D49" s="11" t="inlineStr">
        <is>
          <t>verified</t>
        </is>
      </c>
      <c r="E49" s="11" t="inlineStr">
        <is>
          <t>overruled</t>
        </is>
      </c>
      <c r="F49" s="2" t="inlineStr">
        <is>
          <t>Shadi Cycle Industries v. Commissioner of Sales Tax</t>
        </is>
      </c>
      <c r="G49" s="11" t="inlineStr"/>
      <c r="H49" s="11" t="inlineStr">
        <is>
          <t>unknown</t>
        </is>
      </c>
      <c r="I49" s="2" t="inlineStr">
        <is>
          <t>(1971) 27 STC 56</t>
        </is>
      </c>
      <c r="J49" s="11" t="n">
        <v>1971</v>
      </c>
      <c r="K49" s="2" t="inlineStr">
        <is>
          <t>Plasmac Machine Manufacturing Co. Pvt. Ltd. v. Collector of Central Excise, Bombay</t>
        </is>
      </c>
      <c r="L49" s="11" t="inlineStr">
        <is>
          <t>Supreme Court</t>
        </is>
      </c>
      <c r="M49" s="2" t="inlineStr">
        <is>
          <t>AIR 1991 SC 999; (1991) 31 ECC 221; (1991) 51 ELT 161; (1990) 4 JT 549; (1990) 2 SCALE 1149; (1991) 1 SCC 57 Supp; (1990) 3 SCR 384 Supp; (1992) 84 STC 107; (1991) 1 UJ 282</t>
        </is>
      </c>
      <c r="N49" s="11" t="n">
        <v>1991</v>
      </c>
      <c r="O49" s="11" t="n"/>
      <c r="P49" s="11" t="n"/>
      <c r="Q49" s="11" t="n"/>
      <c r="R49" s="2" t="n"/>
      <c r="S49" s="2" t="n"/>
      <c r="T49" s="11" t="inlineStr"/>
      <c r="U49" s="11" t="inlineStr"/>
      <c r="V49" s="11" t="inlineStr">
        <is>
          <t>outside_list</t>
        </is>
      </c>
      <c r="W49" s="11" t="n"/>
      <c r="X49" s="11" t="n"/>
      <c r="Y49" s="11" t="n"/>
      <c r="Z49" s="11" t="inlineStr">
        <is>
          <t>Mr. Advocate</t>
        </is>
      </c>
      <c r="AA49" s="11" t="inlineStr">
        <is>
          <t>2026-10-07</t>
        </is>
      </c>
      <c r="AB49" s="11" t="inlineStr">
        <is>
          <t>name_year</t>
        </is>
      </c>
      <c r="AC49" s="2" t="inlineStr"/>
      <c r="AD49" s="2" t="inlineStr">
        <is>
          <t>Shadi Cycle Industries v. Commissioner of Sales Tax (1971) was overruled by Plasmac Machine Manufacturing Co. Pvt. Ltd. v. Collector of Central Excise, Bombay (1991).</t>
        </is>
      </c>
      <c r="AE49" s="2" t="n"/>
      <c r="AF49" s="11" t="inlineStr">
        <is>
          <t>created from list 1</t>
        </is>
      </c>
    </row>
    <row r="50">
      <c r="A50" s="11" t="inlineStr">
        <is>
          <t>L1-0049</t>
        </is>
      </c>
      <c r="B50" s="11" t="inlineStr">
        <is>
          <t>List 1 (to ~2015)</t>
        </is>
      </c>
      <c r="C50" s="11" t="inlineStr">
        <is>
          <t>list1</t>
        </is>
      </c>
      <c r="D50" s="11" t="inlineStr">
        <is>
          <t>verified</t>
        </is>
      </c>
      <c r="E50" s="11" t="inlineStr">
        <is>
          <t>overruled</t>
        </is>
      </c>
      <c r="F50" s="2" t="inlineStr">
        <is>
          <t>Madho Prasad v. Commissioner of Income Tax</t>
        </is>
      </c>
      <c r="G50" s="11" t="inlineStr"/>
      <c r="H50" s="11" t="inlineStr">
        <is>
          <t>unknown</t>
        </is>
      </c>
      <c r="I50" s="2" t="inlineStr">
        <is>
          <t>(1978) 112 ITR 492</t>
        </is>
      </c>
      <c r="J50" s="11" t="n">
        <v>1978</v>
      </c>
      <c r="K50" s="2" t="inlineStr">
        <is>
          <t>Anil Saran v. State of Bihar and another</t>
        </is>
      </c>
      <c r="L50" s="11" t="inlineStr">
        <is>
          <t>Supreme Court</t>
        </is>
      </c>
      <c r="M50" s="2" t="inlineStr">
        <is>
          <t>AIR 1996 SC 204; AIR 1995 SC 204; (1996) CriLJ 408; (1995) 3 Crimes 740; (1995) 6 JT 428; (1995) 5 SCALE 216; (1995) 6 SCC 142; (1995) 3 SCR 58 Supp</t>
        </is>
      </c>
      <c r="N50" s="11" t="n">
        <v>1996</v>
      </c>
      <c r="O50" s="11" t="n"/>
      <c r="P50" s="11" t="n"/>
      <c r="Q50" s="11" t="n"/>
      <c r="R50" s="2" t="n"/>
      <c r="S50" s="2" t="n"/>
      <c r="T50" s="11" t="inlineStr"/>
      <c r="U50" s="11" t="inlineStr"/>
      <c r="V50" s="11" t="inlineStr">
        <is>
          <t>outside_list</t>
        </is>
      </c>
      <c r="W50" s="11" t="n"/>
      <c r="X50" s="11" t="n"/>
      <c r="Y50" s="11" t="n"/>
      <c r="Z50" s="11" t="inlineStr">
        <is>
          <t>Mr. Advocate</t>
        </is>
      </c>
      <c r="AA50" s="11" t="inlineStr">
        <is>
          <t>2026-10-07</t>
        </is>
      </c>
      <c r="AB50" s="11" t="inlineStr">
        <is>
          <t>name_year</t>
        </is>
      </c>
      <c r="AC50" s="2" t="inlineStr"/>
      <c r="AD50" s="2" t="inlineStr">
        <is>
          <t>Madho Prasad v. Commissioner of Income Tax (1978) was overruled by Anil Saran v. State of Bihar and another (1996).</t>
        </is>
      </c>
      <c r="AE50" s="2" t="n"/>
      <c r="AF50" s="11" t="inlineStr">
        <is>
          <t>created from list 1</t>
        </is>
      </c>
    </row>
    <row r="51">
      <c r="A51" s="11" t="inlineStr">
        <is>
          <t>L1-0050</t>
        </is>
      </c>
      <c r="B51" s="11" t="inlineStr">
        <is>
          <t>List 1 (to ~2015)</t>
        </is>
      </c>
      <c r="C51" s="11" t="inlineStr">
        <is>
          <t>list1</t>
        </is>
      </c>
      <c r="D51" s="11" t="inlineStr">
        <is>
          <t>verified</t>
        </is>
      </c>
      <c r="E51" s="11" t="inlineStr">
        <is>
          <t>overruled</t>
        </is>
      </c>
      <c r="F51" s="2" t="inlineStr">
        <is>
          <t>J.K. Commercial Corporation Ltd. v. Income Tax Officer and Another</t>
        </is>
      </c>
      <c r="G51" s="11" t="inlineStr"/>
      <c r="H51" s="11" t="inlineStr">
        <is>
          <t>unknown</t>
        </is>
      </c>
      <c r="I51" s="2" t="inlineStr">
        <is>
          <t>(1969) 73 ITR 464</t>
        </is>
      </c>
      <c r="J51" s="11" t="n">
        <v>1969</v>
      </c>
      <c r="K51" s="2" t="inlineStr">
        <is>
          <t>Birbal Singh v. Kedar Nath</t>
        </is>
      </c>
      <c r="L51" s="11" t="inlineStr">
        <is>
          <t>Supreme Court</t>
        </is>
      </c>
      <c r="M51" s="2" t="inlineStr">
        <is>
          <t>AIR 1977 SC 1; (1976) 4 SCC 691; (1977) 2 SCR 1; (1976) 8 UJ 960</t>
        </is>
      </c>
      <c r="N51" s="11" t="n">
        <v>1977</v>
      </c>
      <c r="O51" s="11" t="n"/>
      <c r="P51" s="11" t="n"/>
      <c r="Q51" s="11" t="n"/>
      <c r="R51" s="2" t="n"/>
      <c r="S51" s="2" t="n"/>
      <c r="T51" s="11" t="inlineStr"/>
      <c r="U51" s="11" t="inlineStr"/>
      <c r="V51" s="11" t="inlineStr">
        <is>
          <t>outside_list</t>
        </is>
      </c>
      <c r="W51" s="11" t="n"/>
      <c r="X51" s="11" t="n"/>
      <c r="Y51" s="11" t="n"/>
      <c r="Z51" s="11" t="inlineStr">
        <is>
          <t>Mr. Advocate</t>
        </is>
      </c>
      <c r="AA51" s="11" t="inlineStr">
        <is>
          <t>2026-10-07</t>
        </is>
      </c>
      <c r="AB51" s="11" t="inlineStr">
        <is>
          <t>name_year</t>
        </is>
      </c>
      <c r="AC51" s="2" t="inlineStr"/>
      <c r="AD51" s="2" t="inlineStr">
        <is>
          <t>J.K. Commercial Corporation Ltd. v. Income Tax Officer and Another (1969) was overruled by Birbal Singh v. Kedar Nath (1977).</t>
        </is>
      </c>
      <c r="AE51" s="2" t="n"/>
      <c r="AF51" s="11" t="inlineStr">
        <is>
          <t>created from list 1</t>
        </is>
      </c>
    </row>
    <row r="52">
      <c r="A52" s="11" t="inlineStr">
        <is>
          <t>L1-0051</t>
        </is>
      </c>
      <c r="B52" s="11" t="inlineStr">
        <is>
          <t>List 1 (to ~2015)</t>
        </is>
      </c>
      <c r="C52" s="11" t="inlineStr">
        <is>
          <t>list1</t>
        </is>
      </c>
      <c r="D52" s="11" t="inlineStr">
        <is>
          <t>verified</t>
        </is>
      </c>
      <c r="E52" s="11" t="inlineStr">
        <is>
          <t>overruled</t>
        </is>
      </c>
      <c r="F52" s="2" t="inlineStr">
        <is>
          <t>Raj Kumar Shrawan Kumar v. Central Board of Direct Taxes and Another</t>
        </is>
      </c>
      <c r="G52" s="11" t="inlineStr"/>
      <c r="H52" s="11" t="inlineStr">
        <is>
          <t>unknown</t>
        </is>
      </c>
      <c r="I52" s="2" t="inlineStr">
        <is>
          <t>(1977) 107 ITR 570</t>
        </is>
      </c>
      <c r="J52" s="11" t="n">
        <v>1977</v>
      </c>
      <c r="K52" s="2" t="inlineStr">
        <is>
          <t>Indian and Eastern Newspaper Society, New Delhi v. Commissioner of Income Tax, New Delhi</t>
        </is>
      </c>
      <c r="L52" s="11" t="inlineStr">
        <is>
          <t>Supreme Court</t>
        </is>
      </c>
      <c r="M52" s="2" t="inlineStr">
        <is>
          <t>AIR 1979 SC 1960; (1979) 12 CTR 190; (1979) 119 ITR 996; (1979) 4 SCC 248; (1980) 1 SCR 442; (1979) 2 TAXMAN 197; (1980) 12 UJ 305</t>
        </is>
      </c>
      <c r="N52" s="11" t="n">
        <v>1979</v>
      </c>
      <c r="O52" s="11" t="n"/>
      <c r="P52" s="11" t="n"/>
      <c r="Q52" s="11" t="n"/>
      <c r="R52" s="2" t="n"/>
      <c r="S52" s="2" t="n"/>
      <c r="T52" s="11" t="inlineStr"/>
      <c r="U52" s="11" t="inlineStr"/>
      <c r="V52" s="11" t="inlineStr">
        <is>
          <t>outside_list</t>
        </is>
      </c>
      <c r="W52" s="11" t="n"/>
      <c r="X52" s="11" t="n"/>
      <c r="Y52" s="11" t="n"/>
      <c r="Z52" s="11" t="inlineStr">
        <is>
          <t>Mr. Advocate</t>
        </is>
      </c>
      <c r="AA52" s="11" t="inlineStr">
        <is>
          <t>2026-10-07</t>
        </is>
      </c>
      <c r="AB52" s="11" t="inlineStr">
        <is>
          <t>name_year</t>
        </is>
      </c>
      <c r="AC52" s="2" t="inlineStr"/>
      <c r="AD52" s="2" t="inlineStr">
        <is>
          <t>Raj Kumar Shrawan Kumar v. Central Board of Direct Taxes and Another (1977) was overruled by Indian and Eastern Newspaper Society, New Delhi v. Commissioner of Income Tax, New Delhi (1979).</t>
        </is>
      </c>
      <c r="AE52" s="2" t="n"/>
      <c r="AF52" s="11" t="inlineStr">
        <is>
          <t>created from list 1</t>
        </is>
      </c>
    </row>
    <row r="53">
      <c r="A53" s="11" t="inlineStr">
        <is>
          <t>L1-0052</t>
        </is>
      </c>
      <c r="B53" s="11" t="inlineStr">
        <is>
          <t>List 1 (to ~2015)</t>
        </is>
      </c>
      <c r="C53" s="11" t="inlineStr">
        <is>
          <t>list1</t>
        </is>
      </c>
      <c r="D53" s="11" t="inlineStr">
        <is>
          <t>verified</t>
        </is>
      </c>
      <c r="E53" s="11" t="inlineStr">
        <is>
          <t>overruled</t>
        </is>
      </c>
      <c r="F53" s="2" t="inlineStr">
        <is>
          <t>Dr. K.S. Misra v. Visitor, Aligarh Muslim University, Vice Chancellor, Aligarh Muslim University and Registrar, Aligarh Muslim University</t>
        </is>
      </c>
      <c r="G53" s="11" t="inlineStr"/>
      <c r="H53" s="11" t="inlineStr">
        <is>
          <t>unknown</t>
        </is>
      </c>
      <c r="I53" s="2" t="inlineStr">
        <is>
          <t>(2006) 5 AWC 4985; (2006) 109 FLR 728; (2006) 1 UPLBEC 1110</t>
        </is>
      </c>
      <c r="J53" s="11" t="n">
        <v>2006</v>
      </c>
      <c r="K53" s="2" t="inlineStr">
        <is>
          <t>Visitor and Others v. K.S. Misra</t>
        </is>
      </c>
      <c r="L53" s="11" t="inlineStr">
        <is>
          <t>unknown</t>
        </is>
      </c>
      <c r="M53" s="2" t="inlineStr">
        <is>
          <t>(2007) 115 FLR 353; (2007) 11 SCALE 5; (2007) 8 SCC 593; (2007) 2 SCC(L&amp;S) 959; (2007) 10 SCR 763; (2008) 1 SLJ 381; (2007) AIRSCW 5706; (2007) 6 Supreme 107</t>
        </is>
      </c>
      <c r="N53" s="11" t="n">
        <v>2007</v>
      </c>
      <c r="O53" s="11" t="n"/>
      <c r="P53" s="11" t="n"/>
      <c r="Q53" s="11" t="n"/>
      <c r="R53" s="2" t="n"/>
      <c r="S53" s="2" t="n"/>
      <c r="T53" s="11" t="inlineStr"/>
      <c r="U53" s="11" t="inlineStr"/>
      <c r="V53" s="11" t="inlineStr">
        <is>
          <t>outside_list</t>
        </is>
      </c>
      <c r="W53" s="11" t="n"/>
      <c r="X53" s="11" t="n"/>
      <c r="Y53" s="11" t="n"/>
      <c r="Z53" s="11" t="inlineStr">
        <is>
          <t>Mr. Advocate</t>
        </is>
      </c>
      <c r="AA53" s="11" t="inlineStr">
        <is>
          <t>2026-10-07</t>
        </is>
      </c>
      <c r="AB53" s="11" t="inlineStr">
        <is>
          <t>name_year</t>
        </is>
      </c>
      <c r="AC53" s="2" t="inlineStr"/>
      <c r="AD53" s="2" t="inlineStr">
        <is>
          <t>Dr. K.S. Misra v. Visitor, Aligarh Muslim University, Vice Chancellor, Aligarh Muslim University and Registrar, Aligarh Muslim University (2006) was overruled by Visitor and Others v. K.S. Misra (2007).</t>
        </is>
      </c>
      <c r="AE53" s="2" t="n"/>
      <c r="AF53" s="11" t="inlineStr">
        <is>
          <t>created from list 1</t>
        </is>
      </c>
    </row>
    <row r="54">
      <c r="A54" s="11" t="inlineStr">
        <is>
          <t>L1-0053</t>
        </is>
      </c>
      <c r="B54" s="11" t="inlineStr">
        <is>
          <t>List 1 (to ~2015)</t>
        </is>
      </c>
      <c r="C54" s="11" t="inlineStr">
        <is>
          <t>list1</t>
        </is>
      </c>
      <c r="D54" s="11" t="inlineStr">
        <is>
          <t>verified</t>
        </is>
      </c>
      <c r="E54" s="11" t="inlineStr">
        <is>
          <t>overruled</t>
        </is>
      </c>
      <c r="F54" s="2" t="inlineStr">
        <is>
          <t>Jugal Kishore More v. Chief Presidency Magistrate Calcutta and Others</t>
        </is>
      </c>
      <c r="G54" s="11" t="inlineStr"/>
      <c r="H54" s="11" t="inlineStr">
        <is>
          <t>Calcutta</t>
        </is>
      </c>
      <c r="I54" s="2" t="inlineStr">
        <is>
          <t>AIR 1968 Cal 220; (1968) CriLJ 604; 71 CWN 508</t>
        </is>
      </c>
      <c r="J54" s="11" t="n">
        <v>1968</v>
      </c>
      <c r="K54" s="2" t="inlineStr">
        <is>
          <t>State of West Bengal v. Jugal Kishore More and Another</t>
        </is>
      </c>
      <c r="L54" s="11" t="inlineStr">
        <is>
          <t>Supreme Court</t>
        </is>
      </c>
      <c r="M54" s="2" t="inlineStr">
        <is>
          <t>AIR 1969 SC 1171; (1969) CriLJ 1559; (1969) 1 SCC 440; (1969) 3 SCR 320</t>
        </is>
      </c>
      <c r="N54" s="11" t="n">
        <v>1969</v>
      </c>
      <c r="O54" s="11" t="n"/>
      <c r="P54" s="11" t="n"/>
      <c r="Q54" s="11" t="n"/>
      <c r="R54" s="2" t="n"/>
      <c r="S54" s="2" t="n"/>
      <c r="T54" s="11" t="inlineStr"/>
      <c r="U54" s="11" t="inlineStr"/>
      <c r="V54" s="11" t="inlineStr">
        <is>
          <t>outside_list</t>
        </is>
      </c>
      <c r="W54" s="11" t="n"/>
      <c r="X54" s="11" t="n"/>
      <c r="Y54" s="11" t="n"/>
      <c r="Z54" s="11" t="inlineStr">
        <is>
          <t>Mr. Advocate</t>
        </is>
      </c>
      <c r="AA54" s="11" t="inlineStr">
        <is>
          <t>2026-10-07</t>
        </is>
      </c>
      <c r="AB54" s="11" t="inlineStr">
        <is>
          <t>name_year</t>
        </is>
      </c>
      <c r="AC54" s="2" t="inlineStr"/>
      <c r="AD54" s="2" t="inlineStr">
        <is>
          <t>Jugal Kishore More v. Chief Presidency Magistrate Calcutta and Others (1968) was overruled by State of West Bengal v. Jugal Kishore More and Another (1969).</t>
        </is>
      </c>
      <c r="AE54" s="2" t="n"/>
      <c r="AF54" s="11" t="inlineStr">
        <is>
          <t>created from list 1</t>
        </is>
      </c>
    </row>
    <row r="55">
      <c r="A55" s="11" t="inlineStr">
        <is>
          <t>L1-0054</t>
        </is>
      </c>
      <c r="B55" s="11" t="inlineStr">
        <is>
          <t>List 1 (to ~2015)</t>
        </is>
      </c>
      <c r="C55" s="11" t="inlineStr">
        <is>
          <t>list1</t>
        </is>
      </c>
      <c r="D55" s="11" t="inlineStr">
        <is>
          <t>verified</t>
        </is>
      </c>
      <c r="E55" s="11" t="inlineStr">
        <is>
          <t>overruled</t>
        </is>
      </c>
      <c r="F55" s="2" t="inlineStr">
        <is>
          <t>Dilip Kumar v. The Govt. of U.P. and Others</t>
        </is>
      </c>
      <c r="G55" s="11" t="inlineStr"/>
      <c r="H55" s="11" t="inlineStr">
        <is>
          <t>Allahabad</t>
        </is>
      </c>
      <c r="I55" s="2" t="inlineStr">
        <is>
          <t>AIR 1973 All 592</t>
        </is>
      </c>
      <c r="J55" s="11" t="n">
        <v>1973</v>
      </c>
      <c r="K55" s="2" t="inlineStr">
        <is>
          <t>State of Uttar Pradesh and Others v. Pradip Tandon and Others</t>
        </is>
      </c>
      <c r="L55" s="11" t="inlineStr">
        <is>
          <t>Supreme Court</t>
        </is>
      </c>
      <c r="M55" s="2" t="inlineStr">
        <is>
          <t>AIR 1975 SC 563; (1975) 1 SCC 267; (1975) 2 SCR 761</t>
        </is>
      </c>
      <c r="N55" s="11" t="n">
        <v>1975</v>
      </c>
      <c r="O55" s="11" t="n"/>
      <c r="P55" s="11" t="n"/>
      <c r="Q55" s="11" t="n"/>
      <c r="R55" s="2" t="n"/>
      <c r="S55" s="2" t="n"/>
      <c r="T55" s="11" t="inlineStr"/>
      <c r="U55" s="11" t="inlineStr"/>
      <c r="V55" s="11" t="inlineStr">
        <is>
          <t>outside_list</t>
        </is>
      </c>
      <c r="W55" s="11" t="n"/>
      <c r="X55" s="11" t="n"/>
      <c r="Y55" s="11" t="n"/>
      <c r="Z55" s="11" t="inlineStr">
        <is>
          <t>Mr. Advocate</t>
        </is>
      </c>
      <c r="AA55" s="11" t="inlineStr">
        <is>
          <t>2026-10-07</t>
        </is>
      </c>
      <c r="AB55" s="11" t="inlineStr">
        <is>
          <t>name_year</t>
        </is>
      </c>
      <c r="AC55" s="2" t="inlineStr"/>
      <c r="AD55" s="2" t="inlineStr">
        <is>
          <t>Dilip Kumar v. The Govt. of U.P. and Others (1973) was overruled by State of Uttar Pradesh and Others v. Pradip Tandon and Others (1975).</t>
        </is>
      </c>
      <c r="AE55" s="2" t="n"/>
      <c r="AF55" s="11" t="inlineStr">
        <is>
          <t>created from list 1</t>
        </is>
      </c>
    </row>
    <row r="56">
      <c r="A56" s="11" t="inlineStr">
        <is>
          <t>L1-0055</t>
        </is>
      </c>
      <c r="B56" s="11" t="inlineStr">
        <is>
          <t>List 1 (to ~2015)</t>
        </is>
      </c>
      <c r="C56" s="11" t="inlineStr">
        <is>
          <t>list1</t>
        </is>
      </c>
      <c r="D56" s="11" t="inlineStr">
        <is>
          <t>verified</t>
        </is>
      </c>
      <c r="E56" s="11" t="inlineStr">
        <is>
          <t>reversed_on_appeal</t>
        </is>
      </c>
      <c r="F56" s="2" t="inlineStr">
        <is>
          <t>Mansoor Ali Khan v. Aligarh Muslim University and others</t>
        </is>
      </c>
      <c r="G56" s="11" t="inlineStr"/>
      <c r="H56" s="11" t="inlineStr">
        <is>
          <t>unknown</t>
        </is>
      </c>
      <c r="I56" s="2" t="inlineStr">
        <is>
          <t>(1999) 2 AWC 1546; (1999) 3 UPLBEC 140</t>
        </is>
      </c>
      <c r="J56" s="11" t="n">
        <v>1999</v>
      </c>
      <c r="K56" s="2" t="inlineStr">
        <is>
          <t>Aligarh Muslim University and Others v. Mansoor Ali Khan</t>
        </is>
      </c>
      <c r="L56" s="11" t="inlineStr">
        <is>
          <t>Supreme Court</t>
        </is>
      </c>
      <c r="M56" s="2" t="inlineStr">
        <is>
          <t>AIR 2000 SC 2783; (2001) 91 FLR 28; (2000) 9 JT 502; (2000) 6 SCALE 125; (2000) 7 SCC 529; (2000) SCC(L&amp;S) 965; (2000) 2 SCR 684 Supp; (2000) AIRSCW 2976; (2000) 6 Supreme 1</t>
        </is>
      </c>
      <c r="N56" s="11" t="n">
        <v>2000</v>
      </c>
      <c r="O56" s="11" t="n"/>
      <c r="P56" s="11" t="n"/>
      <c r="Q56" s="11" t="n"/>
      <c r="R56" s="2" t="n"/>
      <c r="S56" s="2" t="n"/>
      <c r="T56" s="11" t="inlineStr">
        <is>
          <t>yes</t>
        </is>
      </c>
      <c r="U56" s="11" t="inlineStr"/>
      <c r="V56" s="11" t="inlineStr">
        <is>
          <t>outside_list</t>
        </is>
      </c>
      <c r="W56" s="11" t="n"/>
      <c r="X56" s="11" t="n"/>
      <c r="Y56" s="11" t="n"/>
      <c r="Z56" s="11" t="inlineStr">
        <is>
          <t>Mr. Advocate</t>
        </is>
      </c>
      <c r="AA56" s="11" t="inlineStr">
        <is>
          <t>2026-10-07</t>
        </is>
      </c>
      <c r="AB56" s="11" t="inlineStr">
        <is>
          <t>name_year</t>
        </is>
      </c>
      <c r="AC56" s="2" t="inlineStr"/>
      <c r="AD56" s="2" t="inlineStr">
        <is>
          <t>Mansoor Ali Khan v. Aligarh Muslim University and others (1999) was reversed on appeal by the Supreme Court in Aligarh Muslim University and Others v. Mansoor Ali Khan (2000).</t>
        </is>
      </c>
      <c r="AE56" s="2" t="n"/>
      <c r="AF56" s="11" t="inlineStr">
        <is>
          <t>created from list 1</t>
        </is>
      </c>
    </row>
    <row r="57">
      <c r="A57" s="11" t="inlineStr">
        <is>
          <t>L1-0056</t>
        </is>
      </c>
      <c r="B57" s="11" t="inlineStr">
        <is>
          <t>List 1 (to ~2015)</t>
        </is>
      </c>
      <c r="C57" s="11" t="inlineStr">
        <is>
          <t>list1</t>
        </is>
      </c>
      <c r="D57" s="11" t="inlineStr">
        <is>
          <t>verified</t>
        </is>
      </c>
      <c r="E57" s="11" t="inlineStr">
        <is>
          <t>overruled</t>
        </is>
      </c>
      <c r="F57" s="2" t="inlineStr">
        <is>
          <t>Ascharajlal Ram Parkash v. Commissioner of Income Tax</t>
        </is>
      </c>
      <c r="G57" s="11" t="inlineStr"/>
      <c r="H57" s="11" t="inlineStr">
        <is>
          <t>unknown</t>
        </is>
      </c>
      <c r="I57" s="2" t="inlineStr">
        <is>
          <t>(1973) 90 ITR 477</t>
        </is>
      </c>
      <c r="J57" s="11" t="n">
        <v>1973</v>
      </c>
      <c r="K57" s="2" t="inlineStr">
        <is>
          <t>Commissioner of Income Tax v. Mahendra Mills</t>
        </is>
      </c>
      <c r="L57" s="11" t="inlineStr">
        <is>
          <t>Supreme Court</t>
        </is>
      </c>
      <c r="M57" s="2" t="inlineStr">
        <is>
          <t>AIR 2000 SC 1960; (2000) 159 CTR 381; (2000) 243 ITR 56; (2000) 3 JT 405; (2000) 2 SCALE 384; (2000) 3 SCC 615; (2000) 2 SCR 465; (2000) AIRSCW 1016; (2000) 3 Supreme 102</t>
        </is>
      </c>
      <c r="N57" s="11" t="n">
        <v>2000</v>
      </c>
      <c r="O57" s="11" t="n"/>
      <c r="P57" s="11" t="n"/>
      <c r="Q57" s="11" t="n"/>
      <c r="R57" s="2" t="n"/>
      <c r="S57" s="2" t="n"/>
      <c r="T57" s="11" t="inlineStr"/>
      <c r="U57" s="11" t="inlineStr"/>
      <c r="V57" s="11" t="inlineStr">
        <is>
          <t>outside_list</t>
        </is>
      </c>
      <c r="W57" s="11" t="n"/>
      <c r="X57" s="11" t="n"/>
      <c r="Y57" s="11" t="n"/>
      <c r="Z57" s="11" t="inlineStr">
        <is>
          <t>Mr. Advocate</t>
        </is>
      </c>
      <c r="AA57" s="11" t="inlineStr">
        <is>
          <t>2026-10-07</t>
        </is>
      </c>
      <c r="AB57" s="11" t="inlineStr">
        <is>
          <t>name_year</t>
        </is>
      </c>
      <c r="AC57" s="2" t="inlineStr"/>
      <c r="AD57" s="2" t="inlineStr">
        <is>
          <t>Ascharajlal Ram Parkash v. Commissioner of Income Tax (1973) was overruled by Commissioner of Income Tax v. Mahendra Mills (2000).</t>
        </is>
      </c>
      <c r="AE57" s="2" t="n"/>
      <c r="AF57" s="11" t="inlineStr">
        <is>
          <t>created from list 1</t>
        </is>
      </c>
    </row>
    <row r="58">
      <c r="A58" s="11" t="inlineStr">
        <is>
          <t>L1-0057</t>
        </is>
      </c>
      <c r="B58" s="11" t="inlineStr">
        <is>
          <t>List 1 (to ~2015)</t>
        </is>
      </c>
      <c r="C58" s="11" t="inlineStr">
        <is>
          <t>list1</t>
        </is>
      </c>
      <c r="D58" s="11" t="inlineStr">
        <is>
          <t>verified</t>
        </is>
      </c>
      <c r="E58" s="11" t="inlineStr">
        <is>
          <t>reversed_on_appeal</t>
        </is>
      </c>
      <c r="F58" s="2" t="inlineStr">
        <is>
          <t>Deoki Nandan Agarwala v. Union of India (UOI)</t>
        </is>
      </c>
      <c r="G58" s="11" t="inlineStr"/>
      <c r="H58" s="11" t="inlineStr">
        <is>
          <t>Allahabad</t>
        </is>
      </c>
      <c r="I58" s="2" t="inlineStr">
        <is>
          <t>AIR 1988 All 271</t>
        </is>
      </c>
      <c r="J58" s="11" t="n">
        <v>1988</v>
      </c>
      <c r="K58" s="2" t="inlineStr">
        <is>
          <t>Union of India and another v. Deoki Nandan Aggarwal</t>
        </is>
      </c>
      <c r="L58" s="11" t="inlineStr">
        <is>
          <t>Supreme Court</t>
        </is>
      </c>
      <c r="M58" s="2" t="inlineStr">
        <is>
          <t>AIR 1992 SC 96; (1991) 3 JT 608; (1991) 2 SCALE 481; (1992) 1 SCC 323 Supp; (1991) 3 SCR 873</t>
        </is>
      </c>
      <c r="N58" s="11" t="n">
        <v>1992</v>
      </c>
      <c r="O58" s="11" t="n"/>
      <c r="P58" s="11" t="n"/>
      <c r="Q58" s="11" t="n"/>
      <c r="R58" s="2" t="n"/>
      <c r="S58" s="2" t="n"/>
      <c r="T58" s="11" t="inlineStr">
        <is>
          <t>yes</t>
        </is>
      </c>
      <c r="U58" s="11" t="inlineStr"/>
      <c r="V58" s="11" t="inlineStr">
        <is>
          <t>outside_list</t>
        </is>
      </c>
      <c r="W58" s="11" t="n"/>
      <c r="X58" s="11" t="n"/>
      <c r="Y58" s="11" t="n"/>
      <c r="Z58" s="11" t="inlineStr">
        <is>
          <t>Mr. Advocate</t>
        </is>
      </c>
      <c r="AA58" s="11" t="inlineStr">
        <is>
          <t>2026-10-07</t>
        </is>
      </c>
      <c r="AB58" s="11" t="inlineStr">
        <is>
          <t>name_year</t>
        </is>
      </c>
      <c r="AC58" s="2" t="inlineStr">
        <is>
          <t>L1-0469: overruled by Union of India (UOI) and Another v. M.C. Desai and Others (1995)</t>
        </is>
      </c>
      <c r="AD58" s="2" t="inlineStr">
        <is>
          <t>Deoki Nandan Agarwala v. Union of India (UOI) (1988) was reversed on appeal by the Supreme Court in Union of India and another v. Deoki Nandan Aggarwal (1992). Note: Union of India and another v. Deoki Nandan Aggarwal was itself later overruled by Union of India (UOI) and Another v. M.C. Desai and Others (1995); the current position should be checked.</t>
        </is>
      </c>
      <c r="AE58" s="2" t="n"/>
      <c r="AF58" s="11" t="inlineStr">
        <is>
          <t>created from list 1</t>
        </is>
      </c>
    </row>
    <row r="59">
      <c r="A59" s="11" t="inlineStr">
        <is>
          <t>L1-0058</t>
        </is>
      </c>
      <c r="B59" s="11" t="inlineStr">
        <is>
          <t>List 1 (to ~2015)</t>
        </is>
      </c>
      <c r="C59" s="11" t="inlineStr">
        <is>
          <t>list1</t>
        </is>
      </c>
      <c r="D59" s="11" t="inlineStr">
        <is>
          <t>verified</t>
        </is>
      </c>
      <c r="E59" s="11" t="inlineStr">
        <is>
          <t>reversed_on_appeal</t>
        </is>
      </c>
      <c r="F59" s="2" t="inlineStr">
        <is>
          <t>Union of India (UOI) and Another v. Madnani Construction Corporation (P.) Ltd. and Another</t>
        </is>
      </c>
      <c r="G59" s="11" t="inlineStr"/>
      <c r="H59" s="11" t="inlineStr">
        <is>
          <t>Allahabad</t>
        </is>
      </c>
      <c r="I59" s="2" t="inlineStr">
        <is>
          <t>AIR 2003 All 346; (2004) 1 ARBLR 107; (2003) 4 AWC 2624</t>
        </is>
      </c>
      <c r="J59" s="11" t="n">
        <v>2003</v>
      </c>
      <c r="K59" s="2" t="inlineStr">
        <is>
          <t>Madnani Construction Corporation (P) Ltd. v. Union of India (UOI) and Others</t>
        </is>
      </c>
      <c r="L59" s="11" t="inlineStr">
        <is>
          <t>Supreme Court</t>
        </is>
      </c>
      <c r="M59" s="2" t="inlineStr">
        <is>
          <t>AIR 2010 SC 383; (2010) 3 CTC 327; (2009) 14 JT 612; (2009) 14 SCALE 399; (2010) 1 SCC 549; (2009) 16 SCR 216; (2010) 1 UJ 42</t>
        </is>
      </c>
      <c r="N59" s="11" t="n">
        <v>2010</v>
      </c>
      <c r="O59" s="11" t="n"/>
      <c r="P59" s="11" t="n"/>
      <c r="Q59" s="11" t="n"/>
      <c r="R59" s="2" t="n"/>
      <c r="S59" s="2" t="n"/>
      <c r="T59" s="11" t="inlineStr">
        <is>
          <t>yes</t>
        </is>
      </c>
      <c r="U59" s="11" t="inlineStr"/>
      <c r="V59" s="11" t="inlineStr">
        <is>
          <t>outside_list</t>
        </is>
      </c>
      <c r="W59" s="11" t="n"/>
      <c r="X59" s="11" t="n"/>
      <c r="Y59" s="11" t="n"/>
      <c r="Z59" s="11" t="inlineStr">
        <is>
          <t>Mr. Advocate</t>
        </is>
      </c>
      <c r="AA59" s="11" t="inlineStr">
        <is>
          <t>2026-10-07</t>
        </is>
      </c>
      <c r="AB59" s="11" t="inlineStr">
        <is>
          <t>name_year</t>
        </is>
      </c>
      <c r="AC59" s="2" t="inlineStr"/>
      <c r="AD59" s="2" t="inlineStr">
        <is>
          <t>Union of India (UOI) and Another v. Madnani Construction Corporation (P.) Ltd. and Another (2003) was reversed on appeal by the Supreme Court in Madnani Construction Corporation (P) Ltd. v. Union of India (UOI) and Others (2010).</t>
        </is>
      </c>
      <c r="AE59" s="2" t="n"/>
      <c r="AF59" s="11" t="inlineStr">
        <is>
          <t>created from list 1</t>
        </is>
      </c>
    </row>
    <row r="60">
      <c r="A60" s="11" t="inlineStr">
        <is>
          <t>L1-0059</t>
        </is>
      </c>
      <c r="B60" s="11" t="inlineStr">
        <is>
          <t>List 1 (to ~2015)</t>
        </is>
      </c>
      <c r="C60" s="11" t="inlineStr">
        <is>
          <t>list1</t>
        </is>
      </c>
      <c r="D60" s="11" t="inlineStr">
        <is>
          <t>verified</t>
        </is>
      </c>
      <c r="E60" s="11" t="inlineStr">
        <is>
          <t>reversed_on_appeal</t>
        </is>
      </c>
      <c r="F60" s="2" t="inlineStr">
        <is>
          <t>State of U.P. v. Mahtab Singh and Jaipal Singh</t>
        </is>
      </c>
      <c r="G60" s="11" t="inlineStr"/>
      <c r="H60" s="11" t="inlineStr">
        <is>
          <t>unknown</t>
        </is>
      </c>
      <c r="I60" s="2" t="inlineStr"/>
      <c r="J60" s="11" t="n"/>
      <c r="K60" s="2" t="inlineStr">
        <is>
          <t>Mahtab Singh and Another v. State of U.P.</t>
        </is>
      </c>
      <c r="L60" s="11" t="inlineStr">
        <is>
          <t>Supreme Court</t>
        </is>
      </c>
      <c r="M60" s="2" t="inlineStr">
        <is>
          <t>AIR 2009 SC 2298; (2009) CLT 1118; (2009) 5 JT 431; (2009) 5 SCALE 500; (2009) 13 SCC 670; (2009) 5 SCR 848</t>
        </is>
      </c>
      <c r="N60" s="11" t="n">
        <v>2009</v>
      </c>
      <c r="O60" s="11" t="n"/>
      <c r="P60" s="11" t="n"/>
      <c r="Q60" s="11" t="n"/>
      <c r="R60" s="2" t="n"/>
      <c r="S60" s="2" t="n"/>
      <c r="T60" s="11" t="inlineStr">
        <is>
          <t>yes</t>
        </is>
      </c>
      <c r="U60" s="11" t="inlineStr">
        <is>
          <t>no_citation_or_year_for_overruled, needs_citation_or_year</t>
        </is>
      </c>
      <c r="V60" s="11" t="inlineStr">
        <is>
          <t>outside_list</t>
        </is>
      </c>
      <c r="W60" s="11" t="n"/>
      <c r="X60" s="11" t="n"/>
      <c r="Y60" s="11" t="n"/>
      <c r="Z60" s="11" t="inlineStr">
        <is>
          <t>Mr. Advocate</t>
        </is>
      </c>
      <c r="AA60" s="11" t="inlineStr">
        <is>
          <t>2026-10-07</t>
        </is>
      </c>
      <c r="AB60" s="11" t="inlineStr">
        <is>
          <t>weak</t>
        </is>
      </c>
      <c r="AC60" s="2" t="inlineStr"/>
      <c r="AD60" s="2" t="inlineStr">
        <is>
          <t>State of U.P. v. Mahtab Singh and Jaipal Singh was reversed on appeal by the Supreme Court in Mahtab Singh and Another v. State of U.P. (2009).</t>
        </is>
      </c>
      <c r="AE60" s="2" t="n"/>
      <c r="AF60" s="11" t="inlineStr">
        <is>
          <t>created from list 1</t>
        </is>
      </c>
    </row>
    <row r="61">
      <c r="A61" s="11" t="inlineStr">
        <is>
          <t>L1-0060</t>
        </is>
      </c>
      <c r="B61" s="11" t="inlineStr">
        <is>
          <t>List 1 (to ~2015)</t>
        </is>
      </c>
      <c r="C61" s="11" t="inlineStr">
        <is>
          <t>list1</t>
        </is>
      </c>
      <c r="D61" s="11" t="inlineStr">
        <is>
          <t>verified</t>
        </is>
      </c>
      <c r="E61" s="11" t="inlineStr">
        <is>
          <t>overruled</t>
        </is>
      </c>
      <c r="F61" s="2" t="inlineStr">
        <is>
          <t>Indian Aluminium Co. Ltd. v. Union of India (UOI)</t>
        </is>
      </c>
      <c r="G61" s="11" t="inlineStr"/>
      <c r="H61" s="11" t="inlineStr">
        <is>
          <t>unknown</t>
        </is>
      </c>
      <c r="I61" s="2" t="inlineStr">
        <is>
          <t>(1988) 17 ECC 375; (1988) 36 ELT 435</t>
        </is>
      </c>
      <c r="J61" s="11" t="n">
        <v>1988</v>
      </c>
      <c r="K61" s="2" t="inlineStr">
        <is>
          <t>Hindustan Petroleum Corporation Ltd. v. Collector of Central Excise</t>
        </is>
      </c>
      <c r="L61" s="11" t="inlineStr">
        <is>
          <t>Supreme Court</t>
        </is>
      </c>
      <c r="M61" s="2" t="inlineStr">
        <is>
          <t>(1995) 77 ELT 256; (1995) 4 JT 88; (1995) 3 SCALE 1; (1995) 3 SCC 45 Supp; (1995) 3 SCR 839</t>
        </is>
      </c>
      <c r="N61" s="11" t="n">
        <v>1995</v>
      </c>
      <c r="O61" s="11" t="n"/>
      <c r="P61" s="11" t="n"/>
      <c r="Q61" s="11" t="n"/>
      <c r="R61" s="2" t="n"/>
      <c r="S61" s="2" t="n"/>
      <c r="T61" s="11" t="inlineStr"/>
      <c r="U61" s="11" t="inlineStr"/>
      <c r="V61" s="11" t="inlineStr">
        <is>
          <t>outside_list</t>
        </is>
      </c>
      <c r="W61" s="11" t="n"/>
      <c r="X61" s="11" t="n"/>
      <c r="Y61" s="11" t="n"/>
      <c r="Z61" s="11" t="inlineStr">
        <is>
          <t>Mr. Advocate</t>
        </is>
      </c>
      <c r="AA61" s="11" t="inlineStr">
        <is>
          <t>2026-10-07</t>
        </is>
      </c>
      <c r="AB61" s="11" t="inlineStr">
        <is>
          <t>name_year</t>
        </is>
      </c>
      <c r="AC61" s="2" t="inlineStr"/>
      <c r="AD61" s="2" t="inlineStr">
        <is>
          <t>Indian Aluminium Co. Ltd. v. Union of India (UOI) (1988) was overruled by Hindustan Petroleum Corporation Ltd. v. Collector of Central Excise (1995).</t>
        </is>
      </c>
      <c r="AE61" s="2" t="n"/>
      <c r="AF61" s="11" t="inlineStr">
        <is>
          <t>created from list 1</t>
        </is>
      </c>
    </row>
    <row r="62">
      <c r="A62" s="11" t="inlineStr">
        <is>
          <t>L1-0061</t>
        </is>
      </c>
      <c r="B62" s="11" t="inlineStr">
        <is>
          <t>List 1 (to ~2015)</t>
        </is>
      </c>
      <c r="C62" s="11" t="inlineStr">
        <is>
          <t>list1</t>
        </is>
      </c>
      <c r="D62" s="11" t="inlineStr">
        <is>
          <t>verified</t>
        </is>
      </c>
      <c r="E62" s="11" t="inlineStr">
        <is>
          <t>reversed_on_appeal</t>
        </is>
      </c>
      <c r="F62" s="2" t="inlineStr">
        <is>
          <t>Medicamen Biotech Limited and Another v. Rubina Bose</t>
        </is>
      </c>
      <c r="G62" s="11" t="inlineStr"/>
      <c r="H62" s="11" t="inlineStr">
        <is>
          <t>unknown</t>
        </is>
      </c>
      <c r="I62" s="2" t="inlineStr">
        <is>
          <t>(2006) 4 CHN 727</t>
        </is>
      </c>
      <c r="J62" s="11" t="n">
        <v>2006</v>
      </c>
      <c r="K62" s="2" t="inlineStr">
        <is>
          <t>Medicamen Biotech Ltd. and Another v. Rubina Bose, Drug Inspector</t>
        </is>
      </c>
      <c r="L62" s="11" t="inlineStr">
        <is>
          <t>Supreme Court</t>
        </is>
      </c>
      <c r="M62" s="2" t="inlineStr">
        <is>
          <t>AIR 2008 SC 1939; (2008) CLT 819; (2008) 4 JT 45; (2008) 3 SCALE 563; (2008) 7 SCC 196; (2008) AIRSCW 2201; (2008) AIRSCW 3282; (2008) 3 Supreme 262</t>
        </is>
      </c>
      <c r="N62" s="11" t="n">
        <v>2008</v>
      </c>
      <c r="O62" s="11" t="n"/>
      <c r="P62" s="11" t="n"/>
      <c r="Q62" s="11" t="n"/>
      <c r="R62" s="2" t="n"/>
      <c r="S62" s="2" t="n"/>
      <c r="T62" s="11" t="inlineStr">
        <is>
          <t>yes</t>
        </is>
      </c>
      <c r="U62" s="11" t="inlineStr"/>
      <c r="V62" s="11" t="inlineStr">
        <is>
          <t>outside_list</t>
        </is>
      </c>
      <c r="W62" s="11" t="n"/>
      <c r="X62" s="11" t="n"/>
      <c r="Y62" s="11" t="n"/>
      <c r="Z62" s="11" t="inlineStr">
        <is>
          <t>Mr. Advocate</t>
        </is>
      </c>
      <c r="AA62" s="11" t="inlineStr">
        <is>
          <t>2026-10-07</t>
        </is>
      </c>
      <c r="AB62" s="11" t="inlineStr">
        <is>
          <t>name_year</t>
        </is>
      </c>
      <c r="AC62" s="2" t="inlineStr"/>
      <c r="AD62" s="2" t="inlineStr">
        <is>
          <t>Medicamen Biotech Limited and Another v. Rubina Bose (2006) was reversed on appeal by the Supreme Court in Medicamen Biotech Ltd. and Another v. Rubina Bose, Drug Inspector (2008).</t>
        </is>
      </c>
      <c r="AE62" s="2" t="n"/>
      <c r="AF62" s="11" t="inlineStr">
        <is>
          <t>created from list 1</t>
        </is>
      </c>
    </row>
    <row r="63">
      <c r="A63" s="11" t="inlineStr">
        <is>
          <t>L1-0062</t>
        </is>
      </c>
      <c r="B63" s="11" t="inlineStr">
        <is>
          <t>List 1 (to ~2015)</t>
        </is>
      </c>
      <c r="C63" s="11" t="inlineStr">
        <is>
          <t>list1</t>
        </is>
      </c>
      <c r="D63" s="11" t="inlineStr">
        <is>
          <t>verified</t>
        </is>
      </c>
      <c r="E63" s="11" t="inlineStr">
        <is>
          <t>overruled</t>
        </is>
      </c>
      <c r="F63" s="2" t="inlineStr">
        <is>
          <t>Prof. M. Wajid Khan v. Aligarh Muslim University and Others</t>
        </is>
      </c>
      <c r="G63" s="11" t="inlineStr"/>
      <c r="H63" s="11" t="inlineStr">
        <is>
          <t>unknown</t>
        </is>
      </c>
      <c r="I63" s="2" t="inlineStr">
        <is>
          <t>(1997) 3 UPLBEC 2172</t>
        </is>
      </c>
      <c r="J63" s="11" t="n">
        <v>1997</v>
      </c>
      <c r="K63" s="2" t="inlineStr">
        <is>
          <t>Prof. S.A. Siddiqui v. Prof. M. Wajid Khan and Others</t>
        </is>
      </c>
      <c r="L63" s="11" t="inlineStr">
        <is>
          <t>Supreme Court</t>
        </is>
      </c>
      <c r="M63" s="2" t="inlineStr">
        <is>
          <t>AIR 1999 SC 604; (1999) 81 FLR 750; (1999) 1 JT 1; (1999) 1 SCALE 9; (1999) 2 SCC 1; (1999) 1 SCR 26; (1999) 1 UJ 332; (1999) AIRSCW 200; (1999) 1 Supreme 20</t>
        </is>
      </c>
      <c r="N63" s="11" t="n">
        <v>1999</v>
      </c>
      <c r="O63" s="11" t="n"/>
      <c r="P63" s="11" t="n"/>
      <c r="Q63" s="11" t="n"/>
      <c r="R63" s="2" t="n"/>
      <c r="S63" s="2" t="n"/>
      <c r="T63" s="11" t="inlineStr"/>
      <c r="U63" s="11" t="inlineStr"/>
      <c r="V63" s="11" t="inlineStr">
        <is>
          <t>outside_list</t>
        </is>
      </c>
      <c r="W63" s="11" t="n"/>
      <c r="X63" s="11" t="n"/>
      <c r="Y63" s="11" t="n"/>
      <c r="Z63" s="11" t="inlineStr">
        <is>
          <t>Mr. Advocate</t>
        </is>
      </c>
      <c r="AA63" s="11" t="inlineStr">
        <is>
          <t>2026-10-07</t>
        </is>
      </c>
      <c r="AB63" s="11" t="inlineStr">
        <is>
          <t>name_year</t>
        </is>
      </c>
      <c r="AC63" s="2" t="inlineStr"/>
      <c r="AD63" s="2" t="inlineStr">
        <is>
          <t>Prof. M. Wajid Khan v. Aligarh Muslim University and Others (1997) was overruled by Prof. S.A. Siddiqui v. Prof. M. Wajid Khan and Others (1999).</t>
        </is>
      </c>
      <c r="AE63" s="2" t="n"/>
      <c r="AF63" s="11" t="inlineStr">
        <is>
          <t>created from list 1</t>
        </is>
      </c>
    </row>
    <row r="64">
      <c r="A64" s="11" t="inlineStr">
        <is>
          <t>L1-0063</t>
        </is>
      </c>
      <c r="B64" s="11" t="inlineStr">
        <is>
          <t>List 1 (to ~2015)</t>
        </is>
      </c>
      <c r="C64" s="11" t="inlineStr">
        <is>
          <t>list1</t>
        </is>
      </c>
      <c r="D64" s="11" t="inlineStr">
        <is>
          <t>verified</t>
        </is>
      </c>
      <c r="E64" s="11" t="inlineStr">
        <is>
          <t>reversed_on_appeal</t>
        </is>
      </c>
      <c r="F64" s="2" t="inlineStr">
        <is>
          <t>The State of U.P. v. Ghurey Lal</t>
        </is>
      </c>
      <c r="G64" s="11" t="inlineStr"/>
      <c r="H64" s="11" t="inlineStr">
        <is>
          <t>unknown</t>
        </is>
      </c>
      <c r="I64" s="2" t="inlineStr"/>
      <c r="J64" s="11" t="n"/>
      <c r="K64" s="2" t="inlineStr">
        <is>
          <t>Ghurey Lal v. State of U.P.</t>
        </is>
      </c>
      <c r="L64" s="11" t="inlineStr">
        <is>
          <t>unknown</t>
        </is>
      </c>
      <c r="M64" s="2" t="inlineStr">
        <is>
          <t>(2008) 10 JT 324; (2008) 10 SCALE 616; (2008) 10 SCC 450; (2008) 2 UJ 991; (2008) AIRSCW 1487</t>
        </is>
      </c>
      <c r="N64" s="11" t="n">
        <v>2008</v>
      </c>
      <c r="O64" s="11" t="n"/>
      <c r="P64" s="11" t="n"/>
      <c r="Q64" s="11" t="n"/>
      <c r="R64" s="2" t="n"/>
      <c r="S64" s="2" t="n"/>
      <c r="T64" s="11" t="inlineStr">
        <is>
          <t>yes</t>
        </is>
      </c>
      <c r="U64" s="11" t="inlineStr">
        <is>
          <t>no_citation_or_year_for_overruled, needs_citation_or_year</t>
        </is>
      </c>
      <c r="V64" s="11" t="inlineStr">
        <is>
          <t>outside_list</t>
        </is>
      </c>
      <c r="W64" s="11" t="n"/>
      <c r="X64" s="11" t="n"/>
      <c r="Y64" s="11" t="n"/>
      <c r="Z64" s="11" t="inlineStr">
        <is>
          <t>Mr. Advocate</t>
        </is>
      </c>
      <c r="AA64" s="11" t="inlineStr">
        <is>
          <t>2026-10-07</t>
        </is>
      </c>
      <c r="AB64" s="11" t="inlineStr">
        <is>
          <t>weak</t>
        </is>
      </c>
      <c r="AC64" s="2" t="inlineStr"/>
      <c r="AD64" s="2" t="inlineStr">
        <is>
          <t>The State of U.P. v. Ghurey Lal was reversed on appeal by the Supreme Court in Ghurey Lal v. State of U.P. (2008).</t>
        </is>
      </c>
      <c r="AE64" s="2" t="n"/>
      <c r="AF64" s="11" t="inlineStr">
        <is>
          <t>created from list 1</t>
        </is>
      </c>
    </row>
    <row r="65">
      <c r="A65" s="11" t="inlineStr">
        <is>
          <t>L1-0064</t>
        </is>
      </c>
      <c r="B65" s="11" t="inlineStr">
        <is>
          <t>List 1 (to ~2015)</t>
        </is>
      </c>
      <c r="C65" s="11" t="inlineStr">
        <is>
          <t>list1</t>
        </is>
      </c>
      <c r="D65" s="11" t="inlineStr">
        <is>
          <t>verified</t>
        </is>
      </c>
      <c r="E65" s="11" t="inlineStr">
        <is>
          <t>reversed_on_appeal</t>
        </is>
      </c>
      <c r="F65" s="2" t="inlineStr">
        <is>
          <t>Aparna Basumallik v. Bar Council of India and Others</t>
        </is>
      </c>
      <c r="G65" s="11" t="inlineStr"/>
      <c r="H65" s="11" t="inlineStr">
        <is>
          <t>Calcutta</t>
        </is>
      </c>
      <c r="I65" s="2" t="inlineStr">
        <is>
          <t>AIR 1983 Cal 37; 87 CWN 170</t>
        </is>
      </c>
      <c r="J65" s="11" t="n">
        <v>1983</v>
      </c>
      <c r="K65" s="2" t="inlineStr">
        <is>
          <t>Bar Council of India and another v. Aparna Basu Mallick and others</t>
        </is>
      </c>
      <c r="L65" s="11" t="inlineStr">
        <is>
          <t>Supreme Court</t>
        </is>
      </c>
      <c r="M65" s="2" t="inlineStr">
        <is>
          <t>AIR 1994 SC 1334; (1994) 1 JT 141; (1994) 1 SCALE 194; (1994) 2 SCC 102; (1994) 1 UJ 257</t>
        </is>
      </c>
      <c r="N65" s="11" t="n">
        <v>1994</v>
      </c>
      <c r="O65" s="11" t="n"/>
      <c r="P65" s="11" t="n"/>
      <c r="Q65" s="11" t="n"/>
      <c r="R65" s="2" t="n"/>
      <c r="S65" s="2" t="n"/>
      <c r="T65" s="11" t="inlineStr">
        <is>
          <t>yes</t>
        </is>
      </c>
      <c r="U65" s="11" t="inlineStr"/>
      <c r="V65" s="11" t="inlineStr">
        <is>
          <t>outside_list</t>
        </is>
      </c>
      <c r="W65" s="11" t="n"/>
      <c r="X65" s="11" t="n"/>
      <c r="Y65" s="11" t="n"/>
      <c r="Z65" s="11" t="inlineStr">
        <is>
          <t>Mr. Advocate</t>
        </is>
      </c>
      <c r="AA65" s="11" t="inlineStr">
        <is>
          <t>2026-10-07</t>
        </is>
      </c>
      <c r="AB65" s="11" t="inlineStr">
        <is>
          <t>name_year</t>
        </is>
      </c>
      <c r="AC65" s="2" t="inlineStr"/>
      <c r="AD65" s="2" t="inlineStr">
        <is>
          <t>Aparna Basumallik v. Bar Council of India and Others (1983) was reversed on appeal by the Supreme Court in Bar Council of India and another v. Aparna Basu Mallick and others (1994).</t>
        </is>
      </c>
      <c r="AE65" s="2" t="n"/>
      <c r="AF65" s="11" t="inlineStr">
        <is>
          <t>created from list 1</t>
        </is>
      </c>
    </row>
    <row r="66">
      <c r="A66" s="11" t="inlineStr">
        <is>
          <t>L1-0065</t>
        </is>
      </c>
      <c r="B66" s="11" t="inlineStr">
        <is>
          <t>List 1 (to ~2015)</t>
        </is>
      </c>
      <c r="C66" s="11" t="inlineStr">
        <is>
          <t>list1</t>
        </is>
      </c>
      <c r="D66" s="11" t="inlineStr">
        <is>
          <t>verified</t>
        </is>
      </c>
      <c r="E66" s="11" t="inlineStr">
        <is>
          <t>reversed_on_appeal</t>
        </is>
      </c>
      <c r="F66" s="2" t="inlineStr">
        <is>
          <t>U.P. State Road Transport Corporation v. State of U.P. and Another</t>
        </is>
      </c>
      <c r="G66" s="11" t="inlineStr"/>
      <c r="H66" s="11" t="inlineStr">
        <is>
          <t>unknown</t>
        </is>
      </c>
      <c r="I66" s="2" t="inlineStr">
        <is>
          <t>(2002) 4 AWC 2756</t>
        </is>
      </c>
      <c r="J66" s="11" t="n">
        <v>2002</v>
      </c>
      <c r="K66" s="2" t="inlineStr">
        <is>
          <t>U.P. State Road Transport Corporation v. State of U.P. and Another</t>
        </is>
      </c>
      <c r="L66" s="11" t="inlineStr">
        <is>
          <t>Supreme Court</t>
        </is>
      </c>
      <c r="M66" s="2" t="inlineStr">
        <is>
          <t>(2005) 1 ACC 51; AIR 2005 SC 446; (2004) 10 JT 173; (2004) 10 SCALE 28(2); (2004) 10 SCALE 28; (2005) 1 SCC 444; (2004) AIRSCW 7025; (2005) 1 Supreme 656</t>
        </is>
      </c>
      <c r="N66" s="11" t="n">
        <v>2005</v>
      </c>
      <c r="O66" s="11" t="n"/>
      <c r="P66" s="11" t="n"/>
      <c r="Q66" s="11" t="n"/>
      <c r="R66" s="2" t="n"/>
      <c r="S66" s="2" t="n"/>
      <c r="T66" s="11" t="inlineStr">
        <is>
          <t>yes</t>
        </is>
      </c>
      <c r="U66" s="11" t="inlineStr"/>
      <c r="V66" s="11" t="inlineStr">
        <is>
          <t>outside_list</t>
        </is>
      </c>
      <c r="W66" s="11" t="n"/>
      <c r="X66" s="11" t="n"/>
      <c r="Y66" s="11" t="n"/>
      <c r="Z66" s="11" t="inlineStr">
        <is>
          <t>Mr. Advocate</t>
        </is>
      </c>
      <c r="AA66" s="11" t="inlineStr">
        <is>
          <t>2026-10-07</t>
        </is>
      </c>
      <c r="AB66" s="11" t="inlineStr">
        <is>
          <t>name_year</t>
        </is>
      </c>
      <c r="AC66" s="2" t="inlineStr"/>
      <c r="AD66" s="2" t="inlineStr">
        <is>
          <t>U.P. State Road Transport Corporation v. State of U.P. and Another (2002) was reversed on appeal by the Supreme Court in U.P. State Road Transport Corporation v. State of U.P. and Another (2005).</t>
        </is>
      </c>
      <c r="AE66" s="2" t="n"/>
      <c r="AF66" s="11" t="inlineStr">
        <is>
          <t>created from list 1</t>
        </is>
      </c>
    </row>
    <row r="67">
      <c r="A67" s="11" t="inlineStr">
        <is>
          <t>L1-0066</t>
        </is>
      </c>
      <c r="B67" s="11" t="inlineStr">
        <is>
          <t>List 1 (to ~2015)</t>
        </is>
      </c>
      <c r="C67" s="11" t="inlineStr">
        <is>
          <t>list1</t>
        </is>
      </c>
      <c r="D67" s="11" t="inlineStr">
        <is>
          <t>verified</t>
        </is>
      </c>
      <c r="E67" s="11" t="inlineStr">
        <is>
          <t>overruled</t>
        </is>
      </c>
      <c r="F67" s="2" t="inlineStr">
        <is>
          <t>Sri Vishnu Kant Gupta v. Official Liquidator, U.P. Attached to this Hon’ble High Court and Others</t>
        </is>
      </c>
      <c r="G67" s="11" t="inlineStr"/>
      <c r="H67" s="11" t="inlineStr">
        <is>
          <t>unknown</t>
        </is>
      </c>
      <c r="I67" s="2" t="inlineStr">
        <is>
          <t>(2007) 5 ADJ 584; (2008) 141 CompCas 249; (2008) 83 SCL 174</t>
        </is>
      </c>
      <c r="J67" s="11" t="n">
        <v>2007</v>
      </c>
      <c r="K67" s="2" t="inlineStr">
        <is>
          <t>IFCI Ltd. and Another v. Vishnu Kant Gupta</t>
        </is>
      </c>
      <c r="L67" s="11" t="inlineStr">
        <is>
          <t>Supreme Court</t>
        </is>
      </c>
      <c r="M67" s="2" t="inlineStr">
        <is>
          <t>(2008) 145 CompCas 1; (2008) 8 JT 671; (2008) 11 SCALE 429; (2008) 12 SCC 777; (2009) 92 SCL 20</t>
        </is>
      </c>
      <c r="N67" s="11" t="n">
        <v>2008</v>
      </c>
      <c r="O67" s="11" t="n"/>
      <c r="P67" s="11" t="n"/>
      <c r="Q67" s="11" t="n"/>
      <c r="R67" s="2" t="n"/>
      <c r="S67" s="2" t="n"/>
      <c r="T67" s="11" t="inlineStr"/>
      <c r="U67" s="11" t="inlineStr"/>
      <c r="V67" s="11" t="inlineStr">
        <is>
          <t>outside_list</t>
        </is>
      </c>
      <c r="W67" s="11" t="n"/>
      <c r="X67" s="11" t="n"/>
      <c r="Y67" s="11" t="n"/>
      <c r="Z67" s="11" t="inlineStr">
        <is>
          <t>Mr. Advocate</t>
        </is>
      </c>
      <c r="AA67" s="11" t="inlineStr">
        <is>
          <t>2026-10-07</t>
        </is>
      </c>
      <c r="AB67" s="11" t="inlineStr">
        <is>
          <t>name_year</t>
        </is>
      </c>
      <c r="AC67" s="2" t="inlineStr"/>
      <c r="AD67" s="2" t="inlineStr">
        <is>
          <t>Sri Vishnu Kant Gupta v. Official Liquidator, U.P. Attached to this Hon’ble High Court and Others (2007) was overruled by IFCI Ltd. and Another v. Vishnu Kant Gupta (2008).</t>
        </is>
      </c>
      <c r="AE67" s="2" t="n"/>
      <c r="AF67" s="11" t="inlineStr">
        <is>
          <t>created from list 1</t>
        </is>
      </c>
    </row>
    <row r="68">
      <c r="A68" s="11" t="inlineStr">
        <is>
          <t>L1-0067</t>
        </is>
      </c>
      <c r="B68" s="11" t="inlineStr">
        <is>
          <t>List 1 (to ~2015)</t>
        </is>
      </c>
      <c r="C68" s="11" t="inlineStr">
        <is>
          <t>list1</t>
        </is>
      </c>
      <c r="D68" s="11" t="inlineStr">
        <is>
          <t>verified</t>
        </is>
      </c>
      <c r="E68" s="11" t="inlineStr">
        <is>
          <t>reversed_on_appeal</t>
        </is>
      </c>
      <c r="F68" s="2" t="inlineStr">
        <is>
          <t>Rapti Commission Agency v. State of Uttar Pradesh and Others</t>
        </is>
      </c>
      <c r="G68" s="11" t="inlineStr"/>
      <c r="H68" s="11" t="inlineStr">
        <is>
          <t>unknown</t>
        </is>
      </c>
      <c r="I68" s="2" t="inlineStr">
        <is>
          <t>(2004) 134 STC 436</t>
        </is>
      </c>
      <c r="J68" s="11" t="n">
        <v>2004</v>
      </c>
      <c r="K68" s="2" t="inlineStr">
        <is>
          <t>Rapti Commission Agency v. State of U.P. and Others</t>
        </is>
      </c>
      <c r="L68" s="11" t="inlineStr">
        <is>
          <t>unknown</t>
        </is>
      </c>
      <c r="M68" s="2" t="inlineStr">
        <is>
          <t>(2006) 7 JT 267; (2006) 7 SCALE 487; (2006) 6 SCC 522; (2006) 4 SCR 250 Supp; (2006) 147 STC 566; (2006) AIRSCW 1173; (2006) 2 Supreme 425</t>
        </is>
      </c>
      <c r="N68" s="11" t="n">
        <v>2006</v>
      </c>
      <c r="O68" s="11" t="n"/>
      <c r="P68" s="11" t="n"/>
      <c r="Q68" s="11" t="n"/>
      <c r="R68" s="2" t="n"/>
      <c r="S68" s="2" t="n"/>
      <c r="T68" s="11" t="inlineStr">
        <is>
          <t>yes</t>
        </is>
      </c>
      <c r="U68" s="11" t="inlineStr"/>
      <c r="V68" s="11" t="inlineStr">
        <is>
          <t>outside_list</t>
        </is>
      </c>
      <c r="W68" s="11" t="n"/>
      <c r="X68" s="11" t="n"/>
      <c r="Y68" s="11" t="n"/>
      <c r="Z68" s="11" t="inlineStr">
        <is>
          <t>Mr. Advocate</t>
        </is>
      </c>
      <c r="AA68" s="11" t="inlineStr">
        <is>
          <t>2026-10-07</t>
        </is>
      </c>
      <c r="AB68" s="11" t="inlineStr">
        <is>
          <t>name_year</t>
        </is>
      </c>
      <c r="AC68" s="2" t="inlineStr"/>
      <c r="AD68" s="2" t="inlineStr">
        <is>
          <t>Rapti Commission Agency v. State of Uttar Pradesh and Others (2004) was reversed on appeal by the Supreme Court in Rapti Commission Agency v. State of U.P. and Others (2006).</t>
        </is>
      </c>
      <c r="AE68" s="2" t="n"/>
      <c r="AF68" s="11" t="inlineStr">
        <is>
          <t>created from list 1</t>
        </is>
      </c>
    </row>
    <row r="69">
      <c r="A69" s="11" t="inlineStr">
        <is>
          <t>L1-0068</t>
        </is>
      </c>
      <c r="B69" s="11" t="inlineStr">
        <is>
          <t>List 1 (to ~2015)</t>
        </is>
      </c>
      <c r="C69" s="11" t="inlineStr">
        <is>
          <t>list1</t>
        </is>
      </c>
      <c r="D69" s="11" t="inlineStr">
        <is>
          <t>verified</t>
        </is>
      </c>
      <c r="E69" s="11" t="inlineStr">
        <is>
          <t>overruled</t>
        </is>
      </c>
      <c r="F69" s="2" t="inlineStr">
        <is>
          <t>State of U.P. v. Jagdish Murav, Ganga Murav, Udaibhan Pandey and Ram Sahai Pandey</t>
        </is>
      </c>
      <c r="G69" s="11" t="inlineStr"/>
      <c r="H69" s="11" t="inlineStr">
        <is>
          <t>unknown</t>
        </is>
      </c>
      <c r="I69" s="2" t="inlineStr"/>
      <c r="J69" s="11" t="n"/>
      <c r="K69" s="2" t="inlineStr">
        <is>
          <t>Jagdish Murav v. State of U.P. and Others</t>
        </is>
      </c>
      <c r="L69" s="11" t="inlineStr">
        <is>
          <t>Supreme Court</t>
        </is>
      </c>
      <c r="M69" s="2" t="inlineStr">
        <is>
          <t>(2006) 7 JT 596; (2006) 8 SCALE 433; (2006) 5 SCR 219 Supp</t>
        </is>
      </c>
      <c r="N69" s="11" t="n">
        <v>2006</v>
      </c>
      <c r="O69" s="11" t="n"/>
      <c r="P69" s="11" t="n"/>
      <c r="Q69" s="11" t="n"/>
      <c r="R69" s="2" t="n"/>
      <c r="S69" s="2" t="n"/>
      <c r="T69" s="11" t="inlineStr"/>
      <c r="U69" s="11" t="inlineStr">
        <is>
          <t>no_citation_or_year_for_overruled, needs_citation_or_year</t>
        </is>
      </c>
      <c r="V69" s="11" t="inlineStr">
        <is>
          <t>outside_list</t>
        </is>
      </c>
      <c r="W69" s="11" t="n"/>
      <c r="X69" s="11" t="n"/>
      <c r="Y69" s="11" t="n"/>
      <c r="Z69" s="11" t="inlineStr">
        <is>
          <t>Mr. Advocate</t>
        </is>
      </c>
      <c r="AA69" s="11" t="inlineStr">
        <is>
          <t>2026-10-07</t>
        </is>
      </c>
      <c r="AB69" s="11" t="inlineStr">
        <is>
          <t>weak</t>
        </is>
      </c>
      <c r="AC69" s="2" t="inlineStr"/>
      <c r="AD69" s="2" t="inlineStr">
        <is>
          <t>State of U.P. v. Jagdish Murav, Ganga Murav, Udaibhan Pandey and Ram Sahai Pandey was overruled by Jagdish Murav v. State of U.P. and Others (2006).</t>
        </is>
      </c>
      <c r="AE69" s="2" t="n"/>
      <c r="AF69" s="11" t="inlineStr">
        <is>
          <t>created from list 1</t>
        </is>
      </c>
    </row>
    <row r="70">
      <c r="A70" s="11" t="inlineStr">
        <is>
          <t>L1-0069</t>
        </is>
      </c>
      <c r="B70" s="11" t="inlineStr">
        <is>
          <t>List 1 (to ~2015)</t>
        </is>
      </c>
      <c r="C70" s="11" t="inlineStr">
        <is>
          <t>list1</t>
        </is>
      </c>
      <c r="D70" s="11" t="inlineStr">
        <is>
          <t>verified</t>
        </is>
      </c>
      <c r="E70" s="11" t="inlineStr">
        <is>
          <t>reversed_on_appeal</t>
        </is>
      </c>
      <c r="F70" s="2" t="inlineStr">
        <is>
          <t>Reevan Singh v. State of U.P. and Another</t>
        </is>
      </c>
      <c r="G70" s="11" t="inlineStr"/>
      <c r="H70" s="11" t="inlineStr">
        <is>
          <t>unknown</t>
        </is>
      </c>
      <c r="I70" s="2" t="inlineStr">
        <is>
          <t>(2003) 1 AWC 12</t>
        </is>
      </c>
      <c r="J70" s="11" t="n">
        <v>2003</v>
      </c>
      <c r="K70" s="2" t="inlineStr">
        <is>
          <t>Pawan Pratap Singh and Others v. Reevan Singh and Others</t>
        </is>
      </c>
      <c r="L70" s="11" t="inlineStr">
        <is>
          <t>unknown</t>
        </is>
      </c>
      <c r="M70" s="2" t="inlineStr">
        <is>
          <t>(2011) 2 JT 248; (2011) 2 SCALE 327; (2011) 3 SCC 267; (2011) 1 SCC(L&amp;S) 481; (2011) 2 SCR 831; (2011) AIRSCW 1365; (2011) AIRSCW 3916; (2011) 5 Supreme 579</t>
        </is>
      </c>
      <c r="N70" s="11" t="n">
        <v>2011</v>
      </c>
      <c r="O70" s="11" t="n"/>
      <c r="P70" s="11" t="n"/>
      <c r="Q70" s="11" t="n"/>
      <c r="R70" s="2" t="n"/>
      <c r="S70" s="2" t="n"/>
      <c r="T70" s="11" t="inlineStr">
        <is>
          <t>yes</t>
        </is>
      </c>
      <c r="U70" s="11" t="inlineStr"/>
      <c r="V70" s="11" t="inlineStr">
        <is>
          <t>outside_list</t>
        </is>
      </c>
      <c r="W70" s="11" t="n"/>
      <c r="X70" s="11" t="n"/>
      <c r="Y70" s="11" t="n"/>
      <c r="Z70" s="11" t="inlineStr">
        <is>
          <t>Mr. Advocate</t>
        </is>
      </c>
      <c r="AA70" s="11" t="inlineStr">
        <is>
          <t>2026-10-07</t>
        </is>
      </c>
      <c r="AB70" s="11" t="inlineStr">
        <is>
          <t>name_year</t>
        </is>
      </c>
      <c r="AC70" s="2" t="inlineStr"/>
      <c r="AD70" s="2" t="inlineStr">
        <is>
          <t>Reevan Singh v. State of U.P. and Another (2003) was reversed on appeal by the Supreme Court in Pawan Pratap Singh and Others v. Reevan Singh and Others (2011).</t>
        </is>
      </c>
      <c r="AE70" s="2" t="n"/>
      <c r="AF70" s="11" t="inlineStr">
        <is>
          <t>created from list 1</t>
        </is>
      </c>
    </row>
    <row r="71">
      <c r="A71" s="11" t="inlineStr">
        <is>
          <t>L1-0070</t>
        </is>
      </c>
      <c r="B71" s="11" t="inlineStr">
        <is>
          <t>List 1 (to ~2015)</t>
        </is>
      </c>
      <c r="C71" s="11" t="inlineStr">
        <is>
          <t>list1</t>
        </is>
      </c>
      <c r="D71" s="11" t="inlineStr">
        <is>
          <t>verified</t>
        </is>
      </c>
      <c r="E71" s="11" t="inlineStr">
        <is>
          <t>overruled</t>
        </is>
      </c>
      <c r="F71" s="2" t="inlineStr">
        <is>
          <t>Naresh, Jagpal, Shyam Singh and Bharat (In Jail) v. State of U.P.</t>
        </is>
      </c>
      <c r="G71" s="11" t="inlineStr"/>
      <c r="H71" s="11" t="inlineStr">
        <is>
          <t>unknown</t>
        </is>
      </c>
      <c r="I71" s="2" t="inlineStr"/>
      <c r="J71" s="11" t="n"/>
      <c r="K71" s="2" t="inlineStr">
        <is>
          <t>State of U.P. v. Naresh and Others</t>
        </is>
      </c>
      <c r="L71" s="11" t="inlineStr">
        <is>
          <t>unknown</t>
        </is>
      </c>
      <c r="M71" s="2" t="inlineStr">
        <is>
          <t>(2011) CriLJ 2162; (2011) 3 JT 508; (2011) 2 RCR(Criminal) 364; (2011) 3 SCALE 425; (2011) 4 SCC 324; (2011) 2 SCC(Cri) 216; (2011) AIRSCW 1877</t>
        </is>
      </c>
      <c r="N71" s="11" t="n">
        <v>2011</v>
      </c>
      <c r="O71" s="11" t="n"/>
      <c r="P71" s="11" t="n"/>
      <c r="Q71" s="11" t="n"/>
      <c r="R71" s="2" t="n"/>
      <c r="S71" s="2" t="n"/>
      <c r="T71" s="11" t="inlineStr"/>
      <c r="U71" s="11" t="inlineStr">
        <is>
          <t>no_citation_or_year_for_overruled, needs_citation_or_year</t>
        </is>
      </c>
      <c r="V71" s="11" t="inlineStr">
        <is>
          <t>outside_list</t>
        </is>
      </c>
      <c r="W71" s="11" t="n"/>
      <c r="X71" s="11" t="n"/>
      <c r="Y71" s="11" t="n"/>
      <c r="Z71" s="11" t="inlineStr">
        <is>
          <t>Mr. Advocate</t>
        </is>
      </c>
      <c r="AA71" s="11" t="inlineStr">
        <is>
          <t>2026-10-07</t>
        </is>
      </c>
      <c r="AB71" s="11" t="inlineStr">
        <is>
          <t>weak</t>
        </is>
      </c>
      <c r="AC71" s="2" t="inlineStr"/>
      <c r="AD71" s="2" t="inlineStr">
        <is>
          <t>Naresh, Jagpal, Shyam Singh and Bharat (In Jail) v. State of U.P. was overruled by State of U.P. v. Naresh and Others (2011).</t>
        </is>
      </c>
      <c r="AE71" s="2" t="n"/>
      <c r="AF71" s="11" t="inlineStr">
        <is>
          <t>created from list 1</t>
        </is>
      </c>
    </row>
    <row r="72">
      <c r="A72" s="11" t="inlineStr">
        <is>
          <t>L1-0071</t>
        </is>
      </c>
      <c r="B72" s="11" t="inlineStr">
        <is>
          <t>List 1 (to ~2015)</t>
        </is>
      </c>
      <c r="C72" s="11" t="inlineStr">
        <is>
          <t>list1</t>
        </is>
      </c>
      <c r="D72" s="11" t="inlineStr">
        <is>
          <t>verified</t>
        </is>
      </c>
      <c r="E72" s="11" t="inlineStr">
        <is>
          <t>reversed_on_appeal</t>
        </is>
      </c>
      <c r="F72" s="2" t="inlineStr">
        <is>
          <t>Munesh, (In Jail) v. State of U.P.</t>
        </is>
      </c>
      <c r="G72" s="11" t="inlineStr"/>
      <c r="H72" s="11" t="inlineStr">
        <is>
          <t>unknown</t>
        </is>
      </c>
      <c r="I72" s="2" t="inlineStr">
        <is>
          <t>(2004) CriLJ 1529</t>
        </is>
      </c>
      <c r="J72" s="11" t="n">
        <v>2004</v>
      </c>
      <c r="K72" s="2" t="inlineStr">
        <is>
          <t>State of U.P. v. Munesh</t>
        </is>
      </c>
      <c r="L72" s="11" t="inlineStr">
        <is>
          <t>Supreme Court</t>
        </is>
      </c>
      <c r="M72" s="2" t="inlineStr">
        <is>
          <t>AIR 2013 SC 147; (2013) CriLJ 194; (2012) 10 JT 120; (2012) 10 SCALE 141; (2012) 9 SCC 742</t>
        </is>
      </c>
      <c r="N72" s="11" t="n">
        <v>2013</v>
      </c>
      <c r="O72" s="11" t="n"/>
      <c r="P72" s="11" t="n"/>
      <c r="Q72" s="11" t="n"/>
      <c r="R72" s="2" t="n"/>
      <c r="S72" s="2" t="n"/>
      <c r="T72" s="11" t="inlineStr">
        <is>
          <t>yes</t>
        </is>
      </c>
      <c r="U72" s="11" t="inlineStr">
        <is>
          <t>needs_citation_or_year</t>
        </is>
      </c>
      <c r="V72" s="11" t="inlineStr">
        <is>
          <t>outside_list</t>
        </is>
      </c>
      <c r="W72" s="11" t="n"/>
      <c r="X72" s="11" t="n"/>
      <c r="Y72" s="11" t="n"/>
      <c r="Z72" s="11" t="inlineStr">
        <is>
          <t>Mr. Advocate</t>
        </is>
      </c>
      <c r="AA72" s="11" t="inlineStr">
        <is>
          <t>2026-10-07</t>
        </is>
      </c>
      <c r="AB72" s="11" t="inlineStr">
        <is>
          <t>none</t>
        </is>
      </c>
      <c r="AC72" s="2" t="inlineStr"/>
      <c r="AD72" s="2" t="inlineStr">
        <is>
          <t>Munesh, (In Jail) v. State of U.P. (2004) was reversed on appeal by the Supreme Court in State of U.P. v. Munesh (2013).</t>
        </is>
      </c>
      <c r="AE72" s="2" t="n"/>
      <c r="AF72" s="11" t="inlineStr">
        <is>
          <t>created from list 1</t>
        </is>
      </c>
    </row>
    <row r="73">
      <c r="A73" s="11" t="inlineStr">
        <is>
          <t>L1-0072</t>
        </is>
      </c>
      <c r="B73" s="11" t="inlineStr">
        <is>
          <t>List 1 (to ~2015)</t>
        </is>
      </c>
      <c r="C73" s="11" t="inlineStr">
        <is>
          <t>list1</t>
        </is>
      </c>
      <c r="D73" s="11" t="inlineStr">
        <is>
          <t>verified</t>
        </is>
      </c>
      <c r="E73" s="11" t="inlineStr">
        <is>
          <t>reversed_on_appeal</t>
        </is>
      </c>
      <c r="F73" s="2" t="inlineStr">
        <is>
          <t>Hind Lamps Limited v. Commissioner of Sales Tax</t>
        </is>
      </c>
      <c r="G73" s="11" t="inlineStr"/>
      <c r="H73" s="11" t="inlineStr">
        <is>
          <t>unknown</t>
        </is>
      </c>
      <c r="I73" s="2" t="inlineStr">
        <is>
          <t>(2004) 136 STC 483</t>
        </is>
      </c>
      <c r="J73" s="11" t="n">
        <v>2004</v>
      </c>
      <c r="K73" s="2" t="inlineStr">
        <is>
          <t>Commnr. of Sales Tax, U.P. v. Hind Lamps Ltd.</t>
        </is>
      </c>
      <c r="L73" s="11" t="inlineStr">
        <is>
          <t>Supreme Court</t>
        </is>
      </c>
      <c r="M73" s="2" t="inlineStr">
        <is>
          <t>(2008) 8 JT 590; (2008) 10 SCALE 665</t>
        </is>
      </c>
      <c r="N73" s="11" t="n">
        <v>2008</v>
      </c>
      <c r="O73" s="11" t="n"/>
      <c r="P73" s="11" t="n"/>
      <c r="Q73" s="11" t="n"/>
      <c r="R73" s="2" t="n"/>
      <c r="S73" s="2" t="n"/>
      <c r="T73" s="11" t="inlineStr">
        <is>
          <t>yes</t>
        </is>
      </c>
      <c r="U73" s="11" t="inlineStr"/>
      <c r="V73" s="11" t="inlineStr">
        <is>
          <t>outside_list</t>
        </is>
      </c>
      <c r="W73" s="11" t="n"/>
      <c r="X73" s="11" t="n"/>
      <c r="Y73" s="11" t="n"/>
      <c r="Z73" s="11" t="inlineStr">
        <is>
          <t>Mr. Advocate</t>
        </is>
      </c>
      <c r="AA73" s="11" t="inlineStr">
        <is>
          <t>2026-10-07</t>
        </is>
      </c>
      <c r="AB73" s="11" t="inlineStr">
        <is>
          <t>name_year</t>
        </is>
      </c>
      <c r="AC73" s="2" t="inlineStr"/>
      <c r="AD73" s="2" t="inlineStr">
        <is>
          <t>Hind Lamps Limited v. Commissioner of Sales Tax (2004) was reversed on appeal by the Supreme Court in Commnr. of Sales Tax, U.P. v. Hind Lamps Ltd. (2008).</t>
        </is>
      </c>
      <c r="AE73" s="2" t="n"/>
      <c r="AF73" s="11" t="inlineStr">
        <is>
          <t>created from list 1</t>
        </is>
      </c>
    </row>
    <row r="74">
      <c r="A74" s="11" t="inlineStr">
        <is>
          <t>L1-0073</t>
        </is>
      </c>
      <c r="B74" s="11" t="inlineStr">
        <is>
          <t>List 1 (to ~2015)</t>
        </is>
      </c>
      <c r="C74" s="11" t="inlineStr">
        <is>
          <t>list1</t>
        </is>
      </c>
      <c r="D74" s="11" t="inlineStr">
        <is>
          <t>verified</t>
        </is>
      </c>
      <c r="E74" s="11" t="inlineStr">
        <is>
          <t>reversed_on_appeal</t>
        </is>
      </c>
      <c r="F74" s="2" t="inlineStr">
        <is>
          <t>Mohd. Iqram (in Jail) v. State of U.P.</t>
        </is>
      </c>
      <c r="G74" s="11" t="inlineStr"/>
      <c r="H74" s="11" t="inlineStr">
        <is>
          <t>unknown</t>
        </is>
      </c>
      <c r="I74" s="2" t="inlineStr">
        <is>
          <t>(2003) 3 ACR 2208</t>
        </is>
      </c>
      <c r="J74" s="11" t="n">
        <v>2003</v>
      </c>
      <c r="K74" s="2" t="inlineStr">
        <is>
          <t>State of U.P. v. Mohd Iqram and Another</t>
        </is>
      </c>
      <c r="L74" s="11" t="inlineStr">
        <is>
          <t>Supreme Court</t>
        </is>
      </c>
      <c r="M74" s="2" t="inlineStr">
        <is>
          <t>AIR 2011 SC 2296; (2011) 3 Crimes 14; (2011) 6 JT 650; (2011) 3 RCR(Criminal) 711; (2011) 6 SCALE 497; (2011) 8 SCC 80; (2011) 4 UJ 2291; (2011) AIRSCW 3844; (2011) 4 Supreme 346</t>
        </is>
      </c>
      <c r="N74" s="11" t="n">
        <v>2011</v>
      </c>
      <c r="O74" s="11" t="n"/>
      <c r="P74" s="11" t="n"/>
      <c r="Q74" s="11" t="n"/>
      <c r="R74" s="2" t="n"/>
      <c r="S74" s="2" t="n"/>
      <c r="T74" s="11" t="inlineStr">
        <is>
          <t>yes</t>
        </is>
      </c>
      <c r="U74" s="11" t="inlineStr"/>
      <c r="V74" s="11" t="inlineStr">
        <is>
          <t>outside_list</t>
        </is>
      </c>
      <c r="W74" s="11" t="n"/>
      <c r="X74" s="11" t="n"/>
      <c r="Y74" s="11" t="n"/>
      <c r="Z74" s="11" t="inlineStr">
        <is>
          <t>Mr. Advocate</t>
        </is>
      </c>
      <c r="AA74" s="11" t="inlineStr">
        <is>
          <t>2026-10-07</t>
        </is>
      </c>
      <c r="AB74" s="11" t="inlineStr">
        <is>
          <t>name_year</t>
        </is>
      </c>
      <c r="AC74" s="2" t="inlineStr"/>
      <c r="AD74" s="2" t="inlineStr">
        <is>
          <t>Mohd. Iqram (in Jail) v. State of U.P. (2003) was reversed on appeal by the Supreme Court in State of U.P. v. Mohd Iqram and Another (2011).</t>
        </is>
      </c>
      <c r="AE74" s="2" t="n"/>
      <c r="AF74" s="11" t="inlineStr">
        <is>
          <t>created from list 1</t>
        </is>
      </c>
    </row>
    <row r="75">
      <c r="A75" s="11" t="inlineStr">
        <is>
          <t>L1-0074</t>
        </is>
      </c>
      <c r="B75" s="11" t="inlineStr">
        <is>
          <t>List 1 (to ~2015)</t>
        </is>
      </c>
      <c r="C75" s="11" t="inlineStr">
        <is>
          <t>list1</t>
        </is>
      </c>
      <c r="D75" s="11" t="inlineStr">
        <is>
          <t>verified</t>
        </is>
      </c>
      <c r="E75" s="11" t="inlineStr">
        <is>
          <t>overruled</t>
        </is>
      </c>
      <c r="F75" s="2" t="inlineStr">
        <is>
          <t>Dinesh Pratap Singh and Others v. State of U.P., High Court of Judicature, Public Service Commission</t>
        </is>
      </c>
      <c r="G75" s="11" t="inlineStr"/>
      <c r="H75" s="11" t="inlineStr">
        <is>
          <t>unknown</t>
        </is>
      </c>
      <c r="I75" s="2" t="inlineStr">
        <is>
          <t>(2006) 5 AWC 4630</t>
        </is>
      </c>
      <c r="J75" s="11" t="n">
        <v>2006</v>
      </c>
      <c r="K75" s="2" t="inlineStr">
        <is>
          <t>Malik Mazhar Sultan and Another v. U.P. Public Service Commission and Others</t>
        </is>
      </c>
      <c r="L75" s="11" t="inlineStr">
        <is>
          <t>Supreme Court</t>
        </is>
      </c>
      <c r="M75" s="2" t="inlineStr">
        <is>
          <t>(2006) 109 FLR 777; (2006) 4 JT 531; (2006) 4 SCALE 1; (2006) 9 SCC 507; (2006) SCC(L&amp;S) 1870; (2006) 3 SLJ 39; (2006) 1 UJ 468</t>
        </is>
      </c>
      <c r="N75" s="11" t="n">
        <v>2006</v>
      </c>
      <c r="O75" s="11" t="n"/>
      <c r="P75" s="11" t="n"/>
      <c r="Q75" s="11" t="n"/>
      <c r="R75" s="2" t="n"/>
      <c r="S75" s="2" t="n"/>
      <c r="T75" s="11" t="inlineStr"/>
      <c r="U75" s="11" t="inlineStr"/>
      <c r="V75" s="11" t="inlineStr">
        <is>
          <t>outside_list</t>
        </is>
      </c>
      <c r="W75" s="11" t="n"/>
      <c r="X75" s="11" t="n"/>
      <c r="Y75" s="11" t="n"/>
      <c r="Z75" s="11" t="inlineStr">
        <is>
          <t>Mr. Advocate</t>
        </is>
      </c>
      <c r="AA75" s="11" t="inlineStr">
        <is>
          <t>2026-10-07</t>
        </is>
      </c>
      <c r="AB75" s="11" t="inlineStr">
        <is>
          <t>name_year</t>
        </is>
      </c>
      <c r="AC75" s="2" t="inlineStr"/>
      <c r="AD75" s="2" t="inlineStr">
        <is>
          <t>Dinesh Pratap Singh and Others v. State of U.P., High Court of Judicature, Public Service Commission (2006) was overruled by Malik Mazhar Sultan and Another v. U.P. Public Service Commission and Others (2006).</t>
        </is>
      </c>
      <c r="AE75" s="2" t="n"/>
      <c r="AF75" s="11" t="inlineStr">
        <is>
          <t>created from list 1</t>
        </is>
      </c>
    </row>
    <row r="76">
      <c r="A76" s="11" t="inlineStr">
        <is>
          <t>L1-0075</t>
        </is>
      </c>
      <c r="B76" s="11" t="inlineStr">
        <is>
          <t>List 1 (to ~2015)</t>
        </is>
      </c>
      <c r="C76" s="11" t="inlineStr">
        <is>
          <t>list1</t>
        </is>
      </c>
      <c r="D76" s="11" t="inlineStr">
        <is>
          <t>verified</t>
        </is>
      </c>
      <c r="E76" s="11" t="inlineStr">
        <is>
          <t>disputed_listing</t>
        </is>
      </c>
      <c r="F76" s="2" t="inlineStr">
        <is>
          <t>G.P. Ceramics Pvt. Ltd. v. Commissioner, Trade Tax, U.P.</t>
        </is>
      </c>
      <c r="G76" s="11" t="inlineStr"/>
      <c r="H76" s="11" t="inlineStr">
        <is>
          <t>Supreme Court</t>
        </is>
      </c>
      <c r="I76" s="2" t="inlineStr">
        <is>
          <t>(2009) 1 JT 224; (2008) 15 SCALE 538; (2009) 2 SCC 90; (2008) 1 UJ 54; (2009) 19 VST 284</t>
        </is>
      </c>
      <c r="J76" s="11" t="n">
        <v>2008</v>
      </c>
      <c r="K76" s="2" t="inlineStr"/>
      <c r="L76" s="11" t="inlineStr">
        <is>
          <t>unknown</t>
        </is>
      </c>
      <c r="M76" s="2" t="inlineStr"/>
      <c r="N76" s="11" t="n"/>
      <c r="O76" s="11" t="n"/>
      <c r="P76" s="11" t="n"/>
      <c r="Q76" s="11" t="n"/>
      <c r="R76" s="2" t="n"/>
      <c r="S76" s="2" t="n"/>
      <c r="T76" s="11" t="inlineStr"/>
      <c r="U76" s="11" t="inlineStr">
        <is>
          <t>list_no_overruling_decision</t>
        </is>
      </c>
      <c r="V76" s="11" t="inlineStr">
        <is>
          <t>outside_list</t>
        </is>
      </c>
      <c r="W76" s="11" t="n"/>
      <c r="X76" s="11" t="n"/>
      <c r="Y76" s="11" t="n"/>
      <c r="Z76" s="11" t="inlineStr">
        <is>
          <t>Mr. Advocate</t>
        </is>
      </c>
      <c r="AA76" s="11" t="inlineStr">
        <is>
          <t>2026-10-07</t>
        </is>
      </c>
      <c r="AB76" s="11" t="inlineStr">
        <is>
          <t>name_year</t>
        </is>
      </c>
      <c r="AC76" s="2" t="inlineStr"/>
      <c r="AD76" s="2" t="inlineStr">
        <is>
          <t>G.P. Ceramics Pvt. Ltd. v. Commissioner, Trade Tax, U.P. (2008) is listed in our reference list as overruled by , but the list is inconsistent on this entry.</t>
        </is>
      </c>
      <c r="AE76" s="2" t="n"/>
      <c r="AF76" s="11" t="inlineStr">
        <is>
          <t>created from list 1</t>
        </is>
      </c>
    </row>
    <row r="77">
      <c r="A77" s="11" t="inlineStr">
        <is>
          <t>L1-0076</t>
        </is>
      </c>
      <c r="B77" s="11" t="inlineStr">
        <is>
          <t>List 1 (to ~2015)</t>
        </is>
      </c>
      <c r="C77" s="11" t="inlineStr">
        <is>
          <t>list1</t>
        </is>
      </c>
      <c r="D77" s="11" t="inlineStr">
        <is>
          <t>verified</t>
        </is>
      </c>
      <c r="E77" s="11" t="inlineStr">
        <is>
          <t>overruled</t>
        </is>
      </c>
      <c r="F77" s="2" t="inlineStr">
        <is>
          <t>Pravesh Castings (P) Ltd. v. Commr. of C. Ex.</t>
        </is>
      </c>
      <c r="G77" s="11" t="inlineStr"/>
      <c r="H77" s="11" t="inlineStr">
        <is>
          <t>unknown</t>
        </is>
      </c>
      <c r="I77" s="2" t="inlineStr">
        <is>
          <t>(2000) 67 ECC 498; (2000) 88 ECR 547; (2000) 117 ELT 294</t>
        </is>
      </c>
      <c r="J77" s="11" t="n">
        <v>2000</v>
      </c>
      <c r="K77" s="2" t="inlineStr">
        <is>
          <t>Commissioner of Central Excise and Customs v. M/s. Venus Castings (P) Ltd.</t>
        </is>
      </c>
      <c r="L77" s="11" t="inlineStr">
        <is>
          <t>Supreme Court</t>
        </is>
      </c>
      <c r="M77" s="2" t="inlineStr">
        <is>
          <t>AIR 2000 SC 1568; (2000) 69 ECC 1; (2000) 90 ECR 9; (2000) 117 ELT 273; (2000) 4 JT 77; (2000) 3 SCALE 64; (2000) 4 SCC 206; (2000) 2 SCR 988; (2000) AIRSCW 2160; (2000) AIRSCW 1328; (2000) AIRSCW 2025; (2000) 4 Supreme 455; (2000) 3 Supreme 257</t>
        </is>
      </c>
      <c r="N77" s="11" t="n">
        <v>2000</v>
      </c>
      <c r="O77" s="11" t="n"/>
      <c r="P77" s="11" t="n"/>
      <c r="Q77" s="11" t="n"/>
      <c r="R77" s="2" t="n"/>
      <c r="S77" s="2" t="n"/>
      <c r="T77" s="11" t="inlineStr"/>
      <c r="U77" s="11" t="inlineStr"/>
      <c r="V77" s="11" t="inlineStr">
        <is>
          <t>outside_list</t>
        </is>
      </c>
      <c r="W77" s="11" t="n"/>
      <c r="X77" s="11" t="n"/>
      <c r="Y77" s="11" t="n"/>
      <c r="Z77" s="11" t="inlineStr">
        <is>
          <t>Mr. Advocate</t>
        </is>
      </c>
      <c r="AA77" s="11" t="inlineStr">
        <is>
          <t>2026-10-07</t>
        </is>
      </c>
      <c r="AB77" s="11" t="inlineStr">
        <is>
          <t>name_year</t>
        </is>
      </c>
      <c r="AC77" s="2" t="inlineStr"/>
      <c r="AD77" s="2" t="inlineStr">
        <is>
          <t>Pravesh Castings (P) Ltd. v. Commr. of C. Ex. (2000) was overruled by Commissioner of Central Excise and Customs v. M/s. Venus Castings (P) Ltd. (2000).</t>
        </is>
      </c>
      <c r="AE77" s="2" t="n"/>
      <c r="AF77" s="11" t="inlineStr">
        <is>
          <t>created from list 1</t>
        </is>
      </c>
    </row>
    <row r="78">
      <c r="A78" s="11" t="inlineStr">
        <is>
          <t>L1-0077</t>
        </is>
      </c>
      <c r="B78" s="11" t="inlineStr">
        <is>
          <t>List 1 (to ~2015)</t>
        </is>
      </c>
      <c r="C78" s="11" t="inlineStr">
        <is>
          <t>list1</t>
        </is>
      </c>
      <c r="D78" s="11" t="inlineStr">
        <is>
          <t>verified</t>
        </is>
      </c>
      <c r="E78" s="11" t="inlineStr">
        <is>
          <t>reversed_on_appeal</t>
        </is>
      </c>
      <c r="F78" s="2" t="inlineStr">
        <is>
          <t>Maya Devi (Smt.) and Others v. Nirbhai Kumar and Another</t>
        </is>
      </c>
      <c r="G78" s="11" t="inlineStr"/>
      <c r="H78" s="11" t="inlineStr">
        <is>
          <t>unknown</t>
        </is>
      </c>
      <c r="I78" s="2" t="inlineStr">
        <is>
          <t>(2005) 1 ARC 56</t>
        </is>
      </c>
      <c r="J78" s="11" t="n">
        <v>2005</v>
      </c>
      <c r="K78" s="2" t="inlineStr">
        <is>
          <t>Nirbhai Kumar v. Maya Devi and Others</t>
        </is>
      </c>
      <c r="L78" s="11" t="inlineStr">
        <is>
          <t>Supreme Court</t>
        </is>
      </c>
      <c r="M78" s="2" t="inlineStr">
        <is>
          <t>(2009) 7 JT 32; (2009) 5 SCALE 328; (2009) 5 SCC 399; (2009) 4 SCR 1052</t>
        </is>
      </c>
      <c r="N78" s="11" t="n">
        <v>2009</v>
      </c>
      <c r="O78" s="11" t="n"/>
      <c r="P78" s="11" t="n"/>
      <c r="Q78" s="11" t="n"/>
      <c r="R78" s="2" t="n"/>
      <c r="S78" s="2" t="n"/>
      <c r="T78" s="11" t="inlineStr">
        <is>
          <t>yes</t>
        </is>
      </c>
      <c r="U78" s="11" t="inlineStr"/>
      <c r="V78" s="11" t="inlineStr">
        <is>
          <t>outside_list</t>
        </is>
      </c>
      <c r="W78" s="11" t="n"/>
      <c r="X78" s="11" t="n"/>
      <c r="Y78" s="11" t="n"/>
      <c r="Z78" s="11" t="inlineStr">
        <is>
          <t>Mr. Advocate</t>
        </is>
      </c>
      <c r="AA78" s="11" t="inlineStr">
        <is>
          <t>2026-10-07</t>
        </is>
      </c>
      <c r="AB78" s="11" t="inlineStr">
        <is>
          <t>name_year</t>
        </is>
      </c>
      <c r="AC78" s="2" t="inlineStr"/>
      <c r="AD78" s="2" t="inlineStr">
        <is>
          <t>Maya Devi (Smt.) and Others v. Nirbhai Kumar and Another (2005) was reversed on appeal by the Supreme Court in Nirbhai Kumar v. Maya Devi and Others (2009).</t>
        </is>
      </c>
      <c r="AE78" s="2" t="n"/>
      <c r="AF78" s="11" t="inlineStr">
        <is>
          <t>created from list 1</t>
        </is>
      </c>
    </row>
    <row r="79">
      <c r="A79" s="11" t="inlineStr">
        <is>
          <t>L1-0078</t>
        </is>
      </c>
      <c r="B79" s="11" t="inlineStr">
        <is>
          <t>List 1 (to ~2015)</t>
        </is>
      </c>
      <c r="C79" s="11" t="inlineStr">
        <is>
          <t>list1</t>
        </is>
      </c>
      <c r="D79" s="11" t="inlineStr">
        <is>
          <t>verified</t>
        </is>
      </c>
      <c r="E79" s="11" t="inlineStr">
        <is>
          <t>overruled</t>
        </is>
      </c>
      <c r="F79" s="2" t="inlineStr">
        <is>
          <t>Parmanand Lokumal and Others v. Khudabadi Bhaibund Co-operative Credit Bank Ltd. and Others</t>
        </is>
      </c>
      <c r="G79" s="11" t="inlineStr"/>
      <c r="H79" s="11" t="inlineStr">
        <is>
          <t>Calcutta</t>
        </is>
      </c>
      <c r="I79" s="2" t="inlineStr">
        <is>
          <t>AIR 1958 Cal 675; 62 CWN 820</t>
        </is>
      </c>
      <c r="J79" s="11" t="n">
        <v>1958</v>
      </c>
      <c r="K79" s="2" t="inlineStr">
        <is>
          <t>Diwan Bros. v. Central Bank of India, Bombay and Others</t>
        </is>
      </c>
      <c r="L79" s="11" t="inlineStr">
        <is>
          <t>Supreme Court</t>
        </is>
      </c>
      <c r="M79" s="2" t="inlineStr">
        <is>
          <t>AIR 1976 SC 1503; (1976) 3 SCC 800; (1976) SCR 664 Supp</t>
        </is>
      </c>
      <c r="N79" s="11" t="n">
        <v>1976</v>
      </c>
      <c r="O79" s="11" t="n"/>
      <c r="P79" s="11" t="n"/>
      <c r="Q79" s="11" t="n"/>
      <c r="R79" s="2" t="n"/>
      <c r="S79" s="2" t="n"/>
      <c r="T79" s="11" t="inlineStr"/>
      <c r="U79" s="11" t="inlineStr"/>
      <c r="V79" s="11" t="inlineStr">
        <is>
          <t>outside_list</t>
        </is>
      </c>
      <c r="W79" s="11" t="n"/>
      <c r="X79" s="11" t="n"/>
      <c r="Y79" s="11" t="n"/>
      <c r="Z79" s="11" t="inlineStr">
        <is>
          <t>Mr. Advocate</t>
        </is>
      </c>
      <c r="AA79" s="11" t="inlineStr">
        <is>
          <t>2026-10-07</t>
        </is>
      </c>
      <c r="AB79" s="11" t="inlineStr">
        <is>
          <t>name_year</t>
        </is>
      </c>
      <c r="AC79" s="2" t="inlineStr"/>
      <c r="AD79" s="2" t="inlineStr">
        <is>
          <t>Parmanand Lokumal and Others v. Khudabadi Bhaibund Co-operative Credit Bank Ltd. and Others (1958) was overruled by Diwan Bros. v. Central Bank of India, Bombay and Others (1976).</t>
        </is>
      </c>
      <c r="AE79" s="2" t="n"/>
      <c r="AF79" s="11" t="inlineStr">
        <is>
          <t>created from list 1</t>
        </is>
      </c>
    </row>
    <row r="80">
      <c r="A80" s="11" t="inlineStr">
        <is>
          <t>L1-0079</t>
        </is>
      </c>
      <c r="B80" s="11" t="inlineStr">
        <is>
          <t>List 1 (to ~2015)</t>
        </is>
      </c>
      <c r="C80" s="11" t="inlineStr">
        <is>
          <t>list1</t>
        </is>
      </c>
      <c r="D80" s="11" t="inlineStr">
        <is>
          <t>verified</t>
        </is>
      </c>
      <c r="E80" s="11" t="inlineStr">
        <is>
          <t>overruled</t>
        </is>
      </c>
      <c r="F80" s="2" t="inlineStr">
        <is>
          <t>Radhey Shyam Sh. and Others v. State of U.P. and Others</t>
        </is>
      </c>
      <c r="G80" s="11" t="inlineStr"/>
      <c r="H80" s="11" t="inlineStr">
        <is>
          <t>unknown</t>
        </is>
      </c>
      <c r="I80" s="2" t="inlineStr">
        <is>
          <t>(2009) 2 AWC 1801</t>
        </is>
      </c>
      <c r="J80" s="11" t="n">
        <v>2009</v>
      </c>
      <c r="K80" s="2" t="inlineStr">
        <is>
          <t>Sri Radhy Shyam (Dead) through L.Rs. and Others v. State of U.P. and Others</t>
        </is>
      </c>
      <c r="L80" s="11" t="inlineStr">
        <is>
          <t>Supreme Court</t>
        </is>
      </c>
      <c r="M80" s="2" t="inlineStr">
        <is>
          <t>(2011) 4 JT 524; (2011) 3 RCR(Civil) 96; (2011) 4 SCALE 677; (2011) 5 SCC 553; (2011) 8 SCR 359</t>
        </is>
      </c>
      <c r="N80" s="11" t="n">
        <v>2011</v>
      </c>
      <c r="O80" s="11" t="n"/>
      <c r="P80" s="11" t="n"/>
      <c r="Q80" s="11" t="n"/>
      <c r="R80" s="2" t="n"/>
      <c r="S80" s="2" t="n"/>
      <c r="T80" s="11" t="inlineStr"/>
      <c r="U80" s="11" t="inlineStr"/>
      <c r="V80" s="11" t="inlineStr">
        <is>
          <t>outside_list</t>
        </is>
      </c>
      <c r="W80" s="11" t="n"/>
      <c r="X80" s="11" t="n"/>
      <c r="Y80" s="11" t="n"/>
      <c r="Z80" s="11" t="inlineStr">
        <is>
          <t>Mr. Advocate</t>
        </is>
      </c>
      <c r="AA80" s="11" t="inlineStr">
        <is>
          <t>2026-10-07</t>
        </is>
      </c>
      <c r="AB80" s="11" t="inlineStr">
        <is>
          <t>name_year</t>
        </is>
      </c>
      <c r="AC80" s="2" t="inlineStr"/>
      <c r="AD80" s="2" t="inlineStr">
        <is>
          <t>Radhey Shyam Sh. and Others v. State of U.P. and Others (2009) was overruled by Sri Radhy Shyam (Dead) through L.Rs. and Others v. State of U.P. and Others (2011).</t>
        </is>
      </c>
      <c r="AE80" s="2" t="n"/>
      <c r="AF80" s="11" t="inlineStr">
        <is>
          <t>created from list 1</t>
        </is>
      </c>
    </row>
    <row r="81">
      <c r="A81" s="11" t="inlineStr">
        <is>
          <t>L1-0080</t>
        </is>
      </c>
      <c r="B81" s="11" t="inlineStr">
        <is>
          <t>List 1 (to ~2015)</t>
        </is>
      </c>
      <c r="C81" s="11" t="inlineStr">
        <is>
          <t>list1</t>
        </is>
      </c>
      <c r="D81" s="11" t="inlineStr">
        <is>
          <t>verified</t>
        </is>
      </c>
      <c r="E81" s="11" t="inlineStr">
        <is>
          <t>overruled</t>
        </is>
      </c>
      <c r="F81" s="2" t="inlineStr">
        <is>
          <t>Smt. Seema Sarkar v. The State</t>
        </is>
      </c>
      <c r="G81" s="11" t="inlineStr"/>
      <c r="H81" s="11" t="inlineStr">
        <is>
          <t>unknown</t>
        </is>
      </c>
      <c r="I81" s="2" t="inlineStr">
        <is>
          <t>(1995) 1 CALLT 95</t>
        </is>
      </c>
      <c r="J81" s="11" t="n">
        <v>1995</v>
      </c>
      <c r="K81" s="2" t="inlineStr">
        <is>
          <t>Jaysukh Bavanji Shingalia v. State of Gujarat</t>
        </is>
      </c>
      <c r="L81" s="11" t="inlineStr">
        <is>
          <t>Supreme Court</t>
        </is>
      </c>
      <c r="M81" s="2" t="inlineStr">
        <is>
          <t>AIR 2015 SC 75; (2014) AIRSCW 5487; (2014) 10 SCALE 166</t>
        </is>
      </c>
      <c r="N81" s="11" t="n">
        <v>2015</v>
      </c>
      <c r="O81" s="11" t="n"/>
      <c r="P81" s="11" t="n"/>
      <c r="Q81" s="11" t="n"/>
      <c r="R81" s="2" t="n"/>
      <c r="S81" s="2" t="n"/>
      <c r="T81" s="11" t="inlineStr"/>
      <c r="U81" s="11" t="inlineStr"/>
      <c r="V81" s="11" t="inlineStr">
        <is>
          <t>outside_list</t>
        </is>
      </c>
      <c r="W81" s="11" t="n"/>
      <c r="X81" s="11" t="n"/>
      <c r="Y81" s="11" t="n"/>
      <c r="Z81" s="11" t="inlineStr">
        <is>
          <t>Mr. Advocate</t>
        </is>
      </c>
      <c r="AA81" s="11" t="inlineStr">
        <is>
          <t>2026-10-07</t>
        </is>
      </c>
      <c r="AB81" s="11" t="inlineStr">
        <is>
          <t>name_year</t>
        </is>
      </c>
      <c r="AC81" s="2" t="inlineStr"/>
      <c r="AD81" s="2" t="inlineStr">
        <is>
          <t>Smt. Seema Sarkar v. The State (1995) was overruled by Jaysukh Bavanji Shingalia v. State of Gujarat (2015).</t>
        </is>
      </c>
      <c r="AE81" s="2" t="n"/>
      <c r="AF81" s="11" t="inlineStr">
        <is>
          <t>created from list 1</t>
        </is>
      </c>
    </row>
    <row r="82">
      <c r="A82" s="11" t="inlineStr">
        <is>
          <t>L1-0081</t>
        </is>
      </c>
      <c r="B82" s="11" t="inlineStr">
        <is>
          <t>List 1 (to ~2015)</t>
        </is>
      </c>
      <c r="C82" s="11" t="inlineStr">
        <is>
          <t>list1</t>
        </is>
      </c>
      <c r="D82" s="11" t="inlineStr">
        <is>
          <t>verified</t>
        </is>
      </c>
      <c r="E82" s="11" t="inlineStr">
        <is>
          <t>reversed_on_appeal</t>
        </is>
      </c>
      <c r="F82" s="2" t="inlineStr">
        <is>
          <t>Mukundray K. Shah v. Commissioner of Income Tax</t>
        </is>
      </c>
      <c r="G82" s="11" t="inlineStr"/>
      <c r="H82" s="11" t="inlineStr">
        <is>
          <t>unknown</t>
        </is>
      </c>
      <c r="I82" s="2" t="inlineStr">
        <is>
          <t>(2005) 3 CALLT 597; (2005) 197 CTR 563; (2005) 277 ITR 128; (2005) 146 TAXMAN 743</t>
        </is>
      </c>
      <c r="J82" s="11" t="n">
        <v>2005</v>
      </c>
      <c r="K82" s="2" t="inlineStr">
        <is>
          <t>Commissioner of Income Tax, Kolkata v. Mukundray K. Shah</t>
        </is>
      </c>
      <c r="L82" s="11" t="inlineStr">
        <is>
          <t>Supreme Court</t>
        </is>
      </c>
      <c r="M82" s="2" t="inlineStr">
        <is>
          <t>AIR 2007 SC 1963; (2007) 209 CTR 97; (2007) 290 ITR 433; (2007) 5 JT 363; (2007) 5 SCALE 553; (2007) 4 SCC 327; (2007) 4 SCR 1104; (2007) 1 UJ 537; (2007) AIRSCW 6395</t>
        </is>
      </c>
      <c r="N82" s="11" t="n">
        <v>2007</v>
      </c>
      <c r="O82" s="11" t="n"/>
      <c r="P82" s="11" t="n"/>
      <c r="Q82" s="11" t="n"/>
      <c r="R82" s="2" t="n"/>
      <c r="S82" s="2" t="n"/>
      <c r="T82" s="11" t="inlineStr">
        <is>
          <t>yes</t>
        </is>
      </c>
      <c r="U82" s="11" t="inlineStr"/>
      <c r="V82" s="11" t="inlineStr">
        <is>
          <t>outside_list</t>
        </is>
      </c>
      <c r="W82" s="11" t="n"/>
      <c r="X82" s="11" t="n"/>
      <c r="Y82" s="11" t="n"/>
      <c r="Z82" s="11" t="inlineStr">
        <is>
          <t>Mr. Advocate</t>
        </is>
      </c>
      <c r="AA82" s="11" t="inlineStr">
        <is>
          <t>2026-10-07</t>
        </is>
      </c>
      <c r="AB82" s="11" t="inlineStr">
        <is>
          <t>name_year</t>
        </is>
      </c>
      <c r="AC82" s="2" t="inlineStr"/>
      <c r="AD82" s="2" t="inlineStr">
        <is>
          <t>Mukundray K. Shah v. Commissioner of Income Tax (2005) was reversed on appeal by the Supreme Court in Commissioner of Income Tax, Kolkata v. Mukundray K. Shah (2007).</t>
        </is>
      </c>
      <c r="AE82" s="2" t="n"/>
      <c r="AF82" s="11" t="inlineStr">
        <is>
          <t>created from list 1</t>
        </is>
      </c>
    </row>
    <row r="83">
      <c r="A83" s="11" t="inlineStr">
        <is>
          <t>L1-0082</t>
        </is>
      </c>
      <c r="B83" s="11" t="inlineStr">
        <is>
          <t>List 1 (to ~2015)</t>
        </is>
      </c>
      <c r="C83" s="11" t="inlineStr">
        <is>
          <t>list1</t>
        </is>
      </c>
      <c r="D83" s="11" t="inlineStr">
        <is>
          <t>verified</t>
        </is>
      </c>
      <c r="E83" s="11" t="inlineStr">
        <is>
          <t>reversed_on_appeal</t>
        </is>
      </c>
      <c r="F83" s="2" t="inlineStr">
        <is>
          <t>Mishri Lal and Others v. Union of India (UOI) and Others</t>
        </is>
      </c>
      <c r="G83" s="11" t="inlineStr"/>
      <c r="H83" s="11" t="inlineStr">
        <is>
          <t>unknown</t>
        </is>
      </c>
      <c r="I83" s="2" t="inlineStr">
        <is>
          <t>(2006) 5 AWC 4403</t>
        </is>
      </c>
      <c r="J83" s="11" t="n">
        <v>2006</v>
      </c>
      <c r="K83" s="2" t="inlineStr">
        <is>
          <t>CMD/Chairman, B.S.N.L. and Others v. Mishri Lal and Others</t>
        </is>
      </c>
      <c r="L83" s="11" t="inlineStr">
        <is>
          <t>Supreme Court</t>
        </is>
      </c>
      <c r="M83" s="2" t="inlineStr">
        <is>
          <t>(2011) 4 SCALE 659</t>
        </is>
      </c>
      <c r="N83" s="11" t="n">
        <v>2011</v>
      </c>
      <c r="O83" s="11" t="n"/>
      <c r="P83" s="11" t="n"/>
      <c r="Q83" s="11" t="n"/>
      <c r="R83" s="2" t="n"/>
      <c r="S83" s="2" t="n"/>
      <c r="T83" s="11" t="inlineStr">
        <is>
          <t>yes</t>
        </is>
      </c>
      <c r="U83" s="11" t="inlineStr"/>
      <c r="V83" s="11" t="inlineStr">
        <is>
          <t>outside_list</t>
        </is>
      </c>
      <c r="W83" s="11" t="n"/>
      <c r="X83" s="11" t="n"/>
      <c r="Y83" s="11" t="n"/>
      <c r="Z83" s="11" t="inlineStr">
        <is>
          <t>Mr. Advocate</t>
        </is>
      </c>
      <c r="AA83" s="11" t="inlineStr">
        <is>
          <t>2026-10-07</t>
        </is>
      </c>
      <c r="AB83" s="11" t="inlineStr">
        <is>
          <t>name_year</t>
        </is>
      </c>
      <c r="AC83" s="2" t="inlineStr"/>
      <c r="AD83" s="2" t="inlineStr">
        <is>
          <t>Mishri Lal and Others v. Union of India (UOI) and Others (2006) was reversed on appeal by the Supreme Court in CMD/Chairman, B.S.N.L. and Others v. Mishri Lal and Others (2011).</t>
        </is>
      </c>
      <c r="AE83" s="2" t="n"/>
      <c r="AF83" s="11" t="inlineStr">
        <is>
          <t>created from list 1</t>
        </is>
      </c>
    </row>
    <row r="84">
      <c r="A84" s="11" t="inlineStr">
        <is>
          <t>L1-0083</t>
        </is>
      </c>
      <c r="B84" s="11" t="inlineStr">
        <is>
          <t>List 1 (to ~2015)</t>
        </is>
      </c>
      <c r="C84" s="11" t="inlineStr">
        <is>
          <t>list1</t>
        </is>
      </c>
      <c r="D84" s="11" t="inlineStr">
        <is>
          <t>verified</t>
        </is>
      </c>
      <c r="E84" s="11" t="inlineStr">
        <is>
          <t>overruled</t>
        </is>
      </c>
      <c r="F84" s="2" t="inlineStr">
        <is>
          <t>Sitalpore Colliery Concern Ltd. v. Union of India (UOI) and Others</t>
        </is>
      </c>
      <c r="G84" s="11" t="inlineStr"/>
      <c r="H84" s="11" t="inlineStr">
        <is>
          <t>Calcutta</t>
        </is>
      </c>
      <c r="I84" s="2" t="inlineStr">
        <is>
          <t>AIR 1957 Cal 319; 61 CWN 440; (1958) 1 ILR (Cal) 362; (1957) 32 ITR 26</t>
        </is>
      </c>
      <c r="J84" s="11" t="n">
        <v>1957</v>
      </c>
      <c r="K84" s="2" t="inlineStr">
        <is>
          <t>Dwarka Nath v. Income Tax Officer, Special Circle D-ward, Kanpur and Another</t>
        </is>
      </c>
      <c r="L84" s="11" t="inlineStr">
        <is>
          <t>Supreme Court</t>
        </is>
      </c>
      <c r="M84" s="2" t="inlineStr">
        <is>
          <t>AIR 1966 SC 81; (1965) 57 ITR 349; (1965) 3 SCR 536</t>
        </is>
      </c>
      <c r="N84" s="11" t="n">
        <v>1966</v>
      </c>
      <c r="O84" s="11" t="n"/>
      <c r="P84" s="11" t="n"/>
      <c r="Q84" s="11" t="n"/>
      <c r="R84" s="2" t="n"/>
      <c r="S84" s="2" t="n"/>
      <c r="T84" s="11" t="inlineStr"/>
      <c r="U84" s="11" t="inlineStr"/>
      <c r="V84" s="11" t="inlineStr">
        <is>
          <t>outside_list</t>
        </is>
      </c>
      <c r="W84" s="11" t="n"/>
      <c r="X84" s="11" t="n"/>
      <c r="Y84" s="11" t="n"/>
      <c r="Z84" s="11" t="inlineStr">
        <is>
          <t>Mr. Advocate</t>
        </is>
      </c>
      <c r="AA84" s="11" t="inlineStr">
        <is>
          <t>2026-10-07</t>
        </is>
      </c>
      <c r="AB84" s="11" t="inlineStr">
        <is>
          <t>name_year</t>
        </is>
      </c>
      <c r="AC84" s="2" t="inlineStr">
        <is>
          <t>L1-0576: overruled by Prabodh Verma and Others v. State of Uttar Pradesh and Others (1985)</t>
        </is>
      </c>
      <c r="AD84" s="2" t="inlineStr">
        <is>
          <t>Sitalpore Colliery Concern Ltd. v. Union of India (UOI) and Others (1957) was overruled by Dwarka Nath v. Income Tax Officer, Special Circle D-ward, Kanpur and Another (1966). Note: Dwarka Nath v. Income Tax Officer, Special Circle D-ward, Kanpur and Another was itself later overruled by Prabodh Verma and Others v. State of Uttar Pradesh and Others (1985); the current position should be checked.</t>
        </is>
      </c>
      <c r="AE84" s="2" t="n"/>
      <c r="AF84" s="11" t="inlineStr">
        <is>
          <t>created from list 1</t>
        </is>
      </c>
    </row>
    <row r="85">
      <c r="A85" s="11" t="inlineStr">
        <is>
          <t>L1-0084</t>
        </is>
      </c>
      <c r="B85" s="11" t="inlineStr">
        <is>
          <t>List 1 (to ~2015)</t>
        </is>
      </c>
      <c r="C85" s="11" t="inlineStr">
        <is>
          <t>list1</t>
        </is>
      </c>
      <c r="D85" s="11" t="inlineStr">
        <is>
          <t>verified</t>
        </is>
      </c>
      <c r="E85" s="11" t="inlineStr">
        <is>
          <t>overruled</t>
        </is>
      </c>
      <c r="F85" s="2" t="inlineStr">
        <is>
          <t>Shri Rajesh Kumar Saxena Retd. Chief Accounts Officer (T.A) v. Bharat Sanchar Nigam Ltd., B.S.N.L. Board, The Chief General Manager, Bharat Sanchar Nigam Ltd. and The General Manager Telecom, Bharat Sanchar Nigam Ltd.</t>
        </is>
      </c>
      <c r="G85" s="11" t="inlineStr"/>
      <c r="H85" s="11" t="inlineStr">
        <is>
          <t>unknown</t>
        </is>
      </c>
      <c r="I85" s="2" t="inlineStr">
        <is>
          <t>(2007) 1 ADJ 574; (2007) 112 FLR 784</t>
        </is>
      </c>
      <c r="J85" s="11" t="n">
        <v>2007</v>
      </c>
      <c r="K85" s="2" t="inlineStr">
        <is>
          <t>B.S.N.L. and Others v. Rajesh Kumar Saxena</t>
        </is>
      </c>
      <c r="L85" s="11" t="inlineStr">
        <is>
          <t>Supreme Court</t>
        </is>
      </c>
      <c r="M85" s="2" t="inlineStr">
        <is>
          <t>AIR 2008 SC 2952; (2008) 117 FLR 382; (2008) 4 JT 275; (2008) 4 SCALE 16; (2008) 11 SCC 213; (2008) 2 SCC(L&amp;S) 1091; (2008) AIRSCW 4964</t>
        </is>
      </c>
      <c r="N85" s="11" t="n">
        <v>2008</v>
      </c>
      <c r="O85" s="11" t="n"/>
      <c r="P85" s="11" t="n"/>
      <c r="Q85" s="11" t="n"/>
      <c r="R85" s="2" t="n"/>
      <c r="S85" s="2" t="n"/>
      <c r="T85" s="11" t="inlineStr"/>
      <c r="U85" s="11" t="inlineStr"/>
      <c r="V85" s="11" t="inlineStr">
        <is>
          <t>outside_list</t>
        </is>
      </c>
      <c r="W85" s="11" t="n"/>
      <c r="X85" s="11" t="n"/>
      <c r="Y85" s="11" t="n"/>
      <c r="Z85" s="11" t="inlineStr">
        <is>
          <t>Mr. Advocate</t>
        </is>
      </c>
      <c r="AA85" s="11" t="inlineStr">
        <is>
          <t>2026-10-07</t>
        </is>
      </c>
      <c r="AB85" s="11" t="inlineStr">
        <is>
          <t>name_year</t>
        </is>
      </c>
      <c r="AC85" s="2" t="inlineStr"/>
      <c r="AD85" s="2" t="inlineStr">
        <is>
          <t>Shri Rajesh Kumar Saxena Retd. Chief Accounts Officer (T.A) v. Bharat Sanchar Nigam Ltd., B.S.N.L. Board, The Chief General Manager, Bharat Sanchar Nigam Ltd. and The General Manager Telecom, Bharat Sanchar Nigam Ltd. (2007) was overruled by B.S.N.L. and Others v. Rajesh Kumar Saxena (2008).</t>
        </is>
      </c>
      <c r="AE85" s="2" t="n"/>
      <c r="AF85" s="11" t="inlineStr">
        <is>
          <t>created from list 1</t>
        </is>
      </c>
    </row>
    <row r="86">
      <c r="A86" s="11" t="inlineStr">
        <is>
          <t>L1-0085</t>
        </is>
      </c>
      <c r="B86" s="11" t="inlineStr">
        <is>
          <t>List 1 (to ~2015)</t>
        </is>
      </c>
      <c r="C86" s="11" t="inlineStr">
        <is>
          <t>list1</t>
        </is>
      </c>
      <c r="D86" s="11" t="inlineStr">
        <is>
          <t>verified</t>
        </is>
      </c>
      <c r="E86" s="11" t="inlineStr">
        <is>
          <t>reversed_on_appeal</t>
        </is>
      </c>
      <c r="F86" s="2" t="inlineStr">
        <is>
          <t>J.U. Pesticides and Chemicals Pvt. Ltd. v. Commissioner, Trade Tax</t>
        </is>
      </c>
      <c r="G86" s="11" t="inlineStr"/>
      <c r="H86" s="11" t="inlineStr">
        <is>
          <t>unknown</t>
        </is>
      </c>
      <c r="I86" s="2" t="inlineStr">
        <is>
          <t>(2007) 8 VST 356</t>
        </is>
      </c>
      <c r="J86" s="11" t="n">
        <v>2007</v>
      </c>
      <c r="K86" s="2" t="inlineStr">
        <is>
          <t>Commissioner of Trade Tax, U.P. v. J.U. Pesticides and Chemical P. Ltd</t>
        </is>
      </c>
      <c r="L86" s="11" t="inlineStr">
        <is>
          <t>unknown</t>
        </is>
      </c>
      <c r="M86" s="2" t="inlineStr">
        <is>
          <t>(2008) 3 CLT 194; (2008) 224 ELT 19; (2008) 3 JT 182; (2008) 3 SCALE 238; (2008) 7 SCC 100; (2009) 15 STR 765; (2008) 13 VST 372; (2008) AIRSCW 1728</t>
        </is>
      </c>
      <c r="N86" s="11" t="n">
        <v>2008</v>
      </c>
      <c r="O86" s="11" t="n"/>
      <c r="P86" s="11" t="n"/>
      <c r="Q86" s="11" t="n"/>
      <c r="R86" s="2" t="n"/>
      <c r="S86" s="2" t="n"/>
      <c r="T86" s="11" t="inlineStr">
        <is>
          <t>yes</t>
        </is>
      </c>
      <c r="U86" s="11" t="inlineStr"/>
      <c r="V86" s="11" t="inlineStr">
        <is>
          <t>outside_list</t>
        </is>
      </c>
      <c r="W86" s="11" t="n"/>
      <c r="X86" s="11" t="n"/>
      <c r="Y86" s="11" t="n"/>
      <c r="Z86" s="11" t="inlineStr">
        <is>
          <t>Mr. Advocate</t>
        </is>
      </c>
      <c r="AA86" s="11" t="inlineStr">
        <is>
          <t>2026-10-07</t>
        </is>
      </c>
      <c r="AB86" s="11" t="inlineStr">
        <is>
          <t>name_year</t>
        </is>
      </c>
      <c r="AC86" s="2" t="inlineStr"/>
      <c r="AD86" s="2" t="inlineStr">
        <is>
          <t>J.U. Pesticides and Chemicals Pvt. Ltd. v. Commissioner, Trade Tax (2007) was reversed on appeal by the Supreme Court in Commissioner of Trade Tax, U.P. v. J.U. Pesticides and Chemical P. Ltd (2008).</t>
        </is>
      </c>
      <c r="AE86" s="2" t="n"/>
      <c r="AF86" s="11" t="inlineStr">
        <is>
          <t>created from list 1</t>
        </is>
      </c>
    </row>
    <row r="87">
      <c r="A87" s="11" t="inlineStr">
        <is>
          <t>L1-0086</t>
        </is>
      </c>
      <c r="B87" s="11" t="inlineStr">
        <is>
          <t>List 1 (to ~2015)</t>
        </is>
      </c>
      <c r="C87" s="11" t="inlineStr">
        <is>
          <t>list1</t>
        </is>
      </c>
      <c r="D87" s="11" t="inlineStr">
        <is>
          <t>verified</t>
        </is>
      </c>
      <c r="E87" s="11" t="inlineStr">
        <is>
          <t>reversed_on_appeal</t>
        </is>
      </c>
      <c r="F87" s="2" t="inlineStr">
        <is>
          <t>Kumari Geeta Mehrotra and Another v. State of U.P. and Another</t>
        </is>
      </c>
      <c r="G87" s="11" t="inlineStr"/>
      <c r="H87" s="11" t="inlineStr">
        <is>
          <t>unknown</t>
        </is>
      </c>
      <c r="I87" s="2" t="inlineStr"/>
      <c r="J87" s="11" t="n"/>
      <c r="K87" s="2" t="inlineStr">
        <is>
          <t>Geeta Mehrotra and Another v. State of U.P. and Another</t>
        </is>
      </c>
      <c r="L87" s="11" t="inlineStr">
        <is>
          <t>Supreme Court</t>
        </is>
      </c>
      <c r="M87" s="2" t="inlineStr">
        <is>
          <t>AIR 2013 SC 181; (2012) 10 SCALE 299; (2012) 10 SCC 741; (2012) AIRSCW 5692</t>
        </is>
      </c>
      <c r="N87" s="11" t="n">
        <v>2013</v>
      </c>
      <c r="O87" s="11" t="n"/>
      <c r="P87" s="11" t="n"/>
      <c r="Q87" s="11" t="n"/>
      <c r="R87" s="2" t="n"/>
      <c r="S87" s="2" t="n"/>
      <c r="T87" s="11" t="inlineStr">
        <is>
          <t>yes</t>
        </is>
      </c>
      <c r="U87" s="11" t="inlineStr">
        <is>
          <t>no_citation_or_year_for_overruled, needs_citation_or_year</t>
        </is>
      </c>
      <c r="V87" s="11" t="inlineStr">
        <is>
          <t>outside_list</t>
        </is>
      </c>
      <c r="W87" s="11" t="n"/>
      <c r="X87" s="11" t="n"/>
      <c r="Y87" s="11" t="n"/>
      <c r="Z87" s="11" t="inlineStr">
        <is>
          <t>Mr. Advocate</t>
        </is>
      </c>
      <c r="AA87" s="11" t="inlineStr">
        <is>
          <t>2026-10-07</t>
        </is>
      </c>
      <c r="AB87" s="11" t="inlineStr">
        <is>
          <t>weak</t>
        </is>
      </c>
      <c r="AC87" s="2" t="inlineStr"/>
      <c r="AD87" s="2" t="inlineStr">
        <is>
          <t>Kumari Geeta Mehrotra and Another v. State of U.P. and Another was reversed on appeal by the Supreme Court in Geeta Mehrotra and Another v. State of U.P. and Another (2013).</t>
        </is>
      </c>
      <c r="AE87" s="2" t="n"/>
      <c r="AF87" s="11" t="inlineStr">
        <is>
          <t>created from list 1</t>
        </is>
      </c>
    </row>
    <row r="88">
      <c r="A88" s="11" t="inlineStr">
        <is>
          <t>L1-0087</t>
        </is>
      </c>
      <c r="B88" s="11" t="inlineStr">
        <is>
          <t>List 1 (to ~2015)</t>
        </is>
      </c>
      <c r="C88" s="11" t="inlineStr">
        <is>
          <t>list1</t>
        </is>
      </c>
      <c r="D88" s="11" t="inlineStr">
        <is>
          <t>verified</t>
        </is>
      </c>
      <c r="E88" s="11" t="inlineStr">
        <is>
          <t>reversed_on_appeal</t>
        </is>
      </c>
      <c r="F88" s="2" t="inlineStr">
        <is>
          <t>The Tamil Nadu State Housing Board v. T.R. Sheshachalam (died) and Others</t>
        </is>
      </c>
      <c r="G88" s="11" t="inlineStr"/>
      <c r="H88" s="11" t="inlineStr">
        <is>
          <t>unknown</t>
        </is>
      </c>
      <c r="I88" s="2" t="inlineStr"/>
      <c r="J88" s="11" t="n"/>
      <c r="K88" s="2" t="inlineStr">
        <is>
          <t>T.R. Boopalan and Others v. Tamil Nadu Housing Board and Others</t>
        </is>
      </c>
      <c r="L88" s="11" t="inlineStr">
        <is>
          <t>Supreme Court</t>
        </is>
      </c>
      <c r="M88" s="2" t="inlineStr">
        <is>
          <t>(2008) 9 JT 8; (2008) 11 SCALE 180; (2008) 12 SCC 525</t>
        </is>
      </c>
      <c r="N88" s="11" t="n">
        <v>2008</v>
      </c>
      <c r="O88" s="11" t="n"/>
      <c r="P88" s="11" t="n"/>
      <c r="Q88" s="11" t="n"/>
      <c r="R88" s="2" t="n"/>
      <c r="S88" s="2" t="n"/>
      <c r="T88" s="11" t="inlineStr">
        <is>
          <t>yes</t>
        </is>
      </c>
      <c r="U88" s="11" t="inlineStr">
        <is>
          <t>no_citation_or_year_for_overruled, needs_citation_or_year</t>
        </is>
      </c>
      <c r="V88" s="11" t="inlineStr">
        <is>
          <t>outside_list</t>
        </is>
      </c>
      <c r="W88" s="11" t="n"/>
      <c r="X88" s="11" t="n"/>
      <c r="Y88" s="11" t="n"/>
      <c r="Z88" s="11" t="inlineStr">
        <is>
          <t>Mr. Advocate</t>
        </is>
      </c>
      <c r="AA88" s="11" t="inlineStr">
        <is>
          <t>2026-10-07</t>
        </is>
      </c>
      <c r="AB88" s="11" t="inlineStr">
        <is>
          <t>weak</t>
        </is>
      </c>
      <c r="AC88" s="2" t="inlineStr"/>
      <c r="AD88" s="2" t="inlineStr">
        <is>
          <t>The Tamil Nadu State Housing Board v. T.R. Sheshachalam (died) and Others was reversed on appeal by the Supreme Court in T.R. Boopalan and Others v. Tamil Nadu Housing Board and Others (2008).</t>
        </is>
      </c>
      <c r="AE88" s="2" t="n"/>
      <c r="AF88" s="11" t="inlineStr">
        <is>
          <t>created from list 1</t>
        </is>
      </c>
    </row>
    <row r="89">
      <c r="A89" s="11" t="inlineStr">
        <is>
          <t>L1-0088</t>
        </is>
      </c>
      <c r="B89" s="11" t="inlineStr">
        <is>
          <t>List 1 (to ~2015)</t>
        </is>
      </c>
      <c r="C89" s="11" t="inlineStr">
        <is>
          <t>list1</t>
        </is>
      </c>
      <c r="D89" s="11" t="inlineStr">
        <is>
          <t>verified</t>
        </is>
      </c>
      <c r="E89" s="11" t="inlineStr">
        <is>
          <t>reversed_on_appeal</t>
        </is>
      </c>
      <c r="F89" s="2" t="inlineStr">
        <is>
          <t>Commissioner of Income Tax v. Hind Wire Industries Ltd.</t>
        </is>
      </c>
      <c r="G89" s="11" t="inlineStr"/>
      <c r="H89" s="11" t="inlineStr">
        <is>
          <t>unknown</t>
        </is>
      </c>
      <c r="I89" s="2" t="inlineStr">
        <is>
          <t>(1993) 202 ITR 274</t>
        </is>
      </c>
      <c r="J89" s="11" t="n">
        <v>1993</v>
      </c>
      <c r="K89" s="2" t="inlineStr">
        <is>
          <t>M/s. Hind Wire Industries Ltd. v. Commissioner of Income Tax, West Bengal-V.</t>
        </is>
      </c>
      <c r="L89" s="11" t="inlineStr">
        <is>
          <t>Supreme Court</t>
        </is>
      </c>
      <c r="M89" s="2" t="inlineStr">
        <is>
          <t>AIR 1995 SC 1133; (1995) 124 CTR 219; (1998) 99 ELT 25; (1995) 212 ITR 639; (1995) 2 JT 317; (1995) 1 SCALE 475; (1995) 3 SCC 136; (1995) 1 SCR 519</t>
        </is>
      </c>
      <c r="N89" s="11" t="n">
        <v>1995</v>
      </c>
      <c r="O89" s="11" t="n"/>
      <c r="P89" s="11" t="n"/>
      <c r="Q89" s="11" t="n"/>
      <c r="R89" s="2" t="n"/>
      <c r="S89" s="2" t="n"/>
      <c r="T89" s="11" t="inlineStr">
        <is>
          <t>yes</t>
        </is>
      </c>
      <c r="U89" s="11" t="inlineStr"/>
      <c r="V89" s="11" t="inlineStr">
        <is>
          <t>outside_list</t>
        </is>
      </c>
      <c r="W89" s="11" t="n"/>
      <c r="X89" s="11" t="n"/>
      <c r="Y89" s="11" t="n"/>
      <c r="Z89" s="11" t="inlineStr">
        <is>
          <t>Mr. Advocate</t>
        </is>
      </c>
      <c r="AA89" s="11" t="inlineStr">
        <is>
          <t>2026-10-07</t>
        </is>
      </c>
      <c r="AB89" s="11" t="inlineStr">
        <is>
          <t>name_year</t>
        </is>
      </c>
      <c r="AC89" s="2" t="inlineStr"/>
      <c r="AD89" s="2" t="inlineStr">
        <is>
          <t>Commissioner of Income Tax v. Hind Wire Industries Ltd. (1993) was reversed on appeal by the Supreme Court in M/s. Hind Wire Industries Ltd. v. Commissioner of Income Tax, West Bengal-V. (1995).</t>
        </is>
      </c>
      <c r="AE89" s="2" t="n"/>
      <c r="AF89" s="11" t="inlineStr">
        <is>
          <t>created from list 1</t>
        </is>
      </c>
    </row>
    <row r="90">
      <c r="A90" s="11" t="inlineStr">
        <is>
          <t>L1-0089</t>
        </is>
      </c>
      <c r="B90" s="11" t="inlineStr">
        <is>
          <t>List 1 (to ~2015)</t>
        </is>
      </c>
      <c r="C90" s="11" t="inlineStr">
        <is>
          <t>list1</t>
        </is>
      </c>
      <c r="D90" s="11" t="inlineStr">
        <is>
          <t>verified</t>
        </is>
      </c>
      <c r="E90" s="11" t="inlineStr">
        <is>
          <t>overruled</t>
        </is>
      </c>
      <c r="F90" s="2" t="inlineStr">
        <is>
          <t>The Government of Tamil Nadu and The State of Tamil Nadu v. Tvl. Ponni Sugars and Chemicals Ltd. and Bannari Amman Sugars Ltd.</t>
        </is>
      </c>
      <c r="G90" s="11" t="inlineStr"/>
      <c r="H90" s="11" t="inlineStr">
        <is>
          <t>unknown</t>
        </is>
      </c>
      <c r="I90" s="2" t="inlineStr"/>
      <c r="J90" s="11" t="n"/>
      <c r="K90" s="2" t="inlineStr">
        <is>
          <t>Bannari Amman Sugars Ltd. v. Commercial Tax Officer and Others</t>
        </is>
      </c>
      <c r="L90" s="11" t="inlineStr">
        <is>
          <t>Supreme Court</t>
        </is>
      </c>
      <c r="M90" s="2" t="inlineStr">
        <is>
          <t>(2004) 192 CTR 492; (2004) 10 JT 500; (2004) 9 SCALE 604; (2005) 1 SCC 625; (2005) 139 STC 86</t>
        </is>
      </c>
      <c r="N90" s="11" t="n">
        <v>2004</v>
      </c>
      <c r="O90" s="11" t="n"/>
      <c r="P90" s="11" t="n"/>
      <c r="Q90" s="11" t="n"/>
      <c r="R90" s="2" t="n"/>
      <c r="S90" s="2" t="n"/>
      <c r="T90" s="11" t="inlineStr"/>
      <c r="U90" s="11" t="inlineStr">
        <is>
          <t>no_citation_or_year_for_overruled, needs_citation_or_year</t>
        </is>
      </c>
      <c r="V90" s="11" t="inlineStr">
        <is>
          <t>outside_list</t>
        </is>
      </c>
      <c r="W90" s="11" t="n"/>
      <c r="X90" s="11" t="n"/>
      <c r="Y90" s="11" t="n"/>
      <c r="Z90" s="11" t="inlineStr">
        <is>
          <t>Mr. Advocate</t>
        </is>
      </c>
      <c r="AA90" s="11" t="inlineStr">
        <is>
          <t>2026-10-07</t>
        </is>
      </c>
      <c r="AB90" s="11" t="inlineStr">
        <is>
          <t>weak</t>
        </is>
      </c>
      <c r="AC90" s="2" t="inlineStr"/>
      <c r="AD90" s="2" t="inlineStr">
        <is>
          <t>The Government of Tamil Nadu and The State of Tamil Nadu v. Tvl. Ponni Sugars and Chemicals Ltd. and Bannari Amman Sugars Ltd. was overruled by Bannari Amman Sugars Ltd. v. Commercial Tax Officer and Others (2004).</t>
        </is>
      </c>
      <c r="AE90" s="2" t="n"/>
      <c r="AF90" s="11" t="inlineStr">
        <is>
          <t>created from list 1</t>
        </is>
      </c>
    </row>
    <row r="91">
      <c r="A91" s="11" t="inlineStr">
        <is>
          <t>L1-0090</t>
        </is>
      </c>
      <c r="B91" s="11" t="inlineStr">
        <is>
          <t>List 1 (to ~2015)</t>
        </is>
      </c>
      <c r="C91" s="11" t="inlineStr">
        <is>
          <t>list1</t>
        </is>
      </c>
      <c r="D91" s="11" t="inlineStr">
        <is>
          <t>verified</t>
        </is>
      </c>
      <c r="E91" s="11" t="inlineStr">
        <is>
          <t>overruled</t>
        </is>
      </c>
      <c r="F91" s="2" t="inlineStr">
        <is>
          <t>Darjeeling Himalayan Rly. Co. Ltd. and Others v. Jetmull Bhojraj and Another</t>
        </is>
      </c>
      <c r="G91" s="11" t="inlineStr"/>
      <c r="H91" s="11" t="inlineStr">
        <is>
          <t>Calcutta</t>
        </is>
      </c>
      <c r="I91" s="2" t="inlineStr">
        <is>
          <t>AIR 1956 Cal 390; (1956) 1 CALLT 141; 60 CWN 683</t>
        </is>
      </c>
      <c r="J91" s="11" t="n">
        <v>1956</v>
      </c>
      <c r="K91" s="2" t="inlineStr">
        <is>
          <t>Union of India (UOI) v. Brijlal Purshottamdas</t>
        </is>
      </c>
      <c r="L91" s="11" t="inlineStr">
        <is>
          <t>Supreme Court</t>
        </is>
      </c>
      <c r="M91" s="2" t="inlineStr">
        <is>
          <t>AIR 1969 SC 817; (1969) 1 SCR 910</t>
        </is>
      </c>
      <c r="N91" s="11" t="n">
        <v>1969</v>
      </c>
      <c r="O91" s="11" t="n"/>
      <c r="P91" s="11" t="n"/>
      <c r="Q91" s="11" t="n"/>
      <c r="R91" s="2" t="n"/>
      <c r="S91" s="2" t="n"/>
      <c r="T91" s="11" t="inlineStr"/>
      <c r="U91" s="11" t="inlineStr"/>
      <c r="V91" s="11" t="inlineStr">
        <is>
          <t>outside_list</t>
        </is>
      </c>
      <c r="W91" s="11" t="n"/>
      <c r="X91" s="11" t="n"/>
      <c r="Y91" s="11" t="n"/>
      <c r="Z91" s="11" t="inlineStr">
        <is>
          <t>Mr. Advocate</t>
        </is>
      </c>
      <c r="AA91" s="11" t="inlineStr">
        <is>
          <t>2026-10-07</t>
        </is>
      </c>
      <c r="AB91" s="11" t="inlineStr">
        <is>
          <t>name_year</t>
        </is>
      </c>
      <c r="AC91" s="2" t="inlineStr"/>
      <c r="AD91" s="2" t="inlineStr">
        <is>
          <t>Darjeeling Himalayan Rly. Co. Ltd. and Others v. Jetmull Bhojraj and Another (1956) was overruled by Union of India (UOI) v. Brijlal Purshottamdas (1969).</t>
        </is>
      </c>
      <c r="AE91" s="2" t="n"/>
      <c r="AF91" s="11" t="inlineStr">
        <is>
          <t>created from list 1</t>
        </is>
      </c>
    </row>
    <row r="92">
      <c r="A92" s="11" t="inlineStr">
        <is>
          <t>L1-0091</t>
        </is>
      </c>
      <c r="B92" s="11" t="inlineStr">
        <is>
          <t>List 1 (to ~2015)</t>
        </is>
      </c>
      <c r="C92" s="11" t="inlineStr">
        <is>
          <t>list1</t>
        </is>
      </c>
      <c r="D92" s="11" t="inlineStr">
        <is>
          <t>verified</t>
        </is>
      </c>
      <c r="E92" s="11" t="inlineStr">
        <is>
          <t>reversed_on_appeal</t>
        </is>
      </c>
      <c r="F92" s="2" t="inlineStr">
        <is>
          <t>Tamil Nadu Electricity Board v. Tamil Nadu Electricity Board, Thozhilalar Aykkiya Sangam</t>
        </is>
      </c>
      <c r="G92" s="11" t="inlineStr"/>
      <c r="H92" s="11" t="inlineStr">
        <is>
          <t>unknown</t>
        </is>
      </c>
      <c r="I92" s="2" t="inlineStr"/>
      <c r="J92" s="11" t="n"/>
      <c r="K92" s="2" t="inlineStr">
        <is>
          <t>T.N. Electricity Board and Another v. T.N. Electricity Board Thozhilalar Aykkiya Sangam</t>
        </is>
      </c>
      <c r="L92" s="11" t="inlineStr">
        <is>
          <t>Supreme Court</t>
        </is>
      </c>
      <c r="M92" s="2" t="inlineStr">
        <is>
          <t>(2008) 1 CLT 738; (2008) 3 JT 332; (2008) 2 SCALE 626; (2008) 3 SCC 359; (2008) 1 SCC(L&amp;S) 649</t>
        </is>
      </c>
      <c r="N92" s="11" t="n">
        <v>2008</v>
      </c>
      <c r="O92" s="11" t="n"/>
      <c r="P92" s="11" t="n"/>
      <c r="Q92" s="11" t="n"/>
      <c r="R92" s="2" t="n"/>
      <c r="S92" s="2" t="n"/>
      <c r="T92" s="11" t="inlineStr">
        <is>
          <t>yes</t>
        </is>
      </c>
      <c r="U92" s="11" t="inlineStr">
        <is>
          <t>no_citation_or_year_for_overruled, needs_citation_or_year</t>
        </is>
      </c>
      <c r="V92" s="11" t="inlineStr">
        <is>
          <t>outside_list</t>
        </is>
      </c>
      <c r="W92" s="11" t="n"/>
      <c r="X92" s="11" t="n"/>
      <c r="Y92" s="11" t="n"/>
      <c r="Z92" s="11" t="inlineStr">
        <is>
          <t>Mr. Advocate</t>
        </is>
      </c>
      <c r="AA92" s="11" t="inlineStr">
        <is>
          <t>2026-10-07</t>
        </is>
      </c>
      <c r="AB92" s="11" t="inlineStr">
        <is>
          <t>weak</t>
        </is>
      </c>
      <c r="AC92" s="2" t="inlineStr"/>
      <c r="AD92" s="2" t="inlineStr">
        <is>
          <t>Tamil Nadu Electricity Board v. Tamil Nadu Electricity Board, Thozhilalar Aykkiya Sangam was reversed on appeal by the Supreme Court in T.N. Electricity Board and Another v. T.N. Electricity Board Thozhilalar Aykkiya Sangam (2008).</t>
        </is>
      </c>
      <c r="AE92" s="2" t="n"/>
      <c r="AF92" s="11" t="inlineStr">
        <is>
          <t>created from list 1</t>
        </is>
      </c>
    </row>
    <row r="93">
      <c r="A93" s="11" t="inlineStr">
        <is>
          <t>L1-0092</t>
        </is>
      </c>
      <c r="B93" s="11" t="inlineStr">
        <is>
          <t>List 1 (to ~2015)</t>
        </is>
      </c>
      <c r="C93" s="11" t="inlineStr">
        <is>
          <t>list1</t>
        </is>
      </c>
      <c r="D93" s="11" t="inlineStr">
        <is>
          <t>verified</t>
        </is>
      </c>
      <c r="E93" s="11" t="inlineStr">
        <is>
          <t>overruled</t>
        </is>
      </c>
      <c r="F93" s="2" t="inlineStr">
        <is>
          <t>D.R. Gellatly v. J.R.W. Cannon</t>
        </is>
      </c>
      <c r="G93" s="11" t="inlineStr"/>
      <c r="H93" s="11" t="inlineStr">
        <is>
          <t>Calcutta</t>
        </is>
      </c>
      <c r="I93" s="2" t="inlineStr">
        <is>
          <t>AIR 1953 Cal 409; (1953) 1 CALLT 410; 57 CWN 294</t>
        </is>
      </c>
      <c r="J93" s="11" t="n">
        <v>1953</v>
      </c>
      <c r="K93" s="2" t="inlineStr">
        <is>
          <t>Modula India v. Kamakshya Singh Deo</t>
        </is>
      </c>
      <c r="L93" s="11" t="inlineStr">
        <is>
          <t>Supreme Court</t>
        </is>
      </c>
      <c r="M93" s="2" t="inlineStr">
        <is>
          <t>AIR 1989 SC 162; (1988) 4 JT 214; (1988) 2 SCALE 1163; (1988) 4 SCC 619; (1988) 3 SCR 333 Supp</t>
        </is>
      </c>
      <c r="N93" s="11" t="n">
        <v>1989</v>
      </c>
      <c r="O93" s="11" t="n"/>
      <c r="P93" s="11" t="n"/>
      <c r="Q93" s="11" t="n"/>
      <c r="R93" s="2" t="n"/>
      <c r="S93" s="2" t="n"/>
      <c r="T93" s="11" t="inlineStr"/>
      <c r="U93" s="11" t="inlineStr"/>
      <c r="V93" s="11" t="inlineStr">
        <is>
          <t>outside_list</t>
        </is>
      </c>
      <c r="W93" s="11" t="n"/>
      <c r="X93" s="11" t="n"/>
      <c r="Y93" s="11" t="n"/>
      <c r="Z93" s="11" t="inlineStr">
        <is>
          <t>Mr. Advocate</t>
        </is>
      </c>
      <c r="AA93" s="11" t="inlineStr">
        <is>
          <t>2026-10-07</t>
        </is>
      </c>
      <c r="AB93" s="11" t="inlineStr">
        <is>
          <t>name_year</t>
        </is>
      </c>
      <c r="AC93" s="2" t="inlineStr"/>
      <c r="AD93" s="2" t="inlineStr">
        <is>
          <t>D.R. Gellatly v. J.R.W. Cannon (1953) was overruled by Modula India v. Kamakshya Singh Deo (1989).</t>
        </is>
      </c>
      <c r="AE93" s="2" t="n"/>
      <c r="AF93" s="11" t="inlineStr">
        <is>
          <t>created from list 1</t>
        </is>
      </c>
    </row>
    <row r="94">
      <c r="A94" s="11" t="inlineStr">
        <is>
          <t>L1-0093</t>
        </is>
      </c>
      <c r="B94" s="11" t="inlineStr">
        <is>
          <t>List 1 (to ~2015)</t>
        </is>
      </c>
      <c r="C94" s="11" t="inlineStr">
        <is>
          <t>list1</t>
        </is>
      </c>
      <c r="D94" s="11" t="inlineStr">
        <is>
          <t>verified</t>
        </is>
      </c>
      <c r="E94" s="11" t="inlineStr">
        <is>
          <t>overruled</t>
        </is>
      </c>
      <c r="F94" s="2" t="inlineStr">
        <is>
          <t>Fenner India Limited v. BSES Limited and Another</t>
        </is>
      </c>
      <c r="G94" s="11" t="inlineStr"/>
      <c r="H94" s="11" t="inlineStr">
        <is>
          <t>unknown</t>
        </is>
      </c>
      <c r="I94" s="2" t="inlineStr">
        <is>
          <t>(2005) 1 ARBLR 205; (2005) 1 LW 22</t>
        </is>
      </c>
      <c r="J94" s="11" t="n">
        <v>2005</v>
      </c>
      <c r="K94" s="2" t="inlineStr">
        <is>
          <t>BSES Ltd. (Now Reliance Energy Ltd.) v. Fenner India Ltd. and Another</t>
        </is>
      </c>
      <c r="L94" s="11" t="inlineStr">
        <is>
          <t>Supreme Court</t>
        </is>
      </c>
      <c r="M94" s="2" t="inlineStr">
        <is>
          <t>AIR 2006 SC 1148; (2006) 1 ARBLR 388; (2006) 2 BC 20; (2006) 130 CompCas 8; (2006) 2 CompLJ 430; (2006) 2 CTC 137; (2006) 1 CTLJ 228; (2006) 2 JT 192; (2006) 143 PLR 227; (2006) 2 SCALE 186; (2006) 2 SCC 728; (2006) AIRSCW 721; (2006) 2 Supreme 106</t>
        </is>
      </c>
      <c r="N94" s="11" t="n">
        <v>2006</v>
      </c>
      <c r="O94" s="11" t="n"/>
      <c r="P94" s="11" t="n"/>
      <c r="Q94" s="11" t="n"/>
      <c r="R94" s="2" t="n"/>
      <c r="S94" s="2" t="n"/>
      <c r="T94" s="11" t="inlineStr"/>
      <c r="U94" s="11" t="inlineStr"/>
      <c r="V94" s="11" t="inlineStr">
        <is>
          <t>outside_list</t>
        </is>
      </c>
      <c r="W94" s="11" t="n"/>
      <c r="X94" s="11" t="n"/>
      <c r="Y94" s="11" t="n"/>
      <c r="Z94" s="11" t="inlineStr">
        <is>
          <t>Mr. Advocate</t>
        </is>
      </c>
      <c r="AA94" s="11" t="inlineStr">
        <is>
          <t>2026-10-07</t>
        </is>
      </c>
      <c r="AB94" s="11" t="inlineStr">
        <is>
          <t>name_year</t>
        </is>
      </c>
      <c r="AC94" s="2" t="inlineStr"/>
      <c r="AD94" s="2" t="inlineStr">
        <is>
          <t>Fenner India Limited v. BSES Limited and Another (2005) was overruled by BSES Ltd. (Now Reliance Energy Ltd.) v. Fenner India Ltd. and Another (2006).</t>
        </is>
      </c>
      <c r="AE94" s="2" t="n"/>
      <c r="AF94" s="11" t="inlineStr">
        <is>
          <t>created from list 1</t>
        </is>
      </c>
    </row>
    <row r="95">
      <c r="A95" s="11" t="inlineStr">
        <is>
          <t>L1-0094</t>
        </is>
      </c>
      <c r="B95" s="11" t="inlineStr">
        <is>
          <t>List 1 (to ~2015)</t>
        </is>
      </c>
      <c r="C95" s="11" t="inlineStr">
        <is>
          <t>list1</t>
        </is>
      </c>
      <c r="D95" s="11" t="inlineStr">
        <is>
          <t>verified</t>
        </is>
      </c>
      <c r="E95" s="11" t="inlineStr">
        <is>
          <t>overruled</t>
        </is>
      </c>
      <c r="F95" s="2" t="inlineStr">
        <is>
          <t>Dr. S. Rajavelu v. Chairman, Union Public Service Commission, Secretary, Union Public Service Commission, Director General of Archaeological Survey of India and The Registrar, Central Administrative Tribunal</t>
        </is>
      </c>
      <c r="G95" s="11" t="inlineStr"/>
      <c r="H95" s="11" t="inlineStr">
        <is>
          <t>unknown</t>
        </is>
      </c>
      <c r="I95" s="2" t="inlineStr"/>
      <c r="J95" s="11" t="n"/>
      <c r="K95" s="2" t="inlineStr">
        <is>
          <t>Sanjay Kumar Manjul v. The Chairman, UPSC and Others</t>
        </is>
      </c>
      <c r="L95" s="11" t="inlineStr">
        <is>
          <t>Supreme Court</t>
        </is>
      </c>
      <c r="M95" s="2" t="inlineStr">
        <is>
          <t>AIR 2007 SC 254; (2006) 12 JT 1; (2006) 9 SCALE 232; (2006) 8 SCC 42; (2006) SCC(L&amp;S) 1780; (2006) 6 SCR 72 Supp; (2007) 3 SLJ 322</t>
        </is>
      </c>
      <c r="N95" s="11" t="n">
        <v>2007</v>
      </c>
      <c r="O95" s="11" t="n"/>
      <c r="P95" s="11" t="n"/>
      <c r="Q95" s="11" t="n"/>
      <c r="R95" s="2" t="n"/>
      <c r="S95" s="2" t="n"/>
      <c r="T95" s="11" t="inlineStr"/>
      <c r="U95" s="11" t="inlineStr">
        <is>
          <t>no_citation_or_year_for_overruled, needs_citation_or_year</t>
        </is>
      </c>
      <c r="V95" s="11" t="inlineStr">
        <is>
          <t>outside_list</t>
        </is>
      </c>
      <c r="W95" s="11" t="n"/>
      <c r="X95" s="11" t="n"/>
      <c r="Y95" s="11" t="n"/>
      <c r="Z95" s="11" t="inlineStr">
        <is>
          <t>Mr. Advocate</t>
        </is>
      </c>
      <c r="AA95" s="11" t="inlineStr">
        <is>
          <t>2026-10-07</t>
        </is>
      </c>
      <c r="AB95" s="11" t="inlineStr">
        <is>
          <t>none</t>
        </is>
      </c>
      <c r="AC95" s="2" t="inlineStr"/>
      <c r="AD95" s="2" t="inlineStr">
        <is>
          <t>Dr. S. Rajavelu v. Chairman, Union Public Service Commission, Secretary, Union Public Service Commission, Director General of Archaeological Survey of India and The Registrar, Central Administrative Tribunal was overruled by Sanjay Kumar Manjul v. The Chairman, UPSC and Others (2007).</t>
        </is>
      </c>
      <c r="AE95" s="2" t="n"/>
      <c r="AF95" s="11" t="inlineStr">
        <is>
          <t>created from list 1</t>
        </is>
      </c>
    </row>
    <row r="96">
      <c r="A96" s="11" t="inlineStr">
        <is>
          <t>L1-0095</t>
        </is>
      </c>
      <c r="B96" s="11" t="inlineStr">
        <is>
          <t>List 1 (to ~2015)</t>
        </is>
      </c>
      <c r="C96" s="11" t="inlineStr">
        <is>
          <t>list1</t>
        </is>
      </c>
      <c r="D96" s="11" t="inlineStr">
        <is>
          <t>verified</t>
        </is>
      </c>
      <c r="E96" s="11" t="inlineStr">
        <is>
          <t>reversed_on_appeal</t>
        </is>
      </c>
      <c r="F96" s="2" t="inlineStr">
        <is>
          <t>P.H. Paul Manoj Pandian v. Mr. P. Veldurai</t>
        </is>
      </c>
      <c r="G96" s="11" t="inlineStr"/>
      <c r="H96" s="11" t="inlineStr">
        <is>
          <t>unknown</t>
        </is>
      </c>
      <c r="I96" s="2" t="inlineStr"/>
      <c r="J96" s="11" t="n"/>
      <c r="K96" s="2" t="inlineStr">
        <is>
          <t>P.H. Paul Manoj Pandian v. Mr. P. Veldurai</t>
        </is>
      </c>
      <c r="L96" s="11" t="inlineStr">
        <is>
          <t>Supreme Court</t>
        </is>
      </c>
      <c r="M96" s="2" t="inlineStr">
        <is>
          <t>AIR 2011 SC 1660; (2011) 4 JT 567; (2011) 2 RCR(Civil) 723; (2011) 4 SCALE 596; (2011) 5 SCC 214; (2011) 5 SCR 254; (2011) 2 UJ 1430; (2011) AIRSCW 2623; (2011) 3 Supreme 185</t>
        </is>
      </c>
      <c r="N96" s="11" t="n">
        <v>2011</v>
      </c>
      <c r="O96" s="11" t="n"/>
      <c r="P96" s="11" t="n"/>
      <c r="Q96" s="11" t="n"/>
      <c r="R96" s="2" t="n"/>
      <c r="S96" s="2" t="n"/>
      <c r="T96" s="11" t="inlineStr">
        <is>
          <t>yes</t>
        </is>
      </c>
      <c r="U96" s="11" t="inlineStr">
        <is>
          <t>no_citation_or_year_for_overruled, needs_citation_or_year</t>
        </is>
      </c>
      <c r="V96" s="11" t="inlineStr">
        <is>
          <t>outside_list</t>
        </is>
      </c>
      <c r="W96" s="11" t="n"/>
      <c r="X96" s="11" t="n"/>
      <c r="Y96" s="11" t="n"/>
      <c r="Z96" s="11" t="inlineStr">
        <is>
          <t>Mr. Advocate</t>
        </is>
      </c>
      <c r="AA96" s="11" t="inlineStr">
        <is>
          <t>2026-10-07</t>
        </is>
      </c>
      <c r="AB96" s="11" t="inlineStr">
        <is>
          <t>weak</t>
        </is>
      </c>
      <c r="AC96" s="2" t="inlineStr"/>
      <c r="AD96" s="2" t="inlineStr">
        <is>
          <t>P.H. Paul Manoj Pandian v. Mr. P. Veldurai was reversed on appeal by the Supreme Court in P.H. Paul Manoj Pandian v. Mr. P. Veldurai (2011).</t>
        </is>
      </c>
      <c r="AE96" s="2" t="n"/>
      <c r="AF96" s="11" t="inlineStr">
        <is>
          <t>created from list 1</t>
        </is>
      </c>
    </row>
    <row r="97">
      <c r="A97" s="11" t="inlineStr">
        <is>
          <t>L1-0096</t>
        </is>
      </c>
      <c r="B97" s="11" t="inlineStr">
        <is>
          <t>List 1 (to ~2015)</t>
        </is>
      </c>
      <c r="C97" s="11" t="inlineStr">
        <is>
          <t>list1</t>
        </is>
      </c>
      <c r="D97" s="11" t="inlineStr">
        <is>
          <t>verified</t>
        </is>
      </c>
      <c r="E97" s="11" t="inlineStr">
        <is>
          <t>overruled</t>
        </is>
      </c>
      <c r="F97" s="2" t="inlineStr">
        <is>
          <t>Gurudas Biswas v. Charu Panna Seal and Others</t>
        </is>
      </c>
      <c r="G97" s="11" t="inlineStr"/>
      <c r="H97" s="11" t="inlineStr">
        <is>
          <t>Calcutta</t>
        </is>
      </c>
      <c r="I97" s="2" t="inlineStr">
        <is>
          <t>AIR 1977 Cal 110; 81 CWN 188; (1975) 1 ILR (Cal) 52</t>
        </is>
      </c>
      <c r="J97" s="11" t="n">
        <v>1977</v>
      </c>
      <c r="K97" s="2" t="inlineStr">
        <is>
          <t>Modula India v. Kamakshya Singh Deo</t>
        </is>
      </c>
      <c r="L97" s="11" t="inlineStr">
        <is>
          <t>Supreme Court</t>
        </is>
      </c>
      <c r="M97" s="2" t="inlineStr">
        <is>
          <t>AIR 1989 SC 162; (1988) 4 JT 214; (1988) 2 SCALE 1163; (1988) 4 SCC 619; (1988) 3 SCR 333 Supp</t>
        </is>
      </c>
      <c r="N97" s="11" t="n">
        <v>1989</v>
      </c>
      <c r="O97" s="11" t="n"/>
      <c r="P97" s="11" t="n"/>
      <c r="Q97" s="11" t="n"/>
      <c r="R97" s="2" t="n"/>
      <c r="S97" s="2" t="n"/>
      <c r="T97" s="11" t="inlineStr"/>
      <c r="U97" s="11" t="inlineStr"/>
      <c r="V97" s="11" t="inlineStr">
        <is>
          <t>outside_list</t>
        </is>
      </c>
      <c r="W97" s="11" t="n"/>
      <c r="X97" s="11" t="n"/>
      <c r="Y97" s="11" t="n"/>
      <c r="Z97" s="11" t="inlineStr">
        <is>
          <t>Mr. Advocate</t>
        </is>
      </c>
      <c r="AA97" s="11" t="inlineStr">
        <is>
          <t>2026-10-07</t>
        </is>
      </c>
      <c r="AB97" s="11" t="inlineStr">
        <is>
          <t>name_year</t>
        </is>
      </c>
      <c r="AC97" s="2" t="inlineStr"/>
      <c r="AD97" s="2" t="inlineStr">
        <is>
          <t>Gurudas Biswas v. Charu Panna Seal and Others (1977) was overruled by Modula India v. Kamakshya Singh Deo (1989).</t>
        </is>
      </c>
      <c r="AE97" s="2" t="n"/>
      <c r="AF97" s="11" t="inlineStr">
        <is>
          <t>created from list 1</t>
        </is>
      </c>
    </row>
    <row r="98">
      <c r="A98" s="11" t="inlineStr">
        <is>
          <t>L1-0097</t>
        </is>
      </c>
      <c r="B98" s="11" t="inlineStr">
        <is>
          <t>List 1 (to ~2015)</t>
        </is>
      </c>
      <c r="C98" s="11" t="inlineStr">
        <is>
          <t>list1</t>
        </is>
      </c>
      <c r="D98" s="11" t="inlineStr">
        <is>
          <t>verified</t>
        </is>
      </c>
      <c r="E98" s="11" t="inlineStr">
        <is>
          <t>overruled</t>
        </is>
      </c>
      <c r="F98" s="2" t="inlineStr">
        <is>
          <t>State by Public Prosecutor v. Murugan and Others</t>
        </is>
      </c>
      <c r="G98" s="11" t="inlineStr"/>
      <c r="H98" s="11" t="inlineStr">
        <is>
          <t>unknown</t>
        </is>
      </c>
      <c r="I98" s="2" t="inlineStr">
        <is>
          <t>(2002) CriLJ 670; (2001) 2 LW(Cri) 815</t>
        </is>
      </c>
      <c r="J98" s="11" t="n">
        <v>2001</v>
      </c>
      <c r="K98" s="2" t="inlineStr">
        <is>
          <t>Murugan and Another v. State rep. by Public Prosecutor, Madras, Tamil Nadu and Another</t>
        </is>
      </c>
      <c r="L98" s="11" t="inlineStr">
        <is>
          <t>Supreme Court</t>
        </is>
      </c>
      <c r="M98" s="2" t="inlineStr">
        <is>
          <t>AIR 2009 SC 72; (2008) 10 JT 631; (2008) 13 SCALE 117</t>
        </is>
      </c>
      <c r="N98" s="11" t="n">
        <v>2009</v>
      </c>
      <c r="O98" s="11" t="n"/>
      <c r="P98" s="11" t="n"/>
      <c r="Q98" s="11" t="n"/>
      <c r="R98" s="2" t="n"/>
      <c r="S98" s="2" t="n"/>
      <c r="T98" s="11" t="inlineStr"/>
      <c r="U98" s="11" t="inlineStr"/>
      <c r="V98" s="11" t="inlineStr">
        <is>
          <t>outside_list</t>
        </is>
      </c>
      <c r="W98" s="11" t="n"/>
      <c r="X98" s="11" t="n"/>
      <c r="Y98" s="11" t="n"/>
      <c r="Z98" s="11" t="inlineStr">
        <is>
          <t>Mr. Advocate</t>
        </is>
      </c>
      <c r="AA98" s="11" t="inlineStr">
        <is>
          <t>2026-10-07</t>
        </is>
      </c>
      <c r="AB98" s="11" t="inlineStr">
        <is>
          <t>name_year</t>
        </is>
      </c>
      <c r="AC98" s="2" t="inlineStr"/>
      <c r="AD98" s="2" t="inlineStr">
        <is>
          <t>State by Public Prosecutor v. Murugan and Others (2001) was overruled by Murugan and Another v. State rep. by Public Prosecutor, Madras, Tamil Nadu and Another (2009).</t>
        </is>
      </c>
      <c r="AE98" s="2" t="n"/>
      <c r="AF98" s="11" t="inlineStr">
        <is>
          <t>created from list 1</t>
        </is>
      </c>
    </row>
    <row r="99">
      <c r="A99" s="11" t="inlineStr">
        <is>
          <t>L1-0098</t>
        </is>
      </c>
      <c r="B99" s="11" t="inlineStr">
        <is>
          <t>List 1 (to ~2015)</t>
        </is>
      </c>
      <c r="C99" s="11" t="inlineStr">
        <is>
          <t>list1</t>
        </is>
      </c>
      <c r="D99" s="11" t="inlineStr">
        <is>
          <t>verified</t>
        </is>
      </c>
      <c r="E99" s="11" t="inlineStr">
        <is>
          <t>overruled</t>
        </is>
      </c>
      <c r="F99" s="2" t="inlineStr">
        <is>
          <t>Management of Thanjavur Textile Mills Limited v. Presiding Officer, First Additional Labour Court and Others</t>
        </is>
      </c>
      <c r="G99" s="11" t="inlineStr"/>
      <c r="H99" s="11" t="inlineStr">
        <is>
          <t>unknown</t>
        </is>
      </c>
      <c r="I99" s="2" t="inlineStr">
        <is>
          <t>(1999) 2 LLJ 442</t>
        </is>
      </c>
      <c r="J99" s="11" t="n">
        <v>1999</v>
      </c>
      <c r="K99" s="2" t="inlineStr">
        <is>
          <t>Thanjavur Textiles Ltd. v. B. Purushotham and Others</t>
        </is>
      </c>
      <c r="L99" s="11" t="inlineStr">
        <is>
          <t>Supreme Court</t>
        </is>
      </c>
      <c r="M99" s="2" t="inlineStr">
        <is>
          <t>AIR 1999 SC 1290; (1999) 2 JT 364; (1999) 1 LLJ 1049; (1999) 2 SCALE 216; (1999) 3 SCC 316; (1999) SCC(L&amp;S) 677; (1999) 1 SCR 1150; (1999) AIRSCW 979; (1999) 3 Supreme 409</t>
        </is>
      </c>
      <c r="N99" s="11" t="n">
        <v>1999</v>
      </c>
      <c r="O99" s="11" t="n"/>
      <c r="P99" s="11" t="n"/>
      <c r="Q99" s="11" t="n"/>
      <c r="R99" s="2" t="n"/>
      <c r="S99" s="2" t="n"/>
      <c r="T99" s="11" t="inlineStr"/>
      <c r="U99" s="11" t="inlineStr"/>
      <c r="V99" s="11" t="inlineStr">
        <is>
          <t>outside_list</t>
        </is>
      </c>
      <c r="W99" s="11" t="n"/>
      <c r="X99" s="11" t="n"/>
      <c r="Y99" s="11" t="n"/>
      <c r="Z99" s="11" t="inlineStr">
        <is>
          <t>Mr. Advocate</t>
        </is>
      </c>
      <c r="AA99" s="11" t="inlineStr">
        <is>
          <t>2026-10-07</t>
        </is>
      </c>
      <c r="AB99" s="11" t="inlineStr">
        <is>
          <t>name_year</t>
        </is>
      </c>
      <c r="AC99" s="2" t="inlineStr"/>
      <c r="AD99" s="2" t="inlineStr">
        <is>
          <t>Management of Thanjavur Textile Mills Limited v. Presiding Officer, First Additional Labour Court and Others (1999) was overruled by Thanjavur Textiles Ltd. v. B. Purushotham and Others (1999).</t>
        </is>
      </c>
      <c r="AE99" s="2" t="n"/>
      <c r="AF99" s="11" t="inlineStr">
        <is>
          <t>created from list 1</t>
        </is>
      </c>
    </row>
    <row r="100">
      <c r="A100" s="11" t="inlineStr">
        <is>
          <t>L1-0099</t>
        </is>
      </c>
      <c r="B100" s="11" t="inlineStr">
        <is>
          <t>List 1 (to ~2015)</t>
        </is>
      </c>
      <c r="C100" s="11" t="inlineStr">
        <is>
          <t>list1</t>
        </is>
      </c>
      <c r="D100" s="11" t="inlineStr">
        <is>
          <t>verified</t>
        </is>
      </c>
      <c r="E100" s="11" t="inlineStr">
        <is>
          <t>overruled</t>
        </is>
      </c>
      <c r="F100" s="2" t="inlineStr">
        <is>
          <t>V. Devaki Ammal v. Assistant Controller of Estate Duty</t>
        </is>
      </c>
      <c r="G100" s="11" t="inlineStr"/>
      <c r="H100" s="11" t="inlineStr">
        <is>
          <t>unknown</t>
        </is>
      </c>
      <c r="I100" s="2" t="inlineStr">
        <is>
          <t>(1973) 91 ITR 24</t>
        </is>
      </c>
      <c r="J100" s="11" t="n">
        <v>1973</v>
      </c>
      <c r="K100" s="2" t="inlineStr">
        <is>
          <t>Asstt. Collector of Estate Duty, Madras v. V. Devaki Ammal (Smt), Madras</t>
        </is>
      </c>
      <c r="L100" s="11" t="inlineStr">
        <is>
          <t>Supreme Court</t>
        </is>
      </c>
      <c r="M100" s="2" t="inlineStr">
        <is>
          <t>(1995) 125 CTR 134; (1995) 212 ITR 395; (1994) 7 JT 543; (1994) 4 SCALE 995; (1995) 2 SCC 39 Supp; (1994) 5 SCR 573 Supp</t>
        </is>
      </c>
      <c r="N100" s="11" t="n">
        <v>1994</v>
      </c>
      <c r="O100" s="11" t="n"/>
      <c r="P100" s="11" t="n"/>
      <c r="Q100" s="11" t="n"/>
      <c r="R100" s="2" t="n"/>
      <c r="S100" s="2" t="n"/>
      <c r="T100" s="11" t="inlineStr"/>
      <c r="U100" s="11" t="inlineStr"/>
      <c r="V100" s="11" t="inlineStr">
        <is>
          <t>outside_list</t>
        </is>
      </c>
      <c r="W100" s="11" t="n"/>
      <c r="X100" s="11" t="n"/>
      <c r="Y100" s="11" t="n"/>
      <c r="Z100" s="11" t="inlineStr">
        <is>
          <t>Mr. Advocate</t>
        </is>
      </c>
      <c r="AA100" s="11" t="inlineStr">
        <is>
          <t>2026-10-07</t>
        </is>
      </c>
      <c r="AB100" s="11" t="inlineStr">
        <is>
          <t>name_year</t>
        </is>
      </c>
      <c r="AC100" s="2" t="inlineStr"/>
      <c r="AD100" s="2" t="inlineStr">
        <is>
          <t>V. Devaki Ammal v. Assistant Controller of Estate Duty (1973) was overruled by Asstt. Collector of Estate Duty, Madras v. V. Devaki Ammal (Smt), Madras (1994).</t>
        </is>
      </c>
      <c r="AE100" s="2" t="n"/>
      <c r="AF100" s="11" t="inlineStr">
        <is>
          <t>created from list 1</t>
        </is>
      </c>
    </row>
    <row r="101">
      <c r="A101" s="11" t="inlineStr">
        <is>
          <t>L1-0100</t>
        </is>
      </c>
      <c r="B101" s="11" t="inlineStr">
        <is>
          <t>List 1 (to ~2015)</t>
        </is>
      </c>
      <c r="C101" s="11" t="inlineStr">
        <is>
          <t>list1</t>
        </is>
      </c>
      <c r="D101" s="11" t="inlineStr">
        <is>
          <t>verified</t>
        </is>
      </c>
      <c r="E101" s="11" t="inlineStr">
        <is>
          <t>reversed_on_appeal</t>
        </is>
      </c>
      <c r="F101" s="2" t="inlineStr">
        <is>
          <t>P.S.M. Ahamed Abdul Khader v. T.K. Mohammed Abubucker and Others</t>
        </is>
      </c>
      <c r="G101" s="11" t="inlineStr"/>
      <c r="H101" s="11" t="inlineStr">
        <is>
          <t>Madras</t>
        </is>
      </c>
      <c r="I101" s="2" t="inlineStr">
        <is>
          <t>AIR 2002 Mad 213; (2002) 1 MLJ 396</t>
        </is>
      </c>
      <c r="J101" s="11" t="n">
        <v>2002</v>
      </c>
      <c r="K101" s="2" t="inlineStr">
        <is>
          <t>T.K. Mohammed Abubucker (D) thr. LRs. and Others v. P.S.M. Ahamed Abdul Khader and Others</t>
        </is>
      </c>
      <c r="L101" s="11" t="inlineStr">
        <is>
          <t>Supreme Court</t>
        </is>
      </c>
      <c r="M101" s="2" t="inlineStr">
        <is>
          <t>AIR 2009 SC 2966; (2009) 5 JT 675; (2009) 6 SCALE 547; (2009) 14 SCC 224; (2009) 6 SCR 855; (2009) AIRSCW 4739</t>
        </is>
      </c>
      <c r="N101" s="11" t="n">
        <v>2009</v>
      </c>
      <c r="O101" s="11" t="n"/>
      <c r="P101" s="11" t="n"/>
      <c r="Q101" s="11" t="n"/>
      <c r="R101" s="2" t="n"/>
      <c r="S101" s="2" t="n"/>
      <c r="T101" s="11" t="inlineStr">
        <is>
          <t>yes</t>
        </is>
      </c>
      <c r="U101" s="11" t="inlineStr"/>
      <c r="V101" s="11" t="inlineStr">
        <is>
          <t>outside_list</t>
        </is>
      </c>
      <c r="W101" s="11" t="n"/>
      <c r="X101" s="11" t="n"/>
      <c r="Y101" s="11" t="n"/>
      <c r="Z101" s="11" t="inlineStr">
        <is>
          <t>Mr. Advocate</t>
        </is>
      </c>
      <c r="AA101" s="11" t="inlineStr">
        <is>
          <t>2026-10-07</t>
        </is>
      </c>
      <c r="AB101" s="11" t="inlineStr">
        <is>
          <t>name_year</t>
        </is>
      </c>
      <c r="AC101" s="2" t="inlineStr"/>
      <c r="AD101" s="2" t="inlineStr">
        <is>
          <t>P.S.M. Ahamed Abdul Khader v. T.K. Mohammed Abubucker and Others (2002) was reversed on appeal by the Supreme Court in T.K. Mohammed Abubucker (D) thr. LRs. and Others v. P.S.M. Ahamed Abdul Khader and Others (2009).</t>
        </is>
      </c>
      <c r="AE101" s="2" t="n"/>
      <c r="AF101" s="11" t="inlineStr">
        <is>
          <t>created from list 1</t>
        </is>
      </c>
    </row>
    <row r="102">
      <c r="A102" s="11" t="inlineStr">
        <is>
          <t>L1-0101</t>
        </is>
      </c>
      <c r="B102" s="11" t="inlineStr">
        <is>
          <t>List 1 (to ~2015)</t>
        </is>
      </c>
      <c r="C102" s="11" t="inlineStr">
        <is>
          <t>list1</t>
        </is>
      </c>
      <c r="D102" s="11" t="inlineStr">
        <is>
          <t>verified</t>
        </is>
      </c>
      <c r="E102" s="11" t="inlineStr">
        <is>
          <t>reversed_on_appeal</t>
        </is>
      </c>
      <c r="F102" s="2" t="inlineStr">
        <is>
          <t>Commissioner of Income Tax, Madras v. O. VR. SV. VR. Arunachalam Chettiar</t>
        </is>
      </c>
      <c r="G102" s="11" t="inlineStr"/>
      <c r="H102" s="11" t="inlineStr">
        <is>
          <t>unknown</t>
        </is>
      </c>
      <c r="I102" s="2" t="inlineStr">
        <is>
          <t>(1963) 49 ITR 574</t>
        </is>
      </c>
      <c r="J102" s="11" t="n">
        <v>1963</v>
      </c>
      <c r="K102" s="2" t="inlineStr">
        <is>
          <t>K.V.A.L.M. Ramanathan Chettiar by Lrs. v. Commissioner of Income Tax , Madras</t>
        </is>
      </c>
      <c r="L102" s="11" t="inlineStr">
        <is>
          <t>Supreme Court</t>
        </is>
      </c>
      <c r="M102" s="2" t="inlineStr">
        <is>
          <t>AIR 1973 SC 2172; (1973) 88 ITR 169; (1973) 3 SCC 351; (1973) 2 SCR 650</t>
        </is>
      </c>
      <c r="N102" s="11" t="n">
        <v>1973</v>
      </c>
      <c r="O102" s="11" t="n"/>
      <c r="P102" s="11" t="n"/>
      <c r="Q102" s="11" t="n"/>
      <c r="R102" s="2" t="n"/>
      <c r="S102" s="2" t="n"/>
      <c r="T102" s="11" t="inlineStr">
        <is>
          <t>yes</t>
        </is>
      </c>
      <c r="U102" s="11" t="inlineStr"/>
      <c r="V102" s="11" t="inlineStr">
        <is>
          <t>outside_list</t>
        </is>
      </c>
      <c r="W102" s="11" t="n"/>
      <c r="X102" s="11" t="n"/>
      <c r="Y102" s="11" t="n"/>
      <c r="Z102" s="11" t="inlineStr">
        <is>
          <t>Mr. Advocate</t>
        </is>
      </c>
      <c r="AA102" s="11" t="inlineStr">
        <is>
          <t>2026-10-07</t>
        </is>
      </c>
      <c r="AB102" s="11" t="inlineStr">
        <is>
          <t>name_year</t>
        </is>
      </c>
      <c r="AC102" s="2" t="inlineStr"/>
      <c r="AD102" s="2" t="inlineStr">
        <is>
          <t>Commissioner of Income Tax, Madras v. O. VR. SV. VR. Arunachalam Chettiar (1963) was reversed on appeal by the Supreme Court in K.V.A.L.M. Ramanathan Chettiar by Lrs. v. Commissioner of Income Tax , Madras (1973).</t>
        </is>
      </c>
      <c r="AE102" s="2" t="n"/>
      <c r="AF102" s="11" t="inlineStr">
        <is>
          <t>created from list 1</t>
        </is>
      </c>
    </row>
    <row r="103">
      <c r="A103" s="11" t="inlineStr">
        <is>
          <t>L1-0102</t>
        </is>
      </c>
      <c r="B103" s="11" t="inlineStr">
        <is>
          <t>List 1 (to ~2015)</t>
        </is>
      </c>
      <c r="C103" s="11" t="inlineStr">
        <is>
          <t>list1</t>
        </is>
      </c>
      <c r="D103" s="11" t="inlineStr">
        <is>
          <t>verified</t>
        </is>
      </c>
      <c r="E103" s="11" t="inlineStr">
        <is>
          <t>reversed_on_appeal</t>
        </is>
      </c>
      <c r="F103" s="2" t="inlineStr">
        <is>
          <t>Nirmal and Navin P. Ltd. and Others v. D. Ravindran, Deputy Commissioner</t>
        </is>
      </c>
      <c r="G103" s="11" t="inlineStr"/>
      <c r="H103" s="11" t="inlineStr">
        <is>
          <t>unknown</t>
        </is>
      </c>
      <c r="I103" s="2" t="inlineStr">
        <is>
          <t>(2002) 253 ITR 19</t>
        </is>
      </c>
      <c r="J103" s="11" t="n">
        <v>2002</v>
      </c>
      <c r="K103" s="2" t="inlineStr">
        <is>
          <t>Nirmal and Navin P. Ltd. and Others v. D. Ravindran</t>
        </is>
      </c>
      <c r="L103" s="11" t="inlineStr">
        <is>
          <t>Supreme Court</t>
        </is>
      </c>
      <c r="M103" s="2" t="inlineStr">
        <is>
          <t>AIR 2002 SC 3576; (2002) 3 Crimes 136; (2002) 175 CTR 514; (2002) 255 ITR 514; (2002) 1 JT 479 Supp; (2002) 10 SCC 317</t>
        </is>
      </c>
      <c r="N103" s="11" t="n">
        <v>2002</v>
      </c>
      <c r="O103" s="11" t="n"/>
      <c r="P103" s="11" t="n"/>
      <c r="Q103" s="11" t="n"/>
      <c r="R103" s="2" t="n"/>
      <c r="S103" s="2" t="n"/>
      <c r="T103" s="11" t="inlineStr">
        <is>
          <t>yes</t>
        </is>
      </c>
      <c r="U103" s="11" t="inlineStr"/>
      <c r="V103" s="11" t="inlineStr">
        <is>
          <t>outside_list</t>
        </is>
      </c>
      <c r="W103" s="11" t="n"/>
      <c r="X103" s="11" t="n"/>
      <c r="Y103" s="11" t="n"/>
      <c r="Z103" s="11" t="inlineStr">
        <is>
          <t>Mr. Advocate</t>
        </is>
      </c>
      <c r="AA103" s="11" t="inlineStr">
        <is>
          <t>2026-10-07</t>
        </is>
      </c>
      <c r="AB103" s="11" t="inlineStr">
        <is>
          <t>name_year</t>
        </is>
      </c>
      <c r="AC103" s="2" t="inlineStr"/>
      <c r="AD103" s="2" t="inlineStr">
        <is>
          <t>Nirmal and Navin P. Ltd. and Others v. D. Ravindran, Deputy Commissioner (2002) was reversed on appeal by the Supreme Court in Nirmal and Navin P. Ltd. and Others v. D. Ravindran (2002).</t>
        </is>
      </c>
      <c r="AE103" s="2" t="n"/>
      <c r="AF103" s="11" t="inlineStr">
        <is>
          <t>created from list 1</t>
        </is>
      </c>
    </row>
    <row r="104">
      <c r="A104" s="11" t="inlineStr">
        <is>
          <t>L1-0103</t>
        </is>
      </c>
      <c r="B104" s="11" t="inlineStr">
        <is>
          <t>List 1 (to ~2015)</t>
        </is>
      </c>
      <c r="C104" s="11" t="inlineStr">
        <is>
          <t>list1</t>
        </is>
      </c>
      <c r="D104" s="11" t="inlineStr">
        <is>
          <t>verified</t>
        </is>
      </c>
      <c r="E104" s="11" t="inlineStr">
        <is>
          <t>reversed_on_appeal</t>
        </is>
      </c>
      <c r="F104" s="2" t="inlineStr">
        <is>
          <t>Commissioner of Income Tax v. T.V. Sundaram Iyengar and Sons (Private) Ltd.</t>
        </is>
      </c>
      <c r="G104" s="11" t="inlineStr"/>
      <c r="H104" s="11" t="inlineStr">
        <is>
          <t>unknown</t>
        </is>
      </c>
      <c r="I104" s="2" t="inlineStr">
        <is>
          <t>(1969) 74 ITR 638</t>
        </is>
      </c>
      <c r="J104" s="11" t="n">
        <v>1969</v>
      </c>
      <c r="K104" s="2" t="inlineStr">
        <is>
          <t>The Commissioner of Income Tax, Madras v. T.V. Sundram Iyengar (P) Ltd.</t>
        </is>
      </c>
      <c r="L104" s="11" t="inlineStr">
        <is>
          <t>Supreme Court</t>
        </is>
      </c>
      <c r="M104" s="2" t="inlineStr">
        <is>
          <t>(1976) 1 SCC 77; (1975) SCR 93 Supp</t>
        </is>
      </c>
      <c r="N104" s="11" t="n">
        <v>1975</v>
      </c>
      <c r="O104" s="11" t="n"/>
      <c r="P104" s="11" t="n"/>
      <c r="Q104" s="11" t="n"/>
      <c r="R104" s="2" t="n"/>
      <c r="S104" s="2" t="n"/>
      <c r="T104" s="11" t="inlineStr">
        <is>
          <t>yes</t>
        </is>
      </c>
      <c r="U104" s="11" t="inlineStr"/>
      <c r="V104" s="11" t="inlineStr">
        <is>
          <t>outside_list</t>
        </is>
      </c>
      <c r="W104" s="11" t="n"/>
      <c r="X104" s="11" t="n"/>
      <c r="Y104" s="11" t="n"/>
      <c r="Z104" s="11" t="inlineStr">
        <is>
          <t>Mr. Advocate</t>
        </is>
      </c>
      <c r="AA104" s="11" t="inlineStr">
        <is>
          <t>2026-10-07</t>
        </is>
      </c>
      <c r="AB104" s="11" t="inlineStr">
        <is>
          <t>name_year</t>
        </is>
      </c>
      <c r="AC104" s="2" t="inlineStr"/>
      <c r="AD104" s="2" t="inlineStr">
        <is>
          <t>Commissioner of Income Tax v. T.V. Sundaram Iyengar and Sons (Private) Ltd. (1969) was reversed on appeal by the Supreme Court in The Commissioner of Income Tax, Madras v. T.V. Sundram Iyengar (P) Ltd. (1975).</t>
        </is>
      </c>
      <c r="AE104" s="2" t="n"/>
      <c r="AF104" s="11" t="inlineStr">
        <is>
          <t>created from list 1</t>
        </is>
      </c>
    </row>
    <row r="105">
      <c r="A105" s="11" t="inlineStr">
        <is>
          <t>L1-0104</t>
        </is>
      </c>
      <c r="B105" s="11" t="inlineStr">
        <is>
          <t>List 1 (to ~2015)</t>
        </is>
      </c>
      <c r="C105" s="11" t="inlineStr">
        <is>
          <t>list1</t>
        </is>
      </c>
      <c r="D105" s="11" t="inlineStr">
        <is>
          <t>verified</t>
        </is>
      </c>
      <c r="E105" s="11" t="inlineStr">
        <is>
          <t>overruled</t>
        </is>
      </c>
      <c r="F105" s="2" t="inlineStr">
        <is>
          <t>Swarnalingam Chettiar v. Assistant Inspector of Labour, Karaikudi</t>
        </is>
      </c>
      <c r="G105" s="11" t="inlineStr"/>
      <c r="H105" s="11" t="inlineStr">
        <is>
          <t>Madras</t>
        </is>
      </c>
      <c r="I105" s="2" t="inlineStr">
        <is>
          <t>AIR 1955 Mad 716; (1955) 68 LW 737</t>
        </is>
      </c>
      <c r="J105" s="11" t="n">
        <v>1955</v>
      </c>
      <c r="K105" s="2" t="inlineStr">
        <is>
          <t>V.S. Kuttan Pillai v. Ramakrishnan and Another</t>
        </is>
      </c>
      <c r="L105" s="11" t="inlineStr">
        <is>
          <t>Supreme Court</t>
        </is>
      </c>
      <c r="M105" s="2" t="inlineStr">
        <is>
          <t>AIR 1980 SC 185; (1980) CriLJ 196; (1980) 1 SCC 264; (1980) SCC(Cri) 226; (1980) 1 SCR 673</t>
        </is>
      </c>
      <c r="N105" s="11" t="n">
        <v>1980</v>
      </c>
      <c r="O105" s="11" t="n"/>
      <c r="P105" s="11" t="n"/>
      <c r="Q105" s="11" t="n"/>
      <c r="R105" s="2" t="n"/>
      <c r="S105" s="2" t="n"/>
      <c r="T105" s="11" t="inlineStr"/>
      <c r="U105" s="11" t="inlineStr"/>
      <c r="V105" s="11" t="inlineStr">
        <is>
          <t>outside_list</t>
        </is>
      </c>
      <c r="W105" s="11" t="n"/>
      <c r="X105" s="11" t="n"/>
      <c r="Y105" s="11" t="n"/>
      <c r="Z105" s="11" t="inlineStr">
        <is>
          <t>Mr. Advocate</t>
        </is>
      </c>
      <c r="AA105" s="11" t="inlineStr">
        <is>
          <t>2026-10-07</t>
        </is>
      </c>
      <c r="AB105" s="11" t="inlineStr">
        <is>
          <t>name_year</t>
        </is>
      </c>
      <c r="AC105" s="2" t="inlineStr"/>
      <c r="AD105" s="2" t="inlineStr">
        <is>
          <t>Swarnalingam Chettiar v. Assistant Inspector of Labour, Karaikudi (1955) was overruled by V.S. Kuttan Pillai v. Ramakrishnan and Another (1980).</t>
        </is>
      </c>
      <c r="AE105" s="2" t="n"/>
      <c r="AF105" s="11" t="inlineStr">
        <is>
          <t>created from list 1</t>
        </is>
      </c>
    </row>
    <row r="106">
      <c r="A106" s="11" t="inlineStr">
        <is>
          <t>L1-0105</t>
        </is>
      </c>
      <c r="B106" s="11" t="inlineStr">
        <is>
          <t>List 1 (to ~2015)</t>
        </is>
      </c>
      <c r="C106" s="11" t="inlineStr">
        <is>
          <t>list1</t>
        </is>
      </c>
      <c r="D106" s="11" t="inlineStr">
        <is>
          <t>verified</t>
        </is>
      </c>
      <c r="E106" s="11" t="inlineStr">
        <is>
          <t>overruled</t>
        </is>
      </c>
      <c r="F106" s="2" t="inlineStr">
        <is>
          <t>The State of Madras v. P. Subbiah Pillai</t>
        </is>
      </c>
      <c r="G106" s="11" t="inlineStr"/>
      <c r="H106" s="11" t="inlineStr">
        <is>
          <t>unknown</t>
        </is>
      </c>
      <c r="I106" s="2" t="inlineStr">
        <is>
          <t>(1968) ILR (Mad) 116; (1967) 20 STC 263</t>
        </is>
      </c>
      <c r="J106" s="11" t="n">
        <v>1967</v>
      </c>
      <c r="K106" s="2" t="inlineStr">
        <is>
          <t>Phool Chand Gupta v. State of Andhra Pradesh</t>
        </is>
      </c>
      <c r="L106" s="11" t="inlineStr">
        <is>
          <t>Supreme Court</t>
        </is>
      </c>
      <c r="M106" s="2" t="inlineStr">
        <is>
          <t>AIR 1997 SC 914; (1997) 1 JT 700; (1997) 1 SCALE 419; (1997) 2 SCC 591; (1997) 1 SCR 420; (1997) 104 STC 601; (1997) AIRSCW 805; (1997) 2 Supreme 18</t>
        </is>
      </c>
      <c r="N106" s="11" t="n">
        <v>1997</v>
      </c>
      <c r="O106" s="11" t="n"/>
      <c r="P106" s="11" t="n"/>
      <c r="Q106" s="11" t="n"/>
      <c r="R106" s="2" t="n"/>
      <c r="S106" s="2" t="n"/>
      <c r="T106" s="11" t="inlineStr"/>
      <c r="U106" s="11" t="inlineStr"/>
      <c r="V106" s="11" t="inlineStr">
        <is>
          <t>outside_list</t>
        </is>
      </c>
      <c r="W106" s="11" t="n"/>
      <c r="X106" s="11" t="n"/>
      <c r="Y106" s="11" t="n"/>
      <c r="Z106" s="11" t="inlineStr">
        <is>
          <t>Mr. Advocate</t>
        </is>
      </c>
      <c r="AA106" s="11" t="inlineStr">
        <is>
          <t>2026-10-07</t>
        </is>
      </c>
      <c r="AB106" s="11" t="inlineStr">
        <is>
          <t>name_year</t>
        </is>
      </c>
      <c r="AC106" s="2" t="inlineStr"/>
      <c r="AD106" s="2" t="inlineStr">
        <is>
          <t>The State of Madras v. P. Subbiah Pillai (1967) was overruled by Phool Chand Gupta v. State of Andhra Pradesh (1997).</t>
        </is>
      </c>
      <c r="AE106" s="2" t="n"/>
      <c r="AF106" s="11" t="inlineStr">
        <is>
          <t>created from list 1</t>
        </is>
      </c>
    </row>
    <row r="107">
      <c r="A107" s="11" t="inlineStr">
        <is>
          <t>L1-0106</t>
        </is>
      </c>
      <c r="B107" s="11" t="inlineStr">
        <is>
          <t>List 1 (to ~2015)</t>
        </is>
      </c>
      <c r="C107" s="11" t="inlineStr">
        <is>
          <t>list1</t>
        </is>
      </c>
      <c r="D107" s="11" t="inlineStr">
        <is>
          <t>verified</t>
        </is>
      </c>
      <c r="E107" s="11" t="inlineStr">
        <is>
          <t>overruled</t>
        </is>
      </c>
      <c r="F107" s="2" t="inlineStr">
        <is>
          <t>Commissioner of Income Tax Madras v. Duttys Trust Calicut.</t>
        </is>
      </c>
      <c r="G107" s="11" t="inlineStr"/>
      <c r="H107" s="11" t="inlineStr">
        <is>
          <t>unknown</t>
        </is>
      </c>
      <c r="I107" s="2" t="inlineStr">
        <is>
          <t>(1942) 10 ITR 477</t>
        </is>
      </c>
      <c r="J107" s="11" t="n">
        <v>1942</v>
      </c>
      <c r="K107" s="2" t="inlineStr">
        <is>
          <t>Commissioner of Income Tax, Meerut and Others v. Virmani Industries Pvt. Ltd. and Others</t>
        </is>
      </c>
      <c r="L107" s="11" t="inlineStr">
        <is>
          <t>Supreme Court</t>
        </is>
      </c>
      <c r="M107" s="2" t="inlineStr">
        <is>
          <t>(1995) 216 ITR 607; (1995) 7 JT 322; (1995) 5 SCALE 718; (1995) 6 SCC 466; (1995) 6 SCC 465; (1995) 4 SCR 275 Supp</t>
        </is>
      </c>
      <c r="N107" s="11" t="n">
        <v>1995</v>
      </c>
      <c r="O107" s="11" t="n"/>
      <c r="P107" s="11" t="n"/>
      <c r="Q107" s="11" t="n"/>
      <c r="R107" s="2" t="n"/>
      <c r="S107" s="2" t="n"/>
      <c r="T107" s="11" t="inlineStr"/>
      <c r="U107" s="11" t="inlineStr"/>
      <c r="V107" s="11" t="inlineStr">
        <is>
          <t>outside_list</t>
        </is>
      </c>
      <c r="W107" s="11" t="n"/>
      <c r="X107" s="11" t="n"/>
      <c r="Y107" s="11" t="n"/>
      <c r="Z107" s="11" t="inlineStr">
        <is>
          <t>Mr. Advocate</t>
        </is>
      </c>
      <c r="AA107" s="11" t="inlineStr">
        <is>
          <t>2026-10-07</t>
        </is>
      </c>
      <c r="AB107" s="11" t="inlineStr">
        <is>
          <t>name_year</t>
        </is>
      </c>
      <c r="AC107" s="2" t="inlineStr"/>
      <c r="AD107" s="2" t="inlineStr">
        <is>
          <t>Commissioner of Income Tax Madras v. Duttys Trust Calicut. (1942) was overruled by Commissioner of Income Tax, Meerut and Others v. Virmani Industries Pvt. Ltd. and Others (1995).</t>
        </is>
      </c>
      <c r="AE107" s="2" t="n"/>
      <c r="AF107" s="11" t="inlineStr">
        <is>
          <t>created from list 1</t>
        </is>
      </c>
    </row>
    <row r="108">
      <c r="A108" s="11" t="inlineStr">
        <is>
          <t>L1-0107</t>
        </is>
      </c>
      <c r="B108" s="11" t="inlineStr">
        <is>
          <t>List 1 (to ~2015)</t>
        </is>
      </c>
      <c r="C108" s="11" t="inlineStr">
        <is>
          <t>list1</t>
        </is>
      </c>
      <c r="D108" s="11" t="inlineStr">
        <is>
          <t>verified</t>
        </is>
      </c>
      <c r="E108" s="11" t="inlineStr">
        <is>
          <t>overruled</t>
        </is>
      </c>
      <c r="F108" s="2" t="inlineStr">
        <is>
          <t>O. Radhakrishnan and Another and S. Chettiar and Others v. Manickam and Others</t>
        </is>
      </c>
      <c r="G108" s="11" t="inlineStr"/>
      <c r="H108" s="11" t="inlineStr">
        <is>
          <t>unknown</t>
        </is>
      </c>
      <c r="I108" s="2" t="inlineStr">
        <is>
          <t>(1973) ILR (Mad) 428; (1974) 2 MLJ 179</t>
        </is>
      </c>
      <c r="J108" s="11" t="n">
        <v>1973</v>
      </c>
      <c r="K108" s="2" t="inlineStr">
        <is>
          <t>The Commissioner, Hindu Religious and Charitable Endowments Administration Department, Madras v. Smt. P.S. Sethurathinam</t>
        </is>
      </c>
      <c r="L108" s="11" t="inlineStr">
        <is>
          <t>Supreme Court</t>
        </is>
      </c>
      <c r="M108" s="2" t="inlineStr">
        <is>
          <t>AIR 1999 SC 833; (1999) 1 JT 231; (1999) 1 SCALE 233; (1999) 2 SCC 327; (1999) 1 SCR 332; (1999) 1 UJ 582; (1999) AIRSCW 460; (1999) 1 Supreme 275</t>
        </is>
      </c>
      <c r="N108" s="11" t="n">
        <v>1999</v>
      </c>
      <c r="O108" s="11" t="n"/>
      <c r="P108" s="11" t="n"/>
      <c r="Q108" s="11" t="n"/>
      <c r="R108" s="2" t="n"/>
      <c r="S108" s="2" t="n"/>
      <c r="T108" s="11" t="inlineStr"/>
      <c r="U108" s="11" t="inlineStr"/>
      <c r="V108" s="11" t="inlineStr">
        <is>
          <t>outside_list</t>
        </is>
      </c>
      <c r="W108" s="11" t="n"/>
      <c r="X108" s="11" t="n"/>
      <c r="Y108" s="11" t="n"/>
      <c r="Z108" s="11" t="inlineStr">
        <is>
          <t>Mr. Advocate</t>
        </is>
      </c>
      <c r="AA108" s="11" t="inlineStr">
        <is>
          <t>2026-10-07</t>
        </is>
      </c>
      <c r="AB108" s="11" t="inlineStr">
        <is>
          <t>name_year</t>
        </is>
      </c>
      <c r="AC108" s="2" t="inlineStr"/>
      <c r="AD108" s="2" t="inlineStr">
        <is>
          <t>O. Radhakrishnan and Another and S. Chettiar and Others v. Manickam and Others (1973) was overruled by The Commissioner, Hindu Religious and Charitable Endowments Administration Department, Madras v. Smt. P.S. Sethurathinam (1999).</t>
        </is>
      </c>
      <c r="AE108" s="2" t="n"/>
      <c r="AF108" s="11" t="inlineStr">
        <is>
          <t>created from list 1</t>
        </is>
      </c>
    </row>
    <row r="109">
      <c r="A109" s="11" t="inlineStr">
        <is>
          <t>L1-0108</t>
        </is>
      </c>
      <c r="B109" s="11" t="inlineStr">
        <is>
          <t>List 1 (to ~2015)</t>
        </is>
      </c>
      <c r="C109" s="11" t="inlineStr">
        <is>
          <t>list1</t>
        </is>
      </c>
      <c r="D109" s="11" t="inlineStr">
        <is>
          <t>verified</t>
        </is>
      </c>
      <c r="E109" s="11" t="inlineStr">
        <is>
          <t>reversed_on_appeal</t>
        </is>
      </c>
      <c r="F109" s="2" t="inlineStr">
        <is>
          <t>T.V. Sundaram Iyengar and Sons (P.) Ltd. v. The State of Madras</t>
        </is>
      </c>
      <c r="G109" s="11" t="inlineStr"/>
      <c r="H109" s="11" t="inlineStr">
        <is>
          <t>unknown</t>
        </is>
      </c>
      <c r="I109" s="2" t="inlineStr">
        <is>
          <t>(1970) 25 STC 160</t>
        </is>
      </c>
      <c r="J109" s="11" t="n">
        <v>1970</v>
      </c>
      <c r="K109" s="2" t="inlineStr">
        <is>
          <t>T.V. Sundram Iyengar and Sons v. The State of Madras</t>
        </is>
      </c>
      <c r="L109" s="11" t="inlineStr">
        <is>
          <t>Supreme Court</t>
        </is>
      </c>
      <c r="M109" s="2" t="inlineStr">
        <is>
          <t>AIR 1974 SC 2309; (1975) 3 SCC 424; (1975) 2 SCR 372; (1975) 35 STC 24</t>
        </is>
      </c>
      <c r="N109" s="11" t="n">
        <v>1974</v>
      </c>
      <c r="O109" s="11" t="n"/>
      <c r="P109" s="11" t="n"/>
      <c r="Q109" s="11" t="n"/>
      <c r="R109" s="2" t="n"/>
      <c r="S109" s="2" t="n"/>
      <c r="T109" s="11" t="inlineStr">
        <is>
          <t>yes</t>
        </is>
      </c>
      <c r="U109" s="11" t="inlineStr"/>
      <c r="V109" s="11" t="inlineStr">
        <is>
          <t>outside_list</t>
        </is>
      </c>
      <c r="W109" s="11" t="n"/>
      <c r="X109" s="11" t="n"/>
      <c r="Y109" s="11" t="n"/>
      <c r="Z109" s="11" t="inlineStr">
        <is>
          <t>Mr. Advocate</t>
        </is>
      </c>
      <c r="AA109" s="11" t="inlineStr">
        <is>
          <t>2026-10-07</t>
        </is>
      </c>
      <c r="AB109" s="11" t="inlineStr">
        <is>
          <t>name_year</t>
        </is>
      </c>
      <c r="AC109" s="2" t="inlineStr"/>
      <c r="AD109" s="2" t="inlineStr">
        <is>
          <t>T.V. Sundaram Iyengar and Sons (P.) Ltd. v. The State of Madras (1970) was reversed on appeal by the Supreme Court in T.V. Sundram Iyengar and Sons v. The State of Madras (1974).</t>
        </is>
      </c>
      <c r="AE109" s="2" t="n"/>
      <c r="AF109" s="11" t="inlineStr">
        <is>
          <t>created from list 1</t>
        </is>
      </c>
    </row>
    <row r="110">
      <c r="A110" s="11" t="inlineStr">
        <is>
          <t>L1-0109</t>
        </is>
      </c>
      <c r="B110" s="11" t="inlineStr">
        <is>
          <t>List 1 (to ~2015)</t>
        </is>
      </c>
      <c r="C110" s="11" t="inlineStr">
        <is>
          <t>list1</t>
        </is>
      </c>
      <c r="D110" s="11" t="inlineStr">
        <is>
          <t>verified</t>
        </is>
      </c>
      <c r="E110" s="11" t="inlineStr">
        <is>
          <t>overruled</t>
        </is>
      </c>
      <c r="F110" s="2" t="inlineStr">
        <is>
          <t>Dasaprakash Bottling Co. v. Commissioner of Income Tax</t>
        </is>
      </c>
      <c r="G110" s="11" t="inlineStr"/>
      <c r="H110" s="11" t="inlineStr">
        <is>
          <t>unknown</t>
        </is>
      </c>
      <c r="I110" s="2" t="inlineStr">
        <is>
          <t>(1980) 14 CTR 323; (1980) 122 ITR 9</t>
        </is>
      </c>
      <c r="J110" s="11" t="n">
        <v>1980</v>
      </c>
      <c r="K110" s="2" t="inlineStr">
        <is>
          <t>Commissioner of Income Tax v. Mahendra Mills</t>
        </is>
      </c>
      <c r="L110" s="11" t="inlineStr">
        <is>
          <t>Supreme Court</t>
        </is>
      </c>
      <c r="M110" s="2" t="inlineStr">
        <is>
          <t>AIR 2000 SC 1960; (2000) 159 CTR 381; (2000) 243 ITR 56; (2000) 3 JT 405; (2000) 2 SCALE 384; (2000) 3 SCC 615; (2000) 2 SCR 465; (2000) AIRSCW 1016; (2000) 3 Supreme 102</t>
        </is>
      </c>
      <c r="N110" s="11" t="n">
        <v>2000</v>
      </c>
      <c r="O110" s="11" t="n"/>
      <c r="P110" s="11" t="n"/>
      <c r="Q110" s="11" t="n"/>
      <c r="R110" s="2" t="n"/>
      <c r="S110" s="2" t="n"/>
      <c r="T110" s="11" t="inlineStr"/>
      <c r="U110" s="11" t="inlineStr"/>
      <c r="V110" s="11" t="inlineStr">
        <is>
          <t>outside_list</t>
        </is>
      </c>
      <c r="W110" s="11" t="n"/>
      <c r="X110" s="11" t="n"/>
      <c r="Y110" s="11" t="n"/>
      <c r="Z110" s="11" t="inlineStr">
        <is>
          <t>Mr. Advocate</t>
        </is>
      </c>
      <c r="AA110" s="11" t="inlineStr">
        <is>
          <t>2026-10-07</t>
        </is>
      </c>
      <c r="AB110" s="11" t="inlineStr">
        <is>
          <t>name_year</t>
        </is>
      </c>
      <c r="AC110" s="2" t="inlineStr"/>
      <c r="AD110" s="2" t="inlineStr">
        <is>
          <t>Dasaprakash Bottling Co. v. Commissioner of Income Tax (1980) was overruled by Commissioner of Income Tax v. Mahendra Mills (2000).</t>
        </is>
      </c>
      <c r="AE110" s="2" t="n"/>
      <c r="AF110" s="11" t="inlineStr">
        <is>
          <t>created from list 1</t>
        </is>
      </c>
    </row>
    <row r="111">
      <c r="A111" s="11" t="inlineStr">
        <is>
          <t>L1-0110</t>
        </is>
      </c>
      <c r="B111" s="11" t="inlineStr">
        <is>
          <t>List 1 (to ~2015)</t>
        </is>
      </c>
      <c r="C111" s="11" t="inlineStr">
        <is>
          <t>list1</t>
        </is>
      </c>
      <c r="D111" s="11" t="inlineStr">
        <is>
          <t>verified</t>
        </is>
      </c>
      <c r="E111" s="11" t="inlineStr">
        <is>
          <t>reversed_on_appeal</t>
        </is>
      </c>
      <c r="F111" s="2" t="inlineStr">
        <is>
          <t>Commissioner of Income Tax v. Radha Nagar Cold Storage (P.) Ltd.</t>
        </is>
      </c>
      <c r="G111" s="11" t="inlineStr"/>
      <c r="H111" s="11" t="inlineStr">
        <is>
          <t>unknown</t>
        </is>
      </c>
      <c r="I111" s="2" t="inlineStr">
        <is>
          <t>(1980) 18 CTR 166; (1980) 126 ITR 66</t>
        </is>
      </c>
      <c r="J111" s="11" t="n">
        <v>1980</v>
      </c>
      <c r="K111" s="2" t="inlineStr">
        <is>
          <t>Delhi Cold Storage Pvt. Ltd. v. Commissioner of Income Tax, New Delhi</t>
        </is>
      </c>
      <c r="L111" s="11" t="inlineStr">
        <is>
          <t>Supreme Court</t>
        </is>
      </c>
      <c r="M111" s="2" t="inlineStr">
        <is>
          <t>AIR 1991 SC 2125; (1991) 72 CompCas 723; (1991) 3 CompLJ 131; (1991) 98 CTR 165; (1991) 191 ITR 656; (1991) 3 JT 449; (1991) 2 SCALE 346; (1991) 4 SCC 239; (1991) 3 SCR 589</t>
        </is>
      </c>
      <c r="N111" s="11" t="n">
        <v>1991</v>
      </c>
      <c r="O111" s="11" t="n"/>
      <c r="P111" s="11" t="n"/>
      <c r="Q111" s="11" t="n"/>
      <c r="R111" s="2" t="n"/>
      <c r="S111" s="2" t="n"/>
      <c r="T111" s="11" t="inlineStr">
        <is>
          <t>yes</t>
        </is>
      </c>
      <c r="U111" s="11" t="inlineStr"/>
      <c r="V111" s="11" t="inlineStr">
        <is>
          <t>outside_list</t>
        </is>
      </c>
      <c r="W111" s="11" t="n"/>
      <c r="X111" s="11" t="n"/>
      <c r="Y111" s="11" t="n"/>
      <c r="Z111" s="11" t="inlineStr">
        <is>
          <t>Mr. Advocate</t>
        </is>
      </c>
      <c r="AA111" s="11" t="inlineStr">
        <is>
          <t>2026-10-07</t>
        </is>
      </c>
      <c r="AB111" s="11" t="inlineStr">
        <is>
          <t>name_year</t>
        </is>
      </c>
      <c r="AC111" s="2" t="inlineStr"/>
      <c r="AD111" s="2" t="inlineStr">
        <is>
          <t>Commissioner of Income Tax v. Radha Nagar Cold Storage (P.) Ltd. (1980) was reversed on appeal by the Supreme Court in Delhi Cold Storage Pvt. Ltd. v. Commissioner of Income Tax, New Delhi (1991).</t>
        </is>
      </c>
      <c r="AE111" s="2" t="n"/>
      <c r="AF111" s="11" t="inlineStr">
        <is>
          <t>created from list 1</t>
        </is>
      </c>
    </row>
    <row r="112">
      <c r="A112" s="11" t="inlineStr">
        <is>
          <t>L1-0111</t>
        </is>
      </c>
      <c r="B112" s="11" t="inlineStr">
        <is>
          <t>List 1 (to ~2015)</t>
        </is>
      </c>
      <c r="C112" s="11" t="inlineStr">
        <is>
          <t>list1</t>
        </is>
      </c>
      <c r="D112" s="11" t="inlineStr">
        <is>
          <t>verified</t>
        </is>
      </c>
      <c r="E112" s="11" t="inlineStr">
        <is>
          <t>overruled</t>
        </is>
      </c>
      <c r="F112" s="2" t="inlineStr">
        <is>
          <t>Commissioner of Income Tax, Tamil Nadu v. Katpadi Co-operative Timber Works LTD.</t>
        </is>
      </c>
      <c r="G112" s="11" t="inlineStr"/>
      <c r="H112" s="11" t="inlineStr">
        <is>
          <t>unknown</t>
        </is>
      </c>
      <c r="I112" s="2" t="inlineStr">
        <is>
          <t>(1981) 25 CTR 312; (1982) 135 ITR 287</t>
        </is>
      </c>
      <c r="J112" s="11" t="n">
        <v>1981</v>
      </c>
      <c r="K112" s="2" t="inlineStr">
        <is>
          <t>Commissioner of Income Tax, Tamil Nadu-V, Madras v. Kotagiri Industrial Co-operative Tea Factory Ltd., Kotagiri</t>
        </is>
      </c>
      <c r="L112" s="11" t="inlineStr">
        <is>
          <t>Supreme Court</t>
        </is>
      </c>
      <c r="M112" s="2" t="inlineStr">
        <is>
          <t>AIR 1997 SC 1865; (1997) 224 ITR 604; (1997) 4 JT 94; (1997) 2 SCALE 728; (1997) 9 SCC 537; (1997) 2 SCR 738; (1997) 91 TAXMAN 214; (1997) AIRSCW 1605; (1997) 4 Supreme 44</t>
        </is>
      </c>
      <c r="N112" s="11" t="n">
        <v>1997</v>
      </c>
      <c r="O112" s="11" t="n"/>
      <c r="P112" s="11" t="n"/>
      <c r="Q112" s="11" t="n"/>
      <c r="R112" s="2" t="n"/>
      <c r="S112" s="2" t="n"/>
      <c r="T112" s="11" t="inlineStr"/>
      <c r="U112" s="11" t="inlineStr"/>
      <c r="V112" s="11" t="inlineStr">
        <is>
          <t>outside_list</t>
        </is>
      </c>
      <c r="W112" s="11" t="n"/>
      <c r="X112" s="11" t="n"/>
      <c r="Y112" s="11" t="n"/>
      <c r="Z112" s="11" t="inlineStr">
        <is>
          <t>Mr. Advocate</t>
        </is>
      </c>
      <c r="AA112" s="11" t="inlineStr">
        <is>
          <t>2026-10-07</t>
        </is>
      </c>
      <c r="AB112" s="11" t="inlineStr">
        <is>
          <t>name_year</t>
        </is>
      </c>
      <c r="AC112" s="2" t="inlineStr"/>
      <c r="AD112" s="2" t="inlineStr">
        <is>
          <t>Commissioner of Income Tax, Tamil Nadu v. Katpadi Co-operative Timber Works LTD. (1981) was overruled by Commissioner of Income Tax, Tamil Nadu-V, Madras v. Kotagiri Industrial Co-operative Tea Factory Ltd., Kotagiri (1997).</t>
        </is>
      </c>
      <c r="AE112" s="2" t="n"/>
      <c r="AF112" s="11" t="inlineStr">
        <is>
          <t>created from list 1</t>
        </is>
      </c>
    </row>
    <row r="113">
      <c r="A113" s="11" t="inlineStr">
        <is>
          <t>L1-0112</t>
        </is>
      </c>
      <c r="B113" s="11" t="inlineStr">
        <is>
          <t>List 1 (to ~2015)</t>
        </is>
      </c>
      <c r="C113" s="11" t="inlineStr">
        <is>
          <t>list1</t>
        </is>
      </c>
      <c r="D113" s="11" t="inlineStr">
        <is>
          <t>verified</t>
        </is>
      </c>
      <c r="E113" s="11" t="inlineStr">
        <is>
          <t>overruled</t>
        </is>
      </c>
      <c r="F113" s="2" t="inlineStr">
        <is>
          <t>Triplicane Urban Co-operative Society Ltd. v. Commissioner of Income Tax</t>
        </is>
      </c>
      <c r="G113" s="11" t="inlineStr"/>
      <c r="H113" s="11" t="inlineStr">
        <is>
          <t>unknown</t>
        </is>
      </c>
      <c r="I113" s="2" t="inlineStr">
        <is>
          <t>(1980) 16 CTR 273; (1980) 126 ITR 125</t>
        </is>
      </c>
      <c r="J113" s="11" t="n">
        <v>1980</v>
      </c>
      <c r="K113" s="2" t="inlineStr">
        <is>
          <t>Modi Industries Limited, Modinagar and Others v. Commissioner of Income Tax, Delhi and Another</t>
        </is>
      </c>
      <c r="L113" s="11" t="inlineStr">
        <is>
          <t>Supreme Court</t>
        </is>
      </c>
      <c r="M113" s="2" t="inlineStr">
        <is>
          <t>(1995) 128 CTR 361; (1995) 216 ITR 759; (1995) 6 JT 549; (1995) 5 SCALE 362; (1995) 6 SCC 396; (1995) 3 SCR 642 Supp</t>
        </is>
      </c>
      <c r="N113" s="11" t="n">
        <v>1995</v>
      </c>
      <c r="O113" s="11" t="n"/>
      <c r="P113" s="11" t="n"/>
      <c r="Q113" s="11" t="n"/>
      <c r="R113" s="2" t="n"/>
      <c r="S113" s="2" t="n"/>
      <c r="T113" s="11" t="inlineStr"/>
      <c r="U113" s="11" t="inlineStr"/>
      <c r="V113" s="11" t="inlineStr">
        <is>
          <t>outside_list</t>
        </is>
      </c>
      <c r="W113" s="11" t="n"/>
      <c r="X113" s="11" t="n"/>
      <c r="Y113" s="11" t="n"/>
      <c r="Z113" s="11" t="inlineStr">
        <is>
          <t>Mr. Advocate</t>
        </is>
      </c>
      <c r="AA113" s="11" t="inlineStr">
        <is>
          <t>2026-10-07</t>
        </is>
      </c>
      <c r="AB113" s="11" t="inlineStr">
        <is>
          <t>name_year</t>
        </is>
      </c>
      <c r="AC113" s="2" t="inlineStr"/>
      <c r="AD113" s="2" t="inlineStr">
        <is>
          <t>Triplicane Urban Co-operative Society Ltd. v. Commissioner of Income Tax (1980) was overruled by Modi Industries Limited, Modinagar and Others v. Commissioner of Income Tax, Delhi and Another (1995).</t>
        </is>
      </c>
      <c r="AE113" s="2" t="n"/>
      <c r="AF113" s="11" t="inlineStr">
        <is>
          <t>created from list 1</t>
        </is>
      </c>
    </row>
    <row r="114">
      <c r="A114" s="11" t="inlineStr">
        <is>
          <t>L1-0113</t>
        </is>
      </c>
      <c r="B114" s="11" t="inlineStr">
        <is>
          <t>List 1 (to ~2015)</t>
        </is>
      </c>
      <c r="C114" s="11" t="inlineStr">
        <is>
          <t>list1</t>
        </is>
      </c>
      <c r="D114" s="11" t="inlineStr">
        <is>
          <t>verified</t>
        </is>
      </c>
      <c r="E114" s="11" t="inlineStr">
        <is>
          <t>overruled</t>
        </is>
      </c>
      <c r="F114" s="2" t="inlineStr">
        <is>
          <t>The K.C.P. Limited, Madras v. The Presiding Officer, I Additional Labour Court, Madras and ors</t>
        </is>
      </c>
      <c r="G114" s="11" t="inlineStr"/>
      <c r="H114" s="11" t="inlineStr">
        <is>
          <t>unknown</t>
        </is>
      </c>
      <c r="I114" s="2" t="inlineStr">
        <is>
          <t>(1995) 2 MLJ 401</t>
        </is>
      </c>
      <c r="J114" s="11" t="n">
        <v>1995</v>
      </c>
      <c r="K114" s="2" t="inlineStr">
        <is>
          <t>K.C.P. Limited v. Presiding Officer and Others</t>
        </is>
      </c>
      <c r="L114" s="11" t="inlineStr">
        <is>
          <t>Supreme Court</t>
        </is>
      </c>
      <c r="M114" s="2" t="inlineStr">
        <is>
          <t>AIR 1997 SC 2334; (1996) 74 FLR 2540; (1996) 8 JT 707; (1997) 1 LLJ 308; (1996) 7 SCALE 83; (1996) 10 SCC 446; (1996) 6 SCR 148 Supp; (1997) AIRSCW 2221; (1997) 1 Supreme 211</t>
        </is>
      </c>
      <c r="N114" s="11" t="n">
        <v>1997</v>
      </c>
      <c r="O114" s="11" t="n"/>
      <c r="P114" s="11" t="n"/>
      <c r="Q114" s="11" t="n"/>
      <c r="R114" s="2" t="n"/>
      <c r="S114" s="2" t="n"/>
      <c r="T114" s="11" t="inlineStr"/>
      <c r="U114" s="11" t="inlineStr"/>
      <c r="V114" s="11" t="inlineStr">
        <is>
          <t>outside_list</t>
        </is>
      </c>
      <c r="W114" s="11" t="n"/>
      <c r="X114" s="11" t="n"/>
      <c r="Y114" s="11" t="n"/>
      <c r="Z114" s="11" t="inlineStr">
        <is>
          <t>Mr. Advocate</t>
        </is>
      </c>
      <c r="AA114" s="11" t="inlineStr">
        <is>
          <t>2026-10-07</t>
        </is>
      </c>
      <c r="AB114" s="11" t="inlineStr">
        <is>
          <t>name_year</t>
        </is>
      </c>
      <c r="AC114" s="2" t="inlineStr"/>
      <c r="AD114" s="2" t="inlineStr">
        <is>
          <t>The K.C.P. Limited, Madras v. The Presiding Officer, I Additional Labour Court, Madras and ors (1995) was overruled by K.C.P. Limited v. Presiding Officer and Others (1997).</t>
        </is>
      </c>
      <c r="AE114" s="2" t="n"/>
      <c r="AF114" s="11" t="inlineStr">
        <is>
          <t>created from list 1</t>
        </is>
      </c>
    </row>
    <row r="115">
      <c r="A115" s="11" t="inlineStr">
        <is>
          <t>L1-0114</t>
        </is>
      </c>
      <c r="B115" s="11" t="inlineStr">
        <is>
          <t>List 1 (to ~2015)</t>
        </is>
      </c>
      <c r="C115" s="11" t="inlineStr">
        <is>
          <t>list1</t>
        </is>
      </c>
      <c r="D115" s="11" t="inlineStr">
        <is>
          <t>verified</t>
        </is>
      </c>
      <c r="E115" s="11" t="inlineStr">
        <is>
          <t>overruled</t>
        </is>
      </c>
      <c r="F115" s="2" t="inlineStr">
        <is>
          <t>National Small Industries Corporation Ltd. v. The Presiding Officer, I Additional Labour Court and V. Lakshminarayanan</t>
        </is>
      </c>
      <c r="G115" s="11" t="inlineStr"/>
      <c r="H115" s="11" t="inlineStr">
        <is>
          <t>unknown</t>
        </is>
      </c>
      <c r="I115" s="2" t="inlineStr">
        <is>
          <t>(2005) 3 LLJ 284; (2005) 3 MLJ 126</t>
        </is>
      </c>
      <c r="J115" s="11" t="n">
        <v>2005</v>
      </c>
      <c r="K115" s="2" t="inlineStr">
        <is>
          <t>National Small Industries Corpn. Ltd. v. V. Lakshminarayanan</t>
        </is>
      </c>
      <c r="L115" s="11" t="inlineStr">
        <is>
          <t>Supreme Court</t>
        </is>
      </c>
      <c r="M115" s="2" t="inlineStr">
        <is>
          <t>(2006) 111 FLR 1205; (2007) 1 JT 69; (2006) 11 SCALE 684; (2007) 1 SCC 214; (2007) 1 SCC(L&amp;S) 145; (2006) 8 SCR 821 Supp; (2007) 3 SLJ 25; (2006) 2 UJ 1461</t>
        </is>
      </c>
      <c r="N115" s="11" t="n">
        <v>2006</v>
      </c>
      <c r="O115" s="11" t="n"/>
      <c r="P115" s="11" t="n"/>
      <c r="Q115" s="11" t="n"/>
      <c r="R115" s="2" t="n"/>
      <c r="S115" s="2" t="n"/>
      <c r="T115" s="11" t="inlineStr"/>
      <c r="U115" s="11" t="inlineStr"/>
      <c r="V115" s="11" t="inlineStr">
        <is>
          <t>outside_list</t>
        </is>
      </c>
      <c r="W115" s="11" t="n"/>
      <c r="X115" s="11" t="n"/>
      <c r="Y115" s="11" t="n"/>
      <c r="Z115" s="11" t="inlineStr">
        <is>
          <t>Mr. Advocate</t>
        </is>
      </c>
      <c r="AA115" s="11" t="inlineStr">
        <is>
          <t>2026-10-07</t>
        </is>
      </c>
      <c r="AB115" s="11" t="inlineStr">
        <is>
          <t>name_year</t>
        </is>
      </c>
      <c r="AC115" s="2" t="inlineStr"/>
      <c r="AD115" s="2" t="inlineStr">
        <is>
          <t>National Small Industries Corporation Ltd. v. The Presiding Officer, I Additional Labour Court and V. Lakshminarayanan (2005) was overruled by National Small Industries Corpn. Ltd. v. V. Lakshminarayanan (2006).</t>
        </is>
      </c>
      <c r="AE115" s="2" t="n"/>
      <c r="AF115" s="11" t="inlineStr">
        <is>
          <t>created from list 1</t>
        </is>
      </c>
    </row>
    <row r="116">
      <c r="A116" s="11" t="inlineStr">
        <is>
          <t>L1-0115</t>
        </is>
      </c>
      <c r="B116" s="11" t="inlineStr">
        <is>
          <t>List 1 (to ~2015)</t>
        </is>
      </c>
      <c r="C116" s="11" t="inlineStr">
        <is>
          <t>list1</t>
        </is>
      </c>
      <c r="D116" s="11" t="inlineStr">
        <is>
          <t>verified</t>
        </is>
      </c>
      <c r="E116" s="11" t="inlineStr">
        <is>
          <t>overruled</t>
        </is>
      </c>
      <c r="F116" s="2" t="inlineStr">
        <is>
          <t>P. Veerappa Naidu v. Avudayammal and Others</t>
        </is>
      </c>
      <c r="G116" s="11" t="inlineStr"/>
      <c r="H116" s="11" t="inlineStr">
        <is>
          <t>Madras</t>
        </is>
      </c>
      <c r="I116" s="2" t="inlineStr">
        <is>
          <t>AIR 1925 Mad 438; (1925) ILR (Mad) 262; (1925) 21 LW 688; (1925) 48 MLJ 106</t>
        </is>
      </c>
      <c r="J116" s="11" t="n">
        <v>1925</v>
      </c>
      <c r="K116" s="2" t="inlineStr">
        <is>
          <t>Mary Angel and Others v. State of Tamil Nadu</t>
        </is>
      </c>
      <c r="L116" s="11" t="inlineStr">
        <is>
          <t>Supreme Court</t>
        </is>
      </c>
      <c r="M116" s="2" t="inlineStr">
        <is>
          <t>AIR 1999 SC 2245; (1999) CriLJ 3513; (1999) 3 Crimes 64; (1999) 3 JT 638; (1999) 3 SCALE 663; (1999) 5 SCC 209; (1999) 3 SCR 594; (1999) 2 UJ 1021; (1999) AIRSCW 2283; (1999) 5 Supreme 370</t>
        </is>
      </c>
      <c r="N116" s="11" t="n">
        <v>1999</v>
      </c>
      <c r="O116" s="11" t="n"/>
      <c r="P116" s="11" t="n"/>
      <c r="Q116" s="11" t="n"/>
      <c r="R116" s="2" t="n"/>
      <c r="S116" s="2" t="n"/>
      <c r="T116" s="11" t="inlineStr"/>
      <c r="U116" s="11" t="inlineStr"/>
      <c r="V116" s="11" t="inlineStr">
        <is>
          <t>outside_list</t>
        </is>
      </c>
      <c r="W116" s="11" t="n"/>
      <c r="X116" s="11" t="n"/>
      <c r="Y116" s="11" t="n"/>
      <c r="Z116" s="11" t="inlineStr">
        <is>
          <t>Mr. Advocate</t>
        </is>
      </c>
      <c r="AA116" s="11" t="inlineStr">
        <is>
          <t>2026-10-07</t>
        </is>
      </c>
      <c r="AB116" s="11" t="inlineStr">
        <is>
          <t>name_year</t>
        </is>
      </c>
      <c r="AC116" s="2" t="inlineStr"/>
      <c r="AD116" s="2" t="inlineStr">
        <is>
          <t>P. Veerappa Naidu v. Avudayammal and Others (1925) was overruled by Mary Angel and Others v. State of Tamil Nadu (1999).</t>
        </is>
      </c>
      <c r="AE116" s="2" t="n"/>
      <c r="AF116" s="11" t="inlineStr">
        <is>
          <t>created from list 1</t>
        </is>
      </c>
    </row>
    <row r="117">
      <c r="A117" s="11" t="inlineStr">
        <is>
          <t>L1-0116</t>
        </is>
      </c>
      <c r="B117" s="11" t="inlineStr">
        <is>
          <t>List 1 (to ~2015)</t>
        </is>
      </c>
      <c r="C117" s="11" t="inlineStr">
        <is>
          <t>list1</t>
        </is>
      </c>
      <c r="D117" s="11" t="inlineStr">
        <is>
          <t>verified</t>
        </is>
      </c>
      <c r="E117" s="11" t="inlineStr">
        <is>
          <t>overruled</t>
        </is>
      </c>
      <c r="F117" s="2" t="inlineStr">
        <is>
          <t>Venukuri Krishna Reddi and Another v. Kota Ramireddi and Others</t>
        </is>
      </c>
      <c r="G117" s="11" t="inlineStr"/>
      <c r="H117" s="11" t="inlineStr">
        <is>
          <t>Madras</t>
        </is>
      </c>
      <c r="I117" s="2" t="inlineStr">
        <is>
          <t>AIR 1954 Mad 848; (1954) ILR (Mad) 1126; (1954) 67 LW 346</t>
        </is>
      </c>
      <c r="J117" s="11" t="n">
        <v>1954</v>
      </c>
      <c r="K117" s="2" t="inlineStr">
        <is>
          <t>Harihar Prasad Singh and Others v. Balmiki Prasad Singh and Others</t>
        </is>
      </c>
      <c r="L117" s="11" t="inlineStr">
        <is>
          <t>Supreme Court</t>
        </is>
      </c>
      <c r="M117" s="2" t="inlineStr">
        <is>
          <t>AIR 1975 SC 733; (1975) 1 SCC 212; (1975) 2 SCR 932</t>
        </is>
      </c>
      <c r="N117" s="11" t="n">
        <v>1975</v>
      </c>
      <c r="O117" s="11" t="n"/>
      <c r="P117" s="11" t="n"/>
      <c r="Q117" s="11" t="n"/>
      <c r="R117" s="2" t="n"/>
      <c r="S117" s="2" t="n"/>
      <c r="T117" s="11" t="inlineStr"/>
      <c r="U117" s="11" t="inlineStr"/>
      <c r="V117" s="11" t="inlineStr">
        <is>
          <t>outside_list</t>
        </is>
      </c>
      <c r="W117" s="11" t="n"/>
      <c r="X117" s="11" t="n"/>
      <c r="Y117" s="11" t="n"/>
      <c r="Z117" s="11" t="inlineStr">
        <is>
          <t>Mr. Advocate</t>
        </is>
      </c>
      <c r="AA117" s="11" t="inlineStr">
        <is>
          <t>2026-10-07</t>
        </is>
      </c>
      <c r="AB117" s="11" t="inlineStr">
        <is>
          <t>name_year</t>
        </is>
      </c>
      <c r="AC117" s="2" t="inlineStr"/>
      <c r="AD117" s="2" t="inlineStr">
        <is>
          <t>Venukuri Krishna Reddi and Another v. Kota Ramireddi and Others (1954) was overruled by Harihar Prasad Singh and Others v. Balmiki Prasad Singh and Others (1975).</t>
        </is>
      </c>
      <c r="AE117" s="2" t="n"/>
      <c r="AF117" s="11" t="inlineStr">
        <is>
          <t>created from list 1</t>
        </is>
      </c>
    </row>
    <row r="118">
      <c r="A118" s="11" t="inlineStr">
        <is>
          <t>L1-0117</t>
        </is>
      </c>
      <c r="B118" s="11" t="inlineStr">
        <is>
          <t>List 1 (to ~2015)</t>
        </is>
      </c>
      <c r="C118" s="11" t="inlineStr">
        <is>
          <t>list1</t>
        </is>
      </c>
      <c r="D118" s="11" t="inlineStr">
        <is>
          <t>verified</t>
        </is>
      </c>
      <c r="E118" s="11" t="inlineStr">
        <is>
          <t>overruled</t>
        </is>
      </c>
      <c r="F118" s="2" t="inlineStr">
        <is>
          <t>Rm. Nl. Ramaswami Chettiar and Others v. The Official Receiver and Others</t>
        </is>
      </c>
      <c r="G118" s="11" t="inlineStr"/>
      <c r="H118" s="11" t="inlineStr">
        <is>
          <t>Madras</t>
        </is>
      </c>
      <c r="I118" s="2" t="inlineStr">
        <is>
          <t>AIR 1951 Mad 1051; (1953) ILR (Mad) 65; (1951) 64 LW 934; (1951) 2 MLJ 479</t>
        </is>
      </c>
      <c r="J118" s="11" t="n">
        <v>1951</v>
      </c>
      <c r="K118" s="2" t="inlineStr">
        <is>
          <t>Garikapatti Veeraya v. N. Subbiah Choudhury</t>
        </is>
      </c>
      <c r="L118" s="11" t="inlineStr">
        <is>
          <t>Supreme Court</t>
        </is>
      </c>
      <c r="M118" s="2" t="inlineStr">
        <is>
          <t>AIR 1957 SC 540; (1957) 1 SCR 488</t>
        </is>
      </c>
      <c r="N118" s="11" t="n">
        <v>1957</v>
      </c>
      <c r="O118" s="11" t="n"/>
      <c r="P118" s="11" t="n"/>
      <c r="Q118" s="11" t="n"/>
      <c r="R118" s="2" t="n"/>
      <c r="S118" s="2" t="n"/>
      <c r="T118" s="11" t="inlineStr"/>
      <c r="U118" s="11" t="inlineStr"/>
      <c r="V118" s="11" t="inlineStr">
        <is>
          <t>outside_list</t>
        </is>
      </c>
      <c r="W118" s="11" t="n"/>
      <c r="X118" s="11" t="n"/>
      <c r="Y118" s="11" t="n"/>
      <c r="Z118" s="11" t="inlineStr">
        <is>
          <t>Mr. Advocate</t>
        </is>
      </c>
      <c r="AA118" s="11" t="inlineStr">
        <is>
          <t>2026-10-07</t>
        </is>
      </c>
      <c r="AB118" s="11" t="inlineStr">
        <is>
          <t>name_year</t>
        </is>
      </c>
      <c r="AC118" s="2" t="inlineStr"/>
      <c r="AD118" s="2" t="inlineStr">
        <is>
          <t>Rm. Nl. Ramaswami Chettiar and Others v. The Official Receiver and Others (1951) was overruled by Garikapatti Veeraya v. N. Subbiah Choudhury (1957).</t>
        </is>
      </c>
      <c r="AE118" s="2" t="n"/>
      <c r="AF118" s="11" t="inlineStr">
        <is>
          <t>created from list 1</t>
        </is>
      </c>
    </row>
    <row r="119">
      <c r="A119" s="11" t="inlineStr">
        <is>
          <t>L1-0118</t>
        </is>
      </c>
      <c r="B119" s="11" t="inlineStr">
        <is>
          <t>List 1 (to ~2015)</t>
        </is>
      </c>
      <c r="C119" s="11" t="inlineStr">
        <is>
          <t>list1</t>
        </is>
      </c>
      <c r="D119" s="11" t="inlineStr">
        <is>
          <t>verified</t>
        </is>
      </c>
      <c r="E119" s="11" t="inlineStr">
        <is>
          <t>overruled</t>
        </is>
      </c>
      <c r="F119" s="2" t="inlineStr">
        <is>
          <t>Sekar and Others v. State</t>
        </is>
      </c>
      <c r="G119" s="11" t="inlineStr"/>
      <c r="H119" s="11" t="inlineStr">
        <is>
          <t>unknown</t>
        </is>
      </c>
      <c r="I119" s="2" t="inlineStr"/>
      <c r="J119" s="11" t="n"/>
      <c r="K119" s="2" t="inlineStr">
        <is>
          <t>Alamelu and Another v. State represented by Inspector of Police</t>
        </is>
      </c>
      <c r="L119" s="11" t="inlineStr">
        <is>
          <t>Supreme Court</t>
        </is>
      </c>
      <c r="M119" s="2" t="inlineStr">
        <is>
          <t>AIR 2011 SC 715; (2011) 1 JCC 239; (2011) 1 JT 265; (2011) 1 RCR(Criminal) 498; (2011) 1 SCALE 575; (2011) 2 SCC 385; (2011) 1 SCC(Cri) 688; (2011) 2 SCR 147; (2011) AIRSCW 650; (2011) 1 Supreme 388</t>
        </is>
      </c>
      <c r="N119" s="11" t="n">
        <v>2011</v>
      </c>
      <c r="O119" s="11" t="n"/>
      <c r="P119" s="11" t="n"/>
      <c r="Q119" s="11" t="n"/>
      <c r="R119" s="2" t="n"/>
      <c r="S119" s="2" t="n"/>
      <c r="T119" s="11" t="inlineStr"/>
      <c r="U119" s="11" t="inlineStr">
        <is>
          <t>no_citation_or_year_for_overruled, needs_citation_or_year</t>
        </is>
      </c>
      <c r="V119" s="11" t="inlineStr">
        <is>
          <t>outside_list</t>
        </is>
      </c>
      <c r="W119" s="11" t="n"/>
      <c r="X119" s="11" t="n"/>
      <c r="Y119" s="11" t="n"/>
      <c r="Z119" s="11" t="inlineStr">
        <is>
          <t>Mr. Advocate</t>
        </is>
      </c>
      <c r="AA119" s="11" t="inlineStr">
        <is>
          <t>2026-10-07</t>
        </is>
      </c>
      <c r="AB119" s="11" t="inlineStr">
        <is>
          <t>none</t>
        </is>
      </c>
      <c r="AC119" s="2" t="inlineStr"/>
      <c r="AD119" s="2" t="inlineStr">
        <is>
          <t>Sekar and Others v. State was overruled by Alamelu and Another v. State represented by Inspector of Police (2011).</t>
        </is>
      </c>
      <c r="AE119" s="2" t="n"/>
      <c r="AF119" s="11" t="inlineStr">
        <is>
          <t>created from list 1</t>
        </is>
      </c>
    </row>
    <row r="120">
      <c r="A120" s="11" t="inlineStr">
        <is>
          <t>L1-0119</t>
        </is>
      </c>
      <c r="B120" s="11" t="inlineStr">
        <is>
          <t>List 1 (to ~2015)</t>
        </is>
      </c>
      <c r="C120" s="11" t="inlineStr">
        <is>
          <t>list1</t>
        </is>
      </c>
      <c r="D120" s="11" t="inlineStr">
        <is>
          <t>verified</t>
        </is>
      </c>
      <c r="E120" s="11" t="inlineStr">
        <is>
          <t>overruled</t>
        </is>
      </c>
      <c r="F120" s="2" t="inlineStr">
        <is>
          <t>Periannan and Others v. Airabadeeswarar Soundaranayagi Amman Kovil of O’Siruvayal and Others</t>
        </is>
      </c>
      <c r="G120" s="11" t="inlineStr"/>
      <c r="H120" s="11" t="inlineStr">
        <is>
          <t>Madras</t>
        </is>
      </c>
      <c r="I120" s="2" t="inlineStr">
        <is>
          <t>AIR 1952 Mad 323; (1952) ILR (Mad) 741; (1952) 1 MLJ 71</t>
        </is>
      </c>
      <c r="J120" s="11" t="n">
        <v>1952</v>
      </c>
      <c r="K120" s="2" t="inlineStr">
        <is>
          <t>P. Venkataswami and Another v. D.S. Ramireddy and Another</t>
        </is>
      </c>
      <c r="L120" s="11" t="inlineStr">
        <is>
          <t>Supreme Court</t>
        </is>
      </c>
      <c r="M120" s="2" t="inlineStr">
        <is>
          <t>AIR 1976 SC 1066; (1976) 3 SCC 665</t>
        </is>
      </c>
      <c r="N120" s="11" t="n">
        <v>1976</v>
      </c>
      <c r="O120" s="11" t="n"/>
      <c r="P120" s="11" t="n"/>
      <c r="Q120" s="11" t="n"/>
      <c r="R120" s="2" t="n"/>
      <c r="S120" s="2" t="n"/>
      <c r="T120" s="11" t="inlineStr"/>
      <c r="U120" s="11" t="inlineStr"/>
      <c r="V120" s="11" t="inlineStr">
        <is>
          <t>outside_list</t>
        </is>
      </c>
      <c r="W120" s="11" t="n"/>
      <c r="X120" s="11" t="n"/>
      <c r="Y120" s="11" t="n"/>
      <c r="Z120" s="11" t="inlineStr">
        <is>
          <t>Mr. Advocate</t>
        </is>
      </c>
      <c r="AA120" s="11" t="inlineStr">
        <is>
          <t>2026-10-07</t>
        </is>
      </c>
      <c r="AB120" s="11" t="inlineStr">
        <is>
          <t>name_year</t>
        </is>
      </c>
      <c r="AC120" s="2" t="inlineStr"/>
      <c r="AD120" s="2" t="inlineStr">
        <is>
          <t>Periannan and Others v. Airabadeeswarar Soundaranayagi Amman Kovil of O’Siruvayal and Others (1952) was overruled by P. Venkataswami and Another v. D.S. Ramireddy and Another (1976).</t>
        </is>
      </c>
      <c r="AE120" s="2" t="n"/>
      <c r="AF120" s="11" t="inlineStr">
        <is>
          <t>created from list 1</t>
        </is>
      </c>
    </row>
    <row r="121">
      <c r="A121" s="11" t="inlineStr">
        <is>
          <t>L1-0120</t>
        </is>
      </c>
      <c r="B121" s="11" t="inlineStr">
        <is>
          <t>List 1 (to ~2015)</t>
        </is>
      </c>
      <c r="C121" s="11" t="inlineStr">
        <is>
          <t>list1</t>
        </is>
      </c>
      <c r="D121" s="11" t="inlineStr">
        <is>
          <t>verified</t>
        </is>
      </c>
      <c r="E121" s="11" t="inlineStr">
        <is>
          <t>overruled</t>
        </is>
      </c>
      <c r="F121" s="2" t="inlineStr">
        <is>
          <t>K.V.S.R. Subramanian Chettiar v. Revenue Divisional Officer, Arantangi Pudukottai District and Others</t>
        </is>
      </c>
      <c r="G121" s="11" t="inlineStr"/>
      <c r="H121" s="11" t="inlineStr">
        <is>
          <t>Madras</t>
        </is>
      </c>
      <c r="I121" s="2" t="inlineStr">
        <is>
          <t>AIR 1983 Mad 26</t>
        </is>
      </c>
      <c r="J121" s="11" t="n">
        <v>1983</v>
      </c>
      <c r="K121" s="2" t="inlineStr">
        <is>
          <t>P. Nirathilingam v. Annaya Nadar and Others</t>
        </is>
      </c>
      <c r="L121" s="11" t="inlineStr">
        <is>
          <t>Supreme Court</t>
        </is>
      </c>
      <c r="M121" s="2" t="inlineStr">
        <is>
          <t>AIR 2002 SC 42; (2002) 1 BC 1; (2001) 9 JT 344; (2001) 7 SCALE 583; (2001) 9 SCC 673; (2001) AIRSCW 4517; (2001) 8 Supreme 285</t>
        </is>
      </c>
      <c r="N121" s="11" t="n">
        <v>2002</v>
      </c>
      <c r="O121" s="11" t="n"/>
      <c r="P121" s="11" t="n"/>
      <c r="Q121" s="11" t="n"/>
      <c r="R121" s="2" t="n"/>
      <c r="S121" s="2" t="n"/>
      <c r="T121" s="11" t="inlineStr"/>
      <c r="U121" s="11" t="inlineStr"/>
      <c r="V121" s="11" t="inlineStr">
        <is>
          <t>outside_list</t>
        </is>
      </c>
      <c r="W121" s="11" t="n"/>
      <c r="X121" s="11" t="n"/>
      <c r="Y121" s="11" t="n"/>
      <c r="Z121" s="11" t="inlineStr">
        <is>
          <t>Mr. Advocate</t>
        </is>
      </c>
      <c r="AA121" s="11" t="inlineStr">
        <is>
          <t>2026-10-07</t>
        </is>
      </c>
      <c r="AB121" s="11" t="inlineStr">
        <is>
          <t>name_year</t>
        </is>
      </c>
      <c r="AC121" s="2" t="inlineStr"/>
      <c r="AD121" s="2" t="inlineStr">
        <is>
          <t>K.V.S.R. Subramanian Chettiar v. Revenue Divisional Officer, Arantangi Pudukottai District and Others (1983) was overruled by P. Nirathilingam v. Annaya Nadar and Others (2002).</t>
        </is>
      </c>
      <c r="AE121" s="2" t="n"/>
      <c r="AF121" s="11" t="inlineStr">
        <is>
          <t>created from list 1</t>
        </is>
      </c>
    </row>
    <row r="122">
      <c r="A122" s="11" t="inlineStr">
        <is>
          <t>L1-0121</t>
        </is>
      </c>
      <c r="B122" s="11" t="inlineStr">
        <is>
          <t>List 1 (to ~2015)</t>
        </is>
      </c>
      <c r="C122" s="11" t="inlineStr">
        <is>
          <t>list1</t>
        </is>
      </c>
      <c r="D122" s="11" t="inlineStr">
        <is>
          <t>verified</t>
        </is>
      </c>
      <c r="E122" s="11" t="inlineStr">
        <is>
          <t>reversed_on_appeal</t>
        </is>
      </c>
      <c r="F122" s="2" t="inlineStr">
        <is>
          <t>Harikrishnan v. Sri Chanda Prabhuji Jain Temple and Others</t>
        </is>
      </c>
      <c r="G122" s="11" t="inlineStr"/>
      <c r="H122" s="11" t="inlineStr">
        <is>
          <t>Madras</t>
        </is>
      </c>
      <c r="I122" s="2" t="inlineStr">
        <is>
          <t>AIR 1962 Mad 267; (1962) 75 LW 248</t>
        </is>
      </c>
      <c r="J122" s="11" t="n">
        <v>1962</v>
      </c>
      <c r="K122" s="2" t="inlineStr">
        <is>
          <t>Sri Chandre Prabhuji Jain Temple and Others v. Harikrishna and Another</t>
        </is>
      </c>
      <c r="L122" s="11" t="inlineStr">
        <is>
          <t>Supreme Court</t>
        </is>
      </c>
      <c r="M122" s="2" t="inlineStr">
        <is>
          <t>AIR 1973 SC 2565; (1973) 2 SCC 665; (1974) 1 SCR 442</t>
        </is>
      </c>
      <c r="N122" s="11" t="n">
        <v>1973</v>
      </c>
      <c r="O122" s="11" t="n"/>
      <c r="P122" s="11" t="n"/>
      <c r="Q122" s="11" t="n"/>
      <c r="R122" s="2" t="n"/>
      <c r="S122" s="2" t="n"/>
      <c r="T122" s="11" t="inlineStr">
        <is>
          <t>yes</t>
        </is>
      </c>
      <c r="U122" s="11" t="inlineStr"/>
      <c r="V122" s="11" t="inlineStr">
        <is>
          <t>outside_list</t>
        </is>
      </c>
      <c r="W122" s="11" t="n"/>
      <c r="X122" s="11" t="n"/>
      <c r="Y122" s="11" t="n"/>
      <c r="Z122" s="11" t="inlineStr">
        <is>
          <t>Mr. Advocate</t>
        </is>
      </c>
      <c r="AA122" s="11" t="inlineStr">
        <is>
          <t>2026-10-07</t>
        </is>
      </c>
      <c r="AB122" s="11" t="inlineStr">
        <is>
          <t>name_year</t>
        </is>
      </c>
      <c r="AC122" s="2" t="inlineStr"/>
      <c r="AD122" s="2" t="inlineStr">
        <is>
          <t>Harikrishnan v. Sri Chanda Prabhuji Jain Temple and Others (1962) was reversed on appeal by the Supreme Court in Sri Chandre Prabhuji Jain Temple and Others v. Harikrishna and Another (1973).</t>
        </is>
      </c>
      <c r="AE122" s="2" t="n"/>
      <c r="AF122" s="11" t="inlineStr">
        <is>
          <t>created from list 1</t>
        </is>
      </c>
    </row>
    <row r="123">
      <c r="A123" s="11" t="inlineStr">
        <is>
          <t>L1-0122</t>
        </is>
      </c>
      <c r="B123" s="11" t="inlineStr">
        <is>
          <t>List 1 (to ~2015)</t>
        </is>
      </c>
      <c r="C123" s="11" t="inlineStr">
        <is>
          <t>list1</t>
        </is>
      </c>
      <c r="D123" s="11" t="inlineStr">
        <is>
          <t>verified</t>
        </is>
      </c>
      <c r="E123" s="11" t="inlineStr">
        <is>
          <t>overruled</t>
        </is>
      </c>
      <c r="F123" s="2" t="inlineStr">
        <is>
          <t>Pelisetty Somasundaram (P) Ltd. v. Government of India</t>
        </is>
      </c>
      <c r="G123" s="11" t="inlineStr"/>
      <c r="H123" s="11" t="inlineStr">
        <is>
          <t>unknown</t>
        </is>
      </c>
      <c r="I123" s="2" t="inlineStr">
        <is>
          <t>(1984) 17 ELT 306</t>
        </is>
      </c>
      <c r="J123" s="11" t="n">
        <v>1984</v>
      </c>
      <c r="K123" s="2" t="inlineStr">
        <is>
          <t>Gaurav Distributors (P) Ltd. v. Commissioner of Customs, New Delhi</t>
        </is>
      </c>
      <c r="L123" s="11" t="inlineStr">
        <is>
          <t>Supreme Court</t>
        </is>
      </c>
      <c r="M123" s="2" t="inlineStr">
        <is>
          <t>(2004) 95 ECC 462; (2004) 170 ELT 513; (2004) 6 JT 312; (2004) 6 SCALE 574; (2004) 7 SCC 187; (2004) 3 SCR 454 Supp</t>
        </is>
      </c>
      <c r="N123" s="11" t="n">
        <v>2004</v>
      </c>
      <c r="O123" s="11" t="n"/>
      <c r="P123" s="11" t="n"/>
      <c r="Q123" s="11" t="n"/>
      <c r="R123" s="2" t="n"/>
      <c r="S123" s="2" t="n"/>
      <c r="T123" s="11" t="inlineStr"/>
      <c r="U123" s="11" t="inlineStr"/>
      <c r="V123" s="11" t="inlineStr">
        <is>
          <t>outside_list</t>
        </is>
      </c>
      <c r="W123" s="11" t="n"/>
      <c r="X123" s="11" t="n"/>
      <c r="Y123" s="11" t="n"/>
      <c r="Z123" s="11" t="inlineStr">
        <is>
          <t>Mr. Advocate</t>
        </is>
      </c>
      <c r="AA123" s="11" t="inlineStr">
        <is>
          <t>2026-10-07</t>
        </is>
      </c>
      <c r="AB123" s="11" t="inlineStr">
        <is>
          <t>name_year</t>
        </is>
      </c>
      <c r="AC123" s="2" t="inlineStr"/>
      <c r="AD123" s="2" t="inlineStr">
        <is>
          <t>Pelisetty Somasundaram (P) Ltd. v. Government of India (1984) was overruled by Gaurav Distributors (P) Ltd. v. Commissioner of Customs, New Delhi (2004).</t>
        </is>
      </c>
      <c r="AE123" s="2" t="n"/>
      <c r="AF123" s="11" t="inlineStr">
        <is>
          <t>created from list 1</t>
        </is>
      </c>
    </row>
    <row r="124">
      <c r="A124" s="11" t="inlineStr">
        <is>
          <t>L1-0123</t>
        </is>
      </c>
      <c r="B124" s="11" t="inlineStr">
        <is>
          <t>List 1 (to ~2015)</t>
        </is>
      </c>
      <c r="C124" s="11" t="inlineStr">
        <is>
          <t>list1</t>
        </is>
      </c>
      <c r="D124" s="11" t="inlineStr">
        <is>
          <t>verified</t>
        </is>
      </c>
      <c r="E124" s="11" t="inlineStr">
        <is>
          <t>overruled</t>
        </is>
      </c>
      <c r="F124" s="2" t="inlineStr">
        <is>
          <t>Management of Syamala Studios v. S.S. Kannu Devar and Another</t>
        </is>
      </c>
      <c r="G124" s="11" t="inlineStr"/>
      <c r="H124" s="11" t="inlineStr">
        <is>
          <t>unknown</t>
        </is>
      </c>
      <c r="I124" s="2" t="inlineStr">
        <is>
          <t>(1966) 79 LW 329; (1966) 2 MLJ 167</t>
        </is>
      </c>
      <c r="J124" s="11" t="n">
        <v>1966</v>
      </c>
      <c r="K124" s="2" t="inlineStr">
        <is>
          <t>Mahendra Singh Dhantwal v. Hindustan Motors Ltd. and Others</t>
        </is>
      </c>
      <c r="L124" s="11" t="inlineStr">
        <is>
          <t>Supreme Court</t>
        </is>
      </c>
      <c r="M124" s="2" t="inlineStr">
        <is>
          <t>AIR 1976 SC 2062; (1976) 2 LLJ 259; (1976) 4 SCC 606; (1976) SCR 635 Supp; (1976) 1 SLJ 521</t>
        </is>
      </c>
      <c r="N124" s="11" t="n">
        <v>1976</v>
      </c>
      <c r="O124" s="11" t="n"/>
      <c r="P124" s="11" t="n"/>
      <c r="Q124" s="11" t="n"/>
      <c r="R124" s="2" t="n"/>
      <c r="S124" s="2" t="n"/>
      <c r="T124" s="11" t="inlineStr"/>
      <c r="U124" s="11" t="inlineStr"/>
      <c r="V124" s="11" t="inlineStr">
        <is>
          <t>outside_list</t>
        </is>
      </c>
      <c r="W124" s="11" t="n"/>
      <c r="X124" s="11" t="n"/>
      <c r="Y124" s="11" t="n"/>
      <c r="Z124" s="11" t="inlineStr">
        <is>
          <t>Mr. Advocate</t>
        </is>
      </c>
      <c r="AA124" s="11" t="inlineStr">
        <is>
          <t>2026-10-07</t>
        </is>
      </c>
      <c r="AB124" s="11" t="inlineStr">
        <is>
          <t>name_year</t>
        </is>
      </c>
      <c r="AC124" s="2" t="inlineStr"/>
      <c r="AD124" s="2" t="inlineStr">
        <is>
          <t>Management of Syamala Studios v. S.S. Kannu Devar and Another (1966) was overruled by Mahendra Singh Dhantwal v. Hindustan Motors Ltd. and Others (1976).</t>
        </is>
      </c>
      <c r="AE124" s="2" t="n"/>
      <c r="AF124" s="11" t="inlineStr">
        <is>
          <t>created from list 1</t>
        </is>
      </c>
    </row>
    <row r="125">
      <c r="A125" s="11" t="inlineStr">
        <is>
          <t>L1-0124</t>
        </is>
      </c>
      <c r="B125" s="11" t="inlineStr">
        <is>
          <t>List 1 (to ~2015)</t>
        </is>
      </c>
      <c r="C125" s="11" t="inlineStr">
        <is>
          <t>list1</t>
        </is>
      </c>
      <c r="D125" s="11" t="inlineStr">
        <is>
          <t>verified</t>
        </is>
      </c>
      <c r="E125" s="11" t="inlineStr">
        <is>
          <t>reversed_on_appeal</t>
        </is>
      </c>
      <c r="F125" s="2" t="inlineStr">
        <is>
          <t>Avery Co. of India Private Ltd. v. Second Industrial Tribunal and Others</t>
        </is>
      </c>
      <c r="G125" s="11" t="inlineStr"/>
      <c r="H125" s="11" t="inlineStr">
        <is>
          <t>Calcutta</t>
        </is>
      </c>
      <c r="I125" s="2" t="inlineStr">
        <is>
          <t>AIR 1968 Cal 287; (1968) 1 CALLT 253; 72 CWN 165; (1969) 1 ILR (Cal) 415; (1968) 2 LLJ 38</t>
        </is>
      </c>
      <c r="J125" s="11" t="n">
        <v>1968</v>
      </c>
      <c r="K125" s="2" t="inlineStr">
        <is>
          <t>Avery India Limited v. The Second Industrial Tribunal, West Bengal and Others</t>
        </is>
      </c>
      <c r="L125" s="11" t="inlineStr">
        <is>
          <t>Supreme Court</t>
        </is>
      </c>
      <c r="M125" s="2" t="inlineStr">
        <is>
          <t>AIR 1972 SC 1626; (1972) 24 FLR 352; (1972) LabIC 873; (1972) 2 LLJ 255; (1972) 3 SCC 585; (1973) 1 SCR 668; (1973) 5 UJ 147</t>
        </is>
      </c>
      <c r="N125" s="11" t="n">
        <v>1972</v>
      </c>
      <c r="O125" s="11" t="n"/>
      <c r="P125" s="11" t="n"/>
      <c r="Q125" s="11" t="n"/>
      <c r="R125" s="2" t="n"/>
      <c r="S125" s="2" t="n"/>
      <c r="T125" s="11" t="inlineStr">
        <is>
          <t>yes</t>
        </is>
      </c>
      <c r="U125" s="11" t="inlineStr"/>
      <c r="V125" s="11" t="inlineStr">
        <is>
          <t>outside_list</t>
        </is>
      </c>
      <c r="W125" s="11" t="n"/>
      <c r="X125" s="11" t="n"/>
      <c r="Y125" s="11" t="n"/>
      <c r="Z125" s="11" t="inlineStr">
        <is>
          <t>Mr. Advocate</t>
        </is>
      </c>
      <c r="AA125" s="11" t="inlineStr">
        <is>
          <t>2026-10-07</t>
        </is>
      </c>
      <c r="AB125" s="11" t="inlineStr">
        <is>
          <t>name_year</t>
        </is>
      </c>
      <c r="AC125" s="2" t="inlineStr"/>
      <c r="AD125" s="2" t="inlineStr">
        <is>
          <t>Avery Co. of India Private Ltd. v. Second Industrial Tribunal and Others (1968) was reversed on appeal by the Supreme Court in Avery India Limited v. The Second Industrial Tribunal, West Bengal and Others (1972).</t>
        </is>
      </c>
      <c r="AE125" s="2" t="n"/>
      <c r="AF125" s="11" t="inlineStr">
        <is>
          <t>created from list 1</t>
        </is>
      </c>
    </row>
    <row r="126">
      <c r="A126" s="11" t="inlineStr">
        <is>
          <t>L1-0125</t>
        </is>
      </c>
      <c r="B126" s="11" t="inlineStr">
        <is>
          <t>List 1 (to ~2015)</t>
        </is>
      </c>
      <c r="C126" s="11" t="inlineStr">
        <is>
          <t>list1</t>
        </is>
      </c>
      <c r="D126" s="11" t="inlineStr">
        <is>
          <t>verified</t>
        </is>
      </c>
      <c r="E126" s="11" t="inlineStr">
        <is>
          <t>overruled</t>
        </is>
      </c>
      <c r="F126" s="2" t="inlineStr">
        <is>
          <t>Arumilli Surayya v. Pinisetti Venkataramanamma and Others</t>
        </is>
      </c>
      <c r="G126" s="11" t="inlineStr"/>
      <c r="H126" s="11" t="inlineStr">
        <is>
          <t>Madras</t>
        </is>
      </c>
      <c r="I126" s="2" t="inlineStr">
        <is>
          <t>AIR 1940 Mad 701; (1940) 1 MLJ 831</t>
        </is>
      </c>
      <c r="J126" s="11" t="n">
        <v>1940</v>
      </c>
      <c r="K126" s="2" t="inlineStr">
        <is>
          <t>Smt. Laxmi Devi v. Sethani Mukand Kanwar and Others</t>
        </is>
      </c>
      <c r="L126" s="11" t="inlineStr">
        <is>
          <t>Supreme Court</t>
        </is>
      </c>
      <c r="M126" s="2" t="inlineStr">
        <is>
          <t>AIR 1965 SC 834; (1965) 1 SCR 726</t>
        </is>
      </c>
      <c r="N126" s="11" t="n">
        <v>1965</v>
      </c>
      <c r="O126" s="11" t="n"/>
      <c r="P126" s="11" t="n"/>
      <c r="Q126" s="11" t="n"/>
      <c r="R126" s="2" t="n"/>
      <c r="S126" s="2" t="n"/>
      <c r="T126" s="11" t="inlineStr"/>
      <c r="U126" s="11" t="inlineStr"/>
      <c r="V126" s="11" t="inlineStr">
        <is>
          <t>outside_list</t>
        </is>
      </c>
      <c r="W126" s="11" t="n"/>
      <c r="X126" s="11" t="n"/>
      <c r="Y126" s="11" t="n"/>
      <c r="Z126" s="11" t="inlineStr">
        <is>
          <t>Mr. Advocate</t>
        </is>
      </c>
      <c r="AA126" s="11" t="inlineStr">
        <is>
          <t>2026-10-07</t>
        </is>
      </c>
      <c r="AB126" s="11" t="inlineStr">
        <is>
          <t>name_year</t>
        </is>
      </c>
      <c r="AC126" s="2" t="inlineStr"/>
      <c r="AD126" s="2" t="inlineStr">
        <is>
          <t>Arumilli Surayya v. Pinisetti Venkataramanamma and Others (1940) was overruled by Smt. Laxmi Devi v. Sethani Mukand Kanwar and Others (1965).</t>
        </is>
      </c>
      <c r="AE126" s="2" t="n"/>
      <c r="AF126" s="11" t="inlineStr">
        <is>
          <t>created from list 1</t>
        </is>
      </c>
    </row>
    <row r="127">
      <c r="A127" s="11" t="inlineStr">
        <is>
          <t>L1-0126</t>
        </is>
      </c>
      <c r="B127" s="11" t="inlineStr">
        <is>
          <t>List 1 (to ~2015)</t>
        </is>
      </c>
      <c r="C127" s="11" t="inlineStr">
        <is>
          <t>list1</t>
        </is>
      </c>
      <c r="D127" s="11" t="inlineStr">
        <is>
          <t>verified</t>
        </is>
      </c>
      <c r="E127" s="11" t="inlineStr">
        <is>
          <t>reversed_on_appeal</t>
        </is>
      </c>
      <c r="F127" s="2" t="inlineStr">
        <is>
          <t>Kedarnath Jute Manufacturing Co. Ltd. v. Commissioner of Income Tax (Central)</t>
        </is>
      </c>
      <c r="G127" s="11" t="inlineStr"/>
      <c r="H127" s="11" t="inlineStr">
        <is>
          <t>Calcutta</t>
        </is>
      </c>
      <c r="I127" s="2" t="inlineStr">
        <is>
          <t>AIR 1968 Cal 19; (1968) 2 ILR (Cal) 102; (1968) 67 ITR 56</t>
        </is>
      </c>
      <c r="J127" s="11" t="n">
        <v>1968</v>
      </c>
      <c r="K127" s="2" t="inlineStr">
        <is>
          <t>The Kedarnath Jute Mfg. Co. Ltd. v. The Commissioner of Income Tax, (Central), Calcutta</t>
        </is>
      </c>
      <c r="L127" s="11" t="inlineStr">
        <is>
          <t>Supreme Court</t>
        </is>
      </c>
      <c r="M127" s="2" t="inlineStr">
        <is>
          <t>AIR 1971 SC 2145; (1971) 82 ITR 363; (1972) 3 SCC 252; (1972) 1 SCR 277; (1971) 28 STC 672</t>
        </is>
      </c>
      <c r="N127" s="11" t="n">
        <v>1971</v>
      </c>
      <c r="O127" s="11" t="n"/>
      <c r="P127" s="11" t="n"/>
      <c r="Q127" s="11" t="n"/>
      <c r="R127" s="2" t="n"/>
      <c r="S127" s="2" t="n"/>
      <c r="T127" s="11" t="inlineStr">
        <is>
          <t>yes</t>
        </is>
      </c>
      <c r="U127" s="11" t="inlineStr"/>
      <c r="V127" s="11" t="inlineStr">
        <is>
          <t>outside_list</t>
        </is>
      </c>
      <c r="W127" s="11" t="n"/>
      <c r="X127" s="11" t="n"/>
      <c r="Y127" s="11" t="n"/>
      <c r="Z127" s="11" t="inlineStr">
        <is>
          <t>Mr. Advocate</t>
        </is>
      </c>
      <c r="AA127" s="11" t="inlineStr">
        <is>
          <t>2026-10-07</t>
        </is>
      </c>
      <c r="AB127" s="11" t="inlineStr">
        <is>
          <t>name_year</t>
        </is>
      </c>
      <c r="AC127" s="2" t="inlineStr"/>
      <c r="AD127" s="2" t="inlineStr">
        <is>
          <t>Kedarnath Jute Manufacturing Co. Ltd. v. Commissioner of Income Tax (Central) (1968) was reversed on appeal by the Supreme Court in The Kedarnath Jute Mfg. Co. Ltd. v. The Commissioner of Income Tax, (Central), Calcutta (1971).</t>
        </is>
      </c>
      <c r="AE127" s="2" t="n"/>
      <c r="AF127" s="11" t="inlineStr">
        <is>
          <t>created from list 1</t>
        </is>
      </c>
    </row>
    <row r="128">
      <c r="A128" s="11" t="inlineStr">
        <is>
          <t>L1-0127</t>
        </is>
      </c>
      <c r="B128" s="11" t="inlineStr">
        <is>
          <t>List 1 (to ~2015)</t>
        </is>
      </c>
      <c r="C128" s="11" t="inlineStr">
        <is>
          <t>list1</t>
        </is>
      </c>
      <c r="D128" s="11" t="inlineStr">
        <is>
          <t>verified</t>
        </is>
      </c>
      <c r="E128" s="11" t="inlineStr">
        <is>
          <t>overruled</t>
        </is>
      </c>
      <c r="F128" s="2" t="inlineStr">
        <is>
          <t>Valliammal v. The Authorized Officer, Land Reforms, Coimbatore</t>
        </is>
      </c>
      <c r="G128" s="11" t="inlineStr"/>
      <c r="H128" s="11" t="inlineStr">
        <is>
          <t>Madras</t>
        </is>
      </c>
      <c r="I128" s="2" t="inlineStr">
        <is>
          <t>AIR 1973 Mad 321; (1973) 86 LW 177; (1973) 1 MLJ 377</t>
        </is>
      </c>
      <c r="J128" s="11" t="n">
        <v>1973</v>
      </c>
      <c r="K128" s="2" t="inlineStr">
        <is>
          <t>M. Ramakrishnan v. State of Madras</t>
        </is>
      </c>
      <c r="L128" s="11" t="inlineStr">
        <is>
          <t>Supreme Court</t>
        </is>
      </c>
      <c r="M128" s="2" t="inlineStr">
        <is>
          <t>AIR 1979 SC 1905; (1979) 4 SCC 209; (1980) 1 SCR 396; (1980) 12 UJ 266</t>
        </is>
      </c>
      <c r="N128" s="11" t="n">
        <v>1979</v>
      </c>
      <c r="O128" s="11" t="n"/>
      <c r="P128" s="11" t="n"/>
      <c r="Q128" s="11" t="n"/>
      <c r="R128" s="2" t="n"/>
      <c r="S128" s="2" t="n"/>
      <c r="T128" s="11" t="inlineStr"/>
      <c r="U128" s="11" t="inlineStr"/>
      <c r="V128" s="11" t="inlineStr">
        <is>
          <t>outside_list</t>
        </is>
      </c>
      <c r="W128" s="11" t="n"/>
      <c r="X128" s="11" t="n"/>
      <c r="Y128" s="11" t="n"/>
      <c r="Z128" s="11" t="inlineStr">
        <is>
          <t>Mr. Advocate</t>
        </is>
      </c>
      <c r="AA128" s="11" t="inlineStr">
        <is>
          <t>2026-10-07</t>
        </is>
      </c>
      <c r="AB128" s="11" t="inlineStr">
        <is>
          <t>name_year</t>
        </is>
      </c>
      <c r="AC128" s="2" t="inlineStr"/>
      <c r="AD128" s="2" t="inlineStr">
        <is>
          <t>Valliammal v. The Authorized Officer, Land Reforms, Coimbatore (1973) was overruled by M. Ramakrishnan v. State of Madras (1979).</t>
        </is>
      </c>
      <c r="AE128" s="2" t="n"/>
      <c r="AF128" s="11" t="inlineStr">
        <is>
          <t>created from list 1</t>
        </is>
      </c>
    </row>
    <row r="129">
      <c r="A129" s="11" t="inlineStr">
        <is>
          <t>L1-0128</t>
        </is>
      </c>
      <c r="B129" s="11" t="inlineStr">
        <is>
          <t>List 1 (to ~2015)</t>
        </is>
      </c>
      <c r="C129" s="11" t="inlineStr">
        <is>
          <t>list1</t>
        </is>
      </c>
      <c r="D129" s="11" t="inlineStr">
        <is>
          <t>verified</t>
        </is>
      </c>
      <c r="E129" s="11" t="inlineStr">
        <is>
          <t>overruled</t>
        </is>
      </c>
      <c r="F129" s="2" t="inlineStr">
        <is>
          <t>Kathiyumma v. Urathel Marakkar</t>
        </is>
      </c>
      <c r="G129" s="11" t="inlineStr"/>
      <c r="H129" s="11" t="inlineStr">
        <is>
          <t>Madras</t>
        </is>
      </c>
      <c r="I129" s="2" t="inlineStr">
        <is>
          <t>AIR 1931 Mad 647</t>
        </is>
      </c>
      <c r="J129" s="11" t="n">
        <v>1931</v>
      </c>
      <c r="K129" s="2" t="inlineStr">
        <is>
          <t>Shamim Ara v. State of U.P. and Another</t>
        </is>
      </c>
      <c r="L129" s="11" t="inlineStr">
        <is>
          <t>Supreme Court</t>
        </is>
      </c>
      <c r="M129" s="2" t="inlineStr">
        <is>
          <t>(2003) 95 CLT 247; (2002) 7 JT 520; (2002) 7 SCALE 183; (2002) 7 SCC 518; (2002) 3 SCR 19 Supp; (2002) 2 UJ 1385</t>
        </is>
      </c>
      <c r="N129" s="11" t="n">
        <v>2002</v>
      </c>
      <c r="O129" s="11" t="n"/>
      <c r="P129" s="11" t="n"/>
      <c r="Q129" s="11" t="n"/>
      <c r="R129" s="2" t="n"/>
      <c r="S129" s="2" t="n"/>
      <c r="T129" s="11" t="inlineStr"/>
      <c r="U129" s="11" t="inlineStr"/>
      <c r="V129" s="11" t="inlineStr">
        <is>
          <t>outside_list</t>
        </is>
      </c>
      <c r="W129" s="11" t="n"/>
      <c r="X129" s="11" t="n"/>
      <c r="Y129" s="11" t="n"/>
      <c r="Z129" s="11" t="inlineStr">
        <is>
          <t>Mr. Advocate</t>
        </is>
      </c>
      <c r="AA129" s="11" t="inlineStr">
        <is>
          <t>2026-10-07</t>
        </is>
      </c>
      <c r="AB129" s="11" t="inlineStr">
        <is>
          <t>name_year</t>
        </is>
      </c>
      <c r="AC129" s="2" t="inlineStr"/>
      <c r="AD129" s="2" t="inlineStr">
        <is>
          <t>Kathiyumma v. Urathel Marakkar (1931) was overruled by Shamim Ara v. State of U.P. and Another (2002).</t>
        </is>
      </c>
      <c r="AE129" s="2" t="n"/>
      <c r="AF129" s="11" t="inlineStr">
        <is>
          <t>created from list 1</t>
        </is>
      </c>
    </row>
    <row r="130">
      <c r="A130" s="11" t="inlineStr">
        <is>
          <t>L1-0129</t>
        </is>
      </c>
      <c r="B130" s="11" t="inlineStr">
        <is>
          <t>List 1 (to ~2015)</t>
        </is>
      </c>
      <c r="C130" s="11" t="inlineStr">
        <is>
          <t>list1</t>
        </is>
      </c>
      <c r="D130" s="11" t="inlineStr">
        <is>
          <t>verified</t>
        </is>
      </c>
      <c r="E130" s="11" t="inlineStr">
        <is>
          <t>overruled</t>
        </is>
      </c>
      <c r="F130" s="2" t="inlineStr">
        <is>
          <t>M. Janakiraman and another v. State</t>
        </is>
      </c>
      <c r="G130" s="11" t="inlineStr"/>
      <c r="H130" s="11" t="inlineStr">
        <is>
          <t>unknown</t>
        </is>
      </c>
      <c r="I130" s="2" t="inlineStr"/>
      <c r="J130" s="11" t="n"/>
      <c r="K130" s="2" t="inlineStr">
        <is>
          <t>State rep. by Tahsildar-Cum-Sales Officer v. M. Janakiraman and Another</t>
        </is>
      </c>
      <c r="L130" s="11" t="inlineStr">
        <is>
          <t>Supreme Court</t>
        </is>
      </c>
      <c r="M130" s="2" t="inlineStr">
        <is>
          <t>AIR 2009 SC 2005; (2009) 2 JT 337; (2009) 2 SCALE 352; (2009) 4 SCC 504; (2009) 2 SCR 1076; (2009) AIRSCW 1662; (2009) 1 Supreme 657</t>
        </is>
      </c>
      <c r="N130" s="11" t="n">
        <v>2009</v>
      </c>
      <c r="O130" s="11" t="n"/>
      <c r="P130" s="11" t="n"/>
      <c r="Q130" s="11" t="n"/>
      <c r="R130" s="2" t="n"/>
      <c r="S130" s="2" t="n"/>
      <c r="T130" s="11" t="inlineStr"/>
      <c r="U130" s="11" t="inlineStr">
        <is>
          <t>no_citation_or_year_for_overruled, needs_citation_or_year</t>
        </is>
      </c>
      <c r="V130" s="11" t="inlineStr">
        <is>
          <t>outside_list</t>
        </is>
      </c>
      <c r="W130" s="11" t="n"/>
      <c r="X130" s="11" t="n"/>
      <c r="Y130" s="11" t="n"/>
      <c r="Z130" s="11" t="inlineStr">
        <is>
          <t>Mr. Advocate</t>
        </is>
      </c>
      <c r="AA130" s="11" t="inlineStr">
        <is>
          <t>2026-10-07</t>
        </is>
      </c>
      <c r="AB130" s="11" t="inlineStr">
        <is>
          <t>none</t>
        </is>
      </c>
      <c r="AC130" s="2" t="inlineStr"/>
      <c r="AD130" s="2" t="inlineStr">
        <is>
          <t>M. Janakiraman and another v. State was overruled by State rep. by Tahsildar-Cum-Sales Officer v. M. Janakiraman and Another (2009).</t>
        </is>
      </c>
      <c r="AE130" s="2" t="n"/>
      <c r="AF130" s="11" t="inlineStr">
        <is>
          <t>created from list 1</t>
        </is>
      </c>
    </row>
    <row r="131">
      <c r="A131" s="11" t="inlineStr">
        <is>
          <t>L1-0130</t>
        </is>
      </c>
      <c r="B131" s="11" t="inlineStr">
        <is>
          <t>List 1 (to ~2015)</t>
        </is>
      </c>
      <c r="C131" s="11" t="inlineStr">
        <is>
          <t>list1</t>
        </is>
      </c>
      <c r="D131" s="11" t="inlineStr">
        <is>
          <t>verified</t>
        </is>
      </c>
      <c r="E131" s="11" t="inlineStr">
        <is>
          <t>overruled</t>
        </is>
      </c>
      <c r="F131" s="2" t="inlineStr">
        <is>
          <t>Kooka Sidhwa and Co., Calcutta v. The Commissioner of Income Tax, W.B.</t>
        </is>
      </c>
      <c r="G131" s="11" t="inlineStr"/>
      <c r="H131" s="11" t="inlineStr">
        <is>
          <t>Calcutta</t>
        </is>
      </c>
      <c r="I131" s="2" t="inlineStr">
        <is>
          <t>AIR 1964 Cal 254; 68 CWN 281; (1964) 54 ITR 54</t>
        </is>
      </c>
      <c r="J131" s="11" t="n">
        <v>1964</v>
      </c>
      <c r="K131" s="2" t="inlineStr">
        <is>
          <t>Modi Industries Limited, Modinagar and Others v. Commissioner of Income Tax, Delhi and Another</t>
        </is>
      </c>
      <c r="L131" s="11" t="inlineStr">
        <is>
          <t>Supreme Court</t>
        </is>
      </c>
      <c r="M131" s="2" t="inlineStr">
        <is>
          <t>(1995) 128 CTR 361; (1995) 216 ITR 759; (1995) 6 JT 549; (1995) 5 SCALE 362; (1995) 6 SCC 396; (1995) 3 SCR 642 Supp</t>
        </is>
      </c>
      <c r="N131" s="11" t="n">
        <v>1995</v>
      </c>
      <c r="O131" s="11" t="n"/>
      <c r="P131" s="11" t="n"/>
      <c r="Q131" s="11" t="n"/>
      <c r="R131" s="2" t="n"/>
      <c r="S131" s="2" t="n"/>
      <c r="T131" s="11" t="inlineStr"/>
      <c r="U131" s="11" t="inlineStr"/>
      <c r="V131" s="11" t="inlineStr">
        <is>
          <t>outside_list</t>
        </is>
      </c>
      <c r="W131" s="11" t="n"/>
      <c r="X131" s="11" t="n"/>
      <c r="Y131" s="11" t="n"/>
      <c r="Z131" s="11" t="inlineStr">
        <is>
          <t>Mr. Advocate</t>
        </is>
      </c>
      <c r="AA131" s="11" t="inlineStr">
        <is>
          <t>2026-10-07</t>
        </is>
      </c>
      <c r="AB131" s="11" t="inlineStr">
        <is>
          <t>name_year</t>
        </is>
      </c>
      <c r="AC131" s="2" t="inlineStr"/>
      <c r="AD131" s="2" t="inlineStr">
        <is>
          <t>Kooka Sidhwa and Co., Calcutta v. The Commissioner of Income Tax, W.B. (1964) was overruled by Modi Industries Limited, Modinagar and Others v. Commissioner of Income Tax, Delhi and Another (1995).</t>
        </is>
      </c>
      <c r="AE131" s="2" t="n"/>
      <c r="AF131" s="11" t="inlineStr">
        <is>
          <t>created from list 1</t>
        </is>
      </c>
    </row>
    <row r="132">
      <c r="A132" s="11" t="inlineStr">
        <is>
          <t>L1-0131</t>
        </is>
      </c>
      <c r="B132" s="11" t="inlineStr">
        <is>
          <t>List 1 (to ~2015)</t>
        </is>
      </c>
      <c r="C132" s="11" t="inlineStr">
        <is>
          <t>list1</t>
        </is>
      </c>
      <c r="D132" s="11" t="inlineStr">
        <is>
          <t>verified</t>
        </is>
      </c>
      <c r="E132" s="11" t="inlineStr">
        <is>
          <t>overruled</t>
        </is>
      </c>
      <c r="F132" s="2" t="inlineStr">
        <is>
          <t>Rajagopal Pillai v. The State of Tamil Nadu and Another</t>
        </is>
      </c>
      <c r="G132" s="11" t="inlineStr"/>
      <c r="H132" s="11" t="inlineStr">
        <is>
          <t>Madras</t>
        </is>
      </c>
      <c r="I132" s="2" t="inlineStr">
        <is>
          <t>AIR 1973 Mad 68; (1972) 85 LW 829</t>
        </is>
      </c>
      <c r="J132" s="11" t="n">
        <v>1973</v>
      </c>
      <c r="K132" s="2" t="inlineStr">
        <is>
          <t>Government of Union Territory of Pondicherry v. Mohammed Hussain (Dead) by Lrs.</t>
        </is>
      </c>
      <c r="L132" s="11" t="inlineStr">
        <is>
          <t>Supreme Court</t>
        </is>
      </c>
      <c r="M132" s="2" t="inlineStr">
        <is>
          <t>(1994) 7 JT 1; (1994) 3 SCALE 77; (1994) 5 SCC 121; (1994) 1 SCR 282 Supp</t>
        </is>
      </c>
      <c r="N132" s="11" t="n">
        <v>1994</v>
      </c>
      <c r="O132" s="11" t="n"/>
      <c r="P132" s="11" t="n"/>
      <c r="Q132" s="11" t="n"/>
      <c r="R132" s="2" t="n"/>
      <c r="S132" s="2" t="n"/>
      <c r="T132" s="11" t="inlineStr"/>
      <c r="U132" s="11" t="inlineStr"/>
      <c r="V132" s="11" t="inlineStr">
        <is>
          <t>outside_list</t>
        </is>
      </c>
      <c r="W132" s="11" t="n"/>
      <c r="X132" s="11" t="n"/>
      <c r="Y132" s="11" t="n"/>
      <c r="Z132" s="11" t="inlineStr">
        <is>
          <t>Mr. Advocate</t>
        </is>
      </c>
      <c r="AA132" s="11" t="inlineStr">
        <is>
          <t>2026-10-07</t>
        </is>
      </c>
      <c r="AB132" s="11" t="inlineStr">
        <is>
          <t>name_year</t>
        </is>
      </c>
      <c r="AC132" s="2" t="inlineStr"/>
      <c r="AD132" s="2" t="inlineStr">
        <is>
          <t>Rajagopal Pillai v. The State of Tamil Nadu and Another (1973) was overruled by Government of Union Territory of Pondicherry v. Mohammed Hussain (Dead) by Lrs. (1994).</t>
        </is>
      </c>
      <c r="AE132" s="2" t="n"/>
      <c r="AF132" s="11" t="inlineStr">
        <is>
          <t>created from list 1</t>
        </is>
      </c>
    </row>
    <row r="133">
      <c r="A133" s="11" t="inlineStr">
        <is>
          <t>L1-0132</t>
        </is>
      </c>
      <c r="B133" s="11" t="inlineStr">
        <is>
          <t>List 1 (to ~2015)</t>
        </is>
      </c>
      <c r="C133" s="11" t="inlineStr">
        <is>
          <t>list1</t>
        </is>
      </c>
      <c r="D133" s="11" t="inlineStr">
        <is>
          <t>verified</t>
        </is>
      </c>
      <c r="E133" s="11" t="inlineStr">
        <is>
          <t>overruled</t>
        </is>
      </c>
      <c r="F133" s="2" t="inlineStr">
        <is>
          <t>Tube Suppliers Ltd. v. Commissioner of Income Tax</t>
        </is>
      </c>
      <c r="G133" s="11" t="inlineStr"/>
      <c r="H133" s="11" t="inlineStr">
        <is>
          <t>unknown</t>
        </is>
      </c>
      <c r="I133" s="2" t="inlineStr">
        <is>
          <t>(1985) 152 ITR 694</t>
        </is>
      </c>
      <c r="J133" s="11" t="n">
        <v>1985</v>
      </c>
      <c r="K133" s="2" t="inlineStr">
        <is>
          <t>Commissioner of Income Tax, Meerut and Others v. Virmani Industries Pvt. Ltd. and Others</t>
        </is>
      </c>
      <c r="L133" s="11" t="inlineStr">
        <is>
          <t>Supreme Court</t>
        </is>
      </c>
      <c r="M133" s="2" t="inlineStr">
        <is>
          <t>(1995) 216 ITR 607; (1995) 7 JT 322; (1995) 5 SCALE 718; (1995) 6 SCC 466; (1995) 6 SCC 465; (1995) 4 SCR 275 Supp</t>
        </is>
      </c>
      <c r="N133" s="11" t="n">
        <v>1995</v>
      </c>
      <c r="O133" s="11" t="n"/>
      <c r="P133" s="11" t="n"/>
      <c r="Q133" s="11" t="n"/>
      <c r="R133" s="2" t="n"/>
      <c r="S133" s="2" t="n"/>
      <c r="T133" s="11" t="inlineStr"/>
      <c r="U133" s="11" t="inlineStr"/>
      <c r="V133" s="11" t="inlineStr">
        <is>
          <t>outside_list</t>
        </is>
      </c>
      <c r="W133" s="11" t="n"/>
      <c r="X133" s="11" t="n"/>
      <c r="Y133" s="11" t="n"/>
      <c r="Z133" s="11" t="inlineStr">
        <is>
          <t>Mr. Advocate</t>
        </is>
      </c>
      <c r="AA133" s="11" t="inlineStr">
        <is>
          <t>2026-10-07</t>
        </is>
      </c>
      <c r="AB133" s="11" t="inlineStr">
        <is>
          <t>name_year</t>
        </is>
      </c>
      <c r="AC133" s="2" t="inlineStr"/>
      <c r="AD133" s="2" t="inlineStr">
        <is>
          <t>Tube Suppliers Ltd. v. Commissioner of Income Tax (1985) was overruled by Commissioner of Income Tax, Meerut and Others v. Virmani Industries Pvt. Ltd. and Others (1995).</t>
        </is>
      </c>
      <c r="AE133" s="2" t="n"/>
      <c r="AF133" s="11" t="inlineStr">
        <is>
          <t>created from list 1</t>
        </is>
      </c>
    </row>
    <row r="134">
      <c r="A134" s="11" t="inlineStr">
        <is>
          <t>L1-0133</t>
        </is>
      </c>
      <c r="B134" s="11" t="inlineStr">
        <is>
          <t>List 1 (to ~2015)</t>
        </is>
      </c>
      <c r="C134" s="11" t="inlineStr">
        <is>
          <t>list1</t>
        </is>
      </c>
      <c r="D134" s="11" t="inlineStr">
        <is>
          <t>verified</t>
        </is>
      </c>
      <c r="E134" s="11" t="inlineStr">
        <is>
          <t>reversed_on_appeal</t>
        </is>
      </c>
      <c r="F134" s="2" t="inlineStr">
        <is>
          <t>Marshall Sons and Co. (India) Ltd. v. Income Tax Officer</t>
        </is>
      </c>
      <c r="G134" s="11" t="inlineStr"/>
      <c r="H134" s="11" t="inlineStr">
        <is>
          <t>unknown</t>
        </is>
      </c>
      <c r="I134" s="2" t="inlineStr">
        <is>
          <t>(1992) 195 ITR 417</t>
        </is>
      </c>
      <c r="J134" s="11" t="n">
        <v>1992</v>
      </c>
      <c r="K134" s="2" t="inlineStr">
        <is>
          <t>Marshall Sons and Co. (India) Ltd. v. Income Tax Officer</t>
        </is>
      </c>
      <c r="L134" s="11" t="inlineStr">
        <is>
          <t>Supreme Court</t>
        </is>
      </c>
      <c r="M134" s="2" t="inlineStr">
        <is>
          <t>(1996) 9 AD 479; AIR 1997 SC 1763; (1997) 88 CompCas 528; (1997) 138 CTR 1; (1997) 223 ITR 809; (1996) 10 JT 740; (1996) 8 SCALE 564; (1997) 2 SCC 302; (1996) 9 SCR 216 Supp; (1996) 89 TAXMAN 619; (1997) AIRSCW 990; (1997) 6 Supreme 115</t>
        </is>
      </c>
      <c r="N134" s="11" t="n">
        <v>1997</v>
      </c>
      <c r="O134" s="11" t="n"/>
      <c r="P134" s="11" t="n"/>
      <c r="Q134" s="11" t="n"/>
      <c r="R134" s="2" t="n"/>
      <c r="S134" s="2" t="n"/>
      <c r="T134" s="11" t="inlineStr">
        <is>
          <t>yes</t>
        </is>
      </c>
      <c r="U134" s="11" t="inlineStr"/>
      <c r="V134" s="11" t="inlineStr">
        <is>
          <t>outside_list</t>
        </is>
      </c>
      <c r="W134" s="11" t="n"/>
      <c r="X134" s="11" t="n"/>
      <c r="Y134" s="11" t="n"/>
      <c r="Z134" s="11" t="inlineStr">
        <is>
          <t>Mr. Advocate</t>
        </is>
      </c>
      <c r="AA134" s="11" t="inlineStr">
        <is>
          <t>2026-10-07</t>
        </is>
      </c>
      <c r="AB134" s="11" t="inlineStr">
        <is>
          <t>name_year</t>
        </is>
      </c>
      <c r="AC134" s="2" t="inlineStr"/>
      <c r="AD134" s="2" t="inlineStr">
        <is>
          <t>Marshall Sons and Co. (India) Ltd. v. Income Tax Officer (1992) was reversed on appeal by the Supreme Court in Marshall Sons and Co. (India) Ltd. v. Income Tax Officer (1997).</t>
        </is>
      </c>
      <c r="AE134" s="2" t="n"/>
      <c r="AF134" s="11" t="inlineStr">
        <is>
          <t>created from list 1</t>
        </is>
      </c>
    </row>
    <row r="135">
      <c r="A135" s="11" t="inlineStr">
        <is>
          <t>L1-0134</t>
        </is>
      </c>
      <c r="B135" s="11" t="inlineStr">
        <is>
          <t>List 1 (to ~2015)</t>
        </is>
      </c>
      <c r="C135" s="11" t="inlineStr">
        <is>
          <t>list1</t>
        </is>
      </c>
      <c r="D135" s="11" t="inlineStr">
        <is>
          <t>verified</t>
        </is>
      </c>
      <c r="E135" s="11" t="inlineStr">
        <is>
          <t>overruled</t>
        </is>
      </c>
      <c r="F135" s="2" t="inlineStr">
        <is>
          <t>N.C. Rangesh and others v. Inspector General of Registration and others</t>
        </is>
      </c>
      <c r="G135" s="11" t="inlineStr"/>
      <c r="H135" s="11" t="inlineStr">
        <is>
          <t>unknown</t>
        </is>
      </c>
      <c r="I135" s="2" t="inlineStr">
        <is>
          <t>(1990) 84 CTR 241; (1991) 189 ITR 270; (1991) 1 LW 697; (1991) 1 MLJ 233</t>
        </is>
      </c>
      <c r="J135" s="11" t="n">
        <v>1990</v>
      </c>
      <c r="K135" s="2" t="inlineStr">
        <is>
          <t>Appropriate Authority and Commissioner Income Tax v. Smt. Varshaben Bharatbhai Shah and Others</t>
        </is>
      </c>
      <c r="L135" s="11" t="inlineStr">
        <is>
          <t>Supreme Court</t>
        </is>
      </c>
      <c r="M135" s="2" t="inlineStr">
        <is>
          <t>AIR 2001 SC 1339; (2001) 166 CTR 373; (2001) 248 ITR 342; (2001) 3 JT 468; (2001) 2 SCALE 411; (2001) 4 SCC 1; (2001) 2 SCR 349; (2001) AIRSCW 3174; (2001) AIRSCW 1069; (2001) 2 Supreme 305; (2001) 6 Supreme 327</t>
        </is>
      </c>
      <c r="N135" s="11" t="n">
        <v>2001</v>
      </c>
      <c r="O135" s="11" t="n"/>
      <c r="P135" s="11" t="n"/>
      <c r="Q135" s="11" t="n"/>
      <c r="R135" s="2" t="n"/>
      <c r="S135" s="2" t="n"/>
      <c r="T135" s="11" t="inlineStr"/>
      <c r="U135" s="11" t="inlineStr"/>
      <c r="V135" s="11" t="inlineStr">
        <is>
          <t>outside_list</t>
        </is>
      </c>
      <c r="W135" s="11" t="n"/>
      <c r="X135" s="11" t="n"/>
      <c r="Y135" s="11" t="n"/>
      <c r="Z135" s="11" t="inlineStr">
        <is>
          <t>Mr. Advocate</t>
        </is>
      </c>
      <c r="AA135" s="11" t="inlineStr">
        <is>
          <t>2026-10-07</t>
        </is>
      </c>
      <c r="AB135" s="11" t="inlineStr">
        <is>
          <t>name_year</t>
        </is>
      </c>
      <c r="AC135" s="2" t="inlineStr"/>
      <c r="AD135" s="2" t="inlineStr">
        <is>
          <t>N.C. Rangesh and others v. Inspector General of Registration and others (1990) was overruled by Appropriate Authority and Commissioner Income Tax v. Smt. Varshaben Bharatbhai Shah and Others (2001).</t>
        </is>
      </c>
      <c r="AE135" s="2" t="n"/>
      <c r="AF135" s="11" t="inlineStr">
        <is>
          <t>created from list 1</t>
        </is>
      </c>
    </row>
    <row r="136">
      <c r="A136" s="11" t="inlineStr">
        <is>
          <t>L1-0135</t>
        </is>
      </c>
      <c r="B136" s="11" t="inlineStr">
        <is>
          <t>List 1 (to ~2015)</t>
        </is>
      </c>
      <c r="C136" s="11" t="inlineStr">
        <is>
          <t>list1</t>
        </is>
      </c>
      <c r="D136" s="11" t="inlineStr">
        <is>
          <t>verified</t>
        </is>
      </c>
      <c r="E136" s="11" t="inlineStr">
        <is>
          <t>overruled</t>
        </is>
      </c>
      <c r="F136" s="2" t="inlineStr">
        <is>
          <t>K.V. Kishore and another v. Appropriate Authority and others</t>
        </is>
      </c>
      <c r="G136" s="11" t="inlineStr"/>
      <c r="H136" s="11" t="inlineStr">
        <is>
          <t>unknown</t>
        </is>
      </c>
      <c r="I136" s="2" t="inlineStr">
        <is>
          <t>(1992) 104 CTR 251; (1991) 189 ITR 264; (1991) 1 LW 694; (1990) 51 TAXMAN 478</t>
        </is>
      </c>
      <c r="J136" s="11" t="n">
        <v>1990</v>
      </c>
      <c r="K136" s="2" t="inlineStr">
        <is>
          <t>Appropriate Authority and Commissioner Income Tax v. Smt. Varshaben Bharatbhai Shah and Others</t>
        </is>
      </c>
      <c r="L136" s="11" t="inlineStr">
        <is>
          <t>Supreme Court</t>
        </is>
      </c>
      <c r="M136" s="2" t="inlineStr">
        <is>
          <t>AIR 2001 SC 1339; (2001) 166 CTR 373; (2001) 248 ITR 342; (2001) 3 JT 468; (2001) 2 SCALE 411; (2001) 4 SCC 1; (2001) 2 SCR 349; (2001) AIRSCW 3174; (2001) AIRSCW 1069; (2001) 2 Supreme 305; (2001) 6 Supreme 327</t>
        </is>
      </c>
      <c r="N136" s="11" t="n">
        <v>2001</v>
      </c>
      <c r="O136" s="11" t="n"/>
      <c r="P136" s="11" t="n"/>
      <c r="Q136" s="11" t="n"/>
      <c r="R136" s="2" t="n"/>
      <c r="S136" s="2" t="n"/>
      <c r="T136" s="11" t="inlineStr"/>
      <c r="U136" s="11" t="inlineStr"/>
      <c r="V136" s="11" t="inlineStr">
        <is>
          <t>outside_list</t>
        </is>
      </c>
      <c r="W136" s="11" t="n"/>
      <c r="X136" s="11" t="n"/>
      <c r="Y136" s="11" t="n"/>
      <c r="Z136" s="11" t="inlineStr">
        <is>
          <t>Mr. Advocate</t>
        </is>
      </c>
      <c r="AA136" s="11" t="inlineStr">
        <is>
          <t>2026-10-07</t>
        </is>
      </c>
      <c r="AB136" s="11" t="inlineStr">
        <is>
          <t>name_year</t>
        </is>
      </c>
      <c r="AC136" s="2" t="inlineStr"/>
      <c r="AD136" s="2" t="inlineStr">
        <is>
          <t>K.V. Kishore and another v. Appropriate Authority and others (1990) was overruled by Appropriate Authority and Commissioner Income Tax v. Smt. Varshaben Bharatbhai Shah and Others (2001).</t>
        </is>
      </c>
      <c r="AE136" s="2" t="n"/>
      <c r="AF136" s="11" t="inlineStr">
        <is>
          <t>created from list 1</t>
        </is>
      </c>
    </row>
    <row r="137">
      <c r="A137" s="11" t="inlineStr">
        <is>
          <t>L1-0136</t>
        </is>
      </c>
      <c r="B137" s="11" t="inlineStr">
        <is>
          <t>List 1 (to ~2015)</t>
        </is>
      </c>
      <c r="C137" s="11" t="inlineStr">
        <is>
          <t>list1</t>
        </is>
      </c>
      <c r="D137" s="11" t="inlineStr">
        <is>
          <t>verified</t>
        </is>
      </c>
      <c r="E137" s="11" t="inlineStr">
        <is>
          <t>reversed_on_appeal</t>
        </is>
      </c>
      <c r="F137" s="2" t="inlineStr">
        <is>
          <t>Mrs. Sashi Balasubramanian v. State</t>
        </is>
      </c>
      <c r="G137" s="11" t="inlineStr"/>
      <c r="H137" s="11" t="inlineStr">
        <is>
          <t>unknown</t>
        </is>
      </c>
      <c r="I137" s="2" t="inlineStr"/>
      <c r="J137" s="11" t="n"/>
      <c r="K137" s="2" t="inlineStr">
        <is>
          <t>State, CBI v. Sashi Balasubramanian and Another</t>
        </is>
      </c>
      <c r="L137" s="11" t="inlineStr">
        <is>
          <t>Supreme Court</t>
        </is>
      </c>
      <c r="M137" s="2" t="inlineStr">
        <is>
          <t>(2006) 206 CTR 857; (2006) 206 CTR 587; (2006) 204 ELT 193; (2007) 289 ITR 8; (2006) 9 JT 535; (2006) 10 SCALE 541; (2006) 13 SCC 252; (2006) 8 SCR 914 Supp; (2006) 157 TAXMAN 261</t>
        </is>
      </c>
      <c r="N137" s="11" t="n">
        <v>2006</v>
      </c>
      <c r="O137" s="11" t="n"/>
      <c r="P137" s="11" t="n"/>
      <c r="Q137" s="11" t="n"/>
      <c r="R137" s="2" t="n"/>
      <c r="S137" s="2" t="n"/>
      <c r="T137" s="11" t="inlineStr">
        <is>
          <t>yes</t>
        </is>
      </c>
      <c r="U137" s="11" t="inlineStr">
        <is>
          <t>no_citation_or_year_for_overruled, needs_citation_or_year</t>
        </is>
      </c>
      <c r="V137" s="11" t="inlineStr">
        <is>
          <t>outside_list</t>
        </is>
      </c>
      <c r="W137" s="11" t="n"/>
      <c r="X137" s="11" t="n"/>
      <c r="Y137" s="11" t="n"/>
      <c r="Z137" s="11" t="inlineStr">
        <is>
          <t>Mr. Advocate</t>
        </is>
      </c>
      <c r="AA137" s="11" t="inlineStr">
        <is>
          <t>2026-10-07</t>
        </is>
      </c>
      <c r="AB137" s="11" t="inlineStr">
        <is>
          <t>weak</t>
        </is>
      </c>
      <c r="AC137" s="2" t="inlineStr"/>
      <c r="AD137" s="2" t="inlineStr">
        <is>
          <t>Mrs. Sashi Balasubramanian v. State was reversed on appeal by the Supreme Court in State, CBI v. Sashi Balasubramanian and Another (2006).</t>
        </is>
      </c>
      <c r="AE137" s="2" t="n"/>
      <c r="AF137" s="11" t="inlineStr">
        <is>
          <t>created from list 1</t>
        </is>
      </c>
    </row>
    <row r="138">
      <c r="A138" s="11" t="inlineStr">
        <is>
          <t>L1-0137</t>
        </is>
      </c>
      <c r="B138" s="11" t="inlineStr">
        <is>
          <t>List 1 (to ~2015)</t>
        </is>
      </c>
      <c r="C138" s="11" t="inlineStr">
        <is>
          <t>list1</t>
        </is>
      </c>
      <c r="D138" s="11" t="inlineStr">
        <is>
          <t>verified</t>
        </is>
      </c>
      <c r="E138" s="11" t="inlineStr">
        <is>
          <t>overruled</t>
        </is>
      </c>
      <c r="F138" s="2" t="inlineStr">
        <is>
          <t>The Workmen of Best and Crompton Industries Ltd. v. The Management of Best and Crompton Engineering Ltd., Madras-55</t>
        </is>
      </c>
      <c r="G138" s="11" t="inlineStr"/>
      <c r="H138" s="11" t="inlineStr">
        <is>
          <t>unknown</t>
        </is>
      </c>
      <c r="I138" s="2" t="inlineStr">
        <is>
          <t>(1985) 1 LLJ 492</t>
        </is>
      </c>
      <c r="J138" s="11" t="n">
        <v>1985</v>
      </c>
      <c r="K138" s="2" t="inlineStr">
        <is>
          <t>Dena Nath and others v. National Fertilisers Ltd. and others</t>
        </is>
      </c>
      <c r="L138" s="11" t="inlineStr">
        <is>
          <t>Supreme Court</t>
        </is>
      </c>
      <c r="M138" s="2" t="inlineStr">
        <is>
          <t>AIR 1992 SC 457; (1991) 4 JT 413; (1992) LabIC 75; (1992) 1 LLJ 289; (1991) 2 SCALE 1081; (1992) 1 SCC 695; (1991) 2 SCR 401 Supp</t>
        </is>
      </c>
      <c r="N138" s="11" t="n">
        <v>1992</v>
      </c>
      <c r="O138" s="11" t="n"/>
      <c r="P138" s="11" t="n"/>
      <c r="Q138" s="11" t="n"/>
      <c r="R138" s="2" t="n"/>
      <c r="S138" s="2" t="n"/>
      <c r="T138" s="11" t="inlineStr"/>
      <c r="U138" s="11" t="inlineStr"/>
      <c r="V138" s="11" t="inlineStr">
        <is>
          <t>outside_list</t>
        </is>
      </c>
      <c r="W138" s="11" t="n"/>
      <c r="X138" s="11" t="n"/>
      <c r="Y138" s="11" t="n"/>
      <c r="Z138" s="11" t="inlineStr">
        <is>
          <t>Mr. Advocate</t>
        </is>
      </c>
      <c r="AA138" s="11" t="inlineStr">
        <is>
          <t>2026-10-07</t>
        </is>
      </c>
      <c r="AB138" s="11" t="inlineStr">
        <is>
          <t>name_year</t>
        </is>
      </c>
      <c r="AC138" s="2" t="inlineStr">
        <is>
          <t>L1-0534: overruled by Steel Authority of India Ltd. and Others etc. etc. v. National Union Water Front Workers and Others etc. (2001)</t>
        </is>
      </c>
      <c r="AD138" s="2" t="inlineStr">
        <is>
          <t>The Workmen of Best and Crompton Industries Ltd. v. The Management of Best and Crompton Engineering Ltd., Madras-55 (1985) was overruled by Dena Nath and others v. National Fertilisers Ltd. and others (1992). Note: Dena Nath and others v. National Fertilisers Ltd. and others was itself later overruled by Steel Authority of India Ltd. and Others etc. etc. v. National Union Water Front Workers and Others etc. (2001); the current position should be checked.</t>
        </is>
      </c>
      <c r="AE138" s="2" t="n"/>
      <c r="AF138" s="11" t="inlineStr">
        <is>
          <t>created from list 1</t>
        </is>
      </c>
    </row>
    <row r="139">
      <c r="A139" s="11" t="inlineStr">
        <is>
          <t>L1-0138</t>
        </is>
      </c>
      <c r="B139" s="11" t="inlineStr">
        <is>
          <t>List 1 (to ~2015)</t>
        </is>
      </c>
      <c r="C139" s="11" t="inlineStr">
        <is>
          <t>list1</t>
        </is>
      </c>
      <c r="D139" s="11" t="inlineStr">
        <is>
          <t>verified</t>
        </is>
      </c>
      <c r="E139" s="11" t="inlineStr">
        <is>
          <t>reversed_on_appeal</t>
        </is>
      </c>
      <c r="F139" s="2" t="inlineStr">
        <is>
          <t>Gopal Naidu (deceased) and 9 others v. Thirunavukkarasu Mudaliar</t>
        </is>
      </c>
      <c r="G139" s="11" t="inlineStr"/>
      <c r="H139" s="11" t="inlineStr">
        <is>
          <t>unknown</t>
        </is>
      </c>
      <c r="I139" s="2" t="inlineStr">
        <is>
          <t>(1998) 1 CTC 394; (1998) 2 MLJ 121</t>
        </is>
      </c>
      <c r="J139" s="11" t="n">
        <v>1998</v>
      </c>
      <c r="K139" s="2" t="inlineStr">
        <is>
          <t>Thirunavukkarasu Mudaliar (Dead) by L.Rs. v. Gopal Naidu (Dead) by L.Rs.</t>
        </is>
      </c>
      <c r="L139" s="11" t="inlineStr">
        <is>
          <t>Supreme Court</t>
        </is>
      </c>
      <c r="M139" s="2" t="inlineStr">
        <is>
          <t>AIR 2007 SC 239; (2006) 5 CTC 587; (2006) 9 JT 335; (2006) 10 SCALE 459; (2006) 12 SCC 390; (2006) 8 SCR 469 Supp</t>
        </is>
      </c>
      <c r="N139" s="11" t="n">
        <v>2007</v>
      </c>
      <c r="O139" s="11" t="n"/>
      <c r="P139" s="11" t="n"/>
      <c r="Q139" s="11" t="n"/>
      <c r="R139" s="2" t="n"/>
      <c r="S139" s="2" t="n"/>
      <c r="T139" s="11" t="inlineStr">
        <is>
          <t>yes</t>
        </is>
      </c>
      <c r="U139" s="11" t="inlineStr">
        <is>
          <t>needs_citation_or_year</t>
        </is>
      </c>
      <c r="V139" s="11" t="inlineStr">
        <is>
          <t>outside_list</t>
        </is>
      </c>
      <c r="W139" s="11" t="n"/>
      <c r="X139" s="11" t="n"/>
      <c r="Y139" s="11" t="n"/>
      <c r="Z139" s="11" t="inlineStr">
        <is>
          <t>Mr. Advocate</t>
        </is>
      </c>
      <c r="AA139" s="11" t="inlineStr">
        <is>
          <t>2026-10-07</t>
        </is>
      </c>
      <c r="AB139" s="11" t="inlineStr">
        <is>
          <t>none</t>
        </is>
      </c>
      <c r="AC139" s="2" t="inlineStr"/>
      <c r="AD139" s="2" t="inlineStr">
        <is>
          <t>Gopal Naidu (deceased) and 9 others v. Thirunavukkarasu Mudaliar (1998) was reversed on appeal by the Supreme Court in Thirunavukkarasu Mudaliar (Dead) by L.Rs. v. Gopal Naidu (Dead) by L.Rs. (2007).</t>
        </is>
      </c>
      <c r="AE139" s="2" t="n"/>
      <c r="AF139" s="11" t="inlineStr">
        <is>
          <t>created from list 1</t>
        </is>
      </c>
    </row>
    <row r="140">
      <c r="A140" s="11" t="inlineStr">
        <is>
          <t>L1-0139</t>
        </is>
      </c>
      <c r="B140" s="11" t="inlineStr">
        <is>
          <t>List 1 (to ~2015)</t>
        </is>
      </c>
      <c r="C140" s="11" t="inlineStr">
        <is>
          <t>list1</t>
        </is>
      </c>
      <c r="D140" s="11" t="inlineStr">
        <is>
          <t>verified</t>
        </is>
      </c>
      <c r="E140" s="11" t="inlineStr">
        <is>
          <t>overruled</t>
        </is>
      </c>
      <c r="F140" s="2" t="inlineStr">
        <is>
          <t>East Asiatic Company (India) P. Ltd. v. Commissioner of Income Tax</t>
        </is>
      </c>
      <c r="G140" s="11" t="inlineStr"/>
      <c r="H140" s="11" t="inlineStr">
        <is>
          <t>unknown</t>
        </is>
      </c>
      <c r="I140" s="2" t="inlineStr">
        <is>
          <t>(1986) 161 ITR 135</t>
        </is>
      </c>
      <c r="J140" s="11" t="n">
        <v>1986</v>
      </c>
      <c r="K140" s="2" t="inlineStr">
        <is>
          <t>Commissioner of Income Tax, Meerut and Others v. Virmani Industries Pvt. Ltd. and Others</t>
        </is>
      </c>
      <c r="L140" s="11" t="inlineStr">
        <is>
          <t>Supreme Court</t>
        </is>
      </c>
      <c r="M140" s="2" t="inlineStr">
        <is>
          <t>(1995) 216 ITR 607; (1995) 7 JT 322; (1995) 5 SCALE 718; (1995) 6 SCC 466; (1995) 6 SCC 465; (1995) 4 SCR 275 Supp</t>
        </is>
      </c>
      <c r="N140" s="11" t="n">
        <v>1995</v>
      </c>
      <c r="O140" s="11" t="n"/>
      <c r="P140" s="11" t="n"/>
      <c r="Q140" s="11" t="n"/>
      <c r="R140" s="2" t="n"/>
      <c r="S140" s="2" t="n"/>
      <c r="T140" s="11" t="inlineStr"/>
      <c r="U140" s="11" t="inlineStr">
        <is>
          <t>needs_citation_or_year</t>
        </is>
      </c>
      <c r="V140" s="11" t="inlineStr">
        <is>
          <t>outside_list</t>
        </is>
      </c>
      <c r="W140" s="11" t="n"/>
      <c r="X140" s="11" t="n"/>
      <c r="Y140" s="11" t="n"/>
      <c r="Z140" s="11" t="inlineStr">
        <is>
          <t>Mr. Advocate</t>
        </is>
      </c>
      <c r="AA140" s="11" t="inlineStr">
        <is>
          <t>2026-10-07</t>
        </is>
      </c>
      <c r="AB140" s="11" t="inlineStr">
        <is>
          <t>none</t>
        </is>
      </c>
      <c r="AC140" s="2" t="inlineStr"/>
      <c r="AD140" s="2" t="inlineStr">
        <is>
          <t>East Asiatic Company (India) P. Ltd. v. Commissioner of Income Tax (1986) was overruled by Commissioner of Income Tax, Meerut and Others v. Virmani Industries Pvt. Ltd. and Others (1995).</t>
        </is>
      </c>
      <c r="AE140" s="2" t="n"/>
      <c r="AF140" s="11" t="inlineStr">
        <is>
          <t>created from list 1</t>
        </is>
      </c>
    </row>
    <row r="141">
      <c r="A141" s="11" t="inlineStr">
        <is>
          <t>L1-0140</t>
        </is>
      </c>
      <c r="B141" s="11" t="inlineStr">
        <is>
          <t>List 1 (to ~2015)</t>
        </is>
      </c>
      <c r="C141" s="11" t="inlineStr">
        <is>
          <t>list1</t>
        </is>
      </c>
      <c r="D141" s="11" t="inlineStr">
        <is>
          <t>verified</t>
        </is>
      </c>
      <c r="E141" s="11" t="inlineStr">
        <is>
          <t>overruled</t>
        </is>
      </c>
      <c r="F141" s="2" t="inlineStr">
        <is>
          <t>Sepulchre Brothers, Proprietors, The Belgium East India Trading and Engineering Company v. Sait Khushal Das Jagjivan Das Mehta trading in the name of J. Khushal Das and Company</t>
        </is>
      </c>
      <c r="G141" s="11" t="inlineStr"/>
      <c r="H141" s="11" t="inlineStr">
        <is>
          <t>Madras</t>
        </is>
      </c>
      <c r="I141" s="2" t="inlineStr">
        <is>
          <t>AIR 1942 Mad 13; (1942) ILR (Mad) 243; (1941) 54 LW 345; (1941) 2 MLJ 481</t>
        </is>
      </c>
      <c r="J141" s="11" t="n">
        <v>1942</v>
      </c>
      <c r="K141" s="2" t="inlineStr">
        <is>
          <t>Bhagwandas Goverdhandas Kedia v. Girdharilal Parshottamdas and Co. and Others</t>
        </is>
      </c>
      <c r="L141" s="11" t="inlineStr">
        <is>
          <t>Supreme Court</t>
        </is>
      </c>
      <c r="M141" s="2" t="inlineStr">
        <is>
          <t>AIR 1966 SC 543; (1966) 1 SCR 656</t>
        </is>
      </c>
      <c r="N141" s="11" t="n">
        <v>1966</v>
      </c>
      <c r="O141" s="11" t="n"/>
      <c r="P141" s="11" t="n"/>
      <c r="Q141" s="11" t="n"/>
      <c r="R141" s="2" t="n"/>
      <c r="S141" s="2" t="n"/>
      <c r="T141" s="11" t="inlineStr"/>
      <c r="U141" s="11" t="inlineStr"/>
      <c r="V141" s="11" t="inlineStr">
        <is>
          <t>outside_list</t>
        </is>
      </c>
      <c r="W141" s="11" t="n"/>
      <c r="X141" s="11" t="n"/>
      <c r="Y141" s="11" t="n"/>
      <c r="Z141" s="11" t="inlineStr">
        <is>
          <t>Mr. Advocate</t>
        </is>
      </c>
      <c r="AA141" s="11" t="inlineStr">
        <is>
          <t>2026-10-07</t>
        </is>
      </c>
      <c r="AB141" s="11" t="inlineStr">
        <is>
          <t>name_year</t>
        </is>
      </c>
      <c r="AC141" s="2" t="inlineStr"/>
      <c r="AD141" s="2" t="inlineStr">
        <is>
          <t>Sepulchre Brothers, Proprietors, The Belgium East India Trading and Engineering Company v. Sait Khushal Das Jagjivan Das Mehta trading in the name of J. Khushal Das and Company (1942) was overruled by Bhagwandas Goverdhandas Kedia v. Girdharilal Parshottamdas and Co. and Others (1966).</t>
        </is>
      </c>
      <c r="AE141" s="2" t="n"/>
      <c r="AF141" s="11" t="inlineStr">
        <is>
          <t>created from list 1</t>
        </is>
      </c>
    </row>
    <row r="142">
      <c r="A142" s="11" t="inlineStr">
        <is>
          <t>L1-0141</t>
        </is>
      </c>
      <c r="B142" s="11" t="inlineStr">
        <is>
          <t>List 1 (to ~2015)</t>
        </is>
      </c>
      <c r="C142" s="11" t="inlineStr">
        <is>
          <t>list1</t>
        </is>
      </c>
      <c r="D142" s="11" t="inlineStr">
        <is>
          <t>verified</t>
        </is>
      </c>
      <c r="E142" s="11" t="inlineStr">
        <is>
          <t>overruled</t>
        </is>
      </c>
      <c r="F142" s="2" t="inlineStr">
        <is>
          <t>T. Jayakumar v. A. Gopu, The Union of India (UOI) and The Registrar, Central Administrative Tribunal</t>
        </is>
      </c>
      <c r="G142" s="11" t="inlineStr"/>
      <c r="H142" s="11" t="inlineStr">
        <is>
          <t>unknown</t>
        </is>
      </c>
      <c r="I142" s="2" t="inlineStr"/>
      <c r="J142" s="11" t="n"/>
      <c r="K142" s="2" t="inlineStr">
        <is>
          <t>T. Jayakumar v. A. Gopu and Another</t>
        </is>
      </c>
      <c r="L142" s="11" t="inlineStr">
        <is>
          <t>unknown</t>
        </is>
      </c>
      <c r="M142" s="2" t="inlineStr">
        <is>
          <t>(2008) 119 FLR 392; (2008) 10 JT 530; (2008) 12 SCALE 815; (2008) 9 SCC 403; (2008) 2 SCC(L&amp;S) 919; (2009) 1 SLJ 293; (2008) 2 UJ 1284; (2008) AIRSCW 2657</t>
        </is>
      </c>
      <c r="N142" s="11" t="n">
        <v>2008</v>
      </c>
      <c r="O142" s="11" t="n"/>
      <c r="P142" s="11" t="n"/>
      <c r="Q142" s="11" t="n"/>
      <c r="R142" s="2" t="n"/>
      <c r="S142" s="2" t="n"/>
      <c r="T142" s="11" t="inlineStr"/>
      <c r="U142" s="11" t="inlineStr">
        <is>
          <t>no_citation_or_year_for_overruled, needs_citation_or_year</t>
        </is>
      </c>
      <c r="V142" s="11" t="inlineStr">
        <is>
          <t>outside_list</t>
        </is>
      </c>
      <c r="W142" s="11" t="n"/>
      <c r="X142" s="11" t="n"/>
      <c r="Y142" s="11" t="n"/>
      <c r="Z142" s="11" t="inlineStr">
        <is>
          <t>Mr. Advocate</t>
        </is>
      </c>
      <c r="AA142" s="11" t="inlineStr">
        <is>
          <t>2026-10-07</t>
        </is>
      </c>
      <c r="AB142" s="11" t="inlineStr">
        <is>
          <t>weak</t>
        </is>
      </c>
      <c r="AC142" s="2" t="inlineStr"/>
      <c r="AD142" s="2" t="inlineStr">
        <is>
          <t>T. Jayakumar v. A. Gopu, The Union of India (UOI) and The Registrar, Central Administrative Tribunal was overruled by T. Jayakumar v. A. Gopu and Another (2008).</t>
        </is>
      </c>
      <c r="AE142" s="2" t="n"/>
      <c r="AF142" s="11" t="inlineStr">
        <is>
          <t>created from list 1</t>
        </is>
      </c>
    </row>
    <row r="143">
      <c r="A143" s="11" t="inlineStr">
        <is>
          <t>L1-0142</t>
        </is>
      </c>
      <c r="B143" s="11" t="inlineStr">
        <is>
          <t>List 1 (to ~2015)</t>
        </is>
      </c>
      <c r="C143" s="11" t="inlineStr">
        <is>
          <t>list1</t>
        </is>
      </c>
      <c r="D143" s="11" t="inlineStr">
        <is>
          <t>verified</t>
        </is>
      </c>
      <c r="E143" s="11" t="inlineStr">
        <is>
          <t>overruled</t>
        </is>
      </c>
      <c r="F143" s="2" t="inlineStr">
        <is>
          <t>Commissioner of Income Tax v. Pathinen Grama Arya Vysya Bank Ltd.</t>
        </is>
      </c>
      <c r="G143" s="11" t="inlineStr"/>
      <c r="H143" s="11" t="inlineStr">
        <is>
          <t>unknown</t>
        </is>
      </c>
      <c r="I143" s="2" t="inlineStr">
        <is>
          <t>(1977) 109 ITR 788</t>
        </is>
      </c>
      <c r="J143" s="11" t="n">
        <v>1977</v>
      </c>
      <c r="K143" s="2" t="inlineStr">
        <is>
          <t>M/S. W.T. Suren and Co. Ltd. v. The Commissioner of Income Tax, Bombay</t>
        </is>
      </c>
      <c r="L143" s="11" t="inlineStr">
        <is>
          <t>Supreme Court</t>
        </is>
      </c>
      <c r="M143" s="2" t="inlineStr">
        <is>
          <t>AIR 1998 SC 1575; (1998) 230 ITR 643; (1998) 2 JT 74; (1998) 2 SCALE 1; (1998) 1 SCR 1069; (1998) AIRSCW 1147; (1998) 2 Supreme 200</t>
        </is>
      </c>
      <c r="N143" s="11" t="n">
        <v>1998</v>
      </c>
      <c r="O143" s="11" t="n"/>
      <c r="P143" s="11" t="n"/>
      <c r="Q143" s="11" t="n"/>
      <c r="R143" s="2" t="n"/>
      <c r="S143" s="2" t="n"/>
      <c r="T143" s="11" t="inlineStr"/>
      <c r="U143" s="11" t="inlineStr"/>
      <c r="V143" s="11" t="inlineStr">
        <is>
          <t>outside_list</t>
        </is>
      </c>
      <c r="W143" s="11" t="n"/>
      <c r="X143" s="11" t="n"/>
      <c r="Y143" s="11" t="n"/>
      <c r="Z143" s="11" t="inlineStr">
        <is>
          <t>Mr. Advocate</t>
        </is>
      </c>
      <c r="AA143" s="11" t="inlineStr">
        <is>
          <t>2026-10-07</t>
        </is>
      </c>
      <c r="AB143" s="11" t="inlineStr">
        <is>
          <t>name_year</t>
        </is>
      </c>
      <c r="AC143" s="2" t="inlineStr"/>
      <c r="AD143" s="2" t="inlineStr">
        <is>
          <t>Commissioner of Income Tax v. Pathinen Grama Arya Vysya Bank Ltd. (1977) was overruled by M/S. W.T. Suren and Co. Ltd. v. The Commissioner of Income Tax, Bombay (1998).</t>
        </is>
      </c>
      <c r="AE143" s="2" t="n"/>
      <c r="AF143" s="11" t="inlineStr">
        <is>
          <t>created from list 1</t>
        </is>
      </c>
    </row>
    <row r="144">
      <c r="A144" s="11" t="inlineStr">
        <is>
          <t>L1-0143</t>
        </is>
      </c>
      <c r="B144" s="11" t="inlineStr">
        <is>
          <t>List 1 (to ~2015)</t>
        </is>
      </c>
      <c r="C144" s="11" t="inlineStr">
        <is>
          <t>list1</t>
        </is>
      </c>
      <c r="D144" s="11" t="inlineStr">
        <is>
          <t>verified</t>
        </is>
      </c>
      <c r="E144" s="11" t="inlineStr">
        <is>
          <t>reversed_on_appeal</t>
        </is>
      </c>
      <c r="F144" s="2" t="inlineStr">
        <is>
          <t>Gemini Pictures Circuit P. Ltd. v. Commissioner of Income Tax, Tamil Nadu-I</t>
        </is>
      </c>
      <c r="G144" s="11" t="inlineStr"/>
      <c r="H144" s="11" t="inlineStr">
        <is>
          <t>unknown</t>
        </is>
      </c>
      <c r="I144" s="2" t="inlineStr">
        <is>
          <t>(1981) 20 CTR 301; (1981) ILR (Mad) 321; (1981) 130 ITR 686</t>
        </is>
      </c>
      <c r="J144" s="11" t="n">
        <v>1981</v>
      </c>
      <c r="K144" s="2" t="inlineStr">
        <is>
          <t>Commissioner of Income Tax, Madras v. M/s. Gemini Pictures Circuit Private Limited</t>
        </is>
      </c>
      <c r="L144" s="11" t="inlineStr">
        <is>
          <t>Supreme Court</t>
        </is>
      </c>
      <c r="M144" s="2" t="inlineStr">
        <is>
          <t>(1996) 3 AD 421; AIR 1996 SC 1522; (1996) 132 CTR 256; (1996) 220 ITR 43; (1996) 3 JT 665; (1996) 3 SCALE 197; (1996) 4 SCC 216; (1996) 3 SCR 1008; (1996) 85 TAXMAN 594</t>
        </is>
      </c>
      <c r="N144" s="11" t="n">
        <v>1996</v>
      </c>
      <c r="O144" s="11" t="n"/>
      <c r="P144" s="11" t="n"/>
      <c r="Q144" s="11" t="n"/>
      <c r="R144" s="2" t="n"/>
      <c r="S144" s="2" t="n"/>
      <c r="T144" s="11" t="inlineStr">
        <is>
          <t>yes</t>
        </is>
      </c>
      <c r="U144" s="11" t="inlineStr"/>
      <c r="V144" s="11" t="inlineStr">
        <is>
          <t>outside_list</t>
        </is>
      </c>
      <c r="W144" s="11" t="n"/>
      <c r="X144" s="11" t="n"/>
      <c r="Y144" s="11" t="n"/>
      <c r="Z144" s="11" t="inlineStr">
        <is>
          <t>Mr. Advocate</t>
        </is>
      </c>
      <c r="AA144" s="11" t="inlineStr">
        <is>
          <t>2026-10-07</t>
        </is>
      </c>
      <c r="AB144" s="11" t="inlineStr">
        <is>
          <t>name_year</t>
        </is>
      </c>
      <c r="AC144" s="2" t="inlineStr"/>
      <c r="AD144" s="2" t="inlineStr">
        <is>
          <t>Gemini Pictures Circuit P. Ltd. v. Commissioner of Income Tax, Tamil Nadu-I (1981) was reversed on appeal by the Supreme Court in Commissioner of Income Tax, Madras v. M/s. Gemini Pictures Circuit Private Limited (1996).</t>
        </is>
      </c>
      <c r="AE144" s="2" t="n"/>
      <c r="AF144" s="11" t="inlineStr">
        <is>
          <t>created from list 1</t>
        </is>
      </c>
    </row>
    <row r="145">
      <c r="A145" s="11" t="inlineStr">
        <is>
          <t>L1-0144</t>
        </is>
      </c>
      <c r="B145" s="11" t="inlineStr">
        <is>
          <t>List 1 (to ~2015)</t>
        </is>
      </c>
      <c r="C145" s="11" t="inlineStr">
        <is>
          <t>list1</t>
        </is>
      </c>
      <c r="D145" s="11" t="inlineStr">
        <is>
          <t>verified</t>
        </is>
      </c>
      <c r="E145" s="11" t="inlineStr">
        <is>
          <t>reversed_on_appeal</t>
        </is>
      </c>
      <c r="F145" s="2" t="inlineStr">
        <is>
          <t>Commissioner of Income Tax (Central) v. Birla Bros. (Private) Ltd.</t>
        </is>
      </c>
      <c r="G145" s="11" t="inlineStr"/>
      <c r="H145" s="11" t="inlineStr">
        <is>
          <t>unknown</t>
        </is>
      </c>
      <c r="I145" s="2" t="inlineStr">
        <is>
          <t>(1968) 2 ILR (Cal) 416; (1969) 72 ITR 44</t>
        </is>
      </c>
      <c r="J145" s="11" t="n">
        <v>1968</v>
      </c>
      <c r="K145" s="2" t="inlineStr">
        <is>
          <t>Commissioner of Income Tax (Central), Calcutta v. Birla Bros. P. Ltd.</t>
        </is>
      </c>
      <c r="L145" s="11" t="inlineStr">
        <is>
          <t>Supreme Court</t>
        </is>
      </c>
      <c r="M145" s="2" t="inlineStr">
        <is>
          <t>AIR 1970 SC 1531; (1970) 77 ITR 751; (1970) 2 SCC 88; (1971) 1 SCR 357</t>
        </is>
      </c>
      <c r="N145" s="11" t="n">
        <v>1970</v>
      </c>
      <c r="O145" s="11" t="n"/>
      <c r="P145" s="11" t="n"/>
      <c r="Q145" s="11" t="n"/>
      <c r="R145" s="2" t="n"/>
      <c r="S145" s="2" t="n"/>
      <c r="T145" s="11" t="inlineStr">
        <is>
          <t>yes</t>
        </is>
      </c>
      <c r="U145" s="11" t="inlineStr"/>
      <c r="V145" s="11" t="inlineStr">
        <is>
          <t>outside_list</t>
        </is>
      </c>
      <c r="W145" s="11" t="n"/>
      <c r="X145" s="11" t="n"/>
      <c r="Y145" s="11" t="n"/>
      <c r="Z145" s="11" t="inlineStr">
        <is>
          <t>Mr. Advocate</t>
        </is>
      </c>
      <c r="AA145" s="11" t="inlineStr">
        <is>
          <t>2026-10-07</t>
        </is>
      </c>
      <c r="AB145" s="11" t="inlineStr">
        <is>
          <t>name_year</t>
        </is>
      </c>
      <c r="AC145" s="2" t="inlineStr"/>
      <c r="AD145" s="2" t="inlineStr">
        <is>
          <t>Commissioner of Income Tax (Central) v. Birla Bros. (Private) Ltd. (1968) was reversed on appeal by the Supreme Court in Commissioner of Income Tax (Central), Calcutta v. Birla Bros. P. Ltd. (1970).</t>
        </is>
      </c>
      <c r="AE145" s="2" t="n"/>
      <c r="AF145" s="11" t="inlineStr">
        <is>
          <t>created from list 1</t>
        </is>
      </c>
    </row>
    <row r="146">
      <c r="A146" s="11" t="inlineStr">
        <is>
          <t>L1-0145</t>
        </is>
      </c>
      <c r="B146" s="11" t="inlineStr">
        <is>
          <t>List 1 (to ~2015)</t>
        </is>
      </c>
      <c r="C146" s="11" t="inlineStr">
        <is>
          <t>list1</t>
        </is>
      </c>
      <c r="D146" s="11" t="inlineStr">
        <is>
          <t>verified</t>
        </is>
      </c>
      <c r="E146" s="11" t="inlineStr">
        <is>
          <t>overruled</t>
        </is>
      </c>
      <c r="F146" s="2" t="inlineStr">
        <is>
          <t>R. Venkataraman v. S. Sethuraman, Joint Director of School Education, (Higher Secondary), Directorate of School Education, The District Educational Officer and The Secretary and Correspondent, National Higher Secondary School</t>
        </is>
      </c>
      <c r="G146" s="11" t="inlineStr"/>
      <c r="H146" s="11" t="inlineStr">
        <is>
          <t>unknown</t>
        </is>
      </c>
      <c r="I146" s="2" t="inlineStr">
        <is>
          <t>(2006) 4 MLJ 1594; (2006) WritLR 840</t>
        </is>
      </c>
      <c r="J146" s="11" t="n">
        <v>2006</v>
      </c>
      <c r="K146" s="2" t="inlineStr">
        <is>
          <t>S. Sethuraman v. R. Venkataraman and Others</t>
        </is>
      </c>
      <c r="L146" s="11" t="inlineStr">
        <is>
          <t>Supreme Court</t>
        </is>
      </c>
      <c r="M146" s="2" t="inlineStr">
        <is>
          <t>AIR 2007 SC 2499; (2007) 7 JT 82; (2007) 7 SCALE 301; (2007) 6 SCC 382; (2007) 2 SCC(L&amp;S) 471; (2007) 6 SCR 922; (2007) AIRSCW 4445</t>
        </is>
      </c>
      <c r="N146" s="11" t="n">
        <v>2007</v>
      </c>
      <c r="O146" s="11" t="n"/>
      <c r="P146" s="11" t="n"/>
      <c r="Q146" s="11" t="n"/>
      <c r="R146" s="2" t="n"/>
      <c r="S146" s="2" t="n"/>
      <c r="T146" s="11" t="inlineStr"/>
      <c r="U146" s="11" t="inlineStr">
        <is>
          <t>needs_citation_or_year</t>
        </is>
      </c>
      <c r="V146" s="11" t="inlineStr">
        <is>
          <t>outside_list</t>
        </is>
      </c>
      <c r="W146" s="11" t="n"/>
      <c r="X146" s="11" t="n"/>
      <c r="Y146" s="11" t="n"/>
      <c r="Z146" s="11" t="inlineStr">
        <is>
          <t>Mr. Advocate</t>
        </is>
      </c>
      <c r="AA146" s="11" t="inlineStr">
        <is>
          <t>2026-10-07</t>
        </is>
      </c>
      <c r="AB146" s="11" t="inlineStr">
        <is>
          <t>weak</t>
        </is>
      </c>
      <c r="AC146" s="2" t="inlineStr"/>
      <c r="AD146" s="2" t="inlineStr">
        <is>
          <t>R. Venkataraman v. S. Sethuraman, Joint Director of School Education, (Higher Secondary), Directorate of School Education, The District Educational Officer and The Secretary and Correspondent, National Higher Secondary School (2006) was overruled by S. Sethuraman v. R. Venkataraman and Others (2007).</t>
        </is>
      </c>
      <c r="AE146" s="2" t="n"/>
      <c r="AF146" s="11" t="inlineStr">
        <is>
          <t>created from list 1</t>
        </is>
      </c>
    </row>
    <row r="147">
      <c r="A147" s="11" t="inlineStr">
        <is>
          <t>L1-0146</t>
        </is>
      </c>
      <c r="B147" s="11" t="inlineStr">
        <is>
          <t>List 1 (to ~2015)</t>
        </is>
      </c>
      <c r="C147" s="11" t="inlineStr">
        <is>
          <t>list1</t>
        </is>
      </c>
      <c r="D147" s="11" t="inlineStr">
        <is>
          <t>verified</t>
        </is>
      </c>
      <c r="E147" s="11" t="inlineStr">
        <is>
          <t>reversed_on_appeal</t>
        </is>
      </c>
      <c r="F147" s="2" t="inlineStr">
        <is>
          <t>The Commander Coast Guard Region (East), Fort St. George, Chennai-9 and another v. O. Konavalov and 4 others</t>
        </is>
      </c>
      <c r="G147" s="11" t="inlineStr"/>
      <c r="H147" s="11" t="inlineStr">
        <is>
          <t>unknown</t>
        </is>
      </c>
      <c r="I147" s="2" t="inlineStr">
        <is>
          <t>(2001) 1 MLJ 420</t>
        </is>
      </c>
      <c r="J147" s="11" t="n">
        <v>2001</v>
      </c>
      <c r="K147" s="2" t="inlineStr">
        <is>
          <t>O. Konavalov v. Commander, Coast Guard Region and Others</t>
        </is>
      </c>
      <c r="L147" s="11" t="inlineStr">
        <is>
          <t>unknown</t>
        </is>
      </c>
      <c r="M147" s="2" t="inlineStr">
        <is>
          <t>(2006) 2 CTC 672; (2006) 197 ELT 3; (2006) 3 JT 567; (2006) 3 SCALE 398; (2006) 4 SCC 620; (2006) AIRSCW 1654; (2006) 3 Supreme 782</t>
        </is>
      </c>
      <c r="N147" s="11" t="n">
        <v>2006</v>
      </c>
      <c r="O147" s="11" t="n"/>
      <c r="P147" s="11" t="n"/>
      <c r="Q147" s="11" t="n"/>
      <c r="R147" s="2" t="n"/>
      <c r="S147" s="2" t="n"/>
      <c r="T147" s="11" t="inlineStr">
        <is>
          <t>yes</t>
        </is>
      </c>
      <c r="U147" s="11" t="inlineStr"/>
      <c r="V147" s="11" t="inlineStr">
        <is>
          <t>outside_list</t>
        </is>
      </c>
      <c r="W147" s="11" t="n"/>
      <c r="X147" s="11" t="n"/>
      <c r="Y147" s="11" t="n"/>
      <c r="Z147" s="11" t="inlineStr">
        <is>
          <t>Mr. Advocate</t>
        </is>
      </c>
      <c r="AA147" s="11" t="inlineStr">
        <is>
          <t>2026-10-07</t>
        </is>
      </c>
      <c r="AB147" s="11" t="inlineStr">
        <is>
          <t>name_year</t>
        </is>
      </c>
      <c r="AC147" s="2" t="inlineStr"/>
      <c r="AD147" s="2" t="inlineStr">
        <is>
          <t>The Commander Coast Guard Region (East), Fort St. George, Chennai-9 and another v. O. Konavalov and 4 others (2001) was reversed on appeal by the Supreme Court in O. Konavalov v. Commander, Coast Guard Region and Others (2006).</t>
        </is>
      </c>
      <c r="AE147" s="2" t="n"/>
      <c r="AF147" s="11" t="inlineStr">
        <is>
          <t>created from list 1</t>
        </is>
      </c>
    </row>
    <row r="148">
      <c r="A148" s="11" t="inlineStr">
        <is>
          <t>L1-0147</t>
        </is>
      </c>
      <c r="B148" s="11" t="inlineStr">
        <is>
          <t>List 1 (to ~2015)</t>
        </is>
      </c>
      <c r="C148" s="11" t="inlineStr">
        <is>
          <t>list1</t>
        </is>
      </c>
      <c r="D148" s="11" t="inlineStr">
        <is>
          <t>verified</t>
        </is>
      </c>
      <c r="E148" s="11" t="inlineStr">
        <is>
          <t>overruled</t>
        </is>
      </c>
      <c r="F148" s="2" t="inlineStr">
        <is>
          <t>A.T. Sankaralinga Mudaliar v. Narayana Mudaliar and Others</t>
        </is>
      </c>
      <c r="G148" s="11" t="inlineStr"/>
      <c r="H148" s="11" t="inlineStr">
        <is>
          <t>Madras</t>
        </is>
      </c>
      <c r="I148" s="2" t="inlineStr">
        <is>
          <t>AIR 1922 Mad 502; (1922) ILR (Mad) 913; (1922) 16 LW 413; (1922) 43 MLJ 369</t>
        </is>
      </c>
      <c r="J148" s="11" t="n">
        <v>1922</v>
      </c>
      <c r="K148" s="2" t="inlineStr">
        <is>
          <t>Mary Angel and Others v. State of Tamil Nadu</t>
        </is>
      </c>
      <c r="L148" s="11" t="inlineStr">
        <is>
          <t>Supreme Court</t>
        </is>
      </c>
      <c r="M148" s="2" t="inlineStr">
        <is>
          <t>AIR 1999 SC 2245; (1999) CriLJ 3513; (1999) 3 Crimes 64; (1999) 3 JT 638; (1999) 3 SCALE 663; (1999) 5 SCC 209; (1999) 3 SCR 594; (1999) 2 UJ 1021; (1999) AIRSCW 2283; (1999) 5 Supreme 370</t>
        </is>
      </c>
      <c r="N148" s="11" t="n">
        <v>1999</v>
      </c>
      <c r="O148" s="11" t="n"/>
      <c r="P148" s="11" t="n"/>
      <c r="Q148" s="11" t="n"/>
      <c r="R148" s="2" t="n"/>
      <c r="S148" s="2" t="n"/>
      <c r="T148" s="11" t="inlineStr"/>
      <c r="U148" s="11" t="inlineStr"/>
      <c r="V148" s="11" t="inlineStr">
        <is>
          <t>outside_list</t>
        </is>
      </c>
      <c r="W148" s="11" t="n"/>
      <c r="X148" s="11" t="n"/>
      <c r="Y148" s="11" t="n"/>
      <c r="Z148" s="11" t="inlineStr">
        <is>
          <t>Mr. Advocate</t>
        </is>
      </c>
      <c r="AA148" s="11" t="inlineStr">
        <is>
          <t>2026-10-07</t>
        </is>
      </c>
      <c r="AB148" s="11" t="inlineStr">
        <is>
          <t>name_year</t>
        </is>
      </c>
      <c r="AC148" s="2" t="inlineStr"/>
      <c r="AD148" s="2" t="inlineStr">
        <is>
          <t>A.T. Sankaralinga Mudaliar v. Narayana Mudaliar and Others (1922) was overruled by Mary Angel and Others v. State of Tamil Nadu (1999).</t>
        </is>
      </c>
      <c r="AE148" s="2" t="n"/>
      <c r="AF148" s="11" t="inlineStr">
        <is>
          <t>created from list 1</t>
        </is>
      </c>
    </row>
    <row r="149">
      <c r="A149" s="11" t="inlineStr">
        <is>
          <t>L1-0148</t>
        </is>
      </c>
      <c r="B149" s="11" t="inlineStr">
        <is>
          <t>List 1 (to ~2015)</t>
        </is>
      </c>
      <c r="C149" s="11" t="inlineStr">
        <is>
          <t>list1</t>
        </is>
      </c>
      <c r="D149" s="11" t="inlineStr">
        <is>
          <t>verified</t>
        </is>
      </c>
      <c r="E149" s="11" t="inlineStr">
        <is>
          <t>reversed_on_appeal</t>
        </is>
      </c>
      <c r="F149" s="2" t="inlineStr">
        <is>
          <t>L.G. Balakrishnan and Others v. Commissioner of Wealth- tax</t>
        </is>
      </c>
      <c r="G149" s="11" t="inlineStr"/>
      <c r="H149" s="11" t="inlineStr">
        <is>
          <t>unknown</t>
        </is>
      </c>
      <c r="I149" s="2" t="inlineStr">
        <is>
          <t>(1988) 69 CTR 110; (1988) 173 ITR 266</t>
        </is>
      </c>
      <c r="J149" s="11" t="n">
        <v>1988</v>
      </c>
      <c r="K149" s="2" t="inlineStr">
        <is>
          <t>Commissioner of Wealth-tax v. T.S. Santhanam and Others</t>
        </is>
      </c>
      <c r="L149" s="11" t="inlineStr">
        <is>
          <t>unknown</t>
        </is>
      </c>
      <c r="M149" s="2" t="inlineStr">
        <is>
          <t>(2001) 248 ITR 575</t>
        </is>
      </c>
      <c r="N149" s="11" t="n">
        <v>2001</v>
      </c>
      <c r="O149" s="11" t="n"/>
      <c r="P149" s="11" t="n"/>
      <c r="Q149" s="11" t="n"/>
      <c r="R149" s="2" t="n"/>
      <c r="S149" s="2" t="n"/>
      <c r="T149" s="11" t="inlineStr">
        <is>
          <t>yes</t>
        </is>
      </c>
      <c r="U149" s="11" t="inlineStr"/>
      <c r="V149" s="11" t="inlineStr">
        <is>
          <t>outside_list</t>
        </is>
      </c>
      <c r="W149" s="11" t="n"/>
      <c r="X149" s="11" t="n"/>
      <c r="Y149" s="11" t="n"/>
      <c r="Z149" s="11" t="inlineStr">
        <is>
          <t>Mr. Advocate</t>
        </is>
      </c>
      <c r="AA149" s="11" t="inlineStr">
        <is>
          <t>2026-10-07</t>
        </is>
      </c>
      <c r="AB149" s="11" t="inlineStr">
        <is>
          <t>name_year</t>
        </is>
      </c>
      <c r="AC149" s="2" t="inlineStr"/>
      <c r="AD149" s="2" t="inlineStr">
        <is>
          <t>L.G. Balakrishnan and Others v. Commissioner of Wealth- tax (1988) was reversed on appeal by the Supreme Court in Commissioner of Wealth-tax v. T.S. Santhanam and Others (2001).</t>
        </is>
      </c>
      <c r="AE149" s="2" t="n"/>
      <c r="AF149" s="11" t="inlineStr">
        <is>
          <t>created from list 1</t>
        </is>
      </c>
    </row>
    <row r="150">
      <c r="A150" s="11" t="inlineStr">
        <is>
          <t>L1-0149</t>
        </is>
      </c>
      <c r="B150" s="11" t="inlineStr">
        <is>
          <t>List 1 (to ~2015)</t>
        </is>
      </c>
      <c r="C150" s="11" t="inlineStr">
        <is>
          <t>list1</t>
        </is>
      </c>
      <c r="D150" s="11" t="inlineStr">
        <is>
          <t>verified</t>
        </is>
      </c>
      <c r="E150" s="11" t="inlineStr">
        <is>
          <t>overruled</t>
        </is>
      </c>
      <c r="F150" s="2" t="inlineStr">
        <is>
          <t>Gopala Muppanar and Others v. Dharmakarta Subramania Aiyar and Others</t>
        </is>
      </c>
      <c r="G150" s="11" t="inlineStr"/>
      <c r="H150" s="11" t="inlineStr">
        <is>
          <t>unknown</t>
        </is>
      </c>
      <c r="I150" s="2" t="inlineStr">
        <is>
          <t>(1914) 1 LW 675; (1914) 27 MLJ 253</t>
        </is>
      </c>
      <c r="J150" s="11" t="n">
        <v>1914</v>
      </c>
      <c r="K150" s="2" t="inlineStr">
        <is>
          <t>Sri Venkataramana Devaru and Others v. The State of Mysore and Others</t>
        </is>
      </c>
      <c r="L150" s="11" t="inlineStr">
        <is>
          <t>Supreme Court</t>
        </is>
      </c>
      <c r="M150" s="2" t="inlineStr">
        <is>
          <t>AIR 1958 SC 255; (1958) 1 SCR 895</t>
        </is>
      </c>
      <c r="N150" s="11" t="n">
        <v>1958</v>
      </c>
      <c r="O150" s="11" t="n"/>
      <c r="P150" s="11" t="n"/>
      <c r="Q150" s="11" t="n"/>
      <c r="R150" s="2" t="n"/>
      <c r="S150" s="2" t="n"/>
      <c r="T150" s="11" t="inlineStr"/>
      <c r="U150" s="11" t="inlineStr"/>
      <c r="V150" s="11" t="inlineStr">
        <is>
          <t>outside_list</t>
        </is>
      </c>
      <c r="W150" s="11" t="n"/>
      <c r="X150" s="11" t="n"/>
      <c r="Y150" s="11" t="n"/>
      <c r="Z150" s="11" t="inlineStr">
        <is>
          <t>Mr. Advocate</t>
        </is>
      </c>
      <c r="AA150" s="11" t="inlineStr">
        <is>
          <t>2026-10-07</t>
        </is>
      </c>
      <c r="AB150" s="11" t="inlineStr">
        <is>
          <t>name_year</t>
        </is>
      </c>
      <c r="AC150" s="2" t="inlineStr"/>
      <c r="AD150" s="2" t="inlineStr">
        <is>
          <t>Gopala Muppanar and Others v. Dharmakarta Subramania Aiyar and Others (1914) was overruled by Sri Venkataramana Devaru and Others v. The State of Mysore and Others (1958).</t>
        </is>
      </c>
      <c r="AE150" s="2" t="n"/>
      <c r="AF150" s="11" t="inlineStr">
        <is>
          <t>created from list 1</t>
        </is>
      </c>
    </row>
    <row r="151">
      <c r="A151" s="11" t="inlineStr">
        <is>
          <t>L1-0150</t>
        </is>
      </c>
      <c r="B151" s="11" t="inlineStr">
        <is>
          <t>List 1 (to ~2015)</t>
        </is>
      </c>
      <c r="C151" s="11" t="inlineStr">
        <is>
          <t>list1</t>
        </is>
      </c>
      <c r="D151" s="11" t="inlineStr">
        <is>
          <t>verified</t>
        </is>
      </c>
      <c r="E151" s="11" t="inlineStr">
        <is>
          <t>overruled</t>
        </is>
      </c>
      <c r="F151" s="2" t="inlineStr">
        <is>
          <t>Sailesh Chandra Chakraborty v. The State</t>
        </is>
      </c>
      <c r="G151" s="11" t="inlineStr"/>
      <c r="H151" s="11" t="inlineStr">
        <is>
          <t>Calcutta</t>
        </is>
      </c>
      <c r="I151" s="2" t="inlineStr">
        <is>
          <t>AIR 1963 Cal 309; (1963) CriLJ 748</t>
        </is>
      </c>
      <c r="J151" s="11" t="n">
        <v>1963</v>
      </c>
      <c r="K151" s="2" t="inlineStr">
        <is>
          <t>Ram Lal v. State of Uttar Pradesh</t>
        </is>
      </c>
      <c r="L151" s="11" t="inlineStr">
        <is>
          <t>Supreme Court</t>
        </is>
      </c>
      <c r="M151" s="2" t="inlineStr">
        <is>
          <t>AIR 1979 SC 1498; (1980) CriLJ 826; (1979) 2 SCC 192; (1979) SCC(Cri) 418; (1979) 3 SCR 448; (1979) 11 UJ 835</t>
        </is>
      </c>
      <c r="N151" s="11" t="n">
        <v>1979</v>
      </c>
      <c r="O151" s="11" t="n"/>
      <c r="P151" s="11" t="n"/>
      <c r="Q151" s="11" t="n"/>
      <c r="R151" s="2" t="n"/>
      <c r="S151" s="2" t="n"/>
      <c r="T151" s="11" t="inlineStr"/>
      <c r="U151" s="11" t="inlineStr"/>
      <c r="V151" s="11" t="inlineStr">
        <is>
          <t>outside_list</t>
        </is>
      </c>
      <c r="W151" s="11" t="n"/>
      <c r="X151" s="11" t="n"/>
      <c r="Y151" s="11" t="n"/>
      <c r="Z151" s="11" t="inlineStr">
        <is>
          <t>Mr. Advocate</t>
        </is>
      </c>
      <c r="AA151" s="11" t="inlineStr">
        <is>
          <t>2026-10-07</t>
        </is>
      </c>
      <c r="AB151" s="11" t="inlineStr">
        <is>
          <t>name_year</t>
        </is>
      </c>
      <c r="AC151" s="2" t="inlineStr">
        <is>
          <t>L1-0407: overruled by Randhir Singh Rana v. The State Being the Delhi Administration (1997)</t>
        </is>
      </c>
      <c r="AD151" s="2" t="inlineStr">
        <is>
          <t>Sailesh Chandra Chakraborty v. The State (1963) was overruled by Ram Lal v. State of Uttar Pradesh (1979). Note: Ram Lal v. State of Uttar Pradesh was itself later overruled by Randhir Singh Rana v. The State Being the Delhi Administration (1997); the current position should be checked.</t>
        </is>
      </c>
      <c r="AE151" s="2" t="n"/>
      <c r="AF151" s="11" t="inlineStr">
        <is>
          <t>created from list 1</t>
        </is>
      </c>
    </row>
    <row r="152">
      <c r="A152" s="11" t="inlineStr">
        <is>
          <t>L1-0151</t>
        </is>
      </c>
      <c r="B152" s="11" t="inlineStr">
        <is>
          <t>List 1 (to ~2015)</t>
        </is>
      </c>
      <c r="C152" s="11" t="inlineStr">
        <is>
          <t>list1</t>
        </is>
      </c>
      <c r="D152" s="11" t="inlineStr">
        <is>
          <t>verified</t>
        </is>
      </c>
      <c r="E152" s="11" t="inlineStr">
        <is>
          <t>overruled</t>
        </is>
      </c>
      <c r="F152" s="2" t="inlineStr">
        <is>
          <t>A.Y. Prabhakar v. Naresh Kumar N. Shah</t>
        </is>
      </c>
      <c r="G152" s="11" t="inlineStr"/>
      <c r="H152" s="11" t="inlineStr">
        <is>
          <t>unknown</t>
        </is>
      </c>
      <c r="I152" s="2" t="inlineStr">
        <is>
          <t>(1995) 83 CompCas 191</t>
        </is>
      </c>
      <c r="J152" s="11" t="n">
        <v>1995</v>
      </c>
      <c r="K152" s="2" t="inlineStr">
        <is>
          <t>Pankajbhai Nagjibhai Patel v. The State of Gujarat and Another</t>
        </is>
      </c>
      <c r="L152" s="11" t="inlineStr">
        <is>
          <t>Supreme Court</t>
        </is>
      </c>
      <c r="M152" s="2" t="inlineStr">
        <is>
          <t>AIR 2001 SC 567; (2005) 3 BC 435; (2001) 104 CompCas 418; (2001) CriLJ 950; (2001) 1 JT 523; (2001) 1 SCALE 102; (2001) 1 SCR 337; (2001) 1 UJ 485; (2001) AIRSCW 184; (2001) 1 Supreme 124</t>
        </is>
      </c>
      <c r="N152" s="11" t="n">
        <v>2001</v>
      </c>
      <c r="O152" s="11" t="n"/>
      <c r="P152" s="11" t="n"/>
      <c r="Q152" s="11" t="n"/>
      <c r="R152" s="2" t="n"/>
      <c r="S152" s="2" t="n"/>
      <c r="T152" s="11" t="inlineStr"/>
      <c r="U152" s="11" t="inlineStr"/>
      <c r="V152" s="11" t="inlineStr">
        <is>
          <t>outside_list</t>
        </is>
      </c>
      <c r="W152" s="11" t="n"/>
      <c r="X152" s="11" t="n"/>
      <c r="Y152" s="11" t="n"/>
      <c r="Z152" s="11" t="inlineStr">
        <is>
          <t>Mr. Advocate</t>
        </is>
      </c>
      <c r="AA152" s="11" t="inlineStr">
        <is>
          <t>2026-10-07</t>
        </is>
      </c>
      <c r="AB152" s="11" t="inlineStr">
        <is>
          <t>name_year</t>
        </is>
      </c>
      <c r="AC152" s="2" t="inlineStr"/>
      <c r="AD152" s="2" t="inlineStr">
        <is>
          <t>A.Y. Prabhakar v. Naresh Kumar N. Shah (1995) was overruled by Pankajbhai Nagjibhai Patel v. The State of Gujarat and Another (2001).</t>
        </is>
      </c>
      <c r="AE152" s="2" t="n"/>
      <c r="AF152" s="11" t="inlineStr">
        <is>
          <t>created from list 1</t>
        </is>
      </c>
    </row>
    <row r="153">
      <c r="A153" s="11" t="inlineStr">
        <is>
          <t>L1-0152</t>
        </is>
      </c>
      <c r="B153" s="11" t="inlineStr">
        <is>
          <t>List 1 (to ~2015)</t>
        </is>
      </c>
      <c r="C153" s="11" t="inlineStr">
        <is>
          <t>list1</t>
        </is>
      </c>
      <c r="D153" s="11" t="inlineStr">
        <is>
          <t>verified</t>
        </is>
      </c>
      <c r="E153" s="11" t="inlineStr">
        <is>
          <t>reversed_on_appeal</t>
        </is>
      </c>
      <c r="F153" s="2" t="inlineStr">
        <is>
          <t>Sri Sarada Mills Ltd. v. Union of India and Others</t>
        </is>
      </c>
      <c r="G153" s="11" t="inlineStr"/>
      <c r="H153" s="11" t="inlineStr">
        <is>
          <t>Madras</t>
        </is>
      </c>
      <c r="I153" s="2" t="inlineStr">
        <is>
          <t>AIR 1966 Mad 381; (1967) ILR (Mad) 631; (1966) 79 LW 237; (1966) 2 MLJ 16</t>
        </is>
      </c>
      <c r="J153" s="11" t="n">
        <v>1966</v>
      </c>
      <c r="K153" s="2" t="inlineStr">
        <is>
          <t>Union of India (UOI) v. Sri Sarada Mills Ltd.</t>
        </is>
      </c>
      <c r="L153" s="11" t="inlineStr">
        <is>
          <t>Supreme Court</t>
        </is>
      </c>
      <c r="M153" s="2" t="inlineStr">
        <is>
          <t>AIR 1973 SC 281; (1973) 43 CompCas 431; (1972) 2 SCC 877; (1973) 2 SCR 464</t>
        </is>
      </c>
      <c r="N153" s="11" t="n">
        <v>1973</v>
      </c>
      <c r="O153" s="11" t="n"/>
      <c r="P153" s="11" t="n"/>
      <c r="Q153" s="11" t="n"/>
      <c r="R153" s="2" t="n"/>
      <c r="S153" s="2" t="n"/>
      <c r="T153" s="11" t="inlineStr">
        <is>
          <t>yes</t>
        </is>
      </c>
      <c r="U153" s="11" t="inlineStr"/>
      <c r="V153" s="11" t="inlineStr">
        <is>
          <t>outside_list</t>
        </is>
      </c>
      <c r="W153" s="11" t="n"/>
      <c r="X153" s="11" t="n"/>
      <c r="Y153" s="11" t="n"/>
      <c r="Z153" s="11" t="inlineStr">
        <is>
          <t>Mr. Advocate</t>
        </is>
      </c>
      <c r="AA153" s="11" t="inlineStr">
        <is>
          <t>2026-10-07</t>
        </is>
      </c>
      <c r="AB153" s="11" t="inlineStr">
        <is>
          <t>name_year</t>
        </is>
      </c>
      <c r="AC153" s="2" t="inlineStr"/>
      <c r="AD153" s="2" t="inlineStr">
        <is>
          <t>Sri Sarada Mills Ltd. v. Union of India and Others (1966) was reversed on appeal by the Supreme Court in Union of India (UOI) v. Sri Sarada Mills Ltd. (1973).</t>
        </is>
      </c>
      <c r="AE153" s="2" t="n"/>
      <c r="AF153" s="11" t="inlineStr">
        <is>
          <t>created from list 1</t>
        </is>
      </c>
    </row>
    <row r="154">
      <c r="A154" s="11" t="inlineStr">
        <is>
          <t>L1-0153</t>
        </is>
      </c>
      <c r="B154" s="11" t="inlineStr">
        <is>
          <t>List 1 (to ~2015)</t>
        </is>
      </c>
      <c r="C154" s="11" t="inlineStr">
        <is>
          <t>list1</t>
        </is>
      </c>
      <c r="D154" s="11" t="inlineStr">
        <is>
          <t>verified</t>
        </is>
      </c>
      <c r="E154" s="11" t="inlineStr">
        <is>
          <t>overruled</t>
        </is>
      </c>
      <c r="F154" s="2" t="inlineStr">
        <is>
          <t>Parthasarathi Sinha and Others v. Official Liquidator, Ballygunge Real Property and Building Society Ltd. (In Liquidation) and Others</t>
        </is>
      </c>
      <c r="G154" s="11" t="inlineStr"/>
      <c r="H154" s="11" t="inlineStr">
        <is>
          <t>unknown</t>
        </is>
      </c>
      <c r="I154" s="2" t="inlineStr">
        <is>
          <t>(1975) 1 CALLT 182; (1976) 46 CompCas 555; 79 CWN 972</t>
        </is>
      </c>
      <c r="J154" s="11" t="n">
        <v>1975</v>
      </c>
      <c r="K154" s="2" t="inlineStr">
        <is>
          <t>Official Liquidator v. Parthasarathi Sinha and Others</t>
        </is>
      </c>
      <c r="L154" s="11" t="inlineStr">
        <is>
          <t>Supreme Court</t>
        </is>
      </c>
      <c r="M154" s="2" t="inlineStr">
        <is>
          <t>AIR 1983 SC 188; (1983) 53 CompCas 163; (1982) 2 SCALE 1317; (1983) 1 SCC 538; (1983) 2 SCR 211</t>
        </is>
      </c>
      <c r="N154" s="11" t="n">
        <v>1983</v>
      </c>
      <c r="O154" s="11" t="n"/>
      <c r="P154" s="11" t="n"/>
      <c r="Q154" s="11" t="n"/>
      <c r="R154" s="2" t="n"/>
      <c r="S154" s="2" t="n"/>
      <c r="T154" s="11" t="inlineStr"/>
      <c r="U154" s="11" t="inlineStr"/>
      <c r="V154" s="11" t="inlineStr">
        <is>
          <t>outside_list</t>
        </is>
      </c>
      <c r="W154" s="11" t="n"/>
      <c r="X154" s="11" t="n"/>
      <c r="Y154" s="11" t="n"/>
      <c r="Z154" s="11" t="inlineStr">
        <is>
          <t>Mr. Advocate</t>
        </is>
      </c>
      <c r="AA154" s="11" t="inlineStr">
        <is>
          <t>2026-10-07</t>
        </is>
      </c>
      <c r="AB154" s="11" t="inlineStr">
        <is>
          <t>name_year</t>
        </is>
      </c>
      <c r="AC154" s="2" t="inlineStr"/>
      <c r="AD154" s="2" t="inlineStr">
        <is>
          <t>Parthasarathi Sinha and Others v. Official Liquidator, Ballygunge Real Property and Building Society Ltd. (In Liquidation) and Others (1975) was overruled by Official Liquidator v. Parthasarathi Sinha and Others (1983).</t>
        </is>
      </c>
      <c r="AE154" s="2" t="n"/>
      <c r="AF154" s="11" t="inlineStr">
        <is>
          <t>created from list 1</t>
        </is>
      </c>
    </row>
    <row r="155">
      <c r="A155" s="11" t="inlineStr">
        <is>
          <t>L1-0154</t>
        </is>
      </c>
      <c r="B155" s="11" t="inlineStr">
        <is>
          <t>List 1 (to ~2015)</t>
        </is>
      </c>
      <c r="C155" s="11" t="inlineStr">
        <is>
          <t>list1</t>
        </is>
      </c>
      <c r="D155" s="11" t="inlineStr">
        <is>
          <t>verified</t>
        </is>
      </c>
      <c r="E155" s="11" t="inlineStr">
        <is>
          <t>reversed_on_appeal</t>
        </is>
      </c>
      <c r="F155" s="2" t="inlineStr">
        <is>
          <t>Bharat Heavy Electricals Ltd. v. The ESI Corporation</t>
        </is>
      </c>
      <c r="G155" s="11" t="inlineStr"/>
      <c r="H155" s="11" t="inlineStr">
        <is>
          <t>unknown</t>
        </is>
      </c>
      <c r="I155" s="2" t="inlineStr">
        <is>
          <t>(2006) 5 CTC 546; (2007) 112 FLR 954; (2007) 3 LLJ 265; (2006) 4 MLJ 1447</t>
        </is>
      </c>
      <c r="J155" s="11" t="n">
        <v>2006</v>
      </c>
      <c r="K155" s="2" t="inlineStr">
        <is>
          <t>Bharat Heavy Electricals Ltd. v. ESI Corporation</t>
        </is>
      </c>
      <c r="L155" s="11" t="inlineStr">
        <is>
          <t>Supreme Court</t>
        </is>
      </c>
      <c r="M155" s="2" t="inlineStr">
        <is>
          <t>AIR 2008 SC 1449; (2008) 1 CLT 254; (2008) 117 FLR 1184; (2008) 2 JT 407; (2008) 2 LLJ 302; (2008) 2 SCALE 454; (2008) 3 SCC 247; (2008) AIRSCW 1494</t>
        </is>
      </c>
      <c r="N155" s="11" t="n">
        <v>2008</v>
      </c>
      <c r="O155" s="11" t="n"/>
      <c r="P155" s="11" t="n"/>
      <c r="Q155" s="11" t="n"/>
      <c r="R155" s="2" t="n"/>
      <c r="S155" s="2" t="n"/>
      <c r="T155" s="11" t="inlineStr">
        <is>
          <t>yes</t>
        </is>
      </c>
      <c r="U155" s="11" t="inlineStr"/>
      <c r="V155" s="11" t="inlineStr">
        <is>
          <t>outside_list</t>
        </is>
      </c>
      <c r="W155" s="11" t="n"/>
      <c r="X155" s="11" t="n"/>
      <c r="Y155" s="11" t="n"/>
      <c r="Z155" s="11" t="inlineStr">
        <is>
          <t>Mr. Advocate</t>
        </is>
      </c>
      <c r="AA155" s="11" t="inlineStr">
        <is>
          <t>2026-10-07</t>
        </is>
      </c>
      <c r="AB155" s="11" t="inlineStr">
        <is>
          <t>name_year</t>
        </is>
      </c>
      <c r="AC155" s="2" t="inlineStr"/>
      <c r="AD155" s="2" t="inlineStr">
        <is>
          <t>Bharat Heavy Electricals Ltd. v. The ESI Corporation (2006) was reversed on appeal by the Supreme Court in Bharat Heavy Electricals Ltd. v. ESI Corporation (2008).</t>
        </is>
      </c>
      <c r="AE155" s="2" t="n"/>
      <c r="AF155" s="11" t="inlineStr">
        <is>
          <t>created from list 1</t>
        </is>
      </c>
    </row>
    <row r="156">
      <c r="A156" s="11" t="inlineStr">
        <is>
          <t>L1-0155</t>
        </is>
      </c>
      <c r="B156" s="11" t="inlineStr">
        <is>
          <t>List 1 (to ~2015)</t>
        </is>
      </c>
      <c r="C156" s="11" t="inlineStr">
        <is>
          <t>list1</t>
        </is>
      </c>
      <c r="D156" s="11" t="inlineStr">
        <is>
          <t>verified</t>
        </is>
      </c>
      <c r="E156" s="11" t="inlineStr">
        <is>
          <t>overruled</t>
        </is>
      </c>
      <c r="F156" s="2" t="inlineStr">
        <is>
          <t>A.M.M. Firm v. Reserve Bank of India</t>
        </is>
      </c>
      <c r="G156" s="11" t="inlineStr"/>
      <c r="H156" s="11" t="inlineStr">
        <is>
          <t>unknown</t>
        </is>
      </c>
      <c r="I156" s="2" t="inlineStr">
        <is>
          <t>(1985) 58 CompCas 308; (1985) 4 ECC 27</t>
        </is>
      </c>
      <c r="J156" s="11" t="n">
        <v>1985</v>
      </c>
      <c r="K156" s="2" t="inlineStr">
        <is>
          <t>T. Velayudhan Achari and Another v. Union of India (UOI) and Others</t>
        </is>
      </c>
      <c r="L156" s="11" t="inlineStr">
        <is>
          <t>Supreme Court</t>
        </is>
      </c>
      <c r="M156" s="2" t="inlineStr">
        <is>
          <t>(1993) 1 BC 564; (1993) 77 CompCas 197; (1993) 1 JT 580; (1993) 1 SCALE 586; (1993) 2 SCC 582; (1993) 1 SCR 832</t>
        </is>
      </c>
      <c r="N156" s="11" t="n">
        <v>1993</v>
      </c>
      <c r="O156" s="11" t="n"/>
      <c r="P156" s="11" t="n"/>
      <c r="Q156" s="11" t="n"/>
      <c r="R156" s="2" t="n"/>
      <c r="S156" s="2" t="n"/>
      <c r="T156" s="11" t="inlineStr"/>
      <c r="U156" s="11" t="inlineStr"/>
      <c r="V156" s="11" t="inlineStr">
        <is>
          <t>outside_list</t>
        </is>
      </c>
      <c r="W156" s="11" t="n"/>
      <c r="X156" s="11" t="n"/>
      <c r="Y156" s="11" t="n"/>
      <c r="Z156" s="11" t="inlineStr">
        <is>
          <t>Mr. Advocate</t>
        </is>
      </c>
      <c r="AA156" s="11" t="inlineStr">
        <is>
          <t>2026-10-07</t>
        </is>
      </c>
      <c r="AB156" s="11" t="inlineStr">
        <is>
          <t>name_year</t>
        </is>
      </c>
      <c r="AC156" s="2" t="inlineStr"/>
      <c r="AD156" s="2" t="inlineStr">
        <is>
          <t>A.M.M. Firm v. Reserve Bank of India (1985) was overruled by T. Velayudhan Achari and Another v. Union of India (UOI) and Others (1993).</t>
        </is>
      </c>
      <c r="AE156" s="2" t="n"/>
      <c r="AF156" s="11" t="inlineStr">
        <is>
          <t>created from list 1</t>
        </is>
      </c>
    </row>
    <row r="157">
      <c r="A157" s="11" t="inlineStr">
        <is>
          <t>L1-0156</t>
        </is>
      </c>
      <c r="B157" s="11" t="inlineStr">
        <is>
          <t>List 1 (to ~2015)</t>
        </is>
      </c>
      <c r="C157" s="11" t="inlineStr">
        <is>
          <t>list1</t>
        </is>
      </c>
      <c r="D157" s="11" t="inlineStr">
        <is>
          <t>verified</t>
        </is>
      </c>
      <c r="E157" s="11" t="inlineStr">
        <is>
          <t>overruled</t>
        </is>
      </c>
      <c r="F157" s="2" t="inlineStr">
        <is>
          <t>M.P. Narayan v. Sm. Sudhadevi and Others</t>
        </is>
      </c>
      <c r="G157" s="11" t="inlineStr"/>
      <c r="H157" s="11" t="inlineStr">
        <is>
          <t>Calcutta</t>
        </is>
      </c>
      <c r="I157" s="2" t="inlineStr">
        <is>
          <t>AIR 1986 Cal 256</t>
        </is>
      </c>
      <c r="J157" s="11" t="n">
        <v>1986</v>
      </c>
      <c r="K157" s="2" t="inlineStr">
        <is>
          <t>Sudha Devi v. M.P. Narayanan and Others</t>
        </is>
      </c>
      <c r="L157" s="11" t="inlineStr">
        <is>
          <t>Supreme Court</t>
        </is>
      </c>
      <c r="M157" s="2" t="inlineStr">
        <is>
          <t>AIR 1988 SC 1381; (1988) 1 JT 217; (1988) 1 SCALE 952; (1988) 3 SCC 366; (1988) 3 SCR 756; (1988) 2 UJ 70</t>
        </is>
      </c>
      <c r="N157" s="11" t="n">
        <v>1988</v>
      </c>
      <c r="O157" s="11" t="n"/>
      <c r="P157" s="11" t="n"/>
      <c r="Q157" s="11" t="n"/>
      <c r="R157" s="2" t="n"/>
      <c r="S157" s="2" t="n"/>
      <c r="T157" s="11" t="inlineStr"/>
      <c r="U157" s="11" t="inlineStr"/>
      <c r="V157" s="11" t="inlineStr">
        <is>
          <t>outside_list</t>
        </is>
      </c>
      <c r="W157" s="11" t="n"/>
      <c r="X157" s="11" t="n"/>
      <c r="Y157" s="11" t="n"/>
      <c r="Z157" s="11" t="inlineStr">
        <is>
          <t>Mr. Advocate</t>
        </is>
      </c>
      <c r="AA157" s="11" t="inlineStr">
        <is>
          <t>2026-10-07</t>
        </is>
      </c>
      <c r="AB157" s="11" t="inlineStr">
        <is>
          <t>name_year</t>
        </is>
      </c>
      <c r="AC157" s="2" t="inlineStr"/>
      <c r="AD157" s="2" t="inlineStr">
        <is>
          <t>M.P. Narayan v. Sm. Sudhadevi and Others (1986) was overruled by Sudha Devi v. M.P. Narayanan and Others (1988).</t>
        </is>
      </c>
      <c r="AE157" s="2" t="n"/>
      <c r="AF157" s="11" t="inlineStr">
        <is>
          <t>created from list 1</t>
        </is>
      </c>
    </row>
    <row r="158">
      <c r="A158" s="11" t="inlineStr">
        <is>
          <t>L1-0157</t>
        </is>
      </c>
      <c r="B158" s="11" t="inlineStr">
        <is>
          <t>List 1 (to ~2015)</t>
        </is>
      </c>
      <c r="C158" s="11" t="inlineStr">
        <is>
          <t>list1</t>
        </is>
      </c>
      <c r="D158" s="11" t="inlineStr">
        <is>
          <t>verified</t>
        </is>
      </c>
      <c r="E158" s="11" t="inlineStr">
        <is>
          <t>overruled</t>
        </is>
      </c>
      <c r="F158" s="2" t="inlineStr">
        <is>
          <t>Vedapuratti and Others v. Vallabha Valia Raja and Others</t>
        </is>
      </c>
      <c r="G158" s="11" t="inlineStr"/>
      <c r="H158" s="11" t="inlineStr">
        <is>
          <t>unknown</t>
        </is>
      </c>
      <c r="I158" s="2" t="inlineStr">
        <is>
          <t>(1902) 12 MLJ 128</t>
        </is>
      </c>
      <c r="J158" s="11" t="n">
        <v>1902</v>
      </c>
      <c r="K158" s="2" t="inlineStr">
        <is>
          <t>Shri Ajit Chopra v. Shri Sadhu Ram and Others</t>
        </is>
      </c>
      <c r="L158" s="11" t="inlineStr">
        <is>
          <t>Supreme Court</t>
        </is>
      </c>
      <c r="M158" s="2" t="inlineStr">
        <is>
          <t>AIR 2000 SC 212; (1999) 8 JT 594; (2000) 124 PLR 19; (1999) 7 SCALE 33; (2000) 1 SCC 114; (1999) 4 SCR 340 Supp; (1999) AIRSCW 4308; (1999) 9 Supreme 297</t>
        </is>
      </c>
      <c r="N158" s="11" t="n">
        <v>2000</v>
      </c>
      <c r="O158" s="11" t="n"/>
      <c r="P158" s="11" t="n"/>
      <c r="Q158" s="11" t="n"/>
      <c r="R158" s="2" t="n"/>
      <c r="S158" s="2" t="n"/>
      <c r="T158" s="11" t="inlineStr"/>
      <c r="U158" s="11" t="inlineStr"/>
      <c r="V158" s="11" t="inlineStr">
        <is>
          <t>outside_list</t>
        </is>
      </c>
      <c r="W158" s="11" t="n"/>
      <c r="X158" s="11" t="n"/>
      <c r="Y158" s="11" t="n"/>
      <c r="Z158" s="11" t="inlineStr">
        <is>
          <t>Mr. Advocate</t>
        </is>
      </c>
      <c r="AA158" s="11" t="inlineStr">
        <is>
          <t>2026-10-07</t>
        </is>
      </c>
      <c r="AB158" s="11" t="inlineStr">
        <is>
          <t>name_year</t>
        </is>
      </c>
      <c r="AC158" s="2" t="inlineStr"/>
      <c r="AD158" s="2" t="inlineStr">
        <is>
          <t>Vedapuratti and Others v. Vallabha Valia Raja and Others (1902) was overruled by Shri Ajit Chopra v. Shri Sadhu Ram and Others (2000).</t>
        </is>
      </c>
      <c r="AE158" s="2" t="n"/>
      <c r="AF158" s="11" t="inlineStr">
        <is>
          <t>created from list 1</t>
        </is>
      </c>
    </row>
    <row r="159">
      <c r="A159" s="11" t="inlineStr">
        <is>
          <t>L1-0158</t>
        </is>
      </c>
      <c r="B159" s="11" t="inlineStr">
        <is>
          <t>List 1 (to ~2015)</t>
        </is>
      </c>
      <c r="C159" s="11" t="inlineStr">
        <is>
          <t>list1</t>
        </is>
      </c>
      <c r="D159" s="11" t="inlineStr">
        <is>
          <t>verified</t>
        </is>
      </c>
      <c r="E159" s="11" t="inlineStr">
        <is>
          <t>overruled</t>
        </is>
      </c>
      <c r="F159" s="2" t="inlineStr">
        <is>
          <t>Sengol, Charles and K. Kannan v. State</t>
        </is>
      </c>
      <c r="G159" s="11" t="inlineStr"/>
      <c r="H159" s="11" t="inlineStr">
        <is>
          <t>unknown</t>
        </is>
      </c>
      <c r="I159" s="2" t="inlineStr">
        <is>
          <t>(2012) CriLJ 1705; (2012) 2 CTC 369</t>
        </is>
      </c>
      <c r="J159" s="11" t="n">
        <v>2012</v>
      </c>
      <c r="K159" s="2" t="inlineStr">
        <is>
          <t>Jaysukh Bavanji Shingalia v. State of Gujarat</t>
        </is>
      </c>
      <c r="L159" s="11" t="inlineStr">
        <is>
          <t>Supreme Court</t>
        </is>
      </c>
      <c r="M159" s="2" t="inlineStr">
        <is>
          <t>AIR 2015 SC 75; (2014) AIRSCW 5487; (2014) 10 SCALE 166</t>
        </is>
      </c>
      <c r="N159" s="11" t="n">
        <v>2015</v>
      </c>
      <c r="O159" s="11" t="n"/>
      <c r="P159" s="11" t="n"/>
      <c r="Q159" s="11" t="n"/>
      <c r="R159" s="2" t="n"/>
      <c r="S159" s="2" t="n"/>
      <c r="T159" s="11" t="inlineStr"/>
      <c r="U159" s="11" t="inlineStr"/>
      <c r="V159" s="11" t="inlineStr">
        <is>
          <t>outside_list</t>
        </is>
      </c>
      <c r="W159" s="11" t="n"/>
      <c r="X159" s="11" t="n"/>
      <c r="Y159" s="11" t="n"/>
      <c r="Z159" s="11" t="inlineStr">
        <is>
          <t>Mr. Advocate</t>
        </is>
      </c>
      <c r="AA159" s="11" t="inlineStr">
        <is>
          <t>2026-10-07</t>
        </is>
      </c>
      <c r="AB159" s="11" t="inlineStr">
        <is>
          <t>name_year</t>
        </is>
      </c>
      <c r="AC159" s="2" t="inlineStr"/>
      <c r="AD159" s="2" t="inlineStr">
        <is>
          <t>Sengol, Charles and K. Kannan v. State (2012) was overruled by Jaysukh Bavanji Shingalia v. State of Gujarat (2015).</t>
        </is>
      </c>
      <c r="AE159" s="2" t="n"/>
      <c r="AF159" s="11" t="inlineStr">
        <is>
          <t>created from list 1</t>
        </is>
      </c>
    </row>
    <row r="160">
      <c r="A160" s="11" t="inlineStr">
        <is>
          <t>L1-0159</t>
        </is>
      </c>
      <c r="B160" s="11" t="inlineStr">
        <is>
          <t>List 1 (to ~2015)</t>
        </is>
      </c>
      <c r="C160" s="11" t="inlineStr">
        <is>
          <t>list1</t>
        </is>
      </c>
      <c r="D160" s="11" t="inlineStr">
        <is>
          <t>verified</t>
        </is>
      </c>
      <c r="E160" s="11" t="inlineStr">
        <is>
          <t>overruled</t>
        </is>
      </c>
      <c r="F160" s="2" t="inlineStr">
        <is>
          <t>In Re: Ganapati</t>
        </is>
      </c>
      <c r="G160" s="11" t="inlineStr"/>
      <c r="H160" s="11" t="inlineStr">
        <is>
          <t>unknown</t>
        </is>
      </c>
      <c r="I160" s="2" t="inlineStr"/>
      <c r="J160" s="11" t="n"/>
      <c r="K160" s="2" t="inlineStr">
        <is>
          <t>State of Andhra Pradesh v. Vallabhapuram Ravi</t>
        </is>
      </c>
      <c r="L160" s="11" t="inlineStr">
        <is>
          <t>Supreme Court</t>
        </is>
      </c>
      <c r="M160" s="2" t="inlineStr">
        <is>
          <t>AIR 1985 SC 870; (1984) CriLJ 1511; (1984) 2 Crimes 552; (1984) 2 SCALE 386; (1984) 4 SCC 410; (1985) 1 SCR 729</t>
        </is>
      </c>
      <c r="N160" s="11" t="n">
        <v>1985</v>
      </c>
      <c r="O160" s="11" t="n"/>
      <c r="P160" s="11" t="n"/>
      <c r="Q160" s="11" t="n"/>
      <c r="R160" s="2" t="n"/>
      <c r="S160" s="2" t="n"/>
      <c r="T160" s="11" t="inlineStr"/>
      <c r="U160" s="11" t="inlineStr">
        <is>
          <t>no_citation_or_year_for_overruled, needs_citation_or_year</t>
        </is>
      </c>
      <c r="V160" s="11" t="inlineStr">
        <is>
          <t>outside_list</t>
        </is>
      </c>
      <c r="W160" s="11" t="n"/>
      <c r="X160" s="11" t="n"/>
      <c r="Y160" s="11" t="n"/>
      <c r="Z160" s="11" t="inlineStr">
        <is>
          <t>Mr. Advocate</t>
        </is>
      </c>
      <c r="AA160" s="11" t="inlineStr">
        <is>
          <t>2026-10-07</t>
        </is>
      </c>
      <c r="AB160" s="11" t="inlineStr">
        <is>
          <t>none</t>
        </is>
      </c>
      <c r="AC160" s="2" t="inlineStr"/>
      <c r="AD160" s="2" t="inlineStr">
        <is>
          <t>In Re: Ganapati was overruled by State of Andhra Pradesh v. Vallabhapuram Ravi (1985).</t>
        </is>
      </c>
      <c r="AE160" s="2" t="n"/>
      <c r="AF160" s="11" t="inlineStr">
        <is>
          <t>created from list 1</t>
        </is>
      </c>
    </row>
    <row r="161">
      <c r="A161" s="11" t="inlineStr">
        <is>
          <t>L1-0160</t>
        </is>
      </c>
      <c r="B161" s="11" t="inlineStr">
        <is>
          <t>List 1 (to ~2015)</t>
        </is>
      </c>
      <c r="C161" s="11" t="inlineStr">
        <is>
          <t>list1</t>
        </is>
      </c>
      <c r="D161" s="11" t="inlineStr">
        <is>
          <t>verified</t>
        </is>
      </c>
      <c r="E161" s="11" t="inlineStr">
        <is>
          <t>reversed_on_appeal</t>
        </is>
      </c>
      <c r="F161" s="2" t="inlineStr">
        <is>
          <t>The Chief Engineer, Madras Zone, Milltary Engineering Services, Madras v. M/s. G. Ramachandra Reddy and Co.</t>
        </is>
      </c>
      <c r="G161" s="11" t="inlineStr"/>
      <c r="H161" s="11" t="inlineStr">
        <is>
          <t>Madras</t>
        </is>
      </c>
      <c r="I161" s="2" t="inlineStr">
        <is>
          <t>AIR 1993 Mad 265; (1993) 1 LW 514</t>
        </is>
      </c>
      <c r="J161" s="11" t="n">
        <v>1993</v>
      </c>
      <c r="K161" s="2" t="inlineStr">
        <is>
          <t>G. Ramachandra Reddy and Co. v. Chief Engineer, Madras Zone, Military Engineering Service</t>
        </is>
      </c>
      <c r="L161" s="11" t="inlineStr">
        <is>
          <t>Supreme Court</t>
        </is>
      </c>
      <c r="M161" s="2" t="inlineStr">
        <is>
          <t>AIR 1994 SC 2381; (1994) 2 ARBLR 61; (1994) 4 JT 181; (1994) 2 SCALE 1057; (1994) 5 SCC 142; (1994) 3 SCR 808</t>
        </is>
      </c>
      <c r="N161" s="11" t="n">
        <v>1994</v>
      </c>
      <c r="O161" s="11" t="n"/>
      <c r="P161" s="11" t="n"/>
      <c r="Q161" s="11" t="n"/>
      <c r="R161" s="2" t="n"/>
      <c r="S161" s="2" t="n"/>
      <c r="T161" s="11" t="inlineStr">
        <is>
          <t>yes</t>
        </is>
      </c>
      <c r="U161" s="11" t="inlineStr"/>
      <c r="V161" s="11" t="inlineStr">
        <is>
          <t>outside_list</t>
        </is>
      </c>
      <c r="W161" s="11" t="n"/>
      <c r="X161" s="11" t="n"/>
      <c r="Y161" s="11" t="n"/>
      <c r="Z161" s="11" t="inlineStr">
        <is>
          <t>Mr. Advocate</t>
        </is>
      </c>
      <c r="AA161" s="11" t="inlineStr">
        <is>
          <t>2026-10-07</t>
        </is>
      </c>
      <c r="AB161" s="11" t="inlineStr">
        <is>
          <t>name_year</t>
        </is>
      </c>
      <c r="AC161" s="2" t="inlineStr"/>
      <c r="AD161" s="2" t="inlineStr">
        <is>
          <t>The Chief Engineer, Madras Zone, Milltary Engineering Services, Madras v. M/s. G. Ramachandra Reddy and Co. (1993) was reversed on appeal by the Supreme Court in G. Ramachandra Reddy and Co. v. Chief Engineer, Madras Zone, Military Engineering Service (1994).</t>
        </is>
      </c>
      <c r="AE161" s="2" t="n"/>
      <c r="AF161" s="11" t="inlineStr">
        <is>
          <t>created from list 1</t>
        </is>
      </c>
    </row>
    <row r="162">
      <c r="A162" s="11" t="inlineStr">
        <is>
          <t>L1-0161</t>
        </is>
      </c>
      <c r="B162" s="11" t="inlineStr">
        <is>
          <t>List 1 (to ~2015)</t>
        </is>
      </c>
      <c r="C162" s="11" t="inlineStr">
        <is>
          <t>list1</t>
        </is>
      </c>
      <c r="D162" s="11" t="inlineStr">
        <is>
          <t>verified</t>
        </is>
      </c>
      <c r="E162" s="11" t="inlineStr">
        <is>
          <t>overruled</t>
        </is>
      </c>
      <c r="F162" s="2" t="inlineStr">
        <is>
          <t>D. Chelliah Nadar and Another v. G. Lalita Bai and Another</t>
        </is>
      </c>
      <c r="G162" s="11" t="inlineStr"/>
      <c r="H162" s="11" t="inlineStr">
        <is>
          <t>Madras</t>
        </is>
      </c>
      <c r="I162" s="2" t="inlineStr">
        <is>
          <t>AIR 1978 Mad 66</t>
        </is>
      </c>
      <c r="J162" s="11" t="n">
        <v>1978</v>
      </c>
      <c r="K162" s="2" t="inlineStr">
        <is>
          <t>Mary Roy and Others v. State of Kerala and Others</t>
        </is>
      </c>
      <c r="L162" s="11" t="inlineStr">
        <is>
          <t>Supreme Court</t>
        </is>
      </c>
      <c r="M162" s="2" t="inlineStr">
        <is>
          <t>AIR 1986 SC 1011; (1986) 1 SCALE 250; (1986) 2 SCC 209; (1986) 1 SCR 371; (1986) 1 UJ 515</t>
        </is>
      </c>
      <c r="N162" s="11" t="n">
        <v>1986</v>
      </c>
      <c r="O162" s="11" t="n"/>
      <c r="P162" s="11" t="n"/>
      <c r="Q162" s="11" t="n"/>
      <c r="R162" s="2" t="n"/>
      <c r="S162" s="2" t="n"/>
      <c r="T162" s="11" t="inlineStr"/>
      <c r="U162" s="11" t="inlineStr"/>
      <c r="V162" s="11" t="inlineStr">
        <is>
          <t>outside_list</t>
        </is>
      </c>
      <c r="W162" s="11" t="n"/>
      <c r="X162" s="11" t="n"/>
      <c r="Y162" s="11" t="n"/>
      <c r="Z162" s="11" t="inlineStr">
        <is>
          <t>Mr. Advocate</t>
        </is>
      </c>
      <c r="AA162" s="11" t="inlineStr">
        <is>
          <t>2026-10-07</t>
        </is>
      </c>
      <c r="AB162" s="11" t="inlineStr">
        <is>
          <t>name_year</t>
        </is>
      </c>
      <c r="AC162" s="2" t="inlineStr"/>
      <c r="AD162" s="2" t="inlineStr">
        <is>
          <t>D. Chelliah Nadar and Another v. G. Lalita Bai and Another (1978) was overruled by Mary Roy and Others v. State of Kerala and Others (1986).</t>
        </is>
      </c>
      <c r="AE162" s="2" t="n"/>
      <c r="AF162" s="11" t="inlineStr">
        <is>
          <t>created from list 1</t>
        </is>
      </c>
    </row>
    <row r="163">
      <c r="A163" s="11" t="inlineStr">
        <is>
          <t>L1-0162</t>
        </is>
      </c>
      <c r="B163" s="11" t="inlineStr">
        <is>
          <t>List 1 (to ~2015)</t>
        </is>
      </c>
      <c r="C163" s="11" t="inlineStr">
        <is>
          <t>list1</t>
        </is>
      </c>
      <c r="D163" s="11" t="inlineStr">
        <is>
          <t>verified</t>
        </is>
      </c>
      <c r="E163" s="11" t="inlineStr">
        <is>
          <t>overruled</t>
        </is>
      </c>
      <c r="F163" s="2" t="inlineStr">
        <is>
          <t>The Chief Commissioner of Central Excise and The Additional Commissioner (P and V), Chennai Zone v. Arulmozhi Iniarasu and Others</t>
        </is>
      </c>
      <c r="G163" s="11" t="inlineStr"/>
      <c r="H163" s="11" t="inlineStr">
        <is>
          <t>unknown</t>
        </is>
      </c>
      <c r="I163" s="2" t="inlineStr"/>
      <c r="J163" s="11" t="n"/>
      <c r="K163" s="2" t="inlineStr">
        <is>
          <t>Union of India (UOI) and Another v. Arulmozhi Iniarasu and Others</t>
        </is>
      </c>
      <c r="L163" s="11" t="inlineStr">
        <is>
          <t>Supreme Court</t>
        </is>
      </c>
      <c r="M163" s="2" t="inlineStr">
        <is>
          <t>AIR 2011 SC 2731; (2011) 130 FLR 1076; (2011) 7 JT 502; (2011) 7 SCALE 340; (2011) 7 SCC 397; (2011) 2 SCC(L&amp;S) 267; (2011) 9 SCR 1; (2011) AIRSCW 4252; (2011) 6 Supreme 89</t>
        </is>
      </c>
      <c r="N163" s="11" t="n">
        <v>2011</v>
      </c>
      <c r="O163" s="11" t="n"/>
      <c r="P163" s="11" t="n"/>
      <c r="Q163" s="11" t="n"/>
      <c r="R163" s="2" t="n"/>
      <c r="S163" s="2" t="n"/>
      <c r="T163" s="11" t="inlineStr"/>
      <c r="U163" s="11" t="inlineStr">
        <is>
          <t>no_citation_or_year_for_overruled, needs_citation_or_year</t>
        </is>
      </c>
      <c r="V163" s="11" t="inlineStr">
        <is>
          <t>outside_list</t>
        </is>
      </c>
      <c r="W163" s="11" t="n"/>
      <c r="X163" s="11" t="n"/>
      <c r="Y163" s="11" t="n"/>
      <c r="Z163" s="11" t="inlineStr">
        <is>
          <t>Mr. Advocate</t>
        </is>
      </c>
      <c r="AA163" s="11" t="inlineStr">
        <is>
          <t>2026-10-07</t>
        </is>
      </c>
      <c r="AB163" s="11" t="inlineStr">
        <is>
          <t>none</t>
        </is>
      </c>
      <c r="AC163" s="2" t="inlineStr"/>
      <c r="AD163" s="2" t="inlineStr">
        <is>
          <t>The Chief Commissioner of Central Excise and The Additional Commissioner (P and V), Chennai Zone v. Arulmozhi Iniarasu and Others was overruled by Union of India (UOI) and Another v. Arulmozhi Iniarasu and Others (2011).</t>
        </is>
      </c>
      <c r="AE163" s="2" t="n"/>
      <c r="AF163" s="11" t="inlineStr">
        <is>
          <t>created from list 1</t>
        </is>
      </c>
    </row>
    <row r="164">
      <c r="A164" s="11" t="inlineStr">
        <is>
          <t>L1-0163</t>
        </is>
      </c>
      <c r="B164" s="11" t="inlineStr">
        <is>
          <t>List 1 (to ~2015)</t>
        </is>
      </c>
      <c r="C164" s="11" t="inlineStr">
        <is>
          <t>list1</t>
        </is>
      </c>
      <c r="D164" s="11" t="inlineStr">
        <is>
          <t>verified</t>
        </is>
      </c>
      <c r="E164" s="11" t="inlineStr">
        <is>
          <t>overruled</t>
        </is>
      </c>
      <c r="F164" s="2" t="inlineStr">
        <is>
          <t>Pyarelal Malhotra v. Joint Commercial Tax Officer, T. Nagar Division</t>
        </is>
      </c>
      <c r="G164" s="11" t="inlineStr"/>
      <c r="H164" s="11" t="inlineStr">
        <is>
          <t>unknown</t>
        </is>
      </c>
      <c r="I164" s="2" t="inlineStr">
        <is>
          <t>(1971) 2 MLJ 176; (1970) 26 STC 416</t>
        </is>
      </c>
      <c r="J164" s="11" t="n">
        <v>1970</v>
      </c>
      <c r="K164" s="2" t="inlineStr">
        <is>
          <t>State of Tamil Nadu v. Pyare Lal Malhotra and Others</t>
        </is>
      </c>
      <c r="L164" s="11" t="inlineStr">
        <is>
          <t>Supreme Court</t>
        </is>
      </c>
      <c r="M164" s="2" t="inlineStr">
        <is>
          <t>AIR 1976 SC 800; (1983) 13 ELT 1582; (1976) 1 SCC 834; (1976) 3 SCR 168; (1976) 37 STC 319</t>
        </is>
      </c>
      <c r="N164" s="11" t="n">
        <v>1976</v>
      </c>
      <c r="O164" s="11" t="n"/>
      <c r="P164" s="11" t="n"/>
      <c r="Q164" s="11" t="n"/>
      <c r="R164" s="2" t="n"/>
      <c r="S164" s="2" t="n"/>
      <c r="T164" s="11" t="inlineStr"/>
      <c r="U164" s="11" t="inlineStr"/>
      <c r="V164" s="11" t="inlineStr">
        <is>
          <t>outside_list</t>
        </is>
      </c>
      <c r="W164" s="11" t="n"/>
      <c r="X164" s="11" t="n"/>
      <c r="Y164" s="11" t="n"/>
      <c r="Z164" s="11" t="inlineStr">
        <is>
          <t>Mr. Advocate</t>
        </is>
      </c>
      <c r="AA164" s="11" t="inlineStr">
        <is>
          <t>2026-10-07</t>
        </is>
      </c>
      <c r="AB164" s="11" t="inlineStr">
        <is>
          <t>name_year</t>
        </is>
      </c>
      <c r="AC164" s="2" t="inlineStr"/>
      <c r="AD164" s="2" t="inlineStr">
        <is>
          <t>Pyarelal Malhotra v. Joint Commercial Tax Officer, T. Nagar Division (1970) was overruled by State of Tamil Nadu v. Pyare Lal Malhotra and Others (1976).</t>
        </is>
      </c>
      <c r="AE164" s="2" t="n"/>
      <c r="AF164" s="11" t="inlineStr">
        <is>
          <t>created from list 1</t>
        </is>
      </c>
    </row>
    <row r="165">
      <c r="A165" s="11" t="inlineStr">
        <is>
          <t>L1-0164</t>
        </is>
      </c>
      <c r="B165" s="11" t="inlineStr">
        <is>
          <t>List 1 (to ~2015)</t>
        </is>
      </c>
      <c r="C165" s="11" t="inlineStr">
        <is>
          <t>list1</t>
        </is>
      </c>
      <c r="D165" s="11" t="inlineStr">
        <is>
          <t>verified</t>
        </is>
      </c>
      <c r="E165" s="11" t="inlineStr">
        <is>
          <t>overruled</t>
        </is>
      </c>
      <c r="F165" s="2" t="inlineStr">
        <is>
          <t>Kalaivani Fabrics v. Collector of Customs (Appeals)</t>
        </is>
      </c>
      <c r="G165" s="11" t="inlineStr"/>
      <c r="H165" s="11" t="inlineStr">
        <is>
          <t>unknown</t>
        </is>
      </c>
      <c r="I165" s="2" t="inlineStr">
        <is>
          <t>(1989) 23 ECR 58; (1989) 44 ELT 219</t>
        </is>
      </c>
      <c r="J165" s="11" t="n">
        <v>1989</v>
      </c>
      <c r="K165" s="2" t="inlineStr">
        <is>
          <t>Milak Brothers v. Union of India and Others</t>
        </is>
      </c>
      <c r="L165" s="11" t="inlineStr">
        <is>
          <t>Supreme Court</t>
        </is>
      </c>
      <c r="M165" s="2" t="inlineStr">
        <is>
          <t>AIR 1990 SC 2256; (1991) 31 ECC 198; (1991) 51 ELT 204; (1990) 4 JT 508; (1990) 2 SCALE 727; (1991) 1 SCC 71 Supp; (1990) 2 SCR 141 Supp; (1991) 1 UJ 193</t>
        </is>
      </c>
      <c r="N165" s="11" t="n">
        <v>1990</v>
      </c>
      <c r="O165" s="11" t="n"/>
      <c r="P165" s="11" t="n"/>
      <c r="Q165" s="11" t="n"/>
      <c r="R165" s="2" t="n"/>
      <c r="S165" s="2" t="n"/>
      <c r="T165" s="11" t="inlineStr"/>
      <c r="U165" s="11" t="inlineStr"/>
      <c r="V165" s="11" t="inlineStr">
        <is>
          <t>outside_list</t>
        </is>
      </c>
      <c r="W165" s="11" t="n"/>
      <c r="X165" s="11" t="n"/>
      <c r="Y165" s="11" t="n"/>
      <c r="Z165" s="11" t="inlineStr">
        <is>
          <t>Mr. Advocate</t>
        </is>
      </c>
      <c r="AA165" s="11" t="inlineStr">
        <is>
          <t>2026-10-07</t>
        </is>
      </c>
      <c r="AB165" s="11" t="inlineStr">
        <is>
          <t>name_year</t>
        </is>
      </c>
      <c r="AC165" s="2" t="inlineStr"/>
      <c r="AD165" s="2" t="inlineStr">
        <is>
          <t>Kalaivani Fabrics v. Collector of Customs (Appeals) (1989) was overruled by Milak Brothers v. Union of India and Others (1990).</t>
        </is>
      </c>
      <c r="AE165" s="2" t="n"/>
      <c r="AF165" s="11" t="inlineStr">
        <is>
          <t>created from list 1</t>
        </is>
      </c>
    </row>
    <row r="166">
      <c r="A166" s="11" t="inlineStr">
        <is>
          <t>L1-0165</t>
        </is>
      </c>
      <c r="B166" s="11" t="inlineStr">
        <is>
          <t>List 1 (to ~2015)</t>
        </is>
      </c>
      <c r="C166" s="11" t="inlineStr">
        <is>
          <t>list1</t>
        </is>
      </c>
      <c r="D166" s="11" t="inlineStr">
        <is>
          <t>verified</t>
        </is>
      </c>
      <c r="E166" s="11" t="inlineStr">
        <is>
          <t>overruled</t>
        </is>
      </c>
      <c r="F166" s="2" t="inlineStr">
        <is>
          <t>The Commissioner, Corporation of Chennai v. Mrs. Lakshmi Bai (died) and The Government of Tamil Nadu</t>
        </is>
      </c>
      <c r="G166" s="11" t="inlineStr"/>
      <c r="H166" s="11" t="inlineStr">
        <is>
          <t>unknown</t>
        </is>
      </c>
      <c r="I166" s="2" t="inlineStr">
        <is>
          <t>(2005) 2 LW 345; (2005) 1 MLJ 717</t>
        </is>
      </c>
      <c r="J166" s="11" t="n">
        <v>2005</v>
      </c>
      <c r="K166" s="2" t="inlineStr">
        <is>
          <t>The Commissioner, Corporation of Chennai v. R. Sivasankara Mehta and Another</t>
        </is>
      </c>
      <c r="L166" s="11" t="inlineStr">
        <is>
          <t>Supreme Court</t>
        </is>
      </c>
      <c r="M166" s="2" t="inlineStr">
        <is>
          <t>(2011) 3 RCR(Civil) 692; (2011) 5 SCALE 114; (2011) 13 SCC 285; (2011) 5 SCR 243</t>
        </is>
      </c>
      <c r="N166" s="11" t="n">
        <v>2011</v>
      </c>
      <c r="O166" s="11" t="n"/>
      <c r="P166" s="11" t="n"/>
      <c r="Q166" s="11" t="n"/>
      <c r="R166" s="2" t="n"/>
      <c r="S166" s="2" t="n"/>
      <c r="T166" s="11" t="inlineStr"/>
      <c r="U166" s="11" t="inlineStr"/>
      <c r="V166" s="11" t="inlineStr">
        <is>
          <t>outside_list</t>
        </is>
      </c>
      <c r="W166" s="11" t="n"/>
      <c r="X166" s="11" t="n"/>
      <c r="Y166" s="11" t="n"/>
      <c r="Z166" s="11" t="inlineStr">
        <is>
          <t>Mr. Advocate</t>
        </is>
      </c>
      <c r="AA166" s="11" t="inlineStr">
        <is>
          <t>2026-10-07</t>
        </is>
      </c>
      <c r="AB166" s="11" t="inlineStr">
        <is>
          <t>name_year</t>
        </is>
      </c>
      <c r="AC166" s="2" t="inlineStr"/>
      <c r="AD166" s="2" t="inlineStr">
        <is>
          <t>The Commissioner, Corporation of Chennai v. Mrs. Lakshmi Bai (died) and The Government of Tamil Nadu (2005) was overruled by The Commissioner, Corporation of Chennai v. R. Sivasankara Mehta and Another (2011).</t>
        </is>
      </c>
      <c r="AE166" s="2" t="n"/>
      <c r="AF166" s="11" t="inlineStr">
        <is>
          <t>created from list 1</t>
        </is>
      </c>
    </row>
    <row r="167">
      <c r="A167" s="11" t="inlineStr">
        <is>
          <t>L1-0166</t>
        </is>
      </c>
      <c r="B167" s="11" t="inlineStr">
        <is>
          <t>List 1 (to ~2015)</t>
        </is>
      </c>
      <c r="C167" s="11" t="inlineStr">
        <is>
          <t>list1</t>
        </is>
      </c>
      <c r="D167" s="11" t="inlineStr">
        <is>
          <t>verified</t>
        </is>
      </c>
      <c r="E167" s="11" t="inlineStr">
        <is>
          <t>overruled</t>
        </is>
      </c>
      <c r="F167" s="2" t="inlineStr">
        <is>
          <t>D. Kausalya v. S. Sankaran, 16, Manicka Naicken Street, Purasavakkam</t>
        </is>
      </c>
      <c r="G167" s="11" t="inlineStr"/>
      <c r="H167" s="11" t="inlineStr">
        <is>
          <t>unknown</t>
        </is>
      </c>
      <c r="I167" s="2" t="inlineStr"/>
      <c r="J167" s="11" t="n"/>
      <c r="K167" s="2" t="inlineStr">
        <is>
          <t>S. Sankaran v. D. Kausalya</t>
        </is>
      </c>
      <c r="L167" s="11" t="inlineStr">
        <is>
          <t>Supreme Court</t>
        </is>
      </c>
      <c r="M167" s="2" t="inlineStr">
        <is>
          <t>(2007) 4 JT 251; (2007) 3 SCALE 186; (2007) 9 SCC 284; (2007) 2 SCR 734</t>
        </is>
      </c>
      <c r="N167" s="11" t="n">
        <v>2007</v>
      </c>
      <c r="O167" s="11" t="n"/>
      <c r="P167" s="11" t="n"/>
      <c r="Q167" s="11" t="n"/>
      <c r="R167" s="2" t="n"/>
      <c r="S167" s="2" t="n"/>
      <c r="T167" s="11" t="inlineStr"/>
      <c r="U167" s="11" t="inlineStr">
        <is>
          <t>no_citation_or_year_for_overruled, needs_citation_or_year</t>
        </is>
      </c>
      <c r="V167" s="11" t="inlineStr">
        <is>
          <t>outside_list</t>
        </is>
      </c>
      <c r="W167" s="11" t="n"/>
      <c r="X167" s="11" t="n"/>
      <c r="Y167" s="11" t="n"/>
      <c r="Z167" s="11" t="inlineStr">
        <is>
          <t>Mr. Advocate</t>
        </is>
      </c>
      <c r="AA167" s="11" t="inlineStr">
        <is>
          <t>2026-10-07</t>
        </is>
      </c>
      <c r="AB167" s="11" t="inlineStr">
        <is>
          <t>weak</t>
        </is>
      </c>
      <c r="AC167" s="2" t="inlineStr"/>
      <c r="AD167" s="2" t="inlineStr">
        <is>
          <t>D. Kausalya v. S. Sankaran, 16, Manicka Naicken Street, Purasavakkam was overruled by S. Sankaran v. D. Kausalya (2007).</t>
        </is>
      </c>
      <c r="AE167" s="2" t="n"/>
      <c r="AF167" s="11" t="inlineStr">
        <is>
          <t>created from list 1</t>
        </is>
      </c>
    </row>
    <row r="168">
      <c r="A168" s="11" t="inlineStr">
        <is>
          <t>L1-0167</t>
        </is>
      </c>
      <c r="B168" s="11" t="inlineStr">
        <is>
          <t>List 1 (to ~2015)</t>
        </is>
      </c>
      <c r="C168" s="11" t="inlineStr">
        <is>
          <t>list1</t>
        </is>
      </c>
      <c r="D168" s="11" t="inlineStr">
        <is>
          <t>verified</t>
        </is>
      </c>
      <c r="E168" s="11" t="inlineStr">
        <is>
          <t>overruled</t>
        </is>
      </c>
      <c r="F168" s="2" t="inlineStr">
        <is>
          <t>Mrs. E.V. Swaminathan v. K.M.M.A. Industries and Roadways Private Ltd. and others</t>
        </is>
      </c>
      <c r="G168" s="11" t="inlineStr"/>
      <c r="H168" s="11" t="inlineStr">
        <is>
          <t>unknown</t>
        </is>
      </c>
      <c r="I168" s="2" t="inlineStr">
        <is>
          <t>(1993) 76 CompCas 1</t>
        </is>
      </c>
      <c r="J168" s="11" t="n">
        <v>1993</v>
      </c>
      <c r="K168" s="2" t="inlineStr">
        <is>
          <t>M/S. Ammonia Supplies Corporation (P) Ltd. v. M/S. Modern Plastic Containers Pvt. Ltd. and Others</t>
        </is>
      </c>
      <c r="L168" s="11" t="inlineStr">
        <is>
          <t>Supreme Court</t>
        </is>
      </c>
      <c r="M168" s="2" t="inlineStr">
        <is>
          <t>AIR 1998 SC 3153; (1998) 94 CompCas 310; (1998) 4 CompLJ 211; (1999) 1 CTC 273; (1998) 6 JT 116; (1998) 5 SCALE 147; (1998) 7 SCC 105; (1998) 1 SCR 413 Supp; (1998) AIRSCW 3062; (1998) 7 Supreme 191</t>
        </is>
      </c>
      <c r="N168" s="11" t="n">
        <v>1998</v>
      </c>
      <c r="O168" s="11" t="n"/>
      <c r="P168" s="11" t="n"/>
      <c r="Q168" s="11" t="n"/>
      <c r="R168" s="2" t="n"/>
      <c r="S168" s="2" t="n"/>
      <c r="T168" s="11" t="inlineStr"/>
      <c r="U168" s="11" t="inlineStr"/>
      <c r="V168" s="11" t="inlineStr">
        <is>
          <t>outside_list</t>
        </is>
      </c>
      <c r="W168" s="11" t="n"/>
      <c r="X168" s="11" t="n"/>
      <c r="Y168" s="11" t="n"/>
      <c r="Z168" s="11" t="inlineStr">
        <is>
          <t>Mr. Advocate</t>
        </is>
      </c>
      <c r="AA168" s="11" t="inlineStr">
        <is>
          <t>2026-10-07</t>
        </is>
      </c>
      <c r="AB168" s="11" t="inlineStr">
        <is>
          <t>name_year</t>
        </is>
      </c>
      <c r="AC168" s="2" t="inlineStr"/>
      <c r="AD168" s="2" t="inlineStr">
        <is>
          <t>Mrs. E.V. Swaminathan v. K.M.M.A. Industries and Roadways Private Ltd. and others (1993) was overruled by M/S. Ammonia Supplies Corporation (P) Ltd. v. M/S. Modern Plastic Containers Pvt. Ltd. and Others (1998).</t>
        </is>
      </c>
      <c r="AE168" s="2" t="n"/>
      <c r="AF168" s="11" t="inlineStr">
        <is>
          <t>created from list 1</t>
        </is>
      </c>
    </row>
    <row r="169">
      <c r="A169" s="11" t="inlineStr">
        <is>
          <t>L1-0168</t>
        </is>
      </c>
      <c r="B169" s="11" t="inlineStr">
        <is>
          <t>List 1 (to ~2015)</t>
        </is>
      </c>
      <c r="C169" s="11" t="inlineStr">
        <is>
          <t>list1</t>
        </is>
      </c>
      <c r="D169" s="11" t="inlineStr">
        <is>
          <t>verified</t>
        </is>
      </c>
      <c r="E169" s="11" t="inlineStr">
        <is>
          <t>overruled</t>
        </is>
      </c>
      <c r="F169" s="2" t="inlineStr">
        <is>
          <t>Thiruvengadatha Aiyangar v. Sannappan Servai</t>
        </is>
      </c>
      <c r="G169" s="11" t="inlineStr"/>
      <c r="H169" s="11" t="inlineStr">
        <is>
          <t>Madras</t>
        </is>
      </c>
      <c r="I169" s="2" t="inlineStr">
        <is>
          <t>AIR 1941 Mad 799(2); (1942) ILR (Mad) 57; (1941) 54 LW 229; (1941) 2 MLJ 307</t>
        </is>
      </c>
      <c r="J169" s="11" t="n">
        <v>1941</v>
      </c>
      <c r="K169" s="2" t="inlineStr">
        <is>
          <t>Gamini Krishnayya and Others v. Curza Seshachalam and Others</t>
        </is>
      </c>
      <c r="L169" s="11" t="inlineStr">
        <is>
          <t>Supreme Court</t>
        </is>
      </c>
      <c r="M169" s="2" t="inlineStr">
        <is>
          <t>AIR 1965 SC 639; (1965) 1 SCR 195</t>
        </is>
      </c>
      <c r="N169" s="11" t="n">
        <v>1965</v>
      </c>
      <c r="O169" s="11" t="n"/>
      <c r="P169" s="11" t="n"/>
      <c r="Q169" s="11" t="n"/>
      <c r="R169" s="2" t="n"/>
      <c r="S169" s="2" t="n"/>
      <c r="T169" s="11" t="inlineStr"/>
      <c r="U169" s="11" t="inlineStr"/>
      <c r="V169" s="11" t="inlineStr">
        <is>
          <t>outside_list</t>
        </is>
      </c>
      <c r="W169" s="11" t="n"/>
      <c r="X169" s="11" t="n"/>
      <c r="Y169" s="11" t="n"/>
      <c r="Z169" s="11" t="inlineStr">
        <is>
          <t>Mr. Advocate</t>
        </is>
      </c>
      <c r="AA169" s="11" t="inlineStr">
        <is>
          <t>2026-10-07</t>
        </is>
      </c>
      <c r="AB169" s="11" t="inlineStr">
        <is>
          <t>name_year</t>
        </is>
      </c>
      <c r="AC169" s="2" t="inlineStr"/>
      <c r="AD169" s="2" t="inlineStr">
        <is>
          <t>Thiruvengadatha Aiyangar v. Sannappan Servai (1941) was overruled by Gamini Krishnayya and Others v. Curza Seshachalam and Others (1965).</t>
        </is>
      </c>
      <c r="AE169" s="2" t="n"/>
      <c r="AF169" s="11" t="inlineStr">
        <is>
          <t>created from list 1</t>
        </is>
      </c>
    </row>
    <row r="170">
      <c r="A170" s="11" t="inlineStr">
        <is>
          <t>L1-0169</t>
        </is>
      </c>
      <c r="B170" s="11" t="inlineStr">
        <is>
          <t>List 1 (to ~2015)</t>
        </is>
      </c>
      <c r="C170" s="11" t="inlineStr">
        <is>
          <t>list1</t>
        </is>
      </c>
      <c r="D170" s="11" t="inlineStr">
        <is>
          <t>verified</t>
        </is>
      </c>
      <c r="E170" s="11" t="inlineStr">
        <is>
          <t>overruled</t>
        </is>
      </c>
      <c r="F170" s="2" t="inlineStr">
        <is>
          <t>Christian Medical College Vellore Association (By Secretary) v. Government of India (By Secretary, Ministry of Law, Delhi) and Others</t>
        </is>
      </c>
      <c r="G170" s="11" t="inlineStr"/>
      <c r="H170" s="11" t="inlineStr">
        <is>
          <t>unknown</t>
        </is>
      </c>
      <c r="I170" s="2" t="inlineStr">
        <is>
          <t>(1983) 2 LLJ 372</t>
        </is>
      </c>
      <c r="J170" s="11" t="n">
        <v>1983</v>
      </c>
      <c r="K170" s="2" t="inlineStr">
        <is>
          <t>Christian Medical College Hospital Employees’ Union and Another v. Christian Medical College Vellore Association and Others</t>
        </is>
      </c>
      <c r="L170" s="11" t="inlineStr">
        <is>
          <t>Supreme Court</t>
        </is>
      </c>
      <c r="M170" s="2" t="inlineStr">
        <is>
          <t>AIR 1988 SC 37; (1987) 4 JT 129; (1988) LabIC 225; (1988) 1 LLJ 263; (1987) 2 SCALE 798; (1987) 4 SCC 691; (1988) 1 SCR 546</t>
        </is>
      </c>
      <c r="N170" s="11" t="n">
        <v>1988</v>
      </c>
      <c r="O170" s="11" t="n"/>
      <c r="P170" s="11" t="n"/>
      <c r="Q170" s="11" t="n"/>
      <c r="R170" s="2" t="n"/>
      <c r="S170" s="2" t="n"/>
      <c r="T170" s="11" t="inlineStr"/>
      <c r="U170" s="11" t="inlineStr"/>
      <c r="V170" s="11" t="inlineStr">
        <is>
          <t>outside_list</t>
        </is>
      </c>
      <c r="W170" s="11" t="n"/>
      <c r="X170" s="11" t="n"/>
      <c r="Y170" s="11" t="n"/>
      <c r="Z170" s="11" t="inlineStr">
        <is>
          <t>Mr. Advocate</t>
        </is>
      </c>
      <c r="AA170" s="11" t="inlineStr">
        <is>
          <t>2026-10-07</t>
        </is>
      </c>
      <c r="AB170" s="11" t="inlineStr">
        <is>
          <t>name_year</t>
        </is>
      </c>
      <c r="AC170" s="2" t="inlineStr"/>
      <c r="AD170" s="2" t="inlineStr">
        <is>
          <t>Christian Medical College Vellore Association (By Secretary) v. Government of India (By Secretary, Ministry of Law, Delhi) and Others (1983) was overruled by Christian Medical College Hospital Employees’ Union and Another v. Christian Medical College Vellore Association and Others (1988).</t>
        </is>
      </c>
      <c r="AE170" s="2" t="n"/>
      <c r="AF170" s="11" t="inlineStr">
        <is>
          <t>created from list 1</t>
        </is>
      </c>
    </row>
    <row r="171">
      <c r="A171" s="11" t="inlineStr">
        <is>
          <t>L1-0170</t>
        </is>
      </c>
      <c r="B171" s="11" t="inlineStr">
        <is>
          <t>List 1 (to ~2015)</t>
        </is>
      </c>
      <c r="C171" s="11" t="inlineStr">
        <is>
          <t>list1</t>
        </is>
      </c>
      <c r="D171" s="11" t="inlineStr">
        <is>
          <t>verified</t>
        </is>
      </c>
      <c r="E171" s="11" t="inlineStr">
        <is>
          <t>overruled</t>
        </is>
      </c>
      <c r="F171" s="2" t="inlineStr">
        <is>
          <t>Shri Srilal Bagri v. Commissioner of Wealth Tax</t>
        </is>
      </c>
      <c r="G171" s="11" t="inlineStr"/>
      <c r="H171" s="11" t="inlineStr">
        <is>
          <t>unknown</t>
        </is>
      </c>
      <c r="I171" s="2" t="inlineStr">
        <is>
          <t>(1970) 77 ITR 901</t>
        </is>
      </c>
      <c r="J171" s="11" t="n">
        <v>1970</v>
      </c>
      <c r="K171" s="2" t="inlineStr">
        <is>
          <t>A.P.S.R.T.C. v. State Transport Appellate Tribunal and Others</t>
        </is>
      </c>
      <c r="L171" s="11" t="inlineStr">
        <is>
          <t>Supreme Court</t>
        </is>
      </c>
      <c r="M171" s="2" t="inlineStr">
        <is>
          <t>(1998) 2 ACC 173; AIR 1998 SC 2621; (1998) 5 JT 417; (1998) 4 SCALE 445; (1998) 7 SCC 353; (1998) 3 SCR 1106; (1998) AIRSCW 2663; (1998) 6 Supreme 316</t>
        </is>
      </c>
      <c r="N171" s="11" t="n">
        <v>1998</v>
      </c>
      <c r="O171" s="11" t="n"/>
      <c r="P171" s="11" t="n"/>
      <c r="Q171" s="11" t="n"/>
      <c r="R171" s="2" t="n"/>
      <c r="S171" s="2" t="n"/>
      <c r="T171" s="11" t="inlineStr"/>
      <c r="U171" s="11" t="inlineStr"/>
      <c r="V171" s="11" t="inlineStr">
        <is>
          <t>outside_list</t>
        </is>
      </c>
      <c r="W171" s="11" t="n"/>
      <c r="X171" s="11" t="n"/>
      <c r="Y171" s="11" t="n"/>
      <c r="Z171" s="11" t="inlineStr">
        <is>
          <t>Mr. Advocate</t>
        </is>
      </c>
      <c r="AA171" s="11" t="inlineStr">
        <is>
          <t>2026-10-07</t>
        </is>
      </c>
      <c r="AB171" s="11" t="inlineStr">
        <is>
          <t>name_year</t>
        </is>
      </c>
      <c r="AC171" s="2" t="inlineStr"/>
      <c r="AD171" s="2" t="inlineStr">
        <is>
          <t>Shri Srilal Bagri v. Commissioner of Wealth Tax (1970) was overruled by A.P.S.R.T.C. v. State Transport Appellate Tribunal and Others (1998).</t>
        </is>
      </c>
      <c r="AE171" s="2" t="n"/>
      <c r="AF171" s="11" t="inlineStr">
        <is>
          <t>created from list 1</t>
        </is>
      </c>
    </row>
    <row r="172">
      <c r="A172" s="11" t="inlineStr">
        <is>
          <t>L1-0171</t>
        </is>
      </c>
      <c r="B172" s="11" t="inlineStr">
        <is>
          <t>List 1 (to ~2015)</t>
        </is>
      </c>
      <c r="C172" s="11" t="inlineStr">
        <is>
          <t>list1</t>
        </is>
      </c>
      <c r="D172" s="11" t="inlineStr">
        <is>
          <t>verified</t>
        </is>
      </c>
      <c r="E172" s="11" t="inlineStr">
        <is>
          <t>reversed_on_appeal</t>
        </is>
      </c>
      <c r="F172" s="2" t="inlineStr">
        <is>
          <t>Commissioner of Income Tax, (Central), Madras v. Shri Agastyar Trust</t>
        </is>
      </c>
      <c r="G172" s="11" t="inlineStr"/>
      <c r="H172" s="11" t="inlineStr">
        <is>
          <t>unknown</t>
        </is>
      </c>
      <c r="I172" s="2" t="inlineStr">
        <is>
          <t>(1984) 149 ITR 609</t>
        </is>
      </c>
      <c r="J172" s="11" t="n">
        <v>1984</v>
      </c>
      <c r="K172" s="2" t="inlineStr">
        <is>
          <t>Sri Agasthyar Trust, Madras v. Commissioner of Income Tax, Madras</t>
        </is>
      </c>
      <c r="L172" s="11" t="inlineStr">
        <is>
          <t>unknown</t>
        </is>
      </c>
      <c r="M172" s="2" t="inlineStr">
        <is>
          <t>(1999) 236 ITR 23; (1998) 6 JT 648; (1998) 2 SCALE 638; (1998) 5 SCC 588; (1998) AIRSCW 3945</t>
        </is>
      </c>
      <c r="N172" s="11" t="n">
        <v>1998</v>
      </c>
      <c r="O172" s="11" t="n"/>
      <c r="P172" s="11" t="n"/>
      <c r="Q172" s="11" t="n"/>
      <c r="R172" s="2" t="n"/>
      <c r="S172" s="2" t="n"/>
      <c r="T172" s="11" t="inlineStr">
        <is>
          <t>yes</t>
        </is>
      </c>
      <c r="U172" s="11" t="inlineStr"/>
      <c r="V172" s="11" t="inlineStr">
        <is>
          <t>outside_list</t>
        </is>
      </c>
      <c r="W172" s="11" t="n"/>
      <c r="X172" s="11" t="n"/>
      <c r="Y172" s="11" t="n"/>
      <c r="Z172" s="11" t="inlineStr">
        <is>
          <t>Mr. Advocate</t>
        </is>
      </c>
      <c r="AA172" s="11" t="inlineStr">
        <is>
          <t>2026-10-07</t>
        </is>
      </c>
      <c r="AB172" s="11" t="inlineStr">
        <is>
          <t>name_year</t>
        </is>
      </c>
      <c r="AC172" s="2" t="inlineStr"/>
      <c r="AD172" s="2" t="inlineStr">
        <is>
          <t>Commissioner of Income Tax, (Central), Madras v. Shri Agastyar Trust (1984) was reversed on appeal by the Supreme Court in Sri Agasthyar Trust, Madras v. Commissioner of Income Tax, Madras (1998).</t>
        </is>
      </c>
      <c r="AE172" s="2" t="n"/>
      <c r="AF172" s="11" t="inlineStr">
        <is>
          <t>created from list 1</t>
        </is>
      </c>
    </row>
    <row r="173">
      <c r="A173" s="11" t="inlineStr">
        <is>
          <t>L1-0172</t>
        </is>
      </c>
      <c r="B173" s="11" t="inlineStr">
        <is>
          <t>List 1 (to ~2015)</t>
        </is>
      </c>
      <c r="C173" s="11" t="inlineStr">
        <is>
          <t>list1</t>
        </is>
      </c>
      <c r="D173" s="11" t="inlineStr">
        <is>
          <t>verified</t>
        </is>
      </c>
      <c r="E173" s="11" t="inlineStr">
        <is>
          <t>overruled</t>
        </is>
      </c>
      <c r="F173" s="2" t="inlineStr">
        <is>
          <t>Commissioner of Income Tax v. Wheel and Rim Company of India Ltd.</t>
        </is>
      </c>
      <c r="G173" s="11" t="inlineStr"/>
      <c r="H173" s="11" t="inlineStr">
        <is>
          <t>unknown</t>
        </is>
      </c>
      <c r="I173" s="2" t="inlineStr">
        <is>
          <t>(1977) ILR (Mad) 295; (1977) 107 ITR 168</t>
        </is>
      </c>
      <c r="J173" s="11" t="n">
        <v>1977</v>
      </c>
      <c r="K173" s="2" t="inlineStr">
        <is>
          <t>Commissioner of Income Tax, Karnataka v. Sterling Foods, Mangalore</t>
        </is>
      </c>
      <c r="L173" s="11" t="inlineStr">
        <is>
          <t>Supreme Court</t>
        </is>
      </c>
      <c r="M173" s="2" t="inlineStr">
        <is>
          <t>AIR 1999 SC 2036; (1999) ECR 481; (1999) 108 ELT 3; (1999) 237 ITR 579; (1999) 3 JT 227; (1999) 2 SCALE 678; (1999) 4 SCC 98; (1999) 2 SCR 699; (1999) AIRSCW 1746; (1999) 4 Supreme 172</t>
        </is>
      </c>
      <c r="N173" s="11" t="n">
        <v>1999</v>
      </c>
      <c r="O173" s="11" t="n"/>
      <c r="P173" s="11" t="n"/>
      <c r="Q173" s="11" t="n"/>
      <c r="R173" s="2" t="n"/>
      <c r="S173" s="2" t="n"/>
      <c r="T173" s="11" t="inlineStr"/>
      <c r="U173" s="11" t="inlineStr"/>
      <c r="V173" s="11" t="inlineStr">
        <is>
          <t>outside_list</t>
        </is>
      </c>
      <c r="W173" s="11" t="n"/>
      <c r="X173" s="11" t="n"/>
      <c r="Y173" s="11" t="n"/>
      <c r="Z173" s="11" t="inlineStr">
        <is>
          <t>Mr. Advocate</t>
        </is>
      </c>
      <c r="AA173" s="11" t="inlineStr">
        <is>
          <t>2026-10-07</t>
        </is>
      </c>
      <c r="AB173" s="11" t="inlineStr">
        <is>
          <t>name_year</t>
        </is>
      </c>
      <c r="AC173" s="2" t="inlineStr"/>
      <c r="AD173" s="2" t="inlineStr">
        <is>
          <t>Commissioner of Income Tax v. Wheel and Rim Company of India Ltd. (1977) was overruled by Commissioner of Income Tax, Karnataka v. Sterling Foods, Mangalore (1999).</t>
        </is>
      </c>
      <c r="AE173" s="2" t="n"/>
      <c r="AF173" s="11" t="inlineStr">
        <is>
          <t>created from list 1</t>
        </is>
      </c>
    </row>
    <row r="174">
      <c r="A174" s="11" t="inlineStr">
        <is>
          <t>L1-0173</t>
        </is>
      </c>
      <c r="B174" s="11" t="inlineStr">
        <is>
          <t>List 1 (to ~2015)</t>
        </is>
      </c>
      <c r="C174" s="11" t="inlineStr">
        <is>
          <t>list1</t>
        </is>
      </c>
      <c r="D174" s="11" t="inlineStr">
        <is>
          <t>verified</t>
        </is>
      </c>
      <c r="E174" s="11" t="inlineStr">
        <is>
          <t>overruled</t>
        </is>
      </c>
      <c r="F174" s="2" t="inlineStr">
        <is>
          <t>Ramalingam, represented by his maternal uncle, Swaminatha Odayar v. Punithavalli Ammal and Another</t>
        </is>
      </c>
      <c r="G174" s="11" t="inlineStr"/>
      <c r="H174" s="11" t="inlineStr">
        <is>
          <t>Madras</t>
        </is>
      </c>
      <c r="I174" s="2" t="inlineStr">
        <is>
          <t>AIR 1964 Mad 320; (1964) ILR (Mad) 664; (1964) 77 LW 121</t>
        </is>
      </c>
      <c r="J174" s="11" t="n">
        <v>1964</v>
      </c>
      <c r="K174" s="2" t="inlineStr">
        <is>
          <t>Punithavalli Ammal v. Minor Ramalingam and Another</t>
        </is>
      </c>
      <c r="L174" s="11" t="inlineStr">
        <is>
          <t>Supreme Court</t>
        </is>
      </c>
      <c r="M174" s="2" t="inlineStr">
        <is>
          <t>AIR 1970 SC 1730; (1970) 1 SCC 570; (1970) 3 SCR 894</t>
        </is>
      </c>
      <c r="N174" s="11" t="n">
        <v>1970</v>
      </c>
      <c r="O174" s="11" t="n"/>
      <c r="P174" s="11" t="n"/>
      <c r="Q174" s="11" t="n"/>
      <c r="R174" s="2" t="n"/>
      <c r="S174" s="2" t="n"/>
      <c r="T174" s="11" t="inlineStr"/>
      <c r="U174" s="11" t="inlineStr"/>
      <c r="V174" s="11" t="inlineStr">
        <is>
          <t>outside_list</t>
        </is>
      </c>
      <c r="W174" s="11" t="n"/>
      <c r="X174" s="11" t="n"/>
      <c r="Y174" s="11" t="n"/>
      <c r="Z174" s="11" t="inlineStr">
        <is>
          <t>Mr. Advocate</t>
        </is>
      </c>
      <c r="AA174" s="11" t="inlineStr">
        <is>
          <t>2026-10-07</t>
        </is>
      </c>
      <c r="AB174" s="11" t="inlineStr">
        <is>
          <t>name_year</t>
        </is>
      </c>
      <c r="AC174" s="2" t="inlineStr"/>
      <c r="AD174" s="2" t="inlineStr">
        <is>
          <t>Ramalingam, represented by his maternal uncle, Swaminatha Odayar v. Punithavalli Ammal and Another (1964) was overruled by Punithavalli Ammal v. Minor Ramalingam and Another (1970).</t>
        </is>
      </c>
      <c r="AE174" s="2" t="n"/>
      <c r="AF174" s="11" t="inlineStr">
        <is>
          <t>created from list 1</t>
        </is>
      </c>
    </row>
    <row r="175">
      <c r="A175" s="11" t="inlineStr">
        <is>
          <t>L1-0174</t>
        </is>
      </c>
      <c r="B175" s="11" t="inlineStr">
        <is>
          <t>List 1 (to ~2015)</t>
        </is>
      </c>
      <c r="C175" s="11" t="inlineStr">
        <is>
          <t>list1</t>
        </is>
      </c>
      <c r="D175" s="11" t="inlineStr">
        <is>
          <t>verified</t>
        </is>
      </c>
      <c r="E175" s="11" t="inlineStr">
        <is>
          <t>overruled</t>
        </is>
      </c>
      <c r="F175" s="2" t="inlineStr">
        <is>
          <t>K.M. Muneeruddin and 4 others v. P.M. Punnoose</t>
        </is>
      </c>
      <c r="G175" s="11" t="inlineStr"/>
      <c r="H175" s="11" t="inlineStr">
        <is>
          <t>unknown</t>
        </is>
      </c>
      <c r="I175" s="2" t="inlineStr">
        <is>
          <t>(2000) 2 CTC 577</t>
        </is>
      </c>
      <c r="J175" s="11" t="n">
        <v>2000</v>
      </c>
      <c r="K175" s="2" t="inlineStr">
        <is>
          <t>P.M. Punnoose v. K.M. Munneruddin and Others</t>
        </is>
      </c>
      <c r="L175" s="11" t="inlineStr">
        <is>
          <t>Supreme Court</t>
        </is>
      </c>
      <c r="M175" s="2" t="inlineStr">
        <is>
          <t>AIR 2003 SC 2993; (2003) 3 CTC 348; (2003) 7 JT 105; (2003) 5 SCALE 453; (2003) 10 SCC 610; (2003) 1 SCR 698 Supp; (2003) AIRSCW 3663; (2003) 5 Supreme 147</t>
        </is>
      </c>
      <c r="N175" s="11" t="n">
        <v>2003</v>
      </c>
      <c r="O175" s="11" t="n"/>
      <c r="P175" s="11" t="n"/>
      <c r="Q175" s="11" t="n"/>
      <c r="R175" s="2" t="n"/>
      <c r="S175" s="2" t="n"/>
      <c r="T175" s="11" t="inlineStr"/>
      <c r="U175" s="11" t="inlineStr"/>
      <c r="V175" s="11" t="inlineStr">
        <is>
          <t>outside_list</t>
        </is>
      </c>
      <c r="W175" s="11" t="n"/>
      <c r="X175" s="11" t="n"/>
      <c r="Y175" s="11" t="n"/>
      <c r="Z175" s="11" t="inlineStr">
        <is>
          <t>Mr. Advocate</t>
        </is>
      </c>
      <c r="AA175" s="11" t="inlineStr">
        <is>
          <t>2026-10-07</t>
        </is>
      </c>
      <c r="AB175" s="11" t="inlineStr">
        <is>
          <t>name_year</t>
        </is>
      </c>
      <c r="AC175" s="2" t="inlineStr"/>
      <c r="AD175" s="2" t="inlineStr">
        <is>
          <t>K.M. Muneeruddin and 4 others v. P.M. Punnoose (2000) was overruled by P.M. Punnoose v. K.M. Munneruddin and Others (2003).</t>
        </is>
      </c>
      <c r="AE175" s="2" t="n"/>
      <c r="AF175" s="11" t="inlineStr">
        <is>
          <t>created from list 1</t>
        </is>
      </c>
    </row>
    <row r="176">
      <c r="A176" s="11" t="inlineStr">
        <is>
          <t>L1-0175</t>
        </is>
      </c>
      <c r="B176" s="11" t="inlineStr">
        <is>
          <t>List 1 (to ~2015)</t>
        </is>
      </c>
      <c r="C176" s="11" t="inlineStr">
        <is>
          <t>list1</t>
        </is>
      </c>
      <c r="D176" s="11" t="inlineStr">
        <is>
          <t>verified</t>
        </is>
      </c>
      <c r="E176" s="11" t="inlineStr">
        <is>
          <t>overruled</t>
        </is>
      </c>
      <c r="F176" s="2" t="inlineStr">
        <is>
          <t>Deputy Commissioner of Commercial Taxes v. Kodaikanal Motor Union Private Limited</t>
        </is>
      </c>
      <c r="G176" s="11" t="inlineStr"/>
      <c r="H176" s="11" t="inlineStr">
        <is>
          <t>unknown</t>
        </is>
      </c>
      <c r="I176" s="2" t="inlineStr">
        <is>
          <t>(1973) 31 STC 1</t>
        </is>
      </c>
      <c r="J176" s="11" t="n">
        <v>1973</v>
      </c>
      <c r="K176" s="2" t="inlineStr">
        <is>
          <t>State of Tamil Nadu v. Kodaikanal Motor Union (P) Ltd.</t>
        </is>
      </c>
      <c r="L176" s="11" t="inlineStr">
        <is>
          <t>Supreme Court</t>
        </is>
      </c>
      <c r="M176" s="2" t="inlineStr">
        <is>
          <t>AIR 1986 SC 1973; (1986) 1 SCALE 922; (1986) 3 SCC 91; (1986) 2 SCR 927; (1986) 62 STC 272; (1986) 2 UJ 631</t>
        </is>
      </c>
      <c r="N176" s="11" t="n">
        <v>1986</v>
      </c>
      <c r="O176" s="11" t="n"/>
      <c r="P176" s="11" t="n"/>
      <c r="Q176" s="11" t="n"/>
      <c r="R176" s="2" t="n"/>
      <c r="S176" s="2" t="n"/>
      <c r="T176" s="11" t="inlineStr"/>
      <c r="U176" s="11" t="inlineStr"/>
      <c r="V176" s="11" t="inlineStr">
        <is>
          <t>outside_list</t>
        </is>
      </c>
      <c r="W176" s="11" t="n"/>
      <c r="X176" s="11" t="n"/>
      <c r="Y176" s="11" t="n"/>
      <c r="Z176" s="11" t="inlineStr">
        <is>
          <t>Mr. Advocate</t>
        </is>
      </c>
      <c r="AA176" s="11" t="inlineStr">
        <is>
          <t>2026-10-07</t>
        </is>
      </c>
      <c r="AB176" s="11" t="inlineStr">
        <is>
          <t>name_year</t>
        </is>
      </c>
      <c r="AC176" s="2" t="inlineStr"/>
      <c r="AD176" s="2" t="inlineStr">
        <is>
          <t>Deputy Commissioner of Commercial Taxes v. Kodaikanal Motor Union Private Limited (1973) was overruled by State of Tamil Nadu v. Kodaikanal Motor Union (P) Ltd. (1986).</t>
        </is>
      </c>
      <c r="AE176" s="2" t="n"/>
      <c r="AF176" s="11" t="inlineStr">
        <is>
          <t>created from list 1</t>
        </is>
      </c>
    </row>
    <row r="177">
      <c r="A177" s="11" t="inlineStr">
        <is>
          <t>L1-0176</t>
        </is>
      </c>
      <c r="B177" s="11" t="inlineStr">
        <is>
          <t>List 1 (to ~2015)</t>
        </is>
      </c>
      <c r="C177" s="11" t="inlineStr">
        <is>
          <t>list1</t>
        </is>
      </c>
      <c r="D177" s="11" t="inlineStr">
        <is>
          <t>verified</t>
        </is>
      </c>
      <c r="E177" s="11" t="inlineStr">
        <is>
          <t>reversed_on_appeal</t>
        </is>
      </c>
      <c r="F177" s="2" t="inlineStr">
        <is>
          <t>The Co-Operative Sugars Limited v. The State of Tamil Nadu</t>
        </is>
      </c>
      <c r="G177" s="11" t="inlineStr"/>
      <c r="H177" s="11" t="inlineStr">
        <is>
          <t>unknown</t>
        </is>
      </c>
      <c r="I177" s="2" t="inlineStr">
        <is>
          <t>(1977) 40 STC 195</t>
        </is>
      </c>
      <c r="J177" s="11" t="n">
        <v>1977</v>
      </c>
      <c r="K177" s="2" t="inlineStr">
        <is>
          <t>Cooperative Sugars (Chittur) Ltd. v. State of Tamil Nadu</t>
        </is>
      </c>
      <c r="L177" s="11" t="inlineStr">
        <is>
          <t>Supreme Court</t>
        </is>
      </c>
      <c r="M177" s="2" t="inlineStr">
        <is>
          <t>AIR 1994 SC 1456(2); (1993) 4 SCC 42 Supp; (1993) 90 STC 1</t>
        </is>
      </c>
      <c r="N177" s="11" t="n">
        <v>1994</v>
      </c>
      <c r="O177" s="11" t="n"/>
      <c r="P177" s="11" t="n"/>
      <c r="Q177" s="11" t="n"/>
      <c r="R177" s="2" t="n"/>
      <c r="S177" s="2" t="n"/>
      <c r="T177" s="11" t="inlineStr">
        <is>
          <t>yes</t>
        </is>
      </c>
      <c r="U177" s="11" t="inlineStr"/>
      <c r="V177" s="11" t="inlineStr">
        <is>
          <t>outside_list</t>
        </is>
      </c>
      <c r="W177" s="11" t="n"/>
      <c r="X177" s="11" t="n"/>
      <c r="Y177" s="11" t="n"/>
      <c r="Z177" s="11" t="inlineStr">
        <is>
          <t>Mr. Advocate</t>
        </is>
      </c>
      <c r="AA177" s="11" t="inlineStr">
        <is>
          <t>2026-10-07</t>
        </is>
      </c>
      <c r="AB177" s="11" t="inlineStr">
        <is>
          <t>name_year</t>
        </is>
      </c>
      <c r="AC177" s="2" t="inlineStr"/>
      <c r="AD177" s="2" t="inlineStr">
        <is>
          <t>The Co-Operative Sugars Limited v. The State of Tamil Nadu (1977) was reversed on appeal by the Supreme Court in Cooperative Sugars (Chittur) Ltd. v. State of Tamil Nadu (1994).</t>
        </is>
      </c>
      <c r="AE177" s="2" t="n"/>
      <c r="AF177" s="11" t="inlineStr">
        <is>
          <t>created from list 1</t>
        </is>
      </c>
    </row>
    <row r="178">
      <c r="A178" s="11" t="inlineStr">
        <is>
          <t>L1-0177</t>
        </is>
      </c>
      <c r="B178" s="11" t="inlineStr">
        <is>
          <t>List 1 (to ~2015)</t>
        </is>
      </c>
      <c r="C178" s="11" t="inlineStr">
        <is>
          <t>list1</t>
        </is>
      </c>
      <c r="D178" s="11" t="inlineStr">
        <is>
          <t>verified</t>
        </is>
      </c>
      <c r="E178" s="11" t="inlineStr">
        <is>
          <t>overruled</t>
        </is>
      </c>
      <c r="F178" s="2" t="inlineStr">
        <is>
          <t>A.S. Shaik Fathima and Others v. Omer Cloth Store and Others</t>
        </is>
      </c>
      <c r="G178" s="11" t="inlineStr"/>
      <c r="H178" s="11" t="inlineStr">
        <is>
          <t>Madras</t>
        </is>
      </c>
      <c r="I178" s="2" t="inlineStr">
        <is>
          <t>AIR 1986 Mad 90; (1985) ILR (Mad) 158; (1985) 98 LW 311</t>
        </is>
      </c>
      <c r="J178" s="11" t="n">
        <v>1986</v>
      </c>
      <c r="K178" s="2" t="inlineStr">
        <is>
          <t>P.ORR and Sons (P) Ltd. v. Associated Publishers (Madras) Limited</t>
        </is>
      </c>
      <c r="L178" s="11" t="inlineStr">
        <is>
          <t>Supreme Court</t>
        </is>
      </c>
      <c r="M178" s="2" t="inlineStr">
        <is>
          <t>(1990) 4 JT 374; (1990) 2 SCALE 960; (1991) 1 SCC 301; (1990) 2 SCR 615 Supp</t>
        </is>
      </c>
      <c r="N178" s="11" t="n">
        <v>1990</v>
      </c>
      <c r="O178" s="11" t="n"/>
      <c r="P178" s="11" t="n"/>
      <c r="Q178" s="11" t="n"/>
      <c r="R178" s="2" t="n"/>
      <c r="S178" s="2" t="n"/>
      <c r="T178" s="11" t="inlineStr"/>
      <c r="U178" s="11" t="inlineStr"/>
      <c r="V178" s="11" t="inlineStr">
        <is>
          <t>outside_list</t>
        </is>
      </c>
      <c r="W178" s="11" t="n"/>
      <c r="X178" s="11" t="n"/>
      <c r="Y178" s="11" t="n"/>
      <c r="Z178" s="11" t="inlineStr">
        <is>
          <t>Mr. Advocate</t>
        </is>
      </c>
      <c r="AA178" s="11" t="inlineStr">
        <is>
          <t>2026-10-07</t>
        </is>
      </c>
      <c r="AB178" s="11" t="inlineStr">
        <is>
          <t>name_year</t>
        </is>
      </c>
      <c r="AC178" s="2" t="inlineStr">
        <is>
          <t>L1-0236: overruled by Laxmi Bai Patel v. Shyam Kumar Patel (2002)</t>
        </is>
      </c>
      <c r="AD178" s="2" t="inlineStr">
        <is>
          <t>A.S. Shaik Fathima and Others v. Omer Cloth Store and Others (1986) was overruled by P.ORR and Sons (P) Ltd. v. Associated Publishers (Madras) Limited (1990). Note: P.ORR and Sons (P) Ltd. v. Associated Publishers (Madras) Limited was itself later overruled by Laxmi Bai Patel v. Shyam Kumar Patel (2002); the current position should be checked.</t>
        </is>
      </c>
      <c r="AE178" s="2" t="n"/>
      <c r="AF178" s="11" t="inlineStr">
        <is>
          <t>created from list 1</t>
        </is>
      </c>
    </row>
    <row r="179">
      <c r="A179" s="11" t="inlineStr">
        <is>
          <t>L1-0178</t>
        </is>
      </c>
      <c r="B179" s="11" t="inlineStr">
        <is>
          <t>List 1 (to ~2015)</t>
        </is>
      </c>
      <c r="C179" s="11" t="inlineStr">
        <is>
          <t>list1</t>
        </is>
      </c>
      <c r="D179" s="11" t="inlineStr">
        <is>
          <t>verified</t>
        </is>
      </c>
      <c r="E179" s="11" t="inlineStr">
        <is>
          <t>overruled</t>
        </is>
      </c>
      <c r="F179" s="2" t="inlineStr">
        <is>
          <t>V. Thanappa Chetty v. Arcot Govindaswami Naicker and Another</t>
        </is>
      </c>
      <c r="G179" s="11" t="inlineStr"/>
      <c r="H179" s="11" t="inlineStr">
        <is>
          <t>Madras</t>
        </is>
      </c>
      <c r="I179" s="2" t="inlineStr">
        <is>
          <t>AIR 1952 Mad 553; (1952) 65 LW 89; (1952) 1 MLJ 248</t>
        </is>
      </c>
      <c r="J179" s="11" t="n">
        <v>1952</v>
      </c>
      <c r="K179" s="2" t="inlineStr">
        <is>
          <t>M. Padmanabha Setty v. K.P. Papiah Setty</t>
        </is>
      </c>
      <c r="L179" s="11" t="inlineStr">
        <is>
          <t>Supreme Court</t>
        </is>
      </c>
      <c r="M179" s="2" t="inlineStr">
        <is>
          <t>AIR 1966 SC 1824; (1966) 3 SCR 868</t>
        </is>
      </c>
      <c r="N179" s="11" t="n">
        <v>1966</v>
      </c>
      <c r="O179" s="11" t="n"/>
      <c r="P179" s="11" t="n"/>
      <c r="Q179" s="11" t="n"/>
      <c r="R179" s="2" t="n"/>
      <c r="S179" s="2" t="n"/>
      <c r="T179" s="11" t="inlineStr"/>
      <c r="U179" s="11" t="inlineStr"/>
      <c r="V179" s="11" t="inlineStr">
        <is>
          <t>outside_list</t>
        </is>
      </c>
      <c r="W179" s="11" t="n"/>
      <c r="X179" s="11" t="n"/>
      <c r="Y179" s="11" t="n"/>
      <c r="Z179" s="11" t="inlineStr">
        <is>
          <t>Mr. Advocate</t>
        </is>
      </c>
      <c r="AA179" s="11" t="inlineStr">
        <is>
          <t>2026-10-07</t>
        </is>
      </c>
      <c r="AB179" s="11" t="inlineStr">
        <is>
          <t>name_year</t>
        </is>
      </c>
      <c r="AC179" s="2" t="inlineStr"/>
      <c r="AD179" s="2" t="inlineStr">
        <is>
          <t>V. Thanappa Chetty v. Arcot Govindaswami Naicker and Another (1952) was overruled by M. Padmanabha Setty v. K.P. Papiah Setty (1966).</t>
        </is>
      </c>
      <c r="AE179" s="2" t="n"/>
      <c r="AF179" s="11" t="inlineStr">
        <is>
          <t>created from list 1</t>
        </is>
      </c>
    </row>
    <row r="180">
      <c r="A180" s="11" t="inlineStr">
        <is>
          <t>L1-0179</t>
        </is>
      </c>
      <c r="B180" s="11" t="inlineStr">
        <is>
          <t>List 1 (to ~2015)</t>
        </is>
      </c>
      <c r="C180" s="11" t="inlineStr">
        <is>
          <t>list1</t>
        </is>
      </c>
      <c r="D180" s="11" t="inlineStr">
        <is>
          <t>verified</t>
        </is>
      </c>
      <c r="E180" s="11" t="inlineStr">
        <is>
          <t>reversed_on_appeal</t>
        </is>
      </c>
      <c r="F180" s="2" t="inlineStr">
        <is>
          <t>Hussain Bhai and Others v. Commissioner of Income Tax, Madras</t>
        </is>
      </c>
      <c r="G180" s="11" t="inlineStr"/>
      <c r="H180" s="11" t="inlineStr">
        <is>
          <t>Madras</t>
        </is>
      </c>
      <c r="I180" s="2" t="inlineStr">
        <is>
          <t>AIR 1967 Mad 38; (1966) 62 ITR 456</t>
        </is>
      </c>
      <c r="J180" s="11" t="n">
        <v>1967</v>
      </c>
      <c r="K180" s="2" t="inlineStr">
        <is>
          <t>Hussain Bhai and Others v. Commissioner of Income Tax, Madras</t>
        </is>
      </c>
      <c r="L180" s="11" t="inlineStr">
        <is>
          <t>Supreme Court</t>
        </is>
      </c>
      <c r="M180" s="2" t="inlineStr">
        <is>
          <t>AIR 1971 SC 1256; (1971) 80 ITR 477; (1971) 2 SCC 17; (1971) SCR 390 Supp</t>
        </is>
      </c>
      <c r="N180" s="11" t="n">
        <v>1971</v>
      </c>
      <c r="O180" s="11" t="n"/>
      <c r="P180" s="11" t="n"/>
      <c r="Q180" s="11" t="n"/>
      <c r="R180" s="2" t="n"/>
      <c r="S180" s="2" t="n"/>
      <c r="T180" s="11" t="inlineStr">
        <is>
          <t>yes</t>
        </is>
      </c>
      <c r="U180" s="11" t="inlineStr"/>
      <c r="V180" s="11" t="inlineStr">
        <is>
          <t>outside_list</t>
        </is>
      </c>
      <c r="W180" s="11" t="n"/>
      <c r="X180" s="11" t="n"/>
      <c r="Y180" s="11" t="n"/>
      <c r="Z180" s="11" t="inlineStr">
        <is>
          <t>Mr. Advocate</t>
        </is>
      </c>
      <c r="AA180" s="11" t="inlineStr">
        <is>
          <t>2026-10-07</t>
        </is>
      </c>
      <c r="AB180" s="11" t="inlineStr">
        <is>
          <t>name_year</t>
        </is>
      </c>
      <c r="AC180" s="2" t="inlineStr"/>
      <c r="AD180" s="2" t="inlineStr">
        <is>
          <t>Hussain Bhai and Others v. Commissioner of Income Tax, Madras (1967) was reversed on appeal by the Supreme Court in Hussain Bhai and Others v. Commissioner of Income Tax, Madras (1971).</t>
        </is>
      </c>
      <c r="AE180" s="2" t="n"/>
      <c r="AF180" s="11" t="inlineStr">
        <is>
          <t>created from list 1</t>
        </is>
      </c>
    </row>
    <row r="181">
      <c r="A181" s="11" t="inlineStr">
        <is>
          <t>L1-0180</t>
        </is>
      </c>
      <c r="B181" s="11" t="inlineStr">
        <is>
          <t>List 1 (to ~2015)</t>
        </is>
      </c>
      <c r="C181" s="11" t="inlineStr">
        <is>
          <t>list1</t>
        </is>
      </c>
      <c r="D181" s="11" t="inlineStr">
        <is>
          <t>verified</t>
        </is>
      </c>
      <c r="E181" s="11" t="inlineStr">
        <is>
          <t>overruled</t>
        </is>
      </c>
      <c r="F181" s="2" t="inlineStr">
        <is>
          <t>R. Ramanujam Chettiar v. The Commissioner and Secretary to the Government of Tamil Nadu, Food and Co-operative Dept., Madras</t>
        </is>
      </c>
      <c r="G181" s="11" t="inlineStr"/>
      <c r="H181" s="11" t="inlineStr">
        <is>
          <t>Madras</t>
        </is>
      </c>
      <c r="I181" s="2" t="inlineStr">
        <is>
          <t>AIR 1982 Mad 261; (1982) ILR (Mad) 388</t>
        </is>
      </c>
      <c r="J181" s="11" t="n">
        <v>1982</v>
      </c>
      <c r="K181" s="2" t="inlineStr">
        <is>
          <t>Chingleput Bottlers v. Majestic Bottling Company</t>
        </is>
      </c>
      <c r="L181" s="11" t="inlineStr">
        <is>
          <t>Supreme Court</t>
        </is>
      </c>
      <c r="M181" s="2" t="inlineStr">
        <is>
          <t>AIR 1984 SC 1030; (1984) 1 SCALE 832; (1984) 3 SCC 258; (1984) 3 SCR 190; (1984) 16 UJ 570</t>
        </is>
      </c>
      <c r="N181" s="11" t="n">
        <v>1984</v>
      </c>
      <c r="O181" s="11" t="n"/>
      <c r="P181" s="11" t="n"/>
      <c r="Q181" s="11" t="n"/>
      <c r="R181" s="2" t="n"/>
      <c r="S181" s="2" t="n"/>
      <c r="T181" s="11" t="inlineStr"/>
      <c r="U181" s="11" t="inlineStr"/>
      <c r="V181" s="11" t="inlineStr">
        <is>
          <t>outside_list</t>
        </is>
      </c>
      <c r="W181" s="11" t="n"/>
      <c r="X181" s="11" t="n"/>
      <c r="Y181" s="11" t="n"/>
      <c r="Z181" s="11" t="inlineStr">
        <is>
          <t>Mr. Advocate</t>
        </is>
      </c>
      <c r="AA181" s="11" t="inlineStr">
        <is>
          <t>2026-10-07</t>
        </is>
      </c>
      <c r="AB181" s="11" t="inlineStr">
        <is>
          <t>name_year</t>
        </is>
      </c>
      <c r="AC181" s="2" t="inlineStr"/>
      <c r="AD181" s="2" t="inlineStr">
        <is>
          <t>R. Ramanujam Chettiar v. The Commissioner and Secretary to the Government of Tamil Nadu, Food and Co-operative Dept., Madras (1982) was overruled by Chingleput Bottlers v. Majestic Bottling Company (1984).</t>
        </is>
      </c>
      <c r="AE181" s="2" t="n"/>
      <c r="AF181" s="11" t="inlineStr">
        <is>
          <t>created from list 1</t>
        </is>
      </c>
    </row>
    <row r="182">
      <c r="A182" s="11" t="inlineStr">
        <is>
          <t>L1-0181</t>
        </is>
      </c>
      <c r="B182" s="11" t="inlineStr">
        <is>
          <t>List 1 (to ~2015)</t>
        </is>
      </c>
      <c r="C182" s="11" t="inlineStr">
        <is>
          <t>list1</t>
        </is>
      </c>
      <c r="D182" s="11" t="inlineStr">
        <is>
          <t>verified</t>
        </is>
      </c>
      <c r="E182" s="11" t="inlineStr">
        <is>
          <t>overruled</t>
        </is>
      </c>
      <c r="F182" s="2" t="inlineStr">
        <is>
          <t>Webster Industries Ltd. v. Union of India (UOI) and Others</t>
        </is>
      </c>
      <c r="G182" s="11" t="inlineStr"/>
      <c r="H182" s="11" t="inlineStr">
        <is>
          <t>unknown</t>
        </is>
      </c>
      <c r="I182" s="2" t="inlineStr">
        <is>
          <t>(1997) 1 CALLT 471; (1997) 225 ITR 924; (1998) 96 TAXMAN 311</t>
        </is>
      </c>
      <c r="J182" s="11" t="n">
        <v>1997</v>
      </c>
      <c r="K182" s="2" t="inlineStr">
        <is>
          <t>Appropriate Authority and Commissioner Income Tax v. Smt. Varshaben Bharatbhai Shah and Others</t>
        </is>
      </c>
      <c r="L182" s="11" t="inlineStr">
        <is>
          <t>Supreme Court</t>
        </is>
      </c>
      <c r="M182" s="2" t="inlineStr">
        <is>
          <t>AIR 2001 SC 1339; (2001) 166 CTR 373; (2001) 248 ITR 342; (2001) 3 JT 468; (2001) 2 SCALE 411; (2001) 4 SCC 1; (2001) 2 SCR 349; (2001) AIRSCW 3174; (2001) AIRSCW 1069; (2001) 2 Supreme 305; (2001) 6 Supreme 327</t>
        </is>
      </c>
      <c r="N182" s="11" t="n">
        <v>2001</v>
      </c>
      <c r="O182" s="11" t="n"/>
      <c r="P182" s="11" t="n"/>
      <c r="Q182" s="11" t="n"/>
      <c r="R182" s="2" t="n"/>
      <c r="S182" s="2" t="n"/>
      <c r="T182" s="11" t="inlineStr"/>
      <c r="U182" s="11" t="inlineStr"/>
      <c r="V182" s="11" t="inlineStr">
        <is>
          <t>outside_list</t>
        </is>
      </c>
      <c r="W182" s="11" t="n"/>
      <c r="X182" s="11" t="n"/>
      <c r="Y182" s="11" t="n"/>
      <c r="Z182" s="11" t="inlineStr">
        <is>
          <t>Mr. Advocate</t>
        </is>
      </c>
      <c r="AA182" s="11" t="inlineStr">
        <is>
          <t>2026-10-07</t>
        </is>
      </c>
      <c r="AB182" s="11" t="inlineStr">
        <is>
          <t>name_year</t>
        </is>
      </c>
      <c r="AC182" s="2" t="inlineStr"/>
      <c r="AD182" s="2" t="inlineStr">
        <is>
          <t>Webster Industries Ltd. v. Union of India (UOI) and Others (1997) was overruled by Appropriate Authority and Commissioner Income Tax v. Smt. Varshaben Bharatbhai Shah and Others (2001).</t>
        </is>
      </c>
      <c r="AE182" s="2" t="n"/>
      <c r="AF182" s="11" t="inlineStr">
        <is>
          <t>created from list 1</t>
        </is>
      </c>
    </row>
    <row r="183">
      <c r="A183" s="11" t="inlineStr">
        <is>
          <t>L1-0182</t>
        </is>
      </c>
      <c r="B183" s="11" t="inlineStr">
        <is>
          <t>List 1 (to ~2015)</t>
        </is>
      </c>
      <c r="C183" s="11" t="inlineStr">
        <is>
          <t>list1</t>
        </is>
      </c>
      <c r="D183" s="11" t="inlineStr">
        <is>
          <t>verified</t>
        </is>
      </c>
      <c r="E183" s="11" t="inlineStr">
        <is>
          <t>overruled</t>
        </is>
      </c>
      <c r="F183" s="2" t="inlineStr">
        <is>
          <t>Sri Rama Machinery Corporation (P) Ltd., Madras v. N.R. Murthy and Another</t>
        </is>
      </c>
      <c r="G183" s="11" t="inlineStr"/>
      <c r="H183" s="11" t="inlineStr">
        <is>
          <t>Madras</t>
        </is>
      </c>
      <c r="I183" s="2" t="inlineStr">
        <is>
          <t>AIR 1967 Mad 452; (1967) 14 FLR 112; (1966) 2 LLJ 899</t>
        </is>
      </c>
      <c r="J183" s="11" t="n">
        <v>1967</v>
      </c>
      <c r="K183" s="2" t="inlineStr">
        <is>
          <t>Mahendra Singh Dhantwal v. Hindustan Motors Ltd. and Others</t>
        </is>
      </c>
      <c r="L183" s="11" t="inlineStr">
        <is>
          <t>Supreme Court</t>
        </is>
      </c>
      <c r="M183" s="2" t="inlineStr">
        <is>
          <t>AIR 1976 SC 2062; (1976) 2 LLJ 259; (1976) 4 SCC 606; (1976) SCR 635 Supp; (1976) 1 SLJ 521</t>
        </is>
      </c>
      <c r="N183" s="11" t="n">
        <v>1976</v>
      </c>
      <c r="O183" s="11" t="n"/>
      <c r="P183" s="11" t="n"/>
      <c r="Q183" s="11" t="n"/>
      <c r="R183" s="2" t="n"/>
      <c r="S183" s="2" t="n"/>
      <c r="T183" s="11" t="inlineStr"/>
      <c r="U183" s="11" t="inlineStr"/>
      <c r="V183" s="11" t="inlineStr">
        <is>
          <t>outside_list</t>
        </is>
      </c>
      <c r="W183" s="11" t="n"/>
      <c r="X183" s="11" t="n"/>
      <c r="Y183" s="11" t="n"/>
      <c r="Z183" s="11" t="inlineStr">
        <is>
          <t>Mr. Advocate</t>
        </is>
      </c>
      <c r="AA183" s="11" t="inlineStr">
        <is>
          <t>2026-10-07</t>
        </is>
      </c>
      <c r="AB183" s="11" t="inlineStr">
        <is>
          <t>name_year</t>
        </is>
      </c>
      <c r="AC183" s="2" t="inlineStr"/>
      <c r="AD183" s="2" t="inlineStr">
        <is>
          <t>Sri Rama Machinery Corporation (P) Ltd., Madras v. N.R. Murthy and Another (1967) was overruled by Mahendra Singh Dhantwal v. Hindustan Motors Ltd. and Others (1976).</t>
        </is>
      </c>
      <c r="AE183" s="2" t="n"/>
      <c r="AF183" s="11" t="inlineStr">
        <is>
          <t>created from list 1</t>
        </is>
      </c>
    </row>
    <row r="184">
      <c r="A184" s="11" t="inlineStr">
        <is>
          <t>L1-0183</t>
        </is>
      </c>
      <c r="B184" s="11" t="inlineStr">
        <is>
          <t>List 1 (to ~2015)</t>
        </is>
      </c>
      <c r="C184" s="11" t="inlineStr">
        <is>
          <t>list1</t>
        </is>
      </c>
      <c r="D184" s="11" t="inlineStr">
        <is>
          <t>verified</t>
        </is>
      </c>
      <c r="E184" s="11" t="inlineStr">
        <is>
          <t>overruled</t>
        </is>
      </c>
      <c r="F184" s="2" t="inlineStr">
        <is>
          <t>Bharat Abhyudoy Cotton Mills Ltd. v. Maharajadhiraj Sir Kameswar Singh and Another</t>
        </is>
      </c>
      <c r="G184" s="11" t="inlineStr"/>
      <c r="H184" s="11" t="inlineStr">
        <is>
          <t>Calcutta</t>
        </is>
      </c>
      <c r="I184" s="2" t="inlineStr">
        <is>
          <t>AIR 1938 Cal 745</t>
        </is>
      </c>
      <c r="J184" s="11" t="n">
        <v>1938</v>
      </c>
      <c r="K184" s="2" t="inlineStr">
        <is>
          <t>Union Bank of India v. Khader International Construction and Others</t>
        </is>
      </c>
      <c r="L184" s="11" t="inlineStr">
        <is>
          <t>Supreme Court</t>
        </is>
      </c>
      <c r="M184" s="2" t="inlineStr">
        <is>
          <t>AIR 2001 SC 2277; (2001) 105 CompCas 856; (2001) 3 CompLJ 137; (2001) 5 JT 218; (2001) 4 SCALE 56; (2001) 5 SCC 22; (2001) 3 SCR 580; (2001) AIRSCW 2045; (2001) 4 Supreme 132; (2001) 4 Supreme 573</t>
        </is>
      </c>
      <c r="N184" s="11" t="n">
        <v>2001</v>
      </c>
      <c r="O184" s="11" t="n"/>
      <c r="P184" s="11" t="n"/>
      <c r="Q184" s="11" t="n"/>
      <c r="R184" s="2" t="n"/>
      <c r="S184" s="2" t="n"/>
      <c r="T184" s="11" t="inlineStr"/>
      <c r="U184" s="11" t="inlineStr"/>
      <c r="V184" s="11" t="inlineStr">
        <is>
          <t>outside_list</t>
        </is>
      </c>
      <c r="W184" s="11" t="n"/>
      <c r="X184" s="11" t="n"/>
      <c r="Y184" s="11" t="n"/>
      <c r="Z184" s="11" t="inlineStr">
        <is>
          <t>Mr. Advocate</t>
        </is>
      </c>
      <c r="AA184" s="11" t="inlineStr">
        <is>
          <t>2026-10-07</t>
        </is>
      </c>
      <c r="AB184" s="11" t="inlineStr">
        <is>
          <t>name_year</t>
        </is>
      </c>
      <c r="AC184" s="2" t="inlineStr"/>
      <c r="AD184" s="2" t="inlineStr">
        <is>
          <t>Bharat Abhyudoy Cotton Mills Ltd. v. Maharajadhiraj Sir Kameswar Singh and Another (1938) was overruled by Union Bank of India v. Khader International Construction and Others (2001).</t>
        </is>
      </c>
      <c r="AE184" s="2" t="n"/>
      <c r="AF184" s="11" t="inlineStr">
        <is>
          <t>created from list 1</t>
        </is>
      </c>
    </row>
    <row r="185">
      <c r="A185" s="11" t="inlineStr">
        <is>
          <t>L1-0184</t>
        </is>
      </c>
      <c r="B185" s="11" t="inlineStr">
        <is>
          <t>List 1 (to ~2015)</t>
        </is>
      </c>
      <c r="C185" s="11" t="inlineStr">
        <is>
          <t>list1</t>
        </is>
      </c>
      <c r="D185" s="11" t="inlineStr">
        <is>
          <t>verified</t>
        </is>
      </c>
      <c r="E185" s="11" t="inlineStr">
        <is>
          <t>reversed_on_appeal</t>
        </is>
      </c>
      <c r="F185" s="2" t="inlineStr">
        <is>
          <t>The Southern India Education Trust, Madras v. M.S. Jagadambal</t>
        </is>
      </c>
      <c r="G185" s="11" t="inlineStr"/>
      <c r="H185" s="11" t="inlineStr">
        <is>
          <t>Madras</t>
        </is>
      </c>
      <c r="I185" s="2" t="inlineStr">
        <is>
          <t>AIR 1972 Mad 162; (1972) ILR (Mad) 155; (1971) 84 LW 815</t>
        </is>
      </c>
      <c r="J185" s="11" t="n">
        <v>1972</v>
      </c>
      <c r="K185" s="2" t="inlineStr">
        <is>
          <t>M.S. Jagadambal v. Southern Indian Education Trust and Others</t>
        </is>
      </c>
      <c r="L185" s="11" t="inlineStr">
        <is>
          <t>Supreme Court</t>
        </is>
      </c>
      <c r="M185" s="2" t="inlineStr">
        <is>
          <t>AIR 1988 SC 103; (1987) 4 JT 484; (1987) 2 SCALE 925; (1988) 1 SCR 722; (1988) 1 UJ 86</t>
        </is>
      </c>
      <c r="N185" s="11" t="n">
        <v>1988</v>
      </c>
      <c r="O185" s="11" t="n"/>
      <c r="P185" s="11" t="n"/>
      <c r="Q185" s="11" t="n"/>
      <c r="R185" s="2" t="n"/>
      <c r="S185" s="2" t="n"/>
      <c r="T185" s="11" t="inlineStr">
        <is>
          <t>yes</t>
        </is>
      </c>
      <c r="U185" s="11" t="inlineStr"/>
      <c r="V185" s="11" t="inlineStr">
        <is>
          <t>outside_list</t>
        </is>
      </c>
      <c r="W185" s="11" t="n"/>
      <c r="X185" s="11" t="n"/>
      <c r="Y185" s="11" t="n"/>
      <c r="Z185" s="11" t="inlineStr">
        <is>
          <t>Mr. Advocate</t>
        </is>
      </c>
      <c r="AA185" s="11" t="inlineStr">
        <is>
          <t>2026-10-07</t>
        </is>
      </c>
      <c r="AB185" s="11" t="inlineStr">
        <is>
          <t>name_year</t>
        </is>
      </c>
      <c r="AC185" s="2" t="inlineStr"/>
      <c r="AD185" s="2" t="inlineStr">
        <is>
          <t>The Southern India Education Trust, Madras v. M.S. Jagadambal (1972) was reversed on appeal by the Supreme Court in M.S. Jagadambal v. Southern Indian Education Trust and Others (1988).</t>
        </is>
      </c>
      <c r="AE185" s="2" t="n"/>
      <c r="AF185" s="11" t="inlineStr">
        <is>
          <t>created from list 1</t>
        </is>
      </c>
    </row>
    <row r="186">
      <c r="A186" s="11" t="inlineStr">
        <is>
          <t>L1-0185</t>
        </is>
      </c>
      <c r="B186" s="11" t="inlineStr">
        <is>
          <t>List 1 (to ~2015)</t>
        </is>
      </c>
      <c r="C186" s="11" t="inlineStr">
        <is>
          <t>list1</t>
        </is>
      </c>
      <c r="D186" s="11" t="inlineStr">
        <is>
          <t>verified</t>
        </is>
      </c>
      <c r="E186" s="11" t="inlineStr">
        <is>
          <t>overruled</t>
        </is>
      </c>
      <c r="F186" s="2" t="inlineStr">
        <is>
          <t>K. Vinodkumar v. S. Palanisamy and Bharat Petroleum Corporation Ltd.</t>
        </is>
      </c>
      <c r="G186" s="11" t="inlineStr"/>
      <c r="H186" s="11" t="inlineStr">
        <is>
          <t>unknown</t>
        </is>
      </c>
      <c r="I186" s="2" t="inlineStr">
        <is>
          <t>(2003) 3 MLJ 173; (2003) WritLR 476</t>
        </is>
      </c>
      <c r="J186" s="11" t="n">
        <v>2003</v>
      </c>
      <c r="K186" s="2" t="inlineStr">
        <is>
          <t>K. Vinod Kumar v. S. Palanisamy and Others</t>
        </is>
      </c>
      <c r="L186" s="11" t="inlineStr">
        <is>
          <t>Supreme Court</t>
        </is>
      </c>
      <c r="M186" s="2" t="inlineStr">
        <is>
          <t>AIR 2003 SC 3171; (2004) 1 CTLJ 436; (2003) 8 JT 100; (2003) 6 SCALE 753; (2003) 10 SCC 681; (2003) 2 UJ 1480; (2004) AIRSCW 4260; (2003) AIRSCW 4519; (2004) 2 Supreme 589; (2003) 6 Supreme 471</t>
        </is>
      </c>
      <c r="N186" s="11" t="n">
        <v>2003</v>
      </c>
      <c r="O186" s="11" t="n"/>
      <c r="P186" s="11" t="n"/>
      <c r="Q186" s="11" t="n"/>
      <c r="R186" s="2" t="n"/>
      <c r="S186" s="2" t="n"/>
      <c r="T186" s="11" t="inlineStr"/>
      <c r="U186" s="11" t="inlineStr"/>
      <c r="V186" s="11" t="inlineStr">
        <is>
          <t>outside_list</t>
        </is>
      </c>
      <c r="W186" s="11" t="n"/>
      <c r="X186" s="11" t="n"/>
      <c r="Y186" s="11" t="n"/>
      <c r="Z186" s="11" t="inlineStr">
        <is>
          <t>Mr. Advocate</t>
        </is>
      </c>
      <c r="AA186" s="11" t="inlineStr">
        <is>
          <t>2026-10-07</t>
        </is>
      </c>
      <c r="AB186" s="11" t="inlineStr">
        <is>
          <t>name_year</t>
        </is>
      </c>
      <c r="AC186" s="2" t="inlineStr"/>
      <c r="AD186" s="2" t="inlineStr">
        <is>
          <t>K. Vinodkumar v. S. Palanisamy and Bharat Petroleum Corporation Ltd. (2003) was overruled by K. Vinod Kumar v. S. Palanisamy and Others (2003).</t>
        </is>
      </c>
      <c r="AE186" s="2" t="n"/>
      <c r="AF186" s="11" t="inlineStr">
        <is>
          <t>created from list 1</t>
        </is>
      </c>
    </row>
    <row r="187">
      <c r="A187" s="11" t="inlineStr">
        <is>
          <t>L1-0186</t>
        </is>
      </c>
      <c r="B187" s="11" t="inlineStr">
        <is>
          <t>List 1 (to ~2015)</t>
        </is>
      </c>
      <c r="C187" s="11" t="inlineStr">
        <is>
          <t>list1</t>
        </is>
      </c>
      <c r="D187" s="11" t="inlineStr">
        <is>
          <t>verified</t>
        </is>
      </c>
      <c r="E187" s="11" t="inlineStr">
        <is>
          <t>overruled</t>
        </is>
      </c>
      <c r="F187" s="2" t="inlineStr">
        <is>
          <t>Commissioner of Income Tax v. Rajalakshmi Mills Ltd.</t>
        </is>
      </c>
      <c r="G187" s="11" t="inlineStr"/>
      <c r="H187" s="11" t="inlineStr">
        <is>
          <t>unknown</t>
        </is>
      </c>
      <c r="I187" s="2" t="inlineStr">
        <is>
          <t>(1980) 125 ITR 141</t>
        </is>
      </c>
      <c r="J187" s="11" t="n">
        <v>1980</v>
      </c>
      <c r="K187" s="2" t="inlineStr">
        <is>
          <t>Modi Industries Limited, Modinagar and Others v. Commissioner of Income Tax, Delhi and Another</t>
        </is>
      </c>
      <c r="L187" s="11" t="inlineStr">
        <is>
          <t>Supreme Court</t>
        </is>
      </c>
      <c r="M187" s="2" t="inlineStr">
        <is>
          <t>(1995) 128 CTR 361; (1995) 216 ITR 759; (1995) 6 JT 549; (1995) 5 SCALE 362; (1995) 6 SCC 396; (1995) 3 SCR 642 Supp</t>
        </is>
      </c>
      <c r="N187" s="11" t="n">
        <v>1995</v>
      </c>
      <c r="O187" s="11" t="n"/>
      <c r="P187" s="11" t="n"/>
      <c r="Q187" s="11" t="n"/>
      <c r="R187" s="2" t="n"/>
      <c r="S187" s="2" t="n"/>
      <c r="T187" s="11" t="inlineStr"/>
      <c r="U187" s="11" t="inlineStr"/>
      <c r="V187" s="11" t="inlineStr">
        <is>
          <t>outside_list</t>
        </is>
      </c>
      <c r="W187" s="11" t="n"/>
      <c r="X187" s="11" t="n"/>
      <c r="Y187" s="11" t="n"/>
      <c r="Z187" s="11" t="inlineStr">
        <is>
          <t>Mr. Advocate</t>
        </is>
      </c>
      <c r="AA187" s="11" t="inlineStr">
        <is>
          <t>2026-10-07</t>
        </is>
      </c>
      <c r="AB187" s="11" t="inlineStr">
        <is>
          <t>name_year</t>
        </is>
      </c>
      <c r="AC187" s="2" t="inlineStr"/>
      <c r="AD187" s="2" t="inlineStr">
        <is>
          <t>Commissioner of Income Tax v. Rajalakshmi Mills Ltd. (1980) was overruled by Modi Industries Limited, Modinagar and Others v. Commissioner of Income Tax, Delhi and Another (1995).</t>
        </is>
      </c>
      <c r="AE187" s="2" t="n"/>
      <c r="AF187" s="11" t="inlineStr">
        <is>
          <t>created from list 1</t>
        </is>
      </c>
    </row>
    <row r="188">
      <c r="A188" s="11" t="inlineStr">
        <is>
          <t>L1-0187</t>
        </is>
      </c>
      <c r="B188" s="11" t="inlineStr">
        <is>
          <t>List 1 (to ~2015)</t>
        </is>
      </c>
      <c r="C188" s="11" t="inlineStr">
        <is>
          <t>list1</t>
        </is>
      </c>
      <c r="D188" s="11" t="inlineStr">
        <is>
          <t>verified</t>
        </is>
      </c>
      <c r="E188" s="11" t="inlineStr">
        <is>
          <t>overruled</t>
        </is>
      </c>
      <c r="F188" s="2" t="inlineStr">
        <is>
          <t>Kanakavali Ammal and Others v. V.S. Sundaram and Others</t>
        </is>
      </c>
      <c r="G188" s="11" t="inlineStr"/>
      <c r="H188" s="11" t="inlineStr">
        <is>
          <t>unknown</t>
        </is>
      </c>
      <c r="I188" s="2" t="inlineStr">
        <is>
          <t>(1984) 97 LW 166; (1984) 1 MLJ 310</t>
        </is>
      </c>
      <c r="J188" s="11" t="n">
        <v>1984</v>
      </c>
      <c r="K188" s="2" t="inlineStr">
        <is>
          <t>P.ORR and Sons (P) Ltd. v. Associated Publishers (Madras) Limited</t>
        </is>
      </c>
      <c r="L188" s="11" t="inlineStr">
        <is>
          <t>Supreme Court</t>
        </is>
      </c>
      <c r="M188" s="2" t="inlineStr">
        <is>
          <t>(1990) 4 JT 374; (1990) 2 SCALE 960; (1991) 1 SCC 301; (1990) 2 SCR 615 Supp</t>
        </is>
      </c>
      <c r="N188" s="11" t="n">
        <v>1990</v>
      </c>
      <c r="O188" s="11" t="n"/>
      <c r="P188" s="11" t="n"/>
      <c r="Q188" s="11" t="n"/>
      <c r="R188" s="2" t="n"/>
      <c r="S188" s="2" t="n"/>
      <c r="T188" s="11" t="inlineStr"/>
      <c r="U188" s="11" t="inlineStr"/>
      <c r="V188" s="11" t="inlineStr">
        <is>
          <t>outside_list</t>
        </is>
      </c>
      <c r="W188" s="11" t="n"/>
      <c r="X188" s="11" t="n"/>
      <c r="Y188" s="11" t="n"/>
      <c r="Z188" s="11" t="inlineStr">
        <is>
          <t>Mr. Advocate</t>
        </is>
      </c>
      <c r="AA188" s="11" t="inlineStr">
        <is>
          <t>2026-10-07</t>
        </is>
      </c>
      <c r="AB188" s="11" t="inlineStr">
        <is>
          <t>name_year</t>
        </is>
      </c>
      <c r="AC188" s="2" t="inlineStr">
        <is>
          <t>L1-0236: overruled by Laxmi Bai Patel v. Shyam Kumar Patel (2002)</t>
        </is>
      </c>
      <c r="AD188" s="2" t="inlineStr">
        <is>
          <t>Kanakavali Ammal and Others v. V.S. Sundaram and Others (1984) was overruled by P.ORR and Sons (P) Ltd. v. Associated Publishers (Madras) Limited (1990). Note: P.ORR and Sons (P) Ltd. v. Associated Publishers (Madras) Limited was itself later overruled by Laxmi Bai Patel v. Shyam Kumar Patel (2002); the current position should be checked.</t>
        </is>
      </c>
      <c r="AE188" s="2" t="n"/>
      <c r="AF188" s="11" t="inlineStr">
        <is>
          <t>created from list 1</t>
        </is>
      </c>
    </row>
    <row r="189">
      <c r="A189" s="11" t="inlineStr">
        <is>
          <t>L1-0188</t>
        </is>
      </c>
      <c r="B189" s="11" t="inlineStr">
        <is>
          <t>List 1 (to ~2015)</t>
        </is>
      </c>
      <c r="C189" s="11" t="inlineStr">
        <is>
          <t>list1</t>
        </is>
      </c>
      <c r="D189" s="11" t="inlineStr">
        <is>
          <t>verified</t>
        </is>
      </c>
      <c r="E189" s="11" t="inlineStr">
        <is>
          <t>overruled</t>
        </is>
      </c>
      <c r="F189" s="2" t="inlineStr">
        <is>
          <t>R. Jagannatha Chettiar v. Swarnambal</t>
        </is>
      </c>
      <c r="G189" s="11" t="inlineStr"/>
      <c r="H189" s="11" t="inlineStr">
        <is>
          <t>unknown</t>
        </is>
      </c>
      <c r="I189" s="2" t="inlineStr">
        <is>
          <t>(1984) 97 LW 182; (1984) 2 MLJ 6</t>
        </is>
      </c>
      <c r="J189" s="11" t="n">
        <v>1984</v>
      </c>
      <c r="K189" s="2" t="inlineStr">
        <is>
          <t>V. Radhakrishnan v. S.N. Loganatha Mudaliar</t>
        </is>
      </c>
      <c r="L189" s="11" t="inlineStr">
        <is>
          <t>Supreme Court</t>
        </is>
      </c>
      <c r="M189" s="2" t="inlineStr">
        <is>
          <t>AIR 1998 SC 2696; (1998) 3 CTC 108; (1998) 5 JT 494; (1998) 4 SCALE 478; (1998) 6 SCC 431; (1998) 3 SCR 1029; (1998) AIRSCW 2743; (1998) 6 Supreme 293</t>
        </is>
      </c>
      <c r="N189" s="11" t="n">
        <v>1998</v>
      </c>
      <c r="O189" s="11" t="n"/>
      <c r="P189" s="11" t="n"/>
      <c r="Q189" s="11" t="n"/>
      <c r="R189" s="2" t="n"/>
      <c r="S189" s="2" t="n"/>
      <c r="T189" s="11" t="inlineStr"/>
      <c r="U189" s="11" t="inlineStr"/>
      <c r="V189" s="11" t="inlineStr">
        <is>
          <t>outside_list</t>
        </is>
      </c>
      <c r="W189" s="11" t="n"/>
      <c r="X189" s="11" t="n"/>
      <c r="Y189" s="11" t="n"/>
      <c r="Z189" s="11" t="inlineStr">
        <is>
          <t>Mr. Advocate</t>
        </is>
      </c>
      <c r="AA189" s="11" t="inlineStr">
        <is>
          <t>2026-10-07</t>
        </is>
      </c>
      <c r="AB189" s="11" t="inlineStr">
        <is>
          <t>name_year</t>
        </is>
      </c>
      <c r="AC189" s="2" t="inlineStr"/>
      <c r="AD189" s="2" t="inlineStr">
        <is>
          <t>R. Jagannatha Chettiar v. Swarnambal (1984) was overruled by V. Radhakrishnan v. S.N. Loganatha Mudaliar (1998).</t>
        </is>
      </c>
      <c r="AE189" s="2" t="n"/>
      <c r="AF189" s="11" t="inlineStr">
        <is>
          <t>created from list 1</t>
        </is>
      </c>
    </row>
    <row r="190">
      <c r="A190" s="11" t="inlineStr">
        <is>
          <t>L1-0189</t>
        </is>
      </c>
      <c r="B190" s="11" t="inlineStr">
        <is>
          <t>List 1 (to ~2015)</t>
        </is>
      </c>
      <c r="C190" s="11" t="inlineStr">
        <is>
          <t>list1</t>
        </is>
      </c>
      <c r="D190" s="11" t="inlineStr">
        <is>
          <t>verified</t>
        </is>
      </c>
      <c r="E190" s="11" t="inlineStr">
        <is>
          <t>reversed_on_appeal</t>
        </is>
      </c>
      <c r="F190" s="2" t="inlineStr">
        <is>
          <t>M.K. Kandaswami and Others v. The State of Tamil Nadu and Others</t>
        </is>
      </c>
      <c r="G190" s="11" t="inlineStr"/>
      <c r="H190" s="11" t="inlineStr">
        <is>
          <t>unknown</t>
        </is>
      </c>
      <c r="I190" s="2" t="inlineStr">
        <is>
          <t>(1971) 28 STC 227</t>
        </is>
      </c>
      <c r="J190" s="11" t="n">
        <v>1971</v>
      </c>
      <c r="K190" s="2" t="inlineStr">
        <is>
          <t>The State of Tamil Nadu v. M.K. Kandaswami and Others</t>
        </is>
      </c>
      <c r="L190" s="11" t="inlineStr">
        <is>
          <t>Supreme Court</t>
        </is>
      </c>
      <c r="M190" s="2" t="inlineStr">
        <is>
          <t>AIR 1975 SC 1871; (1975) 4 SCC 745; (1976) 1 SCR 38; (1975) 36 STC 191; (1975) 7 UJ 521</t>
        </is>
      </c>
      <c r="N190" s="11" t="n">
        <v>1975</v>
      </c>
      <c r="O190" s="11" t="n"/>
      <c r="P190" s="11" t="n"/>
      <c r="Q190" s="11" t="n"/>
      <c r="R190" s="2" t="n"/>
      <c r="S190" s="2" t="n"/>
      <c r="T190" s="11" t="inlineStr">
        <is>
          <t>yes</t>
        </is>
      </c>
      <c r="U190" s="11" t="inlineStr"/>
      <c r="V190" s="11" t="inlineStr">
        <is>
          <t>outside_list</t>
        </is>
      </c>
      <c r="W190" s="11" t="n"/>
      <c r="X190" s="11" t="n"/>
      <c r="Y190" s="11" t="n"/>
      <c r="Z190" s="11" t="inlineStr">
        <is>
          <t>Mr. Advocate</t>
        </is>
      </c>
      <c r="AA190" s="11" t="inlineStr">
        <is>
          <t>2026-10-07</t>
        </is>
      </c>
      <c r="AB190" s="11" t="inlineStr">
        <is>
          <t>name_year</t>
        </is>
      </c>
      <c r="AC190" s="2" t="inlineStr"/>
      <c r="AD190" s="2" t="inlineStr">
        <is>
          <t>M.K. Kandaswami and Others v. The State of Tamil Nadu and Others (1971) was reversed on appeal by the Supreme Court in The State of Tamil Nadu v. M.K. Kandaswami and Others (1975).</t>
        </is>
      </c>
      <c r="AE190" s="2" t="n"/>
      <c r="AF190" s="11" t="inlineStr">
        <is>
          <t>created from list 1</t>
        </is>
      </c>
    </row>
    <row r="191">
      <c r="A191" s="11" t="inlineStr">
        <is>
          <t>L1-0190</t>
        </is>
      </c>
      <c r="B191" s="11" t="inlineStr">
        <is>
          <t>List 1 (to ~2015)</t>
        </is>
      </c>
      <c r="C191" s="11" t="inlineStr">
        <is>
          <t>list1</t>
        </is>
      </c>
      <c r="D191" s="11" t="inlineStr">
        <is>
          <t>verified</t>
        </is>
      </c>
      <c r="E191" s="11" t="inlineStr">
        <is>
          <t>overruled</t>
        </is>
      </c>
      <c r="F191" s="2" t="inlineStr">
        <is>
          <t>Venkata Ramani Aiyar and Another v. M. Narayanaswami Aiyar and Others</t>
        </is>
      </c>
      <c r="G191" s="11" t="inlineStr"/>
      <c r="H191" s="11" t="inlineStr">
        <is>
          <t>Madras</t>
        </is>
      </c>
      <c r="I191" s="2" t="inlineStr">
        <is>
          <t>AIR 1925 Mad 713; 87 Ind. Cas. 660; (1925) 21 LW 649; (1925) 48 MLJ 688</t>
        </is>
      </c>
      <c r="J191" s="11" t="n">
        <v>1925</v>
      </c>
      <c r="K191" s="2" t="inlineStr">
        <is>
          <t>Shamsher Singh v. Rajinder Prashad and Others</t>
        </is>
      </c>
      <c r="L191" s="11" t="inlineStr">
        <is>
          <t>Supreme Court</t>
        </is>
      </c>
      <c r="M191" s="2" t="inlineStr">
        <is>
          <t>AIR 1973 SC 2384; (1973) 2 SCC 524; (1974) 1 SCR 322; (1973) 5 UJ 784</t>
        </is>
      </c>
      <c r="N191" s="11" t="n">
        <v>1973</v>
      </c>
      <c r="O191" s="11" t="n"/>
      <c r="P191" s="11" t="n"/>
      <c r="Q191" s="11" t="n"/>
      <c r="R191" s="2" t="n"/>
      <c r="S191" s="2" t="n"/>
      <c r="T191" s="11" t="inlineStr"/>
      <c r="U191" s="11" t="inlineStr"/>
      <c r="V191" s="11" t="inlineStr">
        <is>
          <t>outside_list</t>
        </is>
      </c>
      <c r="W191" s="11" t="n"/>
      <c r="X191" s="11" t="n"/>
      <c r="Y191" s="11" t="n"/>
      <c r="Z191" s="11" t="inlineStr">
        <is>
          <t>Mr. Advocate</t>
        </is>
      </c>
      <c r="AA191" s="11" t="inlineStr">
        <is>
          <t>2026-10-07</t>
        </is>
      </c>
      <c r="AB191" s="11" t="inlineStr">
        <is>
          <t>name_year</t>
        </is>
      </c>
      <c r="AC191" s="2" t="inlineStr"/>
      <c r="AD191" s="2" t="inlineStr">
        <is>
          <t>Venkata Ramani Aiyar and Another v. M. Narayanaswami Aiyar and Others (1925) was overruled by Shamsher Singh v. Rajinder Prashad and Others (1973).</t>
        </is>
      </c>
      <c r="AE191" s="2" t="n"/>
      <c r="AF191" s="11" t="inlineStr">
        <is>
          <t>created from list 1</t>
        </is>
      </c>
    </row>
    <row r="192">
      <c r="A192" s="11" t="inlineStr">
        <is>
          <t>L1-0191</t>
        </is>
      </c>
      <c r="B192" s="11" t="inlineStr">
        <is>
          <t>List 1 (to ~2015)</t>
        </is>
      </c>
      <c r="C192" s="11" t="inlineStr">
        <is>
          <t>list1</t>
        </is>
      </c>
      <c r="D192" s="11" t="inlineStr">
        <is>
          <t>verified</t>
        </is>
      </c>
      <c r="E192" s="11" t="inlineStr">
        <is>
          <t>overruled</t>
        </is>
      </c>
      <c r="F192" s="2" t="inlineStr">
        <is>
          <t>M.B. Namazi v. Deputy Custodian of Evacuee Property and Others</t>
        </is>
      </c>
      <c r="G192" s="11" t="inlineStr"/>
      <c r="H192" s="11" t="inlineStr">
        <is>
          <t>Madras</t>
        </is>
      </c>
      <c r="I192" s="2" t="inlineStr">
        <is>
          <t>AIR 1951 Mad 930; (1951) 2 MLJ 1</t>
        </is>
      </c>
      <c r="J192" s="11" t="n">
        <v>1951</v>
      </c>
      <c r="K192" s="2" t="inlineStr">
        <is>
          <t>Custodian of Evacuee Property Punjab and Others v. Jafran Begum</t>
        </is>
      </c>
      <c r="L192" s="11" t="inlineStr">
        <is>
          <t>Supreme Court</t>
        </is>
      </c>
      <c r="M192" s="2" t="inlineStr">
        <is>
          <t>AIR 1968 SC 169; (1968) 70 PLR 1; (1967) 3 SCR 736</t>
        </is>
      </c>
      <c r="N192" s="11" t="n">
        <v>1968</v>
      </c>
      <c r="O192" s="11" t="n"/>
      <c r="P192" s="11" t="n"/>
      <c r="Q192" s="11" t="n"/>
      <c r="R192" s="2" t="n"/>
      <c r="S192" s="2" t="n"/>
      <c r="T192" s="11" t="inlineStr"/>
      <c r="U192" s="11" t="inlineStr"/>
      <c r="V192" s="11" t="inlineStr">
        <is>
          <t>outside_list</t>
        </is>
      </c>
      <c r="W192" s="11" t="n"/>
      <c r="X192" s="11" t="n"/>
      <c r="Y192" s="11" t="n"/>
      <c r="Z192" s="11" t="inlineStr">
        <is>
          <t>Mr. Advocate</t>
        </is>
      </c>
      <c r="AA192" s="11" t="inlineStr">
        <is>
          <t>2026-10-07</t>
        </is>
      </c>
      <c r="AB192" s="11" t="inlineStr">
        <is>
          <t>name_year</t>
        </is>
      </c>
      <c r="AC192" s="2" t="inlineStr"/>
      <c r="AD192" s="2" t="inlineStr">
        <is>
          <t>M.B. Namazi v. Deputy Custodian of Evacuee Property and Others (1951) was overruled by Custodian of Evacuee Property Punjab and Others v. Jafran Begum (1968).</t>
        </is>
      </c>
      <c r="AE192" s="2" t="n"/>
      <c r="AF192" s="11" t="inlineStr">
        <is>
          <t>created from list 1</t>
        </is>
      </c>
    </row>
    <row r="193">
      <c r="A193" s="11" t="inlineStr">
        <is>
          <t>L1-0192</t>
        </is>
      </c>
      <c r="B193" s="11" t="inlineStr">
        <is>
          <t>List 1 (to ~2015)</t>
        </is>
      </c>
      <c r="C193" s="11" t="inlineStr">
        <is>
          <t>list1</t>
        </is>
      </c>
      <c r="D193" s="11" t="inlineStr">
        <is>
          <t>verified</t>
        </is>
      </c>
      <c r="E193" s="11" t="inlineStr">
        <is>
          <t>reversed_on_appeal</t>
        </is>
      </c>
      <c r="F193" s="2" t="inlineStr">
        <is>
          <t>Additional Commissioner of Income Tax v. Progressive Financiers</t>
        </is>
      </c>
      <c r="G193" s="11" t="inlineStr"/>
      <c r="H193" s="11" t="inlineStr">
        <is>
          <t>unknown</t>
        </is>
      </c>
      <c r="I193" s="2" t="inlineStr">
        <is>
          <t>(1979) 118 ITR 18</t>
        </is>
      </c>
      <c r="J193" s="11" t="n">
        <v>1979</v>
      </c>
      <c r="K193" s="2" t="inlineStr">
        <is>
          <t>M/s. Progressive Financers v. Commissioner of Income Tax, Madras</t>
        </is>
      </c>
      <c r="L193" s="11" t="inlineStr">
        <is>
          <t>Supreme Court</t>
        </is>
      </c>
      <c r="M193" s="2" t="inlineStr">
        <is>
          <t>AIR 1997 SC 2160; (1997) 139 CTR 339; (1997) 224 ITR 595; (1997) 2 JT 729; (1997) 2 SCALE 257; (1997) 3 SCC 79; (1997) 2 SCR 280; (1997) 91 TAXMAN 106; (1997) AIRSCW 2015; (1997) 3 Supreme 489</t>
        </is>
      </c>
      <c r="N193" s="11" t="n">
        <v>1997</v>
      </c>
      <c r="O193" s="11" t="n"/>
      <c r="P193" s="11" t="n"/>
      <c r="Q193" s="11" t="n"/>
      <c r="R193" s="2" t="n"/>
      <c r="S193" s="2" t="n"/>
      <c r="T193" s="11" t="inlineStr">
        <is>
          <t>yes</t>
        </is>
      </c>
      <c r="U193" s="11" t="inlineStr"/>
      <c r="V193" s="11" t="inlineStr">
        <is>
          <t>outside_list</t>
        </is>
      </c>
      <c r="W193" s="11" t="n"/>
      <c r="X193" s="11" t="n"/>
      <c r="Y193" s="11" t="n"/>
      <c r="Z193" s="11" t="inlineStr">
        <is>
          <t>Mr. Advocate</t>
        </is>
      </c>
      <c r="AA193" s="11" t="inlineStr">
        <is>
          <t>2026-10-07</t>
        </is>
      </c>
      <c r="AB193" s="11" t="inlineStr">
        <is>
          <t>name_year</t>
        </is>
      </c>
      <c r="AC193" s="2" t="inlineStr"/>
      <c r="AD193" s="2" t="inlineStr">
        <is>
          <t>Additional Commissioner of Income Tax v. Progressive Financiers (1979) was reversed on appeal by the Supreme Court in M/s. Progressive Financers v. Commissioner of Income Tax, Madras (1997).</t>
        </is>
      </c>
      <c r="AE193" s="2" t="n"/>
      <c r="AF193" s="11" t="inlineStr">
        <is>
          <t>created from list 1</t>
        </is>
      </c>
    </row>
    <row r="194">
      <c r="A194" s="11" t="inlineStr">
        <is>
          <t>L1-0193</t>
        </is>
      </c>
      <c r="B194" s="11" t="inlineStr">
        <is>
          <t>List 1 (to ~2015)</t>
        </is>
      </c>
      <c r="C194" s="11" t="inlineStr">
        <is>
          <t>list1</t>
        </is>
      </c>
      <c r="D194" s="11" t="inlineStr">
        <is>
          <t>verified</t>
        </is>
      </c>
      <c r="E194" s="11" t="inlineStr">
        <is>
          <t>overruled</t>
        </is>
      </c>
      <c r="F194" s="2" t="inlineStr">
        <is>
          <t>Rajabu Fathima Buhari and Another v. S.V. Ramakrishna Mudaliar and Others</t>
        </is>
      </c>
      <c r="G194" s="11" t="inlineStr"/>
      <c r="H194" s="11" t="inlineStr">
        <is>
          <t>Madras</t>
        </is>
      </c>
      <c r="I194" s="2" t="inlineStr">
        <is>
          <t>AIR 1973 Mad 70; (1972) 85 LW 755</t>
        </is>
      </c>
      <c r="J194" s="11" t="n">
        <v>1973</v>
      </c>
      <c r="K194" s="2" t="inlineStr">
        <is>
          <t>S.V.R. Mudaliar (Dead) by Lrs. and Others v. Rajabu F. Buhari (Mrs) (Dead) by Lrs. and Others</t>
        </is>
      </c>
      <c r="L194" s="11" t="inlineStr">
        <is>
          <t>Supreme Court</t>
        </is>
      </c>
      <c r="M194" s="2" t="inlineStr">
        <is>
          <t>AIR 1995 SC 1607; (1995) 3 JT 614; (1995) 2 SCALE 720; (1995) 4 SCC 15; (1995) 3 SCR 312</t>
        </is>
      </c>
      <c r="N194" s="11" t="n">
        <v>1995</v>
      </c>
      <c r="O194" s="11" t="n"/>
      <c r="P194" s="11" t="n"/>
      <c r="Q194" s="11" t="n"/>
      <c r="R194" s="2" t="n"/>
      <c r="S194" s="2" t="n"/>
      <c r="T194" s="11" t="inlineStr"/>
      <c r="U194" s="11" t="inlineStr"/>
      <c r="V194" s="11" t="inlineStr">
        <is>
          <t>outside_list</t>
        </is>
      </c>
      <c r="W194" s="11" t="n"/>
      <c r="X194" s="11" t="n"/>
      <c r="Y194" s="11" t="n"/>
      <c r="Z194" s="11" t="inlineStr">
        <is>
          <t>Mr. Advocate</t>
        </is>
      </c>
      <c r="AA194" s="11" t="inlineStr">
        <is>
          <t>2026-10-07</t>
        </is>
      </c>
      <c r="AB194" s="11" t="inlineStr">
        <is>
          <t>name_year</t>
        </is>
      </c>
      <c r="AC194" s="2" t="inlineStr"/>
      <c r="AD194" s="2" t="inlineStr">
        <is>
          <t>Rajabu Fathima Buhari and Another v. S.V. Ramakrishna Mudaliar and Others (1973) was overruled by S.V.R. Mudaliar (Dead) by Lrs. and Others v. Rajabu F. Buhari (Mrs) (Dead) by Lrs. and Others (1995).</t>
        </is>
      </c>
      <c r="AE194" s="2" t="n"/>
      <c r="AF194" s="11" t="inlineStr">
        <is>
          <t>created from list 1</t>
        </is>
      </c>
    </row>
    <row r="195">
      <c r="A195" s="11" t="inlineStr">
        <is>
          <t>L1-0194</t>
        </is>
      </c>
      <c r="B195" s="11" t="inlineStr">
        <is>
          <t>List 1 (to ~2015)</t>
        </is>
      </c>
      <c r="C195" s="11" t="inlineStr">
        <is>
          <t>list1</t>
        </is>
      </c>
      <c r="D195" s="11" t="inlineStr">
        <is>
          <t>verified</t>
        </is>
      </c>
      <c r="E195" s="11" t="inlineStr">
        <is>
          <t>overruled</t>
        </is>
      </c>
      <c r="F195" s="2" t="inlineStr">
        <is>
          <t>Subbarayan v. The Union of India (UOI) and Another</t>
        </is>
      </c>
      <c r="G195" s="11" t="inlineStr"/>
      <c r="H195" s="11" t="inlineStr">
        <is>
          <t>unknown</t>
        </is>
      </c>
      <c r="I195" s="2" t="inlineStr">
        <is>
          <t>(1979) 4 ELT 473; (1975) 88 LW 630</t>
        </is>
      </c>
      <c r="J195" s="11" t="n">
        <v>1975</v>
      </c>
      <c r="K195" s="2" t="inlineStr">
        <is>
          <t>Union of India and another v. The Century Manufacturing Company Ltd.</t>
        </is>
      </c>
      <c r="L195" s="11" t="inlineStr">
        <is>
          <t>Supreme Court</t>
        </is>
      </c>
      <c r="M195" s="2" t="inlineStr">
        <is>
          <t>AIR 1992 SC 2055; (1992) 40 ECC 164; (1992) 41 ECR 193; (1992) 60 ELT 3; (1992) 3 JT 382; (1992) 1 SCALE 1200; (1992) 3 SCC 418; (1992) 3 SCR 282</t>
        </is>
      </c>
      <c r="N195" s="11" t="n">
        <v>1992</v>
      </c>
      <c r="O195" s="11" t="n"/>
      <c r="P195" s="11" t="n"/>
      <c r="Q195" s="11" t="n"/>
      <c r="R195" s="2" t="n"/>
      <c r="S195" s="2" t="n"/>
      <c r="T195" s="11" t="inlineStr"/>
      <c r="U195" s="11" t="inlineStr">
        <is>
          <t>needs_citation_or_year</t>
        </is>
      </c>
      <c r="V195" s="11" t="inlineStr">
        <is>
          <t>outside_list</t>
        </is>
      </c>
      <c r="W195" s="11" t="n"/>
      <c r="X195" s="11" t="n"/>
      <c r="Y195" s="11" t="n"/>
      <c r="Z195" s="11" t="inlineStr">
        <is>
          <t>Mr. Advocate</t>
        </is>
      </c>
      <c r="AA195" s="11" t="inlineStr">
        <is>
          <t>2026-10-07</t>
        </is>
      </c>
      <c r="AB195" s="11" t="inlineStr">
        <is>
          <t>none</t>
        </is>
      </c>
      <c r="AC195" s="2" t="inlineStr"/>
      <c r="AD195" s="2" t="inlineStr">
        <is>
          <t>Subbarayan v. The Union of India (UOI) and Another (1975) was overruled by Union of India and another v. The Century Manufacturing Company Ltd. (1992).</t>
        </is>
      </c>
      <c r="AE195" s="2" t="n"/>
      <c r="AF195" s="11" t="inlineStr">
        <is>
          <t>created from list 1</t>
        </is>
      </c>
    </row>
    <row r="196">
      <c r="A196" s="11" t="inlineStr">
        <is>
          <t>L1-0195</t>
        </is>
      </c>
      <c r="B196" s="11" t="inlineStr">
        <is>
          <t>List 1 (to ~2015)</t>
        </is>
      </c>
      <c r="C196" s="11" t="inlineStr">
        <is>
          <t>list1</t>
        </is>
      </c>
      <c r="D196" s="11" t="inlineStr">
        <is>
          <t>verified</t>
        </is>
      </c>
      <c r="E196" s="11" t="inlineStr">
        <is>
          <t>overruled</t>
        </is>
      </c>
      <c r="F196" s="2" t="inlineStr">
        <is>
          <t>Deputy Commissioner of Commercial Taxes, Madras Division v. Devar and Co. and Others</t>
        </is>
      </c>
      <c r="G196" s="11" t="inlineStr"/>
      <c r="H196" s="11" t="inlineStr">
        <is>
          <t>unknown</t>
        </is>
      </c>
      <c r="I196" s="2" t="inlineStr">
        <is>
          <t>(1964) ILR (Mad) 383; (1963) 14 STC 904</t>
        </is>
      </c>
      <c r="J196" s="11" t="n">
        <v>1963</v>
      </c>
      <c r="K196" s="2" t="inlineStr">
        <is>
          <t>The State of Madras v. Davar and Co.</t>
        </is>
      </c>
      <c r="L196" s="11" t="inlineStr">
        <is>
          <t>Supreme Court</t>
        </is>
      </c>
      <c r="M196" s="2" t="inlineStr">
        <is>
          <t>AIR 1970 SC 165; (1985) 5 ECR 2279; (1969) 3 SCC 406; (1970) 1 SCR 572; (1969) 24 STC 481</t>
        </is>
      </c>
      <c r="N196" s="11" t="n">
        <v>1970</v>
      </c>
      <c r="O196" s="11" t="n"/>
      <c r="P196" s="11" t="n"/>
      <c r="Q196" s="11" t="n"/>
      <c r="R196" s="2" t="n"/>
      <c r="S196" s="2" t="n"/>
      <c r="T196" s="11" t="inlineStr"/>
      <c r="U196" s="11" t="inlineStr"/>
      <c r="V196" s="11" t="inlineStr">
        <is>
          <t>outside_list</t>
        </is>
      </c>
      <c r="W196" s="11" t="n"/>
      <c r="X196" s="11" t="n"/>
      <c r="Y196" s="11" t="n"/>
      <c r="Z196" s="11" t="inlineStr">
        <is>
          <t>Mr. Advocate</t>
        </is>
      </c>
      <c r="AA196" s="11" t="inlineStr">
        <is>
          <t>2026-10-07</t>
        </is>
      </c>
      <c r="AB196" s="11" t="inlineStr">
        <is>
          <t>name_year</t>
        </is>
      </c>
      <c r="AC196" s="2" t="inlineStr"/>
      <c r="AD196" s="2" t="inlineStr">
        <is>
          <t>Deputy Commissioner of Commercial Taxes, Madras Division v. Devar and Co. and Others (1963) was overruled by The State of Madras v. Davar and Co. (1970).</t>
        </is>
      </c>
      <c r="AE196" s="2" t="n"/>
      <c r="AF196" s="11" t="inlineStr">
        <is>
          <t>created from list 1</t>
        </is>
      </c>
    </row>
    <row r="197">
      <c r="A197" s="11" t="inlineStr">
        <is>
          <t>L1-0196</t>
        </is>
      </c>
      <c r="B197" s="11" t="inlineStr">
        <is>
          <t>List 1 (to ~2015)</t>
        </is>
      </c>
      <c r="C197" s="11" t="inlineStr">
        <is>
          <t>list1</t>
        </is>
      </c>
      <c r="D197" s="11" t="inlineStr">
        <is>
          <t>verified</t>
        </is>
      </c>
      <c r="E197" s="11" t="inlineStr">
        <is>
          <t>reversed_on_appeal</t>
        </is>
      </c>
      <c r="F197" s="2" t="inlineStr">
        <is>
          <t>E.I.D. Parry (India) Limited v. Assistant Commissioner of Commercial Taxes and Another</t>
        </is>
      </c>
      <c r="G197" s="11" t="inlineStr"/>
      <c r="H197" s="11" t="inlineStr">
        <is>
          <t>unknown</t>
        </is>
      </c>
      <c r="I197" s="2" t="inlineStr">
        <is>
          <t>(2002) 126 STC 399</t>
        </is>
      </c>
      <c r="J197" s="11" t="n">
        <v>2002</v>
      </c>
      <c r="K197" s="2" t="inlineStr">
        <is>
          <t>E.I.D. Parry (India) Ltd. v. Assistant Commissioner of Commercial Taxes, Chennai</t>
        </is>
      </c>
      <c r="L197" s="11" t="inlineStr">
        <is>
          <t>Supreme Court</t>
        </is>
      </c>
      <c r="M197" s="2" t="inlineStr">
        <is>
          <t>AIR 2005 SC 2645; (2005) 5 JT 129; (2005) 4 SCC 779; (2005) 3 SCR 1144; (2005) 141 STC 12</t>
        </is>
      </c>
      <c r="N197" s="11" t="n">
        <v>2005</v>
      </c>
      <c r="O197" s="11" t="n"/>
      <c r="P197" s="11" t="n"/>
      <c r="Q197" s="11" t="n"/>
      <c r="R197" s="2" t="n"/>
      <c r="S197" s="2" t="n"/>
      <c r="T197" s="11" t="inlineStr">
        <is>
          <t>yes</t>
        </is>
      </c>
      <c r="U197" s="11" t="inlineStr"/>
      <c r="V197" s="11" t="inlineStr">
        <is>
          <t>outside_list</t>
        </is>
      </c>
      <c r="W197" s="11" t="n"/>
      <c r="X197" s="11" t="n"/>
      <c r="Y197" s="11" t="n"/>
      <c r="Z197" s="11" t="inlineStr">
        <is>
          <t>Mr. Advocate</t>
        </is>
      </c>
      <c r="AA197" s="11" t="inlineStr">
        <is>
          <t>2026-10-07</t>
        </is>
      </c>
      <c r="AB197" s="11" t="inlineStr">
        <is>
          <t>name_year</t>
        </is>
      </c>
      <c r="AC197" s="2" t="inlineStr"/>
      <c r="AD197" s="2" t="inlineStr">
        <is>
          <t>E.I.D. Parry (India) Limited v. Assistant Commissioner of Commercial Taxes and Another (2002) was reversed on appeal by the Supreme Court in E.I.D. Parry (India) Ltd. v. Assistant Commissioner of Commercial Taxes, Chennai (2005).</t>
        </is>
      </c>
      <c r="AE197" s="2" t="n"/>
      <c r="AF197" s="11" t="inlineStr">
        <is>
          <t>created from list 1</t>
        </is>
      </c>
    </row>
    <row r="198">
      <c r="A198" s="11" t="inlineStr">
        <is>
          <t>L1-0197</t>
        </is>
      </c>
      <c r="B198" s="11" t="inlineStr">
        <is>
          <t>List 1 (to ~2015)</t>
        </is>
      </c>
      <c r="C198" s="11" t="inlineStr">
        <is>
          <t>list1</t>
        </is>
      </c>
      <c r="D198" s="11" t="inlineStr">
        <is>
          <t>verified</t>
        </is>
      </c>
      <c r="E198" s="11" t="inlineStr">
        <is>
          <t>reversed_on_appeal</t>
        </is>
      </c>
      <c r="F198" s="2" t="inlineStr">
        <is>
          <t>Thanthi Trust v. Assistant Commissioner of Income Tax</t>
        </is>
      </c>
      <c r="G198" s="11" t="inlineStr"/>
      <c r="H198" s="11" t="inlineStr">
        <is>
          <t>unknown</t>
        </is>
      </c>
      <c r="I198" s="2" t="inlineStr">
        <is>
          <t>(1995) 213 ITR 626</t>
        </is>
      </c>
      <c r="J198" s="11" t="n">
        <v>1995</v>
      </c>
      <c r="K198" s="2" t="inlineStr">
        <is>
          <t>The Assistant Commissioner of Income Tax, Madras v. Thanthi Trust etc.</t>
        </is>
      </c>
      <c r="L198" s="11" t="inlineStr">
        <is>
          <t>Supreme Court</t>
        </is>
      </c>
      <c r="M198" s="2" t="inlineStr">
        <is>
          <t>AIR 2001 SC 1043; (2001) 2 JT 229; (2001) 1 SCALE 522; (2001) 1 SCR 727; (2001) AIRSCW 702; (2001) 1 Supreme 559</t>
        </is>
      </c>
      <c r="N198" s="11" t="n">
        <v>2001</v>
      </c>
      <c r="O198" s="11" t="n"/>
      <c r="P198" s="11" t="n"/>
      <c r="Q198" s="11" t="n"/>
      <c r="R198" s="2" t="n"/>
      <c r="S198" s="2" t="n"/>
      <c r="T198" s="11" t="inlineStr">
        <is>
          <t>yes</t>
        </is>
      </c>
      <c r="U198" s="11" t="inlineStr"/>
      <c r="V198" s="11" t="inlineStr">
        <is>
          <t>outside_list</t>
        </is>
      </c>
      <c r="W198" s="11" t="n"/>
      <c r="X198" s="11" t="n"/>
      <c r="Y198" s="11" t="n"/>
      <c r="Z198" s="11" t="inlineStr">
        <is>
          <t>Mr. Advocate</t>
        </is>
      </c>
      <c r="AA198" s="11" t="inlineStr">
        <is>
          <t>2026-10-07</t>
        </is>
      </c>
      <c r="AB198" s="11" t="inlineStr">
        <is>
          <t>name_year</t>
        </is>
      </c>
      <c r="AC198" s="2" t="inlineStr"/>
      <c r="AD198" s="2" t="inlineStr">
        <is>
          <t>Thanthi Trust v. Assistant Commissioner of Income Tax (1995) was reversed on appeal by the Supreme Court in The Assistant Commissioner of Income Tax, Madras v. Thanthi Trust etc. (2001).</t>
        </is>
      </c>
      <c r="AE198" s="2" t="n"/>
      <c r="AF198" s="11" t="inlineStr">
        <is>
          <t>created from list 1</t>
        </is>
      </c>
    </row>
    <row r="199">
      <c r="A199" s="11" t="inlineStr">
        <is>
          <t>L1-0198</t>
        </is>
      </c>
      <c r="B199" s="11" t="inlineStr">
        <is>
          <t>List 1 (to ~2015)</t>
        </is>
      </c>
      <c r="C199" s="11" t="inlineStr">
        <is>
          <t>list1</t>
        </is>
      </c>
      <c r="D199" s="11" t="inlineStr">
        <is>
          <t>verified</t>
        </is>
      </c>
      <c r="E199" s="11" t="inlineStr">
        <is>
          <t>reversed_on_appeal</t>
        </is>
      </c>
      <c r="F199" s="2" t="inlineStr">
        <is>
          <t>The Commissioner of Income Tax v. Janakiram Mills Ltd.</t>
        </is>
      </c>
      <c r="G199" s="11" t="inlineStr"/>
      <c r="H199" s="11" t="inlineStr">
        <is>
          <t>unknown</t>
        </is>
      </c>
      <c r="I199" s="2" t="inlineStr">
        <is>
          <t>(2005) 196 CTC 551; (2005) 275 ITR 403</t>
        </is>
      </c>
      <c r="J199" s="11" t="n">
        <v>2005</v>
      </c>
      <c r="K199" s="2" t="inlineStr">
        <is>
          <t>Commissioner of Income Tax, Madurai v. Sri Mangayarkarasi Mills (P) Ltd.</t>
        </is>
      </c>
      <c r="L199" s="11" t="inlineStr">
        <is>
          <t>Supreme Court</t>
        </is>
      </c>
      <c r="M199" s="2" t="inlineStr">
        <is>
          <t>(2009) 224 CTR 513; (2009) 315 ITR 114; (2009) 9 JT 658; (2011) 11 SCC 656; (2009) 10 SCR 1187; (2009) 182 TAXMAN 141; (2009) 6 UJ 2910</t>
        </is>
      </c>
      <c r="N199" s="11" t="n">
        <v>2009</v>
      </c>
      <c r="O199" s="11" t="n"/>
      <c r="P199" s="11" t="n"/>
      <c r="Q199" s="11" t="n"/>
      <c r="R199" s="2" t="n"/>
      <c r="S199" s="2" t="n"/>
      <c r="T199" s="11" t="inlineStr">
        <is>
          <t>yes</t>
        </is>
      </c>
      <c r="U199" s="11" t="inlineStr"/>
      <c r="V199" s="11" t="inlineStr">
        <is>
          <t>outside_list</t>
        </is>
      </c>
      <c r="W199" s="11" t="n"/>
      <c r="X199" s="11" t="n"/>
      <c r="Y199" s="11" t="n"/>
      <c r="Z199" s="11" t="inlineStr">
        <is>
          <t>Mr. Advocate</t>
        </is>
      </c>
      <c r="AA199" s="11" t="inlineStr">
        <is>
          <t>2026-10-07</t>
        </is>
      </c>
      <c r="AB199" s="11" t="inlineStr">
        <is>
          <t>name_year</t>
        </is>
      </c>
      <c r="AC199" s="2" t="inlineStr"/>
      <c r="AD199" s="2" t="inlineStr">
        <is>
          <t>The Commissioner of Income Tax v. Janakiram Mills Ltd. (2005) was reversed on appeal by the Supreme Court in Commissioner of Income Tax, Madurai v. Sri Mangayarkarasi Mills (P) Ltd. (2009).</t>
        </is>
      </c>
      <c r="AE199" s="2" t="n"/>
      <c r="AF199" s="11" t="inlineStr">
        <is>
          <t>created from list 1</t>
        </is>
      </c>
    </row>
    <row r="200">
      <c r="A200" s="11" t="inlineStr">
        <is>
          <t>L1-0199</t>
        </is>
      </c>
      <c r="B200" s="11" t="inlineStr">
        <is>
          <t>List 1 (to ~2015)</t>
        </is>
      </c>
      <c r="C200" s="11" t="inlineStr">
        <is>
          <t>list1</t>
        </is>
      </c>
      <c r="D200" s="11" t="inlineStr">
        <is>
          <t>verified</t>
        </is>
      </c>
      <c r="E200" s="11" t="inlineStr">
        <is>
          <t>reversed_on_appeal</t>
        </is>
      </c>
      <c r="F200" s="2" t="inlineStr">
        <is>
          <t>India Cine Agencies v. The Commissioner of Income Tax</t>
        </is>
      </c>
      <c r="G200" s="11" t="inlineStr"/>
      <c r="H200" s="11" t="inlineStr">
        <is>
          <t>unknown</t>
        </is>
      </c>
      <c r="I200" s="2" t="inlineStr">
        <is>
          <t>(2003) 180 CTR 41; (2003) 261 ITR 491</t>
        </is>
      </c>
      <c r="J200" s="11" t="n">
        <v>2003</v>
      </c>
      <c r="K200" s="2" t="inlineStr">
        <is>
          <t>India Cine Agencies v. Commissioner of Income Tax, Madras</t>
        </is>
      </c>
      <c r="L200" s="11" t="inlineStr">
        <is>
          <t>Supreme Court</t>
        </is>
      </c>
      <c r="M200" s="2" t="inlineStr">
        <is>
          <t>(2008) 220 CTR 223; (2008) 233 ELT 8; (2009) 308 ITR 98; (2008) 12 JT 666; (2012) 210 TAXMAN 253; (2008) 175 TAXMAN 361</t>
        </is>
      </c>
      <c r="N200" s="11" t="n">
        <v>2008</v>
      </c>
      <c r="O200" s="11" t="n"/>
      <c r="P200" s="11" t="n"/>
      <c r="Q200" s="11" t="n"/>
      <c r="R200" s="2" t="n"/>
      <c r="S200" s="2" t="n"/>
      <c r="T200" s="11" t="inlineStr">
        <is>
          <t>yes</t>
        </is>
      </c>
      <c r="U200" s="11" t="inlineStr"/>
      <c r="V200" s="11" t="inlineStr">
        <is>
          <t>outside_list</t>
        </is>
      </c>
      <c r="W200" s="11" t="n"/>
      <c r="X200" s="11" t="n"/>
      <c r="Y200" s="11" t="n"/>
      <c r="Z200" s="11" t="inlineStr">
        <is>
          <t>Mr. Advocate</t>
        </is>
      </c>
      <c r="AA200" s="11" t="inlineStr">
        <is>
          <t>2026-10-07</t>
        </is>
      </c>
      <c r="AB200" s="11" t="inlineStr">
        <is>
          <t>name_year</t>
        </is>
      </c>
      <c r="AC200" s="2" t="inlineStr"/>
      <c r="AD200" s="2" t="inlineStr">
        <is>
          <t>India Cine Agencies v. The Commissioner of Income Tax (2003) was reversed on appeal by the Supreme Court in India Cine Agencies v. Commissioner of Income Tax, Madras (2008).</t>
        </is>
      </c>
      <c r="AE200" s="2" t="n"/>
      <c r="AF200" s="11" t="inlineStr">
        <is>
          <t>created from list 1</t>
        </is>
      </c>
    </row>
    <row r="201">
      <c r="A201" s="11" t="inlineStr">
        <is>
          <t>L1-0200</t>
        </is>
      </c>
      <c r="B201" s="11" t="inlineStr">
        <is>
          <t>List 1 (to ~2015)</t>
        </is>
      </c>
      <c r="C201" s="11" t="inlineStr">
        <is>
          <t>list1</t>
        </is>
      </c>
      <c r="D201" s="11" t="inlineStr">
        <is>
          <t>verified</t>
        </is>
      </c>
      <c r="E201" s="11" t="inlineStr">
        <is>
          <t>overruled</t>
        </is>
      </c>
      <c r="F201" s="2" t="inlineStr">
        <is>
          <t>Vishnudas Kishindas Zarda Factory v. The Vazir Sultan Tobacco Company Ltd.</t>
        </is>
      </c>
      <c r="G201" s="11" t="inlineStr"/>
      <c r="H201" s="11" t="inlineStr">
        <is>
          <t>unknown</t>
        </is>
      </c>
      <c r="I201" s="2" t="inlineStr">
        <is>
          <t>(1991) 194 MLJ 1</t>
        </is>
      </c>
      <c r="J201" s="11" t="n">
        <v>1991</v>
      </c>
      <c r="K201" s="2" t="inlineStr">
        <is>
          <t>Vishnudas Trading as Vishnudas Kishandas v. Vazir Sultan Tobacco Co. Ltd., Hyderabad and another</t>
        </is>
      </c>
      <c r="L201" s="11" t="inlineStr">
        <is>
          <t>Supreme Court</t>
        </is>
      </c>
      <c r="M201" s="2" t="inlineStr">
        <is>
          <t>AIR 1996 SC 2275; (1996) 2 ARBLR 222; (1996) 6 JT 366; (1996) 5 SCALE 267; (1997) 4 SCC 201; (1996) 3 SCR 329 Supp</t>
        </is>
      </c>
      <c r="N201" s="11" t="n">
        <v>1996</v>
      </c>
      <c r="O201" s="11" t="n"/>
      <c r="P201" s="11" t="n"/>
      <c r="Q201" s="11" t="n"/>
      <c r="R201" s="2" t="n"/>
      <c r="S201" s="2" t="n"/>
      <c r="T201" s="11" t="inlineStr"/>
      <c r="U201" s="11" t="inlineStr"/>
      <c r="V201" s="11" t="inlineStr">
        <is>
          <t>outside_list</t>
        </is>
      </c>
      <c r="W201" s="11" t="n"/>
      <c r="X201" s="11" t="n"/>
      <c r="Y201" s="11" t="n"/>
      <c r="Z201" s="11" t="inlineStr">
        <is>
          <t>Mr. Advocate</t>
        </is>
      </c>
      <c r="AA201" s="11" t="inlineStr">
        <is>
          <t>2026-10-07</t>
        </is>
      </c>
      <c r="AB201" s="11" t="inlineStr">
        <is>
          <t>name_year</t>
        </is>
      </c>
      <c r="AC201" s="2" t="inlineStr"/>
      <c r="AD201" s="2" t="inlineStr">
        <is>
          <t>Vishnudas Kishindas Zarda Factory v. The Vazir Sultan Tobacco Company Ltd. (1991) was overruled by Vishnudas Trading as Vishnudas Kishandas v. Vazir Sultan Tobacco Co. Ltd., Hyderabad and another (1996).</t>
        </is>
      </c>
      <c r="AE201" s="2" t="n"/>
      <c r="AF201" s="11" t="inlineStr">
        <is>
          <t>created from list 1</t>
        </is>
      </c>
    </row>
    <row r="202">
      <c r="A202" s="11" t="inlineStr">
        <is>
          <t>L1-0201</t>
        </is>
      </c>
      <c r="B202" s="11" t="inlineStr">
        <is>
          <t>List 1 (to ~2015)</t>
        </is>
      </c>
      <c r="C202" s="11" t="inlineStr">
        <is>
          <t>list1</t>
        </is>
      </c>
      <c r="D202" s="11" t="inlineStr">
        <is>
          <t>verified</t>
        </is>
      </c>
      <c r="E202" s="11" t="inlineStr">
        <is>
          <t>overruled</t>
        </is>
      </c>
      <c r="F202" s="2" t="inlineStr">
        <is>
          <t>Additional Commissioner of Income Tax v. Kwality Spinning Mills (Private) Ltd.</t>
        </is>
      </c>
      <c r="G202" s="11" t="inlineStr"/>
      <c r="H202" s="11" t="inlineStr">
        <is>
          <t>unknown</t>
        </is>
      </c>
      <c r="I202" s="2" t="inlineStr">
        <is>
          <t>(1977) 109 ITR 646</t>
        </is>
      </c>
      <c r="J202" s="11" t="n">
        <v>1977</v>
      </c>
      <c r="K202" s="2" t="inlineStr">
        <is>
          <t>Commissioner of Income Tax, Gujarat v. Arvind Mills Ltd.</t>
        </is>
      </c>
      <c r="L202" s="11" t="inlineStr">
        <is>
          <t>Supreme Court</t>
        </is>
      </c>
      <c r="M202" s="2" t="inlineStr">
        <is>
          <t>AIR 1992 SC 718; (1992) 101 CTR 91; (1992) 193 ITR 255; (1991) 5 JT 341; (1991) 2 SCALE 1320; (1992) 2 SCC 190 Supp; (1991) 3 SCR 303 Supp; (1992) 60 TAXMAN 192</t>
        </is>
      </c>
      <c r="N202" s="11" t="n">
        <v>1992</v>
      </c>
      <c r="O202" s="11" t="n"/>
      <c r="P202" s="11" t="n"/>
      <c r="Q202" s="11" t="n"/>
      <c r="R202" s="2" t="n"/>
      <c r="S202" s="2" t="n"/>
      <c r="T202" s="11" t="inlineStr"/>
      <c r="U202" s="11" t="inlineStr"/>
      <c r="V202" s="11" t="inlineStr">
        <is>
          <t>outside_list</t>
        </is>
      </c>
      <c r="W202" s="11" t="n"/>
      <c r="X202" s="11" t="n"/>
      <c r="Y202" s="11" t="n"/>
      <c r="Z202" s="11" t="inlineStr">
        <is>
          <t>Mr. Advocate</t>
        </is>
      </c>
      <c r="AA202" s="11" t="inlineStr">
        <is>
          <t>2026-10-07</t>
        </is>
      </c>
      <c r="AB202" s="11" t="inlineStr">
        <is>
          <t>name_year</t>
        </is>
      </c>
      <c r="AC202" s="2" t="inlineStr"/>
      <c r="AD202" s="2" t="inlineStr">
        <is>
          <t>Additional Commissioner of Income Tax v. Kwality Spinning Mills (Private) Ltd. (1977) was overruled by Commissioner of Income Tax, Gujarat v. Arvind Mills Ltd. (1992).</t>
        </is>
      </c>
      <c r="AE202" s="2" t="n"/>
      <c r="AF202" s="11" t="inlineStr">
        <is>
          <t>created from list 1</t>
        </is>
      </c>
    </row>
    <row r="203">
      <c r="A203" s="11" t="inlineStr">
        <is>
          <t>L1-0202</t>
        </is>
      </c>
      <c r="B203" s="11" t="inlineStr">
        <is>
          <t>List 1 (to ~2015)</t>
        </is>
      </c>
      <c r="C203" s="11" t="inlineStr">
        <is>
          <t>list1</t>
        </is>
      </c>
      <c r="D203" s="11" t="inlineStr">
        <is>
          <t>verified</t>
        </is>
      </c>
      <c r="E203" s="11" t="inlineStr">
        <is>
          <t>overruled</t>
        </is>
      </c>
      <c r="F203" s="2" t="inlineStr">
        <is>
          <t>Public Prosecutor v. C. Paramasivam and Others</t>
        </is>
      </c>
      <c r="G203" s="11" t="inlineStr"/>
      <c r="H203" s="11" t="inlineStr">
        <is>
          <t>Madras</t>
        </is>
      </c>
      <c r="I203" s="2" t="inlineStr">
        <is>
          <t>AIR 1953 Mad 917; (1954) ILR (Mad) 57; (1953) 2 MLJ 189</t>
        </is>
      </c>
      <c r="J203" s="11" t="n">
        <v>1953</v>
      </c>
      <c r="K203" s="2" t="inlineStr">
        <is>
          <t>Raja Ram Jaiswal v. State of Bihar</t>
        </is>
      </c>
      <c r="L203" s="11" t="inlineStr">
        <is>
          <t>Supreme Court</t>
        </is>
      </c>
      <c r="M203" s="2" t="inlineStr">
        <is>
          <t>AIR 1964 SC 828; (1964) CriLJ 705; (1964) 2 SCR 752</t>
        </is>
      </c>
      <c r="N203" s="11" t="n">
        <v>1964</v>
      </c>
      <c r="O203" s="11" t="n"/>
      <c r="P203" s="11" t="n"/>
      <c r="Q203" s="11" t="n"/>
      <c r="R203" s="2" t="n"/>
      <c r="S203" s="2" t="n"/>
      <c r="T203" s="11" t="inlineStr"/>
      <c r="U203" s="11" t="inlineStr"/>
      <c r="V203" s="11" t="inlineStr">
        <is>
          <t>outside_list</t>
        </is>
      </c>
      <c r="W203" s="11" t="n"/>
      <c r="X203" s="11" t="n"/>
      <c r="Y203" s="11" t="n"/>
      <c r="Z203" s="11" t="inlineStr">
        <is>
          <t>Mr. Advocate</t>
        </is>
      </c>
      <c r="AA203" s="11" t="inlineStr">
        <is>
          <t>2026-10-07</t>
        </is>
      </c>
      <c r="AB203" s="11" t="inlineStr">
        <is>
          <t>name_year</t>
        </is>
      </c>
      <c r="AC203" s="2" t="inlineStr"/>
      <c r="AD203" s="2" t="inlineStr">
        <is>
          <t>Public Prosecutor v. C. Paramasivam and Others (1953) was overruled by Raja Ram Jaiswal v. State of Bihar (1964).</t>
        </is>
      </c>
      <c r="AE203" s="2" t="n"/>
      <c r="AF203" s="11" t="inlineStr">
        <is>
          <t>created from list 1</t>
        </is>
      </c>
    </row>
    <row r="204">
      <c r="A204" s="11" t="inlineStr">
        <is>
          <t>L1-0203</t>
        </is>
      </c>
      <c r="B204" s="11" t="inlineStr">
        <is>
          <t>List 1 (to ~2015)</t>
        </is>
      </c>
      <c r="C204" s="11" t="inlineStr">
        <is>
          <t>list1</t>
        </is>
      </c>
      <c r="D204" s="11" t="inlineStr">
        <is>
          <t>verified</t>
        </is>
      </c>
      <c r="E204" s="11" t="inlineStr">
        <is>
          <t>overruled</t>
        </is>
      </c>
      <c r="F204" s="2" t="inlineStr">
        <is>
          <t>Ragunath Prasad Jhunjhunwala and Another v. Hind Overseas Private Ltd.</t>
        </is>
      </c>
      <c r="G204" s="11" t="inlineStr"/>
      <c r="H204" s="11" t="inlineStr">
        <is>
          <t>unknown</t>
        </is>
      </c>
      <c r="I204" s="2" t="inlineStr">
        <is>
          <t>(1971) 41 CompCas 308</t>
        </is>
      </c>
      <c r="J204" s="11" t="n">
        <v>1971</v>
      </c>
      <c r="K204" s="2" t="inlineStr">
        <is>
          <t>Hind Overseas Private Limited v. Raghunath Prasad Jhunjhunwalla and Another</t>
        </is>
      </c>
      <c r="L204" s="11" t="inlineStr">
        <is>
          <t>Supreme Court</t>
        </is>
      </c>
      <c r="M204" s="2" t="inlineStr">
        <is>
          <t>AIR 1976 SC 565; (1976) 46 CompCas 91; (1976) 3 SCC 259; (1976) 2 SCR 226</t>
        </is>
      </c>
      <c r="N204" s="11" t="n">
        <v>1976</v>
      </c>
      <c r="O204" s="11" t="n"/>
      <c r="P204" s="11" t="n"/>
      <c r="Q204" s="11" t="n"/>
      <c r="R204" s="2" t="n"/>
      <c r="S204" s="2" t="n"/>
      <c r="T204" s="11" t="inlineStr"/>
      <c r="U204" s="11" t="inlineStr"/>
      <c r="V204" s="11" t="inlineStr">
        <is>
          <t>outside_list</t>
        </is>
      </c>
      <c r="W204" s="11" t="n"/>
      <c r="X204" s="11" t="n"/>
      <c r="Y204" s="11" t="n"/>
      <c r="Z204" s="11" t="inlineStr">
        <is>
          <t>Mr. Advocate</t>
        </is>
      </c>
      <c r="AA204" s="11" t="inlineStr">
        <is>
          <t>2026-10-07</t>
        </is>
      </c>
      <c r="AB204" s="11" t="inlineStr">
        <is>
          <t>name_year</t>
        </is>
      </c>
      <c r="AC204" s="2" t="inlineStr"/>
      <c r="AD204" s="2" t="inlineStr">
        <is>
          <t>Ragunath Prasad Jhunjhunwala and Another v. Hind Overseas Private Ltd. (1971) was overruled by Hind Overseas Private Limited v. Raghunath Prasad Jhunjhunwalla and Another (1976).</t>
        </is>
      </c>
      <c r="AE204" s="2" t="n"/>
      <c r="AF204" s="11" t="inlineStr">
        <is>
          <t>created from list 1</t>
        </is>
      </c>
    </row>
    <row r="205">
      <c r="A205" s="11" t="inlineStr">
        <is>
          <t>L1-0204</t>
        </is>
      </c>
      <c r="B205" s="11" t="inlineStr">
        <is>
          <t>List 1 (to ~2015)</t>
        </is>
      </c>
      <c r="C205" s="11" t="inlineStr">
        <is>
          <t>list1</t>
        </is>
      </c>
      <c r="D205" s="11" t="inlineStr">
        <is>
          <t>verified</t>
        </is>
      </c>
      <c r="E205" s="11" t="inlineStr">
        <is>
          <t>overruled</t>
        </is>
      </c>
      <c r="F205" s="2" t="inlineStr">
        <is>
          <t>Commissioner of Income Tax v. Salem Bank Ltd.</t>
        </is>
      </c>
      <c r="G205" s="11" t="inlineStr"/>
      <c r="H205" s="11" t="inlineStr">
        <is>
          <t>unknown</t>
        </is>
      </c>
      <c r="I205" s="2" t="inlineStr">
        <is>
          <t>(1979) 120 ITR 224</t>
        </is>
      </c>
      <c r="J205" s="11" t="n">
        <v>1979</v>
      </c>
      <c r="K205" s="2" t="inlineStr">
        <is>
          <t>M/S. W.T. Suren and Co. Ltd. v. The Commissioner of Income Tax, Bombay</t>
        </is>
      </c>
      <c r="L205" s="11" t="inlineStr">
        <is>
          <t>Supreme Court</t>
        </is>
      </c>
      <c r="M205" s="2" t="inlineStr">
        <is>
          <t>AIR 1998 SC 1575; (1998) 230 ITR 643; (1998) 2 JT 74; (1998) 2 SCALE 1; (1998) 1 SCR 1069; (1998) AIRSCW 1147; (1998) 2 Supreme 200</t>
        </is>
      </c>
      <c r="N205" s="11" t="n">
        <v>1998</v>
      </c>
      <c r="O205" s="11" t="n"/>
      <c r="P205" s="11" t="n"/>
      <c r="Q205" s="11" t="n"/>
      <c r="R205" s="2" t="n"/>
      <c r="S205" s="2" t="n"/>
      <c r="T205" s="11" t="inlineStr"/>
      <c r="U205" s="11" t="inlineStr">
        <is>
          <t>needs_citation_or_year</t>
        </is>
      </c>
      <c r="V205" s="11" t="inlineStr">
        <is>
          <t>outside_list</t>
        </is>
      </c>
      <c r="W205" s="11" t="n"/>
      <c r="X205" s="11" t="n"/>
      <c r="Y205" s="11" t="n"/>
      <c r="Z205" s="11" t="inlineStr">
        <is>
          <t>Mr. Advocate</t>
        </is>
      </c>
      <c r="AA205" s="11" t="inlineStr">
        <is>
          <t>2026-10-07</t>
        </is>
      </c>
      <c r="AB205" s="11" t="inlineStr">
        <is>
          <t>none</t>
        </is>
      </c>
      <c r="AC205" s="2" t="inlineStr"/>
      <c r="AD205" s="2" t="inlineStr">
        <is>
          <t>Commissioner of Income Tax v. Salem Bank Ltd. (1979) was overruled by M/S. W.T. Suren and Co. Ltd. v. The Commissioner of Income Tax, Bombay (1998).</t>
        </is>
      </c>
      <c r="AE205" s="2" t="n"/>
      <c r="AF205" s="11" t="inlineStr">
        <is>
          <t>created from list 1</t>
        </is>
      </c>
    </row>
    <row r="206">
      <c r="A206" s="11" t="inlineStr">
        <is>
          <t>L1-0205</t>
        </is>
      </c>
      <c r="B206" s="11" t="inlineStr">
        <is>
          <t>List 1 (to ~2015)</t>
        </is>
      </c>
      <c r="C206" s="11" t="inlineStr">
        <is>
          <t>list1</t>
        </is>
      </c>
      <c r="D206" s="11" t="inlineStr">
        <is>
          <t>verified</t>
        </is>
      </c>
      <c r="E206" s="11" t="inlineStr">
        <is>
          <t>reversed_on_appeal</t>
        </is>
      </c>
      <c r="F206" s="2" t="inlineStr">
        <is>
          <t>Sheo Nath Singh v. Appellate Assistant Commissioner of Income Tax (Central Range) and Others</t>
        </is>
      </c>
      <c r="G206" s="11" t="inlineStr"/>
      <c r="H206" s="11" t="inlineStr">
        <is>
          <t>Calcutta</t>
        </is>
      </c>
      <c r="I206" s="2" t="inlineStr">
        <is>
          <t>AIR 1967 Cal 382; (1968) 67 ITR 254</t>
        </is>
      </c>
      <c r="J206" s="11" t="n">
        <v>1967</v>
      </c>
      <c r="K206" s="2" t="inlineStr">
        <is>
          <t>Sheo Nath Singh v. Appellate Assistant Commissioner of Income Tax, Calcutta</t>
        </is>
      </c>
      <c r="L206" s="11" t="inlineStr">
        <is>
          <t>Supreme Court</t>
        </is>
      </c>
      <c r="M206" s="2" t="inlineStr">
        <is>
          <t>AIR 1971 SC 2451; (1971) 82 ITR 147; (1972) 3 SCC 234; (1972) 1 SCR 175; (1971) 3 UJ 802</t>
        </is>
      </c>
      <c r="N206" s="11" t="n">
        <v>1971</v>
      </c>
      <c r="O206" s="11" t="n"/>
      <c r="P206" s="11" t="n"/>
      <c r="Q206" s="11" t="n"/>
      <c r="R206" s="2" t="n"/>
      <c r="S206" s="2" t="n"/>
      <c r="T206" s="11" t="inlineStr">
        <is>
          <t>yes</t>
        </is>
      </c>
      <c r="U206" s="11" t="inlineStr"/>
      <c r="V206" s="11" t="inlineStr">
        <is>
          <t>outside_list</t>
        </is>
      </c>
      <c r="W206" s="11" t="n"/>
      <c r="X206" s="11" t="n"/>
      <c r="Y206" s="11" t="n"/>
      <c r="Z206" s="11" t="inlineStr">
        <is>
          <t>Mr. Advocate</t>
        </is>
      </c>
      <c r="AA206" s="11" t="inlineStr">
        <is>
          <t>2026-10-07</t>
        </is>
      </c>
      <c r="AB206" s="11" t="inlineStr">
        <is>
          <t>name_year</t>
        </is>
      </c>
      <c r="AC206" s="2" t="inlineStr"/>
      <c r="AD206" s="2" t="inlineStr">
        <is>
          <t>Sheo Nath Singh v. Appellate Assistant Commissioner of Income Tax (Central Range) and Others (1967) was reversed on appeal by the Supreme Court in Sheo Nath Singh v. Appellate Assistant Commissioner of Income Tax, Calcutta (1971).</t>
        </is>
      </c>
      <c r="AE206" s="2" t="n"/>
      <c r="AF206" s="11" t="inlineStr">
        <is>
          <t>created from list 1</t>
        </is>
      </c>
    </row>
    <row r="207">
      <c r="A207" s="11" t="inlineStr">
        <is>
          <t>L1-0206</t>
        </is>
      </c>
      <c r="B207" s="11" t="inlineStr">
        <is>
          <t>List 1 (to ~2015)</t>
        </is>
      </c>
      <c r="C207" s="11" t="inlineStr">
        <is>
          <t>list1</t>
        </is>
      </c>
      <c r="D207" s="11" t="inlineStr">
        <is>
          <t>verified</t>
        </is>
      </c>
      <c r="E207" s="11" t="inlineStr">
        <is>
          <t>reversed_on_appeal</t>
        </is>
      </c>
      <c r="F207" s="2" t="inlineStr">
        <is>
          <t>Ratan Lal Singh v. Gezer Bros. (P.) Ltd.</t>
        </is>
      </c>
      <c r="G207" s="11" t="inlineStr"/>
      <c r="H207" s="11" t="inlineStr">
        <is>
          <t>Calcutta</t>
        </is>
      </c>
      <c r="I207" s="2" t="inlineStr">
        <is>
          <t>AIR 1971 Cal 439; (1971) 1 CALLT 17; 75 CWN 784</t>
        </is>
      </c>
      <c r="J207" s="11" t="n">
        <v>1971</v>
      </c>
      <c r="K207" s="2" t="inlineStr">
        <is>
          <t>Gojer Bros. (Pvt.) Ltd. v. Shri Ratan Lal Singh</t>
        </is>
      </c>
      <c r="L207" s="11" t="inlineStr">
        <is>
          <t>Supreme Court</t>
        </is>
      </c>
      <c r="M207" s="2" t="inlineStr">
        <is>
          <t>AIR 1974 SC 1380; (1974) 2 SCC 453; (1975) 1 SCR 394</t>
        </is>
      </c>
      <c r="N207" s="11" t="n">
        <v>1974</v>
      </c>
      <c r="O207" s="11" t="n"/>
      <c r="P207" s="11" t="n"/>
      <c r="Q207" s="11" t="n"/>
      <c r="R207" s="2" t="n"/>
      <c r="S207" s="2" t="n"/>
      <c r="T207" s="11" t="inlineStr">
        <is>
          <t>yes</t>
        </is>
      </c>
      <c r="U207" s="11" t="inlineStr"/>
      <c r="V207" s="11" t="inlineStr">
        <is>
          <t>outside_list</t>
        </is>
      </c>
      <c r="W207" s="11" t="n"/>
      <c r="X207" s="11" t="n"/>
      <c r="Y207" s="11" t="n"/>
      <c r="Z207" s="11" t="inlineStr">
        <is>
          <t>Mr. Advocate</t>
        </is>
      </c>
      <c r="AA207" s="11" t="inlineStr">
        <is>
          <t>2026-10-07</t>
        </is>
      </c>
      <c r="AB207" s="11" t="inlineStr">
        <is>
          <t>name_year</t>
        </is>
      </c>
      <c r="AC207" s="2" t="inlineStr"/>
      <c r="AD207" s="2" t="inlineStr">
        <is>
          <t>Ratan Lal Singh v. Gezer Bros. (P.) Ltd. (1971) was reversed on appeal by the Supreme Court in Gojer Bros. (Pvt.) Ltd. v. Shri Ratan Lal Singh (1974).</t>
        </is>
      </c>
      <c r="AE207" s="2" t="n"/>
      <c r="AF207" s="11" t="inlineStr">
        <is>
          <t>created from list 1</t>
        </is>
      </c>
    </row>
    <row r="208">
      <c r="A208" s="11" t="inlineStr">
        <is>
          <t>L1-0207</t>
        </is>
      </c>
      <c r="B208" s="11" t="inlineStr">
        <is>
          <t>List 1 (to ~2015)</t>
        </is>
      </c>
      <c r="C208" s="11" t="inlineStr">
        <is>
          <t>list1</t>
        </is>
      </c>
      <c r="D208" s="11" t="inlineStr">
        <is>
          <t>verified</t>
        </is>
      </c>
      <c r="E208" s="11" t="inlineStr">
        <is>
          <t>overruled</t>
        </is>
      </c>
      <c r="F208" s="2" t="inlineStr">
        <is>
          <t>Rakiappan, Subramanian, Somaraj and Aarusamy v. State by: Inspector of Police, Uthiyur Police Station, Erode</t>
        </is>
      </c>
      <c r="G208" s="11" t="inlineStr"/>
      <c r="H208" s="11" t="inlineStr">
        <is>
          <t>unknown</t>
        </is>
      </c>
      <c r="I208" s="2" t="inlineStr"/>
      <c r="J208" s="11" t="n"/>
      <c r="K208" s="2" t="inlineStr">
        <is>
          <t>State by Inspector of Police, Tamil Nadu v. Rakiappan and Others</t>
        </is>
      </c>
      <c r="L208" s="11" t="inlineStr">
        <is>
          <t>Supreme Court</t>
        </is>
      </c>
      <c r="M208" s="2" t="inlineStr">
        <is>
          <t>(2008) 14 SCALE 637; (2008) 15 SCC 715</t>
        </is>
      </c>
      <c r="N208" s="11" t="n">
        <v>2008</v>
      </c>
      <c r="O208" s="11" t="n"/>
      <c r="P208" s="11" t="n"/>
      <c r="Q208" s="11" t="n"/>
      <c r="R208" s="2" t="n"/>
      <c r="S208" s="2" t="n"/>
      <c r="T208" s="11" t="inlineStr"/>
      <c r="U208" s="11" t="inlineStr">
        <is>
          <t>no_citation_or_year_for_overruled, needs_citation_or_year</t>
        </is>
      </c>
      <c r="V208" s="11" t="inlineStr">
        <is>
          <t>outside_list</t>
        </is>
      </c>
      <c r="W208" s="11" t="n"/>
      <c r="X208" s="11" t="n"/>
      <c r="Y208" s="11" t="n"/>
      <c r="Z208" s="11" t="inlineStr">
        <is>
          <t>Mr. Advocate</t>
        </is>
      </c>
      <c r="AA208" s="11" t="inlineStr">
        <is>
          <t>2026-10-07</t>
        </is>
      </c>
      <c r="AB208" s="11" t="inlineStr">
        <is>
          <t>weak</t>
        </is>
      </c>
      <c r="AC208" s="2" t="inlineStr"/>
      <c r="AD208" s="2" t="inlineStr">
        <is>
          <t>Rakiappan, Subramanian, Somaraj and Aarusamy v. State by: Inspector of Police, Uthiyur Police Station, Erode was overruled by State by Inspector of Police, Tamil Nadu v. Rakiappan and Others (2008).</t>
        </is>
      </c>
      <c r="AE208" s="2" t="n"/>
      <c r="AF208" s="11" t="inlineStr">
        <is>
          <t>created from list 1</t>
        </is>
      </c>
    </row>
    <row r="209">
      <c r="A209" s="11" t="inlineStr">
        <is>
          <t>L1-0208</t>
        </is>
      </c>
      <c r="B209" s="11" t="inlineStr">
        <is>
          <t>List 1 (to ~2015)</t>
        </is>
      </c>
      <c r="C209" s="11" t="inlineStr">
        <is>
          <t>list1</t>
        </is>
      </c>
      <c r="D209" s="11" t="inlineStr">
        <is>
          <t>verified</t>
        </is>
      </c>
      <c r="E209" s="11" t="inlineStr">
        <is>
          <t>overruled</t>
        </is>
      </c>
      <c r="F209" s="2" t="inlineStr">
        <is>
          <t>T. Palaniswamy Gounder v. A.V.G. Ponnuswamy Chettiar and Others</t>
        </is>
      </c>
      <c r="G209" s="11" t="inlineStr"/>
      <c r="H209" s="11" t="inlineStr">
        <is>
          <t>unknown</t>
        </is>
      </c>
      <c r="I209" s="2" t="inlineStr">
        <is>
          <t>(1991) 2 LW 631; (1992) 1 MLJ 109</t>
        </is>
      </c>
      <c r="J209" s="11" t="n">
        <v>1991</v>
      </c>
      <c r="K209" s="2" t="inlineStr">
        <is>
          <t>A.V.G.P. Chettiar and Sons and Others v. T. Palanisamy Gounder</t>
        </is>
      </c>
      <c r="L209" s="11" t="inlineStr">
        <is>
          <t>Supreme Court</t>
        </is>
      </c>
      <c r="M209" s="2" t="inlineStr">
        <is>
          <t>AIR 2002 SC 2171; (2002) 4 JT 572; (2002) 4 SCALE 479; (2002) 5 SCC 337; (2002) AIRSCW 2263; (2002) 4 Supreme 134</t>
        </is>
      </c>
      <c r="N209" s="11" t="n">
        <v>2002</v>
      </c>
      <c r="O209" s="11" t="n"/>
      <c r="P209" s="11" t="n"/>
      <c r="Q209" s="11" t="n"/>
      <c r="R209" s="2" t="n"/>
      <c r="S209" s="2" t="n"/>
      <c r="T209" s="11" t="inlineStr"/>
      <c r="U209" s="11" t="inlineStr"/>
      <c r="V209" s="11" t="inlineStr">
        <is>
          <t>outside_list</t>
        </is>
      </c>
      <c r="W209" s="11" t="n"/>
      <c r="X209" s="11" t="n"/>
      <c r="Y209" s="11" t="n"/>
      <c r="Z209" s="11" t="inlineStr">
        <is>
          <t>Mr. Advocate</t>
        </is>
      </c>
      <c r="AA209" s="11" t="inlineStr">
        <is>
          <t>2026-10-07</t>
        </is>
      </c>
      <c r="AB209" s="11" t="inlineStr">
        <is>
          <t>name_year</t>
        </is>
      </c>
      <c r="AC209" s="2" t="inlineStr"/>
      <c r="AD209" s="2" t="inlineStr">
        <is>
          <t>T. Palaniswamy Gounder v. A.V.G. Ponnuswamy Chettiar and Others (1991) was overruled by A.V.G.P. Chettiar and Sons and Others v. T. Palanisamy Gounder (2002).</t>
        </is>
      </c>
      <c r="AE209" s="2" t="n"/>
      <c r="AF209" s="11" t="inlineStr">
        <is>
          <t>created from list 1</t>
        </is>
      </c>
    </row>
    <row r="210">
      <c r="A210" s="11" t="inlineStr">
        <is>
          <t>L1-0209</t>
        </is>
      </c>
      <c r="B210" s="11" t="inlineStr">
        <is>
          <t>List 1 (to ~2015)</t>
        </is>
      </c>
      <c r="C210" s="11" t="inlineStr">
        <is>
          <t>list1</t>
        </is>
      </c>
      <c r="D210" s="11" t="inlineStr">
        <is>
          <t>verified</t>
        </is>
      </c>
      <c r="E210" s="11" t="inlineStr">
        <is>
          <t>overruled</t>
        </is>
      </c>
      <c r="F210" s="2" t="inlineStr">
        <is>
          <t>N.M.T. Joy Immaculate v. State</t>
        </is>
      </c>
      <c r="G210" s="11" t="inlineStr"/>
      <c r="H210" s="11" t="inlineStr">
        <is>
          <t>unknown</t>
        </is>
      </c>
      <c r="I210" s="2" t="inlineStr"/>
      <c r="J210" s="11" t="n"/>
      <c r="K210" s="2" t="inlineStr">
        <is>
          <t>State Rep. by Inspector of Police and Others v. N.M.T. Joy Immaculate</t>
        </is>
      </c>
      <c r="L210" s="11" t="inlineStr">
        <is>
          <t>Supreme Court</t>
        </is>
      </c>
      <c r="M210" s="2" t="inlineStr">
        <is>
          <t>AIR 2004 SC 2282; (2004) CriLJ 2515; (2004) 3 CTC 138; (2004) 5 SCALE 330; (2004) 5 SCC 729; (2004) 3 SCR 71 Supp; (2004) AIRSCW 2828; (2004) 4 Supreme 460</t>
        </is>
      </c>
      <c r="N210" s="11" t="n">
        <v>2004</v>
      </c>
      <c r="O210" s="11" t="n"/>
      <c r="P210" s="11" t="n"/>
      <c r="Q210" s="11" t="n"/>
      <c r="R210" s="2" t="n"/>
      <c r="S210" s="2" t="n"/>
      <c r="T210" s="11" t="inlineStr"/>
      <c r="U210" s="11" t="inlineStr">
        <is>
          <t>no_citation_or_year_for_overruled, needs_citation_or_year</t>
        </is>
      </c>
      <c r="V210" s="11" t="inlineStr">
        <is>
          <t>outside_list</t>
        </is>
      </c>
      <c r="W210" s="11" t="n"/>
      <c r="X210" s="11" t="n"/>
      <c r="Y210" s="11" t="n"/>
      <c r="Z210" s="11" t="inlineStr">
        <is>
          <t>Mr. Advocate</t>
        </is>
      </c>
      <c r="AA210" s="11" t="inlineStr">
        <is>
          <t>2026-10-07</t>
        </is>
      </c>
      <c r="AB210" s="11" t="inlineStr">
        <is>
          <t>weak</t>
        </is>
      </c>
      <c r="AC210" s="2" t="inlineStr"/>
      <c r="AD210" s="2" t="inlineStr">
        <is>
          <t>N.M.T. Joy Immaculate v. State was overruled by State Rep. by Inspector of Police and Others v. N.M.T. Joy Immaculate (2004).</t>
        </is>
      </c>
      <c r="AE210" s="2" t="n"/>
      <c r="AF210" s="11" t="inlineStr">
        <is>
          <t>created from list 1</t>
        </is>
      </c>
    </row>
    <row r="211">
      <c r="A211" s="11" t="inlineStr">
        <is>
          <t>L1-0210</t>
        </is>
      </c>
      <c r="B211" s="11" t="inlineStr">
        <is>
          <t>List 1 (to ~2015)</t>
        </is>
      </c>
      <c r="C211" s="11" t="inlineStr">
        <is>
          <t>list1</t>
        </is>
      </c>
      <c r="D211" s="11" t="inlineStr">
        <is>
          <t>verified</t>
        </is>
      </c>
      <c r="E211" s="11" t="inlineStr">
        <is>
          <t>overruled</t>
        </is>
      </c>
      <c r="F211" s="2" t="inlineStr">
        <is>
          <t>P. Natesa Achar and Another v. Parasamaya Kolerinatha Madam, through its Head Sri Sivashanmuga Gnanacharya Guruswamigal</t>
        </is>
      </c>
      <c r="G211" s="11" t="inlineStr"/>
      <c r="H211" s="11" t="inlineStr">
        <is>
          <t>unknown</t>
        </is>
      </c>
      <c r="I211" s="2" t="inlineStr">
        <is>
          <t>(1999) 2 MLJ 585</t>
        </is>
      </c>
      <c r="J211" s="11" t="n">
        <v>1999</v>
      </c>
      <c r="K211" s="2" t="inlineStr">
        <is>
          <t>Parasamaya Kolerinatha Madam, Tirunelveli v. P. Natesa Achari and Others</t>
        </is>
      </c>
      <c r="L211" s="11" t="inlineStr">
        <is>
          <t>Supreme Court</t>
        </is>
      </c>
      <c r="M211" s="2" t="inlineStr">
        <is>
          <t>(2011) 11 JT 411; (2011) 10 SCALE 703; (2011) 13 SCC 431; (2011) 11 SCR 475</t>
        </is>
      </c>
      <c r="N211" s="11" t="n">
        <v>2011</v>
      </c>
      <c r="O211" s="11" t="n"/>
      <c r="P211" s="11" t="n"/>
      <c r="Q211" s="11" t="n"/>
      <c r="R211" s="2" t="n"/>
      <c r="S211" s="2" t="n"/>
      <c r="T211" s="11" t="inlineStr"/>
      <c r="U211" s="11" t="inlineStr"/>
      <c r="V211" s="11" t="inlineStr">
        <is>
          <t>outside_list</t>
        </is>
      </c>
      <c r="W211" s="11" t="n"/>
      <c r="X211" s="11" t="n"/>
      <c r="Y211" s="11" t="n"/>
      <c r="Z211" s="11" t="inlineStr">
        <is>
          <t>Mr. Advocate</t>
        </is>
      </c>
      <c r="AA211" s="11" t="inlineStr">
        <is>
          <t>2026-10-07</t>
        </is>
      </c>
      <c r="AB211" s="11" t="inlineStr">
        <is>
          <t>name_year</t>
        </is>
      </c>
      <c r="AC211" s="2" t="inlineStr"/>
      <c r="AD211" s="2" t="inlineStr">
        <is>
          <t>P. Natesa Achar and Another v. Parasamaya Kolerinatha Madam, through its Head Sri Sivashanmuga Gnanacharya Guruswamigal (1999) was overruled by Parasamaya Kolerinatha Madam, Tirunelveli v. P. Natesa Achari and Others (2011).</t>
        </is>
      </c>
      <c r="AE211" s="2" t="n"/>
      <c r="AF211" s="11" t="inlineStr">
        <is>
          <t>created from list 1</t>
        </is>
      </c>
    </row>
    <row r="212">
      <c r="A212" s="11" t="inlineStr">
        <is>
          <t>L1-0211</t>
        </is>
      </c>
      <c r="B212" s="11" t="inlineStr">
        <is>
          <t>List 1 (to ~2015)</t>
        </is>
      </c>
      <c r="C212" s="11" t="inlineStr">
        <is>
          <t>list1</t>
        </is>
      </c>
      <c r="D212" s="11" t="inlineStr">
        <is>
          <t>verified</t>
        </is>
      </c>
      <c r="E212" s="11" t="inlineStr">
        <is>
          <t>reversed_on_appeal</t>
        </is>
      </c>
      <c r="F212" s="2" t="inlineStr">
        <is>
          <t>Commissioner of Income Tax v. P.R. Prabhakar</t>
        </is>
      </c>
      <c r="G212" s="11" t="inlineStr"/>
      <c r="H212" s="11" t="inlineStr">
        <is>
          <t>unknown</t>
        </is>
      </c>
      <c r="I212" s="2" t="inlineStr">
        <is>
          <t>(2005) 198 CTR 492; (2005) 276 ITR 176</t>
        </is>
      </c>
      <c r="J212" s="11" t="n">
        <v>2005</v>
      </c>
      <c r="K212" s="2" t="inlineStr">
        <is>
          <t>P.R. Prabhakar v. Commissioner of Income Tax, Coimbatore</t>
        </is>
      </c>
      <c r="L212" s="11" t="inlineStr">
        <is>
          <t>unknown</t>
        </is>
      </c>
      <c r="M212" s="2" t="inlineStr">
        <is>
          <t>(2006) 204 CTR 27; (2006) 284 ITR 548; (2006) 7 SCALE 191; (2006) 6 SCC 86; (2006) 3 SCR 645 Supp; (2006) AIRSCW 3695; (2006) 6 Supreme 99</t>
        </is>
      </c>
      <c r="N212" s="11" t="n">
        <v>2006</v>
      </c>
      <c r="O212" s="11" t="n"/>
      <c r="P212" s="11" t="n"/>
      <c r="Q212" s="11" t="n"/>
      <c r="R212" s="2" t="n"/>
      <c r="S212" s="2" t="n"/>
      <c r="T212" s="11" t="inlineStr">
        <is>
          <t>yes</t>
        </is>
      </c>
      <c r="U212" s="11" t="inlineStr"/>
      <c r="V212" s="11" t="inlineStr">
        <is>
          <t>outside_list</t>
        </is>
      </c>
      <c r="W212" s="11" t="n"/>
      <c r="X212" s="11" t="n"/>
      <c r="Y212" s="11" t="n"/>
      <c r="Z212" s="11" t="inlineStr">
        <is>
          <t>Mr. Advocate</t>
        </is>
      </c>
      <c r="AA212" s="11" t="inlineStr">
        <is>
          <t>2026-10-07</t>
        </is>
      </c>
      <c r="AB212" s="11" t="inlineStr">
        <is>
          <t>name_year</t>
        </is>
      </c>
      <c r="AC212" s="2" t="inlineStr"/>
      <c r="AD212" s="2" t="inlineStr">
        <is>
          <t>Commissioner of Income Tax v. P.R. Prabhakar (2005) was reversed on appeal by the Supreme Court in P.R. Prabhakar v. Commissioner of Income Tax, Coimbatore (2006).</t>
        </is>
      </c>
      <c r="AE212" s="2" t="n"/>
      <c r="AF212" s="11" t="inlineStr">
        <is>
          <t>created from list 1</t>
        </is>
      </c>
    </row>
    <row r="213">
      <c r="A213" s="11" t="inlineStr">
        <is>
          <t>L1-0212</t>
        </is>
      </c>
      <c r="B213" s="11" t="inlineStr">
        <is>
          <t>List 1 (to ~2015)</t>
        </is>
      </c>
      <c r="C213" s="11" t="inlineStr">
        <is>
          <t>list1</t>
        </is>
      </c>
      <c r="D213" s="11" t="inlineStr">
        <is>
          <t>verified</t>
        </is>
      </c>
      <c r="E213" s="11" t="inlineStr">
        <is>
          <t>overruled</t>
        </is>
      </c>
      <c r="F213" s="2" t="inlineStr">
        <is>
          <t>S. Khusboo v. Kanniammal</t>
        </is>
      </c>
      <c r="G213" s="11" t="inlineStr"/>
      <c r="H213" s="11" t="inlineStr">
        <is>
          <t>unknown</t>
        </is>
      </c>
      <c r="I213" s="2" t="inlineStr">
        <is>
          <t>(2008) 2 LW(Cri) 811</t>
        </is>
      </c>
      <c r="J213" s="11" t="n">
        <v>2008</v>
      </c>
      <c r="K213" s="2" t="inlineStr">
        <is>
          <t>S. Khushboo v. Kanniammal and Another</t>
        </is>
      </c>
      <c r="L213" s="11" t="inlineStr">
        <is>
          <t>Supreme Court</t>
        </is>
      </c>
      <c r="M213" s="2" t="inlineStr">
        <is>
          <t>AIR 2010 SC 3196; (2010) CriLJ 2828; (2010) 2 Crimes 414; (2010) 5 JT 478; (2010) 4 SCALE 462; (2010) 5 SCC 600</t>
        </is>
      </c>
      <c r="N213" s="11" t="n">
        <v>2010</v>
      </c>
      <c r="O213" s="11" t="n"/>
      <c r="P213" s="11" t="n"/>
      <c r="Q213" s="11" t="n"/>
      <c r="R213" s="2" t="n"/>
      <c r="S213" s="2" t="n"/>
      <c r="T213" s="11" t="inlineStr"/>
      <c r="U213" s="11" t="inlineStr"/>
      <c r="V213" s="11" t="inlineStr">
        <is>
          <t>outside_list</t>
        </is>
      </c>
      <c r="W213" s="11" t="n"/>
      <c r="X213" s="11" t="n"/>
      <c r="Y213" s="11" t="n"/>
      <c r="Z213" s="11" t="inlineStr">
        <is>
          <t>Mr. Advocate</t>
        </is>
      </c>
      <c r="AA213" s="11" t="inlineStr">
        <is>
          <t>2026-10-07</t>
        </is>
      </c>
      <c r="AB213" s="11" t="inlineStr">
        <is>
          <t>name_year</t>
        </is>
      </c>
      <c r="AC213" s="2" t="inlineStr"/>
      <c r="AD213" s="2" t="inlineStr">
        <is>
          <t>S. Khusboo v. Kanniammal (2008) was overruled by S. Khushboo v. Kanniammal and Another (2010).</t>
        </is>
      </c>
      <c r="AE213" s="2" t="n"/>
      <c r="AF213" s="11" t="inlineStr">
        <is>
          <t>created from list 1</t>
        </is>
      </c>
    </row>
    <row r="214">
      <c r="A214" s="11" t="inlineStr">
        <is>
          <t>L1-0213</t>
        </is>
      </c>
      <c r="B214" s="11" t="inlineStr">
        <is>
          <t>List 1 (to ~2015)</t>
        </is>
      </c>
      <c r="C214" s="11" t="inlineStr">
        <is>
          <t>list1</t>
        </is>
      </c>
      <c r="D214" s="11" t="inlineStr">
        <is>
          <t>verified</t>
        </is>
      </c>
      <c r="E214" s="11" t="inlineStr">
        <is>
          <t>reversed_on_appeal</t>
        </is>
      </c>
      <c r="F214" s="2" t="inlineStr">
        <is>
          <t>Wescare (I) Limited v. Subuthi Finance Limited and Indowind Energy Limited</t>
        </is>
      </c>
      <c r="G214" s="11" t="inlineStr"/>
      <c r="H214" s="11" t="inlineStr">
        <is>
          <t>unknown</t>
        </is>
      </c>
      <c r="I214" s="2" t="inlineStr">
        <is>
          <t>(2008) 4 ARBLR 278; (2010) 4 CompLJ 456</t>
        </is>
      </c>
      <c r="J214" s="11" t="n">
        <v>2008</v>
      </c>
      <c r="K214" s="2" t="inlineStr">
        <is>
          <t>Indowind Energy Ltd. v. Wescare (I) Ltd. and Another</t>
        </is>
      </c>
      <c r="L214" s="11" t="inlineStr">
        <is>
          <t>Supreme Court</t>
        </is>
      </c>
      <c r="M214" s="2" t="inlineStr">
        <is>
          <t>AIR 2010 SC 1793; (2010) 4 CompLJ 442; (2010) 4 JT 619; (2010) 4 SCALE 395; (2010) 4 UJ 1961; (2010) AIRSCW 2884; (2010) AIRSCW 6112; (2010) 6 Supreme 565; (2010) 3 Supreme 669</t>
        </is>
      </c>
      <c r="N214" s="11" t="n">
        <v>2010</v>
      </c>
      <c r="O214" s="11" t="n"/>
      <c r="P214" s="11" t="n"/>
      <c r="Q214" s="11" t="n"/>
      <c r="R214" s="2" t="n"/>
      <c r="S214" s="2" t="n"/>
      <c r="T214" s="11" t="inlineStr">
        <is>
          <t>yes</t>
        </is>
      </c>
      <c r="U214" s="11" t="inlineStr"/>
      <c r="V214" s="11" t="inlineStr">
        <is>
          <t>outside_list</t>
        </is>
      </c>
      <c r="W214" s="11" t="n"/>
      <c r="X214" s="11" t="n"/>
      <c r="Y214" s="11" t="n"/>
      <c r="Z214" s="11" t="inlineStr">
        <is>
          <t>Mr. Advocate</t>
        </is>
      </c>
      <c r="AA214" s="11" t="inlineStr">
        <is>
          <t>2026-10-07</t>
        </is>
      </c>
      <c r="AB214" s="11" t="inlineStr">
        <is>
          <t>name_year</t>
        </is>
      </c>
      <c r="AC214" s="2" t="inlineStr"/>
      <c r="AD214" s="2" t="inlineStr">
        <is>
          <t>Wescare (I) Limited v. Subuthi Finance Limited and Indowind Energy Limited (2008) was reversed on appeal by the Supreme Court in Indowind Energy Ltd. v. Wescare (I) Ltd. and Another (2010).</t>
        </is>
      </c>
      <c r="AE214" s="2" t="n"/>
      <c r="AF214" s="11" t="inlineStr">
        <is>
          <t>created from list 1</t>
        </is>
      </c>
    </row>
    <row r="215">
      <c r="A215" s="11" t="inlineStr">
        <is>
          <t>L1-0214</t>
        </is>
      </c>
      <c r="B215" s="11" t="inlineStr">
        <is>
          <t>List 1 (to ~2015)</t>
        </is>
      </c>
      <c r="C215" s="11" t="inlineStr">
        <is>
          <t>list1</t>
        </is>
      </c>
      <c r="D215" s="11" t="inlineStr">
        <is>
          <t>verified</t>
        </is>
      </c>
      <c r="E215" s="11" t="inlineStr">
        <is>
          <t>overruled</t>
        </is>
      </c>
      <c r="F215" s="2" t="inlineStr">
        <is>
          <t>State v. K.V. Rajendran and Others</t>
        </is>
      </c>
      <c r="G215" s="11" t="inlineStr"/>
      <c r="H215" s="11" t="inlineStr">
        <is>
          <t>unknown</t>
        </is>
      </c>
      <c r="I215" s="2" t="inlineStr">
        <is>
          <t>(2004) 5 CTC 598</t>
        </is>
      </c>
      <c r="J215" s="11" t="n">
        <v>2004</v>
      </c>
      <c r="K215" s="2" t="inlineStr">
        <is>
          <t>State rep. by D.S.P., S.B.C.I.D., Chennai v. K.V. Rajendran and Others</t>
        </is>
      </c>
      <c r="L215" s="11" t="inlineStr">
        <is>
          <t>Supreme Court</t>
        </is>
      </c>
      <c r="M215" s="2" t="inlineStr">
        <is>
          <t>AIR 2009 SC 46; (2009) CriLJ 355; (2008) 230 ELT 577; (2008) 10 JT 392; (2008) 12 SCALE 160; (2008) 8 SCC 673</t>
        </is>
      </c>
      <c r="N215" s="11" t="n">
        <v>2009</v>
      </c>
      <c r="O215" s="11" t="n"/>
      <c r="P215" s="11" t="n"/>
      <c r="Q215" s="11" t="n"/>
      <c r="R215" s="2" t="n"/>
      <c r="S215" s="2" t="n"/>
      <c r="T215" s="11" t="inlineStr"/>
      <c r="U215" s="11" t="inlineStr"/>
      <c r="V215" s="11" t="inlineStr">
        <is>
          <t>outside_list</t>
        </is>
      </c>
      <c r="W215" s="11" t="n"/>
      <c r="X215" s="11" t="n"/>
      <c r="Y215" s="11" t="n"/>
      <c r="Z215" s="11" t="inlineStr">
        <is>
          <t>Mr. Advocate</t>
        </is>
      </c>
      <c r="AA215" s="11" t="inlineStr">
        <is>
          <t>2026-10-07</t>
        </is>
      </c>
      <c r="AB215" s="11" t="inlineStr">
        <is>
          <t>name_year</t>
        </is>
      </c>
      <c r="AC215" s="2" t="inlineStr"/>
      <c r="AD215" s="2" t="inlineStr">
        <is>
          <t>State v. K.V. Rajendran and Others (2004) was overruled by State rep. by D.S.P., S.B.C.I.D., Chennai v. K.V. Rajendran and Others (2009).</t>
        </is>
      </c>
      <c r="AE215" s="2" t="n"/>
      <c r="AF215" s="11" t="inlineStr">
        <is>
          <t>created from list 1</t>
        </is>
      </c>
    </row>
    <row r="216">
      <c r="A216" s="11" t="inlineStr">
        <is>
          <t>L1-0215</t>
        </is>
      </c>
      <c r="B216" s="11" t="inlineStr">
        <is>
          <t>List 1 (to ~2015)</t>
        </is>
      </c>
      <c r="C216" s="11" t="inlineStr">
        <is>
          <t>list1</t>
        </is>
      </c>
      <c r="D216" s="11" t="inlineStr">
        <is>
          <t>verified</t>
        </is>
      </c>
      <c r="E216" s="11" t="inlineStr">
        <is>
          <t>overruled</t>
        </is>
      </c>
      <c r="F216" s="2" t="inlineStr">
        <is>
          <t>Sugan Chand Suraogi v. The Commissioner of Income Tax, Calcutta and Another</t>
        </is>
      </c>
      <c r="G216" s="11" t="inlineStr"/>
      <c r="H216" s="11" t="inlineStr">
        <is>
          <t>Calcutta</t>
        </is>
      </c>
      <c r="I216" s="2" t="inlineStr">
        <is>
          <t>AIR 1964 Cal 399; AIR 1964 Cal 396; 68 CWN 84; (1964) 53 ITR 717</t>
        </is>
      </c>
      <c r="J216" s="11" t="n">
        <v>1964</v>
      </c>
      <c r="K216" s="2" t="inlineStr">
        <is>
          <t>Dwarka Nath v. Income Tax Officer, Special Circle D-ward, Kanpur and Another</t>
        </is>
      </c>
      <c r="L216" s="11" t="inlineStr">
        <is>
          <t>Supreme Court</t>
        </is>
      </c>
      <c r="M216" s="2" t="inlineStr">
        <is>
          <t>AIR 1966 SC 81; (1965) 57 ITR 349; (1965) 3 SCR 536</t>
        </is>
      </c>
      <c r="N216" s="11" t="n">
        <v>1966</v>
      </c>
      <c r="O216" s="11" t="n"/>
      <c r="P216" s="11" t="n"/>
      <c r="Q216" s="11" t="n"/>
      <c r="R216" s="2" t="n"/>
      <c r="S216" s="2" t="n"/>
      <c r="T216" s="11" t="inlineStr"/>
      <c r="U216" s="11" t="inlineStr"/>
      <c r="V216" s="11" t="inlineStr">
        <is>
          <t>outside_list</t>
        </is>
      </c>
      <c r="W216" s="11" t="n"/>
      <c r="X216" s="11" t="n"/>
      <c r="Y216" s="11" t="n"/>
      <c r="Z216" s="11" t="inlineStr">
        <is>
          <t>Mr. Advocate</t>
        </is>
      </c>
      <c r="AA216" s="11" t="inlineStr">
        <is>
          <t>2026-10-07</t>
        </is>
      </c>
      <c r="AB216" s="11" t="inlineStr">
        <is>
          <t>name_year</t>
        </is>
      </c>
      <c r="AC216" s="2" t="inlineStr">
        <is>
          <t>L1-0576: overruled by Prabodh Verma and Others v. State of Uttar Pradesh and Others (1985)</t>
        </is>
      </c>
      <c r="AD216" s="2" t="inlineStr">
        <is>
          <t>Sugan Chand Suraogi v. The Commissioner of Income Tax, Calcutta and Another (1964) was overruled by Dwarka Nath v. Income Tax Officer, Special Circle D-ward, Kanpur and Another (1966). Note: Dwarka Nath v. Income Tax Officer, Special Circle D-ward, Kanpur and Another was itself later overruled by Prabodh Verma and Others v. State of Uttar Pradesh and Others (1985); the current position should be checked.</t>
        </is>
      </c>
      <c r="AE216" s="2" t="n"/>
      <c r="AF216" s="11" t="inlineStr">
        <is>
          <t>created from list 1</t>
        </is>
      </c>
    </row>
    <row r="217">
      <c r="A217" s="11" t="inlineStr">
        <is>
          <t>L1-0216</t>
        </is>
      </c>
      <c r="B217" s="11" t="inlineStr">
        <is>
          <t>List 1 (to ~2015)</t>
        </is>
      </c>
      <c r="C217" s="11" t="inlineStr">
        <is>
          <t>list1</t>
        </is>
      </c>
      <c r="D217" s="11" t="inlineStr">
        <is>
          <t>verified</t>
        </is>
      </c>
      <c r="E217" s="11" t="inlineStr">
        <is>
          <t>overruled</t>
        </is>
      </c>
      <c r="F217" s="2" t="inlineStr">
        <is>
          <t>Promode Ranjan Banerjee v. Nirapada Mondal</t>
        </is>
      </c>
      <c r="G217" s="11" t="inlineStr"/>
      <c r="H217" s="11" t="inlineStr">
        <is>
          <t>Calcutta</t>
        </is>
      </c>
      <c r="I217" s="2" t="inlineStr">
        <is>
          <t>AIR 1980 Cal 181</t>
        </is>
      </c>
      <c r="J217" s="11" t="n">
        <v>1980</v>
      </c>
      <c r="K217" s="2" t="inlineStr">
        <is>
          <t>Sulochana Amma v. Narayanan Nair</t>
        </is>
      </c>
      <c r="L217" s="11" t="inlineStr">
        <is>
          <t>Supreme Court</t>
        </is>
      </c>
      <c r="M217" s="2" t="inlineStr">
        <is>
          <t>AIR 1994 SC 152; (1994) ECR 195; (1995) 77 ELT 785; (1993) 5 JT 448; (1993) 3 SCALE 880; (1994) 2 SCC 14; (1993) 2 SCR 520 Supp</t>
        </is>
      </c>
      <c r="N217" s="11" t="n">
        <v>1994</v>
      </c>
      <c r="O217" s="11" t="n"/>
      <c r="P217" s="11" t="n"/>
      <c r="Q217" s="11" t="n"/>
      <c r="R217" s="2" t="n"/>
      <c r="S217" s="2" t="n"/>
      <c r="T217" s="11" t="inlineStr"/>
      <c r="U217" s="11" t="inlineStr"/>
      <c r="V217" s="11" t="inlineStr">
        <is>
          <t>outside_list</t>
        </is>
      </c>
      <c r="W217" s="11" t="n"/>
      <c r="X217" s="11" t="n"/>
      <c r="Y217" s="11" t="n"/>
      <c r="Z217" s="11" t="inlineStr">
        <is>
          <t>Mr. Advocate</t>
        </is>
      </c>
      <c r="AA217" s="11" t="inlineStr">
        <is>
          <t>2026-10-07</t>
        </is>
      </c>
      <c r="AB217" s="11" t="inlineStr">
        <is>
          <t>name_year</t>
        </is>
      </c>
      <c r="AC217" s="2" t="inlineStr"/>
      <c r="AD217" s="2" t="inlineStr">
        <is>
          <t>Promode Ranjan Banerjee v. Nirapada Mondal (1980) was overruled by Sulochana Amma v. Narayanan Nair (1994).</t>
        </is>
      </c>
      <c r="AE217" s="2" t="n"/>
      <c r="AF217" s="11" t="inlineStr">
        <is>
          <t>created from list 1</t>
        </is>
      </c>
    </row>
    <row r="218">
      <c r="A218" s="11" t="inlineStr">
        <is>
          <t>L1-0217</t>
        </is>
      </c>
      <c r="B218" s="11" t="inlineStr">
        <is>
          <t>List 1 (to ~2015)</t>
        </is>
      </c>
      <c r="C218" s="11" t="inlineStr">
        <is>
          <t>list1</t>
        </is>
      </c>
      <c r="D218" s="11" t="inlineStr">
        <is>
          <t>verified</t>
        </is>
      </c>
      <c r="E218" s="11" t="inlineStr">
        <is>
          <t>overruled</t>
        </is>
      </c>
      <c r="F218" s="2" t="inlineStr">
        <is>
          <t>Khoday Distilleries Limited v. The Scotch Whisky Association, John Walker and Sons Limited and The Deputy Registrar of Trade Marks, Trade Mark Registry</t>
        </is>
      </c>
      <c r="G218" s="11" t="inlineStr"/>
      <c r="H218" s="11" t="inlineStr">
        <is>
          <t>unknown</t>
        </is>
      </c>
      <c r="I218" s="2" t="inlineStr">
        <is>
          <t>(2008) 36 PTC 315</t>
        </is>
      </c>
      <c r="J218" s="11" t="n">
        <v>2008</v>
      </c>
      <c r="K218" s="2" t="inlineStr">
        <is>
          <t>Khoday Distilleries Limited (Now known as Khoday India Limited) v. The Scotch Whisky Association and Others</t>
        </is>
      </c>
      <c r="L218" s="11" t="inlineStr">
        <is>
          <t>Supreme Court</t>
        </is>
      </c>
      <c r="M218" s="2" t="inlineStr">
        <is>
          <t>AIR 2008 SC 2737; (2008) 37 PTC 413; (2008) 9 SCALE 40; (2008) 10 SCC 723; (2008) AIRSCW 4560</t>
        </is>
      </c>
      <c r="N218" s="11" t="n">
        <v>2008</v>
      </c>
      <c r="O218" s="11" t="n"/>
      <c r="P218" s="11" t="n"/>
      <c r="Q218" s="11" t="n"/>
      <c r="R218" s="2" t="n"/>
      <c r="S218" s="2" t="n"/>
      <c r="T218" s="11" t="inlineStr"/>
      <c r="U218" s="11" t="inlineStr"/>
      <c r="V218" s="11" t="inlineStr">
        <is>
          <t>outside_list</t>
        </is>
      </c>
      <c r="W218" s="11" t="n"/>
      <c r="X218" s="11" t="n"/>
      <c r="Y218" s="11" t="n"/>
      <c r="Z218" s="11" t="inlineStr">
        <is>
          <t>Mr. Advocate</t>
        </is>
      </c>
      <c r="AA218" s="11" t="inlineStr">
        <is>
          <t>2026-10-07</t>
        </is>
      </c>
      <c r="AB218" s="11" t="inlineStr">
        <is>
          <t>name_year</t>
        </is>
      </c>
      <c r="AC218" s="2" t="inlineStr"/>
      <c r="AD218" s="2" t="inlineStr">
        <is>
          <t>Khoday Distilleries Limited v. The Scotch Whisky Association, John Walker and Sons Limited and The Deputy Registrar of Trade Marks, Trade Mark Registry (2008) was overruled by Khoday Distilleries Limited (Now known as Khoday India Limited) v. The Scotch Whisky Association and Others (2008).</t>
        </is>
      </c>
      <c r="AE218" s="2" t="n"/>
      <c r="AF218" s="11" t="inlineStr">
        <is>
          <t>created from list 1</t>
        </is>
      </c>
    </row>
    <row r="219">
      <c r="A219" s="11" t="inlineStr">
        <is>
          <t>L1-0218</t>
        </is>
      </c>
      <c r="B219" s="11" t="inlineStr">
        <is>
          <t>List 1 (to ~2015)</t>
        </is>
      </c>
      <c r="C219" s="11" t="inlineStr">
        <is>
          <t>list1</t>
        </is>
      </c>
      <c r="D219" s="11" t="inlineStr">
        <is>
          <t>verified</t>
        </is>
      </c>
      <c r="E219" s="11" t="inlineStr">
        <is>
          <t>reversed_on_appeal</t>
        </is>
      </c>
      <c r="F219" s="2" t="inlineStr">
        <is>
          <t>Andhra Bank v. Official Liquidator and Another</t>
        </is>
      </c>
      <c r="G219" s="11" t="inlineStr"/>
      <c r="H219" s="11" t="inlineStr">
        <is>
          <t>unknown</t>
        </is>
      </c>
      <c r="I219" s="2" t="inlineStr">
        <is>
          <t>(2002) 2 CALLT 359; (2002) 2 CHN 412</t>
        </is>
      </c>
      <c r="J219" s="11" t="n">
        <v>2002</v>
      </c>
      <c r="K219" s="2" t="inlineStr">
        <is>
          <t>Andhra Bank v. Official Liquidator and Another</t>
        </is>
      </c>
      <c r="L219" s="11" t="inlineStr">
        <is>
          <t>Supreme Court</t>
        </is>
      </c>
      <c r="M219" s="2" t="inlineStr">
        <is>
          <t>AIR 2005 SC 1814; (2005) 2 BC 425; (2005) 124 CompCas 453; (2005) 4 CompLJ 33; (2005) 3 JT 506; (2005) 5 SCC 75; (2005) 59 SCL 239; (2005) 2 SCR 776; (2005) AIRSCW 1608; (2005) 2 Supreme 721</t>
        </is>
      </c>
      <c r="N219" s="11" t="n">
        <v>2005</v>
      </c>
      <c r="O219" s="11" t="n"/>
      <c r="P219" s="11" t="n"/>
      <c r="Q219" s="11" t="n"/>
      <c r="R219" s="2" t="n"/>
      <c r="S219" s="2" t="n"/>
      <c r="T219" s="11" t="inlineStr">
        <is>
          <t>yes</t>
        </is>
      </c>
      <c r="U219" s="11" t="inlineStr"/>
      <c r="V219" s="11" t="inlineStr">
        <is>
          <t>outside_list</t>
        </is>
      </c>
      <c r="W219" s="11" t="n"/>
      <c r="X219" s="11" t="n"/>
      <c r="Y219" s="11" t="n"/>
      <c r="Z219" s="11" t="inlineStr">
        <is>
          <t>Mr. Advocate</t>
        </is>
      </c>
      <c r="AA219" s="11" t="inlineStr">
        <is>
          <t>2026-10-07</t>
        </is>
      </c>
      <c r="AB219" s="11" t="inlineStr">
        <is>
          <t>name_year</t>
        </is>
      </c>
      <c r="AC219" s="2" t="inlineStr"/>
      <c r="AD219" s="2" t="inlineStr">
        <is>
          <t>Andhra Bank v. Official Liquidator and Another (2002) was reversed on appeal by the Supreme Court in Andhra Bank v. Official Liquidator and Another (2005).</t>
        </is>
      </c>
      <c r="AE219" s="2" t="n"/>
      <c r="AF219" s="11" t="inlineStr">
        <is>
          <t>created from list 1</t>
        </is>
      </c>
    </row>
    <row r="220">
      <c r="A220" s="11" t="inlineStr">
        <is>
          <t>L1-0219</t>
        </is>
      </c>
      <c r="B220" s="11" t="inlineStr">
        <is>
          <t>List 1 (to ~2015)</t>
        </is>
      </c>
      <c r="C220" s="11" t="inlineStr">
        <is>
          <t>list1</t>
        </is>
      </c>
      <c r="D220" s="11" t="inlineStr">
        <is>
          <t>verified</t>
        </is>
      </c>
      <c r="E220" s="11" t="inlineStr">
        <is>
          <t>overruled</t>
        </is>
      </c>
      <c r="F220" s="2" t="inlineStr">
        <is>
          <t>Gokul Chandra Chatterjee v. The State</t>
        </is>
      </c>
      <c r="G220" s="11" t="inlineStr"/>
      <c r="H220" s="11" t="inlineStr">
        <is>
          <t>Calcutta</t>
        </is>
      </c>
      <c r="I220" s="2" t="inlineStr">
        <is>
          <t>AIR 1950 Cal 306</t>
        </is>
      </c>
      <c r="J220" s="11" t="n">
        <v>1950</v>
      </c>
      <c r="K220" s="2" t="inlineStr">
        <is>
          <t>Sharad Birdhichand Sarda v. State of Maharashtra</t>
        </is>
      </c>
      <c r="L220" s="11" t="inlineStr">
        <is>
          <t>Supreme Court</t>
        </is>
      </c>
      <c r="M220" s="2" t="inlineStr">
        <is>
          <t>AIR 1984 SC 1622; (1984) CriLJ 1738; (1984) 2 SCALE 445; (1984) 4 SCC 116; (1985) 1 SCR 88</t>
        </is>
      </c>
      <c r="N220" s="11" t="n">
        <v>1984</v>
      </c>
      <c r="O220" s="11" t="n"/>
      <c r="P220" s="11" t="n"/>
      <c r="Q220" s="11" t="n"/>
      <c r="R220" s="2" t="n"/>
      <c r="S220" s="2" t="n"/>
      <c r="T220" s="11" t="inlineStr"/>
      <c r="U220" s="11" t="inlineStr"/>
      <c r="V220" s="11" t="inlineStr">
        <is>
          <t>outside_list</t>
        </is>
      </c>
      <c r="W220" s="11" t="n"/>
      <c r="X220" s="11" t="n"/>
      <c r="Y220" s="11" t="n"/>
      <c r="Z220" s="11" t="inlineStr">
        <is>
          <t>Mr. Advocate</t>
        </is>
      </c>
      <c r="AA220" s="11" t="inlineStr">
        <is>
          <t>2026-10-07</t>
        </is>
      </c>
      <c r="AB220" s="11" t="inlineStr">
        <is>
          <t>name_year</t>
        </is>
      </c>
      <c r="AC220" s="2" t="inlineStr"/>
      <c r="AD220" s="2" t="inlineStr">
        <is>
          <t>Gokul Chandra Chatterjee v. The State (1950) was overruled by Sharad Birdhichand Sarda v. State of Maharashtra (1984).</t>
        </is>
      </c>
      <c r="AE220" s="2" t="n"/>
      <c r="AF220" s="11" t="inlineStr">
        <is>
          <t>created from list 1</t>
        </is>
      </c>
    </row>
    <row r="221">
      <c r="A221" s="11" t="inlineStr">
        <is>
          <t>L1-0220</t>
        </is>
      </c>
      <c r="B221" s="11" t="inlineStr">
        <is>
          <t>List 1 (to ~2015)</t>
        </is>
      </c>
      <c r="C221" s="11" t="inlineStr">
        <is>
          <t>list1</t>
        </is>
      </c>
      <c r="D221" s="11" t="inlineStr">
        <is>
          <t>verified</t>
        </is>
      </c>
      <c r="E221" s="11" t="inlineStr">
        <is>
          <t>overruled</t>
        </is>
      </c>
      <c r="F221" s="2" t="inlineStr">
        <is>
          <t>Kasthuri v. Iyyamperumal, Saravanan, Ramayee, Angamma, T.S. Rajathiammal, T.S. Rangarajan, Hema Bai, T.S. Bogeswari, T.S. Sri Nagesh, T.S. Varalakshmi and T.S. Sundararajan</t>
        </is>
      </c>
      <c r="G221" s="11" t="inlineStr"/>
      <c r="H221" s="11" t="inlineStr">
        <is>
          <t>unknown</t>
        </is>
      </c>
      <c r="I221" s="2" t="inlineStr">
        <is>
          <t>(2003) 2 LW 547</t>
        </is>
      </c>
      <c r="J221" s="11" t="n">
        <v>2003</v>
      </c>
      <c r="K221" s="2" t="inlineStr">
        <is>
          <t>Kasturi v. Iyyamperumal and Others</t>
        </is>
      </c>
      <c r="L221" s="11" t="inlineStr">
        <is>
          <t>Supreme Court</t>
        </is>
      </c>
      <c r="M221" s="2" t="inlineStr">
        <is>
          <t>AIR 2005 SC 2813; (2005) 2 CTC 676; (2005) 4 JT 565; (2005) 141 PLR 326; (2005) 6 SCC 733; (2005) 3 SCR 864</t>
        </is>
      </c>
      <c r="N221" s="11" t="n">
        <v>2005</v>
      </c>
      <c r="O221" s="11" t="n"/>
      <c r="P221" s="11" t="n"/>
      <c r="Q221" s="11" t="n"/>
      <c r="R221" s="2" t="n"/>
      <c r="S221" s="2" t="n"/>
      <c r="T221" s="11" t="inlineStr"/>
      <c r="U221" s="11" t="inlineStr"/>
      <c r="V221" s="11" t="inlineStr">
        <is>
          <t>outside_list</t>
        </is>
      </c>
      <c r="W221" s="11" t="n"/>
      <c r="X221" s="11" t="n"/>
      <c r="Y221" s="11" t="n"/>
      <c r="Z221" s="11" t="inlineStr">
        <is>
          <t>Mr. Advocate</t>
        </is>
      </c>
      <c r="AA221" s="11" t="inlineStr">
        <is>
          <t>2026-10-07</t>
        </is>
      </c>
      <c r="AB221" s="11" t="inlineStr">
        <is>
          <t>name_year</t>
        </is>
      </c>
      <c r="AC221" s="2" t="inlineStr"/>
      <c r="AD221" s="2" t="inlineStr">
        <is>
          <t>Kasthuri v. Iyyamperumal, Saravanan, Ramayee, Angamma, T.S. Rajathiammal, T.S. Rangarajan, Hema Bai, T.S. Bogeswari, T.S. Sri Nagesh, T.S. Varalakshmi and T.S. Sundararajan (2003) was overruled by Kasturi v. Iyyamperumal and Others (2005).</t>
        </is>
      </c>
      <c r="AE221" s="2" t="n"/>
      <c r="AF221" s="11" t="inlineStr">
        <is>
          <t>created from list 1</t>
        </is>
      </c>
    </row>
    <row r="222">
      <c r="A222" s="11" t="inlineStr">
        <is>
          <t>L1-0221</t>
        </is>
      </c>
      <c r="B222" s="11" t="inlineStr">
        <is>
          <t>List 1 (to ~2015)</t>
        </is>
      </c>
      <c r="C222" s="11" t="inlineStr">
        <is>
          <t>list1</t>
        </is>
      </c>
      <c r="D222" s="11" t="inlineStr">
        <is>
          <t>verified</t>
        </is>
      </c>
      <c r="E222" s="11" t="inlineStr">
        <is>
          <t>overruled</t>
        </is>
      </c>
      <c r="F222" s="2" t="inlineStr">
        <is>
          <t>Mamuda Khateen and Others v. Beniyan Bibi and Others</t>
        </is>
      </c>
      <c r="G222" s="11" t="inlineStr"/>
      <c r="H222" s="11" t="inlineStr">
        <is>
          <t>Calcutta</t>
        </is>
      </c>
      <c r="I222" s="2" t="inlineStr">
        <is>
          <t>AIR 1976 Cal 415; 81 CWN 111</t>
        </is>
      </c>
      <c r="J222" s="11" t="n">
        <v>1976</v>
      </c>
      <c r="K222" s="2" t="inlineStr">
        <is>
          <t>Shyam Sundar Sarma v. Pannalal Jaiswal and Others</t>
        </is>
      </c>
      <c r="L222" s="11" t="inlineStr">
        <is>
          <t>Supreme Court</t>
        </is>
      </c>
      <c r="M222" s="2" t="inlineStr">
        <is>
          <t>AIR 2005 SC 226; (2004) 5 CTC 274; (2005) 181 ELT 163; (2005) 141 PLR 92; (2004) 9 SCALE 270; (2005) 1 SCC 436; (2004) AIRSCW 6513; (2004) 8 Supreme 330</t>
        </is>
      </c>
      <c r="N222" s="11" t="n">
        <v>2005</v>
      </c>
      <c r="O222" s="11" t="n"/>
      <c r="P222" s="11" t="n"/>
      <c r="Q222" s="11" t="n"/>
      <c r="R222" s="2" t="n"/>
      <c r="S222" s="2" t="n"/>
      <c r="T222" s="11" t="inlineStr"/>
      <c r="U222" s="11" t="inlineStr"/>
      <c r="V222" s="11" t="inlineStr">
        <is>
          <t>outside_list</t>
        </is>
      </c>
      <c r="W222" s="11" t="n"/>
      <c r="X222" s="11" t="n"/>
      <c r="Y222" s="11" t="n"/>
      <c r="Z222" s="11" t="inlineStr">
        <is>
          <t>Mr. Advocate</t>
        </is>
      </c>
      <c r="AA222" s="11" t="inlineStr">
        <is>
          <t>2026-10-07</t>
        </is>
      </c>
      <c r="AB222" s="11" t="inlineStr">
        <is>
          <t>name_year</t>
        </is>
      </c>
      <c r="AC222" s="2" t="inlineStr"/>
      <c r="AD222" s="2" t="inlineStr">
        <is>
          <t>Mamuda Khateen and Others v. Beniyan Bibi and Others (1976) was overruled by Shyam Sundar Sarma v. Pannalal Jaiswal and Others (2005).</t>
        </is>
      </c>
      <c r="AE222" s="2" t="n"/>
      <c r="AF222" s="11" t="inlineStr">
        <is>
          <t>created from list 1</t>
        </is>
      </c>
    </row>
    <row r="223">
      <c r="A223" s="11" t="inlineStr">
        <is>
          <t>L1-0222</t>
        </is>
      </c>
      <c r="B223" s="11" t="inlineStr">
        <is>
          <t>List 1 (to ~2015)</t>
        </is>
      </c>
      <c r="C223" s="11" t="inlineStr">
        <is>
          <t>list1</t>
        </is>
      </c>
      <c r="D223" s="11" t="inlineStr">
        <is>
          <t>verified</t>
        </is>
      </c>
      <c r="E223" s="11" t="inlineStr">
        <is>
          <t>overruled</t>
        </is>
      </c>
      <c r="F223" s="2" t="inlineStr">
        <is>
          <t>Brigadier Chaitanya Prakash and Hindustan Photo Films Manufacturing Co. Ltd. v. Sri. H. Omkarappa</t>
        </is>
      </c>
      <c r="G223" s="11" t="inlineStr"/>
      <c r="H223" s="11" t="inlineStr">
        <is>
          <t>unknown</t>
        </is>
      </c>
      <c r="I223" s="2" t="inlineStr"/>
      <c r="J223" s="11" t="n"/>
      <c r="K223" s="2" t="inlineStr">
        <is>
          <t>Chaitanya Prakash and Another v. H. Omkarappa</t>
        </is>
      </c>
      <c r="L223" s="11" t="inlineStr">
        <is>
          <t>unknown</t>
        </is>
      </c>
      <c r="M223" s="2" t="inlineStr">
        <is>
          <t>(2010) 124 FLR 503; (2010) 1 JT 217; (2010) 2 LLJ 146; (2010) 1 SCALE 386; (2010) 2 SCC 623; (2010) 1 SCC(L&amp;S) 644; (2010) 1 SCR 467; (2010) 1 SLR 517; (2010) 2 UJ 590; (2010) AIRSCW 3532</t>
        </is>
      </c>
      <c r="N223" s="11" t="n">
        <v>2010</v>
      </c>
      <c r="O223" s="11" t="n"/>
      <c r="P223" s="11" t="n"/>
      <c r="Q223" s="11" t="n"/>
      <c r="R223" s="2" t="n"/>
      <c r="S223" s="2" t="n"/>
      <c r="T223" s="11" t="inlineStr"/>
      <c r="U223" s="11" t="inlineStr">
        <is>
          <t>no_citation_or_year_for_overruled, needs_citation_or_year</t>
        </is>
      </c>
      <c r="V223" s="11" t="inlineStr">
        <is>
          <t>outside_list</t>
        </is>
      </c>
      <c r="W223" s="11" t="n"/>
      <c r="X223" s="11" t="n"/>
      <c r="Y223" s="11" t="n"/>
      <c r="Z223" s="11" t="inlineStr">
        <is>
          <t>Mr. Advocate</t>
        </is>
      </c>
      <c r="AA223" s="11" t="inlineStr">
        <is>
          <t>2026-10-07</t>
        </is>
      </c>
      <c r="AB223" s="11" t="inlineStr">
        <is>
          <t>weak</t>
        </is>
      </c>
      <c r="AC223" s="2" t="inlineStr"/>
      <c r="AD223" s="2" t="inlineStr">
        <is>
          <t>Brigadier Chaitanya Prakash and Hindustan Photo Films Manufacturing Co. Ltd. v. Sri. H. Omkarappa was overruled by Chaitanya Prakash and Another v. H. Omkarappa (2010).</t>
        </is>
      </c>
      <c r="AE223" s="2" t="n"/>
      <c r="AF223" s="11" t="inlineStr">
        <is>
          <t>created from list 1</t>
        </is>
      </c>
    </row>
    <row r="224">
      <c r="A224" s="11" t="inlineStr">
        <is>
          <t>L1-0223</t>
        </is>
      </c>
      <c r="B224" s="11" t="inlineStr">
        <is>
          <t>List 1 (to ~2015)</t>
        </is>
      </c>
      <c r="C224" s="11" t="inlineStr">
        <is>
          <t>list1</t>
        </is>
      </c>
      <c r="D224" s="11" t="inlineStr">
        <is>
          <t>verified</t>
        </is>
      </c>
      <c r="E224" s="11" t="inlineStr">
        <is>
          <t>overruled</t>
        </is>
      </c>
      <c r="F224" s="2" t="inlineStr">
        <is>
          <t>V.N. Devadoss v. The Chief Revenue Control Officer CUM Inspector General of Registration, The District Revenue Officer (Stamps) and The Sub Registrar</t>
        </is>
      </c>
      <c r="G224" s="11" t="inlineStr"/>
      <c r="H224" s="11" t="inlineStr">
        <is>
          <t>unknown</t>
        </is>
      </c>
      <c r="I224" s="2" t="inlineStr"/>
      <c r="J224" s="11" t="n"/>
      <c r="K224" s="2" t="inlineStr">
        <is>
          <t>V.N. Devadoss v. Chief Revenue Control Officer-cum-Ins. and Others</t>
        </is>
      </c>
      <c r="L224" s="11" t="inlineStr">
        <is>
          <t>Supreme Court</t>
        </is>
      </c>
      <c r="M224" s="2" t="inlineStr">
        <is>
          <t>(2009) 13 JT 545; (2009) 8 SCALE 23; (2009) 7 SCC 438; (2009) 8 SCR 1043</t>
        </is>
      </c>
      <c r="N224" s="11" t="n">
        <v>2009</v>
      </c>
      <c r="O224" s="11" t="n"/>
      <c r="P224" s="11" t="n"/>
      <c r="Q224" s="11" t="n"/>
      <c r="R224" s="2" t="n"/>
      <c r="S224" s="2" t="n"/>
      <c r="T224" s="11" t="inlineStr"/>
      <c r="U224" s="11" t="inlineStr">
        <is>
          <t>no_citation_or_year_for_overruled, needs_citation_or_year</t>
        </is>
      </c>
      <c r="V224" s="11" t="inlineStr">
        <is>
          <t>outside_list</t>
        </is>
      </c>
      <c r="W224" s="11" t="n"/>
      <c r="X224" s="11" t="n"/>
      <c r="Y224" s="11" t="n"/>
      <c r="Z224" s="11" t="inlineStr">
        <is>
          <t>Mr. Advocate</t>
        </is>
      </c>
      <c r="AA224" s="11" t="inlineStr">
        <is>
          <t>2026-10-07</t>
        </is>
      </c>
      <c r="AB224" s="11" t="inlineStr">
        <is>
          <t>weak</t>
        </is>
      </c>
      <c r="AC224" s="2" t="inlineStr"/>
      <c r="AD224" s="2" t="inlineStr">
        <is>
          <t>V.N. Devadoss v. The Chief Revenue Control Officer CUM Inspector General of Registration, The District Revenue Officer (Stamps) and The Sub Registrar was overruled by V.N. Devadoss v. Chief Revenue Control Officer-cum-Ins. and Others (2009).</t>
        </is>
      </c>
      <c r="AE224" s="2" t="n"/>
      <c r="AF224" s="11" t="inlineStr">
        <is>
          <t>created from list 1</t>
        </is>
      </c>
    </row>
    <row r="225">
      <c r="A225" s="11" t="inlineStr">
        <is>
          <t>L1-0224</t>
        </is>
      </c>
      <c r="B225" s="11" t="inlineStr">
        <is>
          <t>List 1 (to ~2015)</t>
        </is>
      </c>
      <c r="C225" s="11" t="inlineStr">
        <is>
          <t>list1</t>
        </is>
      </c>
      <c r="D225" s="11" t="inlineStr">
        <is>
          <t>verified</t>
        </is>
      </c>
      <c r="E225" s="11" t="inlineStr">
        <is>
          <t>overruled</t>
        </is>
      </c>
      <c r="F225" s="2" t="inlineStr">
        <is>
          <t>Calcutta Motor and Cycle Co. v. Collector of Customs and Others</t>
        </is>
      </c>
      <c r="G225" s="11" t="inlineStr"/>
      <c r="H225" s="11" t="inlineStr">
        <is>
          <t>Calcutta</t>
        </is>
      </c>
      <c r="I225" s="2" t="inlineStr">
        <is>
          <t>AIR 1956 Cal 253; 60 CWN 67</t>
        </is>
      </c>
      <c r="J225" s="11" t="n">
        <v>1956</v>
      </c>
      <c r="K225" s="2" t="inlineStr">
        <is>
          <t>Romesh Chandra Mehta v. State of West Bengal</t>
        </is>
      </c>
      <c r="L225" s="11" t="inlineStr">
        <is>
          <t>Supreme Court</t>
        </is>
      </c>
      <c r="M225" s="2" t="inlineStr">
        <is>
          <t>AIR 1970 SC 940; (1970) CriLJ 863; (1985) 5 ECR 2239; (1999) 110 ELT 324; (1969) 2 SCR 461</t>
        </is>
      </c>
      <c r="N225" s="11" t="n">
        <v>1970</v>
      </c>
      <c r="O225" s="11" t="n"/>
      <c r="P225" s="11" t="n"/>
      <c r="Q225" s="11" t="n"/>
      <c r="R225" s="2" t="n"/>
      <c r="S225" s="2" t="n"/>
      <c r="T225" s="11" t="inlineStr"/>
      <c r="U225" s="11" t="inlineStr"/>
      <c r="V225" s="11" t="inlineStr">
        <is>
          <t>outside_list</t>
        </is>
      </c>
      <c r="W225" s="11" t="n"/>
      <c r="X225" s="11" t="n"/>
      <c r="Y225" s="11" t="n"/>
      <c r="Z225" s="11" t="inlineStr">
        <is>
          <t>Mr. Advocate</t>
        </is>
      </c>
      <c r="AA225" s="11" t="inlineStr">
        <is>
          <t>2026-10-07</t>
        </is>
      </c>
      <c r="AB225" s="11" t="inlineStr">
        <is>
          <t>name_year</t>
        </is>
      </c>
      <c r="AC225" s="2" t="inlineStr"/>
      <c r="AD225" s="2" t="inlineStr">
        <is>
          <t>Calcutta Motor and Cycle Co. v. Collector of Customs and Others (1956) was overruled by Romesh Chandra Mehta v. State of West Bengal (1970).</t>
        </is>
      </c>
      <c r="AE225" s="2" t="n"/>
      <c r="AF225" s="11" t="inlineStr">
        <is>
          <t>created from list 1</t>
        </is>
      </c>
    </row>
    <row r="226">
      <c r="A226" s="11" t="inlineStr">
        <is>
          <t>L1-0225</t>
        </is>
      </c>
      <c r="B226" s="11" t="inlineStr">
        <is>
          <t>List 1 (to ~2015)</t>
        </is>
      </c>
      <c r="C226" s="11" t="inlineStr">
        <is>
          <t>list1</t>
        </is>
      </c>
      <c r="D226" s="11" t="inlineStr">
        <is>
          <t>verified</t>
        </is>
      </c>
      <c r="E226" s="11" t="inlineStr">
        <is>
          <t>reversed_on_appeal</t>
        </is>
      </c>
      <c r="F226" s="2" t="inlineStr">
        <is>
          <t>Shri Jayendra Saraswathi Swamigal @ Subramaniam v. State of Tamil Nadu</t>
        </is>
      </c>
      <c r="G226" s="11" t="inlineStr"/>
      <c r="H226" s="11" t="inlineStr">
        <is>
          <t>unknown</t>
        </is>
      </c>
      <c r="I226" s="2" t="inlineStr">
        <is>
          <t>(2006) 1 LW(Cri) 122</t>
        </is>
      </c>
      <c r="J226" s="11" t="n">
        <v>2006</v>
      </c>
      <c r="K226" s="2" t="inlineStr">
        <is>
          <t>Jayendra Saraswati Swamigal @ Subramaniam v. State of Tamil Nadu</t>
        </is>
      </c>
      <c r="L226" s="11" t="inlineStr">
        <is>
          <t>Supreme Court</t>
        </is>
      </c>
      <c r="M226" s="2" t="inlineStr">
        <is>
          <t>AIR 2008 SC 2997; (2008) CriLJ 3877; (2008) 10 SCALE 323; (2008) 10 SCC 180; (2008) AIRSCW 5051; (2008) 5 Supreme 470</t>
        </is>
      </c>
      <c r="N226" s="11" t="n">
        <v>2008</v>
      </c>
      <c r="O226" s="11" t="n"/>
      <c r="P226" s="11" t="n"/>
      <c r="Q226" s="11" t="n"/>
      <c r="R226" s="2" t="n"/>
      <c r="S226" s="2" t="n"/>
      <c r="T226" s="11" t="inlineStr">
        <is>
          <t>yes</t>
        </is>
      </c>
      <c r="U226" s="11" t="inlineStr"/>
      <c r="V226" s="11" t="inlineStr">
        <is>
          <t>outside_list</t>
        </is>
      </c>
      <c r="W226" s="11" t="n"/>
      <c r="X226" s="11" t="n"/>
      <c r="Y226" s="11" t="n"/>
      <c r="Z226" s="11" t="inlineStr">
        <is>
          <t>Mr. Advocate</t>
        </is>
      </c>
      <c r="AA226" s="11" t="inlineStr">
        <is>
          <t>2026-10-07</t>
        </is>
      </c>
      <c r="AB226" s="11" t="inlineStr">
        <is>
          <t>name_year</t>
        </is>
      </c>
      <c r="AC226" s="2" t="inlineStr"/>
      <c r="AD226" s="2" t="inlineStr">
        <is>
          <t>Shri Jayendra Saraswathi Swamigal @ Subramaniam v. State of Tamil Nadu (2006) was reversed on appeal by the Supreme Court in Jayendra Saraswati Swamigal @ Subramaniam v. State of Tamil Nadu (2008).</t>
        </is>
      </c>
      <c r="AE226" s="2" t="n"/>
      <c r="AF226" s="11" t="inlineStr">
        <is>
          <t>created from list 1</t>
        </is>
      </c>
    </row>
    <row r="227">
      <c r="A227" s="11" t="inlineStr">
        <is>
          <t>L1-0226</t>
        </is>
      </c>
      <c r="B227" s="11" t="inlineStr">
        <is>
          <t>List 1 (to ~2015)</t>
        </is>
      </c>
      <c r="C227" s="11" t="inlineStr">
        <is>
          <t>list1</t>
        </is>
      </c>
      <c r="D227" s="11" t="inlineStr">
        <is>
          <t>verified</t>
        </is>
      </c>
      <c r="E227" s="11" t="inlineStr">
        <is>
          <t>overruled</t>
        </is>
      </c>
      <c r="F227" s="2" t="inlineStr">
        <is>
          <t>Sarju Pershad v. Raja Jwaleshwari Pratap Narain Singh and Others</t>
        </is>
      </c>
      <c r="G227" s="11" t="inlineStr"/>
      <c r="H227" s="11" t="inlineStr">
        <is>
          <t>Supreme Court</t>
        </is>
      </c>
      <c r="I227" s="2" t="inlineStr">
        <is>
          <t>AIR 1951 SC 120; (1950) 1 SCR 781</t>
        </is>
      </c>
      <c r="J227" s="11" t="n">
        <v>1951</v>
      </c>
      <c r="K227" s="2" t="inlineStr">
        <is>
          <t>Surinder Singh v. Hardial Singh and Others</t>
        </is>
      </c>
      <c r="L227" s="11" t="inlineStr">
        <is>
          <t>Supreme Court</t>
        </is>
      </c>
      <c r="M227" s="2" t="inlineStr">
        <is>
          <t>AIR 1985 SC 89; (1984) 2 SCALE 659; (1985) 1 SCC 91; (1985) 1 SCR 1059</t>
        </is>
      </c>
      <c r="N227" s="11" t="n">
        <v>1985</v>
      </c>
      <c r="O227" s="11" t="n"/>
      <c r="P227" s="11" t="n"/>
      <c r="Q227" s="11" t="n"/>
      <c r="R227" s="2" t="n"/>
      <c r="S227" s="2" t="n"/>
      <c r="T227" s="11" t="inlineStr"/>
      <c r="U227" s="11" t="inlineStr"/>
      <c r="V227" s="11" t="inlineStr">
        <is>
          <t>outside_list</t>
        </is>
      </c>
      <c r="W227" s="11" t="n"/>
      <c r="X227" s="11" t="n"/>
      <c r="Y227" s="11" t="n"/>
      <c r="Z227" s="11" t="inlineStr">
        <is>
          <t>Mr. Advocate</t>
        </is>
      </c>
      <c r="AA227" s="11" t="inlineStr">
        <is>
          <t>2026-10-07</t>
        </is>
      </c>
      <c r="AB227" s="11" t="inlineStr">
        <is>
          <t>name_year</t>
        </is>
      </c>
      <c r="AC227" s="2" t="inlineStr"/>
      <c r="AD227" s="2" t="inlineStr">
        <is>
          <t>Sarju Pershad v. Raja Jwaleshwari Pratap Narain Singh and Others (1951) was overruled by Surinder Singh v. Hardial Singh and Others (1985).</t>
        </is>
      </c>
      <c r="AE227" s="2" t="n"/>
      <c r="AF227" s="11" t="inlineStr">
        <is>
          <t>created from list 1</t>
        </is>
      </c>
    </row>
    <row r="228">
      <c r="A228" s="11" t="inlineStr">
        <is>
          <t>L1-0227</t>
        </is>
      </c>
      <c r="B228" s="11" t="inlineStr">
        <is>
          <t>List 1 (to ~2015)</t>
        </is>
      </c>
      <c r="C228" s="11" t="inlineStr">
        <is>
          <t>list1</t>
        </is>
      </c>
      <c r="D228" s="11" t="inlineStr">
        <is>
          <t>verified</t>
        </is>
      </c>
      <c r="E228" s="11" t="inlineStr">
        <is>
          <t>overruled</t>
        </is>
      </c>
      <c r="F228" s="2" t="inlineStr">
        <is>
          <t>Satish Mehra v. Delhi Administration and Another</t>
        </is>
      </c>
      <c r="G228" s="11" t="inlineStr"/>
      <c r="H228" s="11" t="inlineStr">
        <is>
          <t>Supreme Court</t>
        </is>
      </c>
      <c r="I228" s="2" t="inlineStr">
        <is>
          <t>(1996) 3 Crimes 85; (1996) 7 JT 6; (1996) 5 SCALE 523; (1996) 9 SCC 766; (1996) 4 SCR 197 Supp</t>
        </is>
      </c>
      <c r="J228" s="11" t="n">
        <v>1996</v>
      </c>
      <c r="K228" s="2" t="inlineStr">
        <is>
          <t>State of Orissa v. Debendra Nath Padhi</t>
        </is>
      </c>
      <c r="L228" s="11" t="inlineStr">
        <is>
          <t>Supreme Court</t>
        </is>
      </c>
      <c r="M228" s="2" t="inlineStr">
        <is>
          <t>AIR 2005 SC 359; (2005) 99 CLT 348; (2005) 1 CTC 134; (2004) 10 JT 303; (2004) 10 SCALE 50; (2005) 1 SCC 568; (2004) AIRSCW 6813; (2004) 8 Supreme 568</t>
        </is>
      </c>
      <c r="N228" s="11" t="n">
        <v>2005</v>
      </c>
      <c r="O228" s="11" t="n"/>
      <c r="P228" s="11" t="n"/>
      <c r="Q228" s="11" t="n"/>
      <c r="R228" s="2" t="n"/>
      <c r="S228" s="2" t="n"/>
      <c r="T228" s="11" t="inlineStr"/>
      <c r="U228" s="11" t="inlineStr"/>
      <c r="V228" s="11" t="inlineStr">
        <is>
          <t>outside_list</t>
        </is>
      </c>
      <c r="W228" s="11" t="n"/>
      <c r="X228" s="11" t="n"/>
      <c r="Y228" s="11" t="n"/>
      <c r="Z228" s="11" t="inlineStr">
        <is>
          <t>Mr. Advocate</t>
        </is>
      </c>
      <c r="AA228" s="11" t="inlineStr">
        <is>
          <t>2026-10-07</t>
        </is>
      </c>
      <c r="AB228" s="11" t="inlineStr">
        <is>
          <t>name_year</t>
        </is>
      </c>
      <c r="AC228" s="2" t="inlineStr"/>
      <c r="AD228" s="2" t="inlineStr">
        <is>
          <t>Satish Mehra v. Delhi Administration and Another (1996) was overruled by State of Orissa v. Debendra Nath Padhi (2005).</t>
        </is>
      </c>
      <c r="AE228" s="2" t="n"/>
      <c r="AF228" s="11" t="inlineStr">
        <is>
          <t>created from list 1</t>
        </is>
      </c>
    </row>
    <row r="229">
      <c r="A229" s="11" t="inlineStr">
        <is>
          <t>L1-0228</t>
        </is>
      </c>
      <c r="B229" s="11" t="inlineStr">
        <is>
          <t>List 1 (to ~2015)</t>
        </is>
      </c>
      <c r="C229" s="11" t="inlineStr">
        <is>
          <t>list1</t>
        </is>
      </c>
      <c r="D229" s="11" t="inlineStr">
        <is>
          <t>verified</t>
        </is>
      </c>
      <c r="E229" s="11" t="inlineStr">
        <is>
          <t>overruled</t>
        </is>
      </c>
      <c r="F229" s="2" t="inlineStr">
        <is>
          <t>Common Cause A Registered Society through its Director v. Union of India (UOI) and Others</t>
        </is>
      </c>
      <c r="G229" s="11" t="inlineStr"/>
      <c r="H229" s="11" t="inlineStr">
        <is>
          <t>Supreme Court</t>
        </is>
      </c>
      <c r="I229" s="2" t="inlineStr">
        <is>
          <t>AIR 1996 SC 1619; (1996) CriLJ 2380; (1996) 2 CTC 356; (1996) 2 DMC 49; (1996) 4 JT 701; (1996) 4 SCALE 127; (1996) 4 SCC 33; (1996) 2 SCR 196 Supp; (1996) 2 UJ 263</t>
        </is>
      </c>
      <c r="J229" s="11" t="n">
        <v>1996</v>
      </c>
      <c r="K229" s="2" t="inlineStr">
        <is>
          <t>P. Ramachandra Rao v. State of Karnataka</t>
        </is>
      </c>
      <c r="L229" s="11" t="inlineStr">
        <is>
          <t>Supreme Court</t>
        </is>
      </c>
      <c r="M229" s="2" t="inlineStr">
        <is>
          <t>AIR 2002 SC 1856; (2002) CriLJ 2547; (2002) 2 Crimes 200; (2002) 4 JT 92; (2001) 4 SCALE 226; (2002) 4 SCC 578; (2002) 3 SCR 68; (2002) AIRSCW 1841; (2002) 3 Supreme 260</t>
        </is>
      </c>
      <c r="N229" s="11" t="n">
        <v>2002</v>
      </c>
      <c r="O229" s="11" t="n"/>
      <c r="P229" s="11" t="n"/>
      <c r="Q229" s="11" t="n"/>
      <c r="R229" s="2" t="n"/>
      <c r="S229" s="2" t="n"/>
      <c r="T229" s="11" t="inlineStr"/>
      <c r="U229" s="11" t="inlineStr"/>
      <c r="V229" s="11" t="inlineStr">
        <is>
          <t>outside_list</t>
        </is>
      </c>
      <c r="W229" s="11" t="n"/>
      <c r="X229" s="11" t="n"/>
      <c r="Y229" s="11" t="n"/>
      <c r="Z229" s="11" t="inlineStr">
        <is>
          <t>Mr. Advocate</t>
        </is>
      </c>
      <c r="AA229" s="11" t="inlineStr">
        <is>
          <t>2026-10-07</t>
        </is>
      </c>
      <c r="AB229" s="11" t="inlineStr">
        <is>
          <t>name_year</t>
        </is>
      </c>
      <c r="AC229" s="2" t="inlineStr"/>
      <c r="AD229" s="2" t="inlineStr">
        <is>
          <t>Common Cause A Registered Society through its Director v. Union of India (UOI) and Others (1996) was overruled by P. Ramachandra Rao v. State of Karnataka (2002).</t>
        </is>
      </c>
      <c r="AE229" s="2" t="n"/>
      <c r="AF229" s="11" t="inlineStr">
        <is>
          <t>created from list 1</t>
        </is>
      </c>
    </row>
    <row r="230">
      <c r="A230" s="11" t="inlineStr">
        <is>
          <t>L1-0229</t>
        </is>
      </c>
      <c r="B230" s="11" t="inlineStr">
        <is>
          <t>List 1 (to ~2015)</t>
        </is>
      </c>
      <c r="C230" s="11" t="inlineStr">
        <is>
          <t>list1</t>
        </is>
      </c>
      <c r="D230" s="11" t="inlineStr">
        <is>
          <t>verified</t>
        </is>
      </c>
      <c r="E230" s="11" t="inlineStr">
        <is>
          <t>overruled</t>
        </is>
      </c>
      <c r="F230" s="2" t="inlineStr">
        <is>
          <t>M/s. Chheda Industries v. Collector of Customs, Madras</t>
        </is>
      </c>
      <c r="G230" s="11" t="inlineStr"/>
      <c r="H230" s="11" t="inlineStr">
        <is>
          <t>Supreme Court</t>
        </is>
      </c>
      <c r="I230" s="2" t="inlineStr">
        <is>
          <t>AIR 1997 SC 2080; (1997) 91 ELT 241; (1997) 4 JT 215; (1997) 3 SCALE 329; (1997) 6 SCC 88; (1997) 3 SCR 343; (1997) AIRSCW 1907; (1997) 3 Supreme 619</t>
        </is>
      </c>
      <c r="J230" s="11" t="n">
        <v>1997</v>
      </c>
      <c r="K230" s="2" t="inlineStr">
        <is>
          <t>Mafatlal Industries Ltd. and Others v. Union of India (UOI) and Others</t>
        </is>
      </c>
      <c r="L230" s="11" t="inlineStr">
        <is>
          <t>Supreme Court</t>
        </is>
      </c>
      <c r="M230" s="2" t="inlineStr">
        <is>
          <t>(2002) 83 ECC 85; (1997) 68 ECR 273; (1997) 89 ELT 247; (1996) 11 JT 283; (1996) 9 SCALE 457; (1997) 5 SCC 536; (1996) 10 SCR 585 Supp; (1998) 111 STC 467</t>
        </is>
      </c>
      <c r="N230" s="11" t="n">
        <v>1996</v>
      </c>
      <c r="O230" s="11" t="n"/>
      <c r="P230" s="11" t="n"/>
      <c r="Q230" s="11" t="n"/>
      <c r="R230" s="2" t="n"/>
      <c r="S230" s="2" t="n"/>
      <c r="T230" s="11" t="inlineStr"/>
      <c r="U230" s="11" t="inlineStr"/>
      <c r="V230" s="11" t="inlineStr">
        <is>
          <t>outside_list</t>
        </is>
      </c>
      <c r="W230" s="11" t="n"/>
      <c r="X230" s="11" t="n"/>
      <c r="Y230" s="11" t="n"/>
      <c r="Z230" s="11" t="inlineStr">
        <is>
          <t>Mr. Advocate</t>
        </is>
      </c>
      <c r="AA230" s="11" t="inlineStr">
        <is>
          <t>2026-10-07</t>
        </is>
      </c>
      <c r="AB230" s="11" t="inlineStr">
        <is>
          <t>name_year</t>
        </is>
      </c>
      <c r="AC230" s="2" t="inlineStr"/>
      <c r="AD230" s="2" t="inlineStr">
        <is>
          <t>M/s. Chheda Industries v. Collector of Customs, Madras (1997) was overruled by Mafatlal Industries Ltd. and Others v. Union of India (UOI) and Others (1996).</t>
        </is>
      </c>
      <c r="AE230" s="2" t="n"/>
      <c r="AF230" s="11" t="inlineStr">
        <is>
          <t>created from list 1</t>
        </is>
      </c>
    </row>
    <row r="231">
      <c r="A231" s="11" t="inlineStr">
        <is>
          <t>L1-0230</t>
        </is>
      </c>
      <c r="B231" s="11" t="inlineStr">
        <is>
          <t>List 1 (to ~2015)</t>
        </is>
      </c>
      <c r="C231" s="11" t="inlineStr">
        <is>
          <t>list1</t>
        </is>
      </c>
      <c r="D231" s="11" t="inlineStr">
        <is>
          <t>verified</t>
        </is>
      </c>
      <c r="E231" s="11" t="inlineStr">
        <is>
          <t>overruled</t>
        </is>
      </c>
      <c r="F231" s="2" t="inlineStr">
        <is>
          <t>Gaurav Jain v. Union of India and others</t>
        </is>
      </c>
      <c r="G231" s="11" t="inlineStr"/>
      <c r="H231" s="11" t="inlineStr">
        <is>
          <t>Supreme Court</t>
        </is>
      </c>
      <c r="I231" s="2" t="inlineStr">
        <is>
          <t>AIR 1997 SC 3021; (1997) 2 Crimes 40; (1997) 6 JT 305; (1997) 4 SCALE 657; (1997) 8 SCC 114; (1997) 2 SCR 105 Supp; (1997) AIRSCW 3055; (1997) 6 Supreme 394</t>
        </is>
      </c>
      <c r="J231" s="11" t="n">
        <v>1997</v>
      </c>
      <c r="K231" s="2" t="inlineStr">
        <is>
          <t>Gaurav Jain and Supreme Court Bar Association v. Union of India and Others</t>
        </is>
      </c>
      <c r="L231" s="11" t="inlineStr">
        <is>
          <t>Supreme Court</t>
        </is>
      </c>
      <c r="M231" s="2" t="inlineStr">
        <is>
          <t>(1998) 3 AD 189; AIR 1998 SC 2848; (1998) 2 JT 700; (1998) 2 SCALE 534; (1998) 4 SCC 270; (1998) 2 SCR 493; (1998) 1 UJ 653; (1998) AIRSCW 1511; (1998) 3 Supreme 350</t>
        </is>
      </c>
      <c r="N231" s="11" t="n">
        <v>1998</v>
      </c>
      <c r="O231" s="11" t="n"/>
      <c r="P231" s="11" t="n"/>
      <c r="Q231" s="11" t="n"/>
      <c r="R231" s="2" t="n"/>
      <c r="S231" s="2" t="n"/>
      <c r="T231" s="11" t="inlineStr"/>
      <c r="U231" s="11" t="inlineStr"/>
      <c r="V231" s="11" t="inlineStr">
        <is>
          <t>outside_list</t>
        </is>
      </c>
      <c r="W231" s="11" t="n"/>
      <c r="X231" s="11" t="n"/>
      <c r="Y231" s="11" t="n"/>
      <c r="Z231" s="11" t="inlineStr">
        <is>
          <t>Mr. Advocate</t>
        </is>
      </c>
      <c r="AA231" s="11" t="inlineStr">
        <is>
          <t>2026-10-07</t>
        </is>
      </c>
      <c r="AB231" s="11" t="inlineStr">
        <is>
          <t>name_year</t>
        </is>
      </c>
      <c r="AC231" s="2" t="inlineStr"/>
      <c r="AD231" s="2" t="inlineStr">
        <is>
          <t>Gaurav Jain v. Union of India and others (1997) was overruled by Gaurav Jain and Supreme Court Bar Association v. Union of India and Others (1998).</t>
        </is>
      </c>
      <c r="AE231" s="2" t="n"/>
      <c r="AF231" s="11" t="inlineStr">
        <is>
          <t>created from list 1</t>
        </is>
      </c>
    </row>
    <row r="232">
      <c r="A232" s="11" t="inlineStr">
        <is>
          <t>L1-0231</t>
        </is>
      </c>
      <c r="B232" s="11" t="inlineStr">
        <is>
          <t>List 1 (to ~2015)</t>
        </is>
      </c>
      <c r="C232" s="11" t="inlineStr">
        <is>
          <t>list1</t>
        </is>
      </c>
      <c r="D232" s="11" t="inlineStr">
        <is>
          <t>verified</t>
        </is>
      </c>
      <c r="E232" s="11" t="inlineStr">
        <is>
          <t>overruled</t>
        </is>
      </c>
      <c r="F232" s="2" t="inlineStr">
        <is>
          <t>Indore Development Authority v. Satyabhama Bai (Smt) and Others</t>
        </is>
      </c>
      <c r="G232" s="11" t="inlineStr"/>
      <c r="H232" s="11" t="inlineStr">
        <is>
          <t>Supreme Court</t>
        </is>
      </c>
      <c r="I232" s="2" t="inlineStr">
        <is>
          <t>(1996) 6 AD 394; (1996) 6 SCALE 38; (1996) 10 SCC 751; (1996) 4 SCR 277 Supp</t>
        </is>
      </c>
      <c r="J232" s="11" t="n">
        <v>1996</v>
      </c>
      <c r="K232" s="2" t="inlineStr">
        <is>
          <t>Cement Corporation of India Ltd. v. Purya and Others</t>
        </is>
      </c>
      <c r="L232" s="11" t="inlineStr">
        <is>
          <t>unknown</t>
        </is>
      </c>
      <c r="M232" s="2" t="inlineStr">
        <is>
          <t>(2004) 8 JT 327; (2004) 8 SCALE 558; (2004) 8 SCC 270; (2004) AIRSCW 5534; (2004) 7 Supreme 711</t>
        </is>
      </c>
      <c r="N232" s="11" t="n">
        <v>2004</v>
      </c>
      <c r="O232" s="11" t="n"/>
      <c r="P232" s="11" t="n"/>
      <c r="Q232" s="11" t="n"/>
      <c r="R232" s="2" t="n"/>
      <c r="S232" s="2" t="n"/>
      <c r="T232" s="11" t="inlineStr"/>
      <c r="U232" s="11" t="inlineStr"/>
      <c r="V232" s="11" t="inlineStr">
        <is>
          <t>outside_list</t>
        </is>
      </c>
      <c r="W232" s="11" t="n"/>
      <c r="X232" s="11" t="n"/>
      <c r="Y232" s="11" t="n"/>
      <c r="Z232" s="11" t="inlineStr">
        <is>
          <t>Mr. Advocate</t>
        </is>
      </c>
      <c r="AA232" s="11" t="inlineStr">
        <is>
          <t>2026-10-07</t>
        </is>
      </c>
      <c r="AB232" s="11" t="inlineStr">
        <is>
          <t>name_year</t>
        </is>
      </c>
      <c r="AC232" s="2" t="inlineStr"/>
      <c r="AD232" s="2" t="inlineStr">
        <is>
          <t>Indore Development Authority v. Satyabhama Bai (Smt) and Others (1996) was overruled by Cement Corporation of India Ltd. v. Purya and Others (2004).</t>
        </is>
      </c>
      <c r="AE232" s="2" t="n"/>
      <c r="AF232" s="11" t="inlineStr">
        <is>
          <t>created from list 1</t>
        </is>
      </c>
    </row>
    <row r="233">
      <c r="A233" s="11" t="inlineStr">
        <is>
          <t>L1-0232</t>
        </is>
      </c>
      <c r="B233" s="11" t="inlineStr">
        <is>
          <t>List 1 (to ~2015)</t>
        </is>
      </c>
      <c r="C233" s="11" t="inlineStr">
        <is>
          <t>list1</t>
        </is>
      </c>
      <c r="D233" s="11" t="inlineStr">
        <is>
          <t>verified</t>
        </is>
      </c>
      <c r="E233" s="11" t="inlineStr">
        <is>
          <t>overruled</t>
        </is>
      </c>
      <c r="F233" s="2" t="inlineStr">
        <is>
          <t>The Management of Hotel Imperial, New Delhi and Others v. Hotel Workers’ Union</t>
        </is>
      </c>
      <c r="G233" s="11" t="inlineStr"/>
      <c r="H233" s="11" t="inlineStr">
        <is>
          <t>Supreme Court</t>
        </is>
      </c>
      <c r="I233" s="2" t="inlineStr">
        <is>
          <t>AIR 1959 SC 1342; (1959) 2 LLJ 544; (1960) 1 SCR 476</t>
        </is>
      </c>
      <c r="J233" s="11" t="n">
        <v>1959</v>
      </c>
      <c r="K233" s="2" t="inlineStr">
        <is>
          <t>D.C. Roy v. The Presiding Officer, Madhya Pradesh Industrial Court, Indore and Others</t>
        </is>
      </c>
      <c r="L233" s="11" t="inlineStr">
        <is>
          <t>Supreme Court</t>
        </is>
      </c>
      <c r="M233" s="2" t="inlineStr">
        <is>
          <t>AIR 1976 SC 1760; (1976) LabIC 1142; (1976) 3 SCC 693; (1976) 3 SCR 801; (1976) 8 UJ 401</t>
        </is>
      </c>
      <c r="N233" s="11" t="n">
        <v>1976</v>
      </c>
      <c r="O233" s="11" t="n"/>
      <c r="P233" s="11" t="n"/>
      <c r="Q233" s="11" t="n"/>
      <c r="R233" s="2" t="n"/>
      <c r="S233" s="2" t="n"/>
      <c r="T233" s="11" t="inlineStr"/>
      <c r="U233" s="11" t="inlineStr"/>
      <c r="V233" s="11" t="inlineStr">
        <is>
          <t>outside_list</t>
        </is>
      </c>
      <c r="W233" s="11" t="n"/>
      <c r="X233" s="11" t="n"/>
      <c r="Y233" s="11" t="n"/>
      <c r="Z233" s="11" t="inlineStr">
        <is>
          <t>Mr. Advocate</t>
        </is>
      </c>
      <c r="AA233" s="11" t="inlineStr">
        <is>
          <t>2026-10-07</t>
        </is>
      </c>
      <c r="AB233" s="11" t="inlineStr">
        <is>
          <t>name_year</t>
        </is>
      </c>
      <c r="AC233" s="2" t="inlineStr"/>
      <c r="AD233" s="2" t="inlineStr">
        <is>
          <t>The Management of Hotel Imperial, New Delhi and Others v. Hotel Workers’ Union (1959) was overruled by D.C. Roy v. The Presiding Officer, Madhya Pradesh Industrial Court, Indore and Others (1976).</t>
        </is>
      </c>
      <c r="AE233" s="2" t="n"/>
      <c r="AF233" s="11" t="inlineStr">
        <is>
          <t>created from list 1</t>
        </is>
      </c>
    </row>
    <row r="234">
      <c r="A234" s="11" t="inlineStr">
        <is>
          <t>L1-0233</t>
        </is>
      </c>
      <c r="B234" s="11" t="inlineStr">
        <is>
          <t>List 1 (to ~2015)</t>
        </is>
      </c>
      <c r="C234" s="11" t="inlineStr">
        <is>
          <t>list1</t>
        </is>
      </c>
      <c r="D234" s="11" t="inlineStr">
        <is>
          <t>verified</t>
        </is>
      </c>
      <c r="E234" s="11" t="inlineStr">
        <is>
          <t>overruled</t>
        </is>
      </c>
      <c r="F234" s="2" t="inlineStr">
        <is>
          <t>Ashok Kumar Sharma and Another v. Chander Shekher and Another</t>
        </is>
      </c>
      <c r="G234" s="11" t="inlineStr"/>
      <c r="H234" s="11" t="inlineStr">
        <is>
          <t>Supreme Court</t>
        </is>
      </c>
      <c r="I234" s="2" t="inlineStr">
        <is>
          <t>(1992) JT 684 Supp; (1994) 1 LLJ 267; (1992) 3 SCALE 528; (1993) 2 SCC 611 Supp; (1992) 3 SCR 768 Supp</t>
        </is>
      </c>
      <c r="J234" s="11" t="n">
        <v>1992</v>
      </c>
      <c r="K234" s="2" t="inlineStr">
        <is>
          <t>Ashok Kumar Sharma and Others v. Chander Shekhar and Another</t>
        </is>
      </c>
      <c r="L234" s="11" t="inlineStr">
        <is>
          <t>Supreme Court</t>
        </is>
      </c>
      <c r="M234" s="2" t="inlineStr">
        <is>
          <t>(1997) 4 JT 99; (1997) 1 LLJ 1160; (1997) 2 SCALE 707; (1997) 4 SCC 18; (1997) SCC(L&amp;S) 913; (1997) 2 SCR 896; (1997) 2 UJ 15</t>
        </is>
      </c>
      <c r="N234" s="11" t="n">
        <v>1997</v>
      </c>
      <c r="O234" s="11" t="n"/>
      <c r="P234" s="11" t="n"/>
      <c r="Q234" s="11" t="n"/>
      <c r="R234" s="2" t="n"/>
      <c r="S234" s="2" t="n"/>
      <c r="T234" s="11" t="inlineStr"/>
      <c r="U234" s="11" t="inlineStr"/>
      <c r="V234" s="11" t="inlineStr">
        <is>
          <t>outside_list</t>
        </is>
      </c>
      <c r="W234" s="11" t="n"/>
      <c r="X234" s="11" t="n"/>
      <c r="Y234" s="11" t="n"/>
      <c r="Z234" s="11" t="inlineStr">
        <is>
          <t>Mr. Advocate</t>
        </is>
      </c>
      <c r="AA234" s="11" t="inlineStr">
        <is>
          <t>2026-10-07</t>
        </is>
      </c>
      <c r="AB234" s="11" t="inlineStr">
        <is>
          <t>name_year</t>
        </is>
      </c>
      <c r="AC234" s="2" t="inlineStr"/>
      <c r="AD234" s="2" t="inlineStr">
        <is>
          <t>Ashok Kumar Sharma and Another v. Chander Shekher and Another (1992) was overruled by Ashok Kumar Sharma and Others v. Chander Shekhar and Another (1997).</t>
        </is>
      </c>
      <c r="AE234" s="2" t="n"/>
      <c r="AF234" s="11" t="inlineStr">
        <is>
          <t>created from list 1</t>
        </is>
      </c>
    </row>
    <row r="235">
      <c r="A235" s="11" t="inlineStr">
        <is>
          <t>L1-0234</t>
        </is>
      </c>
      <c r="B235" s="11" t="inlineStr">
        <is>
          <t>List 1 (to ~2015)</t>
        </is>
      </c>
      <c r="C235" s="11" t="inlineStr">
        <is>
          <t>list1</t>
        </is>
      </c>
      <c r="D235" s="11" t="inlineStr">
        <is>
          <t>verified</t>
        </is>
      </c>
      <c r="E235" s="11" t="inlineStr">
        <is>
          <t>overruled</t>
        </is>
      </c>
      <c r="F235" s="2" t="inlineStr">
        <is>
          <t>Suresh Chandra v. J.B. Agarwal and others</t>
        </is>
      </c>
      <c r="G235" s="11" t="inlineStr"/>
      <c r="H235" s="11" t="inlineStr">
        <is>
          <t>Supreme Court</t>
        </is>
      </c>
      <c r="I235" s="2" t="inlineStr">
        <is>
          <t>AIR 1997 SC 2487; (1997) 5 JT 72; (1997) 2 LLJ 422; (1997) 3 SCALE 697; (1997) 5 SCC 363; (1997) SCC(L&amp;S) 1146; (1997) 3 SCR 665; (1997) AIRSCW 2426; (1997) 4 Supreme 648</t>
        </is>
      </c>
      <c r="J235" s="11" t="n">
        <v>1997</v>
      </c>
      <c r="K235" s="2" t="inlineStr">
        <is>
          <t>Post Graduate Institute of Medical Education and Research, Chandigarh v. Faculty Association and Others</t>
        </is>
      </c>
      <c r="L235" s="11" t="inlineStr">
        <is>
          <t>Supreme Court</t>
        </is>
      </c>
      <c r="M235" s="2" t="inlineStr">
        <is>
          <t>(1998) 4 AD 70; AIR 1998 SC 1767; (1998) 3 CTC 413; (1998) 3 JT 223; (1998) 2 SCALE 772; (1998) 4 SCC 1; (1998) SCC(L&amp;S) 961; (1998) 2 SCR 845; (1998) AIRSCW 1553; (1998) 4 Supreme 110</t>
        </is>
      </c>
      <c r="N235" s="11" t="n">
        <v>1998</v>
      </c>
      <c r="O235" s="11" t="n"/>
      <c r="P235" s="11" t="n"/>
      <c r="Q235" s="11" t="n"/>
      <c r="R235" s="2" t="n"/>
      <c r="S235" s="2" t="n"/>
      <c r="T235" s="11" t="inlineStr"/>
      <c r="U235" s="11" t="inlineStr"/>
      <c r="V235" s="11" t="inlineStr">
        <is>
          <t>outside_list</t>
        </is>
      </c>
      <c r="W235" s="11" t="n"/>
      <c r="X235" s="11" t="n"/>
      <c r="Y235" s="11" t="n"/>
      <c r="Z235" s="11" t="inlineStr">
        <is>
          <t>Mr. Advocate</t>
        </is>
      </c>
      <c r="AA235" s="11" t="inlineStr">
        <is>
          <t>2026-10-07</t>
        </is>
      </c>
      <c r="AB235" s="11" t="inlineStr">
        <is>
          <t>name_year</t>
        </is>
      </c>
      <c r="AC235" s="2" t="inlineStr"/>
      <c r="AD235" s="2" t="inlineStr">
        <is>
          <t>Suresh Chandra v. J.B. Agarwal and others (1997) was overruled by Post Graduate Institute of Medical Education and Research, Chandigarh v. Faculty Association and Others (1998).</t>
        </is>
      </c>
      <c r="AE235" s="2" t="n"/>
      <c r="AF235" s="11" t="inlineStr">
        <is>
          <t>created from list 1</t>
        </is>
      </c>
    </row>
    <row r="236">
      <c r="A236" s="11" t="inlineStr">
        <is>
          <t>L1-0235</t>
        </is>
      </c>
      <c r="B236" s="11" t="inlineStr">
        <is>
          <t>List 1 (to ~2015)</t>
        </is>
      </c>
      <c r="C236" s="11" t="inlineStr">
        <is>
          <t>list1</t>
        </is>
      </c>
      <c r="D236" s="11" t="inlineStr">
        <is>
          <t>verified</t>
        </is>
      </c>
      <c r="E236" s="11" t="inlineStr">
        <is>
          <t>overruled</t>
        </is>
      </c>
      <c r="F236" s="2" t="inlineStr">
        <is>
          <t>Major Radha Krishan v. Union of India and Others</t>
        </is>
      </c>
      <c r="G236" s="11" t="inlineStr"/>
      <c r="H236" s="11" t="inlineStr">
        <is>
          <t>Supreme Court</t>
        </is>
      </c>
      <c r="I236" s="2" t="inlineStr">
        <is>
          <t>(1996) 3 AD 636; AIR 1996 SC 3091; (1996) 73 FLR 1430; (1996) 3 JT 650; (1996) 3 SCALE 241; (1996) 3 SCC 507; (1996) 3 SCR 836; (1996) 1 UJ 817</t>
        </is>
      </c>
      <c r="J236" s="11" t="n">
        <v>1996</v>
      </c>
      <c r="K236" s="2" t="inlineStr">
        <is>
          <t>Union of India and Others v. Harjeet Singh Sandhu</t>
        </is>
      </c>
      <c r="L236" s="11" t="inlineStr">
        <is>
          <t>Supreme Court</t>
        </is>
      </c>
      <c r="M236" s="2" t="inlineStr">
        <is>
          <t>AIR 2001 SC 1772; (2001) 4 JT 597; (2001) LabIC 1707; (2001) 3 SCALE 336; (2001) 5 SCC 593; (2001) SCC(L&amp;S) 891; (2001) 2 SCR 1127; (2001) 2 SCT 1018; (2002) 1 SLJ 1; (2001) AIRSCW 1689; (2001) 3 Supreme 370</t>
        </is>
      </c>
      <c r="N236" s="11" t="n">
        <v>2001</v>
      </c>
      <c r="O236" s="11" t="n"/>
      <c r="P236" s="11" t="n"/>
      <c r="Q236" s="11" t="n"/>
      <c r="R236" s="2" t="n"/>
      <c r="S236" s="2" t="n"/>
      <c r="T236" s="11" t="inlineStr"/>
      <c r="U236" s="11" t="inlineStr"/>
      <c r="V236" s="11" t="inlineStr">
        <is>
          <t>outside_list</t>
        </is>
      </c>
      <c r="W236" s="11" t="n"/>
      <c r="X236" s="11" t="n"/>
      <c r="Y236" s="11" t="n"/>
      <c r="Z236" s="11" t="inlineStr">
        <is>
          <t>Mr. Advocate</t>
        </is>
      </c>
      <c r="AA236" s="11" t="inlineStr">
        <is>
          <t>2026-10-07</t>
        </is>
      </c>
      <c r="AB236" s="11" t="inlineStr">
        <is>
          <t>name_year</t>
        </is>
      </c>
      <c r="AC236" s="2" t="inlineStr"/>
      <c r="AD236" s="2" t="inlineStr">
        <is>
          <t>Major Radha Krishan v. Union of India and Others (1996) was overruled by Union of India and Others v. Harjeet Singh Sandhu (2001).</t>
        </is>
      </c>
      <c r="AE236" s="2" t="n"/>
      <c r="AF236" s="11" t="inlineStr">
        <is>
          <t>created from list 1</t>
        </is>
      </c>
    </row>
    <row r="237">
      <c r="A237" s="11" t="inlineStr">
        <is>
          <t>L1-0236</t>
        </is>
      </c>
      <c r="B237" s="11" t="inlineStr">
        <is>
          <t>List 1 (to ~2015)</t>
        </is>
      </c>
      <c r="C237" s="11" t="inlineStr">
        <is>
          <t>list1</t>
        </is>
      </c>
      <c r="D237" s="11" t="inlineStr">
        <is>
          <t>verified</t>
        </is>
      </c>
      <c r="E237" s="11" t="inlineStr">
        <is>
          <t>overruled</t>
        </is>
      </c>
      <c r="F237" s="2" t="inlineStr">
        <is>
          <t>P.ORR and Sons (P) Ltd. v. Associated Publishers (Madras) Limited</t>
        </is>
      </c>
      <c r="G237" s="11" t="inlineStr"/>
      <c r="H237" s="11" t="inlineStr">
        <is>
          <t>Supreme Court</t>
        </is>
      </c>
      <c r="I237" s="2" t="inlineStr">
        <is>
          <t>(1990) 4 JT 374; (1990) 2 SCALE 960; (1991) 1 SCC 301; (1990) 2 SCR 615 Supp</t>
        </is>
      </c>
      <c r="J237" s="11" t="n">
        <v>1990</v>
      </c>
      <c r="K237" s="2" t="inlineStr">
        <is>
          <t>Laxmi Bai Patel v. Shyam Kumar Patel</t>
        </is>
      </c>
      <c r="L237" s="11" t="inlineStr">
        <is>
          <t>Supreme Court</t>
        </is>
      </c>
      <c r="M237" s="2" t="inlineStr">
        <is>
          <t>(2002) 3 JT 409</t>
        </is>
      </c>
      <c r="N237" s="11" t="n">
        <v>2002</v>
      </c>
      <c r="O237" s="11" t="n"/>
      <c r="P237" s="11" t="n"/>
      <c r="Q237" s="11" t="n"/>
      <c r="R237" s="2" t="n"/>
      <c r="S237" s="2" t="n"/>
      <c r="T237" s="11" t="inlineStr"/>
      <c r="U237" s="11" t="inlineStr"/>
      <c r="V237" s="11" t="inlineStr">
        <is>
          <t>outside_list</t>
        </is>
      </c>
      <c r="W237" s="11" t="n"/>
      <c r="X237" s="11" t="n"/>
      <c r="Y237" s="11" t="n"/>
      <c r="Z237" s="11" t="inlineStr">
        <is>
          <t>Mr. Advocate</t>
        </is>
      </c>
      <c r="AA237" s="11" t="inlineStr">
        <is>
          <t>2026-10-07</t>
        </is>
      </c>
      <c r="AB237" s="11" t="inlineStr">
        <is>
          <t>name_year</t>
        </is>
      </c>
      <c r="AC237" s="2" t="inlineStr"/>
      <c r="AD237" s="2" t="inlineStr">
        <is>
          <t>P.ORR and Sons (P) Ltd. v. Associated Publishers (Madras) Limited (1990) was overruled by Laxmi Bai Patel v. Shyam Kumar Patel (2002).</t>
        </is>
      </c>
      <c r="AE237" s="2" t="n"/>
      <c r="AF237" s="11" t="inlineStr">
        <is>
          <t>created from list 1</t>
        </is>
      </c>
    </row>
    <row r="238">
      <c r="A238" s="11" t="inlineStr">
        <is>
          <t>L1-0237</t>
        </is>
      </c>
      <c r="B238" s="11" t="inlineStr">
        <is>
          <t>List 1 (to ~2015)</t>
        </is>
      </c>
      <c r="C238" s="11" t="inlineStr">
        <is>
          <t>list1</t>
        </is>
      </c>
      <c r="D238" s="11" t="inlineStr">
        <is>
          <t>verified</t>
        </is>
      </c>
      <c r="E238" s="11" t="inlineStr">
        <is>
          <t>overruled</t>
        </is>
      </c>
      <c r="F238" s="2" t="inlineStr">
        <is>
          <t>V. Dhanapal Chettiar v. Yesodai Ammal</t>
        </is>
      </c>
      <c r="G238" s="11" t="inlineStr"/>
      <c r="H238" s="11" t="inlineStr">
        <is>
          <t>Supreme Court</t>
        </is>
      </c>
      <c r="I238" s="2" t="inlineStr">
        <is>
          <t>AIR 1979 SC 1745; (1979) 4 SCC 214; (1980) 1 SCR 334</t>
        </is>
      </c>
      <c r="J238" s="11" t="n">
        <v>1979</v>
      </c>
      <c r="K238" s="2" t="inlineStr">
        <is>
          <t>Tara Chand and Another v. Ram Prasad</t>
        </is>
      </c>
      <c r="L238" s="11" t="inlineStr">
        <is>
          <t>Supreme Court</t>
        </is>
      </c>
      <c r="M238" s="2" t="inlineStr">
        <is>
          <t>(1990) 3 JT 17; (1990) 3 SCC 526; (1990) 3 SCR 7; (1990) 2 UJ 157</t>
        </is>
      </c>
      <c r="N238" s="11" t="n">
        <v>1990</v>
      </c>
      <c r="O238" s="11" t="n"/>
      <c r="P238" s="11" t="n"/>
      <c r="Q238" s="11" t="n"/>
      <c r="R238" s="2" t="n"/>
      <c r="S238" s="2" t="n"/>
      <c r="T238" s="11" t="inlineStr"/>
      <c r="U238" s="11" t="inlineStr"/>
      <c r="V238" s="11" t="inlineStr">
        <is>
          <t>outside_list</t>
        </is>
      </c>
      <c r="W238" s="11" t="n"/>
      <c r="X238" s="11" t="n"/>
      <c r="Y238" s="11" t="n"/>
      <c r="Z238" s="11" t="inlineStr">
        <is>
          <t>Mr. Advocate</t>
        </is>
      </c>
      <c r="AA238" s="11" t="inlineStr">
        <is>
          <t>2026-10-07</t>
        </is>
      </c>
      <c r="AB238" s="11" t="inlineStr">
        <is>
          <t>name_year</t>
        </is>
      </c>
      <c r="AC238" s="2" t="inlineStr"/>
      <c r="AD238" s="2" t="inlineStr">
        <is>
          <t>V. Dhanapal Chettiar v. Yesodai Ammal (1979) was overruled by Tara Chand and Another v. Ram Prasad (1990).</t>
        </is>
      </c>
      <c r="AE238" s="2" t="n"/>
      <c r="AF238" s="11" t="inlineStr">
        <is>
          <t>created from list 1</t>
        </is>
      </c>
    </row>
    <row r="239">
      <c r="A239" s="11" t="inlineStr">
        <is>
          <t>L1-0238</t>
        </is>
      </c>
      <c r="B239" s="11" t="inlineStr">
        <is>
          <t>List 1 (to ~2015)</t>
        </is>
      </c>
      <c r="C239" s="11" t="inlineStr">
        <is>
          <t>list1</t>
        </is>
      </c>
      <c r="D239" s="11" t="inlineStr">
        <is>
          <t>verified</t>
        </is>
      </c>
      <c r="E239" s="11" t="inlineStr">
        <is>
          <t>overruled</t>
        </is>
      </c>
      <c r="F239" s="2" t="inlineStr">
        <is>
          <t>Bhanu Kumar Shastri v. Mohan Lal Sukhadia and Others</t>
        </is>
      </c>
      <c r="G239" s="11" t="inlineStr"/>
      <c r="H239" s="11" t="inlineStr">
        <is>
          <t>Supreme Court</t>
        </is>
      </c>
      <c r="I239" s="2" t="inlineStr">
        <is>
          <t>AIR 1971 SC 2025; (1971) 1 SCC 370; (1971) 3 SCR 522</t>
        </is>
      </c>
      <c r="J239" s="11" t="n">
        <v>1971</v>
      </c>
      <c r="K239" s="2" t="inlineStr">
        <is>
          <t>Surinder Singh v. Hardial Singh and Others</t>
        </is>
      </c>
      <c r="L239" s="11" t="inlineStr">
        <is>
          <t>Supreme Court</t>
        </is>
      </c>
      <c r="M239" s="2" t="inlineStr">
        <is>
          <t>AIR 1985 SC 89; (1984) 2 SCALE 659; (1985) 1 SCC 91; (1985) 1 SCR 1059</t>
        </is>
      </c>
      <c r="N239" s="11" t="n">
        <v>1985</v>
      </c>
      <c r="O239" s="11" t="n"/>
      <c r="P239" s="11" t="n"/>
      <c r="Q239" s="11" t="n"/>
      <c r="R239" s="2" t="n"/>
      <c r="S239" s="2" t="n"/>
      <c r="T239" s="11" t="inlineStr"/>
      <c r="U239" s="11" t="inlineStr"/>
      <c r="V239" s="11" t="inlineStr">
        <is>
          <t>outside_list</t>
        </is>
      </c>
      <c r="W239" s="11" t="n"/>
      <c r="X239" s="11" t="n"/>
      <c r="Y239" s="11" t="n"/>
      <c r="Z239" s="11" t="inlineStr">
        <is>
          <t>Mr. Advocate</t>
        </is>
      </c>
      <c r="AA239" s="11" t="inlineStr">
        <is>
          <t>2026-10-07</t>
        </is>
      </c>
      <c r="AB239" s="11" t="inlineStr">
        <is>
          <t>name_year</t>
        </is>
      </c>
      <c r="AC239" s="2" t="inlineStr"/>
      <c r="AD239" s="2" t="inlineStr">
        <is>
          <t>Bhanu Kumar Shastri v. Mohan Lal Sukhadia and Others (1971) was overruled by Surinder Singh v. Hardial Singh and Others (1985).</t>
        </is>
      </c>
      <c r="AE239" s="2" t="n"/>
      <c r="AF239" s="11" t="inlineStr">
        <is>
          <t>created from list 1</t>
        </is>
      </c>
    </row>
    <row r="240">
      <c r="A240" s="11" t="inlineStr">
        <is>
          <t>L1-0239</t>
        </is>
      </c>
      <c r="B240" s="11" t="inlineStr">
        <is>
          <t>List 1 (to ~2015)</t>
        </is>
      </c>
      <c r="C240" s="11" t="inlineStr">
        <is>
          <t>list1</t>
        </is>
      </c>
      <c r="D240" s="11" t="inlineStr">
        <is>
          <t>verified</t>
        </is>
      </c>
      <c r="E240" s="11" t="inlineStr">
        <is>
          <t>overruled</t>
        </is>
      </c>
      <c r="F240" s="2" t="inlineStr">
        <is>
          <t>Vijayalaxmi Cashew Company and Others v. Dy. Commercial Tax Officer and Another</t>
        </is>
      </c>
      <c r="G240" s="11" t="inlineStr"/>
      <c r="H240" s="11" t="inlineStr">
        <is>
          <t>Supreme Court</t>
        </is>
      </c>
      <c r="I240" s="2" t="inlineStr">
        <is>
          <t>(1996) 1 AD 268; (1996) 53 ECC 85; (1995) 9 JT 4; (1995) 7 SCALE 239; (1996) 1 SCC 468; (1995) 6 SCR 719 Supp; (1996) 100 STC 571</t>
        </is>
      </c>
      <c r="J240" s="11" t="n">
        <v>1995</v>
      </c>
      <c r="K240" s="2" t="inlineStr">
        <is>
          <t>State of Karnataka v. Azad Coach Builders Pvt. Ltd.</t>
        </is>
      </c>
      <c r="L240" s="11" t="inlineStr">
        <is>
          <t>Supreme Court</t>
        </is>
      </c>
      <c r="M240" s="2" t="inlineStr">
        <is>
          <t>(2006) 196 ELT 135; (2006) 2 JT 599; (2006) 2 SCALE 487; (2006) 3 SCC 338; (2006) 145 STC 176</t>
        </is>
      </c>
      <c r="N240" s="11" t="n">
        <v>2006</v>
      </c>
      <c r="O240" s="11" t="n"/>
      <c r="P240" s="11" t="n"/>
      <c r="Q240" s="11" t="n"/>
      <c r="R240" s="2" t="n"/>
      <c r="S240" s="2" t="n"/>
      <c r="T240" s="11" t="inlineStr"/>
      <c r="U240" s="11" t="inlineStr"/>
      <c r="V240" s="11" t="inlineStr">
        <is>
          <t>outside_list</t>
        </is>
      </c>
      <c r="W240" s="11" t="n"/>
      <c r="X240" s="11" t="n"/>
      <c r="Y240" s="11" t="n"/>
      <c r="Z240" s="11" t="inlineStr">
        <is>
          <t>Mr. Advocate</t>
        </is>
      </c>
      <c r="AA240" s="11" t="inlineStr">
        <is>
          <t>2026-10-07</t>
        </is>
      </c>
      <c r="AB240" s="11" t="inlineStr">
        <is>
          <t>name_year</t>
        </is>
      </c>
      <c r="AC240" s="2" t="inlineStr"/>
      <c r="AD240" s="2" t="inlineStr">
        <is>
          <t>Vijayalaxmi Cashew Company and Others v. Dy. Commercial Tax Officer and Another (1995) was overruled by State of Karnataka v. Azad Coach Builders Pvt. Ltd. (2006).</t>
        </is>
      </c>
      <c r="AE240" s="2" t="n"/>
      <c r="AF240" s="11" t="inlineStr">
        <is>
          <t>created from list 1</t>
        </is>
      </c>
    </row>
    <row r="241">
      <c r="A241" s="11" t="inlineStr">
        <is>
          <t>L1-0240</t>
        </is>
      </c>
      <c r="B241" s="11" t="inlineStr">
        <is>
          <t>List 1 (to ~2015)</t>
        </is>
      </c>
      <c r="C241" s="11" t="inlineStr">
        <is>
          <t>list1</t>
        </is>
      </c>
      <c r="D241" s="11" t="inlineStr">
        <is>
          <t>verified</t>
        </is>
      </c>
      <c r="E241" s="11" t="inlineStr">
        <is>
          <t>overruled</t>
        </is>
      </c>
      <c r="F241" s="2" t="inlineStr">
        <is>
          <t>Prabhakaran and Others v. M. Azhagiri Pillai (Dead) by LRs. and Others</t>
        </is>
      </c>
      <c r="G241" s="11" t="inlineStr"/>
      <c r="H241" s="11" t="inlineStr">
        <is>
          <t>Supreme Court</t>
        </is>
      </c>
      <c r="I241" s="2" t="inlineStr">
        <is>
          <t>AIR 2006 SC 1567; (2006) 2 CTC 412; (2006) 5 JT 57; (2006) 3 SCALE 235; (2006) 4 SCC 484; (2006) AIRSCW 1482; (2006) 3 Supreme 245</t>
        </is>
      </c>
      <c r="J241" s="11" t="n">
        <v>2006</v>
      </c>
      <c r="K241" s="2" t="inlineStr">
        <is>
          <t>Singh Ram v. Sheo Ram</t>
        </is>
      </c>
      <c r="L241" s="11" t="inlineStr">
        <is>
          <t>unknown</t>
        </is>
      </c>
      <c r="M241" s="2" t="inlineStr">
        <is>
          <t>(2014) AIRSCW 4854; (2014) 9 SCALE 411</t>
        </is>
      </c>
      <c r="N241" s="11" t="n">
        <v>2014</v>
      </c>
      <c r="O241" s="11" t="n"/>
      <c r="P241" s="11" t="n"/>
      <c r="Q241" s="11" t="n"/>
      <c r="R241" s="2" t="n"/>
      <c r="S241" s="2" t="n"/>
      <c r="T241" s="11" t="inlineStr"/>
      <c r="U241" s="11" t="inlineStr"/>
      <c r="V241" s="11" t="inlineStr">
        <is>
          <t>outside_list</t>
        </is>
      </c>
      <c r="W241" s="11" t="n"/>
      <c r="X241" s="11" t="n"/>
      <c r="Y241" s="11" t="n"/>
      <c r="Z241" s="11" t="inlineStr">
        <is>
          <t>Mr. Advocate</t>
        </is>
      </c>
      <c r="AA241" s="11" t="inlineStr">
        <is>
          <t>2026-10-07</t>
        </is>
      </c>
      <c r="AB241" s="11" t="inlineStr">
        <is>
          <t>name_year</t>
        </is>
      </c>
      <c r="AC241" s="2" t="inlineStr"/>
      <c r="AD241" s="2" t="inlineStr">
        <is>
          <t>Prabhakaran and Others v. M. Azhagiri Pillai (Dead) by LRs. and Others (2006) was overruled by Singh Ram v. Sheo Ram (2014).</t>
        </is>
      </c>
      <c r="AE241" s="2" t="n"/>
      <c r="AF241" s="11" t="inlineStr">
        <is>
          <t>created from list 1</t>
        </is>
      </c>
    </row>
    <row r="242">
      <c r="A242" s="11" t="inlineStr">
        <is>
          <t>L1-0241</t>
        </is>
      </c>
      <c r="B242" s="11" t="inlineStr">
        <is>
          <t>List 1 (to ~2015)</t>
        </is>
      </c>
      <c r="C242" s="11" t="inlineStr">
        <is>
          <t>list1</t>
        </is>
      </c>
      <c r="D242" s="11" t="inlineStr">
        <is>
          <t>verified</t>
        </is>
      </c>
      <c r="E242" s="11" t="inlineStr">
        <is>
          <t>overruled</t>
        </is>
      </c>
      <c r="F242" s="2" t="inlineStr">
        <is>
          <t>Chanda Singh v. Choudhary Shiv Ram Verma and Others</t>
        </is>
      </c>
      <c r="G242" s="11" t="inlineStr"/>
      <c r="H242" s="11" t="inlineStr">
        <is>
          <t>Supreme Court</t>
        </is>
      </c>
      <c r="I242" s="2" t="inlineStr">
        <is>
          <t>AIR 1975 SC 403; AIR 1974 SC 403; (1975) 4 SCC 393</t>
        </is>
      </c>
      <c r="J242" s="11" t="n">
        <v>1975</v>
      </c>
      <c r="K242" s="2" t="inlineStr">
        <is>
          <t>Surinder Singh v. Hardial Singh and Others</t>
        </is>
      </c>
      <c r="L242" s="11" t="inlineStr">
        <is>
          <t>Supreme Court</t>
        </is>
      </c>
      <c r="M242" s="2" t="inlineStr">
        <is>
          <t>AIR 1985 SC 89; (1984) 2 SCALE 659; (1985) 1 SCC 91; (1985) 1 SCR 1059</t>
        </is>
      </c>
      <c r="N242" s="11" t="n">
        <v>1985</v>
      </c>
      <c r="O242" s="11" t="n"/>
      <c r="P242" s="11" t="n"/>
      <c r="Q242" s="11" t="n"/>
      <c r="R242" s="2" t="n"/>
      <c r="S242" s="2" t="n"/>
      <c r="T242" s="11" t="inlineStr"/>
      <c r="U242" s="11" t="inlineStr"/>
      <c r="V242" s="11" t="inlineStr">
        <is>
          <t>outside_list</t>
        </is>
      </c>
      <c r="W242" s="11" t="n"/>
      <c r="X242" s="11" t="n"/>
      <c r="Y242" s="11" t="n"/>
      <c r="Z242" s="11" t="inlineStr">
        <is>
          <t>Mr. Advocate</t>
        </is>
      </c>
      <c r="AA242" s="11" t="inlineStr">
        <is>
          <t>2026-10-07</t>
        </is>
      </c>
      <c r="AB242" s="11" t="inlineStr">
        <is>
          <t>name_year</t>
        </is>
      </c>
      <c r="AC242" s="2" t="inlineStr"/>
      <c r="AD242" s="2" t="inlineStr">
        <is>
          <t>Chanda Singh v. Choudhary Shiv Ram Verma and Others (1975) was overruled by Surinder Singh v. Hardial Singh and Others (1985).</t>
        </is>
      </c>
      <c r="AE242" s="2" t="n"/>
      <c r="AF242" s="11" t="inlineStr">
        <is>
          <t>created from list 1</t>
        </is>
      </c>
    </row>
    <row r="243">
      <c r="A243" s="11" t="inlineStr">
        <is>
          <t>L1-0242</t>
        </is>
      </c>
      <c r="B243" s="11" t="inlineStr">
        <is>
          <t>List 1 (to ~2015)</t>
        </is>
      </c>
      <c r="C243" s="11" t="inlineStr">
        <is>
          <t>list1</t>
        </is>
      </c>
      <c r="D243" s="11" t="inlineStr">
        <is>
          <t>verified</t>
        </is>
      </c>
      <c r="E243" s="11" t="inlineStr">
        <is>
          <t>disputed_listing</t>
        </is>
      </c>
      <c r="F243" s="2" t="inlineStr">
        <is>
          <t>The Commissioner of Income Tax, Gujarat II, Ahmedabad v. Shri R.M. Amin, L.R. of The Late Shri. Chunnibhai J. Amin, Baroda</t>
        </is>
      </c>
      <c r="G243" s="11" t="inlineStr"/>
      <c r="H243" s="11" t="inlineStr">
        <is>
          <t>Supreme Court</t>
        </is>
      </c>
      <c r="I243" s="2" t="inlineStr">
        <is>
          <t>AIR 1977 SC 999; (1977) 106 ITR 368; (1977) 1 SCC 691; (1977) 2 SCR 220; (1977) 9 UJ 31</t>
        </is>
      </c>
      <c r="J243" s="11" t="n">
        <v>1977</v>
      </c>
      <c r="K243" s="2" t="inlineStr">
        <is>
          <t>The Burma Oil Co. (I) Trading Ltd., Calcutta v. The Commissioner of Wealth Tax (Central), Calcutta</t>
        </is>
      </c>
      <c r="L243" s="11" t="inlineStr">
        <is>
          <t>Supreme Court</t>
        </is>
      </c>
      <c r="M243" s="2" t="inlineStr">
        <is>
          <t>AIR 1977 SC 784(2); (1977) 108 ITR 513; (1977) 1 SCC 196; (1977) 2 SCR 295</t>
        </is>
      </c>
      <c r="N243" s="11" t="n">
        <v>1977</v>
      </c>
      <c r="O243" s="11" t="n"/>
      <c r="P243" s="11" t="n"/>
      <c r="Q243" s="11" t="n"/>
      <c r="R243" s="2" t="n"/>
      <c r="S243" s="2" t="n"/>
      <c r="T243" s="11" t="inlineStr"/>
      <c r="U243" s="11" t="inlineStr">
        <is>
          <t>list_mutual_pair</t>
        </is>
      </c>
      <c r="V243" s="11" t="inlineStr">
        <is>
          <t>outside_list</t>
        </is>
      </c>
      <c r="W243" s="11" t="n"/>
      <c r="X243" s="11" t="n"/>
      <c r="Y243" s="11" t="n"/>
      <c r="Z243" s="11" t="inlineStr">
        <is>
          <t>Mr. Advocate</t>
        </is>
      </c>
      <c r="AA243" s="11" t="inlineStr">
        <is>
          <t>2026-10-07</t>
        </is>
      </c>
      <c r="AB243" s="11" t="inlineStr">
        <is>
          <t>name_year</t>
        </is>
      </c>
      <c r="AC243" s="2" t="inlineStr">
        <is>
          <t>L1-0265: listed in our reference list as overruled by The Commissioner of Income Tax, Gujarat II, Ahmedabad v. Shri R.M. Amin, L.R. of The Late Shri. Chunnibhai J. Amin, Baroda (1977), but the list is inconsistent on this entry</t>
        </is>
      </c>
      <c r="AD243" s="2" t="inlineStr">
        <is>
          <t>The Commissioner of Income Tax, Gujarat II, Ahmedabad v. Shri R.M. Amin, L.R. of The Late Shri. Chunnibhai J. Amin, Baroda (1977) is listed in our reference list as overruled by The Burma Oil Co. (I) Trading Ltd., Calcutta v. The Commissioner of Wealth Tax (Central), Calcutta (1977), but the list is inconsistent on this entry. Note: The Burma Oil Co. (I) Trading Ltd., Calcutta v. The Commissioner of Wealth Tax (Central), Calcutta was itself later listed in our reference list as overruled by The Commissioner of Income Tax, Gujarat II, Ahmedabad v. Shri R.M. Amin, L.R. of The Late Shri. Chunnibhai J. Amin, Baroda (1977), but the list is inconsistent on this entry; the current position should be checked.</t>
        </is>
      </c>
      <c r="AE243" s="2" t="n"/>
      <c r="AF243" s="11" t="inlineStr">
        <is>
          <t>created from list 1</t>
        </is>
      </c>
    </row>
    <row r="244">
      <c r="A244" s="11" t="inlineStr">
        <is>
          <t>L1-0243</t>
        </is>
      </c>
      <c r="B244" s="11" t="inlineStr">
        <is>
          <t>List 1 (to ~2015)</t>
        </is>
      </c>
      <c r="C244" s="11" t="inlineStr">
        <is>
          <t>list1</t>
        </is>
      </c>
      <c r="D244" s="11" t="inlineStr">
        <is>
          <t>verified</t>
        </is>
      </c>
      <c r="E244" s="11" t="inlineStr">
        <is>
          <t>overruled</t>
        </is>
      </c>
      <c r="F244" s="2" t="inlineStr">
        <is>
          <t>Veruareddi Ramaraghava Reddy and Others v. Konduru Seshu Reddy and Others</t>
        </is>
      </c>
      <c r="G244" s="11" t="inlineStr"/>
      <c r="H244" s="11" t="inlineStr">
        <is>
          <t>Supreme Court</t>
        </is>
      </c>
      <c r="I244" s="2" t="inlineStr">
        <is>
          <t>AIR 1967 SC 436; (1966) SCR 270 Supp</t>
        </is>
      </c>
      <c r="J244" s="11" t="n">
        <v>1967</v>
      </c>
      <c r="K244" s="2" t="inlineStr">
        <is>
          <t>Supreme General Films Exchange Ltd. v. His Highness Maharaja Sir Brijnath Singhji Deo of Maihar and Others</t>
        </is>
      </c>
      <c r="L244" s="11" t="inlineStr">
        <is>
          <t>Supreme Court</t>
        </is>
      </c>
      <c r="M244" s="2" t="inlineStr">
        <is>
          <t>AIR 1975 SC 1810; (1975) 2 SCC 530; (1976) 1 SCR 237; (1975) 7 UJ 631</t>
        </is>
      </c>
      <c r="N244" s="11" t="n">
        <v>1975</v>
      </c>
      <c r="O244" s="11" t="n"/>
      <c r="P244" s="11" t="n"/>
      <c r="Q244" s="11" t="n"/>
      <c r="R244" s="2" t="n"/>
      <c r="S244" s="2" t="n"/>
      <c r="T244" s="11" t="inlineStr"/>
      <c r="U244" s="11" t="inlineStr"/>
      <c r="V244" s="11" t="inlineStr">
        <is>
          <t>outside_list</t>
        </is>
      </c>
      <c r="W244" s="11" t="n"/>
      <c r="X244" s="11" t="n"/>
      <c r="Y244" s="11" t="n"/>
      <c r="Z244" s="11" t="inlineStr">
        <is>
          <t>Mr. Advocate</t>
        </is>
      </c>
      <c r="AA244" s="11" t="inlineStr">
        <is>
          <t>2026-10-07</t>
        </is>
      </c>
      <c r="AB244" s="11" t="inlineStr">
        <is>
          <t>name_year</t>
        </is>
      </c>
      <c r="AC244" s="2" t="inlineStr"/>
      <c r="AD244" s="2" t="inlineStr">
        <is>
          <t>Veruareddi Ramaraghava Reddy and Others v. Konduru Seshu Reddy and Others (1967) was overruled by Supreme General Films Exchange Ltd. v. His Highness Maharaja Sir Brijnath Singhji Deo of Maihar and Others (1975).</t>
        </is>
      </c>
      <c r="AE244" s="2" t="n"/>
      <c r="AF244" s="11" t="inlineStr">
        <is>
          <t>created from list 1</t>
        </is>
      </c>
    </row>
    <row r="245">
      <c r="A245" s="11" t="inlineStr">
        <is>
          <t>L1-0244</t>
        </is>
      </c>
      <c r="B245" s="11" t="inlineStr">
        <is>
          <t>List 1 (to ~2015)</t>
        </is>
      </c>
      <c r="C245" s="11" t="inlineStr">
        <is>
          <t>list1</t>
        </is>
      </c>
      <c r="D245" s="11" t="inlineStr">
        <is>
          <t>verified</t>
        </is>
      </c>
      <c r="E245" s="11" t="inlineStr">
        <is>
          <t>overruled</t>
        </is>
      </c>
      <c r="F245" s="2" t="inlineStr">
        <is>
          <t>Ghulam Sarwar v. Union of India (UOI) and Others</t>
        </is>
      </c>
      <c r="G245" s="11" t="inlineStr"/>
      <c r="H245" s="11" t="inlineStr">
        <is>
          <t>Supreme Court</t>
        </is>
      </c>
      <c r="I245" s="2" t="inlineStr">
        <is>
          <t>AIR 1967 SC 1335; (1967) CriLJ 1204; (1967) 2 SCR 271</t>
        </is>
      </c>
      <c r="J245" s="11" t="n">
        <v>1967</v>
      </c>
      <c r="K245" s="2" t="inlineStr">
        <is>
          <t>Mohd. Yaqub, etc. v. The State of Jammu and Kashmir</t>
        </is>
      </c>
      <c r="L245" s="11" t="inlineStr">
        <is>
          <t>Supreme Court</t>
        </is>
      </c>
      <c r="M245" s="2" t="inlineStr">
        <is>
          <t>AIR 1968 SC 765; (1968) CriLJ 977; (1968) LabIC 872; (1968) 2 SCR 227</t>
        </is>
      </c>
      <c r="N245" s="11" t="n">
        <v>1968</v>
      </c>
      <c r="O245" s="11" t="n"/>
      <c r="P245" s="11" t="n"/>
      <c r="Q245" s="11" t="n"/>
      <c r="R245" s="2" t="n"/>
      <c r="S245" s="2" t="n"/>
      <c r="T245" s="11" t="inlineStr"/>
      <c r="U245" s="11" t="inlineStr"/>
      <c r="V245" s="11" t="inlineStr">
        <is>
          <t>outside_list</t>
        </is>
      </c>
      <c r="W245" s="11" t="n"/>
      <c r="X245" s="11" t="n"/>
      <c r="Y245" s="11" t="n"/>
      <c r="Z245" s="11" t="inlineStr">
        <is>
          <t>Mr. Advocate</t>
        </is>
      </c>
      <c r="AA245" s="11" t="inlineStr">
        <is>
          <t>2026-10-07</t>
        </is>
      </c>
      <c r="AB245" s="11" t="inlineStr">
        <is>
          <t>name_year</t>
        </is>
      </c>
      <c r="AC245" s="2" t="inlineStr"/>
      <c r="AD245" s="2" t="inlineStr">
        <is>
          <t>Ghulam Sarwar v. Union of India (UOI) and Others (1967) was overruled by Mohd. Yaqub, etc. v. The State of Jammu and Kashmir (1968).</t>
        </is>
      </c>
      <c r="AE245" s="2" t="n"/>
      <c r="AF245" s="11" t="inlineStr">
        <is>
          <t>created from list 1</t>
        </is>
      </c>
    </row>
    <row r="246">
      <c r="A246" s="11" t="inlineStr">
        <is>
          <t>L1-0245</t>
        </is>
      </c>
      <c r="B246" s="11" t="inlineStr">
        <is>
          <t>List 1 (to ~2015)</t>
        </is>
      </c>
      <c r="C246" s="11" t="inlineStr">
        <is>
          <t>list1</t>
        </is>
      </c>
      <c r="D246" s="11" t="inlineStr">
        <is>
          <t>verified</t>
        </is>
      </c>
      <c r="E246" s="11" t="inlineStr">
        <is>
          <t>overruled</t>
        </is>
      </c>
      <c r="F246" s="2" t="inlineStr">
        <is>
          <t>M/s. Rainbow Colour Lab and Another v. The State of Madhya Pradesh and Others</t>
        </is>
      </c>
      <c r="G246" s="11" t="inlineStr"/>
      <c r="H246" s="11" t="inlineStr">
        <is>
          <t>Supreme Court</t>
        </is>
      </c>
      <c r="I246" s="2" t="inlineStr">
        <is>
          <t>AIR 2000 SC 808; (2000) ECR 771; (2001) 134 ELT 332; (2000) 1 JT 498; (2000) 1 SCALE 381; (2000) 2 SCC 385; (2000) 1 SCR 594; (2000) 118 STC 9; (2000) AIRSCW 359; (2000) 1 Supreme 346</t>
        </is>
      </c>
      <c r="J246" s="11" t="n">
        <v>2000</v>
      </c>
      <c r="K246" s="2" t="inlineStr">
        <is>
          <t>M/s. Associated Cement Companies Ltd. v. Commissioner of Customs</t>
        </is>
      </c>
      <c r="L246" s="11" t="inlineStr">
        <is>
          <t>Supreme Court</t>
        </is>
      </c>
      <c r="M246" s="2" t="inlineStr">
        <is>
          <t>AIR 2001 SC 862; (2001) 74 ECC 1; (2001) 128 ELT 21; (2001) 2 JT 141; (2001) 1 SCALE 436; (2001) 4 SCC 593; (2001) 1 SCR 608; (2001) 124 STC 59; (2001) AIRSCW 559; (2001) 1 Supreme 380</t>
        </is>
      </c>
      <c r="N246" s="11" t="n">
        <v>2001</v>
      </c>
      <c r="O246" s="11" t="n"/>
      <c r="P246" s="11" t="n"/>
      <c r="Q246" s="11" t="n"/>
      <c r="R246" s="2" t="n"/>
      <c r="S246" s="2" t="n"/>
      <c r="T246" s="11" t="inlineStr"/>
      <c r="U246" s="11" t="inlineStr"/>
      <c r="V246" s="11" t="inlineStr">
        <is>
          <t>outside_list</t>
        </is>
      </c>
      <c r="W246" s="11" t="n"/>
      <c r="X246" s="11" t="n"/>
      <c r="Y246" s="11" t="n"/>
      <c r="Z246" s="11" t="inlineStr">
        <is>
          <t>Mr. Advocate</t>
        </is>
      </c>
      <c r="AA246" s="11" t="inlineStr">
        <is>
          <t>2026-10-07</t>
        </is>
      </c>
      <c r="AB246" s="11" t="inlineStr">
        <is>
          <t>name_year</t>
        </is>
      </c>
      <c r="AC246" s="2" t="inlineStr"/>
      <c r="AD246" s="2" t="inlineStr">
        <is>
          <t>M/s. Rainbow Colour Lab and Another v. The State of Madhya Pradesh and Others (2000) was overruled by M/s. Associated Cement Companies Ltd. v. Commissioner of Customs (2001).</t>
        </is>
      </c>
      <c r="AE246" s="2" t="n"/>
      <c r="AF246" s="11" t="inlineStr">
        <is>
          <t>created from list 1</t>
        </is>
      </c>
    </row>
    <row r="247">
      <c r="A247" s="11" t="inlineStr">
        <is>
          <t>L1-0246</t>
        </is>
      </c>
      <c r="B247" s="11" t="inlineStr">
        <is>
          <t>List 1 (to ~2015)</t>
        </is>
      </c>
      <c r="C247" s="11" t="inlineStr">
        <is>
          <t>list1</t>
        </is>
      </c>
      <c r="D247" s="11" t="inlineStr">
        <is>
          <t>verified</t>
        </is>
      </c>
      <c r="E247" s="11" t="inlineStr">
        <is>
          <t>overruled</t>
        </is>
      </c>
      <c r="F247" s="2" t="inlineStr">
        <is>
          <t>Lalji Haridas v. State of Maharashtra and Another</t>
        </is>
      </c>
      <c r="G247" s="11" t="inlineStr"/>
      <c r="H247" s="11" t="inlineStr">
        <is>
          <t>Supreme Court</t>
        </is>
      </c>
      <c r="I247" s="2" t="inlineStr">
        <is>
          <t>AIR 1964 SC 1154; (1964) CriLJ 249; (1964) 52 ITR 423; (1964) 6 SCR 700</t>
        </is>
      </c>
      <c r="J247" s="11" t="n">
        <v>1964</v>
      </c>
      <c r="K247" s="2" t="inlineStr">
        <is>
          <t>Dr Baliram Waman Hiray v. Justice B. Lentin and Others</t>
        </is>
      </c>
      <c r="L247" s="11" t="inlineStr">
        <is>
          <t>Supreme Court</t>
        </is>
      </c>
      <c r="M247" s="2" t="inlineStr">
        <is>
          <t>AIR 1988 SC 2267; (1988) 3 Crimes 655; (1989) 176 ITR 1; (1988) 4 JT 265; (1988) 2 SCALE 688; (1988) 4 SCC 419; (1988) 2 SCR 942 Supp; (1989) 72 STC 384</t>
        </is>
      </c>
      <c r="N247" s="11" t="n">
        <v>1988</v>
      </c>
      <c r="O247" s="11" t="n"/>
      <c r="P247" s="11" t="n"/>
      <c r="Q247" s="11" t="n"/>
      <c r="R247" s="2" t="n"/>
      <c r="S247" s="2" t="n"/>
      <c r="T247" s="11" t="inlineStr"/>
      <c r="U247" s="11" t="inlineStr"/>
      <c r="V247" s="11" t="inlineStr">
        <is>
          <t>outside_list</t>
        </is>
      </c>
      <c r="W247" s="11" t="n"/>
      <c r="X247" s="11" t="n"/>
      <c r="Y247" s="11" t="n"/>
      <c r="Z247" s="11" t="inlineStr">
        <is>
          <t>Mr. Advocate</t>
        </is>
      </c>
      <c r="AA247" s="11" t="inlineStr">
        <is>
          <t>2026-10-07</t>
        </is>
      </c>
      <c r="AB247" s="11" t="inlineStr">
        <is>
          <t>name_year</t>
        </is>
      </c>
      <c r="AC247" s="2" t="inlineStr"/>
      <c r="AD247" s="2" t="inlineStr">
        <is>
          <t>Lalji Haridas v. State of Maharashtra and Another (1964) was overruled by Dr Baliram Waman Hiray v. Justice B. Lentin and Others (1988).</t>
        </is>
      </c>
      <c r="AE247" s="2" t="n"/>
      <c r="AF247" s="11" t="inlineStr">
        <is>
          <t>created from list 1</t>
        </is>
      </c>
    </row>
    <row r="248">
      <c r="A248" s="11" t="inlineStr">
        <is>
          <t>L1-0247</t>
        </is>
      </c>
      <c r="B248" s="11" t="inlineStr">
        <is>
          <t>List 1 (to ~2015)</t>
        </is>
      </c>
      <c r="C248" s="11" t="inlineStr">
        <is>
          <t>list1</t>
        </is>
      </c>
      <c r="D248" s="11" t="inlineStr">
        <is>
          <t>verified</t>
        </is>
      </c>
      <c r="E248" s="11" t="inlineStr">
        <is>
          <t>disputed_listing</t>
        </is>
      </c>
      <c r="F248" s="2" t="inlineStr">
        <is>
          <t>Director of Rationing and Distribution v. The Corporation of Calcutta and Others</t>
        </is>
      </c>
      <c r="G248" s="11" t="inlineStr"/>
      <c r="H248" s="11" t="inlineStr">
        <is>
          <t>Supreme Court</t>
        </is>
      </c>
      <c r="I248" s="2" t="inlineStr">
        <is>
          <t>AIR 1960 SC 1355; (1960) CriLJ 1684; (1961) 1 SCR 158</t>
        </is>
      </c>
      <c r="J248" s="11" t="n">
        <v>1960</v>
      </c>
      <c r="K248" s="2" t="inlineStr">
        <is>
          <t>Superintendent and Legal Remembrancer, State of West Bengal v. Corporation of Calcutta</t>
        </is>
      </c>
      <c r="L248" s="11" t="inlineStr">
        <is>
          <t>Supreme Court</t>
        </is>
      </c>
      <c r="M248" s="2" t="inlineStr">
        <is>
          <t>AIR 1967 SC 997; (1967) CriLJ 950; (1967) 2 SCR 170</t>
        </is>
      </c>
      <c r="N248" s="11" t="n">
        <v>1967</v>
      </c>
      <c r="O248" s="11" t="n"/>
      <c r="P248" s="11" t="n"/>
      <c r="Q248" s="11" t="n"/>
      <c r="R248" s="2" t="n"/>
      <c r="S248" s="2" t="n"/>
      <c r="T248" s="11" t="inlineStr"/>
      <c r="U248" s="11" t="inlineStr">
        <is>
          <t>list_mutual_pair</t>
        </is>
      </c>
      <c r="V248" s="11" t="inlineStr">
        <is>
          <t>outside_list</t>
        </is>
      </c>
      <c r="W248" s="11" t="n"/>
      <c r="X248" s="11" t="n"/>
      <c r="Y248" s="11" t="n"/>
      <c r="Z248" s="11" t="inlineStr">
        <is>
          <t>Mr. Advocate</t>
        </is>
      </c>
      <c r="AA248" s="11" t="inlineStr">
        <is>
          <t>2026-10-07</t>
        </is>
      </c>
      <c r="AB248" s="11" t="inlineStr">
        <is>
          <t>name_year</t>
        </is>
      </c>
      <c r="AC248" s="2" t="inlineStr">
        <is>
          <t>L1-0506: listed in our reference list as overruled by Director of Rationing and Distribution v. The Corporation of Calcutta and Others (1960), but the list is inconsistent on this entry</t>
        </is>
      </c>
      <c r="AD248" s="2" t="inlineStr">
        <is>
          <t>Director of Rationing and Distribution v. The Corporation of Calcutta and Others (1960) is listed in our reference list as overruled by Superintendent and Legal Remembrancer, State of West Bengal v. Corporation of Calcutta (1967), but the list is inconsistent on this entry. Note: Superintendent and Legal Remembrancer, State of West Bengal v. Corporation of Calcutta was itself later listed in our reference list as overruled by Director of Rationing and Distribution v. The Corporation of Calcutta and Others (1960), but the list is inconsistent on this entry; the current position should be checked.</t>
        </is>
      </c>
      <c r="AE248" s="2" t="n"/>
      <c r="AF248" s="11" t="inlineStr">
        <is>
          <t>created from list 1</t>
        </is>
      </c>
    </row>
    <row r="249">
      <c r="A249" s="11" t="inlineStr">
        <is>
          <t>L1-0248</t>
        </is>
      </c>
      <c r="B249" s="11" t="inlineStr">
        <is>
          <t>List 1 (to ~2015)</t>
        </is>
      </c>
      <c r="C249" s="11" t="inlineStr">
        <is>
          <t>list1</t>
        </is>
      </c>
      <c r="D249" s="11" t="inlineStr">
        <is>
          <t>verified</t>
        </is>
      </c>
      <c r="E249" s="11" t="inlineStr">
        <is>
          <t>overruled</t>
        </is>
      </c>
      <c r="F249" s="2" t="inlineStr">
        <is>
          <t>Deep Chand v. The State of Uttar Pradesh and Others</t>
        </is>
      </c>
      <c r="G249" s="11" t="inlineStr"/>
      <c r="H249" s="11" t="inlineStr">
        <is>
          <t>Supreme Court</t>
        </is>
      </c>
      <c r="I249" s="2" t="inlineStr">
        <is>
          <t>AIR 1959 SC 648</t>
        </is>
      </c>
      <c r="J249" s="11" t="n">
        <v>1959</v>
      </c>
      <c r="K249" s="2" t="inlineStr">
        <is>
          <t>Dr. A.K. Sabhapathy v. State of Kerala and others</t>
        </is>
      </c>
      <c r="L249" s="11" t="inlineStr">
        <is>
          <t>Supreme Court</t>
        </is>
      </c>
      <c r="M249" s="2" t="inlineStr">
        <is>
          <t>AIR 1992 SC 1310; (1992) 3 JT 66; (1992) 1 SCALE 843; (1992) 3 SCC 147 Supp; (1992) 2 SCR 653; (1992) 2 UJ 159</t>
        </is>
      </c>
      <c r="N249" s="11" t="n">
        <v>1992</v>
      </c>
      <c r="O249" s="11" t="n"/>
      <c r="P249" s="11" t="n"/>
      <c r="Q249" s="11" t="n"/>
      <c r="R249" s="2" t="n"/>
      <c r="S249" s="2" t="n"/>
      <c r="T249" s="11" t="inlineStr"/>
      <c r="U249" s="11" t="inlineStr"/>
      <c r="V249" s="11" t="inlineStr">
        <is>
          <t>outside_list</t>
        </is>
      </c>
      <c r="W249" s="11" t="n"/>
      <c r="X249" s="11" t="n"/>
      <c r="Y249" s="11" t="n"/>
      <c r="Z249" s="11" t="inlineStr">
        <is>
          <t>Mr. Advocate</t>
        </is>
      </c>
      <c r="AA249" s="11" t="inlineStr">
        <is>
          <t>2026-10-07</t>
        </is>
      </c>
      <c r="AB249" s="11" t="inlineStr">
        <is>
          <t>name_year</t>
        </is>
      </c>
      <c r="AC249" s="2" t="inlineStr">
        <is>
          <t>L1-0403: overruled by Dr. Mukhtiar Chand and Others v. The State of Punjab and Others (1999)</t>
        </is>
      </c>
      <c r="AD249" s="2" t="inlineStr">
        <is>
          <t>Deep Chand v. The State of Uttar Pradesh and Others (1959) was overruled by Dr. A.K. Sabhapathy v. State of Kerala and others (1992). Note: Dr. A.K. Sabhapathy v. State of Kerala and others was itself later overruled by Dr. Mukhtiar Chand and Others v. The State of Punjab and Others (1999); the current position should be checked.</t>
        </is>
      </c>
      <c r="AE249" s="2" t="n"/>
      <c r="AF249" s="11" t="inlineStr">
        <is>
          <t>created from list 1</t>
        </is>
      </c>
    </row>
    <row r="250">
      <c r="A250" s="11" t="inlineStr">
        <is>
          <t>L1-0249</t>
        </is>
      </c>
      <c r="B250" s="11" t="inlineStr">
        <is>
          <t>List 1 (to ~2015)</t>
        </is>
      </c>
      <c r="C250" s="11" t="inlineStr">
        <is>
          <t>list1</t>
        </is>
      </c>
      <c r="D250" s="11" t="inlineStr">
        <is>
          <t>verified</t>
        </is>
      </c>
      <c r="E250" s="11" t="inlineStr">
        <is>
          <t>overruled</t>
        </is>
      </c>
      <c r="F250" s="2" t="inlineStr">
        <is>
          <t>Dilip N. Shroff Karta of N.D. Shroff v. Joint Commissioner of Income Tax, Special Range Mumbai and Another</t>
        </is>
      </c>
      <c r="G250" s="11" t="inlineStr"/>
      <c r="H250" s="11" t="inlineStr">
        <is>
          <t>Supreme Court</t>
        </is>
      </c>
      <c r="I250" s="2" t="inlineStr">
        <is>
          <t>(2007) 210 CTR 228; (2007) 291 ITR 519; (2007) 8 SCALE 256; (2007) 6 SCC 329; (2007) 7 SCR 499</t>
        </is>
      </c>
      <c r="J250" s="11" t="n">
        <v>2007</v>
      </c>
      <c r="K250" s="2" t="inlineStr">
        <is>
          <t>Union of India (UOI) and Others v. Dharamendra Textile Processors and Others</t>
        </is>
      </c>
      <c r="L250" s="11" t="inlineStr">
        <is>
          <t>Supreme Court</t>
        </is>
      </c>
      <c r="M250" s="2" t="inlineStr">
        <is>
          <t>(2008) 219 CTR 617; (2008) 133 ECC 247; (2008) 159 ECR 247; (2008) 231 ELT 3; (2008) 306 ITR 277; (2008) 11 JT 255; (2008) 13 SCALE 233; (2008) 13 SCC 369; (2008) 174 TAXMAN 571; (2009) 11 Vat Reporter 63; (2008) 18 VST 180</t>
        </is>
      </c>
      <c r="N250" s="11" t="n">
        <v>2008</v>
      </c>
      <c r="O250" s="11" t="n"/>
      <c r="P250" s="11" t="n"/>
      <c r="Q250" s="11" t="n"/>
      <c r="R250" s="2" t="n"/>
      <c r="S250" s="2" t="n"/>
      <c r="T250" s="11" t="inlineStr"/>
      <c r="U250" s="11" t="inlineStr"/>
      <c r="V250" s="11" t="inlineStr">
        <is>
          <t>outside_list</t>
        </is>
      </c>
      <c r="W250" s="11" t="n"/>
      <c r="X250" s="11" t="n"/>
      <c r="Y250" s="11" t="n"/>
      <c r="Z250" s="11" t="inlineStr">
        <is>
          <t>Mr. Advocate</t>
        </is>
      </c>
      <c r="AA250" s="11" t="inlineStr">
        <is>
          <t>2026-10-07</t>
        </is>
      </c>
      <c r="AB250" s="11" t="inlineStr">
        <is>
          <t>name_year</t>
        </is>
      </c>
      <c r="AC250" s="2" t="inlineStr"/>
      <c r="AD250" s="2" t="inlineStr">
        <is>
          <t>Dilip N. Shroff Karta of N.D. Shroff v. Joint Commissioner of Income Tax, Special Range Mumbai and Another (2007) was overruled by Union of India (UOI) and Others v. Dharamendra Textile Processors and Others (2008).</t>
        </is>
      </c>
      <c r="AE250" s="2" t="n"/>
      <c r="AF250" s="11" t="inlineStr">
        <is>
          <t>created from list 1</t>
        </is>
      </c>
    </row>
    <row r="251">
      <c r="A251" s="11" t="inlineStr">
        <is>
          <t>L1-0250</t>
        </is>
      </c>
      <c r="B251" s="11" t="inlineStr">
        <is>
          <t>List 1 (to ~2015)</t>
        </is>
      </c>
      <c r="C251" s="11" t="inlineStr">
        <is>
          <t>list1</t>
        </is>
      </c>
      <c r="D251" s="11" t="inlineStr">
        <is>
          <t>verified</t>
        </is>
      </c>
      <c r="E251" s="11" t="inlineStr">
        <is>
          <t>overruled</t>
        </is>
      </c>
      <c r="F251" s="2" t="inlineStr">
        <is>
          <t>Medical Council of India and another v. State of Rajasthan and another</t>
        </is>
      </c>
      <c r="G251" s="11" t="inlineStr"/>
      <c r="H251" s="11" t="inlineStr">
        <is>
          <t>Supreme Court</t>
        </is>
      </c>
      <c r="I251" s="2" t="inlineStr">
        <is>
          <t>(1996) 1 AD 891; AIR 1996 SC 2073; (1996) 1 JT 634; (1996) 1 SCALE 634; (1996) 7 SCC 731; (1996) 1 SCR 488; (1996) 1 UJ 500</t>
        </is>
      </c>
      <c r="J251" s="11" t="n">
        <v>1996</v>
      </c>
      <c r="K251" s="2" t="inlineStr">
        <is>
          <t>Dr. Mukhtiar Chand and Others v. The State of Punjab and Others</t>
        </is>
      </c>
      <c r="L251" s="11" t="inlineStr">
        <is>
          <t>Supreme Court</t>
        </is>
      </c>
      <c r="M251" s="2" t="inlineStr">
        <is>
          <t>(1998) 7 AD 457; AIR 1999 SC 468; (1998) 7 JT 78; (1998) 5 SCALE 501; (1998) 7 SCC 579; (1998) 2 SCR 143 Supp</t>
        </is>
      </c>
      <c r="N251" s="11" t="n">
        <v>1999</v>
      </c>
      <c r="O251" s="11" t="n"/>
      <c r="P251" s="11" t="n"/>
      <c r="Q251" s="11" t="n"/>
      <c r="R251" s="2" t="n"/>
      <c r="S251" s="2" t="n"/>
      <c r="T251" s="11" t="inlineStr"/>
      <c r="U251" s="11" t="inlineStr"/>
      <c r="V251" s="11" t="inlineStr">
        <is>
          <t>outside_list</t>
        </is>
      </c>
      <c r="W251" s="11" t="n"/>
      <c r="X251" s="11" t="n"/>
      <c r="Y251" s="11" t="n"/>
      <c r="Z251" s="11" t="inlineStr">
        <is>
          <t>Mr. Advocate</t>
        </is>
      </c>
      <c r="AA251" s="11" t="inlineStr">
        <is>
          <t>2026-10-07</t>
        </is>
      </c>
      <c r="AB251" s="11" t="inlineStr">
        <is>
          <t>name_year</t>
        </is>
      </c>
      <c r="AC251" s="2" t="inlineStr"/>
      <c r="AD251" s="2" t="inlineStr">
        <is>
          <t>Medical Council of India and another v. State of Rajasthan and another (1996) was overruled by Dr. Mukhtiar Chand and Others v. The State of Punjab and Others (1999).</t>
        </is>
      </c>
      <c r="AE251" s="2" t="n"/>
      <c r="AF251" s="11" t="inlineStr">
        <is>
          <t>created from list 1</t>
        </is>
      </c>
    </row>
    <row r="252">
      <c r="A252" s="11" t="inlineStr">
        <is>
          <t>L1-0251</t>
        </is>
      </c>
      <c r="B252" s="11" t="inlineStr">
        <is>
          <t>List 1 (to ~2015)</t>
        </is>
      </c>
      <c r="C252" s="11" t="inlineStr">
        <is>
          <t>list1</t>
        </is>
      </c>
      <c r="D252" s="11" t="inlineStr">
        <is>
          <t>verified</t>
        </is>
      </c>
      <c r="E252" s="11" t="inlineStr">
        <is>
          <t>overruled</t>
        </is>
      </c>
      <c r="F252" s="2" t="inlineStr">
        <is>
          <t>Shri Digvijay Cement Co., etc. v. State of Rajasthan and others</t>
        </is>
      </c>
      <c r="G252" s="11" t="inlineStr"/>
      <c r="H252" s="11" t="inlineStr">
        <is>
          <t>Supreme Court</t>
        </is>
      </c>
      <c r="I252" s="2" t="inlineStr">
        <is>
          <t>(1997) 4 JT 340; (1997) 3 SCALE 150; (1999) 4 SCC 330; (1997) 5 SCC 406; (1997) 3 SCR 184; (1997) 106 STC 11</t>
        </is>
      </c>
      <c r="J252" s="11" t="n">
        <v>1997</v>
      </c>
      <c r="K252" s="2" t="inlineStr">
        <is>
          <t>Shree Digvijay Cement Co. Ltd. and Others v. State of Rajasthan and Others</t>
        </is>
      </c>
      <c r="L252" s="11" t="inlineStr">
        <is>
          <t>Supreme Court</t>
        </is>
      </c>
      <c r="M252" s="2" t="inlineStr">
        <is>
          <t>AIR 2000 SC 680; (1999) 10 JT 201; (1999) 7 SCALE 580; (2000) 1 SCC 688; (1999) 5 SCR 428 Supp; (2000) 117 STC 395; (2000) 1 UJ 558; (2000) AIRSCW 207; (1999) 10 Supreme 488</t>
        </is>
      </c>
      <c r="N252" s="11" t="n">
        <v>2000</v>
      </c>
      <c r="O252" s="11" t="n"/>
      <c r="P252" s="11" t="n"/>
      <c r="Q252" s="11" t="n"/>
      <c r="R252" s="2" t="n"/>
      <c r="S252" s="2" t="n"/>
      <c r="T252" s="11" t="inlineStr"/>
      <c r="U252" s="11" t="inlineStr"/>
      <c r="V252" s="11" t="inlineStr">
        <is>
          <t>outside_list</t>
        </is>
      </c>
      <c r="W252" s="11" t="n"/>
      <c r="X252" s="11" t="n"/>
      <c r="Y252" s="11" t="n"/>
      <c r="Z252" s="11" t="inlineStr">
        <is>
          <t>Mr. Advocate</t>
        </is>
      </c>
      <c r="AA252" s="11" t="inlineStr">
        <is>
          <t>2026-10-07</t>
        </is>
      </c>
      <c r="AB252" s="11" t="inlineStr">
        <is>
          <t>name_year</t>
        </is>
      </c>
      <c r="AC252" s="2" t="inlineStr"/>
      <c r="AD252" s="2" t="inlineStr">
        <is>
          <t>Shri Digvijay Cement Co., etc. v. State of Rajasthan and others (1997) was overruled by Shree Digvijay Cement Co. Ltd. and Others v. State of Rajasthan and Others (2000).</t>
        </is>
      </c>
      <c r="AE252" s="2" t="n"/>
      <c r="AF252" s="11" t="inlineStr">
        <is>
          <t>created from list 1</t>
        </is>
      </c>
    </row>
    <row r="253">
      <c r="A253" s="11" t="inlineStr">
        <is>
          <t>L1-0252</t>
        </is>
      </c>
      <c r="B253" s="11" t="inlineStr">
        <is>
          <t>List 1 (to ~2015)</t>
        </is>
      </c>
      <c r="C253" s="11" t="inlineStr">
        <is>
          <t>list1</t>
        </is>
      </c>
      <c r="D253" s="11" t="inlineStr">
        <is>
          <t>verified</t>
        </is>
      </c>
      <c r="E253" s="11" t="inlineStr">
        <is>
          <t>overruled</t>
        </is>
      </c>
      <c r="F253" s="2" t="inlineStr">
        <is>
          <t>Kailash Chand Joshi v. Rajasthan High Court and Others</t>
        </is>
      </c>
      <c r="G253" s="11" t="inlineStr"/>
      <c r="H253" s="11" t="inlineStr">
        <is>
          <t>Supreme Court</t>
        </is>
      </c>
      <c r="I253" s="2" t="inlineStr">
        <is>
          <t>(1996) 1 SCALE 752; (2000) 10 SCC 463</t>
        </is>
      </c>
      <c r="J253" s="11" t="n">
        <v>1996</v>
      </c>
      <c r="K253" s="2" t="inlineStr">
        <is>
          <t>Ajit Singh and Others v. The State of Punjab and Others</t>
        </is>
      </c>
      <c r="L253" s="11" t="inlineStr">
        <is>
          <t>Supreme Court</t>
        </is>
      </c>
      <c r="M253" s="2" t="inlineStr">
        <is>
          <t>AIR 1999 SC 3471; (1999) 7 JT 153; (1999) 5 SCALE 556; (1999) 7 SCC 209; (1999) 2 SCR 521 Supp; (1999) AIRSCW 3460; (1999) 8 Supreme 211</t>
        </is>
      </c>
      <c r="N253" s="11" t="n">
        <v>1999</v>
      </c>
      <c r="O253" s="11" t="n"/>
      <c r="P253" s="11" t="n"/>
      <c r="Q253" s="11" t="n"/>
      <c r="R253" s="2" t="n"/>
      <c r="S253" s="2" t="n"/>
      <c r="T253" s="11" t="inlineStr"/>
      <c r="U253" s="11" t="inlineStr"/>
      <c r="V253" s="11" t="inlineStr">
        <is>
          <t>outside_list</t>
        </is>
      </c>
      <c r="W253" s="11" t="n"/>
      <c r="X253" s="11" t="n"/>
      <c r="Y253" s="11" t="n"/>
      <c r="Z253" s="11" t="inlineStr">
        <is>
          <t>Mr. Advocate</t>
        </is>
      </c>
      <c r="AA253" s="11" t="inlineStr">
        <is>
          <t>2026-10-07</t>
        </is>
      </c>
      <c r="AB253" s="11" t="inlineStr">
        <is>
          <t>name_year</t>
        </is>
      </c>
      <c r="AC253" s="2" t="inlineStr">
        <is>
          <t>L1-0312: overruled by Shiv Nath Prasad v. Saran Pal Jeet Singh Tulsi and Others (2008)</t>
        </is>
      </c>
      <c r="AD253" s="2" t="inlineStr">
        <is>
          <t>Kailash Chand Joshi v. Rajasthan High Court and Others (1996) was overruled by Ajit Singh and Others v. The State of Punjab and Others (1999). Note: Ajit Singh and Others v. The State of Punjab and Others was itself later overruled by Shiv Nath Prasad v. Saran Pal Jeet Singh Tulsi and Others (2008); the current position should be checked.</t>
        </is>
      </c>
      <c r="AE253" s="2" t="n"/>
      <c r="AF253" s="11" t="inlineStr">
        <is>
          <t>created from list 1</t>
        </is>
      </c>
    </row>
    <row r="254">
      <c r="A254" s="11" t="inlineStr">
        <is>
          <t>L1-0253</t>
        </is>
      </c>
      <c r="B254" s="11" t="inlineStr">
        <is>
          <t>List 1 (to ~2015)</t>
        </is>
      </c>
      <c r="C254" s="11" t="inlineStr">
        <is>
          <t>list1</t>
        </is>
      </c>
      <c r="D254" s="11" t="inlineStr">
        <is>
          <t>verified</t>
        </is>
      </c>
      <c r="E254" s="11" t="inlineStr">
        <is>
          <t>overruled</t>
        </is>
      </c>
      <c r="F254" s="2" t="inlineStr">
        <is>
          <t>Mohd. Abdul Khader Mohd. Kastim and Another v. Pareethij Kunju Sayed Ahammed and Others</t>
        </is>
      </c>
      <c r="G254" s="11" t="inlineStr"/>
      <c r="H254" s="11" t="inlineStr">
        <is>
          <t>Supreme Court</t>
        </is>
      </c>
      <c r="I254" s="2" t="inlineStr">
        <is>
          <t>(1996) 8 AD 418; (1996) 10 JT 640; (1996) 8 SCALE 271; (1996) 11 SCC 83; (1996) 8 SCR 476 Supp; (1997) 1 UJ 221</t>
        </is>
      </c>
      <c r="J254" s="11" t="n">
        <v>1996</v>
      </c>
      <c r="K254" s="2" t="inlineStr">
        <is>
          <t>Achaldas Durgaji Oswal (Dead) through Lrs. v. Ramvilas Gangabisan Heda (Dead) through Lrs. and Others</t>
        </is>
      </c>
      <c r="L254" s="11" t="inlineStr">
        <is>
          <t>Supreme Court</t>
        </is>
      </c>
      <c r="M254" s="2" t="inlineStr">
        <is>
          <t>AIR 2003 SC 1017; (2003) 95 CLT 629; (2003) 1 CTC 364; (2003) 1 JT 141; (2003) 1 SCALE 155; (2003) 3 SCC 614; (2003) 1 SCR 340; (2003) 1 UJ 346; (2003) AIRSCW 524; (2003) AIRSCW 7074; (2003) 7 Supreme 593; (2003) 1 Supreme 449</t>
        </is>
      </c>
      <c r="N254" s="11" t="n">
        <v>2003</v>
      </c>
      <c r="O254" s="11" t="n"/>
      <c r="P254" s="11" t="n"/>
      <c r="Q254" s="11" t="n"/>
      <c r="R254" s="2" t="n"/>
      <c r="S254" s="2" t="n"/>
      <c r="T254" s="11" t="inlineStr"/>
      <c r="U254" s="11" t="inlineStr"/>
      <c r="V254" s="11" t="inlineStr">
        <is>
          <t>outside_list</t>
        </is>
      </c>
      <c r="W254" s="11" t="n"/>
      <c r="X254" s="11" t="n"/>
      <c r="Y254" s="11" t="n"/>
      <c r="Z254" s="11" t="inlineStr">
        <is>
          <t>Mr. Advocate</t>
        </is>
      </c>
      <c r="AA254" s="11" t="inlineStr">
        <is>
          <t>2026-10-07</t>
        </is>
      </c>
      <c r="AB254" s="11" t="inlineStr">
        <is>
          <t>name_year</t>
        </is>
      </c>
      <c r="AC254" s="2" t="inlineStr"/>
      <c r="AD254" s="2" t="inlineStr">
        <is>
          <t>Mohd. Abdul Khader Mohd. Kastim and Another v. Pareethij Kunju Sayed Ahammed and Others (1996) was overruled by Achaldas Durgaji Oswal (Dead) through Lrs. v. Ramvilas Gangabisan Heda (Dead) through Lrs. and Others (2003).</t>
        </is>
      </c>
      <c r="AE254" s="2" t="n"/>
      <c r="AF254" s="11" t="inlineStr">
        <is>
          <t>created from list 1</t>
        </is>
      </c>
    </row>
    <row r="255">
      <c r="A255" s="11" t="inlineStr">
        <is>
          <t>L1-0254</t>
        </is>
      </c>
      <c r="B255" s="11" t="inlineStr">
        <is>
          <t>List 1 (to ~2015)</t>
        </is>
      </c>
      <c r="C255" s="11" t="inlineStr">
        <is>
          <t>list1</t>
        </is>
      </c>
      <c r="D255" s="11" t="inlineStr">
        <is>
          <t>verified</t>
        </is>
      </c>
      <c r="E255" s="11" t="inlineStr">
        <is>
          <t>overruled</t>
        </is>
      </c>
      <c r="F255" s="2" t="inlineStr">
        <is>
          <t>State of Karnataka and Others v. D.C. Nanjudaiah and Others</t>
        </is>
      </c>
      <c r="G255" s="11" t="inlineStr"/>
      <c r="H255" s="11" t="inlineStr">
        <is>
          <t>Supreme Court</t>
        </is>
      </c>
      <c r="I255" s="2" t="inlineStr">
        <is>
          <t>(1996) 7 AD 679; (1996) 7 SCALE 117; (1996) 10 SCC 619; (1996) 5 SCR 222 Supp</t>
        </is>
      </c>
      <c r="J255" s="11" t="n">
        <v>1996</v>
      </c>
      <c r="K255" s="2" t="inlineStr">
        <is>
          <t>Padmasundara Rao and Others v. State of Tamil Nadu and Others</t>
        </is>
      </c>
      <c r="L255" s="11" t="inlineStr">
        <is>
          <t>Supreme Court</t>
        </is>
      </c>
      <c r="M255" s="2" t="inlineStr">
        <is>
          <t>AIR 2002 SC 1334; (2002) 176 CTR 104; (2002) 255 ITR 147; (2002) 3 JT 1; (2002) 2 SCALE 580; (2002) 3 SCC 533; (2002) 37 SCL 425; (2002) 2 SCR 383; (2002) 170 TAXMAN 303; (2002) AIRSCW 1156; (2002) 2 Supreme 359</t>
        </is>
      </c>
      <c r="N255" s="11" t="n">
        <v>2002</v>
      </c>
      <c r="O255" s="11" t="n"/>
      <c r="P255" s="11" t="n"/>
      <c r="Q255" s="11" t="n"/>
      <c r="R255" s="2" t="n"/>
      <c r="S255" s="2" t="n"/>
      <c r="T255" s="11" t="inlineStr"/>
      <c r="U255" s="11" t="inlineStr"/>
      <c r="V255" s="11" t="inlineStr">
        <is>
          <t>outside_list</t>
        </is>
      </c>
      <c r="W255" s="11" t="n"/>
      <c r="X255" s="11" t="n"/>
      <c r="Y255" s="11" t="n"/>
      <c r="Z255" s="11" t="inlineStr">
        <is>
          <t>Mr. Advocate</t>
        </is>
      </c>
      <c r="AA255" s="11" t="inlineStr">
        <is>
          <t>2026-10-07</t>
        </is>
      </c>
      <c r="AB255" s="11" t="inlineStr">
        <is>
          <t>name_year</t>
        </is>
      </c>
      <c r="AC255" s="2" t="inlineStr"/>
      <c r="AD255" s="2" t="inlineStr">
        <is>
          <t>State of Karnataka and Others v. D.C. Nanjudaiah and Others (1996) was overruled by Padmasundara Rao and Others v. State of Tamil Nadu and Others (2002).</t>
        </is>
      </c>
      <c r="AE255" s="2" t="n"/>
      <c r="AF255" s="11" t="inlineStr">
        <is>
          <t>created from list 1</t>
        </is>
      </c>
    </row>
    <row r="256">
      <c r="A256" s="11" t="inlineStr">
        <is>
          <t>L1-0255</t>
        </is>
      </c>
      <c r="B256" s="11" t="inlineStr">
        <is>
          <t>List 1 (to ~2015)</t>
        </is>
      </c>
      <c r="C256" s="11" t="inlineStr">
        <is>
          <t>list1</t>
        </is>
      </c>
      <c r="D256" s="11" t="inlineStr">
        <is>
          <t>verified</t>
        </is>
      </c>
      <c r="E256" s="11" t="inlineStr">
        <is>
          <t>overruled</t>
        </is>
      </c>
      <c r="F256" s="2" t="inlineStr">
        <is>
          <t>Chint Ram Ram Chand and Others v. State of Punjab and Others</t>
        </is>
      </c>
      <c r="G256" s="11" t="inlineStr"/>
      <c r="H256" s="11" t="inlineStr">
        <is>
          <t>Supreme Court</t>
        </is>
      </c>
      <c r="I256" s="2" t="inlineStr">
        <is>
          <t>(1996) 2 AD 210; AIR 1996 SC 1406; (1996) 2 JT 243; (1996) 2 SCALE 159; (1996) 9 SCC 338; (1996) 2 SCR 283</t>
        </is>
      </c>
      <c r="J256" s="11" t="n">
        <v>1996</v>
      </c>
      <c r="K256" s="2" t="inlineStr">
        <is>
          <t>Labha Ram and Sons and Others v. State of Punjab and Others</t>
        </is>
      </c>
      <c r="L256" s="11" t="inlineStr">
        <is>
          <t>Supreme Court</t>
        </is>
      </c>
      <c r="M256" s="2" t="inlineStr">
        <is>
          <t>(1998) 4 AD 298; AIR 1998 SC 2086; (1998) 3 JT 636; (1998) 120 PLR 243; (1998) 3 SCALE 367; (1998) 5 SCC 207; (1998) 3 SCR 112; (1998) AIRSCW 1957; (1998) 4 Supreme 327</t>
        </is>
      </c>
      <c r="N256" s="11" t="n">
        <v>1998</v>
      </c>
      <c r="O256" s="11" t="n"/>
      <c r="P256" s="11" t="n"/>
      <c r="Q256" s="11" t="n"/>
      <c r="R256" s="2" t="n"/>
      <c r="S256" s="2" t="n"/>
      <c r="T256" s="11" t="inlineStr"/>
      <c r="U256" s="11" t="inlineStr"/>
      <c r="V256" s="11" t="inlineStr">
        <is>
          <t>outside_list</t>
        </is>
      </c>
      <c r="W256" s="11" t="n"/>
      <c r="X256" s="11" t="n"/>
      <c r="Y256" s="11" t="n"/>
      <c r="Z256" s="11" t="inlineStr">
        <is>
          <t>Mr. Advocate</t>
        </is>
      </c>
      <c r="AA256" s="11" t="inlineStr">
        <is>
          <t>2026-10-07</t>
        </is>
      </c>
      <c r="AB256" s="11" t="inlineStr">
        <is>
          <t>name_year</t>
        </is>
      </c>
      <c r="AC256" s="2" t="inlineStr"/>
      <c r="AD256" s="2" t="inlineStr">
        <is>
          <t>Chint Ram Ram Chand and Others v. State of Punjab and Others (1996) was overruled by Labha Ram and Sons and Others v. State of Punjab and Others (1998).</t>
        </is>
      </c>
      <c r="AE256" s="2" t="n"/>
      <c r="AF256" s="11" t="inlineStr">
        <is>
          <t>created from list 1</t>
        </is>
      </c>
    </row>
    <row r="257">
      <c r="A257" s="11" t="inlineStr">
        <is>
          <t>L1-0256</t>
        </is>
      </c>
      <c r="B257" s="11" t="inlineStr">
        <is>
          <t>List 1 (to ~2015)</t>
        </is>
      </c>
      <c r="C257" s="11" t="inlineStr">
        <is>
          <t>list1</t>
        </is>
      </c>
      <c r="D257" s="11" t="inlineStr">
        <is>
          <t>verified</t>
        </is>
      </c>
      <c r="E257" s="11" t="inlineStr">
        <is>
          <t>overruled</t>
        </is>
      </c>
      <c r="F257" s="2" t="inlineStr">
        <is>
          <t>K.L. Verma v. State and Another</t>
        </is>
      </c>
      <c r="G257" s="11" t="inlineStr"/>
      <c r="H257" s="11" t="inlineStr">
        <is>
          <t>Supreme Court</t>
        </is>
      </c>
      <c r="I257" s="2" t="inlineStr">
        <is>
          <t>(1998) 8 JT 521; (1998) 9 SCC 348</t>
        </is>
      </c>
      <c r="J257" s="11" t="n">
        <v>1998</v>
      </c>
      <c r="K257" s="2" t="inlineStr">
        <is>
          <t>Adri Dharan Das v. State of West Bengal</t>
        </is>
      </c>
      <c r="L257" s="11" t="inlineStr">
        <is>
          <t>Supreme Court</t>
        </is>
      </c>
      <c r="M257" s="2" t="inlineStr">
        <is>
          <t>(2005) CriLJ 1706; (2005) 1 CTC 710; (2005) 2 JT 548; (2005) 4 SCC 303; (2005) 2 SCR 188</t>
        </is>
      </c>
      <c r="N257" s="11" t="n">
        <v>2005</v>
      </c>
      <c r="O257" s="11" t="n"/>
      <c r="P257" s="11" t="n"/>
      <c r="Q257" s="11" t="n"/>
      <c r="R257" s="2" t="n"/>
      <c r="S257" s="2" t="n"/>
      <c r="T257" s="11" t="inlineStr"/>
      <c r="U257" s="11" t="inlineStr"/>
      <c r="V257" s="11" t="inlineStr">
        <is>
          <t>outside_list</t>
        </is>
      </c>
      <c r="W257" s="11" t="n"/>
      <c r="X257" s="11" t="n"/>
      <c r="Y257" s="11" t="n"/>
      <c r="Z257" s="11" t="inlineStr">
        <is>
          <t>Mr. Advocate</t>
        </is>
      </c>
      <c r="AA257" s="11" t="inlineStr">
        <is>
          <t>2026-10-07</t>
        </is>
      </c>
      <c r="AB257" s="11" t="inlineStr">
        <is>
          <t>name_year</t>
        </is>
      </c>
      <c r="AC257" s="2" t="inlineStr">
        <is>
          <t>L2-026: overruled by Sushila Aggarwal v. State (NCT of Delhi) (2020)</t>
        </is>
      </c>
      <c r="AD257" s="2" t="inlineStr">
        <is>
          <t>K.L. Verma v. State and Another (1998) was overruled by Adri Dharan Das v. State of West Bengal (2005). Note: Adri Dharan Das v. State of West Bengal was itself later overruled by Sushila Aggarwal v. State (NCT of Delhi) (2020); the current position should be checked.</t>
        </is>
      </c>
      <c r="AE257" s="2" t="n"/>
      <c r="AF257" s="11" t="inlineStr">
        <is>
          <t>created from list 1</t>
        </is>
      </c>
    </row>
    <row r="258">
      <c r="A258" s="11" t="inlineStr">
        <is>
          <t>L1-0257</t>
        </is>
      </c>
      <c r="B258" s="11" t="inlineStr">
        <is>
          <t>List 1 (to ~2015)</t>
        </is>
      </c>
      <c r="C258" s="11" t="inlineStr">
        <is>
          <t>list1</t>
        </is>
      </c>
      <c r="D258" s="11" t="inlineStr">
        <is>
          <t>verified</t>
        </is>
      </c>
      <c r="E258" s="11" t="inlineStr">
        <is>
          <t>overruled</t>
        </is>
      </c>
      <c r="F258" s="2" t="inlineStr">
        <is>
          <t>Inder Singh and Others v. Union of India (UOI) and Another</t>
        </is>
      </c>
      <c r="G258" s="11" t="inlineStr"/>
      <c r="H258" s="11" t="inlineStr">
        <is>
          <t>Supreme Court</t>
        </is>
      </c>
      <c r="I258" s="2" t="inlineStr">
        <is>
          <t>(1995) 8 JT 555; (1995) 6 SCALE 467; (1995) 4 SCC 282 Supp; (1995) 4 SCR 737 Supp</t>
        </is>
      </c>
      <c r="J258" s="11" t="n">
        <v>1995</v>
      </c>
      <c r="K258" s="2" t="inlineStr">
        <is>
          <t>Land Acquisition Officer and Mandal Revenue Officer v. V. Narasaiah</t>
        </is>
      </c>
      <c r="L258" s="11" t="inlineStr">
        <is>
          <t>Supreme Court</t>
        </is>
      </c>
      <c r="M258" s="2" t="inlineStr">
        <is>
          <t>AIR 2001 SC 1117; (2001) 3 JT 157; (2001) 2 SCALE 257; (2001) 3 SCC 530; (2001) 2 SCR 141; (2001) 2 UJ 997; (2001) AIRSCW 867; (2001) 2 Supreme 187</t>
        </is>
      </c>
      <c r="N258" s="11" t="n">
        <v>2001</v>
      </c>
      <c r="O258" s="11" t="n"/>
      <c r="P258" s="11" t="n"/>
      <c r="Q258" s="11" t="n"/>
      <c r="R258" s="2" t="n"/>
      <c r="S258" s="2" t="n"/>
      <c r="T258" s="11" t="inlineStr"/>
      <c r="U258" s="11" t="inlineStr"/>
      <c r="V258" s="11" t="inlineStr">
        <is>
          <t>outside_list</t>
        </is>
      </c>
      <c r="W258" s="11" t="n"/>
      <c r="X258" s="11" t="n"/>
      <c r="Y258" s="11" t="n"/>
      <c r="Z258" s="11" t="inlineStr">
        <is>
          <t>Mr. Advocate</t>
        </is>
      </c>
      <c r="AA258" s="11" t="inlineStr">
        <is>
          <t>2026-10-07</t>
        </is>
      </c>
      <c r="AB258" s="11" t="inlineStr">
        <is>
          <t>name_year</t>
        </is>
      </c>
      <c r="AC258" s="2" t="inlineStr"/>
      <c r="AD258" s="2" t="inlineStr">
        <is>
          <t>Inder Singh and Others v. Union of India (UOI) and Another (1995) was overruled by Land Acquisition Officer and Mandal Revenue Officer v. V. Narasaiah (2001).</t>
        </is>
      </c>
      <c r="AE258" s="2" t="n"/>
      <c r="AF258" s="11" t="inlineStr">
        <is>
          <t>created from list 1</t>
        </is>
      </c>
    </row>
    <row r="259">
      <c r="A259" s="11" t="inlineStr">
        <is>
          <t>L1-0258</t>
        </is>
      </c>
      <c r="B259" s="11" t="inlineStr">
        <is>
          <t>List 1 (to ~2015)</t>
        </is>
      </c>
      <c r="C259" s="11" t="inlineStr">
        <is>
          <t>list1</t>
        </is>
      </c>
      <c r="D259" s="11" t="inlineStr">
        <is>
          <t>verified</t>
        </is>
      </c>
      <c r="E259" s="11" t="inlineStr">
        <is>
          <t>disputed_listing</t>
        </is>
      </c>
      <c r="F259" s="2" t="inlineStr">
        <is>
          <t>Mediwell Hospital and Health Care Pvt. Ltd. v. Union of India and others</t>
        </is>
      </c>
      <c r="G259" s="11" t="inlineStr"/>
      <c r="H259" s="11" t="inlineStr">
        <is>
          <t>Supreme Court</t>
        </is>
      </c>
      <c r="I259" s="2" t="inlineStr">
        <is>
          <t>AIR 1997 SC 1623; (1997) 57 ECC 197; (1997) 68 ECR 750; (1997) 89 ELT 425; (1997) 1 JT 270; (1996) 9 SCALE 368; (1997) 1 SCC 759; (1996) 10 SCR 228 Supp; (1997) 1 UJ 323; (1997) AIRSCW 424</t>
        </is>
      </c>
      <c r="J259" s="11" t="n">
        <v>1997</v>
      </c>
      <c r="K259" s="2" t="inlineStr">
        <is>
          <t>M/s. Faridabad Ct. Scan center v. D.G. Health Services and others</t>
        </is>
      </c>
      <c r="L259" s="11" t="inlineStr">
        <is>
          <t>Supreme Court</t>
        </is>
      </c>
      <c r="M259" s="2" t="inlineStr">
        <is>
          <t>AIR 1997 SC 3801; (2003) 89 ECC 468; (1997) 72 ECR 801; (1997) 95 ELT 161; (1997) 8 JT 171; (1997) 6 SCALE 148; (1997) 7 SCC 752; (1997) 4 SCR 122 Supp; (1997) AIRSCW 3716; (1998) 5 Supreme 287</t>
        </is>
      </c>
      <c r="N259" s="11" t="n">
        <v>1997</v>
      </c>
      <c r="O259" s="11" t="n"/>
      <c r="P259" s="11" t="n"/>
      <c r="Q259" s="11" t="n"/>
      <c r="R259" s="2" t="n"/>
      <c r="S259" s="2" t="n"/>
      <c r="T259" s="11" t="inlineStr"/>
      <c r="U259" s="11" t="inlineStr">
        <is>
          <t>list_mutual_pair</t>
        </is>
      </c>
      <c r="V259" s="11" t="inlineStr">
        <is>
          <t>outside_list</t>
        </is>
      </c>
      <c r="W259" s="11" t="n"/>
      <c r="X259" s="11" t="n"/>
      <c r="Y259" s="11" t="n"/>
      <c r="Z259" s="11" t="inlineStr">
        <is>
          <t>Mr. Advocate</t>
        </is>
      </c>
      <c r="AA259" s="11" t="inlineStr">
        <is>
          <t>2026-10-07</t>
        </is>
      </c>
      <c r="AB259" s="11" t="inlineStr">
        <is>
          <t>name_year</t>
        </is>
      </c>
      <c r="AC259" s="2" t="inlineStr">
        <is>
          <t>L1-0270: listed in our reference list as overruled by Mediwell Hospital and Health Care Pvt. Ltd. v. Union of India and others (1997), but the list is inconsistent on this entry</t>
        </is>
      </c>
      <c r="AD259" s="2" t="inlineStr">
        <is>
          <t>Mediwell Hospital and Health Care Pvt. Ltd. v. Union of India and others (1997) is listed in our reference list as overruled by M/s. Faridabad Ct. Scan center v. D.G. Health Services and others (1997), but the list is inconsistent on this entry. Note: M/s. Faridabad Ct. Scan center v. D.G. Health Services and others was itself later listed in our reference list as overruled by Mediwell Hospital and Health Care Pvt. Ltd. v. Union of India and others (1997), but the list is inconsistent on this entry; the current position should be checked.</t>
        </is>
      </c>
      <c r="AE259" s="2" t="n"/>
      <c r="AF259" s="11" t="inlineStr">
        <is>
          <t>created from list 1</t>
        </is>
      </c>
    </row>
    <row r="260">
      <c r="A260" s="11" t="inlineStr">
        <is>
          <t>L1-0259</t>
        </is>
      </c>
      <c r="B260" s="11" t="inlineStr">
        <is>
          <t>List 1 (to ~2015)</t>
        </is>
      </c>
      <c r="C260" s="11" t="inlineStr">
        <is>
          <t>list1</t>
        </is>
      </c>
      <c r="D260" s="11" t="inlineStr">
        <is>
          <t>verified</t>
        </is>
      </c>
      <c r="E260" s="11" t="inlineStr">
        <is>
          <t>overruled</t>
        </is>
      </c>
      <c r="F260" s="2" t="inlineStr">
        <is>
          <t>Common Cause, A Registered Society v. Union of India (UOI) and Others</t>
        </is>
      </c>
      <c r="G260" s="11" t="inlineStr"/>
      <c r="H260" s="11" t="inlineStr">
        <is>
          <t>Supreme Court</t>
        </is>
      </c>
      <c r="I260" s="2" t="inlineStr">
        <is>
          <t>AIR 1996 SC 3538; (1996) 8 JT 613; (1997) 3 SCALE 21; (1996) 7 SCALE 156; (1996) 6 SCC 530; (1996) 6 SCR 719 Supp; (1996) 2 UJ 802</t>
        </is>
      </c>
      <c r="J260" s="11" t="n">
        <v>1996</v>
      </c>
      <c r="K260" s="2" t="inlineStr">
        <is>
          <t>Common Cause, A Registered Society v. Union of India and Others</t>
        </is>
      </c>
      <c r="L260" s="11" t="inlineStr">
        <is>
          <t>Supreme Court</t>
        </is>
      </c>
      <c r="M260" s="2" t="inlineStr">
        <is>
          <t>AIR 1999 SC 2979; (1999) 5 JT 237; (2000) 1 SCALE 476; (1999) 4 SCALE 354; (1998) 4 SCALE 1; (1999) 6 SCC 667; (1999) 3 SCR 1279; (1999) AIRSCW 2899; (1999) 6 Supreme 425</t>
        </is>
      </c>
      <c r="N260" s="11" t="n">
        <v>1999</v>
      </c>
      <c r="O260" s="11" t="n"/>
      <c r="P260" s="11" t="n"/>
      <c r="Q260" s="11" t="n"/>
      <c r="R260" s="2" t="n"/>
      <c r="S260" s="2" t="n"/>
      <c r="T260" s="11" t="inlineStr"/>
      <c r="U260" s="11" t="inlineStr"/>
      <c r="V260" s="11" t="inlineStr">
        <is>
          <t>outside_list</t>
        </is>
      </c>
      <c r="W260" s="11" t="n"/>
      <c r="X260" s="11" t="n"/>
      <c r="Y260" s="11" t="n"/>
      <c r="Z260" s="11" t="inlineStr">
        <is>
          <t>Mr. Advocate</t>
        </is>
      </c>
      <c r="AA260" s="11" t="inlineStr">
        <is>
          <t>2026-10-07</t>
        </is>
      </c>
      <c r="AB260" s="11" t="inlineStr">
        <is>
          <t>name_year</t>
        </is>
      </c>
      <c r="AC260" s="2" t="inlineStr">
        <is>
          <t>L1-0637: overruled by P. Ramachandra Rao v. State of Karnataka (2002)</t>
        </is>
      </c>
      <c r="AD260" s="2" t="inlineStr">
        <is>
          <t>Common Cause, A Registered Society v. Union of India (UOI) and Others (1996) was overruled by Common Cause, A Registered Society v. Union of India and Others (1999). Note: Common Cause, A Registered Society v. Union of India and Others was itself later overruled by P. Ramachandra Rao v. State of Karnataka (2002); the current position should be checked.</t>
        </is>
      </c>
      <c r="AE260" s="2" t="n"/>
      <c r="AF260" s="11" t="inlineStr">
        <is>
          <t>created from list 1</t>
        </is>
      </c>
    </row>
    <row r="261">
      <c r="A261" s="11" t="inlineStr">
        <is>
          <t>L1-0260</t>
        </is>
      </c>
      <c r="B261" s="11" t="inlineStr">
        <is>
          <t>List 1 (to ~2015)</t>
        </is>
      </c>
      <c r="C261" s="11" t="inlineStr">
        <is>
          <t>list1</t>
        </is>
      </c>
      <c r="D261" s="11" t="inlineStr">
        <is>
          <t>verified</t>
        </is>
      </c>
      <c r="E261" s="11" t="inlineStr">
        <is>
          <t>reversed_on_appeal</t>
        </is>
      </c>
      <c r="F261" s="2" t="inlineStr">
        <is>
          <t>Chowringhee Sales Bureau Ltd. v. State of West Bengal and Others</t>
        </is>
      </c>
      <c r="G261" s="11" t="inlineStr"/>
      <c r="H261" s="11" t="inlineStr">
        <is>
          <t>Calcutta</t>
        </is>
      </c>
      <c r="I261" s="2" t="inlineStr">
        <is>
          <t>AIR 1961 Cal 328; 65 CWN 770; (1961) 12 STC 535</t>
        </is>
      </c>
      <c r="J261" s="11" t="n">
        <v>1961</v>
      </c>
      <c r="K261" s="2" t="inlineStr">
        <is>
          <t>Chowringhee Sales Bureau (P) Ltd. v. Commissioner of Income Tax , West Bengal</t>
        </is>
      </c>
      <c r="L261" s="11" t="inlineStr">
        <is>
          <t>Supreme Court</t>
        </is>
      </c>
      <c r="M261" s="2" t="inlineStr">
        <is>
          <t>AIR 1973 SC 376; (1973) 87 ITR 542; (1973) 1 SCC 46; (1973) 2 SCR 618; (1973) 31 STC 254</t>
        </is>
      </c>
      <c r="N261" s="11" t="n">
        <v>1973</v>
      </c>
      <c r="O261" s="11" t="n"/>
      <c r="P261" s="11" t="n"/>
      <c r="Q261" s="11" t="n"/>
      <c r="R261" s="2" t="n"/>
      <c r="S261" s="2" t="n"/>
      <c r="T261" s="11" t="inlineStr">
        <is>
          <t>yes</t>
        </is>
      </c>
      <c r="U261" s="11" t="inlineStr"/>
      <c r="V261" s="11" t="inlineStr">
        <is>
          <t>outside_list</t>
        </is>
      </c>
      <c r="W261" s="11" t="n"/>
      <c r="X261" s="11" t="n"/>
      <c r="Y261" s="11" t="n"/>
      <c r="Z261" s="11" t="inlineStr">
        <is>
          <t>Mr. Advocate</t>
        </is>
      </c>
      <c r="AA261" s="11" t="inlineStr">
        <is>
          <t>2026-10-07</t>
        </is>
      </c>
      <c r="AB261" s="11" t="inlineStr">
        <is>
          <t>name_year</t>
        </is>
      </c>
      <c r="AC261" s="2" t="inlineStr"/>
      <c r="AD261" s="2" t="inlineStr">
        <is>
          <t>Chowringhee Sales Bureau Ltd. v. State of West Bengal and Others (1961) was reversed on appeal by the Supreme Court in Chowringhee Sales Bureau (P) Ltd. v. Commissioner of Income Tax , West Bengal (1973).</t>
        </is>
      </c>
      <c r="AE261" s="2" t="n"/>
      <c r="AF261" s="11" t="inlineStr">
        <is>
          <t>created from list 1</t>
        </is>
      </c>
    </row>
    <row r="262">
      <c r="A262" s="11" t="inlineStr">
        <is>
          <t>L1-0261</t>
        </is>
      </c>
      <c r="B262" s="11" t="inlineStr">
        <is>
          <t>List 1 (to ~2015)</t>
        </is>
      </c>
      <c r="C262" s="11" t="inlineStr">
        <is>
          <t>list1</t>
        </is>
      </c>
      <c r="D262" s="11" t="inlineStr">
        <is>
          <t>verified</t>
        </is>
      </c>
      <c r="E262" s="11" t="inlineStr">
        <is>
          <t>overruled</t>
        </is>
      </c>
      <c r="F262" s="2" t="inlineStr">
        <is>
          <t>State of Punjab v. Jasbir Singh and Others</t>
        </is>
      </c>
      <c r="G262" s="11" t="inlineStr"/>
      <c r="H262" s="11" t="inlineStr">
        <is>
          <t>Supreme Court</t>
        </is>
      </c>
      <c r="I262" s="2" t="inlineStr">
        <is>
          <t>(1995) 4 Crimes 765; (1996) 54 ECC 79; (1995) 9 JT 308; (1995) 6 SCALE 740; (1996) 1 SCC 288; (1995) 5 SCR 742 Supp</t>
        </is>
      </c>
      <c r="J262" s="11" t="n">
        <v>1995</v>
      </c>
      <c r="K262" s="2" t="inlineStr">
        <is>
          <t>Kalema Tumba v. State of Maharashtra and Another</t>
        </is>
      </c>
      <c r="L262" s="11" t="inlineStr">
        <is>
          <t>Supreme Court</t>
        </is>
      </c>
      <c r="M262" s="2" t="inlineStr">
        <is>
          <t>AIR 2000 SC 402; (2000) CriLJ 507; (1999) 4 Crimes 352; (2000) 67 ECC 6; (2000) ECR 766; (2000) 115 ELT 38; (1999) 8 JT 293; (1999) 6 SCALE 529; (1999) 8 SCC 257; (1999) 2 SCR 670 Supp; (2000) 1 UJ 22; (1999) AIRSCW 4544; (1999) 9 Supreme 179</t>
        </is>
      </c>
      <c r="N262" s="11" t="n">
        <v>2000</v>
      </c>
      <c r="O262" s="11" t="n"/>
      <c r="P262" s="11" t="n"/>
      <c r="Q262" s="11" t="n"/>
      <c r="R262" s="2" t="n"/>
      <c r="S262" s="2" t="n"/>
      <c r="T262" s="11" t="inlineStr"/>
      <c r="U262" s="11" t="inlineStr"/>
      <c r="V262" s="11" t="inlineStr">
        <is>
          <t>outside_list</t>
        </is>
      </c>
      <c r="W262" s="11" t="n"/>
      <c r="X262" s="11" t="n"/>
      <c r="Y262" s="11" t="n"/>
      <c r="Z262" s="11" t="inlineStr">
        <is>
          <t>Mr. Advocate</t>
        </is>
      </c>
      <c r="AA262" s="11" t="inlineStr">
        <is>
          <t>2026-10-07</t>
        </is>
      </c>
      <c r="AB262" s="11" t="inlineStr">
        <is>
          <t>name_year</t>
        </is>
      </c>
      <c r="AC262" s="2" t="inlineStr"/>
      <c r="AD262" s="2" t="inlineStr">
        <is>
          <t>State of Punjab v. Jasbir Singh and Others (1995) was overruled by Kalema Tumba v. State of Maharashtra and Another (2000).</t>
        </is>
      </c>
      <c r="AE262" s="2" t="n"/>
      <c r="AF262" s="11" t="inlineStr">
        <is>
          <t>created from list 1</t>
        </is>
      </c>
    </row>
    <row r="263">
      <c r="A263" s="11" t="inlineStr">
        <is>
          <t>L1-0262</t>
        </is>
      </c>
      <c r="B263" s="11" t="inlineStr">
        <is>
          <t>List 1 (to ~2015)</t>
        </is>
      </c>
      <c r="C263" s="11" t="inlineStr">
        <is>
          <t>list1</t>
        </is>
      </c>
      <c r="D263" s="11" t="inlineStr">
        <is>
          <t>verified</t>
        </is>
      </c>
      <c r="E263" s="11" t="inlineStr">
        <is>
          <t>overruled</t>
        </is>
      </c>
      <c r="F263" s="2" t="inlineStr">
        <is>
          <t>Manni Lal v. Parmai Lal and Others</t>
        </is>
      </c>
      <c r="G263" s="11" t="inlineStr"/>
      <c r="H263" s="11" t="inlineStr">
        <is>
          <t>Supreme Court</t>
        </is>
      </c>
      <c r="I263" s="2" t="inlineStr">
        <is>
          <t>AIR 1971 SC 330; (1970) 2 SCC 462; (1970) 1 SCC(Cri) 487; (1971) 1 SCR 798</t>
        </is>
      </c>
      <c r="J263" s="11" t="n">
        <v>1971</v>
      </c>
      <c r="K263" s="2" t="inlineStr">
        <is>
          <t>P. Prabhakaran v. P. Jayarajan</t>
        </is>
      </c>
      <c r="L263" s="11" t="inlineStr">
        <is>
          <t>Supreme Court</t>
        </is>
      </c>
      <c r="M263" s="2" t="inlineStr">
        <is>
          <t>AIR 2005 SC 688; (2005) 1 JT 173; (2005) 1 SCC 754</t>
        </is>
      </c>
      <c r="N263" s="11" t="n">
        <v>2005</v>
      </c>
      <c r="O263" s="11" t="n"/>
      <c r="P263" s="11" t="n"/>
      <c r="Q263" s="11" t="n"/>
      <c r="R263" s="2" t="n"/>
      <c r="S263" s="2" t="n"/>
      <c r="T263" s="11" t="inlineStr"/>
      <c r="U263" s="11" t="inlineStr"/>
      <c r="V263" s="11" t="inlineStr">
        <is>
          <t>outside_list</t>
        </is>
      </c>
      <c r="W263" s="11" t="n"/>
      <c r="X263" s="11" t="n"/>
      <c r="Y263" s="11" t="n"/>
      <c r="Z263" s="11" t="inlineStr">
        <is>
          <t>Mr. Advocate</t>
        </is>
      </c>
      <c r="AA263" s="11" t="inlineStr">
        <is>
          <t>2026-10-07</t>
        </is>
      </c>
      <c r="AB263" s="11" t="inlineStr">
        <is>
          <t>name_year</t>
        </is>
      </c>
      <c r="AC263" s="2" t="inlineStr"/>
      <c r="AD263" s="2" t="inlineStr">
        <is>
          <t>Manni Lal v. Parmai Lal and Others (1971) was overruled by P. Prabhakaran v. P. Jayarajan (2005).</t>
        </is>
      </c>
      <c r="AE263" s="2" t="n"/>
      <c r="AF263" s="11" t="inlineStr">
        <is>
          <t>created from list 1</t>
        </is>
      </c>
    </row>
    <row r="264">
      <c r="A264" s="11" t="inlineStr">
        <is>
          <t>L1-0263</t>
        </is>
      </c>
      <c r="B264" s="11" t="inlineStr">
        <is>
          <t>List 1 (to ~2015)</t>
        </is>
      </c>
      <c r="C264" s="11" t="inlineStr">
        <is>
          <t>list1</t>
        </is>
      </c>
      <c r="D264" s="11" t="inlineStr">
        <is>
          <t>verified</t>
        </is>
      </c>
      <c r="E264" s="11" t="inlineStr">
        <is>
          <t>overruled</t>
        </is>
      </c>
      <c r="F264" s="2" t="inlineStr">
        <is>
          <t>Town Municipal, Council, Athani v. The Presiding Officer, Labour Courts, Hubli and Others</t>
        </is>
      </c>
      <c r="G264" s="11" t="inlineStr"/>
      <c r="H264" s="11" t="inlineStr">
        <is>
          <t>Supreme Court</t>
        </is>
      </c>
      <c r="I264" s="2" t="inlineStr">
        <is>
          <t>AIR 1969 SC 1335; (1969) 18 FLR 373; (1969) 2 LLJ 651; (1969) 1 SCC 873; (1970) 1 SCR 51</t>
        </is>
      </c>
      <c r="J264" s="11" t="n">
        <v>1969</v>
      </c>
      <c r="K264" s="2" t="inlineStr">
        <is>
          <t>S. Rajan v. State of Kerala and another</t>
        </is>
      </c>
      <c r="L264" s="11" t="inlineStr">
        <is>
          <t>Supreme Court</t>
        </is>
      </c>
      <c r="M264" s="2" t="inlineStr">
        <is>
          <t>AIR 1992 SC 1918; (1992) 2 ARBLR 281; (1992) 4 JT 312; (1992) 2 SCALE 86; (1992) 3 SCC 608; (1992) 3 SCR 649; (1992) 2 UJ 436</t>
        </is>
      </c>
      <c r="N264" s="11" t="n">
        <v>1992</v>
      </c>
      <c r="O264" s="11" t="n"/>
      <c r="P264" s="11" t="n"/>
      <c r="Q264" s="11" t="n"/>
      <c r="R264" s="2" t="n"/>
      <c r="S264" s="2" t="n"/>
      <c r="T264" s="11" t="inlineStr"/>
      <c r="U264" s="11" t="inlineStr"/>
      <c r="V264" s="11" t="inlineStr">
        <is>
          <t>outside_list</t>
        </is>
      </c>
      <c r="W264" s="11" t="n"/>
      <c r="X264" s="11" t="n"/>
      <c r="Y264" s="11" t="n"/>
      <c r="Z264" s="11" t="inlineStr">
        <is>
          <t>Mr. Advocate</t>
        </is>
      </c>
      <c r="AA264" s="11" t="inlineStr">
        <is>
          <t>2026-10-07</t>
        </is>
      </c>
      <c r="AB264" s="11" t="inlineStr">
        <is>
          <t>name_year</t>
        </is>
      </c>
      <c r="AC264" s="2" t="inlineStr"/>
      <c r="AD264" s="2" t="inlineStr">
        <is>
          <t>Town Municipal, Council, Athani v. The Presiding Officer, Labour Courts, Hubli and Others (1969) was overruled by S. Rajan v. State of Kerala and another (1992).</t>
        </is>
      </c>
      <c r="AE264" s="2" t="n"/>
      <c r="AF264" s="11" t="inlineStr">
        <is>
          <t>created from list 1</t>
        </is>
      </c>
    </row>
    <row r="265">
      <c r="A265" s="11" t="inlineStr">
        <is>
          <t>L1-0264</t>
        </is>
      </c>
      <c r="B265" s="11" t="inlineStr">
        <is>
          <t>List 1 (to ~2015)</t>
        </is>
      </c>
      <c r="C265" s="11" t="inlineStr">
        <is>
          <t>list1</t>
        </is>
      </c>
      <c r="D265" s="11" t="inlineStr">
        <is>
          <t>verified</t>
        </is>
      </c>
      <c r="E265" s="11" t="inlineStr">
        <is>
          <t>overruled</t>
        </is>
      </c>
      <c r="F265" s="2" t="inlineStr">
        <is>
          <t>State of Mysore v. Yaddalam Lakshminarasimhaiah Setty and Sons</t>
        </is>
      </c>
      <c r="G265" s="11" t="inlineStr"/>
      <c r="H265" s="11" t="inlineStr">
        <is>
          <t>Supreme Court</t>
        </is>
      </c>
      <c r="I265" s="2" t="inlineStr">
        <is>
          <t>AIR 1965 SC 1510; (1965) 2 SCR 129; (1965) 16 STC 231</t>
        </is>
      </c>
      <c r="J265" s="11" t="n">
        <v>1965</v>
      </c>
      <c r="K265" s="2" t="inlineStr">
        <is>
          <t>State of Madras v. East India Corporation Ltd.</t>
        </is>
      </c>
      <c r="L265" s="11" t="inlineStr">
        <is>
          <t>Supreme Court</t>
        </is>
      </c>
      <c r="M265" s="2" t="inlineStr">
        <is>
          <t>(1972) 4 SCC 303; (1971) 3 UJ 161</t>
        </is>
      </c>
      <c r="N265" s="11" t="n">
        <v>1971</v>
      </c>
      <c r="O265" s="11" t="n"/>
      <c r="P265" s="11" t="n"/>
      <c r="Q265" s="11" t="n"/>
      <c r="R265" s="2" t="n"/>
      <c r="S265" s="2" t="n"/>
      <c r="T265" s="11" t="inlineStr"/>
      <c r="U265" s="11" t="inlineStr"/>
      <c r="V265" s="11" t="inlineStr">
        <is>
          <t>outside_list</t>
        </is>
      </c>
      <c r="W265" s="11" t="n"/>
      <c r="X265" s="11" t="n"/>
      <c r="Y265" s="11" t="n"/>
      <c r="Z265" s="11" t="inlineStr">
        <is>
          <t>Mr. Advocate</t>
        </is>
      </c>
      <c r="AA265" s="11" t="inlineStr">
        <is>
          <t>2026-10-07</t>
        </is>
      </c>
      <c r="AB265" s="11" t="inlineStr">
        <is>
          <t>name_year</t>
        </is>
      </c>
      <c r="AC265" s="2" t="inlineStr"/>
      <c r="AD265" s="2" t="inlineStr">
        <is>
          <t>State of Mysore v. Yaddalam Lakshminarasimhaiah Setty and Sons (1965) was overruled by State of Madras v. East India Corporation Ltd. (1971).</t>
        </is>
      </c>
      <c r="AE265" s="2" t="n"/>
      <c r="AF265" s="11" t="inlineStr">
        <is>
          <t>created from list 1</t>
        </is>
      </c>
    </row>
    <row r="266">
      <c r="A266" s="11" t="inlineStr">
        <is>
          <t>L1-0265</t>
        </is>
      </c>
      <c r="B266" s="11" t="inlineStr">
        <is>
          <t>List 1 (to ~2015)</t>
        </is>
      </c>
      <c r="C266" s="11" t="inlineStr">
        <is>
          <t>list1</t>
        </is>
      </c>
      <c r="D266" s="11" t="inlineStr">
        <is>
          <t>verified</t>
        </is>
      </c>
      <c r="E266" s="11" t="inlineStr">
        <is>
          <t>disputed_listing</t>
        </is>
      </c>
      <c r="F266" s="2" t="inlineStr">
        <is>
          <t>The Burma Oil Co. (I) Trading Ltd., Calcutta v. The Commissioner of Wealth Tax (Central), Calcutta</t>
        </is>
      </c>
      <c r="G266" s="11" t="inlineStr"/>
      <c r="H266" s="11" t="inlineStr">
        <is>
          <t>Supreme Court</t>
        </is>
      </c>
      <c r="I266" s="2" t="inlineStr">
        <is>
          <t>AIR 1977 SC 784(2); (1977) 108 ITR 513; (1977) 1 SCC 196; (1977) 2 SCR 295</t>
        </is>
      </c>
      <c r="J266" s="11" t="n">
        <v>1977</v>
      </c>
      <c r="K266" s="2" t="inlineStr">
        <is>
          <t>The Commissioner of Income Tax, Gujarat II, Ahmedabad v. Shri R.M. Amin, L.R. of The Late Shri. Chunnibhai J. Amin, Baroda</t>
        </is>
      </c>
      <c r="L266" s="11" t="inlineStr">
        <is>
          <t>Supreme Court</t>
        </is>
      </c>
      <c r="M266" s="2" t="inlineStr">
        <is>
          <t>AIR 1977 SC 999; (1977) 106 ITR 368; (1977) 1 SCC 691; (1977) 2 SCR 220; (1977) 9 UJ 31</t>
        </is>
      </c>
      <c r="N266" s="11" t="n">
        <v>1977</v>
      </c>
      <c r="O266" s="11" t="n"/>
      <c r="P266" s="11" t="n"/>
      <c r="Q266" s="11" t="n"/>
      <c r="R266" s="2" t="n"/>
      <c r="S266" s="2" t="n"/>
      <c r="T266" s="11" t="inlineStr"/>
      <c r="U266" s="11" t="inlineStr">
        <is>
          <t>list_mutual_pair</t>
        </is>
      </c>
      <c r="V266" s="11" t="inlineStr">
        <is>
          <t>outside_list</t>
        </is>
      </c>
      <c r="W266" s="11" t="n"/>
      <c r="X266" s="11" t="n"/>
      <c r="Y266" s="11" t="n"/>
      <c r="Z266" s="11" t="inlineStr">
        <is>
          <t>Mr. Advocate</t>
        </is>
      </c>
      <c r="AA266" s="11" t="inlineStr">
        <is>
          <t>2026-10-07</t>
        </is>
      </c>
      <c r="AB266" s="11" t="inlineStr">
        <is>
          <t>name_year</t>
        </is>
      </c>
      <c r="AC266" s="2" t="inlineStr">
        <is>
          <t>L1-0242: listed in our reference list as overruled by The Burma Oil Co. (I) Trading Ltd., Calcutta v. The Commissioner of Wealth Tax (Central), Calcutta (1977), but the list is inconsistent on this entry</t>
        </is>
      </c>
      <c r="AD266" s="2" t="inlineStr">
        <is>
          <t>The Burma Oil Co. (I) Trading Ltd., Calcutta v. The Commissioner of Wealth Tax (Central), Calcutta (1977) is listed in our reference list as overruled by The Commissioner of Income Tax, Gujarat II, Ahmedabad v. Shri R.M. Amin, L.R. of The Late Shri. Chunnibhai J. Amin, Baroda (1977), but the list is inconsistent on this entry. Note: The Commissioner of Income Tax, Gujarat II, Ahmedabad v. Shri R.M. Amin, L.R. of The Late Shri. Chunnibhai J. Amin, Baroda was itself later listed in our reference list as overruled by The Burma Oil Co. (I) Trading Ltd., Calcutta v. The Commissioner of Wealth Tax (Central), Calcutta (1977), but the list is inconsistent on this entry; the current position should be checked.</t>
        </is>
      </c>
      <c r="AE266" s="2" t="n"/>
      <c r="AF266" s="11" t="inlineStr">
        <is>
          <t>created from list 1</t>
        </is>
      </c>
    </row>
    <row r="267">
      <c r="A267" s="11" t="inlineStr">
        <is>
          <t>L1-0266</t>
        </is>
      </c>
      <c r="B267" s="11" t="inlineStr">
        <is>
          <t>List 1 (to ~2015)</t>
        </is>
      </c>
      <c r="C267" s="11" t="inlineStr">
        <is>
          <t>list1</t>
        </is>
      </c>
      <c r="D267" s="11" t="inlineStr">
        <is>
          <t>verified</t>
        </is>
      </c>
      <c r="E267" s="11" t="inlineStr">
        <is>
          <t>overruled</t>
        </is>
      </c>
      <c r="F267" s="2" t="inlineStr">
        <is>
          <t>Commissioner of Income Tax, Ahmedabad v. Karamchand Premchand Ltd., Ahmedabad</t>
        </is>
      </c>
      <c r="G267" s="11" t="inlineStr"/>
      <c r="H267" s="11" t="inlineStr">
        <is>
          <t>Supreme Court</t>
        </is>
      </c>
      <c r="I267" s="2" t="inlineStr">
        <is>
          <t>AIR 1960 SC 1175; (1960) 40 ITR 106; (1960) 3 SCR 727</t>
        </is>
      </c>
      <c r="J267" s="11" t="n">
        <v>1960</v>
      </c>
      <c r="K267" s="2" t="inlineStr">
        <is>
          <t>National Thermal Power Co. Ltd. v. Commissioner of Income Tax</t>
        </is>
      </c>
      <c r="L267" s="11" t="inlineStr">
        <is>
          <t>Supreme Court</t>
        </is>
      </c>
      <c r="M267" s="2" t="inlineStr">
        <is>
          <t>(1999) 157 CTR 249; (1998) 99 ELT 200; (1998) 229 ITR 383; (1997) 7 SCC 489; (1998) 97 TAXMAN 358</t>
        </is>
      </c>
      <c r="N267" s="11" t="n">
        <v>1997</v>
      </c>
      <c r="O267" s="11" t="n"/>
      <c r="P267" s="11" t="n"/>
      <c r="Q267" s="11" t="n"/>
      <c r="R267" s="2" t="n"/>
      <c r="S267" s="2" t="n"/>
      <c r="T267" s="11" t="inlineStr"/>
      <c r="U267" s="11" t="inlineStr"/>
      <c r="V267" s="11" t="inlineStr">
        <is>
          <t>outside_list</t>
        </is>
      </c>
      <c r="W267" s="11" t="n"/>
      <c r="X267" s="11" t="n"/>
      <c r="Y267" s="11" t="n"/>
      <c r="Z267" s="11" t="inlineStr">
        <is>
          <t>Mr. Advocate</t>
        </is>
      </c>
      <c r="AA267" s="11" t="inlineStr">
        <is>
          <t>2026-10-07</t>
        </is>
      </c>
      <c r="AB267" s="11" t="inlineStr">
        <is>
          <t>name_year</t>
        </is>
      </c>
      <c r="AC267" s="2" t="inlineStr"/>
      <c r="AD267" s="2" t="inlineStr">
        <is>
          <t>Commissioner of Income Tax, Ahmedabad v. Karamchand Premchand Ltd., Ahmedabad (1960) was overruled by National Thermal Power Co. Ltd. v. Commissioner of Income Tax (1997).</t>
        </is>
      </c>
      <c r="AE267" s="2" t="n"/>
      <c r="AF267" s="11" t="inlineStr">
        <is>
          <t>created from list 1</t>
        </is>
      </c>
    </row>
    <row r="268">
      <c r="A268" s="11" t="inlineStr">
        <is>
          <t>L1-0267</t>
        </is>
      </c>
      <c r="B268" s="11" t="inlineStr">
        <is>
          <t>List 1 (to ~2015)</t>
        </is>
      </c>
      <c r="C268" s="11" t="inlineStr">
        <is>
          <t>list1</t>
        </is>
      </c>
      <c r="D268" s="11" t="inlineStr">
        <is>
          <t>verified</t>
        </is>
      </c>
      <c r="E268" s="11" t="inlineStr">
        <is>
          <t>overruled</t>
        </is>
      </c>
      <c r="F268" s="2" t="inlineStr">
        <is>
          <t>Shibban Lal Saksena v. The State of Utter Pradesh and Others</t>
        </is>
      </c>
      <c r="G268" s="11" t="inlineStr"/>
      <c r="H268" s="11" t="inlineStr">
        <is>
          <t>Supreme Court</t>
        </is>
      </c>
      <c r="I268" s="2" t="inlineStr">
        <is>
          <t>AIR 1954 SC 179; (1954) 1 SCR 418</t>
        </is>
      </c>
      <c r="J268" s="11" t="n">
        <v>1954</v>
      </c>
      <c r="K268" s="2" t="inlineStr">
        <is>
          <t>Motilal Jain v. State of Bihar and Others</t>
        </is>
      </c>
      <c r="L268" s="11" t="inlineStr">
        <is>
          <t>Supreme Court</t>
        </is>
      </c>
      <c r="M268" s="2" t="inlineStr">
        <is>
          <t>AIR 1968 SC 1509; (1969) CriLJ 33; (1968) 3 SCR 587</t>
        </is>
      </c>
      <c r="N268" s="11" t="n">
        <v>1968</v>
      </c>
      <c r="O268" s="11" t="n"/>
      <c r="P268" s="11" t="n"/>
      <c r="Q268" s="11" t="n"/>
      <c r="R268" s="2" t="n"/>
      <c r="S268" s="2" t="n"/>
      <c r="T268" s="11" t="inlineStr"/>
      <c r="U268" s="11" t="inlineStr"/>
      <c r="V268" s="11" t="inlineStr">
        <is>
          <t>outside_list</t>
        </is>
      </c>
      <c r="W268" s="11" t="n"/>
      <c r="X268" s="11" t="n"/>
      <c r="Y268" s="11" t="n"/>
      <c r="Z268" s="11" t="inlineStr">
        <is>
          <t>Mr. Advocate</t>
        </is>
      </c>
      <c r="AA268" s="11" t="inlineStr">
        <is>
          <t>2026-10-07</t>
        </is>
      </c>
      <c r="AB268" s="11" t="inlineStr">
        <is>
          <t>name_year</t>
        </is>
      </c>
      <c r="AC268" s="2" t="inlineStr"/>
      <c r="AD268" s="2" t="inlineStr">
        <is>
          <t>Shibban Lal Saksena v. The State of Utter Pradesh and Others (1954) was overruled by Motilal Jain v. State of Bihar and Others (1968).</t>
        </is>
      </c>
      <c r="AE268" s="2" t="n"/>
      <c r="AF268" s="11" t="inlineStr">
        <is>
          <t>created from list 1</t>
        </is>
      </c>
    </row>
    <row r="269">
      <c r="A269" s="11" t="inlineStr">
        <is>
          <t>L1-0268</t>
        </is>
      </c>
      <c r="B269" s="11" t="inlineStr">
        <is>
          <t>List 1 (to ~2015)</t>
        </is>
      </c>
      <c r="C269" s="11" t="inlineStr">
        <is>
          <t>list1</t>
        </is>
      </c>
      <c r="D269" s="11" t="inlineStr">
        <is>
          <t>verified</t>
        </is>
      </c>
      <c r="E269" s="11" t="inlineStr">
        <is>
          <t>overruled</t>
        </is>
      </c>
      <c r="F269" s="2" t="inlineStr">
        <is>
          <t>Collector of Central Excise, Patna v. Usha Martin Industries</t>
        </is>
      </c>
      <c r="G269" s="11" t="inlineStr"/>
      <c r="H269" s="11" t="inlineStr">
        <is>
          <t>Supreme Court</t>
        </is>
      </c>
      <c r="I269" s="2" t="inlineStr">
        <is>
          <t>AIR 1997 SC 3871; (2002) 84 ECC 795; (1997) 72 ECR 257; (1997) 94 ELT 460; (1997) 7 JT 557; (1997) 5 SCALE 600; (1997) 7 SCC 47; (1997) 3 SCR 601 Supp; (1998) 111 STC 254; (1997) AIRSCW 3795; (1997) 8 Supreme 19</t>
        </is>
      </c>
      <c r="J269" s="11" t="n">
        <v>1997</v>
      </c>
      <c r="K269" s="2" t="inlineStr">
        <is>
          <t>Collector of Central Excise, Vadodra v. Dhiren Chemical Industries</t>
        </is>
      </c>
      <c r="L269" s="11" t="inlineStr">
        <is>
          <t>Supreme Court</t>
        </is>
      </c>
      <c r="M269" s="2" t="inlineStr">
        <is>
          <t>AIR 2002 SC 453; (2001) 79 ECC 1; (2002) 139 ELT 3; (2002) 254 ITR 554; (2001) 10 JT 456; (2001) 8 SCALE 479; (2002) 2 SCC 127; (2002) 126 STC 122; (2001) AIRSCW 5073; (2001) 8 Supreme 624</t>
        </is>
      </c>
      <c r="N269" s="11" t="n">
        <v>2002</v>
      </c>
      <c r="O269" s="11" t="n"/>
      <c r="P269" s="11" t="n"/>
      <c r="Q269" s="11" t="n"/>
      <c r="R269" s="2" t="n"/>
      <c r="S269" s="2" t="n"/>
      <c r="T269" s="11" t="inlineStr"/>
      <c r="U269" s="11" t="inlineStr"/>
      <c r="V269" s="11" t="inlineStr">
        <is>
          <t>outside_list</t>
        </is>
      </c>
      <c r="W269" s="11" t="n"/>
      <c r="X269" s="11" t="n"/>
      <c r="Y269" s="11" t="n"/>
      <c r="Z269" s="11" t="inlineStr">
        <is>
          <t>Mr. Advocate</t>
        </is>
      </c>
      <c r="AA269" s="11" t="inlineStr">
        <is>
          <t>2026-10-07</t>
        </is>
      </c>
      <c r="AB269" s="11" t="inlineStr">
        <is>
          <t>name_year</t>
        </is>
      </c>
      <c r="AC269" s="2" t="inlineStr"/>
      <c r="AD269" s="2" t="inlineStr">
        <is>
          <t>Collector of Central Excise, Patna v. Usha Martin Industries (1997) was overruled by Collector of Central Excise, Vadodra v. Dhiren Chemical Industries (2002).</t>
        </is>
      </c>
      <c r="AE269" s="2" t="n"/>
      <c r="AF269" s="11" t="inlineStr">
        <is>
          <t>created from list 1</t>
        </is>
      </c>
    </row>
    <row r="270">
      <c r="A270" s="11" t="inlineStr">
        <is>
          <t>L1-0269</t>
        </is>
      </c>
      <c r="B270" s="11" t="inlineStr">
        <is>
          <t>List 1 (to ~2015)</t>
        </is>
      </c>
      <c r="C270" s="11" t="inlineStr">
        <is>
          <t>list1</t>
        </is>
      </c>
      <c r="D270" s="11" t="inlineStr">
        <is>
          <t>verified</t>
        </is>
      </c>
      <c r="E270" s="11" t="inlineStr">
        <is>
          <t>overruled</t>
        </is>
      </c>
      <c r="F270" s="2" t="inlineStr">
        <is>
          <t>Bhagatram Rajeev Kumar v. Commissioner of Sales Tax, M.P. and Others</t>
        </is>
      </c>
      <c r="G270" s="11" t="inlineStr"/>
      <c r="H270" s="11" t="inlineStr">
        <is>
          <t>Supreme Court</t>
        </is>
      </c>
      <c r="I270" s="2" t="inlineStr">
        <is>
          <t>(1994) 7 JT 573; (1994) 4 SCALE 1103; (1995) 1 SCC 673 Supp; (1995) 1 SCC 673; (1994) 6 SCR 91 Supp; (1995) 96 STC 654</t>
        </is>
      </c>
      <c r="J270" s="11" t="n">
        <v>1994</v>
      </c>
      <c r="K270" s="2" t="inlineStr">
        <is>
          <t>Jindal Stainless Ltd. and Another v. State of Haryana and Others</t>
        </is>
      </c>
      <c r="L270" s="11" t="inlineStr">
        <is>
          <t>Supreme Court</t>
        </is>
      </c>
      <c r="M270" s="2" t="inlineStr">
        <is>
          <t>AIR 2006 SC 2550; (2006) 283 ITR 1; (2006) 4 JT 611; (2006) 4 SCALE 300; (2006) 7 SCC 241; (2006) 145 STC 544; (2006) AIRSCW 3396; (2006) 3 Supreme 593</t>
        </is>
      </c>
      <c r="N270" s="11" t="n">
        <v>2006</v>
      </c>
      <c r="O270" s="11" t="n"/>
      <c r="P270" s="11" t="n"/>
      <c r="Q270" s="11" t="n"/>
      <c r="R270" s="2" t="n"/>
      <c r="S270" s="2" t="n"/>
      <c r="T270" s="11" t="inlineStr"/>
      <c r="U270" s="11" t="inlineStr"/>
      <c r="V270" s="11" t="inlineStr">
        <is>
          <t>outside_list</t>
        </is>
      </c>
      <c r="W270" s="11" t="n"/>
      <c r="X270" s="11" t="n"/>
      <c r="Y270" s="11" t="n"/>
      <c r="Z270" s="11" t="inlineStr">
        <is>
          <t>Mr. Advocate</t>
        </is>
      </c>
      <c r="AA270" s="11" t="inlineStr">
        <is>
          <t>2026-10-07</t>
        </is>
      </c>
      <c r="AB270" s="11" t="inlineStr">
        <is>
          <t>name_year</t>
        </is>
      </c>
      <c r="AC270" s="2" t="inlineStr"/>
      <c r="AD270" s="2" t="inlineStr">
        <is>
          <t>Bhagatram Rajeev Kumar v. Commissioner of Sales Tax, M.P. and Others (1994) was overruled by Jindal Stainless Ltd. and Another v. State of Haryana and Others (2006).</t>
        </is>
      </c>
      <c r="AE270" s="2" t="n"/>
      <c r="AF270" s="11" t="inlineStr">
        <is>
          <t>created from list 1</t>
        </is>
      </c>
    </row>
    <row r="271">
      <c r="A271" s="11" t="inlineStr">
        <is>
          <t>L1-0270</t>
        </is>
      </c>
      <c r="B271" s="11" t="inlineStr">
        <is>
          <t>List 1 (to ~2015)</t>
        </is>
      </c>
      <c r="C271" s="11" t="inlineStr">
        <is>
          <t>list1</t>
        </is>
      </c>
      <c r="D271" s="11" t="inlineStr">
        <is>
          <t>verified</t>
        </is>
      </c>
      <c r="E271" s="11" t="inlineStr">
        <is>
          <t>disputed_listing</t>
        </is>
      </c>
      <c r="F271" s="2" t="inlineStr">
        <is>
          <t>M/s. Faridabad Ct. Scan center v. D.G. Health Services and others</t>
        </is>
      </c>
      <c r="G271" s="11" t="inlineStr"/>
      <c r="H271" s="11" t="inlineStr">
        <is>
          <t>Supreme Court</t>
        </is>
      </c>
      <c r="I271" s="2" t="inlineStr">
        <is>
          <t>AIR 1997 SC 3801; (2003) 89 ECC 468; (1997) 72 ECR 801; (1997) 95 ELT 161; (1997) 8 JT 171; (1997) 6 SCALE 148; (1997) 7 SCC 752; (1997) 4 SCR 122 Supp; (1997) AIRSCW 3716; (1998) 5 Supreme 287</t>
        </is>
      </c>
      <c r="J271" s="11" t="n">
        <v>1997</v>
      </c>
      <c r="K271" s="2" t="inlineStr">
        <is>
          <t>Mediwell Hospital and Health Care Pvt. Ltd. v. Union of India and others</t>
        </is>
      </c>
      <c r="L271" s="11" t="inlineStr">
        <is>
          <t>Supreme Court</t>
        </is>
      </c>
      <c r="M271" s="2" t="inlineStr">
        <is>
          <t>AIR 1997 SC 1623; (1997) 57 ECC 197; (1997) 68 ECR 750; (1997) 89 ELT 425; (1997) 1 JT 270; (1996) 9 SCALE 368; (1997) 1 SCC 759; (1996) 10 SCR 228 Supp; (1997) 1 UJ 323; (1997) AIRSCW 424</t>
        </is>
      </c>
      <c r="N271" s="11" t="n">
        <v>1997</v>
      </c>
      <c r="O271" s="11" t="n"/>
      <c r="P271" s="11" t="n"/>
      <c r="Q271" s="11" t="n"/>
      <c r="R271" s="2" t="n"/>
      <c r="S271" s="2" t="n"/>
      <c r="T271" s="11" t="inlineStr"/>
      <c r="U271" s="11" t="inlineStr">
        <is>
          <t>list_mutual_pair</t>
        </is>
      </c>
      <c r="V271" s="11" t="inlineStr">
        <is>
          <t>outside_list</t>
        </is>
      </c>
      <c r="W271" s="11" t="n"/>
      <c r="X271" s="11" t="n"/>
      <c r="Y271" s="11" t="n"/>
      <c r="Z271" s="11" t="inlineStr">
        <is>
          <t>Mr. Advocate</t>
        </is>
      </c>
      <c r="AA271" s="11" t="inlineStr">
        <is>
          <t>2026-10-07</t>
        </is>
      </c>
      <c r="AB271" s="11" t="inlineStr">
        <is>
          <t>name_year</t>
        </is>
      </c>
      <c r="AC271" s="2" t="inlineStr">
        <is>
          <t>L1-0258: listed in our reference list as overruled by M/s. Faridabad Ct. Scan center v. D.G. Health Services and others (1997), but the list is inconsistent on this entry</t>
        </is>
      </c>
      <c r="AD271" s="2" t="inlineStr">
        <is>
          <t>M/s. Faridabad Ct. Scan center v. D.G. Health Services and others (1997) is listed in our reference list as overruled by Mediwell Hospital and Health Care Pvt. Ltd. v. Union of India and others (1997), but the list is inconsistent on this entry. Note: Mediwell Hospital and Health Care Pvt. Ltd. v. Union of India and others was itself later listed in our reference list as overruled by M/s. Faridabad Ct. Scan center v. D.G. Health Services and others (1997), but the list is inconsistent on this entry; the current position should be checked.</t>
        </is>
      </c>
      <c r="AE271" s="2" t="n"/>
      <c r="AF271" s="11" t="inlineStr">
        <is>
          <t>created from list 1</t>
        </is>
      </c>
    </row>
    <row r="272">
      <c r="A272" s="11" t="inlineStr">
        <is>
          <t>L1-0271</t>
        </is>
      </c>
      <c r="B272" s="11" t="inlineStr">
        <is>
          <t>List 1 (to ~2015)</t>
        </is>
      </c>
      <c r="C272" s="11" t="inlineStr">
        <is>
          <t>list1</t>
        </is>
      </c>
      <c r="D272" s="11" t="inlineStr">
        <is>
          <t>verified</t>
        </is>
      </c>
      <c r="E272" s="11" t="inlineStr">
        <is>
          <t>overruled</t>
        </is>
      </c>
      <c r="F272" s="2" t="inlineStr">
        <is>
          <t>State of Bihar and Others v. Bageshwari Prasad and Another</t>
        </is>
      </c>
      <c r="G272" s="11" t="inlineStr"/>
      <c r="H272" s="11" t="inlineStr">
        <is>
          <t>Supreme Court</t>
        </is>
      </c>
      <c r="I272" s="2" t="inlineStr">
        <is>
          <t>(1995) 1 SCC 432 Supp; (1994) 4 SCR 318 Supp; (1995) 1 SLJ 178</t>
        </is>
      </c>
      <c r="J272" s="11" t="n">
        <v>1994</v>
      </c>
      <c r="K272" s="2" t="inlineStr">
        <is>
          <t>Post Graduate Institute of Medical Education and Research, Chandigarh v. Faculty Association and Others</t>
        </is>
      </c>
      <c r="L272" s="11" t="inlineStr">
        <is>
          <t>Supreme Court</t>
        </is>
      </c>
      <c r="M272" s="2" t="inlineStr">
        <is>
          <t>(1998) 4 AD 70; AIR 1998 SC 1767; (1998) 3 CTC 413; (1998) 3 JT 223; (1998) 2 SCALE 772; (1998) 4 SCC 1; (1998) SCC(L&amp;S) 961; (1998) 2 SCR 845; (1998) AIRSCW 1553; (1998) 4 Supreme 110</t>
        </is>
      </c>
      <c r="N272" s="11" t="n">
        <v>1998</v>
      </c>
      <c r="O272" s="11" t="n"/>
      <c r="P272" s="11" t="n"/>
      <c r="Q272" s="11" t="n"/>
      <c r="R272" s="2" t="n"/>
      <c r="S272" s="2" t="n"/>
      <c r="T272" s="11" t="inlineStr"/>
      <c r="U272" s="11" t="inlineStr"/>
      <c r="V272" s="11" t="inlineStr">
        <is>
          <t>outside_list</t>
        </is>
      </c>
      <c r="W272" s="11" t="n"/>
      <c r="X272" s="11" t="n"/>
      <c r="Y272" s="11" t="n"/>
      <c r="Z272" s="11" t="inlineStr">
        <is>
          <t>Mr. Advocate</t>
        </is>
      </c>
      <c r="AA272" s="11" t="inlineStr">
        <is>
          <t>2026-10-07</t>
        </is>
      </c>
      <c r="AB272" s="11" t="inlineStr">
        <is>
          <t>name_year</t>
        </is>
      </c>
      <c r="AC272" s="2" t="inlineStr"/>
      <c r="AD272" s="2" t="inlineStr">
        <is>
          <t>State of Bihar and Others v. Bageshwari Prasad and Another (1994) was overruled by Post Graduate Institute of Medical Education and Research, Chandigarh v. Faculty Association and Others (1998).</t>
        </is>
      </c>
      <c r="AE272" s="2" t="n"/>
      <c r="AF272" s="11" t="inlineStr">
        <is>
          <t>created from list 1</t>
        </is>
      </c>
    </row>
    <row r="273">
      <c r="A273" s="11" t="inlineStr">
        <is>
          <t>L1-0272</t>
        </is>
      </c>
      <c r="B273" s="11" t="inlineStr">
        <is>
          <t>List 1 (to ~2015)</t>
        </is>
      </c>
      <c r="C273" s="11" t="inlineStr">
        <is>
          <t>list1</t>
        </is>
      </c>
      <c r="D273" s="11" t="inlineStr">
        <is>
          <t>verified</t>
        </is>
      </c>
      <c r="E273" s="11" t="inlineStr">
        <is>
          <t>overruled</t>
        </is>
      </c>
      <c r="F273" s="2" t="inlineStr">
        <is>
          <t>Poonam Lata v. M.L. Wadhawan and Others</t>
        </is>
      </c>
      <c r="G273" s="11" t="inlineStr"/>
      <c r="H273" s="11" t="inlineStr">
        <is>
          <t>Supreme Court</t>
        </is>
      </c>
      <c r="I273" s="2" t="inlineStr">
        <is>
          <t>AIR 1987 SC 1383; (1988) 63 CompCas 50; (1987) CriLJ 1924; (1987) 12 ECC 346; (1987) 30 ELT 3; (1987) 2 JT 204; (1987) 1 SCALE 849; (1987) 3 SCC 347; (1987) 2 SCR 1123</t>
        </is>
      </c>
      <c r="J273" s="11" t="n">
        <v>1987</v>
      </c>
      <c r="K273" s="2" t="inlineStr">
        <is>
          <t>Sunil Fulchand Shah v. Union of India and Others</t>
        </is>
      </c>
      <c r="L273" s="11" t="inlineStr">
        <is>
          <t>Supreme Court</t>
        </is>
      </c>
      <c r="M273" s="2" t="inlineStr">
        <is>
          <t>AIR 2000 SC 1023; (2000) CriLJ 1444; (2000) 1 CTC 694; (2000) 68 ECC 209; (2000) 2 JT 230; (2000) 1 SCALE 660; (2000) 3 SCC 409; (2000) 1 SCR 945; (2000) AIRSCW 582; (2000) 4 Supreme 682</t>
        </is>
      </c>
      <c r="N273" s="11" t="n">
        <v>2000</v>
      </c>
      <c r="O273" s="11" t="n"/>
      <c r="P273" s="11" t="n"/>
      <c r="Q273" s="11" t="n"/>
      <c r="R273" s="2" t="n"/>
      <c r="S273" s="2" t="n"/>
      <c r="T273" s="11" t="inlineStr"/>
      <c r="U273" s="11" t="inlineStr"/>
      <c r="V273" s="11" t="inlineStr">
        <is>
          <t>outside_list</t>
        </is>
      </c>
      <c r="W273" s="11" t="n"/>
      <c r="X273" s="11" t="n"/>
      <c r="Y273" s="11" t="n"/>
      <c r="Z273" s="11" t="inlineStr">
        <is>
          <t>Mr. Advocate</t>
        </is>
      </c>
      <c r="AA273" s="11" t="inlineStr">
        <is>
          <t>2026-10-07</t>
        </is>
      </c>
      <c r="AB273" s="11" t="inlineStr">
        <is>
          <t>name_year</t>
        </is>
      </c>
      <c r="AC273" s="2" t="inlineStr"/>
      <c r="AD273" s="2" t="inlineStr">
        <is>
          <t>Poonam Lata v. M.L. Wadhawan and Others (1987) was overruled by Sunil Fulchand Shah v. Union of India and Others (2000).</t>
        </is>
      </c>
      <c r="AE273" s="2" t="n"/>
      <c r="AF273" s="11" t="inlineStr">
        <is>
          <t>created from list 1</t>
        </is>
      </c>
    </row>
    <row r="274">
      <c r="A274" s="11" t="inlineStr">
        <is>
          <t>L1-0273</t>
        </is>
      </c>
      <c r="B274" s="11" t="inlineStr">
        <is>
          <t>List 1 (to ~2015)</t>
        </is>
      </c>
      <c r="C274" s="11" t="inlineStr">
        <is>
          <t>list1</t>
        </is>
      </c>
      <c r="D274" s="11" t="inlineStr">
        <is>
          <t>verified</t>
        </is>
      </c>
      <c r="E274" s="11" t="inlineStr">
        <is>
          <t>overruled</t>
        </is>
      </c>
      <c r="F274" s="2" t="inlineStr">
        <is>
          <t>State of Maharashtra and another v. Prabhakar Bhikaji Ingle</t>
        </is>
      </c>
      <c r="G274" s="11" t="inlineStr"/>
      <c r="H274" s="11" t="inlineStr">
        <is>
          <t>Supreme Court</t>
        </is>
      </c>
      <c r="I274" s="2" t="inlineStr">
        <is>
          <t>(1996) 3 AD 296; AIR 1996 SC 3069; (1996) 1 CTC 523; (1996) 73 FLR 1009; (1996) 3 JT 567; (1996) 2 LLJ 430; (1996) 3 SCALE 7; (1996) 3 SCC 463; (1996) 3 SCR 211; (1996) 2 UJ 100</t>
        </is>
      </c>
      <c r="J274" s="11" t="n">
        <v>1996</v>
      </c>
      <c r="K274" s="2" t="inlineStr">
        <is>
          <t>Kunhayammed and Others v. State of Kerala and Another</t>
        </is>
      </c>
      <c r="L274" s="11" t="inlineStr">
        <is>
          <t>Supreme Court</t>
        </is>
      </c>
      <c r="M274" s="2" t="inlineStr">
        <is>
          <t>AIR 2000 SC 2587; (2000) 162 CTR 97; (2000) 72 ECC 681; (2001) 129 ELT 11; (2000) 245 ITR 360; (2000) 9 JT 110; (2000) 5 SCALE 167; (2000) 6 SCC 359; (2000) 1 SCR 538 Supp; (2000) 119 STC 505; (2000) 113 TAXMAN 470; (2000) 2 UJ 1158; (2000) AIRSCW 4641; (2000) AIRSCW 4557; (2000) AIRSCW 2608; (2000) 8 Supreme 202; (2000) 5 Supreme 181; (2000) 7 Supreme 70</t>
        </is>
      </c>
      <c r="N274" s="11" t="n">
        <v>2000</v>
      </c>
      <c r="O274" s="11" t="n"/>
      <c r="P274" s="11" t="n"/>
      <c r="Q274" s="11" t="n"/>
      <c r="R274" s="2" t="n"/>
      <c r="S274" s="2" t="n"/>
      <c r="T274" s="11" t="inlineStr"/>
      <c r="U274" s="11" t="inlineStr"/>
      <c r="V274" s="11" t="inlineStr">
        <is>
          <t>outside_list</t>
        </is>
      </c>
      <c r="W274" s="11" t="n"/>
      <c r="X274" s="11" t="n"/>
      <c r="Y274" s="11" t="n"/>
      <c r="Z274" s="11" t="inlineStr">
        <is>
          <t>Mr. Advocate</t>
        </is>
      </c>
      <c r="AA274" s="11" t="inlineStr">
        <is>
          <t>2026-10-07</t>
        </is>
      </c>
      <c r="AB274" s="11" t="inlineStr">
        <is>
          <t>name_year</t>
        </is>
      </c>
      <c r="AC274" s="2" t="inlineStr"/>
      <c r="AD274" s="2" t="inlineStr">
        <is>
          <t>State of Maharashtra and another v. Prabhakar Bhikaji Ingle (1996) was overruled by Kunhayammed and Others v. State of Kerala and Another (2000).</t>
        </is>
      </c>
      <c r="AE274" s="2" t="n"/>
      <c r="AF274" s="11" t="inlineStr">
        <is>
          <t>created from list 1</t>
        </is>
      </c>
    </row>
    <row r="275">
      <c r="A275" s="11" t="inlineStr">
        <is>
          <t>L1-0274</t>
        </is>
      </c>
      <c r="B275" s="11" t="inlineStr">
        <is>
          <t>List 1 (to ~2015)</t>
        </is>
      </c>
      <c r="C275" s="11" t="inlineStr">
        <is>
          <t>list1</t>
        </is>
      </c>
      <c r="D275" s="11" t="inlineStr">
        <is>
          <t>verified</t>
        </is>
      </c>
      <c r="E275" s="11" t="inlineStr">
        <is>
          <t>overruled</t>
        </is>
      </c>
      <c r="F275" s="2" t="inlineStr">
        <is>
          <t>Union of India and Another v. Madhav Gajanan Chaubal and Another</t>
        </is>
      </c>
      <c r="G275" s="11" t="inlineStr"/>
      <c r="H275" s="11" t="inlineStr">
        <is>
          <t>Supreme Court</t>
        </is>
      </c>
      <c r="I275" s="2" t="inlineStr">
        <is>
          <t>(1996) 8 AD 46; AIR 1997 SC 3074; (1997) 75 FLR 417; (1996) 9 JT 320; (1997) 1 LLJ 977; (1996) 7 SCALE 494; (1997) 2 SCC 332; (1996) 6 SCR 503 Supp; (1997) 1 SLJ 100; (1997) AIRSCW 3113; (1996) 7 Supreme 537</t>
        </is>
      </c>
      <c r="J275" s="11" t="n">
        <v>1997</v>
      </c>
      <c r="K275" s="2" t="inlineStr">
        <is>
          <t>Post Graduate Institute of Medical Education and Research, Chandigarh v. Faculty Association and Others</t>
        </is>
      </c>
      <c r="L275" s="11" t="inlineStr">
        <is>
          <t>Supreme Court</t>
        </is>
      </c>
      <c r="M275" s="2" t="inlineStr">
        <is>
          <t>(1998) 4 AD 70; AIR 1998 SC 1767; (1998) 3 CTC 413; (1998) 3 JT 223; (1998) 2 SCALE 772; (1998) 4 SCC 1; (1998) SCC(L&amp;S) 961; (1998) 2 SCR 845; (1998) AIRSCW 1553; (1998) 4 Supreme 110</t>
        </is>
      </c>
      <c r="N275" s="11" t="n">
        <v>1998</v>
      </c>
      <c r="O275" s="11" t="n"/>
      <c r="P275" s="11" t="n"/>
      <c r="Q275" s="11" t="n"/>
      <c r="R275" s="2" t="n"/>
      <c r="S275" s="2" t="n"/>
      <c r="T275" s="11" t="inlineStr"/>
      <c r="U275" s="11" t="inlineStr"/>
      <c r="V275" s="11" t="inlineStr">
        <is>
          <t>outside_list</t>
        </is>
      </c>
      <c r="W275" s="11" t="n"/>
      <c r="X275" s="11" t="n"/>
      <c r="Y275" s="11" t="n"/>
      <c r="Z275" s="11" t="inlineStr">
        <is>
          <t>Mr. Advocate</t>
        </is>
      </c>
      <c r="AA275" s="11" t="inlineStr">
        <is>
          <t>2026-10-07</t>
        </is>
      </c>
      <c r="AB275" s="11" t="inlineStr">
        <is>
          <t>name_year</t>
        </is>
      </c>
      <c r="AC275" s="2" t="inlineStr"/>
      <c r="AD275" s="2" t="inlineStr">
        <is>
          <t>Union of India and Another v. Madhav Gajanan Chaubal and Another (1997) was overruled by Post Graduate Institute of Medical Education and Research, Chandigarh v. Faculty Association and Others (1998).</t>
        </is>
      </c>
      <c r="AE275" s="2" t="n"/>
      <c r="AF275" s="11" t="inlineStr">
        <is>
          <t>created from list 1</t>
        </is>
      </c>
    </row>
    <row r="276">
      <c r="A276" s="11" t="inlineStr">
        <is>
          <t>L1-0275</t>
        </is>
      </c>
      <c r="B276" s="11" t="inlineStr">
        <is>
          <t>List 1 (to ~2015)</t>
        </is>
      </c>
      <c r="C276" s="11" t="inlineStr">
        <is>
          <t>list1</t>
        </is>
      </c>
      <c r="D276" s="11" t="inlineStr">
        <is>
          <t>verified</t>
        </is>
      </c>
      <c r="E276" s="11" t="inlineStr">
        <is>
          <t>overruled</t>
        </is>
      </c>
      <c r="F276" s="2" t="inlineStr">
        <is>
          <t>Smt. Ram Rati v. Saroj Devi and others</t>
        </is>
      </c>
      <c r="G276" s="11" t="inlineStr"/>
      <c r="H276" s="11" t="inlineStr">
        <is>
          <t>Supreme Court</t>
        </is>
      </c>
      <c r="I276" s="2" t="inlineStr">
        <is>
          <t>AIR 1997 SC 3072; (1997) 2 CTC 753; (1997) 5 JT 601; (1997) 4 SCALE 307; (1997) 6 SCC 66; (1997) 3 SCR 1050; (1997) AIRSCW 3111; (1997) 6 Supreme 6</t>
        </is>
      </c>
      <c r="J276" s="11" t="n">
        <v>1997</v>
      </c>
      <c r="K276" s="2" t="inlineStr">
        <is>
          <t>Sohan Lal v. Babu Gandhi and Others</t>
        </is>
      </c>
      <c r="L276" s="11" t="inlineStr">
        <is>
          <t>Supreme Court</t>
        </is>
      </c>
      <c r="M276" s="2" t="inlineStr">
        <is>
          <t>AIR 2003 SC 320; (2002) 9 JT 474; (2003) 1 SCC 108; (2003) 1 UJ 75</t>
        </is>
      </c>
      <c r="N276" s="11" t="n">
        <v>2003</v>
      </c>
      <c r="O276" s="11" t="n"/>
      <c r="P276" s="11" t="n"/>
      <c r="Q276" s="11" t="n"/>
      <c r="R276" s="2" t="n"/>
      <c r="S276" s="2" t="n"/>
      <c r="T276" s="11" t="inlineStr"/>
      <c r="U276" s="11" t="inlineStr"/>
      <c r="V276" s="11" t="inlineStr">
        <is>
          <t>outside_list</t>
        </is>
      </c>
      <c r="W276" s="11" t="n"/>
      <c r="X276" s="11" t="n"/>
      <c r="Y276" s="11" t="n"/>
      <c r="Z276" s="11" t="inlineStr">
        <is>
          <t>Mr. Advocate</t>
        </is>
      </c>
      <c r="AA276" s="11" t="inlineStr">
        <is>
          <t>2026-10-07</t>
        </is>
      </c>
      <c r="AB276" s="11" t="inlineStr">
        <is>
          <t>name_year</t>
        </is>
      </c>
      <c r="AC276" s="2" t="inlineStr"/>
      <c r="AD276" s="2" t="inlineStr">
        <is>
          <t>Smt. Ram Rati v. Saroj Devi and others (1997) was overruled by Sohan Lal v. Babu Gandhi and Others (2003).</t>
        </is>
      </c>
      <c r="AE276" s="2" t="n"/>
      <c r="AF276" s="11" t="inlineStr">
        <is>
          <t>created from list 1</t>
        </is>
      </c>
    </row>
    <row r="277">
      <c r="A277" s="11" t="inlineStr">
        <is>
          <t>L1-0276</t>
        </is>
      </c>
      <c r="B277" s="11" t="inlineStr">
        <is>
          <t>List 1 (to ~2015)</t>
        </is>
      </c>
      <c r="C277" s="11" t="inlineStr">
        <is>
          <t>list1</t>
        </is>
      </c>
      <c r="D277" s="11" t="inlineStr">
        <is>
          <t>verified</t>
        </is>
      </c>
      <c r="E277" s="11" t="inlineStr">
        <is>
          <t>overruled</t>
        </is>
      </c>
      <c r="F277" s="2" t="inlineStr">
        <is>
          <t>Rajasthan State Road Transport Corporation and Another v. Krishna Kant and Others</t>
        </is>
      </c>
      <c r="G277" s="11" t="inlineStr"/>
      <c r="H277" s="11" t="inlineStr">
        <is>
          <t>Supreme Court</t>
        </is>
      </c>
      <c r="I277" s="2" t="inlineStr">
        <is>
          <t>AIR 1995 SC 1715; (1995) 2 CTC 208; (1995) 71 FLR 211; (1995) 4 JT 348; (1995) 2 LLJ 728; (1995) 3 SCALE 440; (1995) 5 SCC 75; (1994) 1 SCC 268 Supp; (1995) 3 SCR 1118; (1995) 2 UJ 318</t>
        </is>
      </c>
      <c r="J277" s="11" t="n">
        <v>1995</v>
      </c>
      <c r="K277" s="2" t="inlineStr">
        <is>
          <t>Rajasthan State Road Transport Corporation and Another v. Bal Mukund Bairwa</t>
        </is>
      </c>
      <c r="L277" s="11" t="inlineStr">
        <is>
          <t>Supreme Court</t>
        </is>
      </c>
      <c r="M277" s="2" t="inlineStr">
        <is>
          <t>(2009) 121 FLR 603; (2009) 2 JT 423; (2009) 3 LLJ 177; (2009) 2 SCALE 428; (2009) 4 SCC 299; (2009) 1 SCC(L&amp;S) 439; (2009) 2 SCR 161</t>
        </is>
      </c>
      <c r="N277" s="11" t="n">
        <v>2009</v>
      </c>
      <c r="O277" s="11" t="n"/>
      <c r="P277" s="11" t="n"/>
      <c r="Q277" s="11" t="n"/>
      <c r="R277" s="2" t="n"/>
      <c r="S277" s="2" t="n"/>
      <c r="T277" s="11" t="inlineStr"/>
      <c r="U277" s="11" t="inlineStr"/>
      <c r="V277" s="11" t="inlineStr">
        <is>
          <t>outside_list</t>
        </is>
      </c>
      <c r="W277" s="11" t="n"/>
      <c r="X277" s="11" t="n"/>
      <c r="Y277" s="11" t="n"/>
      <c r="Z277" s="11" t="inlineStr">
        <is>
          <t>Mr. Advocate</t>
        </is>
      </c>
      <c r="AA277" s="11" t="inlineStr">
        <is>
          <t>2026-10-07</t>
        </is>
      </c>
      <c r="AB277" s="11" t="inlineStr">
        <is>
          <t>name_year</t>
        </is>
      </c>
      <c r="AC277" s="2" t="inlineStr"/>
      <c r="AD277" s="2" t="inlineStr">
        <is>
          <t>Rajasthan State Road Transport Corporation and Another v. Krishna Kant and Others (1995) was overruled by Rajasthan State Road Transport Corporation and Another v. Bal Mukund Bairwa (2009).</t>
        </is>
      </c>
      <c r="AE277" s="2" t="n"/>
      <c r="AF277" s="11" t="inlineStr">
        <is>
          <t>created from list 1</t>
        </is>
      </c>
    </row>
    <row r="278">
      <c r="A278" s="11" t="inlineStr">
        <is>
          <t>L1-0277</t>
        </is>
      </c>
      <c r="B278" s="11" t="inlineStr">
        <is>
          <t>List 1 (to ~2015)</t>
        </is>
      </c>
      <c r="C278" s="11" t="inlineStr">
        <is>
          <t>list1</t>
        </is>
      </c>
      <c r="D278" s="11" t="inlineStr">
        <is>
          <t>verified</t>
        </is>
      </c>
      <c r="E278" s="11" t="inlineStr">
        <is>
          <t>overruled</t>
        </is>
      </c>
      <c r="F278" s="2" t="inlineStr">
        <is>
          <t>Gowali Charan v. Surendra Kumar Khandani and Others</t>
        </is>
      </c>
      <c r="G278" s="11" t="inlineStr"/>
      <c r="H278" s="11" t="inlineStr">
        <is>
          <t>Supreme Court</t>
        </is>
      </c>
      <c r="I278" s="2" t="inlineStr">
        <is>
          <t>(1987) 1 JT 625; (1987) 1 SCC 578 Supp; (1987) SCC 578 Supp</t>
        </is>
      </c>
      <c r="J278" s="11" t="n">
        <v>1987</v>
      </c>
      <c r="K278" s="2" t="inlineStr">
        <is>
          <t>Balwant Singh and Others v. Anand Kumar Sharma and Others</t>
        </is>
      </c>
      <c r="L278" s="11" t="inlineStr">
        <is>
          <t>Supreme Court</t>
        </is>
      </c>
      <c r="M278" s="2" t="inlineStr">
        <is>
          <t>AIR 2003 SC 1637; (2003) 2 SCALE 71; (2003) 3 SCC 433; (2003) 1 SCR 653; (2003) AIRSCW 1031; (2003) 2 Supreme 182</t>
        </is>
      </c>
      <c r="N278" s="11" t="n">
        <v>2003</v>
      </c>
      <c r="O278" s="11" t="n"/>
      <c r="P278" s="11" t="n"/>
      <c r="Q278" s="11" t="n"/>
      <c r="R278" s="2" t="n"/>
      <c r="S278" s="2" t="n"/>
      <c r="T278" s="11" t="inlineStr"/>
      <c r="U278" s="11" t="inlineStr"/>
      <c r="V278" s="11" t="inlineStr">
        <is>
          <t>outside_list</t>
        </is>
      </c>
      <c r="W278" s="11" t="n"/>
      <c r="X278" s="11" t="n"/>
      <c r="Y278" s="11" t="n"/>
      <c r="Z278" s="11" t="inlineStr">
        <is>
          <t>Mr. Advocate</t>
        </is>
      </c>
      <c r="AA278" s="11" t="inlineStr">
        <is>
          <t>2026-10-07</t>
        </is>
      </c>
      <c r="AB278" s="11" t="inlineStr">
        <is>
          <t>name_year</t>
        </is>
      </c>
      <c r="AC278" s="2" t="inlineStr"/>
      <c r="AD278" s="2" t="inlineStr">
        <is>
          <t>Gowali Charan v. Surendra Kumar Khandani and Others (1987) was overruled by Balwant Singh and Others v. Anand Kumar Sharma and Others (2003).</t>
        </is>
      </c>
      <c r="AE278" s="2" t="n"/>
      <c r="AF278" s="11" t="inlineStr">
        <is>
          <t>created from list 1</t>
        </is>
      </c>
    </row>
    <row r="279">
      <c r="A279" s="11" t="inlineStr">
        <is>
          <t>L1-0278</t>
        </is>
      </c>
      <c r="B279" s="11" t="inlineStr">
        <is>
          <t>List 1 (to ~2015)</t>
        </is>
      </c>
      <c r="C279" s="11" t="inlineStr">
        <is>
          <t>list1</t>
        </is>
      </c>
      <c r="D279" s="11" t="inlineStr">
        <is>
          <t>verified</t>
        </is>
      </c>
      <c r="E279" s="11" t="inlineStr">
        <is>
          <t>overruled</t>
        </is>
      </c>
      <c r="F279" s="2" t="inlineStr">
        <is>
          <t>Bombay Telephone Canteen Employees’ Association, Prabhadevi Telephone Exchange v. Union of India and another</t>
        </is>
      </c>
      <c r="G279" s="11" t="inlineStr"/>
      <c r="H279" s="11" t="inlineStr">
        <is>
          <t>Supreme Court</t>
        </is>
      </c>
      <c r="I279" s="2" t="inlineStr">
        <is>
          <t>AIR 1997 SC 2817; (1997) 6 JT 57; (1997) 2 LLJ 647; (1997) 4 SCALE 483; (1997) 6 SCC 723; (1998) SCC(L&amp;S) 386; (1997) 2 SCR 1 Supp; (1997) 2 UJ 171; (1997) AIRSCW 2819; (1997) 6 Supreme 285</t>
        </is>
      </c>
      <c r="J279" s="11" t="n">
        <v>1997</v>
      </c>
      <c r="K279" s="2" t="inlineStr">
        <is>
          <t>General Manager, Telecom v. A. Srinivasa Rao and Others</t>
        </is>
      </c>
      <c r="L279" s="11" t="inlineStr">
        <is>
          <t>Supreme Court</t>
        </is>
      </c>
      <c r="M279" s="2" t="inlineStr">
        <is>
          <t>AIR 1998 SC 656; (1997) 9 JT 234; (1997) 7 SCALE 99; (1997) 8 SCC 767; (1998) SCC(L&amp;S) 6; (1997) 5 SCR 212 Supp; (1998) 1 UJ 142; (1998) AIRSCW 270; (1997) 9 Supreme 469</t>
        </is>
      </c>
      <c r="N279" s="11" t="n">
        <v>1998</v>
      </c>
      <c r="O279" s="11" t="n"/>
      <c r="P279" s="11" t="n"/>
      <c r="Q279" s="11" t="n"/>
      <c r="R279" s="2" t="n"/>
      <c r="S279" s="2" t="n"/>
      <c r="T279" s="11" t="inlineStr"/>
      <c r="U279" s="11" t="inlineStr"/>
      <c r="V279" s="11" t="inlineStr">
        <is>
          <t>outside_list</t>
        </is>
      </c>
      <c r="W279" s="11" t="n"/>
      <c r="X279" s="11" t="n"/>
      <c r="Y279" s="11" t="n"/>
      <c r="Z279" s="11" t="inlineStr">
        <is>
          <t>Mr. Advocate</t>
        </is>
      </c>
      <c r="AA279" s="11" t="inlineStr">
        <is>
          <t>2026-10-07</t>
        </is>
      </c>
      <c r="AB279" s="11" t="inlineStr">
        <is>
          <t>name_year</t>
        </is>
      </c>
      <c r="AC279" s="2" t="inlineStr"/>
      <c r="AD279" s="2" t="inlineStr">
        <is>
          <t>Bombay Telephone Canteen Employees’ Association, Prabhadevi Telephone Exchange v. Union of India and another (1997) was overruled by General Manager, Telecom v. A. Srinivasa Rao and Others (1998).</t>
        </is>
      </c>
      <c r="AE279" s="2" t="n"/>
      <c r="AF279" s="11" t="inlineStr">
        <is>
          <t>created from list 1</t>
        </is>
      </c>
    </row>
    <row r="280">
      <c r="A280" s="11" t="inlineStr">
        <is>
          <t>L1-0279</t>
        </is>
      </c>
      <c r="B280" s="11" t="inlineStr">
        <is>
          <t>List 1 (to ~2015)</t>
        </is>
      </c>
      <c r="C280" s="11" t="inlineStr">
        <is>
          <t>list1</t>
        </is>
      </c>
      <c r="D280" s="11" t="inlineStr">
        <is>
          <t>verified</t>
        </is>
      </c>
      <c r="E280" s="11" t="inlineStr">
        <is>
          <t>overruled</t>
        </is>
      </c>
      <c r="F280" s="2" t="inlineStr">
        <is>
          <t>Official Liquidator, High Court, Calcutta v. Commissioner of Income Tax, West Bengal</t>
        </is>
      </c>
      <c r="G280" s="11" t="inlineStr"/>
      <c r="H280" s="11" t="inlineStr">
        <is>
          <t>Calcutta</t>
        </is>
      </c>
      <c r="I280" s="2" t="inlineStr">
        <is>
          <t>AIR 1970 Cal 349; (1971) 41 CompCas 477; (1972) 2 ILR (Cal) 14; (1971) 80 ITR 108</t>
        </is>
      </c>
      <c r="J280" s="11" t="n">
        <v>1970</v>
      </c>
      <c r="K280" s="2" t="inlineStr">
        <is>
          <t>Imperial Chit Funds (P) Ltd. v. Income Tax Officer, Ernakulam</t>
        </is>
      </c>
      <c r="L280" s="11" t="inlineStr">
        <is>
          <t>Supreme Court</t>
        </is>
      </c>
      <c r="M280" s="2" t="inlineStr">
        <is>
          <t>(1996) 3 AD 488; AIR 1996 SC 1887; (1996) 1 BC 659; (1996) 86 CompCas 555; (1996) 133 CTR 505; (1996) 219 ITR 498; (1996) 3 JT 410; (1996) 3 SCALE 20; (1996) 8 SCC 303; (1996) 3 SCR 640</t>
        </is>
      </c>
      <c r="N280" s="11" t="n">
        <v>1996</v>
      </c>
      <c r="O280" s="11" t="n"/>
      <c r="P280" s="11" t="n"/>
      <c r="Q280" s="11" t="n"/>
      <c r="R280" s="2" t="n"/>
      <c r="S280" s="2" t="n"/>
      <c r="T280" s="11" t="inlineStr"/>
      <c r="U280" s="11" t="inlineStr"/>
      <c r="V280" s="11" t="inlineStr">
        <is>
          <t>outside_list</t>
        </is>
      </c>
      <c r="W280" s="11" t="n"/>
      <c r="X280" s="11" t="n"/>
      <c r="Y280" s="11" t="n"/>
      <c r="Z280" s="11" t="inlineStr">
        <is>
          <t>Mr. Advocate</t>
        </is>
      </c>
      <c r="AA280" s="11" t="inlineStr">
        <is>
          <t>2026-10-07</t>
        </is>
      </c>
      <c r="AB280" s="11" t="inlineStr">
        <is>
          <t>name_year</t>
        </is>
      </c>
      <c r="AC280" s="2" t="inlineStr"/>
      <c r="AD280" s="2" t="inlineStr">
        <is>
          <t>Official Liquidator, High Court, Calcutta v. Commissioner of Income Tax, West Bengal (1970) was overruled by Imperial Chit Funds (P) Ltd. v. Income Tax Officer, Ernakulam (1996).</t>
        </is>
      </c>
      <c r="AE280" s="2" t="n"/>
      <c r="AF280" s="11" t="inlineStr">
        <is>
          <t>created from list 1</t>
        </is>
      </c>
    </row>
    <row r="281">
      <c r="A281" s="11" t="inlineStr">
        <is>
          <t>L1-0280</t>
        </is>
      </c>
      <c r="B281" s="11" t="inlineStr">
        <is>
          <t>List 1 (to ~2015)</t>
        </is>
      </c>
      <c r="C281" s="11" t="inlineStr">
        <is>
          <t>list1</t>
        </is>
      </c>
      <c r="D281" s="11" t="inlineStr">
        <is>
          <t>verified</t>
        </is>
      </c>
      <c r="E281" s="11" t="inlineStr">
        <is>
          <t>overruled</t>
        </is>
      </c>
      <c r="F281" s="2" t="inlineStr">
        <is>
          <t>P.R. Nayak v. Union of India (UOI)</t>
        </is>
      </c>
      <c r="G281" s="11" t="inlineStr"/>
      <c r="H281" s="11" t="inlineStr">
        <is>
          <t>Supreme Court</t>
        </is>
      </c>
      <c r="I281" s="2" t="inlineStr">
        <is>
          <t>AIR 1972 SC 554; (1972) LabIC 313; (1972) 1 LLJ 535; (1972) 1 SCC 332; (1972) 2 SCR 695</t>
        </is>
      </c>
      <c r="J281" s="11" t="n">
        <v>1972</v>
      </c>
      <c r="K281" s="2" t="inlineStr">
        <is>
          <t>The Government of India, Ministry of Home Affairs and Others v. Tarak Nath Ghosh</t>
        </is>
      </c>
      <c r="L281" s="11" t="inlineStr">
        <is>
          <t>Supreme Court</t>
        </is>
      </c>
      <c r="M281" s="2" t="inlineStr">
        <is>
          <t>AIR 1971 SC 823; (1971) LabIC 487; (1971) 1 LLJ 299; (1971) 1 SCC 734; (1971) 3 SCR 715</t>
        </is>
      </c>
      <c r="N281" s="11" t="n">
        <v>1971</v>
      </c>
      <c r="O281" s="11" t="n"/>
      <c r="P281" s="11" t="n"/>
      <c r="Q281" s="11" t="n"/>
      <c r="R281" s="2" t="n"/>
      <c r="S281" s="2" t="n"/>
      <c r="T281" s="11" t="inlineStr"/>
      <c r="U281" s="11" t="inlineStr">
        <is>
          <t>year_order_check</t>
        </is>
      </c>
      <c r="V281" s="11" t="inlineStr">
        <is>
          <t>outside_list</t>
        </is>
      </c>
      <c r="W281" s="11" t="n"/>
      <c r="X281" s="11" t="n"/>
      <c r="Y281" s="11" t="n"/>
      <c r="Z281" s="11" t="inlineStr">
        <is>
          <t>Mr. Advocate</t>
        </is>
      </c>
      <c r="AA281" s="11" t="inlineStr">
        <is>
          <t>2026-10-07</t>
        </is>
      </c>
      <c r="AB281" s="11" t="inlineStr">
        <is>
          <t>name_year</t>
        </is>
      </c>
      <c r="AC281" s="2" t="inlineStr">
        <is>
          <t>L1-0691: overruled by State of Orissa v. Bimal Kumar Mohanty (1994)</t>
        </is>
      </c>
      <c r="AD281" s="2" t="inlineStr">
        <is>
          <t>P.R. Nayak v. Union of India (UOI) (1972) was overruled by The Government of India, Ministry of Home Affairs and Others v. Tarak Nath Ghosh (1971). Note: The Government of India, Ministry of Home Affairs and Others v. Tarak Nath Ghosh was itself later overruled by State of Orissa v. Bimal Kumar Mohanty (1994); the current position should be checked.</t>
        </is>
      </c>
      <c r="AE281" s="2" t="n"/>
      <c r="AF281" s="11" t="inlineStr">
        <is>
          <t>created from list 1</t>
        </is>
      </c>
    </row>
    <row r="282">
      <c r="A282" s="11" t="inlineStr">
        <is>
          <t>L1-0281</t>
        </is>
      </c>
      <c r="B282" s="11" t="inlineStr">
        <is>
          <t>List 1 (to ~2015)</t>
        </is>
      </c>
      <c r="C282" s="11" t="inlineStr">
        <is>
          <t>list1</t>
        </is>
      </c>
      <c r="D282" s="11" t="inlineStr">
        <is>
          <t>verified</t>
        </is>
      </c>
      <c r="E282" s="11" t="inlineStr">
        <is>
          <t>overruled</t>
        </is>
      </c>
      <c r="F282" s="2" t="inlineStr">
        <is>
          <t>A.P. State Road Transport Corporation, Hyderabad v. P. Venkaiah and others</t>
        </is>
      </c>
      <c r="G282" s="11" t="inlineStr"/>
      <c r="H282" s="11" t="inlineStr">
        <is>
          <t>Supreme Court</t>
        </is>
      </c>
      <c r="I282" s="2" t="inlineStr">
        <is>
          <t>AIR 1997 SC 2600; (1997) 5 JT 362; (1997) 4 SCALE 154; (1997) 10 SCC 128; (1997) 3 SCR 1054; (1997) AIRSCW 2556; (1997) 4 Supreme 606</t>
        </is>
      </c>
      <c r="J282" s="11" t="n">
        <v>1997</v>
      </c>
      <c r="K282" s="2" t="inlineStr">
        <is>
          <t>Cement Corporation of India Ltd. v. Purya and Others</t>
        </is>
      </c>
      <c r="L282" s="11" t="inlineStr">
        <is>
          <t>unknown</t>
        </is>
      </c>
      <c r="M282" s="2" t="inlineStr">
        <is>
          <t>(2004) 8 JT 327; (2004) 8 SCALE 558; (2004) 8 SCC 270; (2004) AIRSCW 5534; (2004) 7 Supreme 711</t>
        </is>
      </c>
      <c r="N282" s="11" t="n">
        <v>2004</v>
      </c>
      <c r="O282" s="11" t="n"/>
      <c r="P282" s="11" t="n"/>
      <c r="Q282" s="11" t="n"/>
      <c r="R282" s="2" t="n"/>
      <c r="S282" s="2" t="n"/>
      <c r="T282" s="11" t="inlineStr"/>
      <c r="U282" s="11" t="inlineStr"/>
      <c r="V282" s="11" t="inlineStr">
        <is>
          <t>outside_list</t>
        </is>
      </c>
      <c r="W282" s="11" t="n"/>
      <c r="X282" s="11" t="n"/>
      <c r="Y282" s="11" t="n"/>
      <c r="Z282" s="11" t="inlineStr">
        <is>
          <t>Mr. Advocate</t>
        </is>
      </c>
      <c r="AA282" s="11" t="inlineStr">
        <is>
          <t>2026-10-07</t>
        </is>
      </c>
      <c r="AB282" s="11" t="inlineStr">
        <is>
          <t>name_year</t>
        </is>
      </c>
      <c r="AC282" s="2" t="inlineStr"/>
      <c r="AD282" s="2" t="inlineStr">
        <is>
          <t>A.P. State Road Transport Corporation, Hyderabad v. P. Venkaiah and others (1997) was overruled by Cement Corporation of India Ltd. v. Purya and Others (2004).</t>
        </is>
      </c>
      <c r="AE282" s="2" t="n"/>
      <c r="AF282" s="11" t="inlineStr">
        <is>
          <t>created from list 1</t>
        </is>
      </c>
    </row>
    <row r="283">
      <c r="A283" s="11" t="inlineStr">
        <is>
          <t>L1-0282</t>
        </is>
      </c>
      <c r="B283" s="11" t="inlineStr">
        <is>
          <t>List 1 (to ~2015)</t>
        </is>
      </c>
      <c r="C283" s="11" t="inlineStr">
        <is>
          <t>list1</t>
        </is>
      </c>
      <c r="D283" s="11" t="inlineStr">
        <is>
          <t>verified</t>
        </is>
      </c>
      <c r="E283" s="11" t="inlineStr">
        <is>
          <t>overruled</t>
        </is>
      </c>
      <c r="F283" s="2" t="inlineStr">
        <is>
          <t>Ratan Lal Shinghal v. Smt. Murti Devi</t>
        </is>
      </c>
      <c r="G283" s="11" t="inlineStr"/>
      <c r="H283" s="11" t="inlineStr">
        <is>
          <t>Supreme Court</t>
        </is>
      </c>
      <c r="I283" s="2" t="inlineStr">
        <is>
          <t>AIR 1980 SC 635; (1980) 4 SCC 258</t>
        </is>
      </c>
      <c r="J283" s="11" t="n">
        <v>1980</v>
      </c>
      <c r="K283" s="2" t="inlineStr">
        <is>
          <t>Om Prakash Gupta v. Dig Vijendrapal Gupta</t>
        </is>
      </c>
      <c r="L283" s="11" t="inlineStr">
        <is>
          <t>Supreme Court</t>
        </is>
      </c>
      <c r="M283" s="2" t="inlineStr">
        <is>
          <t>AIR 1982 SC 1230(2); (1982) 1 SCALE 153; (1982) 2 SCC 61; (1982) 3 SCR 491; (1982) 14 UJ 213</t>
        </is>
      </c>
      <c r="N283" s="11" t="n">
        <v>1982</v>
      </c>
      <c r="O283" s="11" t="n"/>
      <c r="P283" s="11" t="n"/>
      <c r="Q283" s="11" t="n"/>
      <c r="R283" s="2" t="n"/>
      <c r="S283" s="2" t="n"/>
      <c r="T283" s="11" t="inlineStr"/>
      <c r="U283" s="11" t="inlineStr"/>
      <c r="V283" s="11" t="inlineStr">
        <is>
          <t>outside_list</t>
        </is>
      </c>
      <c r="W283" s="11" t="n"/>
      <c r="X283" s="11" t="n"/>
      <c r="Y283" s="11" t="n"/>
      <c r="Z283" s="11" t="inlineStr">
        <is>
          <t>Mr. Advocate</t>
        </is>
      </c>
      <c r="AA283" s="11" t="inlineStr">
        <is>
          <t>2026-10-07</t>
        </is>
      </c>
      <c r="AB283" s="11" t="inlineStr">
        <is>
          <t>name_year</t>
        </is>
      </c>
      <c r="AC283" s="2" t="inlineStr"/>
      <c r="AD283" s="2" t="inlineStr">
        <is>
          <t>Ratan Lal Shinghal v. Smt. Murti Devi (1980) was overruled by Om Prakash Gupta v. Dig Vijendrapal Gupta (1982).</t>
        </is>
      </c>
      <c r="AE283" s="2" t="n"/>
      <c r="AF283" s="11" t="inlineStr">
        <is>
          <t>created from list 1</t>
        </is>
      </c>
    </row>
    <row r="284">
      <c r="A284" s="11" t="inlineStr">
        <is>
          <t>L1-0283</t>
        </is>
      </c>
      <c r="B284" s="11" t="inlineStr">
        <is>
          <t>List 1 (to ~2015)</t>
        </is>
      </c>
      <c r="C284" s="11" t="inlineStr">
        <is>
          <t>list1</t>
        </is>
      </c>
      <c r="D284" s="11" t="inlineStr">
        <is>
          <t>verified</t>
        </is>
      </c>
      <c r="E284" s="11" t="inlineStr">
        <is>
          <t>overruled</t>
        </is>
      </c>
      <c r="F284" s="2" t="inlineStr">
        <is>
          <t>Rev. Sidhajbhai Sabhai and Others v. State of Bombay and Another</t>
        </is>
      </c>
      <c r="G284" s="11" t="inlineStr"/>
      <c r="H284" s="11" t="inlineStr">
        <is>
          <t>Supreme Court</t>
        </is>
      </c>
      <c r="I284" s="2" t="inlineStr">
        <is>
          <t>(1963) 3 SCR 837</t>
        </is>
      </c>
      <c r="J284" s="11" t="n">
        <v>1963</v>
      </c>
      <c r="K284" s="2" t="inlineStr">
        <is>
          <t>T.M.A. Pai Foundation and Others v. State of Karnataka and Others</t>
        </is>
      </c>
      <c r="L284" s="11" t="inlineStr">
        <is>
          <t>Supreme Court</t>
        </is>
      </c>
      <c r="M284" s="2" t="inlineStr">
        <is>
          <t>AIR 2003 SC 355; (2002) 9 JT 1; (2002) 8 SCC 481</t>
        </is>
      </c>
      <c r="N284" s="11" t="n">
        <v>2003</v>
      </c>
      <c r="O284" s="11" t="n"/>
      <c r="P284" s="11" t="n"/>
      <c r="Q284" s="11" t="n"/>
      <c r="R284" s="2" t="n"/>
      <c r="S284" s="2" t="n"/>
      <c r="T284" s="11" t="inlineStr"/>
      <c r="U284" s="11" t="inlineStr"/>
      <c r="V284" s="11" t="inlineStr">
        <is>
          <t>outside_list</t>
        </is>
      </c>
      <c r="W284" s="11" t="n"/>
      <c r="X284" s="11" t="n"/>
      <c r="Y284" s="11" t="n"/>
      <c r="Z284" s="11" t="inlineStr">
        <is>
          <t>Mr. Advocate</t>
        </is>
      </c>
      <c r="AA284" s="11" t="inlineStr">
        <is>
          <t>2026-10-07</t>
        </is>
      </c>
      <c r="AB284" s="11" t="inlineStr">
        <is>
          <t>name_year</t>
        </is>
      </c>
      <c r="AC284" s="2" t="inlineStr"/>
      <c r="AD284" s="2" t="inlineStr">
        <is>
          <t>Rev. Sidhajbhai Sabhai and Others v. State of Bombay and Another (1963) was overruled by T.M.A. Pai Foundation and Others v. State of Karnataka and Others (2003).</t>
        </is>
      </c>
      <c r="AE284" s="2" t="n"/>
      <c r="AF284" s="11" t="inlineStr">
        <is>
          <t>created from list 1</t>
        </is>
      </c>
    </row>
    <row r="285">
      <c r="A285" s="11" t="inlineStr">
        <is>
          <t>L1-0284</t>
        </is>
      </c>
      <c r="B285" s="11" t="inlineStr">
        <is>
          <t>List 1 (to ~2015)</t>
        </is>
      </c>
      <c r="C285" s="11" t="inlineStr">
        <is>
          <t>list1</t>
        </is>
      </c>
      <c r="D285" s="11" t="inlineStr">
        <is>
          <t>verified</t>
        </is>
      </c>
      <c r="E285" s="11" t="inlineStr">
        <is>
          <t>overruled</t>
        </is>
      </c>
      <c r="F285" s="2" t="inlineStr">
        <is>
          <t>The Assistant Commissioner, Assessment-II, Bangalore and Others v. Velliappa Textiles Ltd. and Others</t>
        </is>
      </c>
      <c r="G285" s="11" t="inlineStr"/>
      <c r="H285" s="11" t="inlineStr">
        <is>
          <t>Supreme Court</t>
        </is>
      </c>
      <c r="I285" s="2" t="inlineStr">
        <is>
          <t>AIR 2004 SC 86; (2004) 1 CompLJ 21; (2004) CriLJ 1221; (2003) 184 CTR 193; (2003) 157 ELT 369; (2003) 263 ITR 550; (2003) 2 JT 99 Supp; (2003) 7 SCALE 530; (2003) 11 SCC 405; (2003) 46 SCL 808; (2003) 3 SCR 763 Supp</t>
        </is>
      </c>
      <c r="J285" s="11" t="n">
        <v>2004</v>
      </c>
      <c r="K285" s="2" t="inlineStr">
        <is>
          <t>Standard Chartered Bank and Others etc. v. Directorate of Enforcement and Others</t>
        </is>
      </c>
      <c r="L285" s="11" t="inlineStr">
        <is>
          <t>Supreme Court</t>
        </is>
      </c>
      <c r="M285" s="2" t="inlineStr">
        <is>
          <t>AIR 2005 SC 2622; (2005) 3 BC 119; (2005) 125 CompCas 513; (2005) 4 CompLJ 464; (2005) 3 CTC 39; (2005) 195 CTR 465; (2005) 100 ECC 457; (2005) 275 ITR 81; (2005) 5 JT 267; (2005) 4 SCC 530; (2005) 60 SCL 217; (2005) 1 SCR 49 Supp; (2005) AIRSCW 2829; (2005) 4 Supreme 290</t>
        </is>
      </c>
      <c r="N285" s="11" t="n">
        <v>2005</v>
      </c>
      <c r="O285" s="11" t="n"/>
      <c r="P285" s="11" t="n"/>
      <c r="Q285" s="11" t="n"/>
      <c r="R285" s="2" t="n"/>
      <c r="S285" s="2" t="n"/>
      <c r="T285" s="11" t="inlineStr"/>
      <c r="U285" s="11" t="inlineStr"/>
      <c r="V285" s="11" t="inlineStr">
        <is>
          <t>outside_list</t>
        </is>
      </c>
      <c r="W285" s="11" t="n"/>
      <c r="X285" s="11" t="n"/>
      <c r="Y285" s="11" t="n"/>
      <c r="Z285" s="11" t="inlineStr">
        <is>
          <t>Mr. Advocate</t>
        </is>
      </c>
      <c r="AA285" s="11" t="inlineStr">
        <is>
          <t>2026-10-07</t>
        </is>
      </c>
      <c r="AB285" s="11" t="inlineStr">
        <is>
          <t>name_year</t>
        </is>
      </c>
      <c r="AC285" s="2" t="inlineStr"/>
      <c r="AD285" s="2" t="inlineStr">
        <is>
          <t>The Assistant Commissioner, Assessment-II, Bangalore and Others v. Velliappa Textiles Ltd. and Others (2004) was overruled by Standard Chartered Bank and Others etc. v. Directorate of Enforcement and Others (2005).</t>
        </is>
      </c>
      <c r="AE285" s="2" t="n"/>
      <c r="AF285" s="11" t="inlineStr">
        <is>
          <t>created from list 1</t>
        </is>
      </c>
    </row>
    <row r="286">
      <c r="A286" s="11" t="inlineStr">
        <is>
          <t>L1-0285</t>
        </is>
      </c>
      <c r="B286" s="11" t="inlineStr">
        <is>
          <t>List 1 (to ~2015)</t>
        </is>
      </c>
      <c r="C286" s="11" t="inlineStr">
        <is>
          <t>list1</t>
        </is>
      </c>
      <c r="D286" s="11" t="inlineStr">
        <is>
          <t>verified</t>
        </is>
      </c>
      <c r="E286" s="11" t="inlineStr">
        <is>
          <t>overruled</t>
        </is>
      </c>
      <c r="F286" s="2" t="inlineStr">
        <is>
          <t>Laxman v. State of Maharashtra</t>
        </is>
      </c>
      <c r="G286" s="11" t="inlineStr"/>
      <c r="H286" s="11" t="inlineStr">
        <is>
          <t>Supreme Court</t>
        </is>
      </c>
      <c r="I286" s="2" t="inlineStr">
        <is>
          <t>AIR 2002 SC 2973; (2002) CriLJ 4095; (2002) 4 Crimes 42; (2002) 6 JT 313; (2002) 6 SCALE 135; (2002) 5 SCALE 418; (2002) 6 SCC 710; (2002) 1 SCR 697 Supp; (2002) 2 UJ 1363; (2002) AIRSCW 3479; (2002) 5 Supreme 557</t>
        </is>
      </c>
      <c r="J286" s="11" t="n">
        <v>2002</v>
      </c>
      <c r="K286" s="2" t="inlineStr">
        <is>
          <t>Paparambaka Rosamma and Others v. State of Andhra Pradesh</t>
        </is>
      </c>
      <c r="L286" s="11" t="inlineStr">
        <is>
          <t>Supreme Court</t>
        </is>
      </c>
      <c r="M286" s="2" t="inlineStr">
        <is>
          <t>AIR 1999 SC 3455; (1999) CriLJ 4321; (1999) 3 Crimes 150; (1999) 6 JT 585; (1999) 5 SCALE 451; (1999) 7 SCC 695; (1999) 2 SCR 328 Supp; (1999) 2 UJ 1440; (1999) AIRSCW 3440; (1999) 7 Supreme 640</t>
        </is>
      </c>
      <c r="N286" s="11" t="n">
        <v>1999</v>
      </c>
      <c r="O286" s="11" t="n"/>
      <c r="P286" s="11" t="n"/>
      <c r="Q286" s="11" t="n"/>
      <c r="R286" s="2" t="n"/>
      <c r="S286" s="2" t="n"/>
      <c r="T286" s="11" t="inlineStr"/>
      <c r="U286" s="11" t="inlineStr">
        <is>
          <t>year_order_check</t>
        </is>
      </c>
      <c r="V286" s="11" t="inlineStr">
        <is>
          <t>outside_list</t>
        </is>
      </c>
      <c r="W286" s="11" t="n"/>
      <c r="X286" s="11" t="n"/>
      <c r="Y286" s="11" t="n"/>
      <c r="Z286" s="11" t="inlineStr">
        <is>
          <t>Mr. Advocate</t>
        </is>
      </c>
      <c r="AA286" s="11" t="inlineStr">
        <is>
          <t>2026-10-07</t>
        </is>
      </c>
      <c r="AB286" s="11" t="inlineStr">
        <is>
          <t>citation</t>
        </is>
      </c>
      <c r="AC286" s="2" t="inlineStr">
        <is>
          <t>L1-0292: overruled by Shanmugam @ Kulandaivelu v. State of Tamil Nadu (2003)</t>
        </is>
      </c>
      <c r="AD286" s="2" t="inlineStr">
        <is>
          <t>Laxman v. State of Maharashtra (2002) was overruled by Paparambaka Rosamma and Others v. State of Andhra Pradesh (1999). Note: Paparambaka Rosamma and Others v. State of Andhra Pradesh was itself later overruled by Shanmugam @ Kulandaivelu v. State of Tamil Nadu (2003); the current position should be checked.</t>
        </is>
      </c>
      <c r="AE286" s="2" t="n"/>
      <c r="AF286" s="11" t="inlineStr">
        <is>
          <t>created from list 1</t>
        </is>
      </c>
    </row>
    <row r="287">
      <c r="A287" s="11" t="inlineStr">
        <is>
          <t>L1-0286</t>
        </is>
      </c>
      <c r="B287" s="11" t="inlineStr">
        <is>
          <t>List 1 (to ~2015)</t>
        </is>
      </c>
      <c r="C287" s="11" t="inlineStr">
        <is>
          <t>list1</t>
        </is>
      </c>
      <c r="D287" s="11" t="inlineStr">
        <is>
          <t>verified</t>
        </is>
      </c>
      <c r="E287" s="11" t="inlineStr">
        <is>
          <t>overruled</t>
        </is>
      </c>
      <c r="F287" s="2" t="inlineStr">
        <is>
          <t>B.K. Sardari Lal v. Union of India (UOI) and Others</t>
        </is>
      </c>
      <c r="G287" s="11" t="inlineStr"/>
      <c r="H287" s="11" t="inlineStr">
        <is>
          <t>Supreme Court</t>
        </is>
      </c>
      <c r="I287" s="2" t="inlineStr">
        <is>
          <t>AIR 1971 SC 1547; (1971) 1 LLJ 315; (1971) 1 SCC 411; (1971) 3 SCR 461</t>
        </is>
      </c>
      <c r="J287" s="11" t="n">
        <v>1971</v>
      </c>
      <c r="K287" s="2" t="inlineStr">
        <is>
          <t>Bakshi Sardari Lal (Dead) through Lrs and Others v. Union of India (UOI) and Another</t>
        </is>
      </c>
      <c r="L287" s="11" t="inlineStr">
        <is>
          <t>Supreme Court</t>
        </is>
      </c>
      <c r="M287" s="2" t="inlineStr">
        <is>
          <t>AIR 1987 SC 2106; (1987) 3 JT 180; (1988) 1 LLJ 251; (1987) 2 SCALE 147; (1987) 4 SCC 114; (1987) 3 SCR 704; (1987) 3 SLJ 147</t>
        </is>
      </c>
      <c r="N287" s="11" t="n">
        <v>1987</v>
      </c>
      <c r="O287" s="11" t="n"/>
      <c r="P287" s="11" t="n"/>
      <c r="Q287" s="11" t="n"/>
      <c r="R287" s="2" t="n"/>
      <c r="S287" s="2" t="n"/>
      <c r="T287" s="11" t="inlineStr"/>
      <c r="U287" s="11" t="inlineStr"/>
      <c r="V287" s="11" t="inlineStr">
        <is>
          <t>outside_list</t>
        </is>
      </c>
      <c r="W287" s="11" t="n"/>
      <c r="X287" s="11" t="n"/>
      <c r="Y287" s="11" t="n"/>
      <c r="Z287" s="11" t="inlineStr">
        <is>
          <t>Mr. Advocate</t>
        </is>
      </c>
      <c r="AA287" s="11" t="inlineStr">
        <is>
          <t>2026-10-07</t>
        </is>
      </c>
      <c r="AB287" s="11" t="inlineStr">
        <is>
          <t>name_year</t>
        </is>
      </c>
      <c r="AC287" s="2" t="inlineStr"/>
      <c r="AD287" s="2" t="inlineStr">
        <is>
          <t>B.K. Sardari Lal v. Union of India (UOI) and Others (1971) was overruled by Bakshi Sardari Lal (Dead) through Lrs and Others v. Union of India (UOI) and Another (1987).</t>
        </is>
      </c>
      <c r="AE287" s="2" t="n"/>
      <c r="AF287" s="11" t="inlineStr">
        <is>
          <t>created from list 1</t>
        </is>
      </c>
    </row>
    <row r="288">
      <c r="A288" s="11" t="inlineStr">
        <is>
          <t>L1-0287</t>
        </is>
      </c>
      <c r="B288" s="11" t="inlineStr">
        <is>
          <t>List 1 (to ~2015)</t>
        </is>
      </c>
      <c r="C288" s="11" t="inlineStr">
        <is>
          <t>list1</t>
        </is>
      </c>
      <c r="D288" s="11" t="inlineStr">
        <is>
          <t>verified</t>
        </is>
      </c>
      <c r="E288" s="11" t="inlineStr">
        <is>
          <t>overruled</t>
        </is>
      </c>
      <c r="F288" s="2" t="inlineStr">
        <is>
          <t>Gumpha (Smt) and Others v. Jaibai</t>
        </is>
      </c>
      <c r="G288" s="11" t="inlineStr"/>
      <c r="H288" s="11" t="inlineStr">
        <is>
          <t>Supreme Court</t>
        </is>
      </c>
      <c r="I288" s="2" t="inlineStr">
        <is>
          <t>(1994) 1 JT 535; (1994) 1 SCALE 578; (1994) 2 SCC 511; (1994) 1 SCR 901; (1994) 2 UJ 121</t>
        </is>
      </c>
      <c r="J288" s="11" t="n">
        <v>1994</v>
      </c>
      <c r="K288" s="2" t="inlineStr">
        <is>
          <t>C. Masilamani Mudaliar and Others v. The Idol of Sri Swaminathaswami Swaminathaswami Thirukoli and Others</t>
        </is>
      </c>
      <c r="L288" s="11" t="inlineStr">
        <is>
          <t>Supreme Court</t>
        </is>
      </c>
      <c r="M288" s="2" t="inlineStr">
        <is>
          <t>(1996) 3 AD 250; AIR 1996 SC 1697; (1996) 3 JT 98; (1996) 2 SCALE 864; (1996) 8 SCC 525; (1996) 1 SCR 1068</t>
        </is>
      </c>
      <c r="N288" s="11" t="n">
        <v>1996</v>
      </c>
      <c r="O288" s="11" t="n"/>
      <c r="P288" s="11" t="n"/>
      <c r="Q288" s="11" t="n"/>
      <c r="R288" s="2" t="n"/>
      <c r="S288" s="2" t="n"/>
      <c r="T288" s="11" t="inlineStr"/>
      <c r="U288" s="11" t="inlineStr"/>
      <c r="V288" s="11" t="inlineStr">
        <is>
          <t>outside_list</t>
        </is>
      </c>
      <c r="W288" s="11" t="n"/>
      <c r="X288" s="11" t="n"/>
      <c r="Y288" s="11" t="n"/>
      <c r="Z288" s="11" t="inlineStr">
        <is>
          <t>Mr. Advocate</t>
        </is>
      </c>
      <c r="AA288" s="11" t="inlineStr">
        <is>
          <t>2026-10-07</t>
        </is>
      </c>
      <c r="AB288" s="11" t="inlineStr">
        <is>
          <t>name_year</t>
        </is>
      </c>
      <c r="AC288" s="2" t="inlineStr"/>
      <c r="AD288" s="2" t="inlineStr">
        <is>
          <t>Gumpha (Smt) and Others v. Jaibai (1994) was overruled by C. Masilamani Mudaliar and Others v. The Idol of Sri Swaminathaswami Swaminathaswami Thirukoli and Others (1996).</t>
        </is>
      </c>
      <c r="AE288" s="2" t="n"/>
      <c r="AF288" s="11" t="inlineStr">
        <is>
          <t>created from list 1</t>
        </is>
      </c>
    </row>
    <row r="289">
      <c r="A289" s="11" t="inlineStr">
        <is>
          <t>L1-0288</t>
        </is>
      </c>
      <c r="B289" s="11" t="inlineStr">
        <is>
          <t>List 1 (to ~2015)</t>
        </is>
      </c>
      <c r="C289" s="11" t="inlineStr">
        <is>
          <t>list1</t>
        </is>
      </c>
      <c r="D289" s="11" t="inlineStr">
        <is>
          <t>verified</t>
        </is>
      </c>
      <c r="E289" s="11" t="inlineStr">
        <is>
          <t>overruled</t>
        </is>
      </c>
      <c r="F289" s="2" t="inlineStr">
        <is>
          <t>P. Kannadasan etc, etc. v. State of Tamil Nadu and others</t>
        </is>
      </c>
      <c r="G289" s="11" t="inlineStr"/>
      <c r="H289" s="11" t="inlineStr">
        <is>
          <t>Supreme Court</t>
        </is>
      </c>
      <c r="I289" s="2" t="inlineStr">
        <is>
          <t>(1996) 6 AD 237; AIR 1996 SC 2560; (1996) 7 JT 16; (1996) 5 SCALE 596; (1996) 5 SCC 670; (1996) 4 SCR 92 Supp</t>
        </is>
      </c>
      <c r="J289" s="11" t="n">
        <v>1996</v>
      </c>
      <c r="K289" s="2" t="inlineStr">
        <is>
          <t>District Mining Officer and Others v. Tata Iron and Steel Co. and Another</t>
        </is>
      </c>
      <c r="L289" s="11" t="inlineStr">
        <is>
          <t>unknown</t>
        </is>
      </c>
      <c r="M289" s="2" t="inlineStr">
        <is>
          <t>(2001) 6 JT 183; (2001) 4 SCALE 680; (2001) 7 SCC 358; (2002) WritLR 42; (2001) AIRSCW 2927; (2001) 5 Supreme 545</t>
        </is>
      </c>
      <c r="N289" s="11" t="n">
        <v>2001</v>
      </c>
      <c r="O289" s="11" t="n"/>
      <c r="P289" s="11" t="n"/>
      <c r="Q289" s="11" t="n"/>
      <c r="R289" s="2" t="n"/>
      <c r="S289" s="2" t="n"/>
      <c r="T289" s="11" t="inlineStr"/>
      <c r="U289" s="11" t="inlineStr"/>
      <c r="V289" s="11" t="inlineStr">
        <is>
          <t>outside_list</t>
        </is>
      </c>
      <c r="W289" s="11" t="n"/>
      <c r="X289" s="11" t="n"/>
      <c r="Y289" s="11" t="n"/>
      <c r="Z289" s="11" t="inlineStr">
        <is>
          <t>Mr. Advocate</t>
        </is>
      </c>
      <c r="AA289" s="11" t="inlineStr">
        <is>
          <t>2026-10-07</t>
        </is>
      </c>
      <c r="AB289" s="11" t="inlineStr">
        <is>
          <t>name_year</t>
        </is>
      </c>
      <c r="AC289" s="2" t="inlineStr"/>
      <c r="AD289" s="2" t="inlineStr">
        <is>
          <t>P. Kannadasan etc, etc. v. State of Tamil Nadu and others (1996) was overruled by District Mining Officer and Others v. Tata Iron and Steel Co. and Another (2001).</t>
        </is>
      </c>
      <c r="AE289" s="2" t="n"/>
      <c r="AF289" s="11" t="inlineStr">
        <is>
          <t>created from list 1</t>
        </is>
      </c>
    </row>
    <row r="290">
      <c r="A290" s="11" t="inlineStr">
        <is>
          <t>L1-0289</t>
        </is>
      </c>
      <c r="B290" s="11" t="inlineStr">
        <is>
          <t>List 1 (to ~2015)</t>
        </is>
      </c>
      <c r="C290" s="11" t="inlineStr">
        <is>
          <t>list1</t>
        </is>
      </c>
      <c r="D290" s="11" t="inlineStr">
        <is>
          <t>verified</t>
        </is>
      </c>
      <c r="E290" s="11" t="inlineStr">
        <is>
          <t>overruled</t>
        </is>
      </c>
      <c r="F290" s="2" t="inlineStr">
        <is>
          <t>National Fertilizers v. Puran Chand Mangia</t>
        </is>
      </c>
      <c r="G290" s="11" t="inlineStr"/>
      <c r="H290" s="11" t="inlineStr">
        <is>
          <t>unknown</t>
        </is>
      </c>
      <c r="I290" s="2" t="inlineStr">
        <is>
          <t>(2000) 1 JT 591 Supp; (2000) 7 SCALE 174; (2000) 8 SCC 343; (2000) 4 SCR 26 Supp; (2000) AIRSCW 3860; (2000) 7 Supreme 238</t>
        </is>
      </c>
      <c r="J290" s="11" t="n">
        <v>2000</v>
      </c>
      <c r="K290" s="2" t="inlineStr">
        <is>
          <t>Her Highness Maharani Shantidevi P. Gaikwad v. Savjibai Haribai Patel and Others etc.</t>
        </is>
      </c>
      <c r="L290" s="11" t="inlineStr">
        <is>
          <t>Supreme Court</t>
        </is>
      </c>
      <c r="M290" s="2" t="inlineStr">
        <is>
          <t>AIR 2001 SC 1462; (2001) 4 JT 43; (2001) 2 SCALE 647; (2001) 5 SCC 101; (2001) 2 SCR 590; (2001) AIRSCW 1240; (2001) 2 Supreme 516</t>
        </is>
      </c>
      <c r="N290" s="11" t="n">
        <v>2001</v>
      </c>
      <c r="O290" s="11" t="n"/>
      <c r="P290" s="11" t="n"/>
      <c r="Q290" s="11" t="n"/>
      <c r="R290" s="2" t="n"/>
      <c r="S290" s="2" t="n"/>
      <c r="T290" s="11" t="inlineStr"/>
      <c r="U290" s="11" t="inlineStr"/>
      <c r="V290" s="11" t="inlineStr">
        <is>
          <t>outside_list</t>
        </is>
      </c>
      <c r="W290" s="11" t="n"/>
      <c r="X290" s="11" t="n"/>
      <c r="Y290" s="11" t="n"/>
      <c r="Z290" s="11" t="inlineStr">
        <is>
          <t>Mr. Advocate</t>
        </is>
      </c>
      <c r="AA290" s="11" t="inlineStr">
        <is>
          <t>2026-10-07</t>
        </is>
      </c>
      <c r="AB290" s="11" t="inlineStr">
        <is>
          <t>name_year</t>
        </is>
      </c>
      <c r="AC290" s="2" t="inlineStr"/>
      <c r="AD290" s="2" t="inlineStr">
        <is>
          <t>National Fertilizers v. Puran Chand Mangia (2000) was overruled by Her Highness Maharani Shantidevi P. Gaikwad v. Savjibai Haribai Patel and Others etc. (2001).</t>
        </is>
      </c>
      <c r="AE290" s="2" t="n"/>
      <c r="AF290" s="11" t="inlineStr">
        <is>
          <t>created from list 1</t>
        </is>
      </c>
    </row>
    <row r="291">
      <c r="A291" s="11" t="inlineStr">
        <is>
          <t>L1-0290</t>
        </is>
      </c>
      <c r="B291" s="11" t="inlineStr">
        <is>
          <t>List 1 (to ~2015)</t>
        </is>
      </c>
      <c r="C291" s="11" t="inlineStr">
        <is>
          <t>list1</t>
        </is>
      </c>
      <c r="D291" s="11" t="inlineStr">
        <is>
          <t>verified</t>
        </is>
      </c>
      <c r="E291" s="11" t="inlineStr">
        <is>
          <t>overruled</t>
        </is>
      </c>
      <c r="F291" s="2" t="inlineStr">
        <is>
          <t>P. Ram Reddy and Others v. Land Acquisition Officer, Hyderabad Urban Development Authority, Hyderabad and Others</t>
        </is>
      </c>
      <c r="G291" s="11" t="inlineStr"/>
      <c r="H291" s="11" t="inlineStr">
        <is>
          <t>Supreme Court</t>
        </is>
      </c>
      <c r="I291" s="2" t="inlineStr">
        <is>
          <t>(1995) 1 JT 593; (1995) 1 SCALE 332(1); (1995) 1 SCALE 332; (1995) 2 SCC 305; (1995) 1 SCR 584</t>
        </is>
      </c>
      <c r="J291" s="11" t="n">
        <v>1995</v>
      </c>
      <c r="K291" s="2" t="inlineStr">
        <is>
          <t>Land Acquisition Officer and Mandal Revenue Officer v. V. Narasaiah</t>
        </is>
      </c>
      <c r="L291" s="11" t="inlineStr">
        <is>
          <t>Supreme Court</t>
        </is>
      </c>
      <c r="M291" s="2" t="inlineStr">
        <is>
          <t>AIR 2001 SC 1117; (2001) 3 JT 157; (2001) 2 SCALE 257; (2001) 3 SCC 530; (2001) 2 SCR 141; (2001) 2 UJ 997; (2001) AIRSCW 867; (2001) 2 Supreme 187</t>
        </is>
      </c>
      <c r="N291" s="11" t="n">
        <v>2001</v>
      </c>
      <c r="O291" s="11" t="n"/>
      <c r="P291" s="11" t="n"/>
      <c r="Q291" s="11" t="n"/>
      <c r="R291" s="2" t="n"/>
      <c r="S291" s="2" t="n"/>
      <c r="T291" s="11" t="inlineStr"/>
      <c r="U291" s="11" t="inlineStr"/>
      <c r="V291" s="11" t="inlineStr">
        <is>
          <t>outside_list</t>
        </is>
      </c>
      <c r="W291" s="11" t="n"/>
      <c r="X291" s="11" t="n"/>
      <c r="Y291" s="11" t="n"/>
      <c r="Z291" s="11" t="inlineStr">
        <is>
          <t>Mr. Advocate</t>
        </is>
      </c>
      <c r="AA291" s="11" t="inlineStr">
        <is>
          <t>2026-10-07</t>
        </is>
      </c>
      <c r="AB291" s="11" t="inlineStr">
        <is>
          <t>name_year</t>
        </is>
      </c>
      <c r="AC291" s="2" t="inlineStr"/>
      <c r="AD291" s="2" t="inlineStr">
        <is>
          <t>P. Ram Reddy and Others v. Land Acquisition Officer, Hyderabad Urban Development Authority, Hyderabad and Others (1995) was overruled by Land Acquisition Officer and Mandal Revenue Officer v. V. Narasaiah (2001).</t>
        </is>
      </c>
      <c r="AE291" s="2" t="n"/>
      <c r="AF291" s="11" t="inlineStr">
        <is>
          <t>created from list 1</t>
        </is>
      </c>
    </row>
    <row r="292">
      <c r="A292" s="11" t="inlineStr">
        <is>
          <t>L1-0291</t>
        </is>
      </c>
      <c r="B292" s="11" t="inlineStr">
        <is>
          <t>List 1 (to ~2015)</t>
        </is>
      </c>
      <c r="C292" s="11" t="inlineStr">
        <is>
          <t>list1</t>
        </is>
      </c>
      <c r="D292" s="11" t="inlineStr">
        <is>
          <t>verified</t>
        </is>
      </c>
      <c r="E292" s="11" t="inlineStr">
        <is>
          <t>overruled</t>
        </is>
      </c>
      <c r="F292" s="2" t="inlineStr">
        <is>
          <t>Karan Singh and others, etc., v. Bhagwan Singh (Dead) by LRs. and others, etc.,</t>
        </is>
      </c>
      <c r="G292" s="11" t="inlineStr"/>
      <c r="H292" s="11" t="inlineStr">
        <is>
          <t>Supreme Court</t>
        </is>
      </c>
      <c r="I292" s="2" t="inlineStr">
        <is>
          <t>(1996) 1 AD 917; AIR 1996 SC 2249; (1996) 1 JT 618; (1996) 113 PLR 321; (1996) 1 SCALE 594; (1996) 7 SCC 559; (1996) 1 SCR 924; (1996) 1 UJ 419</t>
        </is>
      </c>
      <c r="J292" s="11" t="n">
        <v>1996</v>
      </c>
      <c r="K292" s="2" t="inlineStr">
        <is>
          <t>Shyam Sunder and Another v. Ram Kumar and Another</t>
        </is>
      </c>
      <c r="L292" s="11" t="inlineStr">
        <is>
          <t>Supreme Court</t>
        </is>
      </c>
      <c r="M292" s="2" t="inlineStr">
        <is>
          <t>AIR 2001 SC 2472; (2001) 6 JT 94; (2001) 4 SCALE 710; (2001) 8 SCC 24; (2001) AIRSCW 2768; (2001) 5 Supreme 492</t>
        </is>
      </c>
      <c r="N292" s="11" t="n">
        <v>2001</v>
      </c>
      <c r="O292" s="11" t="n"/>
      <c r="P292" s="11" t="n"/>
      <c r="Q292" s="11" t="n"/>
      <c r="R292" s="2" t="n"/>
      <c r="S292" s="2" t="n"/>
      <c r="T292" s="11" t="inlineStr"/>
      <c r="U292" s="11" t="inlineStr"/>
      <c r="V292" s="11" t="inlineStr">
        <is>
          <t>outside_list</t>
        </is>
      </c>
      <c r="W292" s="11" t="n"/>
      <c r="X292" s="11" t="n"/>
      <c r="Y292" s="11" t="n"/>
      <c r="Z292" s="11" t="inlineStr">
        <is>
          <t>Mr. Advocate</t>
        </is>
      </c>
      <c r="AA292" s="11" t="inlineStr">
        <is>
          <t>2026-10-07</t>
        </is>
      </c>
      <c r="AB292" s="11" t="inlineStr">
        <is>
          <t>name_year</t>
        </is>
      </c>
      <c r="AC292" s="2" t="inlineStr"/>
      <c r="AD292" s="2" t="inlineStr">
        <is>
          <t>Karan Singh and others, etc., v. Bhagwan Singh (Dead) by LRs. and others, etc., (1996) was overruled by Shyam Sunder and Another v. Ram Kumar and Another (2001).</t>
        </is>
      </c>
      <c r="AE292" s="2" t="n"/>
      <c r="AF292" s="11" t="inlineStr">
        <is>
          <t>created from list 1</t>
        </is>
      </c>
    </row>
    <row r="293">
      <c r="A293" s="11" t="inlineStr">
        <is>
          <t>L1-0292</t>
        </is>
      </c>
      <c r="B293" s="11" t="inlineStr">
        <is>
          <t>List 1 (to ~2015)</t>
        </is>
      </c>
      <c r="C293" s="11" t="inlineStr">
        <is>
          <t>list1</t>
        </is>
      </c>
      <c r="D293" s="11" t="inlineStr">
        <is>
          <t>verified</t>
        </is>
      </c>
      <c r="E293" s="11" t="inlineStr">
        <is>
          <t>overruled</t>
        </is>
      </c>
      <c r="F293" s="2" t="inlineStr">
        <is>
          <t>Paparambaka Rosamma and Others v. State of Andhra Pradesh</t>
        </is>
      </c>
      <c r="G293" s="11" t="inlineStr"/>
      <c r="H293" s="11" t="inlineStr">
        <is>
          <t>Supreme Court</t>
        </is>
      </c>
      <c r="I293" s="2" t="inlineStr">
        <is>
          <t>AIR 1999 SC 3455; (1999) CriLJ 4321; (1999) 3 Crimes 150; (1999) 6 JT 585; (1999) 5 SCALE 451; (1999) 7 SCC 695; (1999) 2 SCR 328 Supp; (1999) 2 UJ 1440; (1999) AIRSCW 3440; (1999) 7 Supreme 640</t>
        </is>
      </c>
      <c r="J293" s="11" t="n">
        <v>1999</v>
      </c>
      <c r="K293" s="2" t="inlineStr">
        <is>
          <t>Shanmugam @ Kulandaivelu v. State of Tamil Nadu</t>
        </is>
      </c>
      <c r="L293" s="11" t="inlineStr">
        <is>
          <t>Supreme Court</t>
        </is>
      </c>
      <c r="M293" s="2" t="inlineStr">
        <is>
          <t>AIR 2003 SC 209; (2003) CriLJ 418; (2002) 9 JT 518; (2002) 10 SCC 4</t>
        </is>
      </c>
      <c r="N293" s="11" t="n">
        <v>2003</v>
      </c>
      <c r="O293" s="11" t="n"/>
      <c r="P293" s="11" t="n"/>
      <c r="Q293" s="11" t="n"/>
      <c r="R293" s="2" t="n"/>
      <c r="S293" s="2" t="n"/>
      <c r="T293" s="11" t="inlineStr"/>
      <c r="U293" s="11" t="inlineStr"/>
      <c r="V293" s="11" t="inlineStr">
        <is>
          <t>outside_list</t>
        </is>
      </c>
      <c r="W293" s="11" t="n"/>
      <c r="X293" s="11" t="n"/>
      <c r="Y293" s="11" t="n"/>
      <c r="Z293" s="11" t="inlineStr">
        <is>
          <t>Mr. Advocate</t>
        </is>
      </c>
      <c r="AA293" s="11" t="inlineStr">
        <is>
          <t>2026-10-07</t>
        </is>
      </c>
      <c r="AB293" s="11" t="inlineStr">
        <is>
          <t>name_year</t>
        </is>
      </c>
      <c r="AC293" s="2" t="inlineStr">
        <is>
          <t>L1-0707: overruled by Paparambaka Rosamma and Others v. State of Andhra Pradesh (1999)</t>
        </is>
      </c>
      <c r="AD293" s="2" t="inlineStr">
        <is>
          <t>Paparambaka Rosamma and Others v. State of Andhra Pradesh (1999) was overruled by Shanmugam @ Kulandaivelu v. State of Tamil Nadu (2003). Note: Shanmugam @ Kulandaivelu v. State of Tamil Nadu was itself later overruled by Paparambaka Rosamma and Others v. State of Andhra Pradesh (1999); the current position should be checked.</t>
        </is>
      </c>
      <c r="AE293" s="2" t="n"/>
      <c r="AF293" s="11" t="inlineStr">
        <is>
          <t>created from list 1</t>
        </is>
      </c>
    </row>
    <row r="294">
      <c r="A294" s="11" t="inlineStr">
        <is>
          <t>L1-0293</t>
        </is>
      </c>
      <c r="B294" s="11" t="inlineStr">
        <is>
          <t>List 1 (to ~2015)</t>
        </is>
      </c>
      <c r="C294" s="11" t="inlineStr">
        <is>
          <t>list1</t>
        </is>
      </c>
      <c r="D294" s="11" t="inlineStr">
        <is>
          <t>verified</t>
        </is>
      </c>
      <c r="E294" s="11" t="inlineStr">
        <is>
          <t>overruled</t>
        </is>
      </c>
      <c r="F294" s="2" t="inlineStr">
        <is>
          <t>Bara Singh v. Kashmira Singh and Others</t>
        </is>
      </c>
      <c r="G294" s="11" t="inlineStr"/>
      <c r="H294" s="11" t="inlineStr">
        <is>
          <t>Supreme Court</t>
        </is>
      </c>
      <c r="I294" s="2" t="inlineStr">
        <is>
          <t>(1990) 3 JT 843; (1990) 2 SCALE 684; (1990) 4 SCC 711; (1990) 1 SCR 417 Supp</t>
        </is>
      </c>
      <c r="J294" s="11" t="n">
        <v>1990</v>
      </c>
      <c r="K294" s="2" t="inlineStr">
        <is>
          <t>Darshan Singh v. Ram Pal Singh and another</t>
        </is>
      </c>
      <c r="L294" s="11" t="inlineStr">
        <is>
          <t>Supreme Court</t>
        </is>
      </c>
      <c r="M294" s="2" t="inlineStr">
        <is>
          <t>AIR 1991 SC 1654; (1990) 4 JT 561; (1990) 2 SCALE 1114; (1992) 1 SCC 191 Supp; (1990) 3 SCR 212 Supp</t>
        </is>
      </c>
      <c r="N294" s="11" t="n">
        <v>1991</v>
      </c>
      <c r="O294" s="11" t="n"/>
      <c r="P294" s="11" t="n"/>
      <c r="Q294" s="11" t="n"/>
      <c r="R294" s="2" t="n"/>
      <c r="S294" s="2" t="n"/>
      <c r="T294" s="11" t="inlineStr"/>
      <c r="U294" s="11" t="inlineStr"/>
      <c r="V294" s="11" t="inlineStr">
        <is>
          <t>outside_list</t>
        </is>
      </c>
      <c r="W294" s="11" t="n"/>
      <c r="X294" s="11" t="n"/>
      <c r="Y294" s="11" t="n"/>
      <c r="Z294" s="11" t="inlineStr">
        <is>
          <t>Mr. Advocate</t>
        </is>
      </c>
      <c r="AA294" s="11" t="inlineStr">
        <is>
          <t>2026-10-07</t>
        </is>
      </c>
      <c r="AB294" s="11" t="inlineStr">
        <is>
          <t>name_year</t>
        </is>
      </c>
      <c r="AC294" s="2" t="inlineStr"/>
      <c r="AD294" s="2" t="inlineStr">
        <is>
          <t>Bara Singh v. Kashmira Singh and Others (1990) was overruled by Darshan Singh v. Ram Pal Singh and another (1991).</t>
        </is>
      </c>
      <c r="AE294" s="2" t="n"/>
      <c r="AF294" s="11" t="inlineStr">
        <is>
          <t>created from list 1</t>
        </is>
      </c>
    </row>
    <row r="295">
      <c r="A295" s="11" t="inlineStr">
        <is>
          <t>L1-0294</t>
        </is>
      </c>
      <c r="B295" s="11" t="inlineStr">
        <is>
          <t>List 1 (to ~2015)</t>
        </is>
      </c>
      <c r="C295" s="11" t="inlineStr">
        <is>
          <t>list1</t>
        </is>
      </c>
      <c r="D295" s="11" t="inlineStr">
        <is>
          <t>verified</t>
        </is>
      </c>
      <c r="E295" s="11" t="inlineStr">
        <is>
          <t>overruled</t>
        </is>
      </c>
      <c r="F295" s="2" t="inlineStr">
        <is>
          <t>Assistant Commissioner, Gadag SUb-Division, Gadag v. Mathapathi Basavannewwa and others</t>
        </is>
      </c>
      <c r="G295" s="11" t="inlineStr"/>
      <c r="H295" s="11" t="inlineStr">
        <is>
          <t>Supreme Court</t>
        </is>
      </c>
      <c r="I295" s="2" t="inlineStr">
        <is>
          <t>AIR 1995 SC 2492; (1995) 6 JT 242; (1995) 5 SCALE 39; (1995) 6 SCC 355; (1995) 2 SCR 807 Supp</t>
        </is>
      </c>
      <c r="J295" s="11" t="n">
        <v>1995</v>
      </c>
      <c r="K295" s="2" t="inlineStr">
        <is>
          <t>Siddappa Vasappa Kuri and Another v. Special Land Acquisition Officer and anr</t>
        </is>
      </c>
      <c r="L295" s="11" t="inlineStr">
        <is>
          <t>Supreme Court</t>
        </is>
      </c>
      <c r="M295" s="2" t="inlineStr">
        <is>
          <t>AIR 2001 SC 2951; (2001) 9 JT 176; (2001) 7 SCALE 380; (2002) 1 SCC 142; (2001) AIRSCW 4419; (2001) 8 Supreme 89</t>
        </is>
      </c>
      <c r="N295" s="11" t="n">
        <v>2001</v>
      </c>
      <c r="O295" s="11" t="n"/>
      <c r="P295" s="11" t="n"/>
      <c r="Q295" s="11" t="n"/>
      <c r="R295" s="2" t="n"/>
      <c r="S295" s="2" t="n"/>
      <c r="T295" s="11" t="inlineStr"/>
      <c r="U295" s="11" t="inlineStr"/>
      <c r="V295" s="11" t="inlineStr">
        <is>
          <t>outside_list</t>
        </is>
      </c>
      <c r="W295" s="11" t="n"/>
      <c r="X295" s="11" t="n"/>
      <c r="Y295" s="11" t="n"/>
      <c r="Z295" s="11" t="inlineStr">
        <is>
          <t>Mr. Advocate</t>
        </is>
      </c>
      <c r="AA295" s="11" t="inlineStr">
        <is>
          <t>2026-10-07</t>
        </is>
      </c>
      <c r="AB295" s="11" t="inlineStr">
        <is>
          <t>name_year</t>
        </is>
      </c>
      <c r="AC295" s="2" t="inlineStr"/>
      <c r="AD295" s="2" t="inlineStr">
        <is>
          <t>Assistant Commissioner, Gadag SUb-Division, Gadag v. Mathapathi Basavannewwa and others (1995) was overruled by Siddappa Vasappa Kuri and Another v. Special Land Acquisition Officer and anr (2001).</t>
        </is>
      </c>
      <c r="AE295" s="2" t="n"/>
      <c r="AF295" s="11" t="inlineStr">
        <is>
          <t>created from list 1</t>
        </is>
      </c>
    </row>
    <row r="296">
      <c r="A296" s="11" t="inlineStr">
        <is>
          <t>L1-0295</t>
        </is>
      </c>
      <c r="B296" s="11" t="inlineStr">
        <is>
          <t>List 1 (to ~2015)</t>
        </is>
      </c>
      <c r="C296" s="11" t="inlineStr">
        <is>
          <t>list1</t>
        </is>
      </c>
      <c r="D296" s="11" t="inlineStr">
        <is>
          <t>verified</t>
        </is>
      </c>
      <c r="E296" s="11" t="inlineStr">
        <is>
          <t>overruled</t>
        </is>
      </c>
      <c r="F296" s="2" t="inlineStr">
        <is>
          <t>K.M. Mathew v. State of Kerala and another</t>
        </is>
      </c>
      <c r="G296" s="11" t="inlineStr"/>
      <c r="H296" s="11" t="inlineStr">
        <is>
          <t>Supreme Court</t>
        </is>
      </c>
      <c r="I296" s="2" t="inlineStr">
        <is>
          <t>AIR 1992 SC 2206; (1992) CriLJ 3779; (1991) 3 Crimes 820; (1992) 57 ELT 370; (1991) 4 JT 464; (1992) 102 PLR 35; (1991) 2 SCALE 1045; (1992) 1 SCC 217; (1991) 2 SCR 364 Supp</t>
        </is>
      </c>
      <c r="J296" s="11" t="n">
        <v>1992</v>
      </c>
      <c r="K296" s="2" t="inlineStr">
        <is>
          <t>Adalat Prasad v. Rooplal Jindal and Others</t>
        </is>
      </c>
      <c r="L296" s="11" t="inlineStr">
        <is>
          <t>Supreme Court</t>
        </is>
      </c>
      <c r="M296" s="2" t="inlineStr">
        <is>
          <t>(2004) 4 CTC 608; (2004) 7 JT 243; (2004) 7 SCALE 137; (2004) 7 SCC 338; (2004) 2 UJ 1342</t>
        </is>
      </c>
      <c r="N296" s="11" t="n">
        <v>2004</v>
      </c>
      <c r="O296" s="11" t="n"/>
      <c r="P296" s="11" t="n"/>
      <c r="Q296" s="11" t="n"/>
      <c r="R296" s="2" t="n"/>
      <c r="S296" s="2" t="n"/>
      <c r="T296" s="11" t="inlineStr"/>
      <c r="U296" s="11" t="inlineStr"/>
      <c r="V296" s="11" t="inlineStr">
        <is>
          <t>outside_list</t>
        </is>
      </c>
      <c r="W296" s="11" t="n"/>
      <c r="X296" s="11" t="n"/>
      <c r="Y296" s="11" t="n"/>
      <c r="Z296" s="11" t="inlineStr">
        <is>
          <t>Mr. Advocate</t>
        </is>
      </c>
      <c r="AA296" s="11" t="inlineStr">
        <is>
          <t>2026-10-07</t>
        </is>
      </c>
      <c r="AB296" s="11" t="inlineStr">
        <is>
          <t>name_year</t>
        </is>
      </c>
      <c r="AC296" s="2" t="inlineStr"/>
      <c r="AD296" s="2" t="inlineStr">
        <is>
          <t>K.M. Mathew v. State of Kerala and another (1992) was overruled by Adalat Prasad v. Rooplal Jindal and Others (2004).</t>
        </is>
      </c>
      <c r="AE296" s="2" t="n"/>
      <c r="AF296" s="11" t="inlineStr">
        <is>
          <t>created from list 1</t>
        </is>
      </c>
    </row>
    <row r="297">
      <c r="A297" s="11" t="inlineStr">
        <is>
          <t>L1-0296</t>
        </is>
      </c>
      <c r="B297" s="11" t="inlineStr">
        <is>
          <t>List 1 (to ~2015)</t>
        </is>
      </c>
      <c r="C297" s="11" t="inlineStr">
        <is>
          <t>list1</t>
        </is>
      </c>
      <c r="D297" s="11" t="inlineStr">
        <is>
          <t>verified</t>
        </is>
      </c>
      <c r="E297" s="11" t="inlineStr">
        <is>
          <t>overruled</t>
        </is>
      </c>
      <c r="F297" s="2" t="inlineStr">
        <is>
          <t>Abdul Wahab Ansari v. State of Bihar Another</t>
        </is>
      </c>
      <c r="G297" s="11" t="inlineStr"/>
      <c r="H297" s="11" t="inlineStr">
        <is>
          <t>Supreme Court</t>
        </is>
      </c>
      <c r="I297" s="2" t="inlineStr">
        <is>
          <t>AIR 2000 SC 3187; (2000) CriLJ 4631; (2000) 1 JT 529 Supp; (2000) 7 SCALE 155; (2000) 8 SCC 500; (2000) 3 SCR 747 Supp; (2000) AIRSCW 3725; (2000) 7 Supreme 177</t>
        </is>
      </c>
      <c r="J297" s="11" t="n">
        <v>2000</v>
      </c>
      <c r="K297" s="2" t="inlineStr">
        <is>
          <t>Birendra K. Singh v. State of Bihar</t>
        </is>
      </c>
      <c r="L297" s="11" t="inlineStr">
        <is>
          <t>Supreme Court</t>
        </is>
      </c>
      <c r="M297" s="2" t="inlineStr">
        <is>
          <t>(2000) 8 JT 248; (2000) 8 SCC 498</t>
        </is>
      </c>
      <c r="N297" s="11" t="n">
        <v>2000</v>
      </c>
      <c r="O297" s="11" t="n"/>
      <c r="P297" s="11" t="n"/>
      <c r="Q297" s="11" t="n"/>
      <c r="R297" s="2" t="n"/>
      <c r="S297" s="2" t="n"/>
      <c r="T297" s="11" t="inlineStr"/>
      <c r="U297" s="11" t="inlineStr"/>
      <c r="V297" s="11" t="inlineStr">
        <is>
          <t>outside_list</t>
        </is>
      </c>
      <c r="W297" s="11" t="n"/>
      <c r="X297" s="11" t="n"/>
      <c r="Y297" s="11" t="n"/>
      <c r="Z297" s="11" t="inlineStr">
        <is>
          <t>Mr. Advocate</t>
        </is>
      </c>
      <c r="AA297" s="11" t="inlineStr">
        <is>
          <t>2026-10-07</t>
        </is>
      </c>
      <c r="AB297" s="11" t="inlineStr">
        <is>
          <t>name_year</t>
        </is>
      </c>
      <c r="AC297" s="2" t="inlineStr"/>
      <c r="AD297" s="2" t="inlineStr">
        <is>
          <t>Abdul Wahab Ansari v. State of Bihar Another (2000) was overruled by Birendra K. Singh v. State of Bihar (2000).</t>
        </is>
      </c>
      <c r="AE297" s="2" t="n"/>
      <c r="AF297" s="11" t="inlineStr">
        <is>
          <t>created from list 1</t>
        </is>
      </c>
    </row>
    <row r="298">
      <c r="A298" s="11" t="inlineStr">
        <is>
          <t>L1-0297</t>
        </is>
      </c>
      <c r="B298" s="11" t="inlineStr">
        <is>
          <t>List 1 (to ~2015)</t>
        </is>
      </c>
      <c r="C298" s="11" t="inlineStr">
        <is>
          <t>list1</t>
        </is>
      </c>
      <c r="D298" s="11" t="inlineStr">
        <is>
          <t>verified</t>
        </is>
      </c>
      <c r="E298" s="11" t="inlineStr">
        <is>
          <t>overruled</t>
        </is>
      </c>
      <c r="F298" s="2" t="inlineStr">
        <is>
          <t>U.P. State Electricity Board v. Upper Jumna Valley Electricity Supply Co. Ltd. and Others</t>
        </is>
      </c>
      <c r="G298" s="11" t="inlineStr"/>
      <c r="H298" s="11" t="inlineStr">
        <is>
          <t>Calcutta</t>
        </is>
      </c>
      <c r="I298" s="2" t="inlineStr">
        <is>
          <t>AIR 1988 Cal 336</t>
        </is>
      </c>
      <c r="J298" s="11" t="n">
        <v>1988</v>
      </c>
      <c r="K298" s="2" t="inlineStr">
        <is>
          <t>U.P. State Electricity Board v. Banaras Electric Light and Power Co. Ltd.</t>
        </is>
      </c>
      <c r="L298" s="11" t="inlineStr">
        <is>
          <t>Supreme Court</t>
        </is>
      </c>
      <c r="M298" s="2" t="inlineStr">
        <is>
          <t>(2001) 7 AD 104; AIR 2001 SC 3687; AIR 2001 SC 2727; (2001) 7 JT 116; (2001) 6 JT 501; (2001) 5 SCALE 539; (2001) 5 SCALE 325; (2001) 7 SCC 637; (2001) 7 SCC 117; (2001) AIRSCW 3465; (2001) AIRSCW 2984; (2001) 6 Supreme 190; (2001) 6 Supreme 582</t>
        </is>
      </c>
      <c r="N298" s="11" t="n">
        <v>2001</v>
      </c>
      <c r="O298" s="11" t="n"/>
      <c r="P298" s="11" t="n"/>
      <c r="Q298" s="11" t="n"/>
      <c r="R298" s="2" t="n"/>
      <c r="S298" s="2" t="n"/>
      <c r="T298" s="11" t="inlineStr"/>
      <c r="U298" s="11" t="inlineStr"/>
      <c r="V298" s="11" t="inlineStr">
        <is>
          <t>outside_list</t>
        </is>
      </c>
      <c r="W298" s="11" t="n"/>
      <c r="X298" s="11" t="n"/>
      <c r="Y298" s="11" t="n"/>
      <c r="Z298" s="11" t="inlineStr">
        <is>
          <t>Mr. Advocate</t>
        </is>
      </c>
      <c r="AA298" s="11" t="inlineStr">
        <is>
          <t>2026-10-07</t>
        </is>
      </c>
      <c r="AB298" s="11" t="inlineStr">
        <is>
          <t>name_year</t>
        </is>
      </c>
      <c r="AC298" s="2" t="inlineStr"/>
      <c r="AD298" s="2" t="inlineStr">
        <is>
          <t>U.P. State Electricity Board v. Upper Jumna Valley Electricity Supply Co. Ltd. and Others (1988) was overruled by U.P. State Electricity Board v. Banaras Electric Light and Power Co. Ltd. (2001).</t>
        </is>
      </c>
      <c r="AE298" s="2" t="n"/>
      <c r="AF298" s="11" t="inlineStr">
        <is>
          <t>created from list 1</t>
        </is>
      </c>
    </row>
    <row r="299">
      <c r="A299" s="11" t="inlineStr">
        <is>
          <t>L1-0298</t>
        </is>
      </c>
      <c r="B299" s="11" t="inlineStr">
        <is>
          <t>List 1 (to ~2015)</t>
        </is>
      </c>
      <c r="C299" s="11" t="inlineStr">
        <is>
          <t>list1</t>
        </is>
      </c>
      <c r="D299" s="11" t="inlineStr">
        <is>
          <t>verified</t>
        </is>
      </c>
      <c r="E299" s="11" t="inlineStr">
        <is>
          <t>overruled</t>
        </is>
      </c>
      <c r="F299" s="2" t="inlineStr">
        <is>
          <t>Nanak Chand v. Chandra Kishore Aggarwal and Others</t>
        </is>
      </c>
      <c r="G299" s="11" t="inlineStr"/>
      <c r="H299" s="11" t="inlineStr">
        <is>
          <t>Supreme Court</t>
        </is>
      </c>
      <c r="I299" s="2" t="inlineStr">
        <is>
          <t>AIR 1970 SC 446; (1970) CriLJ 522; (1969) 3 SCC 802; (1970) 1 SCC(Cri) 127; (1970) 1 SCR 565</t>
        </is>
      </c>
      <c r="J299" s="11" t="n">
        <v>1970</v>
      </c>
      <c r="K299" s="2" t="inlineStr">
        <is>
          <t>Shri Bhagwan Dutt v. Smt. Kamla Devi and Another</t>
        </is>
      </c>
      <c r="L299" s="11" t="inlineStr">
        <is>
          <t>Supreme Court</t>
        </is>
      </c>
      <c r="M299" s="2" t="inlineStr">
        <is>
          <t>AIR 1975 SC 83; (1975) CriLJ 40; (1975) 2 SCC 386; (1975) 2 SCR 483</t>
        </is>
      </c>
      <c r="N299" s="11" t="n">
        <v>1975</v>
      </c>
      <c r="O299" s="11" t="n"/>
      <c r="P299" s="11" t="n"/>
      <c r="Q299" s="11" t="n"/>
      <c r="R299" s="2" t="n"/>
      <c r="S299" s="2" t="n"/>
      <c r="T299" s="11" t="inlineStr"/>
      <c r="U299" s="11" t="inlineStr"/>
      <c r="V299" s="11" t="inlineStr">
        <is>
          <t>outside_list</t>
        </is>
      </c>
      <c r="W299" s="11" t="n"/>
      <c r="X299" s="11" t="n"/>
      <c r="Y299" s="11" t="n"/>
      <c r="Z299" s="11" t="inlineStr">
        <is>
          <t>Mr. Advocate</t>
        </is>
      </c>
      <c r="AA299" s="11" t="inlineStr">
        <is>
          <t>2026-10-07</t>
        </is>
      </c>
      <c r="AB299" s="11" t="inlineStr">
        <is>
          <t>name_year</t>
        </is>
      </c>
      <c r="AC299" s="2" t="inlineStr"/>
      <c r="AD299" s="2" t="inlineStr">
        <is>
          <t>Nanak Chand v. Chandra Kishore Aggarwal and Others (1970) was overruled by Shri Bhagwan Dutt v. Smt. Kamla Devi and Another (1975).</t>
        </is>
      </c>
      <c r="AE299" s="2" t="n"/>
      <c r="AF299" s="11" t="inlineStr">
        <is>
          <t>created from list 1</t>
        </is>
      </c>
    </row>
    <row r="300">
      <c r="A300" s="11" t="inlineStr">
        <is>
          <t>L1-0299</t>
        </is>
      </c>
      <c r="B300" s="11" t="inlineStr">
        <is>
          <t>List 1 (to ~2015)</t>
        </is>
      </c>
      <c r="C300" s="11" t="inlineStr">
        <is>
          <t>list1</t>
        </is>
      </c>
      <c r="D300" s="11" t="inlineStr">
        <is>
          <t>verified</t>
        </is>
      </c>
      <c r="E300" s="11" t="inlineStr">
        <is>
          <t>overruled</t>
        </is>
      </c>
      <c r="F300" s="2" t="inlineStr">
        <is>
          <t>The Indian Overseas Bank Ltd. v. The Commissioner of Income Tax, Madras</t>
        </is>
      </c>
      <c r="G300" s="11" t="inlineStr"/>
      <c r="H300" s="11" t="inlineStr">
        <is>
          <t>Supreme Court</t>
        </is>
      </c>
      <c r="I300" s="2" t="inlineStr">
        <is>
          <t>AIR 1970 SC 1530; (1970) 77 ITR 512; (1970) 2 SCC 4; (1971) 1 SCR 348</t>
        </is>
      </c>
      <c r="J300" s="11" t="n">
        <v>1970</v>
      </c>
      <c r="K300" s="2" t="inlineStr">
        <is>
          <t>Commissioner of Income Tax, Delhi Central v. Modi Spinning and Weaving Mills Co. Ltd.</t>
        </is>
      </c>
      <c r="L300" s="11" t="inlineStr">
        <is>
          <t>Supreme Court</t>
        </is>
      </c>
      <c r="M300" s="2" t="inlineStr">
        <is>
          <t>AIR 1991 SC 2023; (1990) 90 CTR 58; (1991) 187 ITR 51; (1991) 1 JT 29; (1992) 1 SCC 32 Supp; (1990) 2 SCR 461 Supp</t>
        </is>
      </c>
      <c r="N300" s="11" t="n">
        <v>1991</v>
      </c>
      <c r="O300" s="11" t="n"/>
      <c r="P300" s="11" t="n"/>
      <c r="Q300" s="11" t="n"/>
      <c r="R300" s="2" t="n"/>
      <c r="S300" s="2" t="n"/>
      <c r="T300" s="11" t="inlineStr"/>
      <c r="U300" s="11" t="inlineStr"/>
      <c r="V300" s="11" t="inlineStr">
        <is>
          <t>outside_list</t>
        </is>
      </c>
      <c r="W300" s="11" t="n"/>
      <c r="X300" s="11" t="n"/>
      <c r="Y300" s="11" t="n"/>
      <c r="Z300" s="11" t="inlineStr">
        <is>
          <t>Mr. Advocate</t>
        </is>
      </c>
      <c r="AA300" s="11" t="inlineStr">
        <is>
          <t>2026-10-07</t>
        </is>
      </c>
      <c r="AB300" s="11" t="inlineStr">
        <is>
          <t>name_year</t>
        </is>
      </c>
      <c r="AC300" s="2" t="inlineStr"/>
      <c r="AD300" s="2" t="inlineStr">
        <is>
          <t>The Indian Overseas Bank Ltd. v. The Commissioner of Income Tax, Madras (1970) was overruled by Commissioner of Income Tax, Delhi Central v. Modi Spinning and Weaving Mills Co. Ltd. (1991).</t>
        </is>
      </c>
      <c r="AE300" s="2" t="n"/>
      <c r="AF300" s="11" t="inlineStr">
        <is>
          <t>created from list 1</t>
        </is>
      </c>
    </row>
    <row r="301">
      <c r="A301" s="11" t="inlineStr">
        <is>
          <t>L1-0300</t>
        </is>
      </c>
      <c r="B301" s="11" t="inlineStr">
        <is>
          <t>List 1 (to ~2015)</t>
        </is>
      </c>
      <c r="C301" s="11" t="inlineStr">
        <is>
          <t>list1</t>
        </is>
      </c>
      <c r="D301" s="11" t="inlineStr">
        <is>
          <t>verified</t>
        </is>
      </c>
      <c r="E301" s="11" t="inlineStr">
        <is>
          <t>overruled</t>
        </is>
      </c>
      <c r="F301" s="2" t="inlineStr">
        <is>
          <t>Allahabad Bank v. Canara Bank and Another</t>
        </is>
      </c>
      <c r="G301" s="11" t="inlineStr"/>
      <c r="H301" s="11" t="inlineStr">
        <is>
          <t>Supreme Court</t>
        </is>
      </c>
      <c r="I301" s="2" t="inlineStr">
        <is>
          <t>AIR 2000 SC 1535; (2000) 101 CompCas 64; (2000) 2 CTC 723; (2000) 4 JT 411; (2000) 3 SCALE 169; (2000) 4 SCC 406; (2000) 2 SCR 1102; (2000) AIRSCW 1347; (2000) 3 Supreme 205</t>
        </is>
      </c>
      <c r="J301" s="11" t="n">
        <v>2000</v>
      </c>
      <c r="K301" s="2" t="inlineStr">
        <is>
          <t>Andhra Bank v. Official Liquidator and Another</t>
        </is>
      </c>
      <c r="L301" s="11" t="inlineStr">
        <is>
          <t>Supreme Court</t>
        </is>
      </c>
      <c r="M301" s="2" t="inlineStr">
        <is>
          <t>AIR 2005 SC 1814; (2005) 2 BC 425; (2005) 124 CompCas 453; (2005) 4 CompLJ 33; (2005) 3 JT 506; (2005) 5 SCC 75; (2005) 59 SCL 239; (2005) 2 SCR 776; (2005) AIRSCW 1608; (2005) 2 Supreme 721</t>
        </is>
      </c>
      <c r="N301" s="11" t="n">
        <v>2005</v>
      </c>
      <c r="O301" s="11" t="n"/>
      <c r="P301" s="11" t="n"/>
      <c r="Q301" s="11" t="n"/>
      <c r="R301" s="2" t="n"/>
      <c r="S301" s="2" t="n"/>
      <c r="T301" s="11" t="inlineStr"/>
      <c r="U301" s="11" t="inlineStr"/>
      <c r="V301" s="11" t="inlineStr">
        <is>
          <t>outside_list</t>
        </is>
      </c>
      <c r="W301" s="11" t="n"/>
      <c r="X301" s="11" t="n"/>
      <c r="Y301" s="11" t="n"/>
      <c r="Z301" s="11" t="inlineStr">
        <is>
          <t>Mr. Advocate</t>
        </is>
      </c>
      <c r="AA301" s="11" t="inlineStr">
        <is>
          <t>2026-10-07</t>
        </is>
      </c>
      <c r="AB301" s="11" t="inlineStr">
        <is>
          <t>name_year</t>
        </is>
      </c>
      <c r="AC301" s="2" t="inlineStr"/>
      <c r="AD301" s="2" t="inlineStr">
        <is>
          <t>Allahabad Bank v. Canara Bank and Another (2000) was overruled by Andhra Bank v. Official Liquidator and Another (2005).</t>
        </is>
      </c>
      <c r="AE301" s="2" t="n"/>
      <c r="AF301" s="11" t="inlineStr">
        <is>
          <t>created from list 1</t>
        </is>
      </c>
    </row>
    <row r="302">
      <c r="A302" s="11" t="inlineStr">
        <is>
          <t>L1-0301</t>
        </is>
      </c>
      <c r="B302" s="11" t="inlineStr">
        <is>
          <t>List 1 (to ~2015)</t>
        </is>
      </c>
      <c r="C302" s="11" t="inlineStr">
        <is>
          <t>list1</t>
        </is>
      </c>
      <c r="D302" s="11" t="inlineStr">
        <is>
          <t>verified</t>
        </is>
      </c>
      <c r="E302" s="11" t="inlineStr">
        <is>
          <t>overruled</t>
        </is>
      </c>
      <c r="F302" s="2" t="inlineStr">
        <is>
          <t>The Municipal Board, Mainpuri v. Kanhaiya Lal</t>
        </is>
      </c>
      <c r="G302" s="11" t="inlineStr"/>
      <c r="H302" s="11" t="inlineStr">
        <is>
          <t>Supreme Court</t>
        </is>
      </c>
      <c r="I302" s="2" t="inlineStr">
        <is>
          <t>AIR 1960 SC 184; (1960) 26 CLT 204; (1960) CriLJ 281; (1960) 1 SCR 941</t>
        </is>
      </c>
      <c r="J302" s="11" t="n">
        <v>1960</v>
      </c>
      <c r="K302" s="2" t="inlineStr">
        <is>
          <t>Western India Match Company Ltd. v. Workmen</t>
        </is>
      </c>
      <c r="L302" s="11" t="inlineStr">
        <is>
          <t>Supreme Court</t>
        </is>
      </c>
      <c r="M302" s="2" t="inlineStr">
        <is>
          <t>AIR 1973 SC 2650; (1973) 2 LLJ 403; (1974) 3 SCC 330; (1974) 1 SCR 434</t>
        </is>
      </c>
      <c r="N302" s="11" t="n">
        <v>1973</v>
      </c>
      <c r="O302" s="11" t="n"/>
      <c r="P302" s="11" t="n"/>
      <c r="Q302" s="11" t="n"/>
      <c r="R302" s="2" t="n"/>
      <c r="S302" s="2" t="n"/>
      <c r="T302" s="11" t="inlineStr"/>
      <c r="U302" s="11" t="inlineStr"/>
      <c r="V302" s="11" t="inlineStr">
        <is>
          <t>outside_list</t>
        </is>
      </c>
      <c r="W302" s="11" t="n"/>
      <c r="X302" s="11" t="n"/>
      <c r="Y302" s="11" t="n"/>
      <c r="Z302" s="11" t="inlineStr">
        <is>
          <t>Mr. Advocate</t>
        </is>
      </c>
      <c r="AA302" s="11" t="inlineStr">
        <is>
          <t>2026-10-07</t>
        </is>
      </c>
      <c r="AB302" s="11" t="inlineStr">
        <is>
          <t>name_year</t>
        </is>
      </c>
      <c r="AC302" s="2" t="inlineStr"/>
      <c r="AD302" s="2" t="inlineStr">
        <is>
          <t>The Municipal Board, Mainpuri v. Kanhaiya Lal (1960) was overruled by Western India Match Company Ltd. v. Workmen (1973).</t>
        </is>
      </c>
      <c r="AE302" s="2" t="n"/>
      <c r="AF302" s="11" t="inlineStr">
        <is>
          <t>created from list 1</t>
        </is>
      </c>
    </row>
    <row r="303">
      <c r="A303" s="11" t="inlineStr">
        <is>
          <t>L1-0302</t>
        </is>
      </c>
      <c r="B303" s="11" t="inlineStr">
        <is>
          <t>List 1 (to ~2015)</t>
        </is>
      </c>
      <c r="C303" s="11" t="inlineStr">
        <is>
          <t>list1</t>
        </is>
      </c>
      <c r="D303" s="11" t="inlineStr">
        <is>
          <t>verified</t>
        </is>
      </c>
      <c r="E303" s="11" t="inlineStr">
        <is>
          <t>overruled</t>
        </is>
      </c>
      <c r="F303" s="2" t="inlineStr">
        <is>
          <t>Krishi Utpadan Mandi Samiti v. Kanhaiya Lal and Others</t>
        </is>
      </c>
      <c r="G303" s="11" t="inlineStr"/>
      <c r="H303" s="11" t="inlineStr">
        <is>
          <t>Supreme Court</t>
        </is>
      </c>
      <c r="I303" s="2" t="inlineStr">
        <is>
          <t>AIR 2000 SC 3282; (2000) 1 JT 251 Supp; (2000) 6 SCALE 649; (2000) 7 SCC 756; (2000) 3 SCR 531 Supp; (2000) AIRSCW 3575; (2000) 6 Supreme 529</t>
        </is>
      </c>
      <c r="J303" s="11" t="n">
        <v>2000</v>
      </c>
      <c r="K303" s="2" t="inlineStr">
        <is>
          <t>The Land Acquisition Officer-cum- DSWO, Andhra Pradesh v. B.V. Reddy and Sons</t>
        </is>
      </c>
      <c r="L303" s="11" t="inlineStr">
        <is>
          <t>Supreme Court</t>
        </is>
      </c>
      <c r="M303" s="2" t="inlineStr">
        <is>
          <t>AIR 2002 SC 1045; (2002) 2 JT 53; (2002) 2 SCALE 162; (2002) 3 SCC 463; (2002) 1 SCR 1041; (2002) AIRSCW 773; (2002) 1 Supreme 660</t>
        </is>
      </c>
      <c r="N303" s="11" t="n">
        <v>2002</v>
      </c>
      <c r="O303" s="11" t="n"/>
      <c r="P303" s="11" t="n"/>
      <c r="Q303" s="11" t="n"/>
      <c r="R303" s="2" t="n"/>
      <c r="S303" s="2" t="n"/>
      <c r="T303" s="11" t="inlineStr"/>
      <c r="U303" s="11" t="inlineStr"/>
      <c r="V303" s="11" t="inlineStr">
        <is>
          <t>outside_list</t>
        </is>
      </c>
      <c r="W303" s="11" t="n"/>
      <c r="X303" s="11" t="n"/>
      <c r="Y303" s="11" t="n"/>
      <c r="Z303" s="11" t="inlineStr">
        <is>
          <t>Mr. Advocate</t>
        </is>
      </c>
      <c r="AA303" s="11" t="inlineStr">
        <is>
          <t>2026-10-07</t>
        </is>
      </c>
      <c r="AB303" s="11" t="inlineStr">
        <is>
          <t>name_year</t>
        </is>
      </c>
      <c r="AC303" s="2" t="inlineStr"/>
      <c r="AD303" s="2" t="inlineStr">
        <is>
          <t>Krishi Utpadan Mandi Samiti v. Kanhaiya Lal and Others (2000) was overruled by The Land Acquisition Officer-cum- DSWO, Andhra Pradesh v. B.V. Reddy and Sons (2002).</t>
        </is>
      </c>
      <c r="AE303" s="2" t="n"/>
      <c r="AF303" s="11" t="inlineStr">
        <is>
          <t>created from list 1</t>
        </is>
      </c>
    </row>
    <row r="304">
      <c r="A304" s="11" t="inlineStr">
        <is>
          <t>L1-0303</t>
        </is>
      </c>
      <c r="B304" s="11" t="inlineStr">
        <is>
          <t>List 1 (to ~2015)</t>
        </is>
      </c>
      <c r="C304" s="11" t="inlineStr">
        <is>
          <t>list1</t>
        </is>
      </c>
      <c r="D304" s="11" t="inlineStr">
        <is>
          <t>verified</t>
        </is>
      </c>
      <c r="E304" s="11" t="inlineStr">
        <is>
          <t>overruled</t>
        </is>
      </c>
      <c r="F304" s="2" t="inlineStr">
        <is>
          <t>National Tractors, Hubli v. Commissioner of Commercial Taxes, Bangalore</t>
        </is>
      </c>
      <c r="G304" s="11" t="inlineStr"/>
      <c r="H304" s="11" t="inlineStr">
        <is>
          <t>Supreme Court</t>
        </is>
      </c>
      <c r="I304" s="2" t="inlineStr">
        <is>
          <t>AIR 1971 SC 2277; (1971) 3 SCC 143; (1971) 27 STC 271</t>
        </is>
      </c>
      <c r="J304" s="11" t="n">
        <v>1971</v>
      </c>
      <c r="K304" s="2" t="inlineStr">
        <is>
          <t>Murarilal Sarawagi and Others v. The State of Andhra Pradesh</t>
        </is>
      </c>
      <c r="L304" s="11" t="inlineStr">
        <is>
          <t>Supreme Court</t>
        </is>
      </c>
      <c r="M304" s="2" t="inlineStr">
        <is>
          <t>AIR 1977 SC 247; (1977) 1 SCC 639; (1977) 2 SCR 441; (1977) 39 STC 294; (1977) 9 UJ 54</t>
        </is>
      </c>
      <c r="N304" s="11" t="n">
        <v>1977</v>
      </c>
      <c r="O304" s="11" t="n"/>
      <c r="P304" s="11" t="n"/>
      <c r="Q304" s="11" t="n"/>
      <c r="R304" s="2" t="n"/>
      <c r="S304" s="2" t="n"/>
      <c r="T304" s="11" t="inlineStr"/>
      <c r="U304" s="11" t="inlineStr"/>
      <c r="V304" s="11" t="inlineStr">
        <is>
          <t>outside_list</t>
        </is>
      </c>
      <c r="W304" s="11" t="n"/>
      <c r="X304" s="11" t="n"/>
      <c r="Y304" s="11" t="n"/>
      <c r="Z304" s="11" t="inlineStr">
        <is>
          <t>Mr. Advocate</t>
        </is>
      </c>
      <c r="AA304" s="11" t="inlineStr">
        <is>
          <t>2026-10-07</t>
        </is>
      </c>
      <c r="AB304" s="11" t="inlineStr">
        <is>
          <t>name_year</t>
        </is>
      </c>
      <c r="AC304" s="2" t="inlineStr"/>
      <c r="AD304" s="2" t="inlineStr">
        <is>
          <t>National Tractors, Hubli v. Commissioner of Commercial Taxes, Bangalore (1971) was overruled by Murarilal Sarawagi and Others v. The State of Andhra Pradesh (1977).</t>
        </is>
      </c>
      <c r="AE304" s="2" t="n"/>
      <c r="AF304" s="11" t="inlineStr">
        <is>
          <t>created from list 1</t>
        </is>
      </c>
    </row>
    <row r="305">
      <c r="A305" s="11" t="inlineStr">
        <is>
          <t>L1-0304</t>
        </is>
      </c>
      <c r="B305" s="11" t="inlineStr">
        <is>
          <t>List 1 (to ~2015)</t>
        </is>
      </c>
      <c r="C305" s="11" t="inlineStr">
        <is>
          <t>list1</t>
        </is>
      </c>
      <c r="D305" s="11" t="inlineStr">
        <is>
          <t>verified</t>
        </is>
      </c>
      <c r="E305" s="11" t="inlineStr">
        <is>
          <t>overruled</t>
        </is>
      </c>
      <c r="F305" s="2" t="inlineStr">
        <is>
          <t>Jagdish Chander Chatterjee and Others v. Shri Kishan and Another</t>
        </is>
      </c>
      <c r="G305" s="11" t="inlineStr"/>
      <c r="H305" s="11" t="inlineStr">
        <is>
          <t>Supreme Court</t>
        </is>
      </c>
      <c r="I305" s="2" t="inlineStr">
        <is>
          <t>AIR 1972 SC 2526; (1972) 2 SCC 461; (1973) 1 SCR 850; (1973) 5 UJ 290</t>
        </is>
      </c>
      <c r="J305" s="11" t="n">
        <v>1972</v>
      </c>
      <c r="K305" s="2" t="inlineStr">
        <is>
          <t>Tara Chand and Another v. Ram Prasad</t>
        </is>
      </c>
      <c r="L305" s="11" t="inlineStr">
        <is>
          <t>Supreme Court</t>
        </is>
      </c>
      <c r="M305" s="2" t="inlineStr">
        <is>
          <t>(1990) 3 JT 17; (1990) 3 SCC 526; (1990) 3 SCR 7; (1990) 2 UJ 157</t>
        </is>
      </c>
      <c r="N305" s="11" t="n">
        <v>1990</v>
      </c>
      <c r="O305" s="11" t="n"/>
      <c r="P305" s="11" t="n"/>
      <c r="Q305" s="11" t="n"/>
      <c r="R305" s="2" t="n"/>
      <c r="S305" s="2" t="n"/>
      <c r="T305" s="11" t="inlineStr"/>
      <c r="U305" s="11" t="inlineStr"/>
      <c r="V305" s="11" t="inlineStr">
        <is>
          <t>outside_list</t>
        </is>
      </c>
      <c r="W305" s="11" t="n"/>
      <c r="X305" s="11" t="n"/>
      <c r="Y305" s="11" t="n"/>
      <c r="Z305" s="11" t="inlineStr">
        <is>
          <t>Mr. Advocate</t>
        </is>
      </c>
      <c r="AA305" s="11" t="inlineStr">
        <is>
          <t>2026-10-07</t>
        </is>
      </c>
      <c r="AB305" s="11" t="inlineStr">
        <is>
          <t>name_year</t>
        </is>
      </c>
      <c r="AC305" s="2" t="inlineStr"/>
      <c r="AD305" s="2" t="inlineStr">
        <is>
          <t>Jagdish Chander Chatterjee and Others v. Shri Kishan and Another (1972) was overruled by Tara Chand and Another v. Ram Prasad (1990).</t>
        </is>
      </c>
      <c r="AE305" s="2" t="n"/>
      <c r="AF305" s="11" t="inlineStr">
        <is>
          <t>created from list 1</t>
        </is>
      </c>
    </row>
    <row r="306">
      <c r="A306" s="11" t="inlineStr">
        <is>
          <t>L1-0305</t>
        </is>
      </c>
      <c r="B306" s="11" t="inlineStr">
        <is>
          <t>List 1 (to ~2015)</t>
        </is>
      </c>
      <c r="C306" s="11" t="inlineStr">
        <is>
          <t>list1</t>
        </is>
      </c>
      <c r="D306" s="11" t="inlineStr">
        <is>
          <t>verified</t>
        </is>
      </c>
      <c r="E306" s="11" t="inlineStr">
        <is>
          <t>overruled</t>
        </is>
      </c>
      <c r="F306" s="2" t="inlineStr">
        <is>
          <t>Firm Amar Nath Basheshar Dass v. Tek Chand</t>
        </is>
      </c>
      <c r="G306" s="11" t="inlineStr"/>
      <c r="H306" s="11" t="inlineStr">
        <is>
          <t>Supreme Court</t>
        </is>
      </c>
      <c r="I306" s="2" t="inlineStr">
        <is>
          <t>AIR 1972 SC 1548; (1972) 1 SCC 893; (1972) 3 SCR 922</t>
        </is>
      </c>
      <c r="J306" s="11" t="n">
        <v>1972</v>
      </c>
      <c r="K306" s="2" t="inlineStr">
        <is>
          <t>Shri Kishan @ Krishan Kumar v. Manoj Kumar Etc. Etc.</t>
        </is>
      </c>
      <c r="L306" s="11" t="inlineStr">
        <is>
          <t>Supreme Court</t>
        </is>
      </c>
      <c r="M306" s="2" t="inlineStr">
        <is>
          <t>(1998) 2 AD 162; AIR 1998 SC 999; (1998) 2 CTC 37; (1998) 1 JT 633; (1998) 118 PLR 593; (1998) 1 SCALE 582; (1998) 2 SCC 710; (1998) 1 SCR 830; (1998) AIRSCW 769; (1998) 2 Supreme 478</t>
        </is>
      </c>
      <c r="N306" s="11" t="n">
        <v>1998</v>
      </c>
      <c r="O306" s="11" t="n"/>
      <c r="P306" s="11" t="n"/>
      <c r="Q306" s="11" t="n"/>
      <c r="R306" s="2" t="n"/>
      <c r="S306" s="2" t="n"/>
      <c r="T306" s="11" t="inlineStr"/>
      <c r="U306" s="11" t="inlineStr"/>
      <c r="V306" s="11" t="inlineStr">
        <is>
          <t>outside_list</t>
        </is>
      </c>
      <c r="W306" s="11" t="n"/>
      <c r="X306" s="11" t="n"/>
      <c r="Y306" s="11" t="n"/>
      <c r="Z306" s="11" t="inlineStr">
        <is>
          <t>Mr. Advocate</t>
        </is>
      </c>
      <c r="AA306" s="11" t="inlineStr">
        <is>
          <t>2026-10-07</t>
        </is>
      </c>
      <c r="AB306" s="11" t="inlineStr">
        <is>
          <t>name_year</t>
        </is>
      </c>
      <c r="AC306" s="2" t="inlineStr"/>
      <c r="AD306" s="2" t="inlineStr">
        <is>
          <t>Firm Amar Nath Basheshar Dass v. Tek Chand (1972) was overruled by Shri Kishan @ Krishan Kumar v. Manoj Kumar Etc. Etc. (1998).</t>
        </is>
      </c>
      <c r="AE306" s="2" t="n"/>
      <c r="AF306" s="11" t="inlineStr">
        <is>
          <t>created from list 1</t>
        </is>
      </c>
    </row>
    <row r="307">
      <c r="A307" s="11" t="inlineStr">
        <is>
          <t>L1-0306</t>
        </is>
      </c>
      <c r="B307" s="11" t="inlineStr">
        <is>
          <t>List 1 (to ~2015)</t>
        </is>
      </c>
      <c r="C307" s="11" t="inlineStr">
        <is>
          <t>list1</t>
        </is>
      </c>
      <c r="D307" s="11" t="inlineStr">
        <is>
          <t>verified</t>
        </is>
      </c>
      <c r="E307" s="11" t="inlineStr">
        <is>
          <t>overruled</t>
        </is>
      </c>
      <c r="F307" s="2" t="inlineStr">
        <is>
          <t>K. Veeraswami v. Union of India (UOI) and Others</t>
        </is>
      </c>
      <c r="G307" s="11" t="inlineStr"/>
      <c r="H307" s="11" t="inlineStr">
        <is>
          <t>Supreme Court</t>
        </is>
      </c>
      <c r="I307" s="2" t="inlineStr">
        <is>
          <t>(1991) 3 JT 198; (1992) 2 LLJ 53(2); (1991) 2 SCALE 150; (1991) 3 SCC 655; (1991) 3 SCR 189(1)</t>
        </is>
      </c>
      <c r="J307" s="11" t="n">
        <v>1991</v>
      </c>
      <c r="K307" s="2" t="inlineStr">
        <is>
          <t>P.V. Narsimha Rao v. State (CBI/SPE)</t>
        </is>
      </c>
      <c r="L307" s="11" t="inlineStr">
        <is>
          <t>Supreme Court</t>
        </is>
      </c>
      <c r="M307" s="2" t="inlineStr">
        <is>
          <t>AIR 1998 SC 2120; (1998) CriLJ 2930; (1998) 3 JT 318; (1998) 3 SCALE 53; (1998) 4 SCC 626; (1998) 2 SCR 870; (1998) AIRSCW 2001; (1998) 4 Supreme 1</t>
        </is>
      </c>
      <c r="N307" s="11" t="n">
        <v>1998</v>
      </c>
      <c r="O307" s="11" t="n"/>
      <c r="P307" s="11" t="n"/>
      <c r="Q307" s="11" t="n"/>
      <c r="R307" s="2" t="n"/>
      <c r="S307" s="2" t="n"/>
      <c r="T307" s="11" t="inlineStr"/>
      <c r="U307" s="11" t="inlineStr"/>
      <c r="V307" s="11" t="inlineStr">
        <is>
          <t>outside_list</t>
        </is>
      </c>
      <c r="W307" s="11" t="n"/>
      <c r="X307" s="11" t="n"/>
      <c r="Y307" s="11" t="n"/>
      <c r="Z307" s="11" t="inlineStr">
        <is>
          <t>Mr. Advocate</t>
        </is>
      </c>
      <c r="AA307" s="11" t="inlineStr">
        <is>
          <t>2026-10-07</t>
        </is>
      </c>
      <c r="AB307" s="11" t="inlineStr">
        <is>
          <t>name_year</t>
        </is>
      </c>
      <c r="AC307" s="2" t="inlineStr"/>
      <c r="AD307" s="2" t="inlineStr">
        <is>
          <t>K. Veeraswami v. Union of India (UOI) and Others (1991) was overruled by P.V. Narsimha Rao v. State (CBI/SPE) (1998).</t>
        </is>
      </c>
      <c r="AE307" s="2" t="n"/>
      <c r="AF307" s="11" t="inlineStr">
        <is>
          <t>created from list 1</t>
        </is>
      </c>
    </row>
    <row r="308">
      <c r="A308" s="11" t="inlineStr">
        <is>
          <t>L1-0307</t>
        </is>
      </c>
      <c r="B308" s="11" t="inlineStr">
        <is>
          <t>List 1 (to ~2015)</t>
        </is>
      </c>
      <c r="C308" s="11" t="inlineStr">
        <is>
          <t>list1</t>
        </is>
      </c>
      <c r="D308" s="11" t="inlineStr">
        <is>
          <t>verified</t>
        </is>
      </c>
      <c r="E308" s="11" t="inlineStr">
        <is>
          <t>overruled</t>
        </is>
      </c>
      <c r="F308" s="2" t="inlineStr">
        <is>
          <t>Raj Deo Sharma v. The State of Bihar</t>
        </is>
      </c>
      <c r="G308" s="11" t="inlineStr"/>
      <c r="H308" s="11" t="inlineStr">
        <is>
          <t>Supreme Court</t>
        </is>
      </c>
      <c r="I308" s="2" t="inlineStr">
        <is>
          <t>AIR 1999 SC 3524; (1999) CriLJ 4541; (1999) 7 JT 317; (1999) 6 SCALE 150; (1999) 7 SCC 604; (1999) 3 SCR 124 Supp; (1999) AIRSCW 3522; (1999) 8 Supreme 237</t>
        </is>
      </c>
      <c r="J308" s="11" t="n">
        <v>1999</v>
      </c>
      <c r="K308" s="2" t="inlineStr">
        <is>
          <t>P. Ramachandra Rao v. State of Karnataka</t>
        </is>
      </c>
      <c r="L308" s="11" t="inlineStr">
        <is>
          <t>Supreme Court</t>
        </is>
      </c>
      <c r="M308" s="2" t="inlineStr">
        <is>
          <t>AIR 2002 SC 1856; (2002) CriLJ 2547; (2002) 2 Crimes 200; (2002) 4 JT 92; (2001) 4 SCALE 226; (2002) 4 SCC 578; (2002) 3 SCR 68; (2002) AIRSCW 1841; (2002) 3 Supreme 260</t>
        </is>
      </c>
      <c r="N308" s="11" t="n">
        <v>2002</v>
      </c>
      <c r="O308" s="11" t="n"/>
      <c r="P308" s="11" t="n"/>
      <c r="Q308" s="11" t="n"/>
      <c r="R308" s="2" t="n"/>
      <c r="S308" s="2" t="n"/>
      <c r="T308" s="11" t="inlineStr"/>
      <c r="U308" s="11" t="inlineStr"/>
      <c r="V308" s="11" t="inlineStr">
        <is>
          <t>outside_list</t>
        </is>
      </c>
      <c r="W308" s="11" t="n"/>
      <c r="X308" s="11" t="n"/>
      <c r="Y308" s="11" t="n"/>
      <c r="Z308" s="11" t="inlineStr">
        <is>
          <t>Mr. Advocate</t>
        </is>
      </c>
      <c r="AA308" s="11" t="inlineStr">
        <is>
          <t>2026-10-07</t>
        </is>
      </c>
      <c r="AB308" s="11" t="inlineStr">
        <is>
          <t>name_year</t>
        </is>
      </c>
      <c r="AC308" s="2" t="inlineStr"/>
      <c r="AD308" s="2" t="inlineStr">
        <is>
          <t>Raj Deo Sharma v. The State of Bihar (1999) was overruled by P. Ramachandra Rao v. State of Karnataka (2002).</t>
        </is>
      </c>
      <c r="AE308" s="2" t="n"/>
      <c r="AF308" s="11" t="inlineStr">
        <is>
          <t>created from list 1</t>
        </is>
      </c>
    </row>
    <row r="309">
      <c r="A309" s="11" t="inlineStr">
        <is>
          <t>L1-0308</t>
        </is>
      </c>
      <c r="B309" s="11" t="inlineStr">
        <is>
          <t>List 1 (to ~2015)</t>
        </is>
      </c>
      <c r="C309" s="11" t="inlineStr">
        <is>
          <t>list1</t>
        </is>
      </c>
      <c r="D309" s="11" t="inlineStr">
        <is>
          <t>verified</t>
        </is>
      </c>
      <c r="E309" s="11" t="inlineStr">
        <is>
          <t>overruled</t>
        </is>
      </c>
      <c r="F309" s="2" t="inlineStr">
        <is>
          <t>M/s. Electronics Trade and Technology Development Corpn. Ltd., Secunderabad v. M/s. Indian Technologists and Engineers (Electronics) Pvt. Ltd. and another</t>
        </is>
      </c>
      <c r="G309" s="11" t="inlineStr"/>
      <c r="H309" s="11" t="inlineStr">
        <is>
          <t>Supreme Court</t>
        </is>
      </c>
      <c r="I309" s="2" t="inlineStr">
        <is>
          <t>(1996) 1 AD 900; AIR 1996 SC 2339; (1996) 1 BC 271; (1996) 86 CompCas 30; (1996) CriLJ 1692; (1996) 3 Crimes 82; (1996) 1 CTC 193; (1996) 1 JT 643; (1996) 113 PLR 332; (1996) 1 SCALE 636; (1996) 2 SCC 739; (1996) 1 SCR 843</t>
        </is>
      </c>
      <c r="J309" s="11" t="n">
        <v>1996</v>
      </c>
      <c r="K309" s="2" t="inlineStr">
        <is>
          <t>Goa Plast (P) Ltd. v. Chico Ursula D’Souza</t>
        </is>
      </c>
      <c r="L309" s="11" t="inlineStr">
        <is>
          <t>Supreme Court</t>
        </is>
      </c>
      <c r="M309" s="2" t="inlineStr">
        <is>
          <t>AIR 2004 SC 408; (2004) 1 BC 246; (2003) 117 CompCas 781; (2004) 2 CompLJ 11; (2004) CriLJ 664; (2003) 4 CTC 628; (2003) 9 JT 451; (2003) 9 SCALE 791; (2004) 2 SCC 235; (2004) 49 SCL 235; (2003) 5 SCR 835 Supp; (2004) 1 UJ 525</t>
        </is>
      </c>
      <c r="N309" s="11" t="n">
        <v>2004</v>
      </c>
      <c r="O309" s="11" t="n"/>
      <c r="P309" s="11" t="n"/>
      <c r="Q309" s="11" t="n"/>
      <c r="R309" s="2" t="n"/>
      <c r="S309" s="2" t="n"/>
      <c r="T309" s="11" t="inlineStr"/>
      <c r="U309" s="11" t="inlineStr"/>
      <c r="V309" s="11" t="inlineStr">
        <is>
          <t>outside_list</t>
        </is>
      </c>
      <c r="W309" s="11" t="n"/>
      <c r="X309" s="11" t="n"/>
      <c r="Y309" s="11" t="n"/>
      <c r="Z309" s="11" t="inlineStr">
        <is>
          <t>Mr. Advocate</t>
        </is>
      </c>
      <c r="AA309" s="11" t="inlineStr">
        <is>
          <t>2026-10-07</t>
        </is>
      </c>
      <c r="AB309" s="11" t="inlineStr">
        <is>
          <t>name_year</t>
        </is>
      </c>
      <c r="AC309" s="2" t="inlineStr"/>
      <c r="AD309" s="2" t="inlineStr">
        <is>
          <t>M/s. Electronics Trade and Technology Development Corpn. Ltd., Secunderabad v. M/s. Indian Technologists and Engineers (Electronics) Pvt. Ltd. and another (1996) was overruled by Goa Plast (P) Ltd. v. Chico Ursula D’Souza (2004).</t>
        </is>
      </c>
      <c r="AE309" s="2" t="n"/>
      <c r="AF309" s="11" t="inlineStr">
        <is>
          <t>created from list 1</t>
        </is>
      </c>
    </row>
    <row r="310">
      <c r="A310" s="11" t="inlineStr">
        <is>
          <t>L1-0309</t>
        </is>
      </c>
      <c r="B310" s="11" t="inlineStr">
        <is>
          <t>List 1 (to ~2015)</t>
        </is>
      </c>
      <c r="C310" s="11" t="inlineStr">
        <is>
          <t>list1</t>
        </is>
      </c>
      <c r="D310" s="11" t="inlineStr">
        <is>
          <t>verified</t>
        </is>
      </c>
      <c r="E310" s="11" t="inlineStr">
        <is>
          <t>overruled</t>
        </is>
      </c>
      <c r="F310" s="2" t="inlineStr">
        <is>
          <t>Afzal and another v. State of Haryana and others</t>
        </is>
      </c>
      <c r="G310" s="11" t="inlineStr"/>
      <c r="H310" s="11" t="inlineStr">
        <is>
          <t>Supreme Court</t>
        </is>
      </c>
      <c r="I310" s="2" t="inlineStr">
        <is>
          <t>AIR 1996 SC 2326; (1996) CriLJ 1679; (1996) 1 JT 328; (1996) 1 SCALE 340; (1996) 7 SCC 397; (1996) 1 SCR 573</t>
        </is>
      </c>
      <c r="J310" s="11" t="n">
        <v>1996</v>
      </c>
      <c r="K310" s="2" t="inlineStr">
        <is>
          <t>M.S. Ahlawat v. State of Haryana and Another</t>
        </is>
      </c>
      <c r="L310" s="11" t="inlineStr">
        <is>
          <t>Supreme Court</t>
        </is>
      </c>
      <c r="M310" s="2" t="inlineStr">
        <is>
          <t>AIR 2000 SC 168; (2000) CriLJ 388; (1999) 4 Crimes 297; (1999) 8 JT 530; (1999) 6 SCALE 648; (2000) 1 SCC 278; (1999) AIRSCW 4255; (1999) 9 Supreme 21</t>
        </is>
      </c>
      <c r="N310" s="11" t="n">
        <v>2000</v>
      </c>
      <c r="O310" s="11" t="n"/>
      <c r="P310" s="11" t="n"/>
      <c r="Q310" s="11" t="n"/>
      <c r="R310" s="2" t="n"/>
      <c r="S310" s="2" t="n"/>
      <c r="T310" s="11" t="inlineStr"/>
      <c r="U310" s="11" t="inlineStr"/>
      <c r="V310" s="11" t="inlineStr">
        <is>
          <t>outside_list</t>
        </is>
      </c>
      <c r="W310" s="11" t="n"/>
      <c r="X310" s="11" t="n"/>
      <c r="Y310" s="11" t="n"/>
      <c r="Z310" s="11" t="inlineStr">
        <is>
          <t>Mr. Advocate</t>
        </is>
      </c>
      <c r="AA310" s="11" t="inlineStr">
        <is>
          <t>2026-10-07</t>
        </is>
      </c>
      <c r="AB310" s="11" t="inlineStr">
        <is>
          <t>name_year</t>
        </is>
      </c>
      <c r="AC310" s="2" t="inlineStr"/>
      <c r="AD310" s="2" t="inlineStr">
        <is>
          <t>Afzal and another v. State of Haryana and others (1996) was overruled by M.S. Ahlawat v. State of Haryana and Another (2000).</t>
        </is>
      </c>
      <c r="AE310" s="2" t="n"/>
      <c r="AF310" s="11" t="inlineStr">
        <is>
          <t>created from list 1</t>
        </is>
      </c>
    </row>
    <row r="311">
      <c r="A311" s="11" t="inlineStr">
        <is>
          <t>L1-0310</t>
        </is>
      </c>
      <c r="B311" s="11" t="inlineStr">
        <is>
          <t>List 1 (to ~2015)</t>
        </is>
      </c>
      <c r="C311" s="11" t="inlineStr">
        <is>
          <t>list1</t>
        </is>
      </c>
      <c r="D311" s="11" t="inlineStr">
        <is>
          <t>verified</t>
        </is>
      </c>
      <c r="E311" s="11" t="inlineStr">
        <is>
          <t>overruled</t>
        </is>
      </c>
      <c r="F311" s="2" t="inlineStr">
        <is>
          <t>Senior Superintendent, R.M.S., Cochin and Another v. K.V. Gopinath, Sorter</t>
        </is>
      </c>
      <c r="G311" s="11" t="inlineStr"/>
      <c r="H311" s="11" t="inlineStr">
        <is>
          <t>Supreme Court</t>
        </is>
      </c>
      <c r="I311" s="2" t="inlineStr">
        <is>
          <t>AIR 1972 SC 1487; (1973) 26 FLR 178; (1971) LabIC 826; (1972) 1 LLJ 486; (1973) 3 SCC 867; (1972) 3 SCR 530</t>
        </is>
      </c>
      <c r="J311" s="11" t="n">
        <v>1972</v>
      </c>
      <c r="K311" s="2" t="inlineStr">
        <is>
          <t>Raj Kumar v. Union of India (UOI) and Others</t>
        </is>
      </c>
      <c r="L311" s="11" t="inlineStr">
        <is>
          <t>Supreme Court</t>
        </is>
      </c>
      <c r="M311" s="2" t="inlineStr">
        <is>
          <t>AIR 1975 SC 1116; (1975) 30 FLR 11; (1975) LabIC 669; (1975) 4 SCC 13; (1975) 3 SCR 963; (1975) 7 UJ 343</t>
        </is>
      </c>
      <c r="N311" s="11" t="n">
        <v>1975</v>
      </c>
      <c r="O311" s="11" t="n"/>
      <c r="P311" s="11" t="n"/>
      <c r="Q311" s="11" t="n"/>
      <c r="R311" s="2" t="n"/>
      <c r="S311" s="2" t="n"/>
      <c r="T311" s="11" t="inlineStr"/>
      <c r="U311" s="11" t="inlineStr"/>
      <c r="V311" s="11" t="inlineStr">
        <is>
          <t>outside_list</t>
        </is>
      </c>
      <c r="W311" s="11" t="n"/>
      <c r="X311" s="11" t="n"/>
      <c r="Y311" s="11" t="n"/>
      <c r="Z311" s="11" t="inlineStr">
        <is>
          <t>Mr. Advocate</t>
        </is>
      </c>
      <c r="AA311" s="11" t="inlineStr">
        <is>
          <t>2026-10-07</t>
        </is>
      </c>
      <c r="AB311" s="11" t="inlineStr">
        <is>
          <t>name_year</t>
        </is>
      </c>
      <c r="AC311" s="2" t="inlineStr"/>
      <c r="AD311" s="2" t="inlineStr">
        <is>
          <t>Senior Superintendent, R.M.S., Cochin and Another v. K.V. Gopinath, Sorter (1972) was overruled by Raj Kumar v. Union of India (UOI) and Others (1975).</t>
        </is>
      </c>
      <c r="AE311" s="2" t="n"/>
      <c r="AF311" s="11" t="inlineStr">
        <is>
          <t>created from list 1</t>
        </is>
      </c>
    </row>
    <row r="312">
      <c r="A312" s="11" t="inlineStr">
        <is>
          <t>L1-0311</t>
        </is>
      </c>
      <c r="B312" s="11" t="inlineStr">
        <is>
          <t>List 1 (to ~2015)</t>
        </is>
      </c>
      <c r="C312" s="11" t="inlineStr">
        <is>
          <t>list1</t>
        </is>
      </c>
      <c r="D312" s="11" t="inlineStr">
        <is>
          <t>verified</t>
        </is>
      </c>
      <c r="E312" s="11" t="inlineStr">
        <is>
          <t>overruled</t>
        </is>
      </c>
      <c r="F312" s="2" t="inlineStr">
        <is>
          <t>State of Punjab and others v. G.S. Gill and another</t>
        </is>
      </c>
      <c r="G312" s="11" t="inlineStr"/>
      <c r="H312" s="11" t="inlineStr">
        <is>
          <t>Supreme Court</t>
        </is>
      </c>
      <c r="I312" s="2" t="inlineStr">
        <is>
          <t>AIR 1997 SC 2324; (1997) 4 JT 750; (1997) 3 SCALE 686; (1997) 6 SCC 129; (1997) 3 SCR 412; (1997) AIRSCW 2209; (1997) 4 Supreme 375</t>
        </is>
      </c>
      <c r="J312" s="11" t="n">
        <v>1997</v>
      </c>
      <c r="K312" s="2" t="inlineStr">
        <is>
          <t>Post Graduate Institute of Medical Education and Research, Chandigarh v. Faculty Association and Others</t>
        </is>
      </c>
      <c r="L312" s="11" t="inlineStr">
        <is>
          <t>Supreme Court</t>
        </is>
      </c>
      <c r="M312" s="2" t="inlineStr">
        <is>
          <t>(1998) 4 AD 70; AIR 1998 SC 1767; (1998) 3 CTC 413; (1998) 3 JT 223; (1998) 2 SCALE 772; (1998) 4 SCC 1; (1998) SCC(L&amp;S) 961; (1998) 2 SCR 845; (1998) AIRSCW 1553; (1998) 4 Supreme 110</t>
        </is>
      </c>
      <c r="N312" s="11" t="n">
        <v>1998</v>
      </c>
      <c r="O312" s="11" t="n"/>
      <c r="P312" s="11" t="n"/>
      <c r="Q312" s="11" t="n"/>
      <c r="R312" s="2" t="n"/>
      <c r="S312" s="2" t="n"/>
      <c r="T312" s="11" t="inlineStr"/>
      <c r="U312" s="11" t="inlineStr"/>
      <c r="V312" s="11" t="inlineStr">
        <is>
          <t>outside_list</t>
        </is>
      </c>
      <c r="W312" s="11" t="n"/>
      <c r="X312" s="11" t="n"/>
      <c r="Y312" s="11" t="n"/>
      <c r="Z312" s="11" t="inlineStr">
        <is>
          <t>Mr. Advocate</t>
        </is>
      </c>
      <c r="AA312" s="11" t="inlineStr">
        <is>
          <t>2026-10-07</t>
        </is>
      </c>
      <c r="AB312" s="11" t="inlineStr">
        <is>
          <t>name_year</t>
        </is>
      </c>
      <c r="AC312" s="2" t="inlineStr"/>
      <c r="AD312" s="2" t="inlineStr">
        <is>
          <t>State of Punjab and others v. G.S. Gill and another (1997) was overruled by Post Graduate Institute of Medical Education and Research, Chandigarh v. Faculty Association and Others (1998).</t>
        </is>
      </c>
      <c r="AE312" s="2" t="n"/>
      <c r="AF312" s="11" t="inlineStr">
        <is>
          <t>created from list 1</t>
        </is>
      </c>
    </row>
    <row r="313">
      <c r="A313" s="11" t="inlineStr">
        <is>
          <t>L1-0312</t>
        </is>
      </c>
      <c r="B313" s="11" t="inlineStr">
        <is>
          <t>List 1 (to ~2015)</t>
        </is>
      </c>
      <c r="C313" s="11" t="inlineStr">
        <is>
          <t>list1</t>
        </is>
      </c>
      <c r="D313" s="11" t="inlineStr">
        <is>
          <t>verified</t>
        </is>
      </c>
      <c r="E313" s="11" t="inlineStr">
        <is>
          <t>overruled</t>
        </is>
      </c>
      <c r="F313" s="2" t="inlineStr">
        <is>
          <t>Ajit Singh and Others v. The State of Punjab and Others</t>
        </is>
      </c>
      <c r="G313" s="11" t="inlineStr"/>
      <c r="H313" s="11" t="inlineStr">
        <is>
          <t>Supreme Court</t>
        </is>
      </c>
      <c r="I313" s="2" t="inlineStr">
        <is>
          <t>AIR 1999 SC 3471; (1999) 7 JT 153; (1999) 5 SCALE 556; (1999) 7 SCC 209; (1999) 2 SCR 521 Supp; (1999) AIRSCW 3460; (1999) 8 Supreme 211</t>
        </is>
      </c>
      <c r="J313" s="11" t="n">
        <v>1999</v>
      </c>
      <c r="K313" s="2" t="inlineStr">
        <is>
          <t>Shiv Nath Prasad v. Saran Pal Jeet Singh Tulsi and Others</t>
        </is>
      </c>
      <c r="L313" s="11" t="inlineStr">
        <is>
          <t>unknown</t>
        </is>
      </c>
      <c r="M313" s="2" t="inlineStr">
        <is>
          <t>(2008) 2 CLT 51; (2008) 116 FLR 552; (2008) 1 JT 630; (2008) 1 SCALE 250; (2008) 3 SCC 80; (2008) 1 SCC(L&amp;S) 567; (2008) 1 UJ 255; (2008) AIRSCW 1153; (2008) 1 Supreme 34</t>
        </is>
      </c>
      <c r="N313" s="11" t="n">
        <v>2008</v>
      </c>
      <c r="O313" s="11" t="n"/>
      <c r="P313" s="11" t="n"/>
      <c r="Q313" s="11" t="n"/>
      <c r="R313" s="2" t="n"/>
      <c r="S313" s="2" t="n"/>
      <c r="T313" s="11" t="inlineStr"/>
      <c r="U313" s="11" t="inlineStr"/>
      <c r="V313" s="11" t="inlineStr">
        <is>
          <t>outside_list</t>
        </is>
      </c>
      <c r="W313" s="11" t="n"/>
      <c r="X313" s="11" t="n"/>
      <c r="Y313" s="11" t="n"/>
      <c r="Z313" s="11" t="inlineStr">
        <is>
          <t>Mr. Advocate</t>
        </is>
      </c>
      <c r="AA313" s="11" t="inlineStr">
        <is>
          <t>2026-10-07</t>
        </is>
      </c>
      <c r="AB313" s="11" t="inlineStr">
        <is>
          <t>name_year</t>
        </is>
      </c>
      <c r="AC313" s="2" t="inlineStr"/>
      <c r="AD313" s="2" t="inlineStr">
        <is>
          <t>Ajit Singh and Others v. The State of Punjab and Others (1999) was overruled by Shiv Nath Prasad v. Saran Pal Jeet Singh Tulsi and Others (2008).</t>
        </is>
      </c>
      <c r="AE313" s="2" t="n"/>
      <c r="AF313" s="11" t="inlineStr">
        <is>
          <t>created from list 1</t>
        </is>
      </c>
    </row>
    <row r="314">
      <c r="A314" s="11" t="inlineStr">
        <is>
          <t>L1-0313</t>
        </is>
      </c>
      <c r="B314" s="11" t="inlineStr">
        <is>
          <t>List 1 (to ~2015)</t>
        </is>
      </c>
      <c r="C314" s="11" t="inlineStr">
        <is>
          <t>list1</t>
        </is>
      </c>
      <c r="D314" s="11" t="inlineStr">
        <is>
          <t>verified</t>
        </is>
      </c>
      <c r="E314" s="11" t="inlineStr">
        <is>
          <t>overruled</t>
        </is>
      </c>
      <c r="F314" s="2" t="inlineStr">
        <is>
          <t>Punjab National Bank v. Arjun Dev Arora and Others</t>
        </is>
      </c>
      <c r="G314" s="11" t="inlineStr"/>
      <c r="H314" s="11" t="inlineStr">
        <is>
          <t>Supreme Court</t>
        </is>
      </c>
      <c r="I314" s="2" t="inlineStr">
        <is>
          <t>AIR 1987 SC 148; (1986) 1 JT 784; (1986) 2 SCALE 736; (1986) 4 SCC 660</t>
        </is>
      </c>
      <c r="J314" s="11" t="n">
        <v>1987</v>
      </c>
      <c r="K314" s="2" t="inlineStr">
        <is>
          <t>Dr. K. Madan v. Smt. Krishnawati and another</t>
        </is>
      </c>
      <c r="L314" s="11" t="inlineStr">
        <is>
          <t>Supreme Court</t>
        </is>
      </c>
      <c r="M314" s="2" t="inlineStr">
        <is>
          <t>(1996) 8 AD 431; AIR 1997 SC 579; (1996) 10 JT 108; (1996) 8 SCALE 158; (1996) 6 SCC 707; (1996) 8 SCR 516 Supp; (1997) 1 UJ 392; (1997) AIRSCW 129; (1996) 8 Supreme 192</t>
        </is>
      </c>
      <c r="N314" s="11" t="n">
        <v>1997</v>
      </c>
      <c r="O314" s="11" t="n"/>
      <c r="P314" s="11" t="n"/>
      <c r="Q314" s="11" t="n"/>
      <c r="R314" s="2" t="n"/>
      <c r="S314" s="2" t="n"/>
      <c r="T314" s="11" t="inlineStr"/>
      <c r="U314" s="11" t="inlineStr"/>
      <c r="V314" s="11" t="inlineStr">
        <is>
          <t>outside_list</t>
        </is>
      </c>
      <c r="W314" s="11" t="n"/>
      <c r="X314" s="11" t="n"/>
      <c r="Y314" s="11" t="n"/>
      <c r="Z314" s="11" t="inlineStr">
        <is>
          <t>Mr. Advocate</t>
        </is>
      </c>
      <c r="AA314" s="11" t="inlineStr">
        <is>
          <t>2026-10-07</t>
        </is>
      </c>
      <c r="AB314" s="11" t="inlineStr">
        <is>
          <t>name_year</t>
        </is>
      </c>
      <c r="AC314" s="2" t="inlineStr">
        <is>
          <t>L1-0429: overruled by Punjab National Bank v. Arjun Dev Arora and Others (1987)</t>
        </is>
      </c>
      <c r="AD314" s="2" t="inlineStr">
        <is>
          <t>Punjab National Bank v. Arjun Dev Arora and Others (1987) was overruled by Dr. K. Madan v. Smt. Krishnawati and another (1997). Note: Dr. K. Madan v. Smt. Krishnawati and another was itself later overruled by Punjab National Bank v. Arjun Dev Arora and Others (1987); the current position should be checked.</t>
        </is>
      </c>
      <c r="AE314" s="2" t="n"/>
      <c r="AF314" s="11" t="inlineStr">
        <is>
          <t>created from list 1</t>
        </is>
      </c>
    </row>
    <row r="315">
      <c r="A315" s="11" t="inlineStr">
        <is>
          <t>L1-0314</t>
        </is>
      </c>
      <c r="B315" s="11" t="inlineStr">
        <is>
          <t>List 1 (to ~2015)</t>
        </is>
      </c>
      <c r="C315" s="11" t="inlineStr">
        <is>
          <t>list1</t>
        </is>
      </c>
      <c r="D315" s="11" t="inlineStr">
        <is>
          <t>verified</t>
        </is>
      </c>
      <c r="E315" s="11" t="inlineStr">
        <is>
          <t>overruled</t>
        </is>
      </c>
      <c r="F315" s="2" t="inlineStr">
        <is>
          <t>Smt. Naraini Devi v. Smt. Ramo Devi and Others</t>
        </is>
      </c>
      <c r="G315" s="11" t="inlineStr"/>
      <c r="H315" s="11" t="inlineStr">
        <is>
          <t>Supreme Court</t>
        </is>
      </c>
      <c r="I315" s="2" t="inlineStr">
        <is>
          <t>AIR 1976 SC 2198; (1976) 1 SCC 574; (1976) 3 SCR 55; (1976) 8 UJ 152</t>
        </is>
      </c>
      <c r="J315" s="11" t="n">
        <v>1976</v>
      </c>
      <c r="K315" s="2" t="inlineStr">
        <is>
          <t>V. Tulasamma and Others v. Sesha Reddy (Dead) by Lrs.</t>
        </is>
      </c>
      <c r="L315" s="11" t="inlineStr">
        <is>
          <t>Supreme Court</t>
        </is>
      </c>
      <c r="M315" s="2" t="inlineStr">
        <is>
          <t>AIR 1977 SC 1944; (1977) 3 SCC 99; (1977) 3 SCR 261</t>
        </is>
      </c>
      <c r="N315" s="11" t="n">
        <v>1977</v>
      </c>
      <c r="O315" s="11" t="n"/>
      <c r="P315" s="11" t="n"/>
      <c r="Q315" s="11" t="n"/>
      <c r="R315" s="2" t="n"/>
      <c r="S315" s="2" t="n"/>
      <c r="T315" s="11" t="inlineStr"/>
      <c r="U315" s="11" t="inlineStr"/>
      <c r="V315" s="11" t="inlineStr">
        <is>
          <t>outside_list</t>
        </is>
      </c>
      <c r="W315" s="11" t="n"/>
      <c r="X315" s="11" t="n"/>
      <c r="Y315" s="11" t="n"/>
      <c r="Z315" s="11" t="inlineStr">
        <is>
          <t>Mr. Advocate</t>
        </is>
      </c>
      <c r="AA315" s="11" t="inlineStr">
        <is>
          <t>2026-10-07</t>
        </is>
      </c>
      <c r="AB315" s="11" t="inlineStr">
        <is>
          <t>name_year</t>
        </is>
      </c>
      <c r="AC315" s="2" t="inlineStr"/>
      <c r="AD315" s="2" t="inlineStr">
        <is>
          <t>Smt. Naraini Devi v. Smt. Ramo Devi and Others (1976) was overruled by V. Tulasamma and Others v. Sesha Reddy (Dead) by Lrs. (1977).</t>
        </is>
      </c>
      <c r="AE315" s="2" t="n"/>
      <c r="AF315" s="11" t="inlineStr">
        <is>
          <t>created from list 1</t>
        </is>
      </c>
    </row>
    <row r="316">
      <c r="A316" s="11" t="inlineStr">
        <is>
          <t>L1-0315</t>
        </is>
      </c>
      <c r="B316" s="11" t="inlineStr">
        <is>
          <t>List 1 (to ~2015)</t>
        </is>
      </c>
      <c r="C316" s="11" t="inlineStr">
        <is>
          <t>list1</t>
        </is>
      </c>
      <c r="D316" s="11" t="inlineStr">
        <is>
          <t>verified</t>
        </is>
      </c>
      <c r="E316" s="11" t="inlineStr">
        <is>
          <t>overruled</t>
        </is>
      </c>
      <c r="F316" s="2" t="inlineStr">
        <is>
          <t>State of Andhra Pradesh and Another v. V. Sadanandam and Others</t>
        </is>
      </c>
      <c r="G316" s="11" t="inlineStr"/>
      <c r="H316" s="11" t="inlineStr">
        <is>
          <t>Supreme Court</t>
        </is>
      </c>
      <c r="I316" s="2" t="inlineStr">
        <is>
          <t>AIR 1989 SC 2060; (1989) JT 232 Supp; (1989) LabIC 2024; (1989) 1 SCALE 627; (1989) 1 SCALE 1464; (1989) 1 SCC 574 Supp; (1989) 3 SCR 342; (1989) 2 UJ 447</t>
        </is>
      </c>
      <c r="J316" s="11" t="n">
        <v>1989</v>
      </c>
      <c r="K316" s="2" t="inlineStr">
        <is>
          <t>V. Jagannadha Rao and Others v. State of A.P. and Others</t>
        </is>
      </c>
      <c r="L316" s="11" t="inlineStr">
        <is>
          <t>Supreme Court</t>
        </is>
      </c>
      <c r="M316" s="2" t="inlineStr">
        <is>
          <t>AIR 2002 SC 77; (2002) 92 FLR 512; (2001) 9 JT 463; (2001) 8 SCALE 137; (2001) 2 SCALE 345; (2001) AIRSCW 4628; (2001) 8 Supreme 343</t>
        </is>
      </c>
      <c r="N316" s="11" t="n">
        <v>2002</v>
      </c>
      <c r="O316" s="11" t="n"/>
      <c r="P316" s="11" t="n"/>
      <c r="Q316" s="11" t="n"/>
      <c r="R316" s="2" t="n"/>
      <c r="S316" s="2" t="n"/>
      <c r="T316" s="11" t="inlineStr"/>
      <c r="U316" s="11" t="inlineStr"/>
      <c r="V316" s="11" t="inlineStr">
        <is>
          <t>outside_list</t>
        </is>
      </c>
      <c r="W316" s="11" t="n"/>
      <c r="X316" s="11" t="n"/>
      <c r="Y316" s="11" t="n"/>
      <c r="Z316" s="11" t="inlineStr">
        <is>
          <t>Mr. Advocate</t>
        </is>
      </c>
      <c r="AA316" s="11" t="inlineStr">
        <is>
          <t>2026-10-07</t>
        </is>
      </c>
      <c r="AB316" s="11" t="inlineStr">
        <is>
          <t>citation</t>
        </is>
      </c>
      <c r="AC316" s="2" t="inlineStr"/>
      <c r="AD316" s="2" t="inlineStr">
        <is>
          <t>State of Andhra Pradesh and Another v. V. Sadanandam and Others (1989) was overruled by V. Jagannadha Rao and Others v. State of A.P. and Others (2002).</t>
        </is>
      </c>
      <c r="AE316" s="2" t="n"/>
      <c r="AF316" s="11" t="inlineStr">
        <is>
          <t>created from list 1</t>
        </is>
      </c>
    </row>
    <row r="317">
      <c r="A317" s="11" t="inlineStr">
        <is>
          <t>L1-0316</t>
        </is>
      </c>
      <c r="B317" s="11" t="inlineStr">
        <is>
          <t>List 1 (to ~2015)</t>
        </is>
      </c>
      <c r="C317" s="11" t="inlineStr">
        <is>
          <t>list1</t>
        </is>
      </c>
      <c r="D317" s="11" t="inlineStr">
        <is>
          <t>verified</t>
        </is>
      </c>
      <c r="E317" s="11" t="inlineStr">
        <is>
          <t>overruled</t>
        </is>
      </c>
      <c r="F317" s="2" t="inlineStr">
        <is>
          <t>Aundal Ammal v. Sadasivan Pillai</t>
        </is>
      </c>
      <c r="G317" s="11" t="inlineStr"/>
      <c r="H317" s="11" t="inlineStr">
        <is>
          <t>Supreme Court</t>
        </is>
      </c>
      <c r="I317" s="2" t="inlineStr">
        <is>
          <t>AIR 1987 SC 203; (1986) JT 1028; (1986) 2 SCALE 1004; (1987) 1 SCC 183; (1987) 1 SCC 182; (1987) 1 SCR 485; (1987) 1 UJ 79</t>
        </is>
      </c>
      <c r="J317" s="11" t="n">
        <v>1987</v>
      </c>
      <c r="K317" s="2" t="inlineStr">
        <is>
          <t>Jetha Bai and Sons, Jew Town, Cochin and Others v. Sunderdas Rathenai and Others</t>
        </is>
      </c>
      <c r="L317" s="11" t="inlineStr">
        <is>
          <t>Supreme Court</t>
        </is>
      </c>
      <c r="M317" s="2" t="inlineStr">
        <is>
          <t>AIR 1988 SC 812; (1988) 1 JT 329; (1988) 1 SCALE 243; (1988) 1 SCC 722; (1988) 2 SCR 871; (1988) 1 UJ 507</t>
        </is>
      </c>
      <c r="N317" s="11" t="n">
        <v>1988</v>
      </c>
      <c r="O317" s="11" t="n"/>
      <c r="P317" s="11" t="n"/>
      <c r="Q317" s="11" t="n"/>
      <c r="R317" s="2" t="n"/>
      <c r="S317" s="2" t="n"/>
      <c r="T317" s="11" t="inlineStr"/>
      <c r="U317" s="11" t="inlineStr"/>
      <c r="V317" s="11" t="inlineStr">
        <is>
          <t>outside_list</t>
        </is>
      </c>
      <c r="W317" s="11" t="n"/>
      <c r="X317" s="11" t="n"/>
      <c r="Y317" s="11" t="n"/>
      <c r="Z317" s="11" t="inlineStr">
        <is>
          <t>Mr. Advocate</t>
        </is>
      </c>
      <c r="AA317" s="11" t="inlineStr">
        <is>
          <t>2026-10-07</t>
        </is>
      </c>
      <c r="AB317" s="11" t="inlineStr">
        <is>
          <t>name_year</t>
        </is>
      </c>
      <c r="AC317" s="2" t="inlineStr"/>
      <c r="AD317" s="2" t="inlineStr">
        <is>
          <t>Aundal Ammal v. Sadasivan Pillai (1987) was overruled by Jetha Bai and Sons, Jew Town, Cochin and Others v. Sunderdas Rathenai and Others (1988).</t>
        </is>
      </c>
      <c r="AE317" s="2" t="n"/>
      <c r="AF317" s="11" t="inlineStr">
        <is>
          <t>created from list 1</t>
        </is>
      </c>
    </row>
    <row r="318">
      <c r="A318" s="11" t="inlineStr">
        <is>
          <t>L1-0317</t>
        </is>
      </c>
      <c r="B318" s="11" t="inlineStr">
        <is>
          <t>List 1 (to ~2015)</t>
        </is>
      </c>
      <c r="C318" s="11" t="inlineStr">
        <is>
          <t>list1</t>
        </is>
      </c>
      <c r="D318" s="11" t="inlineStr">
        <is>
          <t>verified</t>
        </is>
      </c>
      <c r="E318" s="11" t="inlineStr">
        <is>
          <t>overruled</t>
        </is>
      </c>
      <c r="F318" s="2" t="inlineStr">
        <is>
          <t>Vikas Sales Corporation and another, etc. etc. v. Commissioner of Commercial Taxes and another, etc.</t>
        </is>
      </c>
      <c r="G318" s="11" t="inlineStr"/>
      <c r="H318" s="11" t="inlineStr">
        <is>
          <t>Supreme Court</t>
        </is>
      </c>
      <c r="I318" s="2" t="inlineStr">
        <is>
          <t>AIR 1996 SC 2082; (1997) 57 ECC 1; (1996) 5 JT 482; (1996) 4 SCALE 622; (1996) 4 SCC 433; (1996) 2 SCR 204 Supp; (1996) 102 STC 106</t>
        </is>
      </c>
      <c r="J318" s="11" t="n">
        <v>1996</v>
      </c>
      <c r="K318" s="2" t="inlineStr">
        <is>
          <t>Sunrise Associates v. Govt. of NCT of Delhi and Others</t>
        </is>
      </c>
      <c r="L318" s="11" t="inlineStr">
        <is>
          <t>Supreme Court</t>
        </is>
      </c>
      <c r="M318" s="2" t="inlineStr">
        <is>
          <t>AIR 2006 SC 1908; (2006) 5 JT 168; (2006) 5 SCALE 1; (2006) 5 SCC 603; (2006) 2 SCR 421 Supp; (2006) 145 STC 576; (2006) AIRSCW 2378; (2006) 5 Supreme 901</t>
        </is>
      </c>
      <c r="N318" s="11" t="n">
        <v>2006</v>
      </c>
      <c r="O318" s="11" t="n"/>
      <c r="P318" s="11" t="n"/>
      <c r="Q318" s="11" t="n"/>
      <c r="R318" s="2" t="n"/>
      <c r="S318" s="2" t="n"/>
      <c r="T318" s="11" t="inlineStr"/>
      <c r="U318" s="11" t="inlineStr"/>
      <c r="V318" s="11" t="inlineStr">
        <is>
          <t>outside_list</t>
        </is>
      </c>
      <c r="W318" s="11" t="n"/>
      <c r="X318" s="11" t="n"/>
      <c r="Y318" s="11" t="n"/>
      <c r="Z318" s="11" t="inlineStr">
        <is>
          <t>Mr. Advocate</t>
        </is>
      </c>
      <c r="AA318" s="11" t="inlineStr">
        <is>
          <t>2026-10-07</t>
        </is>
      </c>
      <c r="AB318" s="11" t="inlineStr">
        <is>
          <t>name_year</t>
        </is>
      </c>
      <c r="AC318" s="2" t="inlineStr"/>
      <c r="AD318" s="2" t="inlineStr">
        <is>
          <t>Vikas Sales Corporation and another, etc. etc. v. Commissioner of Commercial Taxes and another, etc. (1996) was overruled by Sunrise Associates v. Govt. of NCT of Delhi and Others (2006).</t>
        </is>
      </c>
      <c r="AE318" s="2" t="n"/>
      <c r="AF318" s="11" t="inlineStr">
        <is>
          <t>created from list 1</t>
        </is>
      </c>
    </row>
    <row r="319">
      <c r="A319" s="11" t="inlineStr">
        <is>
          <t>L1-0318</t>
        </is>
      </c>
      <c r="B319" s="11" t="inlineStr">
        <is>
          <t>List 1 (to ~2015)</t>
        </is>
      </c>
      <c r="C319" s="11" t="inlineStr">
        <is>
          <t>list1</t>
        </is>
      </c>
      <c r="D319" s="11" t="inlineStr">
        <is>
          <t>verified</t>
        </is>
      </c>
      <c r="E319" s="11" t="inlineStr">
        <is>
          <t>overruled</t>
        </is>
      </c>
      <c r="F319" s="2" t="inlineStr">
        <is>
          <t>Hasmattullah v. State of Madhya Pradesh and others</t>
        </is>
      </c>
      <c r="G319" s="11" t="inlineStr"/>
      <c r="H319" s="11" t="inlineStr">
        <is>
          <t>Supreme Court</t>
        </is>
      </c>
      <c r="I319" s="2" t="inlineStr">
        <is>
          <t>AIR 1996 SC 2076; (1996) 5 JT 295; (1996) 4 SCC 391; (1996) 2 SCR 755 Supp; (1996) 2 UJ 478</t>
        </is>
      </c>
      <c r="J319" s="11" t="n">
        <v>1996</v>
      </c>
      <c r="K319" s="2" t="inlineStr">
        <is>
          <t>State of Gujarat v. Mirzapur Moti Kureshi Kassab Jamat and Others</t>
        </is>
      </c>
      <c r="L319" s="11" t="inlineStr">
        <is>
          <t>Supreme Court</t>
        </is>
      </c>
      <c r="M319" s="2" t="inlineStr">
        <is>
          <t>AIR 2006 SC 212; (2005) 12 JT 580; (2005) 8 SCALE 661; (2005) 8 SCC 534; (2006) 1 UJ 240; (2005) AIRSCW 5723; (2005) 8 Supreme 697</t>
        </is>
      </c>
      <c r="N319" s="11" t="n">
        <v>2006</v>
      </c>
      <c r="O319" s="11" t="n"/>
      <c r="P319" s="11" t="n"/>
      <c r="Q319" s="11" t="n"/>
      <c r="R319" s="2" t="n"/>
      <c r="S319" s="2" t="n"/>
      <c r="T319" s="11" t="inlineStr"/>
      <c r="U319" s="11" t="inlineStr"/>
      <c r="V319" s="11" t="inlineStr">
        <is>
          <t>outside_list</t>
        </is>
      </c>
      <c r="W319" s="11" t="n"/>
      <c r="X319" s="11" t="n"/>
      <c r="Y319" s="11" t="n"/>
      <c r="Z319" s="11" t="inlineStr">
        <is>
          <t>Mr. Advocate</t>
        </is>
      </c>
      <c r="AA319" s="11" t="inlineStr">
        <is>
          <t>2026-10-07</t>
        </is>
      </c>
      <c r="AB319" s="11" t="inlineStr">
        <is>
          <t>citation</t>
        </is>
      </c>
      <c r="AC319" s="2" t="inlineStr"/>
      <c r="AD319" s="2" t="inlineStr">
        <is>
          <t>Hasmattullah v. State of Madhya Pradesh and others (1996) was overruled by State of Gujarat v. Mirzapur Moti Kureshi Kassab Jamat and Others (2006).</t>
        </is>
      </c>
      <c r="AE319" s="2" t="n"/>
      <c r="AF319" s="11" t="inlineStr">
        <is>
          <t>created from list 1</t>
        </is>
      </c>
    </row>
    <row r="320">
      <c r="A320" s="11" t="inlineStr">
        <is>
          <t>L1-0319</t>
        </is>
      </c>
      <c r="B320" s="11" t="inlineStr">
        <is>
          <t>List 1 (to ~2015)</t>
        </is>
      </c>
      <c r="C320" s="11" t="inlineStr">
        <is>
          <t>list1</t>
        </is>
      </c>
      <c r="D320" s="11" t="inlineStr">
        <is>
          <t>verified</t>
        </is>
      </c>
      <c r="E320" s="11" t="inlineStr">
        <is>
          <t>overruled</t>
        </is>
      </c>
      <c r="F320" s="2" t="inlineStr">
        <is>
          <t>Executive Committee, U.P. Warehousing Corporation v. Chandra Kiran Tyagi</t>
        </is>
      </c>
      <c r="G320" s="11" t="inlineStr"/>
      <c r="H320" s="11" t="inlineStr">
        <is>
          <t>Supreme Court</t>
        </is>
      </c>
      <c r="I320" s="2" t="inlineStr">
        <is>
          <t>AIR 1970 SC 1244; (1970) 20 FLR 17; (1970) 1 LLJ 32; (1969) 2 SCC 838; (1970) 2 SCR 250</t>
        </is>
      </c>
      <c r="J320" s="11" t="n">
        <v>1970</v>
      </c>
      <c r="K320" s="2" t="inlineStr">
        <is>
          <t>Managing Director, Uttar Pradesh Warehousing Corporation and Another v. Vijay Narayan Vajpayee</t>
        </is>
      </c>
      <c r="L320" s="11" t="inlineStr">
        <is>
          <t>Supreme Court</t>
        </is>
      </c>
      <c r="M320" s="2" t="inlineStr">
        <is>
          <t>AIR 1980 SC 840; (1980) 1 LLJ 222; (1980) 3 SCC 459; (1980) 2 SCR 773; (1980) 1 SLJ 204</t>
        </is>
      </c>
      <c r="N320" s="11" t="n">
        <v>1980</v>
      </c>
      <c r="O320" s="11" t="n"/>
      <c r="P320" s="11" t="n"/>
      <c r="Q320" s="11" t="n"/>
      <c r="R320" s="2" t="n"/>
      <c r="S320" s="2" t="n"/>
      <c r="T320" s="11" t="inlineStr"/>
      <c r="U320" s="11" t="inlineStr"/>
      <c r="V320" s="11" t="inlineStr">
        <is>
          <t>outside_list</t>
        </is>
      </c>
      <c r="W320" s="11" t="n"/>
      <c r="X320" s="11" t="n"/>
      <c r="Y320" s="11" t="n"/>
      <c r="Z320" s="11" t="inlineStr">
        <is>
          <t>Mr. Advocate</t>
        </is>
      </c>
      <c r="AA320" s="11" t="inlineStr">
        <is>
          <t>2026-10-07</t>
        </is>
      </c>
      <c r="AB320" s="11" t="inlineStr">
        <is>
          <t>name_year</t>
        </is>
      </c>
      <c r="AC320" s="2" t="inlineStr"/>
      <c r="AD320" s="2" t="inlineStr">
        <is>
          <t>Executive Committee, U.P. Warehousing Corporation v. Chandra Kiran Tyagi (1970) was overruled by Managing Director, Uttar Pradesh Warehousing Corporation and Another v. Vijay Narayan Vajpayee (1980).</t>
        </is>
      </c>
      <c r="AE320" s="2" t="n"/>
      <c r="AF320" s="11" t="inlineStr">
        <is>
          <t>created from list 1</t>
        </is>
      </c>
    </row>
    <row r="321">
      <c r="A321" s="11" t="inlineStr">
        <is>
          <t>L1-0320</t>
        </is>
      </c>
      <c r="B321" s="11" t="inlineStr">
        <is>
          <t>List 1 (to ~2015)</t>
        </is>
      </c>
      <c r="C321" s="11" t="inlineStr">
        <is>
          <t>list1</t>
        </is>
      </c>
      <c r="D321" s="11" t="inlineStr">
        <is>
          <t>verified</t>
        </is>
      </c>
      <c r="E321" s="11" t="inlineStr">
        <is>
          <t>overruled</t>
        </is>
      </c>
      <c r="F321" s="2" t="inlineStr">
        <is>
          <t>Metalware and Co. etc. v. Bansilal Sarma and Co.</t>
        </is>
      </c>
      <c r="G321" s="11" t="inlineStr"/>
      <c r="H321" s="11" t="inlineStr">
        <is>
          <t>Supreme Court</t>
        </is>
      </c>
      <c r="I321" s="2" t="inlineStr">
        <is>
          <t>AIR 1979 SC 1559; (1979) 3 SCC 398; (1979) 3 SCR 1107</t>
        </is>
      </c>
      <c r="J321" s="11" t="n">
        <v>1979</v>
      </c>
      <c r="K321" s="2" t="inlineStr">
        <is>
          <t>Jagat Pal Dhawan v. Kahan Singh (Dead) by Lrs. and Others</t>
        </is>
      </c>
      <c r="L321" s="11" t="inlineStr">
        <is>
          <t>Supreme Court</t>
        </is>
      </c>
      <c r="M321" s="2" t="inlineStr">
        <is>
          <t>(2002) 9 JT 387; (2003) 1 SCC 191; (2003) 1 UJ 22</t>
        </is>
      </c>
      <c r="N321" s="11" t="n">
        <v>2002</v>
      </c>
      <c r="O321" s="11" t="n"/>
      <c r="P321" s="11" t="n"/>
      <c r="Q321" s="11" t="n"/>
      <c r="R321" s="2" t="n"/>
      <c r="S321" s="2" t="n"/>
      <c r="T321" s="11" t="inlineStr"/>
      <c r="U321" s="11" t="inlineStr"/>
      <c r="V321" s="11" t="inlineStr">
        <is>
          <t>outside_list</t>
        </is>
      </c>
      <c r="W321" s="11" t="n"/>
      <c r="X321" s="11" t="n"/>
      <c r="Y321" s="11" t="n"/>
      <c r="Z321" s="11" t="inlineStr">
        <is>
          <t>Mr. Advocate</t>
        </is>
      </c>
      <c r="AA321" s="11" t="inlineStr">
        <is>
          <t>2026-10-07</t>
        </is>
      </c>
      <c r="AB321" s="11" t="inlineStr">
        <is>
          <t>name_year</t>
        </is>
      </c>
      <c r="AC321" s="2" t="inlineStr"/>
      <c r="AD321" s="2" t="inlineStr">
        <is>
          <t>Metalware and Co. etc. v. Bansilal Sarma and Co. (1979) was overruled by Jagat Pal Dhawan v. Kahan Singh (Dead) by Lrs. and Others (2002).</t>
        </is>
      </c>
      <c r="AE321" s="2" t="n"/>
      <c r="AF321" s="11" t="inlineStr">
        <is>
          <t>created from list 1</t>
        </is>
      </c>
    </row>
    <row r="322">
      <c r="A322" s="11" t="inlineStr">
        <is>
          <t>L1-0321</t>
        </is>
      </c>
      <c r="B322" s="11" t="inlineStr">
        <is>
          <t>List 1 (to ~2015)</t>
        </is>
      </c>
      <c r="C322" s="11" t="inlineStr">
        <is>
          <t>list1</t>
        </is>
      </c>
      <c r="D322" s="11" t="inlineStr">
        <is>
          <t>verified</t>
        </is>
      </c>
      <c r="E322" s="11" t="inlineStr">
        <is>
          <t>overruled</t>
        </is>
      </c>
      <c r="F322" s="2" t="inlineStr">
        <is>
          <t>D.B. Raju v. H.J. Kantharaj and Others</t>
        </is>
      </c>
      <c r="G322" s="11" t="inlineStr"/>
      <c r="H322" s="11" t="inlineStr">
        <is>
          <t>Supreme Court</t>
        </is>
      </c>
      <c r="I322" s="2" t="inlineStr">
        <is>
          <t>(1974) CriLJ 611; (1990) 3 JT 148; (1990) 2 SCALE 1; (1990) 4 SCC 178; (1990) 3 SCR 336; (1990) 2 UJ 477</t>
        </is>
      </c>
      <c r="J322" s="11" t="n">
        <v>1974</v>
      </c>
      <c r="K322" s="2" t="inlineStr">
        <is>
          <t>P.T. Rajan v. T.P.M. Sahir and Others</t>
        </is>
      </c>
      <c r="L322" s="11" t="inlineStr">
        <is>
          <t>Supreme Court</t>
        </is>
      </c>
      <c r="M322" s="2" t="inlineStr">
        <is>
          <t>AIR 2003 SC 4603; (2003) 2 JT 613 Supp; (2003) 8 SCALE 165; (2003) 8 SCC 498; (2003) 4 SCR 84 Supp; (2003) AIRSCW 5396; (2003) 7 Supreme 124</t>
        </is>
      </c>
      <c r="N322" s="11" t="n">
        <v>2003</v>
      </c>
      <c r="O322" s="11" t="n"/>
      <c r="P322" s="11" t="n"/>
      <c r="Q322" s="11" t="n"/>
      <c r="R322" s="2" t="n"/>
      <c r="S322" s="2" t="n"/>
      <c r="T322" s="11" t="inlineStr"/>
      <c r="U322" s="11" t="inlineStr"/>
      <c r="V322" s="11" t="inlineStr">
        <is>
          <t>outside_list</t>
        </is>
      </c>
      <c r="W322" s="11" t="n"/>
      <c r="X322" s="11" t="n"/>
      <c r="Y322" s="11" t="n"/>
      <c r="Z322" s="11" t="inlineStr">
        <is>
          <t>Mr. Advocate</t>
        </is>
      </c>
      <c r="AA322" s="11" t="inlineStr">
        <is>
          <t>2026-10-07</t>
        </is>
      </c>
      <c r="AB322" s="11" t="inlineStr">
        <is>
          <t>name_year</t>
        </is>
      </c>
      <c r="AC322" s="2" t="inlineStr"/>
      <c r="AD322" s="2" t="inlineStr">
        <is>
          <t>D.B. Raju v. H.J. Kantharaj and Others (1974) was overruled by P.T. Rajan v. T.P.M. Sahir and Others (2003).</t>
        </is>
      </c>
      <c r="AE322" s="2" t="n"/>
      <c r="AF322" s="11" t="inlineStr">
        <is>
          <t>created from list 1</t>
        </is>
      </c>
    </row>
    <row r="323">
      <c r="A323" s="11" t="inlineStr">
        <is>
          <t>L1-0322</t>
        </is>
      </c>
      <c r="B323" s="11" t="inlineStr">
        <is>
          <t>List 1 (to ~2015)</t>
        </is>
      </c>
      <c r="C323" s="11" t="inlineStr">
        <is>
          <t>list1</t>
        </is>
      </c>
      <c r="D323" s="11" t="inlineStr">
        <is>
          <t>verified</t>
        </is>
      </c>
      <c r="E323" s="11" t="inlineStr">
        <is>
          <t>overruled</t>
        </is>
      </c>
      <c r="F323" s="2" t="inlineStr">
        <is>
          <t>Shri. Ram Saroop Rai v. Smt. Lilavati</t>
        </is>
      </c>
      <c r="G323" s="11" t="inlineStr"/>
      <c r="H323" s="11" t="inlineStr">
        <is>
          <t>Supreme Court</t>
        </is>
      </c>
      <c r="I323" s="2" t="inlineStr">
        <is>
          <t>AIR 1982 SC 945; (1980) 3 SCC 452; (1980) 3 SCR 1034; (1980) 12 UJ 601</t>
        </is>
      </c>
      <c r="J323" s="11" t="n">
        <v>1982</v>
      </c>
      <c r="K323" s="2" t="inlineStr">
        <is>
          <t>Shri Kishan @ Krishan Kumar v. Manoj Kumar Etc. Etc.</t>
        </is>
      </c>
      <c r="L323" s="11" t="inlineStr">
        <is>
          <t>Supreme Court</t>
        </is>
      </c>
      <c r="M323" s="2" t="inlineStr">
        <is>
          <t>(1998) 2 AD 162; AIR 1998 SC 999; (1998) 2 CTC 37; (1998) 1 JT 633; (1998) 118 PLR 593; (1998) 1 SCALE 582; (1998) 2 SCC 710; (1998) 1 SCR 830; (1998) AIRSCW 769; (1998) 2 Supreme 478</t>
        </is>
      </c>
      <c r="N323" s="11" t="n">
        <v>1998</v>
      </c>
      <c r="O323" s="11" t="n"/>
      <c r="P323" s="11" t="n"/>
      <c r="Q323" s="11" t="n"/>
      <c r="R323" s="2" t="n"/>
      <c r="S323" s="2" t="n"/>
      <c r="T323" s="11" t="inlineStr"/>
      <c r="U323" s="11" t="inlineStr"/>
      <c r="V323" s="11" t="inlineStr">
        <is>
          <t>outside_list</t>
        </is>
      </c>
      <c r="W323" s="11" t="n"/>
      <c r="X323" s="11" t="n"/>
      <c r="Y323" s="11" t="n"/>
      <c r="Z323" s="11" t="inlineStr">
        <is>
          <t>Mr. Advocate</t>
        </is>
      </c>
      <c r="AA323" s="11" t="inlineStr">
        <is>
          <t>2026-10-07</t>
        </is>
      </c>
      <c r="AB323" s="11" t="inlineStr">
        <is>
          <t>name_year</t>
        </is>
      </c>
      <c r="AC323" s="2" t="inlineStr"/>
      <c r="AD323" s="2" t="inlineStr">
        <is>
          <t>Shri. Ram Saroop Rai v. Smt. Lilavati (1982) was overruled by Shri Kishan @ Krishan Kumar v. Manoj Kumar Etc. Etc. (1998).</t>
        </is>
      </c>
      <c r="AE323" s="2" t="n"/>
      <c r="AF323" s="11" t="inlineStr">
        <is>
          <t>created from list 1</t>
        </is>
      </c>
    </row>
    <row r="324">
      <c r="A324" s="11" t="inlineStr">
        <is>
          <t>L1-0323</t>
        </is>
      </c>
      <c r="B324" s="11" t="inlineStr">
        <is>
          <t>List 1 (to ~2015)</t>
        </is>
      </c>
      <c r="C324" s="11" t="inlineStr">
        <is>
          <t>list1</t>
        </is>
      </c>
      <c r="D324" s="11" t="inlineStr">
        <is>
          <t>verified</t>
        </is>
      </c>
      <c r="E324" s="11" t="inlineStr">
        <is>
          <t>overruled</t>
        </is>
      </c>
      <c r="F324" s="2" t="inlineStr">
        <is>
          <t>Goodyear India Ltd. v. Union of India and others</t>
        </is>
      </c>
      <c r="G324" s="11" t="inlineStr"/>
      <c r="H324" s="11" t="inlineStr">
        <is>
          <t>Supreme Court</t>
        </is>
      </c>
      <c r="I324" s="2" t="inlineStr">
        <is>
          <t>AIR 1997 SC 2038; (2002) 81 ECC 666; (1997) 92 ELT 14; (1997) 3 JT 63; (1997) 2 SCALE 376; (1997) 5 SCC 752; (1997) 2 SCR 445; (1997) AIRSCW 1839; (1997) 2 Supreme 652</t>
        </is>
      </c>
      <c r="J324" s="11" t="n">
        <v>1997</v>
      </c>
      <c r="K324" s="2" t="inlineStr">
        <is>
          <t>Dunlop India Ltd. v. Collector of Central Excise, Calcutta</t>
        </is>
      </c>
      <c r="L324" s="11" t="inlineStr">
        <is>
          <t>Supreme Court</t>
        </is>
      </c>
      <c r="M324" s="2" t="inlineStr">
        <is>
          <t>(1997) 90 ELT 15; (1997) 10 JT 743; (1997) 10 SCC 769</t>
        </is>
      </c>
      <c r="N324" s="11" t="n">
        <v>1997</v>
      </c>
      <c r="O324" s="11" t="n"/>
      <c r="P324" s="11" t="n"/>
      <c r="Q324" s="11" t="n"/>
      <c r="R324" s="2" t="n"/>
      <c r="S324" s="2" t="n"/>
      <c r="T324" s="11" t="inlineStr"/>
      <c r="U324" s="11" t="inlineStr"/>
      <c r="V324" s="11" t="inlineStr">
        <is>
          <t>outside_list</t>
        </is>
      </c>
      <c r="W324" s="11" t="n"/>
      <c r="X324" s="11" t="n"/>
      <c r="Y324" s="11" t="n"/>
      <c r="Z324" s="11" t="inlineStr">
        <is>
          <t>Mr. Advocate</t>
        </is>
      </c>
      <c r="AA324" s="11" t="inlineStr">
        <is>
          <t>2026-10-07</t>
        </is>
      </c>
      <c r="AB324" s="11" t="inlineStr">
        <is>
          <t>citation</t>
        </is>
      </c>
      <c r="AC324" s="2" t="inlineStr"/>
      <c r="AD324" s="2" t="inlineStr">
        <is>
          <t>Goodyear India Ltd. v. Union of India and others (1997) was overruled by Dunlop India Ltd. v. Collector of Central Excise, Calcutta (1997).</t>
        </is>
      </c>
      <c r="AE324" s="2" t="n"/>
      <c r="AF324" s="11" t="inlineStr">
        <is>
          <t>created from list 1</t>
        </is>
      </c>
    </row>
    <row r="325">
      <c r="A325" s="11" t="inlineStr">
        <is>
          <t>L1-0324</t>
        </is>
      </c>
      <c r="B325" s="11" t="inlineStr">
        <is>
          <t>List 1 (to ~2015)</t>
        </is>
      </c>
      <c r="C325" s="11" t="inlineStr">
        <is>
          <t>list1</t>
        </is>
      </c>
      <c r="D325" s="11" t="inlineStr">
        <is>
          <t>verified</t>
        </is>
      </c>
      <c r="E325" s="11" t="inlineStr">
        <is>
          <t>overruled</t>
        </is>
      </c>
      <c r="F325" s="2" t="inlineStr">
        <is>
          <t>Phul Rani and Others v. Sh. Naubat Rai Ahluwalia</t>
        </is>
      </c>
      <c r="G325" s="11" t="inlineStr"/>
      <c r="H325" s="11" t="inlineStr">
        <is>
          <t>Supreme Court</t>
        </is>
      </c>
      <c r="I325" s="2" t="inlineStr">
        <is>
          <t>AIR 1973 SC 2110; (1973) 75 PLR 626; (1973) 1 SCC 688; (1973) 3 SCR 679</t>
        </is>
      </c>
      <c r="J325" s="11" t="n">
        <v>1973</v>
      </c>
      <c r="K325" s="2" t="inlineStr">
        <is>
          <t>Shantilal Thakordas and Others v. Chimanlal Maganlal Telwala</t>
        </is>
      </c>
      <c r="L325" s="11" t="inlineStr">
        <is>
          <t>Supreme Court</t>
        </is>
      </c>
      <c r="M325" s="2" t="inlineStr">
        <is>
          <t>AIR 1976 SC 2358; (1976) 4 SCC 417; (1977) 1 SCR 341; (1976) 8 UJ 780</t>
        </is>
      </c>
      <c r="N325" s="11" t="n">
        <v>1976</v>
      </c>
      <c r="O325" s="11" t="n"/>
      <c r="P325" s="11" t="n"/>
      <c r="Q325" s="11" t="n"/>
      <c r="R325" s="2" t="n"/>
      <c r="S325" s="2" t="n"/>
      <c r="T325" s="11" t="inlineStr"/>
      <c r="U325" s="11" t="inlineStr"/>
      <c r="V325" s="11" t="inlineStr">
        <is>
          <t>outside_list</t>
        </is>
      </c>
      <c r="W325" s="11" t="n"/>
      <c r="X325" s="11" t="n"/>
      <c r="Y325" s="11" t="n"/>
      <c r="Z325" s="11" t="inlineStr">
        <is>
          <t>Mr. Advocate</t>
        </is>
      </c>
      <c r="AA325" s="11" t="inlineStr">
        <is>
          <t>2026-10-07</t>
        </is>
      </c>
      <c r="AB325" s="11" t="inlineStr">
        <is>
          <t>name_year</t>
        </is>
      </c>
      <c r="AC325" s="2" t="inlineStr"/>
      <c r="AD325" s="2" t="inlineStr">
        <is>
          <t>Phul Rani and Others v. Sh. Naubat Rai Ahluwalia (1973) was overruled by Shantilal Thakordas and Others v. Chimanlal Maganlal Telwala (1976).</t>
        </is>
      </c>
      <c r="AE325" s="2" t="n"/>
      <c r="AF325" s="11" t="inlineStr">
        <is>
          <t>created from list 1</t>
        </is>
      </c>
    </row>
    <row r="326">
      <c r="A326" s="11" t="inlineStr">
        <is>
          <t>L1-0325</t>
        </is>
      </c>
      <c r="B326" s="11" t="inlineStr">
        <is>
          <t>List 1 (to ~2015)</t>
        </is>
      </c>
      <c r="C326" s="11" t="inlineStr">
        <is>
          <t>list1</t>
        </is>
      </c>
      <c r="D326" s="11" t="inlineStr">
        <is>
          <t>verified</t>
        </is>
      </c>
      <c r="E326" s="11" t="inlineStr">
        <is>
          <t>overruled</t>
        </is>
      </c>
      <c r="F326" s="2" t="inlineStr">
        <is>
          <t>Mahendra Kumar Shastri v. Union of India (UOI) and Another</t>
        </is>
      </c>
      <c r="G326" s="11" t="inlineStr"/>
      <c r="H326" s="11" t="inlineStr">
        <is>
          <t>Supreme Court</t>
        </is>
      </c>
      <c r="I326" s="2" t="inlineStr">
        <is>
          <t>AIR 1983 SC 299; (1983) 1 SCALE 27; (1984) 2 SCC 442</t>
        </is>
      </c>
      <c r="J326" s="11" t="n">
        <v>1983</v>
      </c>
      <c r="K326" s="2" t="inlineStr">
        <is>
          <t>Surendra Nath Mohanty and Anr v. State of Orissa</t>
        </is>
      </c>
      <c r="L326" s="11" t="inlineStr">
        <is>
          <t>Supreme Court</t>
        </is>
      </c>
      <c r="M326" s="2" t="inlineStr">
        <is>
          <t>AIR 1999 SC 2181; (2000) 89 CLT 130; (1999) CriLJ 3496; (1999) 2 CTC 263; (1999) 3 JT 408; (1999) 3 SCALE 103; (1999) 5 SCC 238; (1999) 2 SCR 1005; (1999) 2 UJ 831; (1999) AIRSCW 2199; (1999) 4 Supreme 421</t>
        </is>
      </c>
      <c r="N326" s="11" t="n">
        <v>1999</v>
      </c>
      <c r="O326" s="11" t="n"/>
      <c r="P326" s="11" t="n"/>
      <c r="Q326" s="11" t="n"/>
      <c r="R326" s="2" t="n"/>
      <c r="S326" s="2" t="n"/>
      <c r="T326" s="11" t="inlineStr"/>
      <c r="U326" s="11" t="inlineStr"/>
      <c r="V326" s="11" t="inlineStr">
        <is>
          <t>outside_list</t>
        </is>
      </c>
      <c r="W326" s="11" t="n"/>
      <c r="X326" s="11" t="n"/>
      <c r="Y326" s="11" t="n"/>
      <c r="Z326" s="11" t="inlineStr">
        <is>
          <t>Mr. Advocate</t>
        </is>
      </c>
      <c r="AA326" s="11" t="inlineStr">
        <is>
          <t>2026-10-07</t>
        </is>
      </c>
      <c r="AB326" s="11" t="inlineStr">
        <is>
          <t>name_year</t>
        </is>
      </c>
      <c r="AC326" s="2" t="inlineStr"/>
      <c r="AD326" s="2" t="inlineStr">
        <is>
          <t>Mahendra Kumar Shastri v. Union of India (UOI) and Another (1983) was overruled by Surendra Nath Mohanty and Anr v. State of Orissa (1999).</t>
        </is>
      </c>
      <c r="AE326" s="2" t="n"/>
      <c r="AF326" s="11" t="inlineStr">
        <is>
          <t>created from list 1</t>
        </is>
      </c>
    </row>
    <row r="327">
      <c r="A327" s="11" t="inlineStr">
        <is>
          <t>L1-0326</t>
        </is>
      </c>
      <c r="B327" s="11" t="inlineStr">
        <is>
          <t>List 1 (to ~2015)</t>
        </is>
      </c>
      <c r="C327" s="11" t="inlineStr">
        <is>
          <t>list1</t>
        </is>
      </c>
      <c r="D327" s="11" t="inlineStr">
        <is>
          <t>verified</t>
        </is>
      </c>
      <c r="E327" s="11" t="inlineStr">
        <is>
          <t>overruled</t>
        </is>
      </c>
      <c r="F327" s="2" t="inlineStr">
        <is>
          <t>Ramesh Chandra v. IIIrd Additional District Judge and others</t>
        </is>
      </c>
      <c r="G327" s="11" t="inlineStr"/>
      <c r="H327" s="11" t="inlineStr">
        <is>
          <t>Supreme Court</t>
        </is>
      </c>
      <c r="I327" s="2" t="inlineStr">
        <is>
          <t>AIR 1992 SC 1106; (1992) 1 JT 356; (1992) 1 SCALE 122; (1992) 1 SCC 751; (1992) 1 SCR 349</t>
        </is>
      </c>
      <c r="J327" s="11" t="n">
        <v>1992</v>
      </c>
      <c r="K327" s="2" t="inlineStr">
        <is>
          <t>Shri Kishan @ Krishan Kumar v. Manoj Kumar Etc. Etc.</t>
        </is>
      </c>
      <c r="L327" s="11" t="inlineStr">
        <is>
          <t>Supreme Court</t>
        </is>
      </c>
      <c r="M327" s="2" t="inlineStr">
        <is>
          <t>(1998) 2 AD 162; AIR 1998 SC 999; (1998) 2 CTC 37; (1998) 1 JT 633; (1998) 118 PLR 593; (1998) 1 SCALE 582; (1998) 2 SCC 710; (1998) 1 SCR 830; (1998) AIRSCW 769; (1998) 2 Supreme 478</t>
        </is>
      </c>
      <c r="N327" s="11" t="n">
        <v>1998</v>
      </c>
      <c r="O327" s="11" t="n"/>
      <c r="P327" s="11" t="n"/>
      <c r="Q327" s="11" t="n"/>
      <c r="R327" s="2" t="n"/>
      <c r="S327" s="2" t="n"/>
      <c r="T327" s="11" t="inlineStr"/>
      <c r="U327" s="11" t="inlineStr"/>
      <c r="V327" s="11" t="inlineStr">
        <is>
          <t>outside_list</t>
        </is>
      </c>
      <c r="W327" s="11" t="n"/>
      <c r="X327" s="11" t="n"/>
      <c r="Y327" s="11" t="n"/>
      <c r="Z327" s="11" t="inlineStr">
        <is>
          <t>Mr. Advocate</t>
        </is>
      </c>
      <c r="AA327" s="11" t="inlineStr">
        <is>
          <t>2026-10-07</t>
        </is>
      </c>
      <c r="AB327" s="11" t="inlineStr">
        <is>
          <t>name_year</t>
        </is>
      </c>
      <c r="AC327" s="2" t="inlineStr"/>
      <c r="AD327" s="2" t="inlineStr">
        <is>
          <t>Ramesh Chandra v. IIIrd Additional District Judge and others (1992) was overruled by Shri Kishan @ Krishan Kumar v. Manoj Kumar Etc. Etc. (1998).</t>
        </is>
      </c>
      <c r="AE327" s="2" t="n"/>
      <c r="AF327" s="11" t="inlineStr">
        <is>
          <t>created from list 1</t>
        </is>
      </c>
    </row>
    <row r="328">
      <c r="A328" s="11" t="inlineStr">
        <is>
          <t>L1-0327</t>
        </is>
      </c>
      <c r="B328" s="11" t="inlineStr">
        <is>
          <t>List 1 (to ~2015)</t>
        </is>
      </c>
      <c r="C328" s="11" t="inlineStr">
        <is>
          <t>list1</t>
        </is>
      </c>
      <c r="D328" s="11" t="inlineStr">
        <is>
          <t>verified</t>
        </is>
      </c>
      <c r="E328" s="11" t="inlineStr">
        <is>
          <t>overruled</t>
        </is>
      </c>
      <c r="F328" s="2" t="inlineStr">
        <is>
          <t>Wing Commander J. Kumar v. Union of India (UOI) and Others</t>
        </is>
      </c>
      <c r="G328" s="11" t="inlineStr"/>
      <c r="H328" s="11" t="inlineStr">
        <is>
          <t>Supreme Court</t>
        </is>
      </c>
      <c r="I328" s="2" t="inlineStr">
        <is>
          <t>(1982) LabIC 1586; (1982) 1 SCALE 227; (1982) 2 SCC 116; (1982) 3 SCR 453; (1982) 1 SLJ 452; (1982) 14 UJ 313</t>
        </is>
      </c>
      <c r="J328" s="11" t="n">
        <v>1982</v>
      </c>
      <c r="K328" s="2" t="inlineStr">
        <is>
          <t>P. Mohan Reddy etc. v. E.A.A. Charles and Others</t>
        </is>
      </c>
      <c r="L328" s="11" t="inlineStr">
        <is>
          <t>Supreme Court</t>
        </is>
      </c>
      <c r="M328" s="2" t="inlineStr">
        <is>
          <t>AIR 2001 SC 1210; (2001) 3 JT 1; (2001) 8 SCALE 413; (2001) 2 SCALE 105; (2001) 4 SCC 433; (2001) SCC(L&amp;S) 718; (2001) 1 SCR 1068; (2001) AIRSCW 805; (2001) 2 Supreme 10</t>
        </is>
      </c>
      <c r="N328" s="11" t="n">
        <v>2001</v>
      </c>
      <c r="O328" s="11" t="n"/>
      <c r="P328" s="11" t="n"/>
      <c r="Q328" s="11" t="n"/>
      <c r="R328" s="2" t="n"/>
      <c r="S328" s="2" t="n"/>
      <c r="T328" s="11" t="inlineStr"/>
      <c r="U328" s="11" t="inlineStr"/>
      <c r="V328" s="11" t="inlineStr">
        <is>
          <t>outside_list</t>
        </is>
      </c>
      <c r="W328" s="11" t="n"/>
      <c r="X328" s="11" t="n"/>
      <c r="Y328" s="11" t="n"/>
      <c r="Z328" s="11" t="inlineStr">
        <is>
          <t>Mr. Advocate</t>
        </is>
      </c>
      <c r="AA328" s="11" t="inlineStr">
        <is>
          <t>2026-10-07</t>
        </is>
      </c>
      <c r="AB328" s="11" t="inlineStr">
        <is>
          <t>name_year</t>
        </is>
      </c>
      <c r="AC328" s="2" t="inlineStr"/>
      <c r="AD328" s="2" t="inlineStr">
        <is>
          <t>Wing Commander J. Kumar v. Union of India (UOI) and Others (1982) was overruled by P. Mohan Reddy etc. v. E.A.A. Charles and Others (2001).</t>
        </is>
      </c>
      <c r="AE328" s="2" t="n"/>
      <c r="AF328" s="11" t="inlineStr">
        <is>
          <t>created from list 1</t>
        </is>
      </c>
    </row>
    <row r="329">
      <c r="A329" s="11" t="inlineStr">
        <is>
          <t>L1-0328</t>
        </is>
      </c>
      <c r="B329" s="11" t="inlineStr">
        <is>
          <t>List 1 (to ~2015)</t>
        </is>
      </c>
      <c r="C329" s="11" t="inlineStr">
        <is>
          <t>list1</t>
        </is>
      </c>
      <c r="D329" s="11" t="inlineStr">
        <is>
          <t>verified</t>
        </is>
      </c>
      <c r="E329" s="11" t="inlineStr">
        <is>
          <t>overruled</t>
        </is>
      </c>
      <c r="F329" s="2" t="inlineStr">
        <is>
          <t>Union of India (UOI) and Another v. Zora Singh and Others</t>
        </is>
      </c>
      <c r="G329" s="11" t="inlineStr"/>
      <c r="H329" s="11" t="inlineStr">
        <is>
          <t>Supreme Court</t>
        </is>
      </c>
      <c r="I329" s="2" t="inlineStr">
        <is>
          <t>(1991) 4 JT 538; (1991) 2 SCALE 1128; (1992) 1 SCC 673; (1991) 2 SCR 478 Supp; (1992) 1 UJ 229</t>
        </is>
      </c>
      <c r="J329" s="11" t="n">
        <v>1991</v>
      </c>
      <c r="K329" s="2" t="inlineStr">
        <is>
          <t>Nagpur Improvement Trust v. Vasantrao and Others and Jaswantibai and Others</t>
        </is>
      </c>
      <c r="L329" s="11" t="inlineStr">
        <is>
          <t>Supreme Court</t>
        </is>
      </c>
      <c r="M329" s="2" t="inlineStr">
        <is>
          <t>AIR 2002 SC 3499; (2002) 7 JT 447; (2002) 7 SCALE 307; (2002) 7 SCC 657; (2002) 2 SCR 636 Supp</t>
        </is>
      </c>
      <c r="N329" s="11" t="n">
        <v>2002</v>
      </c>
      <c r="O329" s="11" t="n"/>
      <c r="P329" s="11" t="n"/>
      <c r="Q329" s="11" t="n"/>
      <c r="R329" s="2" t="n"/>
      <c r="S329" s="2" t="n"/>
      <c r="T329" s="11" t="inlineStr"/>
      <c r="U329" s="11" t="inlineStr"/>
      <c r="V329" s="11" t="inlineStr">
        <is>
          <t>outside_list</t>
        </is>
      </c>
      <c r="W329" s="11" t="n"/>
      <c r="X329" s="11" t="n"/>
      <c r="Y329" s="11" t="n"/>
      <c r="Z329" s="11" t="inlineStr">
        <is>
          <t>Mr. Advocate</t>
        </is>
      </c>
      <c r="AA329" s="11" t="inlineStr">
        <is>
          <t>2026-10-07</t>
        </is>
      </c>
      <c r="AB329" s="11" t="inlineStr">
        <is>
          <t>name_year</t>
        </is>
      </c>
      <c r="AC329" s="2" t="inlineStr"/>
      <c r="AD329" s="2" t="inlineStr">
        <is>
          <t>Union of India (UOI) and Another v. Zora Singh and Others (1991) was overruled by Nagpur Improvement Trust v. Vasantrao and Others and Jaswantibai and Others (2002).</t>
        </is>
      </c>
      <c r="AE329" s="2" t="n"/>
      <c r="AF329" s="11" t="inlineStr">
        <is>
          <t>created from list 1</t>
        </is>
      </c>
    </row>
    <row r="330">
      <c r="A330" s="11" t="inlineStr">
        <is>
          <t>L1-0329</t>
        </is>
      </c>
      <c r="B330" s="11" t="inlineStr">
        <is>
          <t>List 1 (to ~2015)</t>
        </is>
      </c>
      <c r="C330" s="11" t="inlineStr">
        <is>
          <t>list1</t>
        </is>
      </c>
      <c r="D330" s="11" t="inlineStr">
        <is>
          <t>verified</t>
        </is>
      </c>
      <c r="E330" s="11" t="inlineStr">
        <is>
          <t>overruled</t>
        </is>
      </c>
      <c r="F330" s="2" t="inlineStr">
        <is>
          <t>Union of India (UOI) and Another v. K.R. Tahiliani</t>
        </is>
      </c>
      <c r="G330" s="11" t="inlineStr"/>
      <c r="H330" s="11" t="inlineStr">
        <is>
          <t>Supreme Court</t>
        </is>
      </c>
      <c r="I330" s="2" t="inlineStr">
        <is>
          <t>AIR 1980 SC 953; (1980) 3 SCC 309; (1980) 2 SCR 1092; (1980) 1 SLJ 314; (1980) 12 UJ 422</t>
        </is>
      </c>
      <c r="J330" s="11" t="n">
        <v>1980</v>
      </c>
      <c r="K330" s="2" t="inlineStr">
        <is>
          <t>A.L. Ahuja v. Union of India</t>
        </is>
      </c>
      <c r="L330" s="11" t="inlineStr">
        <is>
          <t>Supreme Court</t>
        </is>
      </c>
      <c r="M330" s="2" t="inlineStr">
        <is>
          <t>AIR 1987 SC 1907; (1987) 3 JT 148; (1987) LabIC 1634; (1988) 1 LLJ 470; (1987) 2 SCALE 103; (1987) 3 SCC 604(1); (1987) 3 SCC 604; (1987) 3 SCR 632; (1987) 3 SLJ 141</t>
        </is>
      </c>
      <c r="N330" s="11" t="n">
        <v>1987</v>
      </c>
      <c r="O330" s="11" t="n"/>
      <c r="P330" s="11" t="n"/>
      <c r="Q330" s="11" t="n"/>
      <c r="R330" s="2" t="n"/>
      <c r="S330" s="2" t="n"/>
      <c r="T330" s="11" t="inlineStr"/>
      <c r="U330" s="11" t="inlineStr"/>
      <c r="V330" s="11" t="inlineStr">
        <is>
          <t>outside_list</t>
        </is>
      </c>
      <c r="W330" s="11" t="n"/>
      <c r="X330" s="11" t="n"/>
      <c r="Y330" s="11" t="n"/>
      <c r="Z330" s="11" t="inlineStr">
        <is>
          <t>Mr. Advocate</t>
        </is>
      </c>
      <c r="AA330" s="11" t="inlineStr">
        <is>
          <t>2026-10-07</t>
        </is>
      </c>
      <c r="AB330" s="11" t="inlineStr">
        <is>
          <t>name_year</t>
        </is>
      </c>
      <c r="AC330" s="2" t="inlineStr"/>
      <c r="AD330" s="2" t="inlineStr">
        <is>
          <t>Union of India (UOI) and Another v. K.R. Tahiliani (1980) was overruled by A.L. Ahuja v. Union of India (1987).</t>
        </is>
      </c>
      <c r="AE330" s="2" t="n"/>
      <c r="AF330" s="11" t="inlineStr">
        <is>
          <t>created from list 1</t>
        </is>
      </c>
    </row>
    <row r="331">
      <c r="A331" s="11" t="inlineStr">
        <is>
          <t>L1-0330</t>
        </is>
      </c>
      <c r="B331" s="11" t="inlineStr">
        <is>
          <t>List 1 (to ~2015)</t>
        </is>
      </c>
      <c r="C331" s="11" t="inlineStr">
        <is>
          <t>list1</t>
        </is>
      </c>
      <c r="D331" s="11" t="inlineStr">
        <is>
          <t>verified</t>
        </is>
      </c>
      <c r="E331" s="11" t="inlineStr">
        <is>
          <t>overruled</t>
        </is>
      </c>
      <c r="F331" s="2" t="inlineStr">
        <is>
          <t>Shri Vidya Prachar Trust v. Pandit Basant Ram</t>
        </is>
      </c>
      <c r="G331" s="11" t="inlineStr"/>
      <c r="H331" s="11" t="inlineStr">
        <is>
          <t>Supreme Court</t>
        </is>
      </c>
      <c r="I331" s="2" t="inlineStr">
        <is>
          <t>AIR 1969 SC 1273; (1969) 1 SCC 835; (1970) 1 SCR 66</t>
        </is>
      </c>
      <c r="J331" s="11" t="n">
        <v>1969</v>
      </c>
      <c r="K331" s="2" t="inlineStr">
        <is>
          <t>Mangat Rai and Another v. Kidar Nath and Others</t>
        </is>
      </c>
      <c r="L331" s="11" t="inlineStr">
        <is>
          <t>Supreme Court</t>
        </is>
      </c>
      <c r="M331" s="2" t="inlineStr">
        <is>
          <t>AIR 1980 SC 1709; (1981) 83 PLR 1; (1980) 4 SCC 276; (1981) 1 SCR 476</t>
        </is>
      </c>
      <c r="N331" s="11" t="n">
        <v>1980</v>
      </c>
      <c r="O331" s="11" t="n"/>
      <c r="P331" s="11" t="n"/>
      <c r="Q331" s="11" t="n"/>
      <c r="R331" s="2" t="n"/>
      <c r="S331" s="2" t="n"/>
      <c r="T331" s="11" t="inlineStr"/>
      <c r="U331" s="11" t="inlineStr"/>
      <c r="V331" s="11" t="inlineStr">
        <is>
          <t>outside_list</t>
        </is>
      </c>
      <c r="W331" s="11" t="n"/>
      <c r="X331" s="11" t="n"/>
      <c r="Y331" s="11" t="n"/>
      <c r="Z331" s="11" t="inlineStr">
        <is>
          <t>Mr. Advocate</t>
        </is>
      </c>
      <c r="AA331" s="11" t="inlineStr">
        <is>
          <t>2026-10-07</t>
        </is>
      </c>
      <c r="AB331" s="11" t="inlineStr">
        <is>
          <t>name_year</t>
        </is>
      </c>
      <c r="AC331" s="2" t="inlineStr"/>
      <c r="AD331" s="2" t="inlineStr">
        <is>
          <t>Shri Vidya Prachar Trust v. Pandit Basant Ram (1969) was overruled by Mangat Rai and Another v. Kidar Nath and Others (1980).</t>
        </is>
      </c>
      <c r="AE331" s="2" t="n"/>
      <c r="AF331" s="11" t="inlineStr">
        <is>
          <t>created from list 1</t>
        </is>
      </c>
    </row>
    <row r="332">
      <c r="A332" s="11" t="inlineStr">
        <is>
          <t>L1-0331</t>
        </is>
      </c>
      <c r="B332" s="11" t="inlineStr">
        <is>
          <t>List 1 (to ~2015)</t>
        </is>
      </c>
      <c r="C332" s="11" t="inlineStr">
        <is>
          <t>list1</t>
        </is>
      </c>
      <c r="D332" s="11" t="inlineStr">
        <is>
          <t>verified</t>
        </is>
      </c>
      <c r="E332" s="11" t="inlineStr">
        <is>
          <t>overruled</t>
        </is>
      </c>
      <c r="F332" s="2" t="inlineStr">
        <is>
          <t>Union of India and another v. Pradeep Kumari and others</t>
        </is>
      </c>
      <c r="G332" s="11" t="inlineStr"/>
      <c r="H332" s="11" t="inlineStr">
        <is>
          <t>Supreme Court</t>
        </is>
      </c>
      <c r="I332" s="2" t="inlineStr">
        <is>
          <t>AIR 1995 SC 2259; (1995) 9 JT 644; (1995) 2 SCALE 260; (1995) 2 SCC 736; (1995) 2 SCR 703</t>
        </is>
      </c>
      <c r="J332" s="11" t="n">
        <v>1995</v>
      </c>
      <c r="K332" s="2" t="inlineStr">
        <is>
          <t>Union of India (UOI) and Others v. Karnail Singh and Others</t>
        </is>
      </c>
      <c r="L332" s="11" t="inlineStr">
        <is>
          <t>Supreme Court</t>
        </is>
      </c>
      <c r="M332" s="2" t="inlineStr">
        <is>
          <t>(1998) 4 JT 501; (1995) 110 PLR 661; (1995) 1 SCALE 21; (1995) 2 SCC 728; (1994) 5 SCR 584 Supp; (1995) 1 UJ 633</t>
        </is>
      </c>
      <c r="N332" s="11" t="n">
        <v>1994</v>
      </c>
      <c r="O332" s="11" t="n"/>
      <c r="P332" s="11" t="n"/>
      <c r="Q332" s="11" t="n"/>
      <c r="R332" s="2" t="n"/>
      <c r="S332" s="2" t="n"/>
      <c r="T332" s="11" t="inlineStr"/>
      <c r="U332" s="11" t="inlineStr"/>
      <c r="V332" s="11" t="inlineStr">
        <is>
          <t>outside_list</t>
        </is>
      </c>
      <c r="W332" s="11" t="n"/>
      <c r="X332" s="11" t="n"/>
      <c r="Y332" s="11" t="n"/>
      <c r="Z332" s="11" t="inlineStr">
        <is>
          <t>Mr. Advocate</t>
        </is>
      </c>
      <c r="AA332" s="11" t="inlineStr">
        <is>
          <t>2026-10-07</t>
        </is>
      </c>
      <c r="AB332" s="11" t="inlineStr">
        <is>
          <t>citation</t>
        </is>
      </c>
      <c r="AC332" s="2" t="inlineStr"/>
      <c r="AD332" s="2" t="inlineStr">
        <is>
          <t>Union of India and another v. Pradeep Kumari and others (1995) was overruled by Union of India (UOI) and Others v. Karnail Singh and Others (1994).</t>
        </is>
      </c>
      <c r="AE332" s="2" t="n"/>
      <c r="AF332" s="11" t="inlineStr">
        <is>
          <t>created from list 1</t>
        </is>
      </c>
    </row>
    <row r="333">
      <c r="A333" s="11" t="inlineStr">
        <is>
          <t>L1-0332</t>
        </is>
      </c>
      <c r="B333" s="11" t="inlineStr">
        <is>
          <t>List 1 (to ~2015)</t>
        </is>
      </c>
      <c r="C333" s="11" t="inlineStr">
        <is>
          <t>list1</t>
        </is>
      </c>
      <c r="D333" s="11" t="inlineStr">
        <is>
          <t>verified</t>
        </is>
      </c>
      <c r="E333" s="11" t="inlineStr">
        <is>
          <t>overruled</t>
        </is>
      </c>
      <c r="F333" s="2" t="inlineStr">
        <is>
          <t>Smt. Chetana Dilip Motghare v. Bhide Girls Education Society, Nagput and others</t>
        </is>
      </c>
      <c r="G333" s="11" t="inlineStr"/>
      <c r="H333" s="11" t="inlineStr">
        <is>
          <t>Supreme Court</t>
        </is>
      </c>
      <c r="I333" s="2" t="inlineStr">
        <is>
          <t>AIR 1994 SC 1917; (1993) LabIC 1608; (1995) 1 SCC 157 Supp; (1995) 1 SCC 157</t>
        </is>
      </c>
      <c r="J333" s="11" t="n">
        <v>1994</v>
      </c>
      <c r="K333" s="2" t="inlineStr">
        <is>
          <t>Union of India and Another v. Madhav Gajanan Chaubal and Another</t>
        </is>
      </c>
      <c r="L333" s="11" t="inlineStr">
        <is>
          <t>Supreme Court</t>
        </is>
      </c>
      <c r="M333" s="2" t="inlineStr">
        <is>
          <t>(1996) 8 AD 46; AIR 1997 SC 3074; (1997) 75 FLR 417; (1996) 9 JT 320; (1997) 1 LLJ 977; (1996) 7 SCALE 494; (1997) 2 SCC 332; (1996) 6 SCR 503 Supp; (1997) 1 SLJ 100; (1997) AIRSCW 3113; (1996) 7 Supreme 537</t>
        </is>
      </c>
      <c r="N333" s="11" t="n">
        <v>1997</v>
      </c>
      <c r="O333" s="11" t="n"/>
      <c r="P333" s="11" t="n"/>
      <c r="Q333" s="11" t="n"/>
      <c r="R333" s="2" t="n"/>
      <c r="S333" s="2" t="n"/>
      <c r="T333" s="11" t="inlineStr"/>
      <c r="U333" s="11" t="inlineStr"/>
      <c r="V333" s="11" t="inlineStr">
        <is>
          <t>outside_list</t>
        </is>
      </c>
      <c r="W333" s="11" t="n"/>
      <c r="X333" s="11" t="n"/>
      <c r="Y333" s="11" t="n"/>
      <c r="Z333" s="11" t="inlineStr">
        <is>
          <t>Mr. Advocate</t>
        </is>
      </c>
      <c r="AA333" s="11" t="inlineStr">
        <is>
          <t>2026-10-07</t>
        </is>
      </c>
      <c r="AB333" s="11" t="inlineStr">
        <is>
          <t>name_year</t>
        </is>
      </c>
      <c r="AC333" s="2" t="inlineStr">
        <is>
          <t>L1-0274: overruled by Post Graduate Institute of Medical Education and Research, Chandigarh v. Faculty Association and Others (1998)</t>
        </is>
      </c>
      <c r="AD333" s="2" t="inlineStr">
        <is>
          <t>Smt. Chetana Dilip Motghare v. Bhide Girls Education Society, Nagput and others (1994) was overruled by Union of India and Another v. Madhav Gajanan Chaubal and Another (1997). Note: Union of India and Another v. Madhav Gajanan Chaubal and Another was itself later overruled by Post Graduate Institute of Medical Education and Research, Chandigarh v. Faculty Association and Others (1998); the current position should be checked.</t>
        </is>
      </c>
      <c r="AE333" s="2" t="n"/>
      <c r="AF333" s="11" t="inlineStr">
        <is>
          <t>created from list 1</t>
        </is>
      </c>
    </row>
    <row r="334">
      <c r="A334" s="11" t="inlineStr">
        <is>
          <t>L1-0333</t>
        </is>
      </c>
      <c r="B334" s="11" t="inlineStr">
        <is>
          <t>List 1 (to ~2015)</t>
        </is>
      </c>
      <c r="C334" s="11" t="inlineStr">
        <is>
          <t>list1</t>
        </is>
      </c>
      <c r="D334" s="11" t="inlineStr">
        <is>
          <t>verified</t>
        </is>
      </c>
      <c r="E334" s="11" t="inlineStr">
        <is>
          <t>overruled</t>
        </is>
      </c>
      <c r="F334" s="2" t="inlineStr">
        <is>
          <t>Manganese Ore (India) Ltd. v. The Regional Assistant Commissioner of Sales Tax, Jabalpur</t>
        </is>
      </c>
      <c r="G334" s="11" t="inlineStr"/>
      <c r="H334" s="11" t="inlineStr">
        <is>
          <t>Supreme Court</t>
        </is>
      </c>
      <c r="I334" s="2" t="inlineStr">
        <is>
          <t>AIR 1976 SC 410; (1976) 4 SCC 124; (1976) 3 SCR 99; (1976) 37 STC 489</t>
        </is>
      </c>
      <c r="J334" s="11" t="n">
        <v>1976</v>
      </c>
      <c r="K334" s="2" t="inlineStr">
        <is>
          <t>Bharat Heavy Electrical Limited etc. v. Union of India and Others</t>
        </is>
      </c>
      <c r="L334" s="11" t="inlineStr">
        <is>
          <t>Supreme Court</t>
        </is>
      </c>
      <c r="M334" s="2" t="inlineStr">
        <is>
          <t>(1996) 4 AD 481; AIR 1996 SC 1854; (1996) 4 JT 427; (1996) 3 SCALE 746; (1996) 4 SCC 230; (1996) 1 SCR 533 Supp; (1996) 102 STC 373</t>
        </is>
      </c>
      <c r="N334" s="11" t="n">
        <v>1996</v>
      </c>
      <c r="O334" s="11" t="n"/>
      <c r="P334" s="11" t="n"/>
      <c r="Q334" s="11" t="n"/>
      <c r="R334" s="2" t="n"/>
      <c r="S334" s="2" t="n"/>
      <c r="T334" s="11" t="inlineStr"/>
      <c r="U334" s="11" t="inlineStr"/>
      <c r="V334" s="11" t="inlineStr">
        <is>
          <t>outside_list</t>
        </is>
      </c>
      <c r="W334" s="11" t="n"/>
      <c r="X334" s="11" t="n"/>
      <c r="Y334" s="11" t="n"/>
      <c r="Z334" s="11" t="inlineStr">
        <is>
          <t>Mr. Advocate</t>
        </is>
      </c>
      <c r="AA334" s="11" t="inlineStr">
        <is>
          <t>2026-10-07</t>
        </is>
      </c>
      <c r="AB334" s="11" t="inlineStr">
        <is>
          <t>name_year</t>
        </is>
      </c>
      <c r="AC334" s="2" t="inlineStr"/>
      <c r="AD334" s="2" t="inlineStr">
        <is>
          <t>Manganese Ore (India) Ltd. v. The Regional Assistant Commissioner of Sales Tax, Jabalpur (1976) was overruled by Bharat Heavy Electrical Limited etc. v. Union of India and Others (1996).</t>
        </is>
      </c>
      <c r="AE334" s="2" t="n"/>
      <c r="AF334" s="11" t="inlineStr">
        <is>
          <t>created from list 1</t>
        </is>
      </c>
    </row>
    <row r="335">
      <c r="A335" s="11" t="inlineStr">
        <is>
          <t>L1-0334</t>
        </is>
      </c>
      <c r="B335" s="11" t="inlineStr">
        <is>
          <t>List 1 (to ~2015)</t>
        </is>
      </c>
      <c r="C335" s="11" t="inlineStr">
        <is>
          <t>list1</t>
        </is>
      </c>
      <c r="D335" s="11" t="inlineStr">
        <is>
          <t>verified</t>
        </is>
      </c>
      <c r="E335" s="11" t="inlineStr">
        <is>
          <t>overruled</t>
        </is>
      </c>
      <c r="F335" s="2" t="inlineStr">
        <is>
          <t>State of Punjab v. Balbir Singh</t>
        </is>
      </c>
      <c r="G335" s="11" t="inlineStr"/>
      <c r="H335" s="11" t="inlineStr">
        <is>
          <t>Supreme Court</t>
        </is>
      </c>
      <c r="I335" s="2" t="inlineStr">
        <is>
          <t>AIR 1994 SC 1872; (1994) CriLJ 3702; (1994) 1 Crimes 753; (1994) 70 ELT 481; (1994) 2 JT 108; (1994) 1 SCALE 793; (1994) 3 SCC 299; (1994) 2 SCR 208</t>
        </is>
      </c>
      <c r="J335" s="11" t="n">
        <v>1994</v>
      </c>
      <c r="K335" s="2" t="inlineStr">
        <is>
          <t>Abdulbhai Daudbhai v. State of Gujarat</t>
        </is>
      </c>
      <c r="L335" s="11" t="inlineStr">
        <is>
          <t>Supreme Court</t>
        </is>
      </c>
      <c r="M335" s="2" t="inlineStr">
        <is>
          <t>AIR 1999 SC 1573; (1998) 7 JT 396; (1998) 9 SCC 675; (1998) AIRSCW 4058</t>
        </is>
      </c>
      <c r="N335" s="11" t="n">
        <v>1999</v>
      </c>
      <c r="O335" s="11" t="n"/>
      <c r="P335" s="11" t="n"/>
      <c r="Q335" s="11" t="n"/>
      <c r="R335" s="2" t="n"/>
      <c r="S335" s="2" t="n"/>
      <c r="T335" s="11" t="inlineStr"/>
      <c r="U335" s="11" t="inlineStr"/>
      <c r="V335" s="11" t="inlineStr">
        <is>
          <t>outside_list</t>
        </is>
      </c>
      <c r="W335" s="11" t="n"/>
      <c r="X335" s="11" t="n"/>
      <c r="Y335" s="11" t="n"/>
      <c r="Z335" s="11" t="inlineStr">
        <is>
          <t>Mr. Advocate</t>
        </is>
      </c>
      <c r="AA335" s="11" t="inlineStr">
        <is>
          <t>2026-10-07</t>
        </is>
      </c>
      <c r="AB335" s="11" t="inlineStr">
        <is>
          <t>name_year</t>
        </is>
      </c>
      <c r="AC335" s="2" t="inlineStr"/>
      <c r="AD335" s="2" t="inlineStr">
        <is>
          <t>State of Punjab v. Balbir Singh (1994) was overruled by Abdulbhai Daudbhai v. State of Gujarat (1999).</t>
        </is>
      </c>
      <c r="AE335" s="2" t="n"/>
      <c r="AF335" s="11" t="inlineStr">
        <is>
          <t>created from list 1</t>
        </is>
      </c>
    </row>
    <row r="336">
      <c r="A336" s="11" t="inlineStr">
        <is>
          <t>L1-0335</t>
        </is>
      </c>
      <c r="B336" s="11" t="inlineStr">
        <is>
          <t>List 1 (to ~2015)</t>
        </is>
      </c>
      <c r="C336" s="11" t="inlineStr">
        <is>
          <t>list1</t>
        </is>
      </c>
      <c r="D336" s="11" t="inlineStr">
        <is>
          <t>verified</t>
        </is>
      </c>
      <c r="E336" s="11" t="inlineStr">
        <is>
          <t>overruled</t>
        </is>
      </c>
      <c r="F336" s="2" t="inlineStr">
        <is>
          <t>P. Rathinam/Nagbhusan Patnaik v. Union of India and another</t>
        </is>
      </c>
      <c r="G336" s="11" t="inlineStr"/>
      <c r="H336" s="11" t="inlineStr">
        <is>
          <t>Supreme Court</t>
        </is>
      </c>
      <c r="I336" s="2" t="inlineStr">
        <is>
          <t>AIR 1994 SC 1844; (1994) 78 CLT 796; (1994) CriLJ 1605; (1994) 2 Crimes 228; (1994) 3 JT 392; (1994) 2 SCALE 674; (1994) 3 SCC 394; (1994) 3 SCR 673</t>
        </is>
      </c>
      <c r="J336" s="11" t="n">
        <v>1994</v>
      </c>
      <c r="K336" s="2" t="inlineStr">
        <is>
          <t>Smt. Gian Kaur v. State of Punjab</t>
        </is>
      </c>
      <c r="L336" s="11" t="inlineStr">
        <is>
          <t>Supreme Court</t>
        </is>
      </c>
      <c r="M336" s="2" t="inlineStr">
        <is>
          <t>AIR 1996 SC 946; AIR 1996 SC 1257; (1996) CriLJ 1660; (1996) 1 CTC 454; (1996) 3 JT 339; (1996) 2 SCALE 881; (1996) 2 SCC 648; (1996) 3 SCR 697</t>
        </is>
      </c>
      <c r="N336" s="11" t="n">
        <v>1996</v>
      </c>
      <c r="O336" s="11" t="n"/>
      <c r="P336" s="11" t="n"/>
      <c r="Q336" s="11" t="n"/>
      <c r="R336" s="2" t="n"/>
      <c r="S336" s="2" t="n"/>
      <c r="T336" s="11" t="inlineStr"/>
      <c r="U336" s="11" t="inlineStr"/>
      <c r="V336" s="11" t="inlineStr">
        <is>
          <t>outside_list</t>
        </is>
      </c>
      <c r="W336" s="11" t="n"/>
      <c r="X336" s="11" t="n"/>
      <c r="Y336" s="11" t="n"/>
      <c r="Z336" s="11" t="inlineStr">
        <is>
          <t>Mr. Advocate</t>
        </is>
      </c>
      <c r="AA336" s="11" t="inlineStr">
        <is>
          <t>2026-10-07</t>
        </is>
      </c>
      <c r="AB336" s="11" t="inlineStr">
        <is>
          <t>name_year</t>
        </is>
      </c>
      <c r="AC336" s="2" t="inlineStr"/>
      <c r="AD336" s="2" t="inlineStr">
        <is>
          <t>P. Rathinam/Nagbhusan Patnaik v. Union of India and another (1994) was overruled by Smt. Gian Kaur v. State of Punjab (1996).</t>
        </is>
      </c>
      <c r="AE336" s="2" t="n"/>
      <c r="AF336" s="11" t="inlineStr">
        <is>
          <t>created from list 1</t>
        </is>
      </c>
    </row>
    <row r="337">
      <c r="A337" s="11" t="inlineStr">
        <is>
          <t>L1-0336</t>
        </is>
      </c>
      <c r="B337" s="11" t="inlineStr">
        <is>
          <t>List 1 (to ~2015)</t>
        </is>
      </c>
      <c r="C337" s="11" t="inlineStr">
        <is>
          <t>list1</t>
        </is>
      </c>
      <c r="D337" s="11" t="inlineStr">
        <is>
          <t>verified</t>
        </is>
      </c>
      <c r="E337" s="11" t="inlineStr">
        <is>
          <t>overruled</t>
        </is>
      </c>
      <c r="F337" s="2" t="inlineStr">
        <is>
          <t>Mahendra Saree Emporium v. G.V. Srinivasa Murthy</t>
        </is>
      </c>
      <c r="G337" s="11" t="inlineStr"/>
      <c r="H337" s="11" t="inlineStr">
        <is>
          <t>Supreme Court</t>
        </is>
      </c>
      <c r="I337" s="2" t="inlineStr">
        <is>
          <t>AIR 2002 SC 2430; (2002) 1 JT 70 Supp; (2002) 4 SCALE 432; (2002) 5 SCC 416; (2002) 3 SCR 694</t>
        </is>
      </c>
      <c r="J337" s="11" t="n">
        <v>2002</v>
      </c>
      <c r="K337" s="2" t="inlineStr">
        <is>
          <t>Mahendra Saree Emporium v. G.V. Srinivasa Murthy</t>
        </is>
      </c>
      <c r="L337" s="11" t="inlineStr">
        <is>
          <t>Supreme Court</t>
        </is>
      </c>
      <c r="M337" s="2" t="inlineStr">
        <is>
          <t>AIR 2004 SC 4289; (2004) 7 JT 20; (2004) 7 SCALE 271; (2005) 1 SCC 481; (2004) 3 SCR 931 Supp; (2004) AIRSCW 4797; (2004) 6 Supreme 599</t>
        </is>
      </c>
      <c r="N337" s="11" t="n">
        <v>2004</v>
      </c>
      <c r="O337" s="11" t="n"/>
      <c r="P337" s="11" t="n"/>
      <c r="Q337" s="11" t="n"/>
      <c r="R337" s="2" t="n"/>
      <c r="S337" s="2" t="n"/>
      <c r="T337" s="11" t="inlineStr"/>
      <c r="U337" s="11" t="inlineStr"/>
      <c r="V337" s="11" t="inlineStr">
        <is>
          <t>outside_list</t>
        </is>
      </c>
      <c r="W337" s="11" t="n"/>
      <c r="X337" s="11" t="n"/>
      <c r="Y337" s="11" t="n"/>
      <c r="Z337" s="11" t="inlineStr">
        <is>
          <t>Mr. Advocate</t>
        </is>
      </c>
      <c r="AA337" s="11" t="inlineStr">
        <is>
          <t>2026-10-07</t>
        </is>
      </c>
      <c r="AB337" s="11" t="inlineStr">
        <is>
          <t>name_year</t>
        </is>
      </c>
      <c r="AC337" s="2" t="inlineStr"/>
      <c r="AD337" s="2" t="inlineStr">
        <is>
          <t>Mahendra Saree Emporium v. G.V. Srinivasa Murthy (2002) was overruled by Mahendra Saree Emporium v. G.V. Srinivasa Murthy (2004).</t>
        </is>
      </c>
      <c r="AE337" s="2" t="n"/>
      <c r="AF337" s="11" t="inlineStr">
        <is>
          <t>created from list 1</t>
        </is>
      </c>
    </row>
    <row r="338">
      <c r="A338" s="11" t="inlineStr">
        <is>
          <t>L1-0337</t>
        </is>
      </c>
      <c r="B338" s="11" t="inlineStr">
        <is>
          <t>List 1 (to ~2015)</t>
        </is>
      </c>
      <c r="C338" s="11" t="inlineStr">
        <is>
          <t>list1</t>
        </is>
      </c>
      <c r="D338" s="11" t="inlineStr">
        <is>
          <t>verified</t>
        </is>
      </c>
      <c r="E338" s="11" t="inlineStr">
        <is>
          <t>overruled</t>
        </is>
      </c>
      <c r="F338" s="2" t="inlineStr">
        <is>
          <t>U.P. Rashtriya Chinni Mills Adhikari Parishad, Lucknow v. State of U.P. and others</t>
        </is>
      </c>
      <c r="G338" s="11" t="inlineStr"/>
      <c r="H338" s="11" t="inlineStr">
        <is>
          <t>Supreme Court</t>
        </is>
      </c>
      <c r="I338" s="2" t="inlineStr">
        <is>
          <t>AIR 1995 SC 2148; (1995) 5 JT 474; (1995) 4 SCALE 265; (1995) 4 SCC 738; (1995) 1 SCR 733 Supp</t>
        </is>
      </c>
      <c r="J338" s="11" t="n">
        <v>1995</v>
      </c>
      <c r="K338" s="2" t="inlineStr">
        <is>
          <t>Kusum Ingots and Alloys Ltd. v. Union of India (UOI) and Another</t>
        </is>
      </c>
      <c r="L338" s="11" t="inlineStr">
        <is>
          <t>Supreme Court</t>
        </is>
      </c>
      <c r="M338" s="2" t="inlineStr">
        <is>
          <t>AIR 2004 SC 2321; (2004) 3 BC 56; (2004) 120 CompCas 672; (2004) 3 CompLJ 1; (2004) 3 CTC 365; (2004) 186 ELT 3; (2004) 1 JT 475 Supp; (2004) 138 PLR 626; (2004) 5 SCALE 304; (2004) 6 SCC 254; (2004) 1 SCR 841 Supp; (2004) AIRSCW 7357; (2004) AIRSCW 2766; (2004) 3 Supreme 757; (2004) 6 Supreme 376</t>
        </is>
      </c>
      <c r="N338" s="11" t="n">
        <v>2004</v>
      </c>
      <c r="O338" s="11" t="n"/>
      <c r="P338" s="11" t="n"/>
      <c r="Q338" s="11" t="n"/>
      <c r="R338" s="2" t="n"/>
      <c r="S338" s="2" t="n"/>
      <c r="T338" s="11" t="inlineStr"/>
      <c r="U338" s="11" t="inlineStr"/>
      <c r="V338" s="11" t="inlineStr">
        <is>
          <t>outside_list</t>
        </is>
      </c>
      <c r="W338" s="11" t="n"/>
      <c r="X338" s="11" t="n"/>
      <c r="Y338" s="11" t="n"/>
      <c r="Z338" s="11" t="inlineStr">
        <is>
          <t>Mr. Advocate</t>
        </is>
      </c>
      <c r="AA338" s="11" t="inlineStr">
        <is>
          <t>2026-10-07</t>
        </is>
      </c>
      <c r="AB338" s="11" t="inlineStr">
        <is>
          <t>name_year</t>
        </is>
      </c>
      <c r="AC338" s="2" t="inlineStr"/>
      <c r="AD338" s="2" t="inlineStr">
        <is>
          <t>U.P. Rashtriya Chinni Mills Adhikari Parishad, Lucknow v. State of U.P. and others (1995) was overruled by Kusum Ingots and Alloys Ltd. v. Union of India (UOI) and Another (2004).</t>
        </is>
      </c>
      <c r="AE338" s="2" t="n"/>
      <c r="AF338" s="11" t="inlineStr">
        <is>
          <t>created from list 1</t>
        </is>
      </c>
    </row>
    <row r="339">
      <c r="A339" s="11" t="inlineStr">
        <is>
          <t>L1-0338</t>
        </is>
      </c>
      <c r="B339" s="11" t="inlineStr">
        <is>
          <t>List 1 (to ~2015)</t>
        </is>
      </c>
      <c r="C339" s="11" t="inlineStr">
        <is>
          <t>list1</t>
        </is>
      </c>
      <c r="D339" s="11" t="inlineStr">
        <is>
          <t>verified</t>
        </is>
      </c>
      <c r="E339" s="11" t="inlineStr">
        <is>
          <t>overruled</t>
        </is>
      </c>
      <c r="F339" s="2" t="inlineStr">
        <is>
          <t>Parripati Chandrasekharrao and Sons v. Alapati Jalaiah</t>
        </is>
      </c>
      <c r="G339" s="11" t="inlineStr"/>
      <c r="H339" s="11" t="inlineStr">
        <is>
          <t>Supreme Court</t>
        </is>
      </c>
      <c r="I339" s="2" t="inlineStr">
        <is>
          <t>AIR 1995 SC 1781; (1995) 4 JT 187; (1995) 3 SCALE 197; (1995) 3 SCC 709; (1995) 3 SCR 817</t>
        </is>
      </c>
      <c r="J339" s="11" t="n">
        <v>1995</v>
      </c>
      <c r="K339" s="2" t="inlineStr">
        <is>
          <t>Shri Kishan @ Krishan Kumar v. Manoj Kumar Etc. Etc.</t>
        </is>
      </c>
      <c r="L339" s="11" t="inlineStr">
        <is>
          <t>Supreme Court</t>
        </is>
      </c>
      <c r="M339" s="2" t="inlineStr">
        <is>
          <t>(1998) 2 AD 162; AIR 1998 SC 999; (1998) 2 CTC 37; (1998) 1 JT 633; (1998) 118 PLR 593; (1998) 1 SCALE 582; (1998) 2 SCC 710; (1998) 1 SCR 830; (1998) AIRSCW 769; (1998) 2 Supreme 478</t>
        </is>
      </c>
      <c r="N339" s="11" t="n">
        <v>1998</v>
      </c>
      <c r="O339" s="11" t="n"/>
      <c r="P339" s="11" t="n"/>
      <c r="Q339" s="11" t="n"/>
      <c r="R339" s="2" t="n"/>
      <c r="S339" s="2" t="n"/>
      <c r="T339" s="11" t="inlineStr"/>
      <c r="U339" s="11" t="inlineStr"/>
      <c r="V339" s="11" t="inlineStr">
        <is>
          <t>outside_list</t>
        </is>
      </c>
      <c r="W339" s="11" t="n"/>
      <c r="X339" s="11" t="n"/>
      <c r="Y339" s="11" t="n"/>
      <c r="Z339" s="11" t="inlineStr">
        <is>
          <t>Mr. Advocate</t>
        </is>
      </c>
      <c r="AA339" s="11" t="inlineStr">
        <is>
          <t>2026-10-07</t>
        </is>
      </c>
      <c r="AB339" s="11" t="inlineStr">
        <is>
          <t>name_year</t>
        </is>
      </c>
      <c r="AC339" s="2" t="inlineStr"/>
      <c r="AD339" s="2" t="inlineStr">
        <is>
          <t>Parripati Chandrasekharrao and Sons v. Alapati Jalaiah (1995) was overruled by Shri Kishan @ Krishan Kumar v. Manoj Kumar Etc. Etc. (1998).</t>
        </is>
      </c>
      <c r="AE339" s="2" t="n"/>
      <c r="AF339" s="11" t="inlineStr">
        <is>
          <t>created from list 1</t>
        </is>
      </c>
    </row>
    <row r="340">
      <c r="A340" s="11" t="inlineStr">
        <is>
          <t>L1-0339</t>
        </is>
      </c>
      <c r="B340" s="11" t="inlineStr">
        <is>
          <t>List 1 (to ~2015)</t>
        </is>
      </c>
      <c r="C340" s="11" t="inlineStr">
        <is>
          <t>list1</t>
        </is>
      </c>
      <c r="D340" s="11" t="inlineStr">
        <is>
          <t>verified</t>
        </is>
      </c>
      <c r="E340" s="11" t="inlineStr">
        <is>
          <t>overruled</t>
        </is>
      </c>
      <c r="F340" s="2" t="inlineStr">
        <is>
          <t>Basavantappa v. Gangadhar Narayan Dharwadkar and Another</t>
        </is>
      </c>
      <c r="G340" s="11" t="inlineStr"/>
      <c r="H340" s="11" t="inlineStr">
        <is>
          <t>Supreme Court</t>
        </is>
      </c>
      <c r="I340" s="2" t="inlineStr">
        <is>
          <t>AIR 1987 SC 53; (1986) JT 443; (1986) 2 SCALE 431; (1986) 4 SCC 273; (1986) 3 SCR 734; (1987) 1 UJ 3</t>
        </is>
      </c>
      <c r="J340" s="11" t="n">
        <v>1987</v>
      </c>
      <c r="K340" s="2" t="inlineStr">
        <is>
          <t>P.K. Unni v. Nirmala Industries and others</t>
        </is>
      </c>
      <c r="L340" s="11" t="inlineStr">
        <is>
          <t>Supreme Court</t>
        </is>
      </c>
      <c r="M340" s="2" t="inlineStr">
        <is>
          <t>AIR 1990 SC 933; (1991) 2 BC 146; (1990) 1 JT 423; (1990) 97 PLR 547; (1990) 1 SCALE 316; (1990) 2 SCC 378; (1990) 1 SCR 483</t>
        </is>
      </c>
      <c r="N340" s="11" t="n">
        <v>1990</v>
      </c>
      <c r="O340" s="11" t="n"/>
      <c r="P340" s="11" t="n"/>
      <c r="Q340" s="11" t="n"/>
      <c r="R340" s="2" t="n"/>
      <c r="S340" s="2" t="n"/>
      <c r="T340" s="11" t="inlineStr"/>
      <c r="U340" s="11" t="inlineStr"/>
      <c r="V340" s="11" t="inlineStr">
        <is>
          <t>outside_list</t>
        </is>
      </c>
      <c r="W340" s="11" t="n"/>
      <c r="X340" s="11" t="n"/>
      <c r="Y340" s="11" t="n"/>
      <c r="Z340" s="11" t="inlineStr">
        <is>
          <t>Mr. Advocate</t>
        </is>
      </c>
      <c r="AA340" s="11" t="inlineStr">
        <is>
          <t>2026-10-07</t>
        </is>
      </c>
      <c r="AB340" s="11" t="inlineStr">
        <is>
          <t>name_year</t>
        </is>
      </c>
      <c r="AC340" s="2" t="inlineStr">
        <is>
          <t>L1-0424: overruled by Dadi Jagannadham v. Jammulu Ramulu and Others (2001)</t>
        </is>
      </c>
      <c r="AD340" s="2" t="inlineStr">
        <is>
          <t>Basavantappa v. Gangadhar Narayan Dharwadkar and Another (1987) was overruled by P.K. Unni v. Nirmala Industries and others (1990). Note: P.K. Unni v. Nirmala Industries and others was itself later overruled by Dadi Jagannadham v. Jammulu Ramulu and Others (2001); the current position should be checked.</t>
        </is>
      </c>
      <c r="AE340" s="2" t="n"/>
      <c r="AF340" s="11" t="inlineStr">
        <is>
          <t>created from list 1</t>
        </is>
      </c>
    </row>
    <row r="341">
      <c r="A341" s="11" t="inlineStr">
        <is>
          <t>L1-0340</t>
        </is>
      </c>
      <c r="B341" s="11" t="inlineStr">
        <is>
          <t>List 1 (to ~2015)</t>
        </is>
      </c>
      <c r="C341" s="11" t="inlineStr">
        <is>
          <t>list1</t>
        </is>
      </c>
      <c r="D341" s="11" t="inlineStr">
        <is>
          <t>verified</t>
        </is>
      </c>
      <c r="E341" s="11" t="inlineStr">
        <is>
          <t>overruled</t>
        </is>
      </c>
      <c r="F341" s="2" t="inlineStr">
        <is>
          <t>Bharat Coking Coal Ltd. v. Shri Parmeshwar Kumar Agarwala and Another</t>
        </is>
      </c>
      <c r="G341" s="11" t="inlineStr"/>
      <c r="H341" s="11" t="inlineStr">
        <is>
          <t>Supreme Court</t>
        </is>
      </c>
      <c r="I341" s="2" t="inlineStr">
        <is>
          <t>(1979) 3 SCC 609; (1979) 11 UJ 112</t>
        </is>
      </c>
      <c r="J341" s="11" t="n">
        <v>1979</v>
      </c>
      <c r="K341" s="2" t="inlineStr">
        <is>
          <t>Sanjeev Coke Manufacturing Company v. Bharat Coking Coal Limited and Another</t>
        </is>
      </c>
      <c r="L341" s="11" t="inlineStr">
        <is>
          <t>Supreme Court</t>
        </is>
      </c>
      <c r="M341" s="2" t="inlineStr">
        <is>
          <t>AIR 1983 SC 239; (1982) 2 SCALE 1193; (1983) 1 SCC 147; (1983) 1 SCR 1000</t>
        </is>
      </c>
      <c r="N341" s="11" t="n">
        <v>1983</v>
      </c>
      <c r="O341" s="11" t="n"/>
      <c r="P341" s="11" t="n"/>
      <c r="Q341" s="11" t="n"/>
      <c r="R341" s="2" t="n"/>
      <c r="S341" s="2" t="n"/>
      <c r="T341" s="11" t="inlineStr"/>
      <c r="U341" s="11" t="inlineStr"/>
      <c r="V341" s="11" t="inlineStr">
        <is>
          <t>outside_list</t>
        </is>
      </c>
      <c r="W341" s="11" t="n"/>
      <c r="X341" s="11" t="n"/>
      <c r="Y341" s="11" t="n"/>
      <c r="Z341" s="11" t="inlineStr">
        <is>
          <t>Mr. Advocate</t>
        </is>
      </c>
      <c r="AA341" s="11" t="inlineStr">
        <is>
          <t>2026-10-07</t>
        </is>
      </c>
      <c r="AB341" s="11" t="inlineStr">
        <is>
          <t>name_year</t>
        </is>
      </c>
      <c r="AC341" s="2" t="inlineStr"/>
      <c r="AD341" s="2" t="inlineStr">
        <is>
          <t>Bharat Coking Coal Ltd. v. Shri Parmeshwar Kumar Agarwala and Another (1979) was overruled by Sanjeev Coke Manufacturing Company v. Bharat Coking Coal Limited and Another (1983).</t>
        </is>
      </c>
      <c r="AE341" s="2" t="n"/>
      <c r="AF341" s="11" t="inlineStr">
        <is>
          <t>created from list 1</t>
        </is>
      </c>
    </row>
    <row r="342">
      <c r="A342" s="11" t="inlineStr">
        <is>
          <t>L1-0341</t>
        </is>
      </c>
      <c r="B342" s="11" t="inlineStr">
        <is>
          <t>List 1 (to ~2015)</t>
        </is>
      </c>
      <c r="C342" s="11" t="inlineStr">
        <is>
          <t>list1</t>
        </is>
      </c>
      <c r="D342" s="11" t="inlineStr">
        <is>
          <t>verified</t>
        </is>
      </c>
      <c r="E342" s="11" t="inlineStr">
        <is>
          <t>overruled</t>
        </is>
      </c>
      <c r="F342" s="2" t="inlineStr">
        <is>
          <t>Society for Un-aided Private Schools of Rajasthan v. Union of India (UOI) and Another</t>
        </is>
      </c>
      <c r="G342" s="11" t="inlineStr"/>
      <c r="H342" s="11" t="inlineStr">
        <is>
          <t>Supreme Court</t>
        </is>
      </c>
      <c r="I342" s="2" t="inlineStr">
        <is>
          <t>AIR 2012 SC 3445; (2012) 114 CLT 862; (2012) 4 SCALE 272; (2012) 6 SCC 1; (2012) AIRSCW 3400; (2012) 3 Supreme 305</t>
        </is>
      </c>
      <c r="J342" s="11" t="n">
        <v>2012</v>
      </c>
      <c r="K342" s="2" t="inlineStr">
        <is>
          <t>Pramati Educational and Cultural Trust (r) and Others v. Union of India (UOI) and Others</t>
        </is>
      </c>
      <c r="L342" s="11" t="inlineStr">
        <is>
          <t>Supreme Court</t>
        </is>
      </c>
      <c r="M342" s="2" t="inlineStr">
        <is>
          <t>AIR 2014 SC 2114; (2014) AIRSCW 2859; (2014) 7 JT 46; (2014) 7 SCALE 306; (2014) 8 SCC 1; (2014) 4 SCJ 626</t>
        </is>
      </c>
      <c r="N342" s="11" t="n">
        <v>2014</v>
      </c>
      <c r="O342" s="11" t="n"/>
      <c r="P342" s="11" t="n"/>
      <c r="Q342" s="11" t="n"/>
      <c r="R342" s="2" t="n"/>
      <c r="S342" s="2" t="n"/>
      <c r="T342" s="11" t="inlineStr"/>
      <c r="U342" s="11" t="inlineStr"/>
      <c r="V342" s="11" t="inlineStr">
        <is>
          <t>outside_list</t>
        </is>
      </c>
      <c r="W342" s="11" t="n"/>
      <c r="X342" s="11" t="n"/>
      <c r="Y342" s="11" t="n"/>
      <c r="Z342" s="11" t="inlineStr">
        <is>
          <t>Mr. Advocate</t>
        </is>
      </c>
      <c r="AA342" s="11" t="inlineStr">
        <is>
          <t>2026-10-07</t>
        </is>
      </c>
      <c r="AB342" s="11" t="inlineStr">
        <is>
          <t>name_year</t>
        </is>
      </c>
      <c r="AC342" s="2" t="inlineStr"/>
      <c r="AD342" s="2" t="inlineStr">
        <is>
          <t>Society for Un-aided Private Schools of Rajasthan v. Union of India (UOI) and Another (2012) was overruled by Pramati Educational and Cultural Trust (r) and Others v. Union of India (UOI) and Others (2014).</t>
        </is>
      </c>
      <c r="AE342" s="2" t="n"/>
      <c r="AF342" s="11" t="inlineStr">
        <is>
          <t>created from list 1</t>
        </is>
      </c>
    </row>
    <row r="343">
      <c r="A343" s="11" t="inlineStr">
        <is>
          <t>L1-0342</t>
        </is>
      </c>
      <c r="B343" s="11" t="inlineStr">
        <is>
          <t>List 1 (to ~2015)</t>
        </is>
      </c>
      <c r="C343" s="11" t="inlineStr">
        <is>
          <t>list1</t>
        </is>
      </c>
      <c r="D343" s="11" t="inlineStr">
        <is>
          <t>verified</t>
        </is>
      </c>
      <c r="E343" s="11" t="inlineStr">
        <is>
          <t>overruled</t>
        </is>
      </c>
      <c r="F343" s="2" t="inlineStr">
        <is>
          <t>Collector of Central Excise v. Neoli Sugar Factory etc.</t>
        </is>
      </c>
      <c r="G343" s="11" t="inlineStr"/>
      <c r="H343" s="11" t="inlineStr">
        <is>
          <t>Supreme Court</t>
        </is>
      </c>
      <c r="I343" s="2" t="inlineStr">
        <is>
          <t>AIR 1993 SC 1921; (1994) 48 ECC 191; (1993) 46 ECR 529; (1993) 65 ELT 145; (1993) 2 JT 587; (1993) 2 SCALE 295; (1993) 3 SCC 69 Supp; (1993) 2 SCR 758</t>
        </is>
      </c>
      <c r="J343" s="11" t="n">
        <v>1993</v>
      </c>
      <c r="K343" s="2" t="inlineStr">
        <is>
          <t>Rambai Manjanath Nayak and others v. Union of India and others</t>
        </is>
      </c>
      <c r="L343" s="11" t="inlineStr">
        <is>
          <t>Supreme Court</t>
        </is>
      </c>
      <c r="M343" s="2" t="inlineStr">
        <is>
          <t>AIR 1993 SC 342; AIR 1992 SC 342; (1992) 108 CTR 294; (1993) 201 ITR 422; (1992) 3 SCALE 166; (1992) 4 SCC 742; (1992) 3 SCR 56 Supp; (1993) 66 TAXMAN 486</t>
        </is>
      </c>
      <c r="N343" s="11" t="n">
        <v>1993</v>
      </c>
      <c r="O343" s="11" t="n"/>
      <c r="P343" s="11" t="n"/>
      <c r="Q343" s="11" t="n"/>
      <c r="R343" s="2" t="n"/>
      <c r="S343" s="2" t="n"/>
      <c r="T343" s="11" t="inlineStr"/>
      <c r="U343" s="11" t="inlineStr"/>
      <c r="V343" s="11" t="inlineStr">
        <is>
          <t>outside_list</t>
        </is>
      </c>
      <c r="W343" s="11" t="n"/>
      <c r="X343" s="11" t="n"/>
      <c r="Y343" s="11" t="n"/>
      <c r="Z343" s="11" t="inlineStr">
        <is>
          <t>Mr. Advocate</t>
        </is>
      </c>
      <c r="AA343" s="11" t="inlineStr">
        <is>
          <t>2026-10-07</t>
        </is>
      </c>
      <c r="AB343" s="11" t="inlineStr">
        <is>
          <t>name_year</t>
        </is>
      </c>
      <c r="AC343" s="2" t="inlineStr"/>
      <c r="AD343" s="2" t="inlineStr">
        <is>
          <t>Collector of Central Excise v. Neoli Sugar Factory etc. (1993) was overruled by Rambai Manjanath Nayak and others v. Union of India and others (1993).</t>
        </is>
      </c>
      <c r="AE343" s="2" t="n"/>
      <c r="AF343" s="11" t="inlineStr">
        <is>
          <t>created from list 1</t>
        </is>
      </c>
    </row>
    <row r="344">
      <c r="A344" s="11" t="inlineStr">
        <is>
          <t>L1-0343</t>
        </is>
      </c>
      <c r="B344" s="11" t="inlineStr">
        <is>
          <t>List 1 (to ~2015)</t>
        </is>
      </c>
      <c r="C344" s="11" t="inlineStr">
        <is>
          <t>list1</t>
        </is>
      </c>
      <c r="D344" s="11" t="inlineStr">
        <is>
          <t>verified</t>
        </is>
      </c>
      <c r="E344" s="11" t="inlineStr">
        <is>
          <t>overruled</t>
        </is>
      </c>
      <c r="F344" s="2" t="inlineStr">
        <is>
          <t>Pasupuleti Venkateswarlu v. The Motor and General Traders</t>
        </is>
      </c>
      <c r="G344" s="11" t="inlineStr"/>
      <c r="H344" s="11" t="inlineStr">
        <is>
          <t>Supreme Court</t>
        </is>
      </c>
      <c r="I344" s="2" t="inlineStr">
        <is>
          <t>AIR 1975 SC 1409; (1975) 1 SCC 770; (1975) 3 SCR 958; (1975) 7 UJ 327</t>
        </is>
      </c>
      <c r="J344" s="11" t="n">
        <v>1975</v>
      </c>
      <c r="K344" s="2" t="inlineStr">
        <is>
          <t>Shri Kishan @ Krishan Kumar v. Manoj Kumar Etc. Etc.</t>
        </is>
      </c>
      <c r="L344" s="11" t="inlineStr">
        <is>
          <t>Supreme Court</t>
        </is>
      </c>
      <c r="M344" s="2" t="inlineStr">
        <is>
          <t>(1998) 2 AD 162; AIR 1998 SC 999; (1998) 2 CTC 37; (1998) 1 JT 633; (1998) 118 PLR 593; (1998) 1 SCALE 582; (1998) 2 SCC 710; (1998) 1 SCR 830; (1998) AIRSCW 769; (1998) 2 Supreme 478</t>
        </is>
      </c>
      <c r="N344" s="11" t="n">
        <v>1998</v>
      </c>
      <c r="O344" s="11" t="n"/>
      <c r="P344" s="11" t="n"/>
      <c r="Q344" s="11" t="n"/>
      <c r="R344" s="2" t="n"/>
      <c r="S344" s="2" t="n"/>
      <c r="T344" s="11" t="inlineStr"/>
      <c r="U344" s="11" t="inlineStr"/>
      <c r="V344" s="11" t="inlineStr">
        <is>
          <t>outside_list</t>
        </is>
      </c>
      <c r="W344" s="11" t="n"/>
      <c r="X344" s="11" t="n"/>
      <c r="Y344" s="11" t="n"/>
      <c r="Z344" s="11" t="inlineStr">
        <is>
          <t>Mr. Advocate</t>
        </is>
      </c>
      <c r="AA344" s="11" t="inlineStr">
        <is>
          <t>2026-10-07</t>
        </is>
      </c>
      <c r="AB344" s="11" t="inlineStr">
        <is>
          <t>name_year</t>
        </is>
      </c>
      <c r="AC344" s="2" t="inlineStr"/>
      <c r="AD344" s="2" t="inlineStr">
        <is>
          <t>Pasupuleti Venkateswarlu v. The Motor and General Traders (1975) was overruled by Shri Kishan @ Krishan Kumar v. Manoj Kumar Etc. Etc. (1998).</t>
        </is>
      </c>
      <c r="AE344" s="2" t="n"/>
      <c r="AF344" s="11" t="inlineStr">
        <is>
          <t>created from list 1</t>
        </is>
      </c>
    </row>
    <row r="345">
      <c r="A345" s="11" t="inlineStr">
        <is>
          <t>L1-0344</t>
        </is>
      </c>
      <c r="B345" s="11" t="inlineStr">
        <is>
          <t>List 1 (to ~2015)</t>
        </is>
      </c>
      <c r="C345" s="11" t="inlineStr">
        <is>
          <t>list1</t>
        </is>
      </c>
      <c r="D345" s="11" t="inlineStr">
        <is>
          <t>verified</t>
        </is>
      </c>
      <c r="E345" s="11" t="inlineStr">
        <is>
          <t>overruled</t>
        </is>
      </c>
      <c r="F345" s="2" t="inlineStr">
        <is>
          <t>State of Madhya Pradesh and Others v. Orient Paper Mills Ltd.</t>
        </is>
      </c>
      <c r="G345" s="11" t="inlineStr"/>
      <c r="H345" s="11" t="inlineStr">
        <is>
          <t>Supreme Court</t>
        </is>
      </c>
      <c r="I345" s="2" t="inlineStr">
        <is>
          <t>AIR 1977 SC 687; (1977) 2 SCC 77; (1977) 2 SCR 149; (1977) 40 STC 603</t>
        </is>
      </c>
      <c r="J345" s="11" t="n">
        <v>1977</v>
      </c>
      <c r="K345" s="2" t="inlineStr">
        <is>
          <t>State of Orissa and Others v. Titaghur Paper Mills Company Limited and Another</t>
        </is>
      </c>
      <c r="L345" s="11" t="inlineStr">
        <is>
          <t>Supreme Court</t>
        </is>
      </c>
      <c r="M345" s="2" t="inlineStr">
        <is>
          <t>AIR 1985 SC 1293; (1986) 1 ARBLR 135; (1985) 2 SCALE 410; (1985) SCC 280 Supp; (1985) 3 SCR 26; (1985) 60 STC 213</t>
        </is>
      </c>
      <c r="N345" s="11" t="n">
        <v>1985</v>
      </c>
      <c r="O345" s="11" t="n"/>
      <c r="P345" s="11" t="n"/>
      <c r="Q345" s="11" t="n"/>
      <c r="R345" s="2" t="n"/>
      <c r="S345" s="2" t="n"/>
      <c r="T345" s="11" t="inlineStr"/>
      <c r="U345" s="11" t="inlineStr"/>
      <c r="V345" s="11" t="inlineStr">
        <is>
          <t>outside_list</t>
        </is>
      </c>
      <c r="W345" s="11" t="n"/>
      <c r="X345" s="11" t="n"/>
      <c r="Y345" s="11" t="n"/>
      <c r="Z345" s="11" t="inlineStr">
        <is>
          <t>Mr. Advocate</t>
        </is>
      </c>
      <c r="AA345" s="11" t="inlineStr">
        <is>
          <t>2026-10-07</t>
        </is>
      </c>
      <c r="AB345" s="11" t="inlineStr">
        <is>
          <t>name_year</t>
        </is>
      </c>
      <c r="AC345" s="2" t="inlineStr"/>
      <c r="AD345" s="2" t="inlineStr">
        <is>
          <t>State of Madhya Pradesh and Others v. Orient Paper Mills Ltd. (1977) was overruled by State of Orissa and Others v. Titaghur Paper Mills Company Limited and Another (1985).</t>
        </is>
      </c>
      <c r="AE345" s="2" t="n"/>
      <c r="AF345" s="11" t="inlineStr">
        <is>
          <t>created from list 1</t>
        </is>
      </c>
    </row>
    <row r="346">
      <c r="A346" s="11" t="inlineStr">
        <is>
          <t>L1-0345</t>
        </is>
      </c>
      <c r="B346" s="11" t="inlineStr">
        <is>
          <t>List 1 (to ~2015)</t>
        </is>
      </c>
      <c r="C346" s="11" t="inlineStr">
        <is>
          <t>list1</t>
        </is>
      </c>
      <c r="D346" s="11" t="inlineStr">
        <is>
          <t>verified</t>
        </is>
      </c>
      <c r="E346" s="11" t="inlineStr">
        <is>
          <t>overruled</t>
        </is>
      </c>
      <c r="F346" s="2" t="inlineStr">
        <is>
          <t>State of Tamil Nadu and Another v. M. Rayappa Gounder and Others</t>
        </is>
      </c>
      <c r="G346" s="11" t="inlineStr"/>
      <c r="H346" s="11" t="inlineStr">
        <is>
          <t>Supreme Court</t>
        </is>
      </c>
      <c r="I346" s="2" t="inlineStr">
        <is>
          <t>AIR 1971 SC 231; (1971) 3 SCC 1</t>
        </is>
      </c>
      <c r="J346" s="11" t="n">
        <v>1971</v>
      </c>
      <c r="K346" s="2" t="inlineStr">
        <is>
          <t>The Municipal Corporation of The City of Ahmedabad and Another, v. The New Shrock Spg. and Wvg. Co. Ltd. etc.</t>
        </is>
      </c>
      <c r="L346" s="11" t="inlineStr">
        <is>
          <t>Supreme Court</t>
        </is>
      </c>
      <c r="M346" s="2" t="inlineStr">
        <is>
          <t>AIR 1970 SC 1292; (1970) 2 SCC 280; (1971) 1 SCR 288</t>
        </is>
      </c>
      <c r="N346" s="11" t="n">
        <v>1970</v>
      </c>
      <c r="O346" s="11" t="n"/>
      <c r="P346" s="11" t="n"/>
      <c r="Q346" s="11" t="n"/>
      <c r="R346" s="2" t="n"/>
      <c r="S346" s="2" t="n"/>
      <c r="T346" s="11" t="inlineStr"/>
      <c r="U346" s="11" t="inlineStr"/>
      <c r="V346" s="11" t="inlineStr">
        <is>
          <t>outside_list</t>
        </is>
      </c>
      <c r="W346" s="11" t="n"/>
      <c r="X346" s="11" t="n"/>
      <c r="Y346" s="11" t="n"/>
      <c r="Z346" s="11" t="inlineStr">
        <is>
          <t>Mr. Advocate</t>
        </is>
      </c>
      <c r="AA346" s="11" t="inlineStr">
        <is>
          <t>2026-10-07</t>
        </is>
      </c>
      <c r="AB346" s="11" t="inlineStr">
        <is>
          <t>name_year</t>
        </is>
      </c>
      <c r="AC346" s="2" t="inlineStr"/>
      <c r="AD346" s="2" t="inlineStr">
        <is>
          <t>State of Tamil Nadu and Another v. M. Rayappa Gounder and Others (1971) was overruled by The Municipal Corporation of The City of Ahmedabad and Another, v. The New Shrock Spg. and Wvg. Co. Ltd. etc. (1970).</t>
        </is>
      </c>
      <c r="AE346" s="2" t="n"/>
      <c r="AF346" s="11" t="inlineStr">
        <is>
          <t>created from list 1</t>
        </is>
      </c>
    </row>
    <row r="347">
      <c r="A347" s="11" t="inlineStr">
        <is>
          <t>L1-0346</t>
        </is>
      </c>
      <c r="B347" s="11" t="inlineStr">
        <is>
          <t>List 1 (to ~2015)</t>
        </is>
      </c>
      <c r="C347" s="11" t="inlineStr">
        <is>
          <t>list1</t>
        </is>
      </c>
      <c r="D347" s="11" t="inlineStr">
        <is>
          <t>verified</t>
        </is>
      </c>
      <c r="E347" s="11" t="inlineStr">
        <is>
          <t>overruled</t>
        </is>
      </c>
      <c r="F347" s="2" t="inlineStr">
        <is>
          <t>Bhola Nath Varshney, (since dead) through his LRs. v. Mulk Raj Madan</t>
        </is>
      </c>
      <c r="G347" s="11" t="inlineStr"/>
      <c r="H347" s="11" t="inlineStr">
        <is>
          <t>Supreme Court</t>
        </is>
      </c>
      <c r="I347" s="2" t="inlineStr">
        <is>
          <t>AIR 1994 SC 1664; (1994) 1 JT 181; (1994) 1 SCALE 189; (1994) 2 SCC 127; (1994) 1 SCR 327; (1994) 1 UJ 497</t>
        </is>
      </c>
      <c r="J347" s="11" t="n">
        <v>1994</v>
      </c>
      <c r="K347" s="2" t="inlineStr">
        <is>
          <t>Shri Kishan @ Krishan Kumar v. Manoj Kumar Etc. Etc.</t>
        </is>
      </c>
      <c r="L347" s="11" t="inlineStr">
        <is>
          <t>Supreme Court</t>
        </is>
      </c>
      <c r="M347" s="2" t="inlineStr">
        <is>
          <t>(1998) 2 AD 162; AIR 1998 SC 999; (1998) 2 CTC 37; (1998) 1 JT 633; (1998) 118 PLR 593; (1998) 1 SCALE 582; (1998) 2 SCC 710; (1998) 1 SCR 830; (1998) AIRSCW 769; (1998) 2 Supreme 478</t>
        </is>
      </c>
      <c r="N347" s="11" t="n">
        <v>1998</v>
      </c>
      <c r="O347" s="11" t="n"/>
      <c r="P347" s="11" t="n"/>
      <c r="Q347" s="11" t="n"/>
      <c r="R347" s="2" t="n"/>
      <c r="S347" s="2" t="n"/>
      <c r="T347" s="11" t="inlineStr"/>
      <c r="U347" s="11" t="inlineStr"/>
      <c r="V347" s="11" t="inlineStr">
        <is>
          <t>outside_list</t>
        </is>
      </c>
      <c r="W347" s="11" t="n"/>
      <c r="X347" s="11" t="n"/>
      <c r="Y347" s="11" t="n"/>
      <c r="Z347" s="11" t="inlineStr">
        <is>
          <t>Mr. Advocate</t>
        </is>
      </c>
      <c r="AA347" s="11" t="inlineStr">
        <is>
          <t>2026-10-07</t>
        </is>
      </c>
      <c r="AB347" s="11" t="inlineStr">
        <is>
          <t>name_year</t>
        </is>
      </c>
      <c r="AC347" s="2" t="inlineStr"/>
      <c r="AD347" s="2" t="inlineStr">
        <is>
          <t>Bhola Nath Varshney, (since dead) through his LRs. v. Mulk Raj Madan (1994) was overruled by Shri Kishan @ Krishan Kumar v. Manoj Kumar Etc. Etc. (1998).</t>
        </is>
      </c>
      <c r="AE347" s="2" t="n"/>
      <c r="AF347" s="11" t="inlineStr">
        <is>
          <t>created from list 1</t>
        </is>
      </c>
    </row>
    <row r="348">
      <c r="A348" s="11" t="inlineStr">
        <is>
          <t>L1-0347</t>
        </is>
      </c>
      <c r="B348" s="11" t="inlineStr">
        <is>
          <t>List 1 (to ~2015)</t>
        </is>
      </c>
      <c r="C348" s="11" t="inlineStr">
        <is>
          <t>list1</t>
        </is>
      </c>
      <c r="D348" s="11" t="inlineStr">
        <is>
          <t>verified</t>
        </is>
      </c>
      <c r="E348" s="11" t="inlineStr">
        <is>
          <t>overruled</t>
        </is>
      </c>
      <c r="F348" s="2" t="inlineStr">
        <is>
          <t>T.V. Vatheeswaran v. State of Tamil Nadu</t>
        </is>
      </c>
      <c r="G348" s="11" t="inlineStr"/>
      <c r="H348" s="11" t="inlineStr">
        <is>
          <t>Supreme Court</t>
        </is>
      </c>
      <c r="I348" s="2" t="inlineStr">
        <is>
          <t>AIR 1983 SC 361(2); (1983) CriLJ 481; (1983) 1 SCALE 115; (1983) 2 SCC 68; (1983) 2 SCR 348</t>
        </is>
      </c>
      <c r="J348" s="11" t="n">
        <v>1983</v>
      </c>
      <c r="K348" s="2" t="inlineStr">
        <is>
          <t>Triveniben v. State of Gujarat</t>
        </is>
      </c>
      <c r="L348" s="11" t="inlineStr">
        <is>
          <t>Supreme Court</t>
        </is>
      </c>
      <c r="M348" s="2" t="inlineStr">
        <is>
          <t>AIR 1989 SC 1335; (1990) CriLJ 1810; (1989) 1 JT 314; (1989) 1 SCALE 301; (1989) 1 SCC 678; (1989) 1 SCR 509</t>
        </is>
      </c>
      <c r="N348" s="11" t="n">
        <v>1989</v>
      </c>
      <c r="O348" s="11" t="n"/>
      <c r="P348" s="11" t="n"/>
      <c r="Q348" s="11" t="n"/>
      <c r="R348" s="2" t="n"/>
      <c r="S348" s="2" t="n"/>
      <c r="T348" s="11" t="inlineStr"/>
      <c r="U348" s="11" t="inlineStr"/>
      <c r="V348" s="11" t="inlineStr">
        <is>
          <t>outside_list</t>
        </is>
      </c>
      <c r="W348" s="11" t="n"/>
      <c r="X348" s="11" t="n"/>
      <c r="Y348" s="11" t="n"/>
      <c r="Z348" s="11" t="inlineStr">
        <is>
          <t>Mr. Advocate</t>
        </is>
      </c>
      <c r="AA348" s="11" t="inlineStr">
        <is>
          <t>2026-10-07</t>
        </is>
      </c>
      <c r="AB348" s="11" t="inlineStr">
        <is>
          <t>name_year</t>
        </is>
      </c>
      <c r="AC348" s="2" t="inlineStr"/>
      <c r="AD348" s="2" t="inlineStr">
        <is>
          <t>T.V. Vatheeswaran v. State of Tamil Nadu (1983) was overruled by Triveniben v. State of Gujarat (1989).</t>
        </is>
      </c>
      <c r="AE348" s="2" t="n"/>
      <c r="AF348" s="11" t="inlineStr">
        <is>
          <t>created from list 1</t>
        </is>
      </c>
    </row>
    <row r="349">
      <c r="A349" s="11" t="inlineStr">
        <is>
          <t>L1-0348</t>
        </is>
      </c>
      <c r="B349" s="11" t="inlineStr">
        <is>
          <t>List 1 (to ~2015)</t>
        </is>
      </c>
      <c r="C349" s="11" t="inlineStr">
        <is>
          <t>list1</t>
        </is>
      </c>
      <c r="D349" s="11" t="inlineStr">
        <is>
          <t>verified</t>
        </is>
      </c>
      <c r="E349" s="11" t="inlineStr">
        <is>
          <t>overruled</t>
        </is>
      </c>
      <c r="F349" s="2" t="inlineStr">
        <is>
          <t>Hem Chand v. The Delhi Cloth and General Mills Co. Ltd. and Another</t>
        </is>
      </c>
      <c r="G349" s="11" t="inlineStr"/>
      <c r="H349" s="11" t="inlineStr">
        <is>
          <t>Supreme Court</t>
        </is>
      </c>
      <c r="I349" s="2" t="inlineStr">
        <is>
          <t>AIR 1977 SC 1986; (1994) 3 Crimes 608; (1994) 6 JT 475; (1994) 4 SCALE 401; (1977) 3 SCC 483; (1978) 1 SCR 241; (1977) 9 UJ 519</t>
        </is>
      </c>
      <c r="J349" s="11" t="n">
        <v>1977</v>
      </c>
      <c r="K349" s="2" t="inlineStr">
        <is>
          <t>Ram Murti v. Bhola Nath and Another</t>
        </is>
      </c>
      <c r="L349" s="11" t="inlineStr">
        <is>
          <t>Supreme Court</t>
        </is>
      </c>
      <c r="M349" s="2" t="inlineStr">
        <is>
          <t>AIR 1984 SC 1392; (1984) 1 SCALE 727; (1984) 3 SCC 111; (1984) 16 UJ 1094</t>
        </is>
      </c>
      <c r="N349" s="11" t="n">
        <v>1984</v>
      </c>
      <c r="O349" s="11" t="n"/>
      <c r="P349" s="11" t="n"/>
      <c r="Q349" s="11" t="n"/>
      <c r="R349" s="2" t="n"/>
      <c r="S349" s="2" t="n"/>
      <c r="T349" s="11" t="inlineStr"/>
      <c r="U349" s="11" t="inlineStr"/>
      <c r="V349" s="11" t="inlineStr">
        <is>
          <t>outside_list</t>
        </is>
      </c>
      <c r="W349" s="11" t="n"/>
      <c r="X349" s="11" t="n"/>
      <c r="Y349" s="11" t="n"/>
      <c r="Z349" s="11" t="inlineStr">
        <is>
          <t>Mr. Advocate</t>
        </is>
      </c>
      <c r="AA349" s="11" t="inlineStr">
        <is>
          <t>2026-10-07</t>
        </is>
      </c>
      <c r="AB349" s="11" t="inlineStr">
        <is>
          <t>name_year</t>
        </is>
      </c>
      <c r="AC349" s="2" t="inlineStr"/>
      <c r="AD349" s="2" t="inlineStr">
        <is>
          <t>Hem Chand v. The Delhi Cloth and General Mills Co. Ltd. and Another (1977) was overruled by Ram Murti v. Bhola Nath and Another (1984).</t>
        </is>
      </c>
      <c r="AE349" s="2" t="n"/>
      <c r="AF349" s="11" t="inlineStr">
        <is>
          <t>created from list 1</t>
        </is>
      </c>
    </row>
    <row r="350">
      <c r="A350" s="11" t="inlineStr">
        <is>
          <t>L1-0349</t>
        </is>
      </c>
      <c r="B350" s="11" t="inlineStr">
        <is>
          <t>List 1 (to ~2015)</t>
        </is>
      </c>
      <c r="C350" s="11" t="inlineStr">
        <is>
          <t>list1</t>
        </is>
      </c>
      <c r="D350" s="11" t="inlineStr">
        <is>
          <t>verified</t>
        </is>
      </c>
      <c r="E350" s="11" t="inlineStr">
        <is>
          <t>overruled</t>
        </is>
      </c>
      <c r="F350" s="2" t="inlineStr">
        <is>
          <t>Jagdish and Others v. Nathi Mal Kejriwal and Others</t>
        </is>
      </c>
      <c r="G350" s="11" t="inlineStr"/>
      <c r="H350" s="11" t="inlineStr">
        <is>
          <t>Supreme Court</t>
        </is>
      </c>
      <c r="I350" s="2" t="inlineStr">
        <is>
          <t>AIR 1987 SC 68; (1986) JT 697; (1986) 2 SCALE 679; (1986) 4 SCC 510; (1987) 1 SCR 68; (1987) 1 UJ 20</t>
        </is>
      </c>
      <c r="J350" s="11" t="n">
        <v>1987</v>
      </c>
      <c r="K350" s="2" t="inlineStr">
        <is>
          <t>Bhikha Ram v. Ram Sarup and others</t>
        </is>
      </c>
      <c r="L350" s="11" t="inlineStr">
        <is>
          <t>Supreme Court</t>
        </is>
      </c>
      <c r="M350" s="2" t="inlineStr">
        <is>
          <t>AIR 1992 SC 207; (1991) 4 JT 199; (1992) 101 PLR 49; (1992) 1 SCC 319; (1991) 2 SCR 119 Supp; (1992) 1 UJ 445</t>
        </is>
      </c>
      <c r="N350" s="11" t="n">
        <v>1992</v>
      </c>
      <c r="O350" s="11" t="n"/>
      <c r="P350" s="11" t="n"/>
      <c r="Q350" s="11" t="n"/>
      <c r="R350" s="2" t="n"/>
      <c r="S350" s="2" t="n"/>
      <c r="T350" s="11" t="inlineStr"/>
      <c r="U350" s="11" t="inlineStr"/>
      <c r="V350" s="11" t="inlineStr">
        <is>
          <t>outside_list</t>
        </is>
      </c>
      <c r="W350" s="11" t="n"/>
      <c r="X350" s="11" t="n"/>
      <c r="Y350" s="11" t="n"/>
      <c r="Z350" s="11" t="inlineStr">
        <is>
          <t>Mr. Advocate</t>
        </is>
      </c>
      <c r="AA350" s="11" t="inlineStr">
        <is>
          <t>2026-10-07</t>
        </is>
      </c>
      <c r="AB350" s="11" t="inlineStr">
        <is>
          <t>name_year</t>
        </is>
      </c>
      <c r="AC350" s="2" t="inlineStr"/>
      <c r="AD350" s="2" t="inlineStr">
        <is>
          <t>Jagdish and Others v. Nathi Mal Kejriwal and Others (1987) was overruled by Bhikha Ram v. Ram Sarup and others (1992).</t>
        </is>
      </c>
      <c r="AE350" s="2" t="n"/>
      <c r="AF350" s="11" t="inlineStr">
        <is>
          <t>created from list 1</t>
        </is>
      </c>
    </row>
    <row r="351">
      <c r="A351" s="11" t="inlineStr">
        <is>
          <t>L1-0350</t>
        </is>
      </c>
      <c r="B351" s="11" t="inlineStr">
        <is>
          <t>List 1 (to ~2015)</t>
        </is>
      </c>
      <c r="C351" s="11" t="inlineStr">
        <is>
          <t>list1</t>
        </is>
      </c>
      <c r="D351" s="11" t="inlineStr">
        <is>
          <t>verified</t>
        </is>
      </c>
      <c r="E351" s="11" t="inlineStr">
        <is>
          <t>overruled</t>
        </is>
      </c>
      <c r="F351" s="2" t="inlineStr">
        <is>
          <t>Chettian Veetil Ammad and Another v. Taluk Land Board and Others</t>
        </is>
      </c>
      <c r="G351" s="11" t="inlineStr"/>
      <c r="H351" s="11" t="inlineStr">
        <is>
          <t>Supreme Court</t>
        </is>
      </c>
      <c r="I351" s="2" t="inlineStr">
        <is>
          <t>AIR 1979 SC 1573; (1980) 1 SCC 499; (1979) 3 SCR 839</t>
        </is>
      </c>
      <c r="J351" s="11" t="n">
        <v>1979</v>
      </c>
      <c r="K351" s="2" t="inlineStr">
        <is>
          <t>State of Kerala and Another v. Pullangode Rubber and Produce Co. Ltd. and Others</t>
        </is>
      </c>
      <c r="L351" s="11" t="inlineStr">
        <is>
          <t>Supreme Court</t>
        </is>
      </c>
      <c r="M351" s="2" t="inlineStr">
        <is>
          <t>AIR 1999 SC 2523; (1999) 5 JT 154; (1999) 4 SCALE 303; (1999) 6 SCC 92; (1999) 3 SCR 1163</t>
        </is>
      </c>
      <c r="N351" s="11" t="n">
        <v>1999</v>
      </c>
      <c r="O351" s="11" t="n"/>
      <c r="P351" s="11" t="n"/>
      <c r="Q351" s="11" t="n"/>
      <c r="R351" s="2" t="n"/>
      <c r="S351" s="2" t="n"/>
      <c r="T351" s="11" t="inlineStr"/>
      <c r="U351" s="11" t="inlineStr"/>
      <c r="V351" s="11" t="inlineStr">
        <is>
          <t>outside_list</t>
        </is>
      </c>
      <c r="W351" s="11" t="n"/>
      <c r="X351" s="11" t="n"/>
      <c r="Y351" s="11" t="n"/>
      <c r="Z351" s="11" t="inlineStr">
        <is>
          <t>Mr. Advocate</t>
        </is>
      </c>
      <c r="AA351" s="11" t="inlineStr">
        <is>
          <t>2026-10-07</t>
        </is>
      </c>
      <c r="AB351" s="11" t="inlineStr">
        <is>
          <t>name_year</t>
        </is>
      </c>
      <c r="AC351" s="2" t="inlineStr"/>
      <c r="AD351" s="2" t="inlineStr">
        <is>
          <t>Chettian Veetil Ammad and Another v. Taluk Land Board and Others (1979) was overruled by State of Kerala and Another v. Pullangode Rubber and Produce Co. Ltd. and Others (1999).</t>
        </is>
      </c>
      <c r="AE351" s="2" t="n"/>
      <c r="AF351" s="11" t="inlineStr">
        <is>
          <t>created from list 1</t>
        </is>
      </c>
    </row>
    <row r="352">
      <c r="A352" s="11" t="inlineStr">
        <is>
          <t>L1-0351</t>
        </is>
      </c>
      <c r="B352" s="11" t="inlineStr">
        <is>
          <t>List 1 (to ~2015)</t>
        </is>
      </c>
      <c r="C352" s="11" t="inlineStr">
        <is>
          <t>list1</t>
        </is>
      </c>
      <c r="D352" s="11" t="inlineStr">
        <is>
          <t>verified</t>
        </is>
      </c>
      <c r="E352" s="11" t="inlineStr">
        <is>
          <t>overruled</t>
        </is>
      </c>
      <c r="F352" s="2" t="inlineStr">
        <is>
          <t>S.S. Dhanoa v. Union of India and others</t>
        </is>
      </c>
      <c r="G352" s="11" t="inlineStr"/>
      <c r="H352" s="11" t="inlineStr">
        <is>
          <t>Supreme Court</t>
        </is>
      </c>
      <c r="I352" s="2" t="inlineStr">
        <is>
          <t>AIR 1991 SC 1745; (1991) 3 JT 290; (1991) 2 SCALE 205; (1991) 3 SCC 567; (1991) 3 SCR 159(1); (1991) 2 UJ 555</t>
        </is>
      </c>
      <c r="J352" s="11" t="n">
        <v>1991</v>
      </c>
      <c r="K352" s="2" t="inlineStr">
        <is>
          <t>T.N. Seshan, Chief Election Commissioner v. Union of India (UOI) and Others</t>
        </is>
      </c>
      <c r="L352" s="11" t="inlineStr">
        <is>
          <t>Supreme Court</t>
        </is>
      </c>
      <c r="M352" s="2" t="inlineStr">
        <is>
          <t>(1995) 4 SCALE 331; (1994) 1 SCALE 7; (1995) 2 SCR 106 Supp</t>
        </is>
      </c>
      <c r="N352" s="11" t="n">
        <v>1994</v>
      </c>
      <c r="O352" s="11" t="n"/>
      <c r="P352" s="11" t="n"/>
      <c r="Q352" s="11" t="n"/>
      <c r="R352" s="2" t="n"/>
      <c r="S352" s="2" t="n"/>
      <c r="T352" s="11" t="inlineStr"/>
      <c r="U352" s="11" t="inlineStr"/>
      <c r="V352" s="11" t="inlineStr">
        <is>
          <t>outside_list</t>
        </is>
      </c>
      <c r="W352" s="11" t="n"/>
      <c r="X352" s="11" t="n"/>
      <c r="Y352" s="11" t="n"/>
      <c r="Z352" s="11" t="inlineStr">
        <is>
          <t>Mr. Advocate</t>
        </is>
      </c>
      <c r="AA352" s="11" t="inlineStr">
        <is>
          <t>2026-10-07</t>
        </is>
      </c>
      <c r="AB352" s="11" t="inlineStr">
        <is>
          <t>name_year</t>
        </is>
      </c>
      <c r="AC352" s="2" t="inlineStr"/>
      <c r="AD352" s="2" t="inlineStr">
        <is>
          <t>S.S. Dhanoa v. Union of India and others (1991) was overruled by T.N. Seshan, Chief Election Commissioner v. Union of India (UOI) and Others (1994).</t>
        </is>
      </c>
      <c r="AE352" s="2" t="n"/>
      <c r="AF352" s="11" t="inlineStr">
        <is>
          <t>created from list 1</t>
        </is>
      </c>
    </row>
    <row r="353">
      <c r="A353" s="11" t="inlineStr">
        <is>
          <t>L1-0352</t>
        </is>
      </c>
      <c r="B353" s="11" t="inlineStr">
        <is>
          <t>List 1 (to ~2015)</t>
        </is>
      </c>
      <c r="C353" s="11" t="inlineStr">
        <is>
          <t>list1</t>
        </is>
      </c>
      <c r="D353" s="11" t="inlineStr">
        <is>
          <t>verified</t>
        </is>
      </c>
      <c r="E353" s="11" t="inlineStr">
        <is>
          <t>overruled</t>
        </is>
      </c>
      <c r="F353" s="2" t="inlineStr">
        <is>
          <t>The State of Ajmer (Now Rajasthan) v. Shivji Lal</t>
        </is>
      </c>
      <c r="G353" s="11" t="inlineStr"/>
      <c r="H353" s="11" t="inlineStr">
        <is>
          <t>Supreme Court</t>
        </is>
      </c>
      <c r="I353" s="2" t="inlineStr">
        <is>
          <t>AIR 1959 SC 847; (1959) CriLJ 1127; (1960) 1 LLJ 239; (1959) 2 SCR 739 Supp</t>
        </is>
      </c>
      <c r="J353" s="11" t="n">
        <v>1959</v>
      </c>
      <c r="K353" s="2" t="inlineStr">
        <is>
          <t>Dhaneshwar Narain Saxena v. The Delhi Administration</t>
        </is>
      </c>
      <c r="L353" s="11" t="inlineStr">
        <is>
          <t>Supreme Court</t>
        </is>
      </c>
      <c r="M353" s="2" t="inlineStr">
        <is>
          <t>AIR 1962 SC 195; (1962) 1 LLJ 142; (1962) 3 SCR 259</t>
        </is>
      </c>
      <c r="N353" s="11" t="n">
        <v>1962</v>
      </c>
      <c r="O353" s="11" t="n"/>
      <c r="P353" s="11" t="n"/>
      <c r="Q353" s="11" t="n"/>
      <c r="R353" s="2" t="n"/>
      <c r="S353" s="2" t="n"/>
      <c r="T353" s="11" t="inlineStr"/>
      <c r="U353" s="11" t="inlineStr"/>
      <c r="V353" s="11" t="inlineStr">
        <is>
          <t>outside_list</t>
        </is>
      </c>
      <c r="W353" s="11" t="n"/>
      <c r="X353" s="11" t="n"/>
      <c r="Y353" s="11" t="n"/>
      <c r="Z353" s="11" t="inlineStr">
        <is>
          <t>Mr. Advocate</t>
        </is>
      </c>
      <c r="AA353" s="11" t="inlineStr">
        <is>
          <t>2026-10-07</t>
        </is>
      </c>
      <c r="AB353" s="11" t="inlineStr">
        <is>
          <t>name_year</t>
        </is>
      </c>
      <c r="AC353" s="2" t="inlineStr"/>
      <c r="AD353" s="2" t="inlineStr">
        <is>
          <t>The State of Ajmer (Now Rajasthan) v. Shivji Lal (1959) was overruled by Dhaneshwar Narain Saxena v. The Delhi Administration (1962).</t>
        </is>
      </c>
      <c r="AE353" s="2" t="n"/>
      <c r="AF353" s="11" t="inlineStr">
        <is>
          <t>created from list 1</t>
        </is>
      </c>
    </row>
    <row r="354">
      <c r="A354" s="11" t="inlineStr">
        <is>
          <t>L1-0353</t>
        </is>
      </c>
      <c r="B354" s="11" t="inlineStr">
        <is>
          <t>List 1 (to ~2015)</t>
        </is>
      </c>
      <c r="C354" s="11" t="inlineStr">
        <is>
          <t>list1</t>
        </is>
      </c>
      <c r="D354" s="11" t="inlineStr">
        <is>
          <t>verified</t>
        </is>
      </c>
      <c r="E354" s="11" t="inlineStr">
        <is>
          <t>overruled</t>
        </is>
      </c>
      <c r="F354" s="2" t="inlineStr">
        <is>
          <t>Buckingham and Carnatic Co. Ltd. v. Workers of The Buckingham and Carnatic Co. Ltd.</t>
        </is>
      </c>
      <c r="G354" s="11" t="inlineStr"/>
      <c r="H354" s="11" t="inlineStr">
        <is>
          <t>Supreme Court</t>
        </is>
      </c>
      <c r="I354" s="2" t="inlineStr">
        <is>
          <t>AIR 1953 SC 47; (1953) 1 LLJ 181; (1953) 4 SCR 219</t>
        </is>
      </c>
      <c r="J354" s="11" t="n">
        <v>1953</v>
      </c>
      <c r="K354" s="2" t="inlineStr">
        <is>
          <t>Narayan Bhimji Vadangale and another v. Hukumchand Chunilal Thole and another</t>
        </is>
      </c>
      <c r="L354" s="11" t="inlineStr">
        <is>
          <t>Supreme Court</t>
        </is>
      </c>
      <c r="M354" s="2" t="inlineStr">
        <is>
          <t>AIR 1992 SC 503; (1992) 1 BC 231; (1991) 5 JT 398; (1991) 2 SCALE 1397; (1992) 1 SCC 497; (1991) 3 SCR 239 Supp; (1992) 1 UJ 328</t>
        </is>
      </c>
      <c r="N354" s="11" t="n">
        <v>1992</v>
      </c>
      <c r="O354" s="11" t="n"/>
      <c r="P354" s="11" t="n"/>
      <c r="Q354" s="11" t="n"/>
      <c r="R354" s="2" t="n"/>
      <c r="S354" s="2" t="n"/>
      <c r="T354" s="11" t="inlineStr"/>
      <c r="U354" s="11" t="inlineStr"/>
      <c r="V354" s="11" t="inlineStr">
        <is>
          <t>outside_list</t>
        </is>
      </c>
      <c r="W354" s="11" t="n"/>
      <c r="X354" s="11" t="n"/>
      <c r="Y354" s="11" t="n"/>
      <c r="Z354" s="11" t="inlineStr">
        <is>
          <t>Mr. Advocate</t>
        </is>
      </c>
      <c r="AA354" s="11" t="inlineStr">
        <is>
          <t>2026-10-07</t>
        </is>
      </c>
      <c r="AB354" s="11" t="inlineStr">
        <is>
          <t>name_year</t>
        </is>
      </c>
      <c r="AC354" s="2" t="inlineStr"/>
      <c r="AD354" s="2" t="inlineStr">
        <is>
          <t>Buckingham and Carnatic Co. Ltd. v. Workers of The Buckingham and Carnatic Co. Ltd. (1953) was overruled by Narayan Bhimji Vadangale and another v. Hukumchand Chunilal Thole and another (1992).</t>
        </is>
      </c>
      <c r="AE354" s="2" t="n"/>
      <c r="AF354" s="11" t="inlineStr">
        <is>
          <t>created from list 1</t>
        </is>
      </c>
    </row>
    <row r="355">
      <c r="A355" s="11" t="inlineStr">
        <is>
          <t>L1-0354</t>
        </is>
      </c>
      <c r="B355" s="11" t="inlineStr">
        <is>
          <t>List 1 (to ~2015)</t>
        </is>
      </c>
      <c r="C355" s="11" t="inlineStr">
        <is>
          <t>list1</t>
        </is>
      </c>
      <c r="D355" s="11" t="inlineStr">
        <is>
          <t>verified</t>
        </is>
      </c>
      <c r="E355" s="11" t="inlineStr">
        <is>
          <t>overruled</t>
        </is>
      </c>
      <c r="F355" s="2" t="inlineStr">
        <is>
          <t>P. Vajravelu Mudaliar v. Special Deputy Collector, Madras and Another</t>
        </is>
      </c>
      <c r="G355" s="11" t="inlineStr"/>
      <c r="H355" s="11" t="inlineStr">
        <is>
          <t>Supreme Court</t>
        </is>
      </c>
      <c r="I355" s="2" t="inlineStr">
        <is>
          <t>AIR 1965 SC 1017; (1965) 1 SCR 614</t>
        </is>
      </c>
      <c r="J355" s="11" t="n">
        <v>1965</v>
      </c>
      <c r="K355" s="2" t="inlineStr">
        <is>
          <t>Ishwari Khetan Sugar Mills (P) Ltd. and Others v. State of Uttar Pradesh and Others</t>
        </is>
      </c>
      <c r="L355" s="11" t="inlineStr">
        <is>
          <t>Supreme Court</t>
        </is>
      </c>
      <c r="M355" s="2" t="inlineStr">
        <is>
          <t>AIR 1980 SC 1955; (1980) 4 SCC 136; (1980) 3 SCR 331; (1981) 13 UJ 87</t>
        </is>
      </c>
      <c r="N355" s="11" t="n">
        <v>1980</v>
      </c>
      <c r="O355" s="11" t="n"/>
      <c r="P355" s="11" t="n"/>
      <c r="Q355" s="11" t="n"/>
      <c r="R355" s="2" t="n"/>
      <c r="S355" s="2" t="n"/>
      <c r="T355" s="11" t="inlineStr"/>
      <c r="U355" s="11" t="inlineStr"/>
      <c r="V355" s="11" t="inlineStr">
        <is>
          <t>outside_list</t>
        </is>
      </c>
      <c r="W355" s="11" t="n"/>
      <c r="X355" s="11" t="n"/>
      <c r="Y355" s="11" t="n"/>
      <c r="Z355" s="11" t="inlineStr">
        <is>
          <t>Mr. Advocate</t>
        </is>
      </c>
      <c r="AA355" s="11" t="inlineStr">
        <is>
          <t>2026-10-07</t>
        </is>
      </c>
      <c r="AB355" s="11" t="inlineStr">
        <is>
          <t>name_year</t>
        </is>
      </c>
      <c r="AC355" s="2" t="inlineStr"/>
      <c r="AD355" s="2" t="inlineStr">
        <is>
          <t>P. Vajravelu Mudaliar v. Special Deputy Collector, Madras and Another (1965) was overruled by Ishwari Khetan Sugar Mills (P) Ltd. and Others v. State of Uttar Pradesh and Others (1980).</t>
        </is>
      </c>
      <c r="AE355" s="2" t="n"/>
      <c r="AF355" s="11" t="inlineStr">
        <is>
          <t>created from list 1</t>
        </is>
      </c>
    </row>
    <row r="356">
      <c r="A356" s="11" t="inlineStr">
        <is>
          <t>L1-0355</t>
        </is>
      </c>
      <c r="B356" s="11" t="inlineStr">
        <is>
          <t>List 1 (to ~2015)</t>
        </is>
      </c>
      <c r="C356" s="11" t="inlineStr">
        <is>
          <t>list1</t>
        </is>
      </c>
      <c r="D356" s="11" t="inlineStr">
        <is>
          <t>verified</t>
        </is>
      </c>
      <c r="E356" s="11" t="inlineStr">
        <is>
          <t>overruled</t>
        </is>
      </c>
      <c r="F356" s="2" t="inlineStr">
        <is>
          <t>Hoechst Pharmaceuticals Ltd. and Others v. State of Bihar and Others</t>
        </is>
      </c>
      <c r="G356" s="11" t="inlineStr"/>
      <c r="H356" s="11" t="inlineStr">
        <is>
          <t>Supreme Court</t>
        </is>
      </c>
      <c r="I356" s="2" t="inlineStr">
        <is>
          <t>AIR 1983 SC 1019; (1985) 154 ITR 64; (1983) 1 SCALE 723; (1983) 4 SCC 45; (1983) 3 SCR 130; (1984) 55 STC 1</t>
        </is>
      </c>
      <c r="J356" s="11" t="n">
        <v>1983</v>
      </c>
      <c r="K356" s="2" t="inlineStr">
        <is>
          <t>Dr. A.K. Sabhapathy v. State of Kerala and others</t>
        </is>
      </c>
      <c r="L356" s="11" t="inlineStr">
        <is>
          <t>Supreme Court</t>
        </is>
      </c>
      <c r="M356" s="2" t="inlineStr">
        <is>
          <t>AIR 1992 SC 1310; (1992) 3 JT 66; (1992) 1 SCALE 843; (1992) 3 SCC 147 Supp; (1992) 2 SCR 653; (1992) 2 UJ 159</t>
        </is>
      </c>
      <c r="N356" s="11" t="n">
        <v>1992</v>
      </c>
      <c r="O356" s="11" t="n"/>
      <c r="P356" s="11" t="n"/>
      <c r="Q356" s="11" t="n"/>
      <c r="R356" s="2" t="n"/>
      <c r="S356" s="2" t="n"/>
      <c r="T356" s="11" t="inlineStr"/>
      <c r="U356" s="11" t="inlineStr"/>
      <c r="V356" s="11" t="inlineStr">
        <is>
          <t>outside_list</t>
        </is>
      </c>
      <c r="W356" s="11" t="n"/>
      <c r="X356" s="11" t="n"/>
      <c r="Y356" s="11" t="n"/>
      <c r="Z356" s="11" t="inlineStr">
        <is>
          <t>Mr. Advocate</t>
        </is>
      </c>
      <c r="AA356" s="11" t="inlineStr">
        <is>
          <t>2026-10-07</t>
        </is>
      </c>
      <c r="AB356" s="11" t="inlineStr">
        <is>
          <t>name_year</t>
        </is>
      </c>
      <c r="AC356" s="2" t="inlineStr">
        <is>
          <t>L1-0403: overruled by Dr. Mukhtiar Chand and Others v. The State of Punjab and Others (1999)</t>
        </is>
      </c>
      <c r="AD356" s="2" t="inlineStr">
        <is>
          <t>Hoechst Pharmaceuticals Ltd. and Others v. State of Bihar and Others (1983) was overruled by Dr. A.K. Sabhapathy v. State of Kerala and others (1992). Note: Dr. A.K. Sabhapathy v. State of Kerala and others was itself later overruled by Dr. Mukhtiar Chand and Others v. The State of Punjab and Others (1999); the current position should be checked.</t>
        </is>
      </c>
      <c r="AE356" s="2" t="n"/>
      <c r="AF356" s="11" t="inlineStr">
        <is>
          <t>created from list 1</t>
        </is>
      </c>
    </row>
    <row r="357">
      <c r="A357" s="11" t="inlineStr">
        <is>
          <t>L1-0356</t>
        </is>
      </c>
      <c r="B357" s="11" t="inlineStr">
        <is>
          <t>List 1 (to ~2015)</t>
        </is>
      </c>
      <c r="C357" s="11" t="inlineStr">
        <is>
          <t>list1</t>
        </is>
      </c>
      <c r="D357" s="11" t="inlineStr">
        <is>
          <t>verified</t>
        </is>
      </c>
      <c r="E357" s="11" t="inlineStr">
        <is>
          <t>overruled</t>
        </is>
      </c>
      <c r="F357" s="2" t="inlineStr">
        <is>
          <t>Periyar and Pareekanni Rubbers Ltd. v. State of Kerala</t>
        </is>
      </c>
      <c r="G357" s="11" t="inlineStr"/>
      <c r="H357" s="11" t="inlineStr">
        <is>
          <t>Supreme Court</t>
        </is>
      </c>
      <c r="I357" s="2" t="inlineStr">
        <is>
          <t>AIR 1990 SC 2192; (1991) 1 JT 450; (1990) 2 SCALE 525; (1991) 4 SCC 195; (1990) 1 SCR 362 Supp</t>
        </is>
      </c>
      <c r="J357" s="11" t="n">
        <v>1990</v>
      </c>
      <c r="K357" s="2" t="inlineStr">
        <is>
          <t>Yadavrao P. Pathade (Dead) by Lrs. and Others v. State of Maharashtra</t>
        </is>
      </c>
      <c r="L357" s="11" t="inlineStr">
        <is>
          <t>Supreme Court</t>
        </is>
      </c>
      <c r="M357" s="2" t="inlineStr">
        <is>
          <t>(1996) 2 JT 240; (1996) 2 SCALE 96; (1996) 2 SCC 570; (1996) 1 SCR 965</t>
        </is>
      </c>
      <c r="N357" s="11" t="n">
        <v>1996</v>
      </c>
      <c r="O357" s="11" t="n"/>
      <c r="P357" s="11" t="n"/>
      <c r="Q357" s="11" t="n"/>
      <c r="R357" s="2" t="n"/>
      <c r="S357" s="2" t="n"/>
      <c r="T357" s="11" t="inlineStr"/>
      <c r="U357" s="11" t="inlineStr"/>
      <c r="V357" s="11" t="inlineStr">
        <is>
          <t>outside_list</t>
        </is>
      </c>
      <c r="W357" s="11" t="n"/>
      <c r="X357" s="11" t="n"/>
      <c r="Y357" s="11" t="n"/>
      <c r="Z357" s="11" t="inlineStr">
        <is>
          <t>Mr. Advocate</t>
        </is>
      </c>
      <c r="AA357" s="11" t="inlineStr">
        <is>
          <t>2026-10-07</t>
        </is>
      </c>
      <c r="AB357" s="11" t="inlineStr">
        <is>
          <t>name_year</t>
        </is>
      </c>
      <c r="AC357" s="2" t="inlineStr">
        <is>
          <t>L1-0710: overruled by Sunder v. Union of India (2001)</t>
        </is>
      </c>
      <c r="AD357" s="2" t="inlineStr">
        <is>
          <t>Periyar and Pareekanni Rubbers Ltd. v. State of Kerala (1990) was overruled by Yadavrao P. Pathade (Dead) by Lrs. and Others v. State of Maharashtra (1996). Note: Yadavrao P. Pathade (Dead) by Lrs. and Others v. State of Maharashtra was itself later overruled by Sunder v. Union of India (2001); the current position should be checked.</t>
        </is>
      </c>
      <c r="AE357" s="2" t="n"/>
      <c r="AF357" s="11" t="inlineStr">
        <is>
          <t>created from list 1</t>
        </is>
      </c>
    </row>
    <row r="358">
      <c r="A358" s="11" t="inlineStr">
        <is>
          <t>L1-0357</t>
        </is>
      </c>
      <c r="B358" s="11" t="inlineStr">
        <is>
          <t>List 1 (to ~2015)</t>
        </is>
      </c>
      <c r="C358" s="11" t="inlineStr">
        <is>
          <t>list1</t>
        </is>
      </c>
      <c r="D358" s="11" t="inlineStr">
        <is>
          <t>verified</t>
        </is>
      </c>
      <c r="E358" s="11" t="inlineStr">
        <is>
          <t>overruled</t>
        </is>
      </c>
      <c r="F358" s="2" t="inlineStr">
        <is>
          <t>State of Gujarat v. Patel Bava Karsan and Others</t>
        </is>
      </c>
      <c r="G358" s="11" t="inlineStr"/>
      <c r="H358" s="11" t="inlineStr">
        <is>
          <t>Supreme Court</t>
        </is>
      </c>
      <c r="I358" s="2" t="inlineStr">
        <is>
          <t>AIR 1980 SC 1144; (1980) 2 SCR 1087; (1980) 12 UJ 432</t>
        </is>
      </c>
      <c r="J358" s="11" t="n">
        <v>1980</v>
      </c>
      <c r="K358" s="2" t="inlineStr">
        <is>
          <t>State of Gujarat v. Dharamdas Viranand and Others</t>
        </is>
      </c>
      <c r="L358" s="11" t="inlineStr">
        <is>
          <t>Supreme Court</t>
        </is>
      </c>
      <c r="M358" s="2" t="inlineStr">
        <is>
          <t>AIR 1982 SC 781; (1983) 1 SCALE 1771; (1981) 3 SCALE 1771; (1982) 1 SCC 370; (1982) 14 UJ 32</t>
        </is>
      </c>
      <c r="N358" s="11" t="n">
        <v>1982</v>
      </c>
      <c r="O358" s="11" t="n"/>
      <c r="P358" s="11" t="n"/>
      <c r="Q358" s="11" t="n"/>
      <c r="R358" s="2" t="n"/>
      <c r="S358" s="2" t="n"/>
      <c r="T358" s="11" t="inlineStr"/>
      <c r="U358" s="11" t="inlineStr"/>
      <c r="V358" s="11" t="inlineStr">
        <is>
          <t>outside_list</t>
        </is>
      </c>
      <c r="W358" s="11" t="n"/>
      <c r="X358" s="11" t="n"/>
      <c r="Y358" s="11" t="n"/>
      <c r="Z358" s="11" t="inlineStr">
        <is>
          <t>Mr. Advocate</t>
        </is>
      </c>
      <c r="AA358" s="11" t="inlineStr">
        <is>
          <t>2026-10-07</t>
        </is>
      </c>
      <c r="AB358" s="11" t="inlineStr">
        <is>
          <t>name_year</t>
        </is>
      </c>
      <c r="AC358" s="2" t="inlineStr"/>
      <c r="AD358" s="2" t="inlineStr">
        <is>
          <t>State of Gujarat v. Patel Bava Karsan and Others (1980) was overruled by State of Gujarat v. Dharamdas Viranand and Others (1982).</t>
        </is>
      </c>
      <c r="AE358" s="2" t="n"/>
      <c r="AF358" s="11" t="inlineStr">
        <is>
          <t>created from list 1</t>
        </is>
      </c>
    </row>
    <row r="359">
      <c r="A359" s="11" t="inlineStr">
        <is>
          <t>L1-0358</t>
        </is>
      </c>
      <c r="B359" s="11" t="inlineStr">
        <is>
          <t>List 1 (to ~2015)</t>
        </is>
      </c>
      <c r="C359" s="11" t="inlineStr">
        <is>
          <t>list1</t>
        </is>
      </c>
      <c r="D359" s="11" t="inlineStr">
        <is>
          <t>verified</t>
        </is>
      </c>
      <c r="E359" s="11" t="inlineStr">
        <is>
          <t>overruled</t>
        </is>
      </c>
      <c r="F359" s="2" t="inlineStr">
        <is>
          <t>Desh Raj Gupta v. Industrial Tribunal IV, U.P., Lucknow and another</t>
        </is>
      </c>
      <c r="G359" s="11" t="inlineStr"/>
      <c r="H359" s="11" t="inlineStr">
        <is>
          <t>Supreme Court</t>
        </is>
      </c>
      <c r="I359" s="2" t="inlineStr">
        <is>
          <t>AIR 1990 SC 2174; (1991) 61 FLR 763; (1990) 4 JT 403; (1990) LabIC 1892; (1991) 1 LLJ 120; (1990) 2 SCALE 682; (1991) 1 SCC 249; (1990) 1 SCR 411 Supp</t>
        </is>
      </c>
      <c r="J359" s="11" t="n">
        <v>1990</v>
      </c>
      <c r="K359" s="2" t="inlineStr">
        <is>
          <t>Punjab Dairy Development Corporation Limited and another, etc. v. Kala Singh</t>
        </is>
      </c>
      <c r="L359" s="11" t="inlineStr">
        <is>
          <t>Supreme Court</t>
        </is>
      </c>
      <c r="M359" s="2" t="inlineStr">
        <is>
          <t>AIR 1997 SC 2661; (1997) 5 JT 604; (1997) 2 LLJ 1041; (1997) 4 SCALE 324; (1997) 6 SCC 159; (1997) SCC(L&amp;S) 1434; (1997) 1 SCR 235 Supp; (1997) 2 UJ 125; (1997) AIRSCW 2625; (1997) 6 Supreme 126</t>
        </is>
      </c>
      <c r="N359" s="11" t="n">
        <v>1997</v>
      </c>
      <c r="O359" s="11" t="n"/>
      <c r="P359" s="11" t="n"/>
      <c r="Q359" s="11" t="n"/>
      <c r="R359" s="2" t="n"/>
      <c r="S359" s="2" t="n"/>
      <c r="T359" s="11" t="inlineStr"/>
      <c r="U359" s="11" t="inlineStr"/>
      <c r="V359" s="11" t="inlineStr">
        <is>
          <t>outside_list</t>
        </is>
      </c>
      <c r="W359" s="11" t="n"/>
      <c r="X359" s="11" t="n"/>
      <c r="Y359" s="11" t="n"/>
      <c r="Z359" s="11" t="inlineStr">
        <is>
          <t>Mr. Advocate</t>
        </is>
      </c>
      <c r="AA359" s="11" t="inlineStr">
        <is>
          <t>2026-10-07</t>
        </is>
      </c>
      <c r="AB359" s="11" t="inlineStr">
        <is>
          <t>name_year</t>
        </is>
      </c>
      <c r="AC359" s="2" t="inlineStr"/>
      <c r="AD359" s="2" t="inlineStr">
        <is>
          <t>Desh Raj Gupta v. Industrial Tribunal IV, U.P., Lucknow and another (1990) was overruled by Punjab Dairy Development Corporation Limited and another, etc. v. Kala Singh (1997).</t>
        </is>
      </c>
      <c r="AE359" s="2" t="n"/>
      <c r="AF359" s="11" t="inlineStr">
        <is>
          <t>created from list 1</t>
        </is>
      </c>
    </row>
    <row r="360">
      <c r="A360" s="11" t="inlineStr">
        <is>
          <t>L1-0359</t>
        </is>
      </c>
      <c r="B360" s="11" t="inlineStr">
        <is>
          <t>List 1 (to ~2015)</t>
        </is>
      </c>
      <c r="C360" s="11" t="inlineStr">
        <is>
          <t>list1</t>
        </is>
      </c>
      <c r="D360" s="11" t="inlineStr">
        <is>
          <t>verified</t>
        </is>
      </c>
      <c r="E360" s="11" t="inlineStr">
        <is>
          <t>overruled</t>
        </is>
      </c>
      <c r="F360" s="2" t="inlineStr">
        <is>
          <t>Justiniano Augusto De Piedade Barreto v. Antonio Vicente Da Fonseca and Others</t>
        </is>
      </c>
      <c r="G360" s="11" t="inlineStr"/>
      <c r="H360" s="11" t="inlineStr">
        <is>
          <t>Supreme Court</t>
        </is>
      </c>
      <c r="I360" s="2" t="inlineStr">
        <is>
          <t>AIR 1979 SC 984; (1979) 3 SCC 47; (1979) 3 SCR 494</t>
        </is>
      </c>
      <c r="J360" s="11" t="n">
        <v>1979</v>
      </c>
      <c r="K360" s="2" t="inlineStr">
        <is>
          <t>Syndicate Bank v. Mr. Prabha D. Naik and Another</t>
        </is>
      </c>
      <c r="L360" s="11" t="inlineStr">
        <is>
          <t>Supreme Court</t>
        </is>
      </c>
      <c r="M360" s="2" t="inlineStr">
        <is>
          <t>AIR 2001 SC 1968; (2001) 2 BC 304; (2001) 105 CompCas 385; (2001) 4 JT 133; (2001) 3 SCALE 53; (2001) 4 SCC 713; (2001) 2 SCR 714; (2001) 2 UJ 1031; (2001) AIRSCW 1433; (2001) 3 Supreme 66</t>
        </is>
      </c>
      <c r="N360" s="11" t="n">
        <v>2001</v>
      </c>
      <c r="O360" s="11" t="n"/>
      <c r="P360" s="11" t="n"/>
      <c r="Q360" s="11" t="n"/>
      <c r="R360" s="2" t="n"/>
      <c r="S360" s="2" t="n"/>
      <c r="T360" s="11" t="inlineStr"/>
      <c r="U360" s="11" t="inlineStr"/>
      <c r="V360" s="11" t="inlineStr">
        <is>
          <t>outside_list</t>
        </is>
      </c>
      <c r="W360" s="11" t="n"/>
      <c r="X360" s="11" t="n"/>
      <c r="Y360" s="11" t="n"/>
      <c r="Z360" s="11" t="inlineStr">
        <is>
          <t>Mr. Advocate</t>
        </is>
      </c>
      <c r="AA360" s="11" t="inlineStr">
        <is>
          <t>2026-10-07</t>
        </is>
      </c>
      <c r="AB360" s="11" t="inlineStr">
        <is>
          <t>name_year</t>
        </is>
      </c>
      <c r="AC360" s="2" t="inlineStr"/>
      <c r="AD360" s="2" t="inlineStr">
        <is>
          <t>Justiniano Augusto De Piedade Barreto v. Antonio Vicente Da Fonseca and Others (1979) was overruled by Syndicate Bank v. Mr. Prabha D. Naik and Another (2001).</t>
        </is>
      </c>
      <c r="AE360" s="2" t="n"/>
      <c r="AF360" s="11" t="inlineStr">
        <is>
          <t>created from list 1</t>
        </is>
      </c>
    </row>
    <row r="361">
      <c r="A361" s="11" t="inlineStr">
        <is>
          <t>L1-0360</t>
        </is>
      </c>
      <c r="B361" s="11" t="inlineStr">
        <is>
          <t>List 1 (to ~2015)</t>
        </is>
      </c>
      <c r="C361" s="11" t="inlineStr">
        <is>
          <t>list1</t>
        </is>
      </c>
      <c r="D361" s="11" t="inlineStr">
        <is>
          <t>verified</t>
        </is>
      </c>
      <c r="E361" s="11" t="inlineStr">
        <is>
          <t>overruled</t>
        </is>
      </c>
      <c r="F361" s="2" t="inlineStr">
        <is>
          <t>Ganpat Ladha v. Sashikant Vishnu Shinde</t>
        </is>
      </c>
      <c r="G361" s="11" t="inlineStr"/>
      <c r="H361" s="11" t="inlineStr">
        <is>
          <t>Supreme Court</t>
        </is>
      </c>
      <c r="I361" s="2" t="inlineStr">
        <is>
          <t>AIR 1978 SC 955; (1978) 2 SCC 573; (1978) 3 SCR 198; (1978) 10 UJ 218</t>
        </is>
      </c>
      <c r="J361" s="11" t="n">
        <v>1978</v>
      </c>
      <c r="K361" s="2" t="inlineStr">
        <is>
          <t>Gian Devi Anand v. Jeevan Kumar and Others</t>
        </is>
      </c>
      <c r="L361" s="11" t="inlineStr">
        <is>
          <t>Supreme Court</t>
        </is>
      </c>
      <c r="M361" s="2" t="inlineStr">
        <is>
          <t>AIR 1985 SC 796; (1985) 1 SCALE 724; (1985) 2 SCC 683; (1985) 1 SCR 1 Supp</t>
        </is>
      </c>
      <c r="N361" s="11" t="n">
        <v>1985</v>
      </c>
      <c r="O361" s="11" t="n"/>
      <c r="P361" s="11" t="n"/>
      <c r="Q361" s="11" t="n"/>
      <c r="R361" s="2" t="n"/>
      <c r="S361" s="2" t="n"/>
      <c r="T361" s="11" t="inlineStr"/>
      <c r="U361" s="11" t="inlineStr"/>
      <c r="V361" s="11" t="inlineStr">
        <is>
          <t>outside_list</t>
        </is>
      </c>
      <c r="W361" s="11" t="n"/>
      <c r="X361" s="11" t="n"/>
      <c r="Y361" s="11" t="n"/>
      <c r="Z361" s="11" t="inlineStr">
        <is>
          <t>Mr. Advocate</t>
        </is>
      </c>
      <c r="AA361" s="11" t="inlineStr">
        <is>
          <t>2026-10-07</t>
        </is>
      </c>
      <c r="AB361" s="11" t="inlineStr">
        <is>
          <t>name_year</t>
        </is>
      </c>
      <c r="AC361" s="2" t="inlineStr"/>
      <c r="AD361" s="2" t="inlineStr">
        <is>
          <t>Ganpat Ladha v. Sashikant Vishnu Shinde (1978) was overruled by Gian Devi Anand v. Jeevan Kumar and Others (1985).</t>
        </is>
      </c>
      <c r="AE361" s="2" t="n"/>
      <c r="AF361" s="11" t="inlineStr">
        <is>
          <t>created from list 1</t>
        </is>
      </c>
    </row>
    <row r="362">
      <c r="A362" s="11" t="inlineStr">
        <is>
          <t>L1-0361</t>
        </is>
      </c>
      <c r="B362" s="11" t="inlineStr">
        <is>
          <t>List 1 (to ~2015)</t>
        </is>
      </c>
      <c r="C362" s="11" t="inlineStr">
        <is>
          <t>list1</t>
        </is>
      </c>
      <c r="D362" s="11" t="inlineStr">
        <is>
          <t>verified</t>
        </is>
      </c>
      <c r="E362" s="11" t="inlineStr">
        <is>
          <t>overruled</t>
        </is>
      </c>
      <c r="F362" s="2" t="inlineStr">
        <is>
          <t>The Management of Safdarjung Hospital, New Delhi v. Kuldip Singh Sethi</t>
        </is>
      </c>
      <c r="G362" s="11" t="inlineStr"/>
      <c r="H362" s="11" t="inlineStr">
        <is>
          <t>Supreme Court</t>
        </is>
      </c>
      <c r="I362" s="2" t="inlineStr">
        <is>
          <t>AIR 1970 SC 1407; (1970) 20 FLR 399; (1970) 2 LLJ 266; (1970) 1 SCC 736; (1970) 1 SCC 735; (1971) 1 SCR 177</t>
        </is>
      </c>
      <c r="J362" s="11" t="n">
        <v>1970</v>
      </c>
      <c r="K362" s="2" t="inlineStr">
        <is>
          <t>Bangalore Water Supply and Sewerage Board v. A. Rajappa and Others</t>
        </is>
      </c>
      <c r="L362" s="11" t="inlineStr">
        <is>
          <t>Supreme Court</t>
        </is>
      </c>
      <c r="M362" s="2" t="inlineStr">
        <is>
          <t>AIR 1978 SC 969; AIR 1978 SC 548; (1978) 36 FLR 266; (1978) 2 LLJ 73; (1978) 1 LLJ 349; (1978) 2 SCC 213; (1978) 3 SCR 207</t>
        </is>
      </c>
      <c r="N362" s="11" t="n">
        <v>1978</v>
      </c>
      <c r="O362" s="11" t="n"/>
      <c r="P362" s="11" t="n"/>
      <c r="Q362" s="11" t="n"/>
      <c r="R362" s="2" t="n"/>
      <c r="S362" s="2" t="n"/>
      <c r="T362" s="11" t="inlineStr"/>
      <c r="U362" s="11" t="inlineStr"/>
      <c r="V362" s="11" t="inlineStr">
        <is>
          <t>outside_list</t>
        </is>
      </c>
      <c r="W362" s="11" t="n"/>
      <c r="X362" s="11" t="n"/>
      <c r="Y362" s="11" t="n"/>
      <c r="Z362" s="11" t="inlineStr">
        <is>
          <t>Mr. Advocate</t>
        </is>
      </c>
      <c r="AA362" s="11" t="inlineStr">
        <is>
          <t>2026-10-07</t>
        </is>
      </c>
      <c r="AB362" s="11" t="inlineStr">
        <is>
          <t>name_year</t>
        </is>
      </c>
      <c r="AC362" s="2" t="inlineStr"/>
      <c r="AD362" s="2" t="inlineStr">
        <is>
          <t>The Management of Safdarjung Hospital, New Delhi v. Kuldip Singh Sethi (1970) was overruled by Bangalore Water Supply and Sewerage Board v. A. Rajappa and Others (1978).</t>
        </is>
      </c>
      <c r="AE362" s="2" t="n"/>
      <c r="AF362" s="11" t="inlineStr">
        <is>
          <t>created from list 1</t>
        </is>
      </c>
    </row>
    <row r="363">
      <c r="A363" s="11" t="inlineStr">
        <is>
          <t>L1-0362</t>
        </is>
      </c>
      <c r="B363" s="11" t="inlineStr">
        <is>
          <t>List 1 (to ~2015)</t>
        </is>
      </c>
      <c r="C363" s="11" t="inlineStr">
        <is>
          <t>list1</t>
        </is>
      </c>
      <c r="D363" s="11" t="inlineStr">
        <is>
          <t>verified</t>
        </is>
      </c>
      <c r="E363" s="11" t="inlineStr">
        <is>
          <t>overruled</t>
        </is>
      </c>
      <c r="F363" s="2" t="inlineStr">
        <is>
          <t>State of Tamil Nadu and another v. A. Mohammed Yousef and others</t>
        </is>
      </c>
      <c r="G363" s="11" t="inlineStr"/>
      <c r="H363" s="11" t="inlineStr">
        <is>
          <t>Supreme Court</t>
        </is>
      </c>
      <c r="I363" s="2" t="inlineStr">
        <is>
          <t>AIR 1992 SC 1827; (1991) 3 JT 347; (1991) 2 SCALE 235; (1991) 4 SCC 224; (1991) 3 SCR 375; (1991) 2 UJ 602</t>
        </is>
      </c>
      <c r="J363" s="11" t="n">
        <v>1992</v>
      </c>
      <c r="K363" s="2" t="inlineStr">
        <is>
          <t>Jaipur Development Authority v. Sita Ram and others</t>
        </is>
      </c>
      <c r="L363" s="11" t="inlineStr">
        <is>
          <t>Supreme Court</t>
        </is>
      </c>
      <c r="M363" s="2" t="inlineStr">
        <is>
          <t>AIR 1997 SC 1104; (1997) 2 JT 501; (1997) 2 SCALE 53; (1997) 3 SCC 522; (1997) 1 SCR 859; (1997) 1 UJ 485; (1997) AIRSCW 1129; (1997) 2 Supreme 246</t>
        </is>
      </c>
      <c r="N363" s="11" t="n">
        <v>1997</v>
      </c>
      <c r="O363" s="11" t="n"/>
      <c r="P363" s="11" t="n"/>
      <c r="Q363" s="11" t="n"/>
      <c r="R363" s="2" t="n"/>
      <c r="S363" s="2" t="n"/>
      <c r="T363" s="11" t="inlineStr"/>
      <c r="U363" s="11" t="inlineStr"/>
      <c r="V363" s="11" t="inlineStr">
        <is>
          <t>outside_list</t>
        </is>
      </c>
      <c r="W363" s="11" t="n"/>
      <c r="X363" s="11" t="n"/>
      <c r="Y363" s="11" t="n"/>
      <c r="Z363" s="11" t="inlineStr">
        <is>
          <t>Mr. Advocate</t>
        </is>
      </c>
      <c r="AA363" s="11" t="inlineStr">
        <is>
          <t>2026-10-07</t>
        </is>
      </c>
      <c r="AB363" s="11" t="inlineStr">
        <is>
          <t>name_year</t>
        </is>
      </c>
      <c r="AC363" s="2" t="inlineStr"/>
      <c r="AD363" s="2" t="inlineStr">
        <is>
          <t>State of Tamil Nadu and another v. A. Mohammed Yousef and others (1992) was overruled by Jaipur Development Authority v. Sita Ram and others (1997).</t>
        </is>
      </c>
      <c r="AE363" s="2" t="n"/>
      <c r="AF363" s="11" t="inlineStr">
        <is>
          <t>created from list 1</t>
        </is>
      </c>
    </row>
    <row r="364">
      <c r="A364" s="11" t="inlineStr">
        <is>
          <t>L1-0363</t>
        </is>
      </c>
      <c r="B364" s="11" t="inlineStr">
        <is>
          <t>List 1 (to ~2015)</t>
        </is>
      </c>
      <c r="C364" s="11" t="inlineStr">
        <is>
          <t>list1</t>
        </is>
      </c>
      <c r="D364" s="11" t="inlineStr">
        <is>
          <t>verified</t>
        </is>
      </c>
      <c r="E364" s="11" t="inlineStr">
        <is>
          <t>overruled</t>
        </is>
      </c>
      <c r="F364" s="2" t="inlineStr">
        <is>
          <t>Vora Abbasbhai Alimahomed v. Haji Gulamnabi Haji Safibhai</t>
        </is>
      </c>
      <c r="G364" s="11" t="inlineStr"/>
      <c r="H364" s="11" t="inlineStr">
        <is>
          <t>Supreme Court</t>
        </is>
      </c>
      <c r="I364" s="2" t="inlineStr">
        <is>
          <t>AIR 1964 SC 1341; (1964) 5 SCR 157</t>
        </is>
      </c>
      <c r="J364" s="11" t="n">
        <v>1964</v>
      </c>
      <c r="K364" s="2" t="inlineStr">
        <is>
          <t>Harbanslal Jagmohandas and Another v. Prabhudas Shivlal</t>
        </is>
      </c>
      <c r="L364" s="11" t="inlineStr">
        <is>
          <t>Supreme Court</t>
        </is>
      </c>
      <c r="M364" s="2" t="inlineStr">
        <is>
          <t>AIR 1976 SC 2005; (1976) ARBLR 213; (1977) 1 SCC 575; (1976) 3 SCR 628; (1976) 8 UJ 337</t>
        </is>
      </c>
      <c r="N364" s="11" t="n">
        <v>1976</v>
      </c>
      <c r="O364" s="11" t="n"/>
      <c r="P364" s="11" t="n"/>
      <c r="Q364" s="11" t="n"/>
      <c r="R364" s="2" t="n"/>
      <c r="S364" s="2" t="n"/>
      <c r="T364" s="11" t="inlineStr"/>
      <c r="U364" s="11" t="inlineStr"/>
      <c r="V364" s="11" t="inlineStr">
        <is>
          <t>outside_list</t>
        </is>
      </c>
      <c r="W364" s="11" t="n"/>
      <c r="X364" s="11" t="n"/>
      <c r="Y364" s="11" t="n"/>
      <c r="Z364" s="11" t="inlineStr">
        <is>
          <t>Mr. Advocate</t>
        </is>
      </c>
      <c r="AA364" s="11" t="inlineStr">
        <is>
          <t>2026-10-07</t>
        </is>
      </c>
      <c r="AB364" s="11" t="inlineStr">
        <is>
          <t>name_year</t>
        </is>
      </c>
      <c r="AC364" s="2" t="inlineStr"/>
      <c r="AD364" s="2" t="inlineStr">
        <is>
          <t>Vora Abbasbhai Alimahomed v. Haji Gulamnabi Haji Safibhai (1964) was overruled by Harbanslal Jagmohandas and Another v. Prabhudas Shivlal (1976).</t>
        </is>
      </c>
      <c r="AE364" s="2" t="n"/>
      <c r="AF364" s="11" t="inlineStr">
        <is>
          <t>created from list 1</t>
        </is>
      </c>
    </row>
    <row r="365">
      <c r="A365" s="11" t="inlineStr">
        <is>
          <t>L1-0364</t>
        </is>
      </c>
      <c r="B365" s="11" t="inlineStr">
        <is>
          <t>List 1 (to ~2015)</t>
        </is>
      </c>
      <c r="C365" s="11" t="inlineStr">
        <is>
          <t>list1</t>
        </is>
      </c>
      <c r="D365" s="11" t="inlineStr">
        <is>
          <t>verified</t>
        </is>
      </c>
      <c r="E365" s="11" t="inlineStr">
        <is>
          <t>overruled</t>
        </is>
      </c>
      <c r="F365" s="2" t="inlineStr">
        <is>
          <t>Ram Nath Madhoprasad and Others v. State of Madhya Pradesh</t>
        </is>
      </c>
      <c r="G365" s="11" t="inlineStr"/>
      <c r="H365" s="11" t="inlineStr">
        <is>
          <t>Supreme Court</t>
        </is>
      </c>
      <c r="I365" s="2" t="inlineStr">
        <is>
          <t>AIR 1953 SC 420</t>
        </is>
      </c>
      <c r="J365" s="11" t="n">
        <v>1953</v>
      </c>
      <c r="K365" s="2" t="inlineStr">
        <is>
          <t>Kusa and Others v. State of Orissa</t>
        </is>
      </c>
      <c r="L365" s="11" t="inlineStr">
        <is>
          <t>Supreme Court</t>
        </is>
      </c>
      <c r="M365" s="2" t="inlineStr">
        <is>
          <t>AIR 1980 SC 559; (1980) CriLJ 408; (1980) 2 SCC 207; (1980) SCC(Cri) 389; (1980) 2 SCR 801</t>
        </is>
      </c>
      <c r="N365" s="11" t="n">
        <v>1980</v>
      </c>
      <c r="O365" s="11" t="n"/>
      <c r="P365" s="11" t="n"/>
      <c r="Q365" s="11" t="n"/>
      <c r="R365" s="2" t="n"/>
      <c r="S365" s="2" t="n"/>
      <c r="T365" s="11" t="inlineStr"/>
      <c r="U365" s="11" t="inlineStr"/>
      <c r="V365" s="11" t="inlineStr">
        <is>
          <t>outside_list</t>
        </is>
      </c>
      <c r="W365" s="11" t="n"/>
      <c r="X365" s="11" t="n"/>
      <c r="Y365" s="11" t="n"/>
      <c r="Z365" s="11" t="inlineStr">
        <is>
          <t>Mr. Advocate</t>
        </is>
      </c>
      <c r="AA365" s="11" t="inlineStr">
        <is>
          <t>2026-10-07</t>
        </is>
      </c>
      <c r="AB365" s="11" t="inlineStr">
        <is>
          <t>name_year</t>
        </is>
      </c>
      <c r="AC365" s="2" t="inlineStr"/>
      <c r="AD365" s="2" t="inlineStr">
        <is>
          <t>Ram Nath Madhoprasad and Others v. State of Madhya Pradesh (1953) was overruled by Kusa and Others v. State of Orissa (1980).</t>
        </is>
      </c>
      <c r="AE365" s="2" t="n"/>
      <c r="AF365" s="11" t="inlineStr">
        <is>
          <t>created from list 1</t>
        </is>
      </c>
    </row>
    <row r="366">
      <c r="A366" s="11" t="inlineStr">
        <is>
          <t>L1-0365</t>
        </is>
      </c>
      <c r="B366" s="11" t="inlineStr">
        <is>
          <t>List 1 (to ~2015)</t>
        </is>
      </c>
      <c r="C366" s="11" t="inlineStr">
        <is>
          <t>list1</t>
        </is>
      </c>
      <c r="D366" s="11" t="inlineStr">
        <is>
          <t>verified</t>
        </is>
      </c>
      <c r="E366" s="11" t="inlineStr">
        <is>
          <t>overruled</t>
        </is>
      </c>
      <c r="F366" s="2" t="inlineStr">
        <is>
          <t>Gopalakrishna Menon and Another v. D. Raja Reddy and Another</t>
        </is>
      </c>
      <c r="G366" s="11" t="inlineStr"/>
      <c r="H366" s="11" t="inlineStr">
        <is>
          <t>Supreme Court</t>
        </is>
      </c>
      <c r="I366" s="2" t="inlineStr">
        <is>
          <t>AIR 1983 SC 1053; (1983) 2 Crimes 584; (1983) 2 SCALE 236; (1983) 4 SCC 240; (1983) 3 SCR 836</t>
        </is>
      </c>
      <c r="J366" s="11" t="n">
        <v>1983</v>
      </c>
      <c r="K366" s="2" t="inlineStr">
        <is>
          <t>Sachida Nand Singh and Another v. State of Bihar and Another</t>
        </is>
      </c>
      <c r="L366" s="11" t="inlineStr">
        <is>
          <t>Supreme Court</t>
        </is>
      </c>
      <c r="M366" s="2" t="inlineStr">
        <is>
          <t>(1998) 1 AD 534; AIR 1998 SC 1121; (1998) CriLJ 1565; (1998) 1 Crimes 142; (1998) 1 JT 370; (1998) 1 SCALE 307; (1998) 2 SCC 493(2); (1998) 2 SCC 493; (1998) 1 SCR 492; (1998) AIRSCW 932; (1998) 1 Supreme 419</t>
        </is>
      </c>
      <c r="N366" s="11" t="n">
        <v>1998</v>
      </c>
      <c r="O366" s="11" t="n"/>
      <c r="P366" s="11" t="n"/>
      <c r="Q366" s="11" t="n"/>
      <c r="R366" s="2" t="n"/>
      <c r="S366" s="2" t="n"/>
      <c r="T366" s="11" t="inlineStr"/>
      <c r="U366" s="11" t="inlineStr"/>
      <c r="V366" s="11" t="inlineStr">
        <is>
          <t>outside_list</t>
        </is>
      </c>
      <c r="W366" s="11" t="n"/>
      <c r="X366" s="11" t="n"/>
      <c r="Y366" s="11" t="n"/>
      <c r="Z366" s="11" t="inlineStr">
        <is>
          <t>Mr. Advocate</t>
        </is>
      </c>
      <c r="AA366" s="11" t="inlineStr">
        <is>
          <t>2026-10-07</t>
        </is>
      </c>
      <c r="AB366" s="11" t="inlineStr">
        <is>
          <t>name_year</t>
        </is>
      </c>
      <c r="AC366" s="2" t="inlineStr"/>
      <c r="AD366" s="2" t="inlineStr">
        <is>
          <t>Gopalakrishna Menon and Another v. D. Raja Reddy and Another (1983) was overruled by Sachida Nand Singh and Another v. State of Bihar and Another (1998).</t>
        </is>
      </c>
      <c r="AE366" s="2" t="n"/>
      <c r="AF366" s="11" t="inlineStr">
        <is>
          <t>created from list 1</t>
        </is>
      </c>
    </row>
    <row r="367">
      <c r="A367" s="11" t="inlineStr">
        <is>
          <t>L1-0366</t>
        </is>
      </c>
      <c r="B367" s="11" t="inlineStr">
        <is>
          <t>List 1 (to ~2015)</t>
        </is>
      </c>
      <c r="C367" s="11" t="inlineStr">
        <is>
          <t>list1</t>
        </is>
      </c>
      <c r="D367" s="11" t="inlineStr">
        <is>
          <t>verified</t>
        </is>
      </c>
      <c r="E367" s="11" t="inlineStr">
        <is>
          <t>overruled</t>
        </is>
      </c>
      <c r="F367" s="2" t="inlineStr">
        <is>
          <t>Sri Baru Ram v. Prasanni and Others</t>
        </is>
      </c>
      <c r="G367" s="11" t="inlineStr"/>
      <c r="H367" s="11" t="inlineStr">
        <is>
          <t>Supreme Court</t>
        </is>
      </c>
      <c r="I367" s="2" t="inlineStr">
        <is>
          <t>AIR 1959 SC 93; (1959) 1 SCR 1403</t>
        </is>
      </c>
      <c r="J367" s="11" t="n">
        <v>1959</v>
      </c>
      <c r="K367" s="2" t="inlineStr">
        <is>
          <t>Ramanbhai Ashabhai Patel v. Dabhi Ajitkumar Fulsinji and Others</t>
        </is>
      </c>
      <c r="L367" s="11" t="inlineStr">
        <is>
          <t>Supreme Court</t>
        </is>
      </c>
      <c r="M367" s="2" t="inlineStr">
        <is>
          <t>AIR 1965 SC 669; (1965) 1 SCR 712</t>
        </is>
      </c>
      <c r="N367" s="11" t="n">
        <v>1965</v>
      </c>
      <c r="O367" s="11" t="n"/>
      <c r="P367" s="11" t="n"/>
      <c r="Q367" s="11" t="n"/>
      <c r="R367" s="2" t="n"/>
      <c r="S367" s="2" t="n"/>
      <c r="T367" s="11" t="inlineStr"/>
      <c r="U367" s="11" t="inlineStr"/>
      <c r="V367" s="11" t="inlineStr">
        <is>
          <t>outside_list</t>
        </is>
      </c>
      <c r="W367" s="11" t="n"/>
      <c r="X367" s="11" t="n"/>
      <c r="Y367" s="11" t="n"/>
      <c r="Z367" s="11" t="inlineStr">
        <is>
          <t>Mr. Advocate</t>
        </is>
      </c>
      <c r="AA367" s="11" t="inlineStr">
        <is>
          <t>2026-10-07</t>
        </is>
      </c>
      <c r="AB367" s="11" t="inlineStr">
        <is>
          <t>name_year</t>
        </is>
      </c>
      <c r="AC367" s="2" t="inlineStr"/>
      <c r="AD367" s="2" t="inlineStr">
        <is>
          <t>Sri Baru Ram v. Prasanni and Others (1959) was overruled by Ramanbhai Ashabhai Patel v. Dabhi Ajitkumar Fulsinji and Others (1965).</t>
        </is>
      </c>
      <c r="AE367" s="2" t="n"/>
      <c r="AF367" s="11" t="inlineStr">
        <is>
          <t>created from list 1</t>
        </is>
      </c>
    </row>
    <row r="368">
      <c r="A368" s="11" t="inlineStr">
        <is>
          <t>L1-0367</t>
        </is>
      </c>
      <c r="B368" s="11" t="inlineStr">
        <is>
          <t>List 1 (to ~2015)</t>
        </is>
      </c>
      <c r="C368" s="11" t="inlineStr">
        <is>
          <t>list1</t>
        </is>
      </c>
      <c r="D368" s="11" t="inlineStr">
        <is>
          <t>verified</t>
        </is>
      </c>
      <c r="E368" s="11" t="inlineStr">
        <is>
          <t>overruled</t>
        </is>
      </c>
      <c r="F368" s="2" t="inlineStr">
        <is>
          <t>Gullapalli Nageswara Rao and Others v. Andhra Pradesh State Road Transport Corporation and Another</t>
        </is>
      </c>
      <c r="G368" s="11" t="inlineStr"/>
      <c r="H368" s="11" t="inlineStr">
        <is>
          <t>Supreme Court</t>
        </is>
      </c>
      <c r="I368" s="2" t="inlineStr">
        <is>
          <t>AIR 1959 SC 308; (1959) 1 SCR 319 Supp</t>
        </is>
      </c>
      <c r="J368" s="11" t="n">
        <v>1959</v>
      </c>
      <c r="K368" s="2" t="inlineStr">
        <is>
          <t>Makhan Singh v. State of Punjab (and connected appeals)</t>
        </is>
      </c>
      <c r="L368" s="11" t="inlineStr">
        <is>
          <t>Supreme Court</t>
        </is>
      </c>
      <c r="M368" s="2" t="inlineStr">
        <is>
          <t>AIR 1964 SC 381; (1964) CriLJ 217; (1964) 4 SCR 797</t>
        </is>
      </c>
      <c r="N368" s="11" t="n">
        <v>1964</v>
      </c>
      <c r="O368" s="11" t="n"/>
      <c r="P368" s="11" t="n"/>
      <c r="Q368" s="11" t="n"/>
      <c r="R368" s="2" t="n"/>
      <c r="S368" s="2" t="n"/>
      <c r="T368" s="11" t="inlineStr"/>
      <c r="U368" s="11" t="inlineStr"/>
      <c r="V368" s="11" t="inlineStr">
        <is>
          <t>outside_list</t>
        </is>
      </c>
      <c r="W368" s="11" t="n"/>
      <c r="X368" s="11" t="n"/>
      <c r="Y368" s="11" t="n"/>
      <c r="Z368" s="11" t="inlineStr">
        <is>
          <t>Mr. Advocate</t>
        </is>
      </c>
      <c r="AA368" s="11" t="inlineStr">
        <is>
          <t>2026-10-07</t>
        </is>
      </c>
      <c r="AB368" s="11" t="inlineStr">
        <is>
          <t>name_year</t>
        </is>
      </c>
      <c r="AC368" s="2" t="inlineStr"/>
      <c r="AD368" s="2" t="inlineStr">
        <is>
          <t>Gullapalli Nageswara Rao and Others v. Andhra Pradesh State Road Transport Corporation and Another (1959) was overruled by Makhan Singh v. State of Punjab (and connected appeals) (1964).</t>
        </is>
      </c>
      <c r="AE368" s="2" t="n"/>
      <c r="AF368" s="11" t="inlineStr">
        <is>
          <t>created from list 1</t>
        </is>
      </c>
    </row>
    <row r="369">
      <c r="A369" s="11" t="inlineStr">
        <is>
          <t>L1-0368</t>
        </is>
      </c>
      <c r="B369" s="11" t="inlineStr">
        <is>
          <t>List 1 (to ~2015)</t>
        </is>
      </c>
      <c r="C369" s="11" t="inlineStr">
        <is>
          <t>list1</t>
        </is>
      </c>
      <c r="D369" s="11" t="inlineStr">
        <is>
          <t>verified</t>
        </is>
      </c>
      <c r="E369" s="11" t="inlineStr">
        <is>
          <t>overruled</t>
        </is>
      </c>
      <c r="F369" s="2" t="inlineStr">
        <is>
          <t>State of Uttar Pradesh and Another v. Annapurna Biscuit Mfg. Company</t>
        </is>
      </c>
      <c r="G369" s="11" t="inlineStr"/>
      <c r="H369" s="11" t="inlineStr">
        <is>
          <t>Supreme Court</t>
        </is>
      </c>
      <c r="I369" s="2" t="inlineStr">
        <is>
          <t>AIR 1973 SC 1333; (1974) 3 SCC 121; (1973) 3 SCR 987; (1973) 32 STC 1</t>
        </is>
      </c>
      <c r="J369" s="11" t="n">
        <v>1973</v>
      </c>
      <c r="K369" s="2" t="inlineStr">
        <is>
          <t>Commissioner of Sales Tax, U.P. v. Swadeshi Polytax Ltd., Ghaziabad</t>
        </is>
      </c>
      <c r="L369" s="11" t="inlineStr">
        <is>
          <t>Supreme Court</t>
        </is>
      </c>
      <c r="M369" s="2" t="inlineStr">
        <is>
          <t>AIR 2006 SC 574; (2005) 12 JT 236; (2005) 7 SCALE 644; (2005) 8 SCC 134; (2005) 3 SCR 663 Supp; (2005) 142 STC 386; (2005) AIRSCW 6238; (2005) 6 Supreme 619</t>
        </is>
      </c>
      <c r="N369" s="11" t="n">
        <v>2006</v>
      </c>
      <c r="O369" s="11" t="n"/>
      <c r="P369" s="11" t="n"/>
      <c r="Q369" s="11" t="n"/>
      <c r="R369" s="2" t="n"/>
      <c r="S369" s="2" t="n"/>
      <c r="T369" s="11" t="inlineStr"/>
      <c r="U369" s="11" t="inlineStr"/>
      <c r="V369" s="11" t="inlineStr">
        <is>
          <t>outside_list</t>
        </is>
      </c>
      <c r="W369" s="11" t="n"/>
      <c r="X369" s="11" t="n"/>
      <c r="Y369" s="11" t="n"/>
      <c r="Z369" s="11" t="inlineStr">
        <is>
          <t>Mr. Advocate</t>
        </is>
      </c>
      <c r="AA369" s="11" t="inlineStr">
        <is>
          <t>2026-10-07</t>
        </is>
      </c>
      <c r="AB369" s="11" t="inlineStr">
        <is>
          <t>name_year</t>
        </is>
      </c>
      <c r="AC369" s="2" t="inlineStr"/>
      <c r="AD369" s="2" t="inlineStr">
        <is>
          <t>State of Uttar Pradesh and Another v. Annapurna Biscuit Mfg. Company (1973) was overruled by Commissioner of Sales Tax, U.P. v. Swadeshi Polytax Ltd., Ghaziabad (2006).</t>
        </is>
      </c>
      <c r="AE369" s="2" t="n"/>
      <c r="AF369" s="11" t="inlineStr">
        <is>
          <t>created from list 1</t>
        </is>
      </c>
    </row>
    <row r="370">
      <c r="A370" s="11" t="inlineStr">
        <is>
          <t>L1-0369</t>
        </is>
      </c>
      <c r="B370" s="11" t="inlineStr">
        <is>
          <t>List 1 (to ~2015)</t>
        </is>
      </c>
      <c r="C370" s="11" t="inlineStr">
        <is>
          <t>list1</t>
        </is>
      </c>
      <c r="D370" s="11" t="inlineStr">
        <is>
          <t>verified</t>
        </is>
      </c>
      <c r="E370" s="11" t="inlineStr">
        <is>
          <t>overruled</t>
        </is>
      </c>
      <c r="F370" s="2" t="inlineStr">
        <is>
          <t>Meghraj and Others v. Mst. Bayabai and Others</t>
        </is>
      </c>
      <c r="G370" s="11" t="inlineStr"/>
      <c r="H370" s="11" t="inlineStr">
        <is>
          <t>Supreme Court</t>
        </is>
      </c>
      <c r="I370" s="2" t="inlineStr">
        <is>
          <t>AIR 1970 SC 161; (1969) 2 SCC 274; (1970) 1 SCR 523</t>
        </is>
      </c>
      <c r="J370" s="11" t="n">
        <v>1970</v>
      </c>
      <c r="K370" s="2" t="inlineStr">
        <is>
          <t>M/s. Industrial Credit and Development Syndicate Now Called I.C.D.S. Ltd. v. Smt. Smithaben H. Patel and Others</t>
        </is>
      </c>
      <c r="L370" s="11" t="inlineStr">
        <is>
          <t>Supreme Court</t>
        </is>
      </c>
      <c r="M370" s="2" t="inlineStr">
        <is>
          <t>AIR 1999 SC 1036; (1999) 96 CompCas 1; (1999) 1 JT 430; (1999) 1 SCALE 393; (1999) 3 SCC 80; (1999) 1 SCR 555; (1999) AIRSCW 669; (1999) 2 Supreme 66</t>
        </is>
      </c>
      <c r="N370" s="11" t="n">
        <v>1999</v>
      </c>
      <c r="O370" s="11" t="n"/>
      <c r="P370" s="11" t="n"/>
      <c r="Q370" s="11" t="n"/>
      <c r="R370" s="2" t="n"/>
      <c r="S370" s="2" t="n"/>
      <c r="T370" s="11" t="inlineStr"/>
      <c r="U370" s="11" t="inlineStr"/>
      <c r="V370" s="11" t="inlineStr">
        <is>
          <t>outside_list</t>
        </is>
      </c>
      <c r="W370" s="11" t="n"/>
      <c r="X370" s="11" t="n"/>
      <c r="Y370" s="11" t="n"/>
      <c r="Z370" s="11" t="inlineStr">
        <is>
          <t>Mr. Advocate</t>
        </is>
      </c>
      <c r="AA370" s="11" t="inlineStr">
        <is>
          <t>2026-10-07</t>
        </is>
      </c>
      <c r="AB370" s="11" t="inlineStr">
        <is>
          <t>name_year</t>
        </is>
      </c>
      <c r="AC370" s="2" t="inlineStr"/>
      <c r="AD370" s="2" t="inlineStr">
        <is>
          <t>Meghraj and Others v. Mst. Bayabai and Others (1970) was overruled by M/s. Industrial Credit and Development Syndicate Now Called I.C.D.S. Ltd. v. Smt. Smithaben H. Patel and Others (1999).</t>
        </is>
      </c>
      <c r="AE370" s="2" t="n"/>
      <c r="AF370" s="11" t="inlineStr">
        <is>
          <t>created from list 1</t>
        </is>
      </c>
    </row>
    <row r="371">
      <c r="A371" s="11" t="inlineStr">
        <is>
          <t>L1-0370</t>
        </is>
      </c>
      <c r="B371" s="11" t="inlineStr">
        <is>
          <t>List 1 (to ~2015)</t>
        </is>
      </c>
      <c r="C371" s="11" t="inlineStr">
        <is>
          <t>list1</t>
        </is>
      </c>
      <c r="D371" s="11" t="inlineStr">
        <is>
          <t>verified</t>
        </is>
      </c>
      <c r="E371" s="11" t="inlineStr">
        <is>
          <t>overruled</t>
        </is>
      </c>
      <c r="F371" s="2" t="inlineStr">
        <is>
          <t>Gujarat Electricity Board, Thermal Power Station, Ukai v. Hind Mazdoor Sabha and Others</t>
        </is>
      </c>
      <c r="G371" s="11" t="inlineStr"/>
      <c r="H371" s="11" t="inlineStr">
        <is>
          <t>Supreme Court</t>
        </is>
      </c>
      <c r="I371" s="2" t="inlineStr">
        <is>
          <t>AIR 1995 SC 1893; (1995) 71 FLR 102; (1995) 4 JT 264; (1995) LabIC 2207; (1995) 2 LLJ 790; (1995) 3 SCALE 498; (1995) 5 SCC 27; (1995) 1 SCR 173 Supp</t>
        </is>
      </c>
      <c r="J371" s="11" t="n">
        <v>1995</v>
      </c>
      <c r="K371" s="2" t="inlineStr">
        <is>
          <t>Air India Statutory Corporation, etc. v. United Labour Union and others</t>
        </is>
      </c>
      <c r="L371" s="11" t="inlineStr">
        <is>
          <t>Supreme Court</t>
        </is>
      </c>
      <c r="M371" s="2" t="inlineStr">
        <is>
          <t>AIR 1997 SC 645; (1996) 11 JT 109; (1997) 1 LLJ 1113; (1996) 9 SCALE 70; (1997) 9 SCC 377; (1997) SCC(L&amp;S) 1344; (1996) 9 SCR 579 Supp; (1997) AIRSCW 430; (1997) 2 Supreme 165</t>
        </is>
      </c>
      <c r="N371" s="11" t="n">
        <v>1997</v>
      </c>
      <c r="O371" s="11" t="n"/>
      <c r="P371" s="11" t="n"/>
      <c r="Q371" s="11" t="n"/>
      <c r="R371" s="2" t="n"/>
      <c r="S371" s="2" t="n"/>
      <c r="T371" s="11" t="inlineStr"/>
      <c r="U371" s="11" t="inlineStr"/>
      <c r="V371" s="11" t="inlineStr">
        <is>
          <t>outside_list</t>
        </is>
      </c>
      <c r="W371" s="11" t="n"/>
      <c r="X371" s="11" t="n"/>
      <c r="Y371" s="11" t="n"/>
      <c r="Z371" s="11" t="inlineStr">
        <is>
          <t>Mr. Advocate</t>
        </is>
      </c>
      <c r="AA371" s="11" t="inlineStr">
        <is>
          <t>2026-10-07</t>
        </is>
      </c>
      <c r="AB371" s="11" t="inlineStr">
        <is>
          <t>name_year</t>
        </is>
      </c>
      <c r="AC371" s="2" t="inlineStr">
        <is>
          <t>L1-0575: overruled by Steel Authority of India Ltd. and Others etc. etc. v. National Union Water Front Workers and Others etc. (2001)</t>
        </is>
      </c>
      <c r="AD371" s="2" t="inlineStr">
        <is>
          <t>Gujarat Electricity Board, Thermal Power Station, Ukai v. Hind Mazdoor Sabha and Others (1995) was overruled by Air India Statutory Corporation, etc. v. United Labour Union and others (1997). Note: Air India Statutory Corporation, etc. v. United Labour Union and others was itself later overruled by Steel Authority of India Ltd. and Others etc. etc. v. National Union Water Front Workers and Others etc. (2001); the current position should be checked.</t>
        </is>
      </c>
      <c r="AE371" s="2" t="n"/>
      <c r="AF371" s="11" t="inlineStr">
        <is>
          <t>created from list 1</t>
        </is>
      </c>
    </row>
    <row r="372">
      <c r="A372" s="11" t="inlineStr">
        <is>
          <t>L1-0371</t>
        </is>
      </c>
      <c r="B372" s="11" t="inlineStr">
        <is>
          <t>List 1 (to ~2015)</t>
        </is>
      </c>
      <c r="C372" s="11" t="inlineStr">
        <is>
          <t>list1</t>
        </is>
      </c>
      <c r="D372" s="11" t="inlineStr">
        <is>
          <t>verified</t>
        </is>
      </c>
      <c r="E372" s="11" t="inlineStr">
        <is>
          <t>overruled</t>
        </is>
      </c>
      <c r="F372" s="2" t="inlineStr">
        <is>
          <t>Superintendent of Police, Ludhiana and Another v. Dwarka Das</t>
        </is>
      </c>
      <c r="G372" s="11" t="inlineStr"/>
      <c r="H372" s="11" t="inlineStr">
        <is>
          <t>Supreme Court</t>
        </is>
      </c>
      <c r="I372" s="2" t="inlineStr">
        <is>
          <t>AIR 1979 SC 336; (1979) LabIC 164; (1979) 3 SCC 789; (1979) 2 SCR 405; (1979) 11 UJ 83</t>
        </is>
      </c>
      <c r="J372" s="11" t="n">
        <v>1979</v>
      </c>
      <c r="K372" s="2" t="inlineStr">
        <is>
          <t>Pratap Singh v. Union Territory of Chandigarh</t>
        </is>
      </c>
      <c r="L372" s="11" t="inlineStr">
        <is>
          <t>Supreme Court</t>
        </is>
      </c>
      <c r="M372" s="2" t="inlineStr">
        <is>
          <t>AIR 1980 SC 57; (1979) LabIC 1359; (1979) 4 SCC 263; (1980) 1 SCR 487; (1979) 11 UJ 903</t>
        </is>
      </c>
      <c r="N372" s="11" t="n">
        <v>1980</v>
      </c>
      <c r="O372" s="11" t="n"/>
      <c r="P372" s="11" t="n"/>
      <c r="Q372" s="11" t="n"/>
      <c r="R372" s="2" t="n"/>
      <c r="S372" s="2" t="n"/>
      <c r="T372" s="11" t="inlineStr"/>
      <c r="U372" s="11" t="inlineStr"/>
      <c r="V372" s="11" t="inlineStr">
        <is>
          <t>outside_list</t>
        </is>
      </c>
      <c r="W372" s="11" t="n"/>
      <c r="X372" s="11" t="n"/>
      <c r="Y372" s="11" t="n"/>
      <c r="Z372" s="11" t="inlineStr">
        <is>
          <t>Mr. Advocate</t>
        </is>
      </c>
      <c r="AA372" s="11" t="inlineStr">
        <is>
          <t>2026-10-07</t>
        </is>
      </c>
      <c r="AB372" s="11" t="inlineStr">
        <is>
          <t>name_year</t>
        </is>
      </c>
      <c r="AC372" s="2" t="inlineStr"/>
      <c r="AD372" s="2" t="inlineStr">
        <is>
          <t>Superintendent of Police, Ludhiana and Another v. Dwarka Das (1979) was overruled by Pratap Singh v. Union Territory of Chandigarh (1980).</t>
        </is>
      </c>
      <c r="AE372" s="2" t="n"/>
      <c r="AF372" s="11" t="inlineStr">
        <is>
          <t>created from list 1</t>
        </is>
      </c>
    </row>
    <row r="373">
      <c r="A373" s="11" t="inlineStr">
        <is>
          <t>L1-0372</t>
        </is>
      </c>
      <c r="B373" s="11" t="inlineStr">
        <is>
          <t>List 1 (to ~2015)</t>
        </is>
      </c>
      <c r="C373" s="11" t="inlineStr">
        <is>
          <t>list1</t>
        </is>
      </c>
      <c r="D373" s="11" t="inlineStr">
        <is>
          <t>verified</t>
        </is>
      </c>
      <c r="E373" s="11" t="inlineStr">
        <is>
          <t>overruled</t>
        </is>
      </c>
      <c r="F373" s="2" t="inlineStr">
        <is>
          <t>East India Industries (Madras) Private Limited v. Commissioner of Income Tax, Madras</t>
        </is>
      </c>
      <c r="G373" s="11" t="inlineStr"/>
      <c r="H373" s="11" t="inlineStr">
        <is>
          <t>Supreme Court</t>
        </is>
      </c>
      <c r="I373" s="2" t="inlineStr">
        <is>
          <t>AIR 1967 SC 1554; (1967) 65 ITR 611; (1967) 2 SCR 356</t>
        </is>
      </c>
      <c r="J373" s="11" t="n">
        <v>1967</v>
      </c>
      <c r="K373" s="2" t="inlineStr">
        <is>
          <t>Sri Agasthyar Trust, Madras v. Commissioner of Income Tax, Madras</t>
        </is>
      </c>
      <c r="L373" s="11" t="inlineStr">
        <is>
          <t>unknown</t>
        </is>
      </c>
      <c r="M373" s="2" t="inlineStr">
        <is>
          <t>(1999) 236 ITR 23; (1998) 6 JT 648; (1998) 2 SCALE 638; (1998) 5 SCC 588; (1998) AIRSCW 3945</t>
        </is>
      </c>
      <c r="N373" s="11" t="n">
        <v>1998</v>
      </c>
      <c r="O373" s="11" t="n"/>
      <c r="P373" s="11" t="n"/>
      <c r="Q373" s="11" t="n"/>
      <c r="R373" s="2" t="n"/>
      <c r="S373" s="2" t="n"/>
      <c r="T373" s="11" t="inlineStr"/>
      <c r="U373" s="11" t="inlineStr"/>
      <c r="V373" s="11" t="inlineStr">
        <is>
          <t>outside_list</t>
        </is>
      </c>
      <c r="W373" s="11" t="n"/>
      <c r="X373" s="11" t="n"/>
      <c r="Y373" s="11" t="n"/>
      <c r="Z373" s="11" t="inlineStr">
        <is>
          <t>Mr. Advocate</t>
        </is>
      </c>
      <c r="AA373" s="11" t="inlineStr">
        <is>
          <t>2026-10-07</t>
        </is>
      </c>
      <c r="AB373" s="11" t="inlineStr">
        <is>
          <t>name_year</t>
        </is>
      </c>
      <c r="AC373" s="2" t="inlineStr"/>
      <c r="AD373" s="2" t="inlineStr">
        <is>
          <t>East India Industries (Madras) Private Limited v. Commissioner of Income Tax, Madras (1967) was overruled by Sri Agasthyar Trust, Madras v. Commissioner of Income Tax, Madras (1998).</t>
        </is>
      </c>
      <c r="AE373" s="2" t="n"/>
      <c r="AF373" s="11" t="inlineStr">
        <is>
          <t>created from list 1</t>
        </is>
      </c>
    </row>
    <row r="374">
      <c r="A374" s="11" t="inlineStr">
        <is>
          <t>L1-0373</t>
        </is>
      </c>
      <c r="B374" s="11" t="inlineStr">
        <is>
          <t>List 1 (to ~2015)</t>
        </is>
      </c>
      <c r="C374" s="11" t="inlineStr">
        <is>
          <t>list1</t>
        </is>
      </c>
      <c r="D374" s="11" t="inlineStr">
        <is>
          <t>verified</t>
        </is>
      </c>
      <c r="E374" s="11" t="inlineStr">
        <is>
          <t>overruled</t>
        </is>
      </c>
      <c r="F374" s="2" t="inlineStr">
        <is>
          <t>Mahadev Bapuji Mahajan (dead) and another v. State of Maharashtra</t>
        </is>
      </c>
      <c r="G374" s="11" t="inlineStr"/>
      <c r="H374" s="11" t="inlineStr">
        <is>
          <t>Supreme Court</t>
        </is>
      </c>
      <c r="I374" s="2" t="inlineStr">
        <is>
          <t>AIR 1994 SC 1549; (1994) CriLJ 1389; (1994) 3 SCC 748 Supp</t>
        </is>
      </c>
      <c r="J374" s="11" t="n">
        <v>1994</v>
      </c>
      <c r="K374" s="2" t="inlineStr">
        <is>
          <t>Sachida Nand Singh and Another v. State of Bihar and Another</t>
        </is>
      </c>
      <c r="L374" s="11" t="inlineStr">
        <is>
          <t>Supreme Court</t>
        </is>
      </c>
      <c r="M374" s="2" t="inlineStr">
        <is>
          <t>(1998) 1 AD 534; AIR 1998 SC 1121; (1998) CriLJ 1565; (1998) 1 Crimes 142; (1998) 1 JT 370; (1998) 1 SCALE 307; (1998) 2 SCC 493(2); (1998) 2 SCC 493; (1998) 1 SCR 492; (1998) AIRSCW 932; (1998) 1 Supreme 419</t>
        </is>
      </c>
      <c r="N374" s="11" t="n">
        <v>1998</v>
      </c>
      <c r="O374" s="11" t="n"/>
      <c r="P374" s="11" t="n"/>
      <c r="Q374" s="11" t="n"/>
      <c r="R374" s="2" t="n"/>
      <c r="S374" s="2" t="n"/>
      <c r="T374" s="11" t="inlineStr"/>
      <c r="U374" s="11" t="inlineStr"/>
      <c r="V374" s="11" t="inlineStr">
        <is>
          <t>outside_list</t>
        </is>
      </c>
      <c r="W374" s="11" t="n"/>
      <c r="X374" s="11" t="n"/>
      <c r="Y374" s="11" t="n"/>
      <c r="Z374" s="11" t="inlineStr">
        <is>
          <t>Mr. Advocate</t>
        </is>
      </c>
      <c r="AA374" s="11" t="inlineStr">
        <is>
          <t>2026-10-07</t>
        </is>
      </c>
      <c r="AB374" s="11" t="inlineStr">
        <is>
          <t>name_year</t>
        </is>
      </c>
      <c r="AC374" s="2" t="inlineStr"/>
      <c r="AD374" s="2" t="inlineStr">
        <is>
          <t>Mahadev Bapuji Mahajan (dead) and another v. State of Maharashtra (1994) was overruled by Sachida Nand Singh and Another v. State of Bihar and Another (1998).</t>
        </is>
      </c>
      <c r="AE374" s="2" t="n"/>
      <c r="AF374" s="11" t="inlineStr">
        <is>
          <t>created from list 1</t>
        </is>
      </c>
    </row>
    <row r="375">
      <c r="A375" s="11" t="inlineStr">
        <is>
          <t>L1-0374</t>
        </is>
      </c>
      <c r="B375" s="11" t="inlineStr">
        <is>
          <t>List 1 (to ~2015)</t>
        </is>
      </c>
      <c r="C375" s="11" t="inlineStr">
        <is>
          <t>list1</t>
        </is>
      </c>
      <c r="D375" s="11" t="inlineStr">
        <is>
          <t>verified</t>
        </is>
      </c>
      <c r="E375" s="11" t="inlineStr">
        <is>
          <t>overruled</t>
        </is>
      </c>
      <c r="F375" s="2" t="inlineStr">
        <is>
          <t>State of Uttar Pradesh and Others v. Synthetics and Chemicals Ltd. and Others</t>
        </is>
      </c>
      <c r="G375" s="11" t="inlineStr"/>
      <c r="H375" s="11" t="inlineStr">
        <is>
          <t>Supreme Court</t>
        </is>
      </c>
      <c r="I375" s="2" t="inlineStr">
        <is>
          <t>AIR 1980 SC 614; (1980) 2 SCC 441; (1980) 2 SCR 531</t>
        </is>
      </c>
      <c r="J375" s="11" t="n">
        <v>1980</v>
      </c>
      <c r="K375" s="2" t="inlineStr">
        <is>
          <t>Synthetics and Chemicals Ltd. and Others v. State of U.P. and Others</t>
        </is>
      </c>
      <c r="L375" s="11" t="inlineStr">
        <is>
          <t>Supreme Court</t>
        </is>
      </c>
      <c r="M375" s="2" t="inlineStr">
        <is>
          <t>AIR 1990 SC 1927; (1989) 4 JT 267; (1989) 2 SCALE 1045; (1990) 1 SCC 109; (1989) 1 SCR 623 Supp</t>
        </is>
      </c>
      <c r="N375" s="11" t="n">
        <v>1990</v>
      </c>
      <c r="O375" s="11" t="n"/>
      <c r="P375" s="11" t="n"/>
      <c r="Q375" s="11" t="n"/>
      <c r="R375" s="2" t="n"/>
      <c r="S375" s="2" t="n"/>
      <c r="T375" s="11" t="inlineStr"/>
      <c r="U375" s="11" t="inlineStr"/>
      <c r="V375" s="11" t="inlineStr">
        <is>
          <t>outside_list</t>
        </is>
      </c>
      <c r="W375" s="11" t="n"/>
      <c r="X375" s="11" t="n"/>
      <c r="Y375" s="11" t="n"/>
      <c r="Z375" s="11" t="inlineStr">
        <is>
          <t>Mr. Advocate</t>
        </is>
      </c>
      <c r="AA375" s="11" t="inlineStr">
        <is>
          <t>2026-10-07</t>
        </is>
      </c>
      <c r="AB375" s="11" t="inlineStr">
        <is>
          <t>name_year</t>
        </is>
      </c>
      <c r="AC375" s="2" t="inlineStr">
        <is>
          <t>L2-051: overruled by State of U.P. v. Lalta Prasad Vaish &amp; Sons (2024)</t>
        </is>
      </c>
      <c r="AD375" s="2" t="inlineStr">
        <is>
          <t>State of Uttar Pradesh and Others v. Synthetics and Chemicals Ltd. and Others (1980) was overruled by Synthetics and Chemicals Ltd. and Others v. State of U.P. and Others (1990). Note: Synthetics and Chemicals Ltd. and Others v. State of U.P. and Others was itself later overruled by State of U.P. v. Lalta Prasad Vaish &amp; Sons (2024); the current position should be checked.</t>
        </is>
      </c>
      <c r="AE375" s="2" t="n"/>
      <c r="AF375" s="11" t="inlineStr">
        <is>
          <t>created from list 1</t>
        </is>
      </c>
    </row>
    <row r="376">
      <c r="A376" s="11" t="inlineStr">
        <is>
          <t>L1-0375</t>
        </is>
      </c>
      <c r="B376" s="11" t="inlineStr">
        <is>
          <t>List 1 (to ~2015)</t>
        </is>
      </c>
      <c r="C376" s="11" t="inlineStr">
        <is>
          <t>list1</t>
        </is>
      </c>
      <c r="D376" s="11" t="inlineStr">
        <is>
          <t>verified</t>
        </is>
      </c>
      <c r="E376" s="11" t="inlineStr">
        <is>
          <t>overruled</t>
        </is>
      </c>
      <c r="F376" s="2" t="inlineStr">
        <is>
          <t>The Indian Aluminium Co. Ltd. v. The Commissioner of Income Tax , West Bengal, Calcutta</t>
        </is>
      </c>
      <c r="G376" s="11" t="inlineStr"/>
      <c r="H376" s="11" t="inlineStr">
        <is>
          <t>Supreme Court</t>
        </is>
      </c>
      <c r="I376" s="2" t="inlineStr">
        <is>
          <t>AIR 1972 SC 1880; (1972) 84 ITR 735; (1972) 2 SCC 150; (1973) 1 SCR 15</t>
        </is>
      </c>
      <c r="J376" s="11" t="n">
        <v>1972</v>
      </c>
      <c r="K376" s="2" t="inlineStr">
        <is>
          <t>National Thermal Power Corporation Ltd. v. M/s. Flowmore Private Ltd. and another</t>
        </is>
      </c>
      <c r="L376" s="11" t="inlineStr">
        <is>
          <t>Supreme Court</t>
        </is>
      </c>
      <c r="M376" s="2" t="inlineStr">
        <is>
          <t>AIR 1996 SC 445; AIR 1995 SC 445; (1995) 2 ARBLR 184; (1995) 2 BC 221; (1995) 84 CompCas 97; (1995) 5 JT 590; (1995) 3 SCALE 545; (1995) 4 SCC 515; (1995) 1 SCR 29 Supp; (1995) 2 UJ 278</t>
        </is>
      </c>
      <c r="N376" s="11" t="n">
        <v>1996</v>
      </c>
      <c r="O376" s="11" t="n"/>
      <c r="P376" s="11" t="n"/>
      <c r="Q376" s="11" t="n"/>
      <c r="R376" s="2" t="n"/>
      <c r="S376" s="2" t="n"/>
      <c r="T376" s="11" t="inlineStr"/>
      <c r="U376" s="11" t="inlineStr"/>
      <c r="V376" s="11" t="inlineStr">
        <is>
          <t>outside_list</t>
        </is>
      </c>
      <c r="W376" s="11" t="n"/>
      <c r="X376" s="11" t="n"/>
      <c r="Y376" s="11" t="n"/>
      <c r="Z376" s="11" t="inlineStr">
        <is>
          <t>Mr. Advocate</t>
        </is>
      </c>
      <c r="AA376" s="11" t="inlineStr">
        <is>
          <t>2026-10-07</t>
        </is>
      </c>
      <c r="AB376" s="11" t="inlineStr">
        <is>
          <t>name_year</t>
        </is>
      </c>
      <c r="AC376" s="2" t="inlineStr"/>
      <c r="AD376" s="2" t="inlineStr">
        <is>
          <t>The Indian Aluminium Co. Ltd. v. The Commissioner of Income Tax , West Bengal, Calcutta (1972) was overruled by National Thermal Power Corporation Ltd. v. M/s. Flowmore Private Ltd. and another (1996).</t>
        </is>
      </c>
      <c r="AE376" s="2" t="n"/>
      <c r="AF376" s="11" t="inlineStr">
        <is>
          <t>created from list 1</t>
        </is>
      </c>
    </row>
    <row r="377">
      <c r="A377" s="11" t="inlineStr">
        <is>
          <t>L1-0376</t>
        </is>
      </c>
      <c r="B377" s="11" t="inlineStr">
        <is>
          <t>List 1 (to ~2015)</t>
        </is>
      </c>
      <c r="C377" s="11" t="inlineStr">
        <is>
          <t>list1</t>
        </is>
      </c>
      <c r="D377" s="11" t="inlineStr">
        <is>
          <t>verified</t>
        </is>
      </c>
      <c r="E377" s="11" t="inlineStr">
        <is>
          <t>overruled</t>
        </is>
      </c>
      <c r="F377" s="2" t="inlineStr">
        <is>
          <t>L. Janakirama Iyer and Others v. P.M. Nilakanta Iyer and Others</t>
        </is>
      </c>
      <c r="G377" s="11" t="inlineStr"/>
      <c r="H377" s="11" t="inlineStr">
        <is>
          <t>Supreme Court</t>
        </is>
      </c>
      <c r="I377" s="2" t="inlineStr">
        <is>
          <t>AIR 1962 SC 633; (1962) 1 SCR 206 Supp</t>
        </is>
      </c>
      <c r="J377" s="11" t="n">
        <v>1962</v>
      </c>
      <c r="K377" s="2" t="inlineStr">
        <is>
          <t>Samarendra Nath Sinha and Another v. Krishna Kumar Nag</t>
        </is>
      </c>
      <c r="L377" s="11" t="inlineStr">
        <is>
          <t>Supreme Court</t>
        </is>
      </c>
      <c r="M377" s="2" t="inlineStr">
        <is>
          <t>AIR 1967 SC 1440; (1967) 2 SCR 18</t>
        </is>
      </c>
      <c r="N377" s="11" t="n">
        <v>1967</v>
      </c>
      <c r="O377" s="11" t="n"/>
      <c r="P377" s="11" t="n"/>
      <c r="Q377" s="11" t="n"/>
      <c r="R377" s="2" t="n"/>
      <c r="S377" s="2" t="n"/>
      <c r="T377" s="11" t="inlineStr"/>
      <c r="U377" s="11" t="inlineStr"/>
      <c r="V377" s="11" t="inlineStr">
        <is>
          <t>outside_list</t>
        </is>
      </c>
      <c r="W377" s="11" t="n"/>
      <c r="X377" s="11" t="n"/>
      <c r="Y377" s="11" t="n"/>
      <c r="Z377" s="11" t="inlineStr">
        <is>
          <t>Mr. Advocate</t>
        </is>
      </c>
      <c r="AA377" s="11" t="inlineStr">
        <is>
          <t>2026-10-07</t>
        </is>
      </c>
      <c r="AB377" s="11" t="inlineStr">
        <is>
          <t>name_year</t>
        </is>
      </c>
      <c r="AC377" s="2" t="inlineStr"/>
      <c r="AD377" s="2" t="inlineStr">
        <is>
          <t>L. Janakirama Iyer and Others v. P.M. Nilakanta Iyer and Others (1962) was overruled by Samarendra Nath Sinha and Another v. Krishna Kumar Nag (1967).</t>
        </is>
      </c>
      <c r="AE377" s="2" t="n"/>
      <c r="AF377" s="11" t="inlineStr">
        <is>
          <t>created from list 1</t>
        </is>
      </c>
    </row>
    <row r="378">
      <c r="A378" s="11" t="inlineStr">
        <is>
          <t>L1-0377</t>
        </is>
      </c>
      <c r="B378" s="11" t="inlineStr">
        <is>
          <t>List 1 (to ~2015)</t>
        </is>
      </c>
      <c r="C378" s="11" t="inlineStr">
        <is>
          <t>list1</t>
        </is>
      </c>
      <c r="D378" s="11" t="inlineStr">
        <is>
          <t>verified</t>
        </is>
      </c>
      <c r="E378" s="11" t="inlineStr">
        <is>
          <t>overruled</t>
        </is>
      </c>
      <c r="F378" s="2" t="inlineStr">
        <is>
          <t>Dadaji alias Dina v. Sukhdeobabu and Others</t>
        </is>
      </c>
      <c r="G378" s="11" t="inlineStr"/>
      <c r="H378" s="11" t="inlineStr">
        <is>
          <t>Supreme Court</t>
        </is>
      </c>
      <c r="I378" s="2" t="inlineStr">
        <is>
          <t>AIR 1980 SC 150; (1980) 1 SCC 621; (1980) 1 SCR 1135; (1980) 12 UJ 26</t>
        </is>
      </c>
      <c r="J378" s="11" t="n">
        <v>1980</v>
      </c>
      <c r="K378" s="2" t="inlineStr">
        <is>
          <t>State of Maharashtra and Others v. Mana Adim Jamat Mandal</t>
        </is>
      </c>
      <c r="L378" s="11" t="inlineStr">
        <is>
          <t>Supreme Court</t>
        </is>
      </c>
      <c r="M378" s="2" t="inlineStr">
        <is>
          <t>AIR 2006 SC 3446; (2006) 3 JT 338; (2006) 3 SCALE 169; (2006) 4 SCC 98; (2006) AIRSCW 1529; (2006) 3 Supreme 28</t>
        </is>
      </c>
      <c r="N378" s="11" t="n">
        <v>2006</v>
      </c>
      <c r="O378" s="11" t="n"/>
      <c r="P378" s="11" t="n"/>
      <c r="Q378" s="11" t="n"/>
      <c r="R378" s="2" t="n"/>
      <c r="S378" s="2" t="n"/>
      <c r="T378" s="11" t="inlineStr"/>
      <c r="U378" s="11" t="inlineStr"/>
      <c r="V378" s="11" t="inlineStr">
        <is>
          <t>outside_list</t>
        </is>
      </c>
      <c r="W378" s="11" t="n"/>
      <c r="X378" s="11" t="n"/>
      <c r="Y378" s="11" t="n"/>
      <c r="Z378" s="11" t="inlineStr">
        <is>
          <t>Mr. Advocate</t>
        </is>
      </c>
      <c r="AA378" s="11" t="inlineStr">
        <is>
          <t>2026-10-07</t>
        </is>
      </c>
      <c r="AB378" s="11" t="inlineStr">
        <is>
          <t>name_year</t>
        </is>
      </c>
      <c r="AC378" s="2" t="inlineStr"/>
      <c r="AD378" s="2" t="inlineStr">
        <is>
          <t>Dadaji alias Dina v. Sukhdeobabu and Others (1980) was overruled by State of Maharashtra and Others v. Mana Adim Jamat Mandal (2006).</t>
        </is>
      </c>
      <c r="AE378" s="2" t="n"/>
      <c r="AF378" s="11" t="inlineStr">
        <is>
          <t>created from list 1</t>
        </is>
      </c>
    </row>
    <row r="379">
      <c r="A379" s="11" t="inlineStr">
        <is>
          <t>L1-0378</t>
        </is>
      </c>
      <c r="B379" s="11" t="inlineStr">
        <is>
          <t>List 1 (to ~2015)</t>
        </is>
      </c>
      <c r="C379" s="11" t="inlineStr">
        <is>
          <t>list1</t>
        </is>
      </c>
      <c r="D379" s="11" t="inlineStr">
        <is>
          <t>verified</t>
        </is>
      </c>
      <c r="E379" s="11" t="inlineStr">
        <is>
          <t>overruled</t>
        </is>
      </c>
      <c r="F379" s="2" t="inlineStr">
        <is>
          <t>Ashish Handa v. Chief Justice of High Court of Punjab and Haryana and others</t>
        </is>
      </c>
      <c r="G379" s="11" t="inlineStr"/>
      <c r="H379" s="11" t="inlineStr">
        <is>
          <t>Supreme Court</t>
        </is>
      </c>
      <c r="I379" s="2" t="inlineStr">
        <is>
          <t>(1996) 3 AD 105; AIR 1996 SC 1308; (1996) 3 JT 248; (1996) 2 SCALE 771; (1996) 3 SCC 145; (1996) 3 SCR 474; (1996) 1 UJ 844</t>
        </is>
      </c>
      <c r="J379" s="11" t="n">
        <v>1996</v>
      </c>
      <c r="K379" s="2" t="inlineStr">
        <is>
          <t>Shri Ashok Tanwar and Another v. State of Himachal Pradesh and Others</t>
        </is>
      </c>
      <c r="L379" s="11" t="inlineStr">
        <is>
          <t>Supreme Court</t>
        </is>
      </c>
      <c r="M379" s="2" t="inlineStr">
        <is>
          <t>AIR 2005 SC 614; (2005) 3 CompLJ 118; (2005) 1 CPJ 21; (2005) 1 CTC 288; (2005) 104 FLR 523; (2004) 10 SCALE 535; (2005) 2 SCC 104; (2005) 2 SLJ 372</t>
        </is>
      </c>
      <c r="N379" s="11" t="n">
        <v>2005</v>
      </c>
      <c r="O379" s="11" t="n"/>
      <c r="P379" s="11" t="n"/>
      <c r="Q379" s="11" t="n"/>
      <c r="R379" s="2" t="n"/>
      <c r="S379" s="2" t="n"/>
      <c r="T379" s="11" t="inlineStr"/>
      <c r="U379" s="11" t="inlineStr"/>
      <c r="V379" s="11" t="inlineStr">
        <is>
          <t>outside_list</t>
        </is>
      </c>
      <c r="W379" s="11" t="n"/>
      <c r="X379" s="11" t="n"/>
      <c r="Y379" s="11" t="n"/>
      <c r="Z379" s="11" t="inlineStr">
        <is>
          <t>Mr. Advocate</t>
        </is>
      </c>
      <c r="AA379" s="11" t="inlineStr">
        <is>
          <t>2026-10-07</t>
        </is>
      </c>
      <c r="AB379" s="11" t="inlineStr">
        <is>
          <t>name_year</t>
        </is>
      </c>
      <c r="AC379" s="2" t="inlineStr"/>
      <c r="AD379" s="2" t="inlineStr">
        <is>
          <t>Ashish Handa v. Chief Justice of High Court of Punjab and Haryana and others (1996) was overruled by Shri Ashok Tanwar and Another v. State of Himachal Pradesh and Others (2005).</t>
        </is>
      </c>
      <c r="AE379" s="2" t="n"/>
      <c r="AF379" s="11" t="inlineStr">
        <is>
          <t>created from list 1</t>
        </is>
      </c>
    </row>
    <row r="380">
      <c r="A380" s="11" t="inlineStr">
        <is>
          <t>L1-0379</t>
        </is>
      </c>
      <c r="B380" s="11" t="inlineStr">
        <is>
          <t>List 1 (to ~2015)</t>
        </is>
      </c>
      <c r="C380" s="11" t="inlineStr">
        <is>
          <t>list1</t>
        </is>
      </c>
      <c r="D380" s="11" t="inlineStr">
        <is>
          <t>verified</t>
        </is>
      </c>
      <c r="E380" s="11" t="inlineStr">
        <is>
          <t>overruled</t>
        </is>
      </c>
      <c r="F380" s="2" t="inlineStr">
        <is>
          <t>Sub-Divisional Inspector of Post, Vaikam, and others v. Theyyam Joseph, etc.,</t>
        </is>
      </c>
      <c r="G380" s="11" t="inlineStr"/>
      <c r="H380" s="11" t="inlineStr">
        <is>
          <t>Supreme Court</t>
        </is>
      </c>
      <c r="I380" s="2" t="inlineStr">
        <is>
          <t>(1996) 2 AD 278; AIR 1996 SC 1271; (1996) 2 JT 457; (1996) LabIC 1059; (1996) 2 LLJ 230; (1996) 2 SCALE 386; (1996) 8 SCC 489; (1996) 2 SCR 93</t>
        </is>
      </c>
      <c r="J380" s="11" t="n">
        <v>1996</v>
      </c>
      <c r="K380" s="2" t="inlineStr">
        <is>
          <t>All India Radio v. Shri Santosh Kumar and Another</t>
        </is>
      </c>
      <c r="L380" s="11" t="inlineStr">
        <is>
          <t>Supreme Court</t>
        </is>
      </c>
      <c r="M380" s="2" t="inlineStr">
        <is>
          <t>(1998) 1 AD 657; AIR 1998 SC 941; (1998) 1 JT 662; (1998) 118 PLR 799; (1998) 1 SCALE 538; (1998) 3 SCC 237; (1998) 1 SCR 702; (1998) 1 UJ 431; (1998) AIRSCW 701; (1998) 1 Supreme 503</t>
        </is>
      </c>
      <c r="N380" s="11" t="n">
        <v>1998</v>
      </c>
      <c r="O380" s="11" t="n"/>
      <c r="P380" s="11" t="n"/>
      <c r="Q380" s="11" t="n"/>
      <c r="R380" s="2" t="n"/>
      <c r="S380" s="2" t="n"/>
      <c r="T380" s="11" t="inlineStr"/>
      <c r="U380" s="11" t="inlineStr"/>
      <c r="V380" s="11" t="inlineStr">
        <is>
          <t>outside_list</t>
        </is>
      </c>
      <c r="W380" s="11" t="n"/>
      <c r="X380" s="11" t="n"/>
      <c r="Y380" s="11" t="n"/>
      <c r="Z380" s="11" t="inlineStr">
        <is>
          <t>Mr. Advocate</t>
        </is>
      </c>
      <c r="AA380" s="11" t="inlineStr">
        <is>
          <t>2026-10-07</t>
        </is>
      </c>
      <c r="AB380" s="11" t="inlineStr">
        <is>
          <t>name_year</t>
        </is>
      </c>
      <c r="AC380" s="2" t="inlineStr"/>
      <c r="AD380" s="2" t="inlineStr">
        <is>
          <t>Sub-Divisional Inspector of Post, Vaikam, and others v. Theyyam Joseph, etc., (1996) was overruled by All India Radio v. Shri Santosh Kumar and Another (1998).</t>
        </is>
      </c>
      <c r="AE380" s="2" t="n"/>
      <c r="AF380" s="11" t="inlineStr">
        <is>
          <t>created from list 1</t>
        </is>
      </c>
    </row>
    <row r="381">
      <c r="A381" s="11" t="inlineStr">
        <is>
          <t>L1-0380</t>
        </is>
      </c>
      <c r="B381" s="11" t="inlineStr">
        <is>
          <t>List 1 (to ~2015)</t>
        </is>
      </c>
      <c r="C381" s="11" t="inlineStr">
        <is>
          <t>list1</t>
        </is>
      </c>
      <c r="D381" s="11" t="inlineStr">
        <is>
          <t>verified</t>
        </is>
      </c>
      <c r="E381" s="11" t="inlineStr">
        <is>
          <t>overruled</t>
        </is>
      </c>
      <c r="F381" s="2" t="inlineStr">
        <is>
          <t>Unni Krishnan, J.P. and others v. State of Andhra Pradesh and others etc.</t>
        </is>
      </c>
      <c r="G381" s="11" t="inlineStr"/>
      <c r="H381" s="11" t="inlineStr">
        <is>
          <t>Supreme Court</t>
        </is>
      </c>
      <c r="I381" s="2" t="inlineStr">
        <is>
          <t>AIR 1993 SC 2178; (1993) 1 JT 474; (1993) 1 SCALE 290; (1992) 2 SCALE 703; (1993) 1 SCC 645; (1993) 1 SCR 594</t>
        </is>
      </c>
      <c r="J381" s="11" t="n">
        <v>1993</v>
      </c>
      <c r="K381" s="2" t="inlineStr">
        <is>
          <t>T.M.A. Pai Foundation and Others v. State of Karnataka and Others</t>
        </is>
      </c>
      <c r="L381" s="11" t="inlineStr">
        <is>
          <t>Supreme Court</t>
        </is>
      </c>
      <c r="M381" s="2" t="inlineStr">
        <is>
          <t>AIR 2003 SC 355; (2002) 9 JT 1; (2002) 8 SCC 481</t>
        </is>
      </c>
      <c r="N381" s="11" t="n">
        <v>2003</v>
      </c>
      <c r="O381" s="11" t="n"/>
      <c r="P381" s="11" t="n"/>
      <c r="Q381" s="11" t="n"/>
      <c r="R381" s="2" t="n"/>
      <c r="S381" s="2" t="n"/>
      <c r="T381" s="11" t="inlineStr"/>
      <c r="U381" s="11" t="inlineStr"/>
      <c r="V381" s="11" t="inlineStr">
        <is>
          <t>outside_list</t>
        </is>
      </c>
      <c r="W381" s="11" t="n"/>
      <c r="X381" s="11" t="n"/>
      <c r="Y381" s="11" t="n"/>
      <c r="Z381" s="11" t="inlineStr">
        <is>
          <t>Mr. Advocate</t>
        </is>
      </c>
      <c r="AA381" s="11" t="inlineStr">
        <is>
          <t>2026-10-07</t>
        </is>
      </c>
      <c r="AB381" s="11" t="inlineStr">
        <is>
          <t>name_year</t>
        </is>
      </c>
      <c r="AC381" s="2" t="inlineStr"/>
      <c r="AD381" s="2" t="inlineStr">
        <is>
          <t>Unni Krishnan, J.P. and others v. State of Andhra Pradesh and others etc. (1993) was overruled by T.M.A. Pai Foundation and Others v. State of Karnataka and Others (2003).</t>
        </is>
      </c>
      <c r="AE381" s="2" t="n"/>
      <c r="AF381" s="11" t="inlineStr">
        <is>
          <t>created from list 1</t>
        </is>
      </c>
    </row>
    <row r="382">
      <c r="A382" s="11" t="inlineStr">
        <is>
          <t>L1-0381</t>
        </is>
      </c>
      <c r="B382" s="11" t="inlineStr">
        <is>
          <t>List 1 (to ~2015)</t>
        </is>
      </c>
      <c r="C382" s="11" t="inlineStr">
        <is>
          <t>list1</t>
        </is>
      </c>
      <c r="D382" s="11" t="inlineStr">
        <is>
          <t>verified</t>
        </is>
      </c>
      <c r="E382" s="11" t="inlineStr">
        <is>
          <t>overruled</t>
        </is>
      </c>
      <c r="F382" s="2" t="inlineStr">
        <is>
          <t>Chowgule and Co. Pvt. Ltd. v. Union of India (UOI) and Others</t>
        </is>
      </c>
      <c r="G382" s="11" t="inlineStr"/>
      <c r="H382" s="11" t="inlineStr">
        <is>
          <t>Supreme Court</t>
        </is>
      </c>
      <c r="I382" s="2" t="inlineStr">
        <is>
          <t>AIR 1987 SC 1176; (1987) 12 ECC 1; (1987) 28 ELT 39; (1987) 1 JT 496; (1987) 1 SCALE 404; (1987) 1 SCC 730; (1987) 2 SCR 351; (1987) 1 UJ 644</t>
        </is>
      </c>
      <c r="J382" s="11" t="n">
        <v>1987</v>
      </c>
      <c r="K382" s="2" t="inlineStr">
        <is>
          <t>Union of India (UOI) and Another v. V.M. Salgaoncar and Bros. (P) Ltd. and Others</t>
        </is>
      </c>
      <c r="L382" s="11" t="inlineStr">
        <is>
          <t>Supreme Court</t>
        </is>
      </c>
      <c r="M382" s="2" t="inlineStr">
        <is>
          <t>AIR 1998 SC 1367; (1998) 60 ECC 487; (1998) 99 ELT 3; (1998) 2 JT 490; (1998) 2 SCALE 355; (1998) 4 SCC 263; (1998) 2 SCR 293; (1998) AIRSCW 1244; (1998) 3 Supreme 226</t>
        </is>
      </c>
      <c r="N382" s="11" t="n">
        <v>1998</v>
      </c>
      <c r="O382" s="11" t="n"/>
      <c r="P382" s="11" t="n"/>
      <c r="Q382" s="11" t="n"/>
      <c r="R382" s="2" t="n"/>
      <c r="S382" s="2" t="n"/>
      <c r="T382" s="11" t="inlineStr"/>
      <c r="U382" s="11" t="inlineStr"/>
      <c r="V382" s="11" t="inlineStr">
        <is>
          <t>outside_list</t>
        </is>
      </c>
      <c r="W382" s="11" t="n"/>
      <c r="X382" s="11" t="n"/>
      <c r="Y382" s="11" t="n"/>
      <c r="Z382" s="11" t="inlineStr">
        <is>
          <t>Mr. Advocate</t>
        </is>
      </c>
      <c r="AA382" s="11" t="inlineStr">
        <is>
          <t>2026-10-07</t>
        </is>
      </c>
      <c r="AB382" s="11" t="inlineStr">
        <is>
          <t>citation</t>
        </is>
      </c>
      <c r="AC382" s="2" t="inlineStr"/>
      <c r="AD382" s="2" t="inlineStr">
        <is>
          <t>Chowgule and Co. Pvt. Ltd. v. Union of India (UOI) and Others (1987) was overruled by Union of India (UOI) and Another v. V.M. Salgaoncar and Bros. (P) Ltd. and Others (1998).</t>
        </is>
      </c>
      <c r="AE382" s="2" t="n"/>
      <c r="AF382" s="11" t="inlineStr">
        <is>
          <t>created from list 1</t>
        </is>
      </c>
    </row>
    <row r="383">
      <c r="A383" s="11" t="inlineStr">
        <is>
          <t>L1-0382</t>
        </is>
      </c>
      <c r="B383" s="11" t="inlineStr">
        <is>
          <t>List 1 (to ~2015)</t>
        </is>
      </c>
      <c r="C383" s="11" t="inlineStr">
        <is>
          <t>list1</t>
        </is>
      </c>
      <c r="D383" s="11" t="inlineStr">
        <is>
          <t>verified</t>
        </is>
      </c>
      <c r="E383" s="11" t="inlineStr">
        <is>
          <t>overruled</t>
        </is>
      </c>
      <c r="F383" s="2" t="inlineStr">
        <is>
          <t>Chandrika Misir and Another v. Bhaiya Lal</t>
        </is>
      </c>
      <c r="G383" s="11" t="inlineStr"/>
      <c r="H383" s="11" t="inlineStr">
        <is>
          <t>Supreme Court</t>
        </is>
      </c>
      <c r="I383" s="2" t="inlineStr">
        <is>
          <t>AIR 1973 SC 2391; (1973) 2 SCC 474; (1974) 1 SCR 290</t>
        </is>
      </c>
      <c r="J383" s="11" t="n">
        <v>1973</v>
      </c>
      <c r="K383" s="2" t="inlineStr">
        <is>
          <t>Faqir (dead) through Shyam Deo v. Kishori alias Lalloo and another</t>
        </is>
      </c>
      <c r="L383" s="11" t="inlineStr">
        <is>
          <t>Supreme Court</t>
        </is>
      </c>
      <c r="M383" s="2" t="inlineStr">
        <is>
          <t>AIR 1995 SC 1569; (1995) 7 JT 614; (1995) 2 SCALE 867; (1995) 4 SCC 533; (1995) 3 SCR 745</t>
        </is>
      </c>
      <c r="N383" s="11" t="n">
        <v>1995</v>
      </c>
      <c r="O383" s="11" t="n"/>
      <c r="P383" s="11" t="n"/>
      <c r="Q383" s="11" t="n"/>
      <c r="R383" s="2" t="n"/>
      <c r="S383" s="2" t="n"/>
      <c r="T383" s="11" t="inlineStr"/>
      <c r="U383" s="11" t="inlineStr"/>
      <c r="V383" s="11" t="inlineStr">
        <is>
          <t>outside_list</t>
        </is>
      </c>
      <c r="W383" s="11" t="n"/>
      <c r="X383" s="11" t="n"/>
      <c r="Y383" s="11" t="n"/>
      <c r="Z383" s="11" t="inlineStr">
        <is>
          <t>Mr. Advocate</t>
        </is>
      </c>
      <c r="AA383" s="11" t="inlineStr">
        <is>
          <t>2026-10-07</t>
        </is>
      </c>
      <c r="AB383" s="11" t="inlineStr">
        <is>
          <t>name_year</t>
        </is>
      </c>
      <c r="AC383" s="2" t="inlineStr"/>
      <c r="AD383" s="2" t="inlineStr">
        <is>
          <t>Chandrika Misir and Another v. Bhaiya Lal (1973) was overruled by Faqir (dead) through Shyam Deo v. Kishori alias Lalloo and another (1995).</t>
        </is>
      </c>
      <c r="AE383" s="2" t="n"/>
      <c r="AF383" s="11" t="inlineStr">
        <is>
          <t>created from list 1</t>
        </is>
      </c>
    </row>
    <row r="384">
      <c r="A384" s="11" t="inlineStr">
        <is>
          <t>L1-0383</t>
        </is>
      </c>
      <c r="B384" s="11" t="inlineStr">
        <is>
          <t>List 1 (to ~2015)</t>
        </is>
      </c>
      <c r="C384" s="11" t="inlineStr">
        <is>
          <t>list1</t>
        </is>
      </c>
      <c r="D384" s="11" t="inlineStr">
        <is>
          <t>verified</t>
        </is>
      </c>
      <c r="E384" s="11" t="inlineStr">
        <is>
          <t>overruled</t>
        </is>
      </c>
      <c r="F384" s="2" t="inlineStr">
        <is>
          <t>Cloth Traders (P) Ltd. v. Additional Commissioner of Income Tax , Gujarat-I</t>
        </is>
      </c>
      <c r="G384" s="11" t="inlineStr"/>
      <c r="H384" s="11" t="inlineStr">
        <is>
          <t>Supreme Court</t>
        </is>
      </c>
      <c r="I384" s="2" t="inlineStr">
        <is>
          <t>AIR 1979 SC 1691; (1979) 10 CTR 393; (1979) 118 ITR 243; (1979) 3 SCC 538; (1979) 3 SCR 984</t>
        </is>
      </c>
      <c r="J384" s="11" t="n">
        <v>1979</v>
      </c>
      <c r="K384" s="2" t="inlineStr">
        <is>
          <t>Commissioner of Income Tax, Delhi v. Swaran Singh Kanwar</t>
        </is>
      </c>
      <c r="L384" s="11" t="inlineStr">
        <is>
          <t>Supreme Court</t>
        </is>
      </c>
      <c r="M384" s="2" t="inlineStr">
        <is>
          <t>AIR 1999 SC 1593; (1998) 150 CTR 156; (1998) 232 ITR 350; (1998) 9 JT 249(1); (1997) 11 SCC 69; (1998) AIRSCW 4106; (2004) 1 Supreme 243</t>
        </is>
      </c>
      <c r="N384" s="11" t="n">
        <v>1999</v>
      </c>
      <c r="O384" s="11" t="n"/>
      <c r="P384" s="11" t="n"/>
      <c r="Q384" s="11" t="n"/>
      <c r="R384" s="2" t="n"/>
      <c r="S384" s="2" t="n"/>
      <c r="T384" s="11" t="inlineStr"/>
      <c r="U384" s="11" t="inlineStr"/>
      <c r="V384" s="11" t="inlineStr">
        <is>
          <t>outside_list</t>
        </is>
      </c>
      <c r="W384" s="11" t="n"/>
      <c r="X384" s="11" t="n"/>
      <c r="Y384" s="11" t="n"/>
      <c r="Z384" s="11" t="inlineStr">
        <is>
          <t>Mr. Advocate</t>
        </is>
      </c>
      <c r="AA384" s="11" t="inlineStr">
        <is>
          <t>2026-10-07</t>
        </is>
      </c>
      <c r="AB384" s="11" t="inlineStr">
        <is>
          <t>name_year</t>
        </is>
      </c>
      <c r="AC384" s="2" t="inlineStr"/>
      <c r="AD384" s="2" t="inlineStr">
        <is>
          <t>Cloth Traders (P) Ltd. v. Additional Commissioner of Income Tax , Gujarat-I (1979) was overruled by Commissioner of Income Tax, Delhi v. Swaran Singh Kanwar (1999).</t>
        </is>
      </c>
      <c r="AE384" s="2" t="n"/>
      <c r="AF384" s="11" t="inlineStr">
        <is>
          <t>created from list 1</t>
        </is>
      </c>
    </row>
    <row r="385">
      <c r="A385" s="11" t="inlineStr">
        <is>
          <t>L1-0384</t>
        </is>
      </c>
      <c r="B385" s="11" t="inlineStr">
        <is>
          <t>List 1 (to ~2015)</t>
        </is>
      </c>
      <c r="C385" s="11" t="inlineStr">
        <is>
          <t>list1</t>
        </is>
      </c>
      <c r="D385" s="11" t="inlineStr">
        <is>
          <t>verified</t>
        </is>
      </c>
      <c r="E385" s="11" t="inlineStr">
        <is>
          <t>overruled</t>
        </is>
      </c>
      <c r="F385" s="2" t="inlineStr">
        <is>
          <t>Prabodh Chandra v. Mohinder Singh</t>
        </is>
      </c>
      <c r="G385" s="11" t="inlineStr"/>
      <c r="H385" s="11" t="inlineStr">
        <is>
          <t>Supreme Court</t>
        </is>
      </c>
      <c r="I385" s="2" t="inlineStr">
        <is>
          <t>AIR 1971 SC 257; (1971) 3 SCC 101</t>
        </is>
      </c>
      <c r="J385" s="11" t="n">
        <v>1971</v>
      </c>
      <c r="K385" s="2" t="inlineStr">
        <is>
          <t>Surinder Singh v. Hardial Singh and Others</t>
        </is>
      </c>
      <c r="L385" s="11" t="inlineStr">
        <is>
          <t>Supreme Court</t>
        </is>
      </c>
      <c r="M385" s="2" t="inlineStr">
        <is>
          <t>AIR 1985 SC 89; (1984) 2 SCALE 659; (1985) 1 SCC 91; (1985) 1 SCR 1059</t>
        </is>
      </c>
      <c r="N385" s="11" t="n">
        <v>1985</v>
      </c>
      <c r="O385" s="11" t="n"/>
      <c r="P385" s="11" t="n"/>
      <c r="Q385" s="11" t="n"/>
      <c r="R385" s="2" t="n"/>
      <c r="S385" s="2" t="n"/>
      <c r="T385" s="11" t="inlineStr"/>
      <c r="U385" s="11" t="inlineStr"/>
      <c r="V385" s="11" t="inlineStr">
        <is>
          <t>outside_list</t>
        </is>
      </c>
      <c r="W385" s="11" t="n"/>
      <c r="X385" s="11" t="n"/>
      <c r="Y385" s="11" t="n"/>
      <c r="Z385" s="11" t="inlineStr">
        <is>
          <t>Mr. Advocate</t>
        </is>
      </c>
      <c r="AA385" s="11" t="inlineStr">
        <is>
          <t>2026-10-07</t>
        </is>
      </c>
      <c r="AB385" s="11" t="inlineStr">
        <is>
          <t>name_year</t>
        </is>
      </c>
      <c r="AC385" s="2" t="inlineStr"/>
      <c r="AD385" s="2" t="inlineStr">
        <is>
          <t>Prabodh Chandra v. Mohinder Singh (1971) was overruled by Surinder Singh v. Hardial Singh and Others (1985).</t>
        </is>
      </c>
      <c r="AE385" s="2" t="n"/>
      <c r="AF385" s="11" t="inlineStr">
        <is>
          <t>created from list 1</t>
        </is>
      </c>
    </row>
    <row r="386">
      <c r="A386" s="11" t="inlineStr">
        <is>
          <t>L1-0385</t>
        </is>
      </c>
      <c r="B386" s="11" t="inlineStr">
        <is>
          <t>List 1 (to ~2015)</t>
        </is>
      </c>
      <c r="C386" s="11" t="inlineStr">
        <is>
          <t>list1</t>
        </is>
      </c>
      <c r="D386" s="11" t="inlineStr">
        <is>
          <t>verified</t>
        </is>
      </c>
      <c r="E386" s="11" t="inlineStr">
        <is>
          <t>overruled</t>
        </is>
      </c>
      <c r="F386" s="2" t="inlineStr">
        <is>
          <t>T. Govindaraja Mudaliar v. The State of Tamil Nadu and Others</t>
        </is>
      </c>
      <c r="G386" s="11" t="inlineStr"/>
      <c r="H386" s="11" t="inlineStr">
        <is>
          <t>Supreme Court</t>
        </is>
      </c>
      <c r="I386" s="2" t="inlineStr">
        <is>
          <t>AIR 1973 SC 974; (1973) 1 SCC 336; (1973) 3 SCR 222</t>
        </is>
      </c>
      <c r="J386" s="11" t="n">
        <v>1973</v>
      </c>
      <c r="K386" s="2" t="inlineStr">
        <is>
          <t>Kesho Ram and Co. and Others etc. v. Union of India (UOI) and Others</t>
        </is>
      </c>
      <c r="L386" s="11" t="inlineStr">
        <is>
          <t>Supreme Court</t>
        </is>
      </c>
      <c r="M386" s="2" t="inlineStr">
        <is>
          <t>(1989) 1 JT 203 Supp; (1989) JT 203 Supp; (1989) 96 PLR 1; (1989) 1 SCALE 1421; (1989) 3 SCC 151; (1989) 2 SCR 1005</t>
        </is>
      </c>
      <c r="N386" s="11" t="n">
        <v>1989</v>
      </c>
      <c r="O386" s="11" t="n"/>
      <c r="P386" s="11" t="n"/>
      <c r="Q386" s="11" t="n"/>
      <c r="R386" s="2" t="n"/>
      <c r="S386" s="2" t="n"/>
      <c r="T386" s="11" t="inlineStr"/>
      <c r="U386" s="11" t="inlineStr"/>
      <c r="V386" s="11" t="inlineStr">
        <is>
          <t>outside_list</t>
        </is>
      </c>
      <c r="W386" s="11" t="n"/>
      <c r="X386" s="11" t="n"/>
      <c r="Y386" s="11" t="n"/>
      <c r="Z386" s="11" t="inlineStr">
        <is>
          <t>Mr. Advocate</t>
        </is>
      </c>
      <c r="AA386" s="11" t="inlineStr">
        <is>
          <t>2026-10-07</t>
        </is>
      </c>
      <c r="AB386" s="11" t="inlineStr">
        <is>
          <t>name_year</t>
        </is>
      </c>
      <c r="AC386" s="2" t="inlineStr">
        <is>
          <t>L1-0631: overruled by Shri Kishan @ Krishan Kumar v. Manoj Kumar Etc. Etc. (1998)</t>
        </is>
      </c>
      <c r="AD386" s="2" t="inlineStr">
        <is>
          <t>T. Govindaraja Mudaliar v. The State of Tamil Nadu and Others (1973)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c r="AE386" s="2" t="n"/>
      <c r="AF386" s="11" t="inlineStr">
        <is>
          <t>created from list 1</t>
        </is>
      </c>
    </row>
    <row r="387">
      <c r="A387" s="11" t="inlineStr">
        <is>
          <t>L1-0386</t>
        </is>
      </c>
      <c r="B387" s="11" t="inlineStr">
        <is>
          <t>List 1 (to ~2015)</t>
        </is>
      </c>
      <c r="C387" s="11" t="inlineStr">
        <is>
          <t>list1</t>
        </is>
      </c>
      <c r="D387" s="11" t="inlineStr">
        <is>
          <t>verified</t>
        </is>
      </c>
      <c r="E387" s="11" t="inlineStr">
        <is>
          <t>overruled</t>
        </is>
      </c>
      <c r="F387" s="2" t="inlineStr">
        <is>
          <t>Mysore State Road Transport Corporation v. Mysore State Transport Appellate Tribunal</t>
        </is>
      </c>
      <c r="G387" s="11" t="inlineStr"/>
      <c r="H387" s="11" t="inlineStr">
        <is>
          <t>Supreme Court</t>
        </is>
      </c>
      <c r="I387" s="2" t="inlineStr">
        <is>
          <t>AIR 1974 SC 1940; (1974) 2 SCC 750; (1975) 1 SCR 615</t>
        </is>
      </c>
      <c r="J387" s="11" t="n">
        <v>1974</v>
      </c>
      <c r="K387" s="2" t="inlineStr">
        <is>
          <t>T.V. Nataraj and Others v. State of Karnataka and Others</t>
        </is>
      </c>
      <c r="L387" s="11" t="inlineStr">
        <is>
          <t>Supreme Court</t>
        </is>
      </c>
      <c r="M387" s="2" t="inlineStr">
        <is>
          <t>(1994) 2 ACC 334; (1993) 4 SCALE 670; (1994) 2 SCC 32; (1993) 3 SCR 957 Supp; (1994) 1 UJ 93</t>
        </is>
      </c>
      <c r="N387" s="11" t="n">
        <v>1993</v>
      </c>
      <c r="O387" s="11" t="n"/>
      <c r="P387" s="11" t="n"/>
      <c r="Q387" s="11" t="n"/>
      <c r="R387" s="2" t="n"/>
      <c r="S387" s="2" t="n"/>
      <c r="T387" s="11" t="inlineStr"/>
      <c r="U387" s="11" t="inlineStr"/>
      <c r="V387" s="11" t="inlineStr">
        <is>
          <t>outside_list</t>
        </is>
      </c>
      <c r="W387" s="11" t="n"/>
      <c r="X387" s="11" t="n"/>
      <c r="Y387" s="11" t="n"/>
      <c r="Z387" s="11" t="inlineStr">
        <is>
          <t>Mr. Advocate</t>
        </is>
      </c>
      <c r="AA387" s="11" t="inlineStr">
        <is>
          <t>2026-10-07</t>
        </is>
      </c>
      <c r="AB387" s="11" t="inlineStr">
        <is>
          <t>name_year</t>
        </is>
      </c>
      <c r="AC387" s="2" t="inlineStr"/>
      <c r="AD387" s="2" t="inlineStr">
        <is>
          <t>Mysore State Road Transport Corporation v. Mysore State Transport Appellate Tribunal (1974) was overruled by T.V. Nataraj and Others v. State of Karnataka and Others (1993).</t>
        </is>
      </c>
      <c r="AE387" s="2" t="n"/>
      <c r="AF387" s="11" t="inlineStr">
        <is>
          <t>created from list 1</t>
        </is>
      </c>
    </row>
    <row r="388">
      <c r="A388" s="11" t="inlineStr">
        <is>
          <t>L1-0387</t>
        </is>
      </c>
      <c r="B388" s="11" t="inlineStr">
        <is>
          <t>List 1 (to ~2015)</t>
        </is>
      </c>
      <c r="C388" s="11" t="inlineStr">
        <is>
          <t>list1</t>
        </is>
      </c>
      <c r="D388" s="11" t="inlineStr">
        <is>
          <t>verified</t>
        </is>
      </c>
      <c r="E388" s="11" t="inlineStr">
        <is>
          <t>overruled</t>
        </is>
      </c>
      <c r="F388" s="2" t="inlineStr">
        <is>
          <t>St. Stephen’s College etc., etc. v. The University of Delhi Etc., Etc.</t>
        </is>
      </c>
      <c r="G388" s="11" t="inlineStr"/>
      <c r="H388" s="11" t="inlineStr">
        <is>
          <t>Supreme Court</t>
        </is>
      </c>
      <c r="I388" s="2" t="inlineStr">
        <is>
          <t>AIR 1992 SC 1630; (1991) 4 JT 548; (1991) 2 SCALE 1217; (1992) 1 SCC 558; (1991) 3 SCR 121 Supp</t>
        </is>
      </c>
      <c r="J388" s="11" t="n">
        <v>1992</v>
      </c>
      <c r="K388" s="2" t="inlineStr">
        <is>
          <t>T.M.A. Pai Foundation and Others v. State of Karnataka and Others</t>
        </is>
      </c>
      <c r="L388" s="11" t="inlineStr">
        <is>
          <t>Supreme Court</t>
        </is>
      </c>
      <c r="M388" s="2" t="inlineStr">
        <is>
          <t>AIR 2003 SC 355; (2002) 9 JT 1; (2002) 8 SCC 481</t>
        </is>
      </c>
      <c r="N388" s="11" t="n">
        <v>2003</v>
      </c>
      <c r="O388" s="11" t="n"/>
      <c r="P388" s="11" t="n"/>
      <c r="Q388" s="11" t="n"/>
      <c r="R388" s="2" t="n"/>
      <c r="S388" s="2" t="n"/>
      <c r="T388" s="11" t="inlineStr"/>
      <c r="U388" s="11" t="inlineStr"/>
      <c r="V388" s="11" t="inlineStr">
        <is>
          <t>outside_list</t>
        </is>
      </c>
      <c r="W388" s="11" t="n"/>
      <c r="X388" s="11" t="n"/>
      <c r="Y388" s="11" t="n"/>
      <c r="Z388" s="11" t="inlineStr">
        <is>
          <t>Mr. Advocate</t>
        </is>
      </c>
      <c r="AA388" s="11" t="inlineStr">
        <is>
          <t>2026-10-07</t>
        </is>
      </c>
      <c r="AB388" s="11" t="inlineStr">
        <is>
          <t>name_year</t>
        </is>
      </c>
      <c r="AC388" s="2" t="inlineStr"/>
      <c r="AD388" s="2" t="inlineStr">
        <is>
          <t>St. Stephen’s College etc., etc. v. The University of Delhi Etc., Etc. (1992) was overruled by T.M.A. Pai Foundation and Others v. State of Karnataka and Others (2003).</t>
        </is>
      </c>
      <c r="AE388" s="2" t="n"/>
      <c r="AF388" s="11" t="inlineStr">
        <is>
          <t>created from list 1</t>
        </is>
      </c>
    </row>
    <row r="389">
      <c r="A389" s="11" t="inlineStr">
        <is>
          <t>L1-0388</t>
        </is>
      </c>
      <c r="B389" s="11" t="inlineStr">
        <is>
          <t>List 1 (to ~2015)</t>
        </is>
      </c>
      <c r="C389" s="11" t="inlineStr">
        <is>
          <t>list1</t>
        </is>
      </c>
      <c r="D389" s="11" t="inlineStr">
        <is>
          <t>verified</t>
        </is>
      </c>
      <c r="E389" s="11" t="inlineStr">
        <is>
          <t>overruled</t>
        </is>
      </c>
      <c r="F389" s="2" t="inlineStr">
        <is>
          <t>H. Anraj v. Government of Tamil Nadu</t>
        </is>
      </c>
      <c r="G389" s="11" t="inlineStr"/>
      <c r="H389" s="11" t="inlineStr">
        <is>
          <t>Supreme Court</t>
        </is>
      </c>
      <c r="I389" s="2" t="inlineStr">
        <is>
          <t>AIR 1986 SC 63; (1985) 2 SCALE 641; (1986) 1 SCC 414; (1985) 3 SCR 342 Supp; (1986) 61 STC 165</t>
        </is>
      </c>
      <c r="J389" s="11" t="n">
        <v>1986</v>
      </c>
      <c r="K389" s="2" t="inlineStr">
        <is>
          <t>Sunrise Associates v. Govt. of NCT of Delhi and Others</t>
        </is>
      </c>
      <c r="L389" s="11" t="inlineStr">
        <is>
          <t>Supreme Court</t>
        </is>
      </c>
      <c r="M389" s="2" t="inlineStr">
        <is>
          <t>AIR 2006 SC 1908; (2006) 5 JT 168; (2006) 5 SCALE 1; (2006) 5 SCC 603; (2006) 2 SCR 421 Supp; (2006) 145 STC 576; (2006) AIRSCW 2378; (2006) 5 Supreme 901</t>
        </is>
      </c>
      <c r="N389" s="11" t="n">
        <v>2006</v>
      </c>
      <c r="O389" s="11" t="n"/>
      <c r="P389" s="11" t="n"/>
      <c r="Q389" s="11" t="n"/>
      <c r="R389" s="2" t="n"/>
      <c r="S389" s="2" t="n"/>
      <c r="T389" s="11" t="inlineStr"/>
      <c r="U389" s="11" t="inlineStr"/>
      <c r="V389" s="11" t="inlineStr">
        <is>
          <t>outside_list</t>
        </is>
      </c>
      <c r="W389" s="11" t="n"/>
      <c r="X389" s="11" t="n"/>
      <c r="Y389" s="11" t="n"/>
      <c r="Z389" s="11" t="inlineStr">
        <is>
          <t>Mr. Advocate</t>
        </is>
      </c>
      <c r="AA389" s="11" t="inlineStr">
        <is>
          <t>2026-10-07</t>
        </is>
      </c>
      <c r="AB389" s="11" t="inlineStr">
        <is>
          <t>name_year</t>
        </is>
      </c>
      <c r="AC389" s="2" t="inlineStr"/>
      <c r="AD389" s="2" t="inlineStr">
        <is>
          <t>H. Anraj v. Government of Tamil Nadu (1986) was overruled by Sunrise Associates v. Govt. of NCT of Delhi and Others (2006).</t>
        </is>
      </c>
      <c r="AE389" s="2" t="n"/>
      <c r="AF389" s="11" t="inlineStr">
        <is>
          <t>created from list 1</t>
        </is>
      </c>
    </row>
    <row r="390">
      <c r="A390" s="11" t="inlineStr">
        <is>
          <t>L1-0389</t>
        </is>
      </c>
      <c r="B390" s="11" t="inlineStr">
        <is>
          <t>List 1 (to ~2015)</t>
        </is>
      </c>
      <c r="C390" s="11" t="inlineStr">
        <is>
          <t>list1</t>
        </is>
      </c>
      <c r="D390" s="11" t="inlineStr">
        <is>
          <t>verified</t>
        </is>
      </c>
      <c r="E390" s="11" t="inlineStr">
        <is>
          <t>overruled</t>
        </is>
      </c>
      <c r="F390" s="2" t="inlineStr">
        <is>
          <t>Commissioner of Wealth Tax, Amritsar v. Suresh Seth</t>
        </is>
      </c>
      <c r="G390" s="11" t="inlineStr"/>
      <c r="H390" s="11" t="inlineStr">
        <is>
          <t>Supreme Court</t>
        </is>
      </c>
      <c r="I390" s="2" t="inlineStr">
        <is>
          <t>AIR 1981 SC 1106; (1981) 21 CTR 349; (1981) 129 ITR 328; (1981) 1 SCALE 729; (1981) 2 SCC 790; (1981) 3 SCR 419; (1981) 13 UJ 555</t>
        </is>
      </c>
      <c r="J390" s="11" t="n">
        <v>1981</v>
      </c>
      <c r="K390" s="2" t="inlineStr">
        <is>
          <t>Maya Rani Punj v. Commissioner of Income Tax, Delhi</t>
        </is>
      </c>
      <c r="L390" s="11" t="inlineStr">
        <is>
          <t>Supreme Court</t>
        </is>
      </c>
      <c r="M390" s="2" t="inlineStr">
        <is>
          <t>AIR 1986 SC 293; (1986) 50 CTR 191; (1986) 157 ITR 330; (1985) 2 SCALE 1267; (1986) 1 SCC 445(1); (1986) 1 SCC 445; (1985) 3 SCR 827 Supp; (1987) 65 STC 416; (1986) 1 UJ 192</t>
        </is>
      </c>
      <c r="N390" s="11" t="n">
        <v>1986</v>
      </c>
      <c r="O390" s="11" t="n"/>
      <c r="P390" s="11" t="n"/>
      <c r="Q390" s="11" t="n"/>
      <c r="R390" s="2" t="n"/>
      <c r="S390" s="2" t="n"/>
      <c r="T390" s="11" t="inlineStr"/>
      <c r="U390" s="11" t="inlineStr"/>
      <c r="V390" s="11" t="inlineStr">
        <is>
          <t>outside_list</t>
        </is>
      </c>
      <c r="W390" s="11" t="n"/>
      <c r="X390" s="11" t="n"/>
      <c r="Y390" s="11" t="n"/>
      <c r="Z390" s="11" t="inlineStr">
        <is>
          <t>Mr. Advocate</t>
        </is>
      </c>
      <c r="AA390" s="11" t="inlineStr">
        <is>
          <t>2026-10-07</t>
        </is>
      </c>
      <c r="AB390" s="11" t="inlineStr">
        <is>
          <t>name_year</t>
        </is>
      </c>
      <c r="AC390" s="2" t="inlineStr">
        <is>
          <t>L1-0539: overruled by Commissioner of Wealth Tax v. Trutees of Sahebzadas of Saraf-E-Khas Trust, Hyderabad (1997)</t>
        </is>
      </c>
      <c r="AD390" s="2" t="inlineStr">
        <is>
          <t>Commissioner of Wealth Tax, Amritsar v. Suresh Seth (1981) was overruled by Maya Rani Punj v. Commissioner of Income Tax, Delhi (1986). Note: Maya Rani Punj v. Commissioner of Income Tax, Delhi was itself later overruled by Commissioner of Wealth Tax v. Trutees of Sahebzadas of Saraf-E-Khas Trust, Hyderabad (1997); the current position should be checked.</t>
        </is>
      </c>
      <c r="AE390" s="2" t="n"/>
      <c r="AF390" s="11" t="inlineStr">
        <is>
          <t>created from list 1</t>
        </is>
      </c>
    </row>
    <row r="391">
      <c r="A391" s="11" t="inlineStr">
        <is>
          <t>L1-0390</t>
        </is>
      </c>
      <c r="B391" s="11" t="inlineStr">
        <is>
          <t>List 1 (to ~2015)</t>
        </is>
      </c>
      <c r="C391" s="11" t="inlineStr">
        <is>
          <t>list1</t>
        </is>
      </c>
      <c r="D391" s="11" t="inlineStr">
        <is>
          <t>verified</t>
        </is>
      </c>
      <c r="E391" s="11" t="inlineStr">
        <is>
          <t>overruled</t>
        </is>
      </c>
      <c r="F391" s="2" t="inlineStr">
        <is>
          <t>Assistant Collector of Central Excise and Others v. Madras Rubber Factory Ltd.</t>
        </is>
      </c>
      <c r="G391" s="11" t="inlineStr"/>
      <c r="H391" s="11" t="inlineStr">
        <is>
          <t>Supreme Court</t>
        </is>
      </c>
      <c r="I391" s="2" t="inlineStr">
        <is>
          <t>AIR 1987 SC 701; (1987) 11 ECC 270; (1987) 27 ELT 553; (1987) 1 JT 41; (1986) 2 SCALE 1239; (1986) 1 SCC 751 Supp; (1986) SCC 751 Supp; (1987) 1 SCR 846</t>
        </is>
      </c>
      <c r="J391" s="11" t="n">
        <v>1987</v>
      </c>
      <c r="K391" s="2" t="inlineStr">
        <is>
          <t>Government of India and Others v. Madras Rubber Factory Ltd. and Others</t>
        </is>
      </c>
      <c r="L391" s="11" t="inlineStr">
        <is>
          <t>Supreme Court</t>
        </is>
      </c>
      <c r="M391" s="2" t="inlineStr">
        <is>
          <t>(1995) 51 ECC 1; (1995) 77 ELT 433; (1995) 4 JT 512; (1995) 3 SCALE 299; (1995) 4 SCC 349; (1995) 3 SCR 1143</t>
        </is>
      </c>
      <c r="N391" s="11" t="n">
        <v>1995</v>
      </c>
      <c r="O391" s="11" t="n"/>
      <c r="P391" s="11" t="n"/>
      <c r="Q391" s="11" t="n"/>
      <c r="R391" s="2" t="n"/>
      <c r="S391" s="2" t="n"/>
      <c r="T391" s="11" t="inlineStr"/>
      <c r="U391" s="11" t="inlineStr"/>
      <c r="V391" s="11" t="inlineStr">
        <is>
          <t>outside_list</t>
        </is>
      </c>
      <c r="W391" s="11" t="n"/>
      <c r="X391" s="11" t="n"/>
      <c r="Y391" s="11" t="n"/>
      <c r="Z391" s="11" t="inlineStr">
        <is>
          <t>Mr. Advocate</t>
        </is>
      </c>
      <c r="AA391" s="11" t="inlineStr">
        <is>
          <t>2026-10-07</t>
        </is>
      </c>
      <c r="AB391" s="11" t="inlineStr">
        <is>
          <t>name_year</t>
        </is>
      </c>
      <c r="AC391" s="2" t="inlineStr"/>
      <c r="AD391" s="2" t="inlineStr">
        <is>
          <t>Assistant Collector of Central Excise and Others v. Madras Rubber Factory Ltd. (1987) was overruled by Government of India and Others v. Madras Rubber Factory Ltd. and Others (1995).</t>
        </is>
      </c>
      <c r="AE391" s="2" t="n"/>
      <c r="AF391" s="11" t="inlineStr">
        <is>
          <t>created from list 1</t>
        </is>
      </c>
    </row>
    <row r="392">
      <c r="A392" s="11" t="inlineStr">
        <is>
          <t>L1-0391</t>
        </is>
      </c>
      <c r="B392" s="11" t="inlineStr">
        <is>
          <t>List 1 (to ~2015)</t>
        </is>
      </c>
      <c r="C392" s="11" t="inlineStr">
        <is>
          <t>list1</t>
        </is>
      </c>
      <c r="D392" s="11" t="inlineStr">
        <is>
          <t>verified</t>
        </is>
      </c>
      <c r="E392" s="11" t="inlineStr">
        <is>
          <t>overruled</t>
        </is>
      </c>
      <c r="F392" s="2" t="inlineStr">
        <is>
          <t>The National Union of Commercial Employees and Another v. M.R. Meher, Industrial Tribunal, Bombay and Others</t>
        </is>
      </c>
      <c r="G392" s="11" t="inlineStr"/>
      <c r="H392" s="11" t="inlineStr">
        <is>
          <t>Supreme Court</t>
        </is>
      </c>
      <c r="I392" s="2" t="inlineStr">
        <is>
          <t>AIR 1962 SC 1080; (1962) 4 FLR 323; (1962) 1 LLJ 241; (1962) 3 SCR 157 Supp</t>
        </is>
      </c>
      <c r="J392" s="11" t="n">
        <v>1962</v>
      </c>
      <c r="K392" s="2" t="inlineStr">
        <is>
          <t>Bangalore Water Supply and Sewerage Board v. A. Rajappa and Others</t>
        </is>
      </c>
      <c r="L392" s="11" t="inlineStr">
        <is>
          <t>Supreme Court</t>
        </is>
      </c>
      <c r="M392" s="2" t="inlineStr">
        <is>
          <t>AIR 1978 SC 969; AIR 1978 SC 548; (1978) 36 FLR 266; (1978) 2 LLJ 73; (1978) 1 LLJ 349; (1978) 2 SCC 213; (1978) 3 SCR 207</t>
        </is>
      </c>
      <c r="N392" s="11" t="n">
        <v>1978</v>
      </c>
      <c r="O392" s="11" t="n"/>
      <c r="P392" s="11" t="n"/>
      <c r="Q392" s="11" t="n"/>
      <c r="R392" s="2" t="n"/>
      <c r="S392" s="2" t="n"/>
      <c r="T392" s="11" t="inlineStr"/>
      <c r="U392" s="11" t="inlineStr"/>
      <c r="V392" s="11" t="inlineStr">
        <is>
          <t>outside_list</t>
        </is>
      </c>
      <c r="W392" s="11" t="n"/>
      <c r="X392" s="11" t="n"/>
      <c r="Y392" s="11" t="n"/>
      <c r="Z392" s="11" t="inlineStr">
        <is>
          <t>Mr. Advocate</t>
        </is>
      </c>
      <c r="AA392" s="11" t="inlineStr">
        <is>
          <t>2026-10-07</t>
        </is>
      </c>
      <c r="AB392" s="11" t="inlineStr">
        <is>
          <t>name_year</t>
        </is>
      </c>
      <c r="AC392" s="2" t="inlineStr"/>
      <c r="AD392" s="2" t="inlineStr">
        <is>
          <t>The National Union of Commercial Employees and Another v. M.R. Meher, Industrial Tribunal, Bombay and Others (1962) was overruled by Bangalore Water Supply and Sewerage Board v. A. Rajappa and Others (1978).</t>
        </is>
      </c>
      <c r="AE392" s="2" t="n"/>
      <c r="AF392" s="11" t="inlineStr">
        <is>
          <t>created from list 1</t>
        </is>
      </c>
    </row>
    <row r="393">
      <c r="A393" s="11" t="inlineStr">
        <is>
          <t>L1-0392</t>
        </is>
      </c>
      <c r="B393" s="11" t="inlineStr">
        <is>
          <t>List 1 (to ~2015)</t>
        </is>
      </c>
      <c r="C393" s="11" t="inlineStr">
        <is>
          <t>list1</t>
        </is>
      </c>
      <c r="D393" s="11" t="inlineStr">
        <is>
          <t>verified</t>
        </is>
      </c>
      <c r="E393" s="11" t="inlineStr">
        <is>
          <t>overruled</t>
        </is>
      </c>
      <c r="F393" s="2" t="inlineStr">
        <is>
          <t>Vasantlal Maganbhai Sanjanwala v. The State of Bombay and Others</t>
        </is>
      </c>
      <c r="G393" s="11" t="inlineStr"/>
      <c r="H393" s="11" t="inlineStr">
        <is>
          <t>Supreme Court</t>
        </is>
      </c>
      <c r="I393" s="2" t="inlineStr">
        <is>
          <t>AIR 1961 SC 4; (1978) CriLJ 1281; (1961) 1 SCR 341</t>
        </is>
      </c>
      <c r="J393" s="11" t="n">
        <v>1961</v>
      </c>
      <c r="K393" s="2" t="inlineStr">
        <is>
          <t>Prag Ice and Oil Mills and Another v. Union of India (UOI)</t>
        </is>
      </c>
      <c r="L393" s="11" t="inlineStr">
        <is>
          <t>Supreme Court</t>
        </is>
      </c>
      <c r="M393" s="2" t="inlineStr">
        <is>
          <t>AIR 1978 SC 1296; (1978) CriLJ 1281(1); (1978) 3 SCC 459; (1978) 3 SCR 293</t>
        </is>
      </c>
      <c r="N393" s="11" t="n">
        <v>1978</v>
      </c>
      <c r="O393" s="11" t="n"/>
      <c r="P393" s="11" t="n"/>
      <c r="Q393" s="11" t="n"/>
      <c r="R393" s="2" t="n"/>
      <c r="S393" s="2" t="n"/>
      <c r="T393" s="11" t="inlineStr"/>
      <c r="U393" s="11" t="inlineStr"/>
      <c r="V393" s="11" t="inlineStr">
        <is>
          <t>outside_list</t>
        </is>
      </c>
      <c r="W393" s="11" t="n"/>
      <c r="X393" s="11" t="n"/>
      <c r="Y393" s="11" t="n"/>
      <c r="Z393" s="11" t="inlineStr">
        <is>
          <t>Mr. Advocate</t>
        </is>
      </c>
      <c r="AA393" s="11" t="inlineStr">
        <is>
          <t>2026-10-07</t>
        </is>
      </c>
      <c r="AB393" s="11" t="inlineStr">
        <is>
          <t>name_year</t>
        </is>
      </c>
      <c r="AC393" s="2" t="inlineStr"/>
      <c r="AD393" s="2" t="inlineStr">
        <is>
          <t>Vasantlal Maganbhai Sanjanwala v. The State of Bombay and Others (1961) was overruled by Prag Ice and Oil Mills and Another v. Union of India (UOI) (1978).</t>
        </is>
      </c>
      <c r="AE393" s="2" t="n"/>
      <c r="AF393" s="11" t="inlineStr">
        <is>
          <t>created from list 1</t>
        </is>
      </c>
    </row>
    <row r="394">
      <c r="A394" s="11" t="inlineStr">
        <is>
          <t>L1-0393</t>
        </is>
      </c>
      <c r="B394" s="11" t="inlineStr">
        <is>
          <t>List 1 (to ~2015)</t>
        </is>
      </c>
      <c r="C394" s="11" t="inlineStr">
        <is>
          <t>list1</t>
        </is>
      </c>
      <c r="D394" s="11" t="inlineStr">
        <is>
          <t>verified</t>
        </is>
      </c>
      <c r="E394" s="11" t="inlineStr">
        <is>
          <t>overruled</t>
        </is>
      </c>
      <c r="F394" s="2" t="inlineStr">
        <is>
          <t>Northern India Caterers Private Ltd. and Another v. State of Punjab and Another</t>
        </is>
      </c>
      <c r="G394" s="11" t="inlineStr"/>
      <c r="H394" s="11" t="inlineStr">
        <is>
          <t>Supreme Court</t>
        </is>
      </c>
      <c r="I394" s="2" t="inlineStr">
        <is>
          <t>AIR 1967 SC 1581; (1967) 69 PLR 781; (1967) 3 SCR 399</t>
        </is>
      </c>
      <c r="J394" s="11" t="n">
        <v>1967</v>
      </c>
      <c r="K394" s="2" t="inlineStr">
        <is>
          <t>Maganlal Chaganlal (P) Ltd. v. Municipal Corporation of Greater Bombay and Others</t>
        </is>
      </c>
      <c r="L394" s="11" t="inlineStr">
        <is>
          <t>Supreme Court</t>
        </is>
      </c>
      <c r="M394" s="2" t="inlineStr">
        <is>
          <t>AIR 1975 SC 648; (1975) 1 SCC 339; (1975) 7 UJ 201</t>
        </is>
      </c>
      <c r="N394" s="11" t="n">
        <v>1975</v>
      </c>
      <c r="O394" s="11" t="n"/>
      <c r="P394" s="11" t="n"/>
      <c r="Q394" s="11" t="n"/>
      <c r="R394" s="2" t="n"/>
      <c r="S394" s="2" t="n"/>
      <c r="T394" s="11" t="inlineStr"/>
      <c r="U394" s="11" t="inlineStr"/>
      <c r="V394" s="11" t="inlineStr">
        <is>
          <t>outside_list</t>
        </is>
      </c>
      <c r="W394" s="11" t="n"/>
      <c r="X394" s="11" t="n"/>
      <c r="Y394" s="11" t="n"/>
      <c r="Z394" s="11" t="inlineStr">
        <is>
          <t>Mr. Advocate</t>
        </is>
      </c>
      <c r="AA394" s="11" t="inlineStr">
        <is>
          <t>2026-10-07</t>
        </is>
      </c>
      <c r="AB394" s="11" t="inlineStr">
        <is>
          <t>name_year</t>
        </is>
      </c>
      <c r="AC394" s="2" t="inlineStr"/>
      <c r="AD394" s="2" t="inlineStr">
        <is>
          <t>Northern India Caterers Private Ltd. and Another v. State of Punjab and Another (1967) was overruled by Maganlal Chaganlal (P) Ltd. v. Municipal Corporation of Greater Bombay and Others (1975).</t>
        </is>
      </c>
      <c r="AE394" s="2" t="n"/>
      <c r="AF394" s="11" t="inlineStr">
        <is>
          <t>created from list 1</t>
        </is>
      </c>
    </row>
    <row r="395">
      <c r="A395" s="11" t="inlineStr">
        <is>
          <t>L1-0394</t>
        </is>
      </c>
      <c r="B395" s="11" t="inlineStr">
        <is>
          <t>List 1 (to ~2015)</t>
        </is>
      </c>
      <c r="C395" s="11" t="inlineStr">
        <is>
          <t>list1</t>
        </is>
      </c>
      <c r="D395" s="11" t="inlineStr">
        <is>
          <t>verified</t>
        </is>
      </c>
      <c r="E395" s="11" t="inlineStr">
        <is>
          <t>overruled</t>
        </is>
      </c>
      <c r="F395" s="2" t="inlineStr">
        <is>
          <t>Mohd. Yasin Shah v. Ali Akbar Khan</t>
        </is>
      </c>
      <c r="G395" s="11" t="inlineStr"/>
      <c r="H395" s="11" t="inlineStr">
        <is>
          <t>Supreme Court</t>
        </is>
      </c>
      <c r="I395" s="2" t="inlineStr">
        <is>
          <t>AIR 1976 SC 1866; (1977) 2 SCC 23; (1976) SCR 1 Supp</t>
        </is>
      </c>
      <c r="J395" s="11" t="n">
        <v>1976</v>
      </c>
      <c r="K395" s="2" t="inlineStr">
        <is>
          <t>Surinder Singh v. Hardial Singh and Others</t>
        </is>
      </c>
      <c r="L395" s="11" t="inlineStr">
        <is>
          <t>Supreme Court</t>
        </is>
      </c>
      <c r="M395" s="2" t="inlineStr">
        <is>
          <t>AIR 1985 SC 89; (1984) 2 SCALE 659; (1985) 1 SCC 91; (1985) 1 SCR 1059</t>
        </is>
      </c>
      <c r="N395" s="11" t="n">
        <v>1985</v>
      </c>
      <c r="O395" s="11" t="n"/>
      <c r="P395" s="11" t="n"/>
      <c r="Q395" s="11" t="n"/>
      <c r="R395" s="2" t="n"/>
      <c r="S395" s="2" t="n"/>
      <c r="T395" s="11" t="inlineStr"/>
      <c r="U395" s="11" t="inlineStr"/>
      <c r="V395" s="11" t="inlineStr">
        <is>
          <t>outside_list</t>
        </is>
      </c>
      <c r="W395" s="11" t="n"/>
      <c r="X395" s="11" t="n"/>
      <c r="Y395" s="11" t="n"/>
      <c r="Z395" s="11" t="inlineStr">
        <is>
          <t>Mr. Advocate</t>
        </is>
      </c>
      <c r="AA395" s="11" t="inlineStr">
        <is>
          <t>2026-10-07</t>
        </is>
      </c>
      <c r="AB395" s="11" t="inlineStr">
        <is>
          <t>name_year</t>
        </is>
      </c>
      <c r="AC395" s="2" t="inlineStr"/>
      <c r="AD395" s="2" t="inlineStr">
        <is>
          <t>Mohd. Yasin Shah v. Ali Akbar Khan (1976) was overruled by Surinder Singh v. Hardial Singh and Others (1985).</t>
        </is>
      </c>
      <c r="AE395" s="2" t="n"/>
      <c r="AF395" s="11" t="inlineStr">
        <is>
          <t>created from list 1</t>
        </is>
      </c>
    </row>
    <row r="396">
      <c r="A396" s="11" t="inlineStr">
        <is>
          <t>L1-0395</t>
        </is>
      </c>
      <c r="B396" s="11" t="inlineStr">
        <is>
          <t>List 1 (to ~2015)</t>
        </is>
      </c>
      <c r="C396" s="11" t="inlineStr">
        <is>
          <t>list1</t>
        </is>
      </c>
      <c r="D396" s="11" t="inlineStr">
        <is>
          <t>verified</t>
        </is>
      </c>
      <c r="E396" s="11" t="inlineStr">
        <is>
          <t>overruled</t>
        </is>
      </c>
      <c r="F396" s="2" t="inlineStr">
        <is>
          <t>Vatal Nagaraj v. R. Dayanand Sagar</t>
        </is>
      </c>
      <c r="G396" s="11" t="inlineStr"/>
      <c r="H396" s="11" t="inlineStr">
        <is>
          <t>Supreme Court</t>
        </is>
      </c>
      <c r="I396" s="2" t="inlineStr">
        <is>
          <t>AIR 1975 SC 349; AIR 1974 SC 349; (1975) 4 SCC 127; (1975) 2 SCR 384</t>
        </is>
      </c>
      <c r="J396" s="11" t="n">
        <v>1975</v>
      </c>
      <c r="K396" s="2" t="inlineStr">
        <is>
          <t>Surinder Singh v. Hardial Singh and Others</t>
        </is>
      </c>
      <c r="L396" s="11" t="inlineStr">
        <is>
          <t>Supreme Court</t>
        </is>
      </c>
      <c r="M396" s="2" t="inlineStr">
        <is>
          <t>AIR 1985 SC 89; (1984) 2 SCALE 659; (1985) 1 SCC 91; (1985) 1 SCR 1059</t>
        </is>
      </c>
      <c r="N396" s="11" t="n">
        <v>1985</v>
      </c>
      <c r="O396" s="11" t="n"/>
      <c r="P396" s="11" t="n"/>
      <c r="Q396" s="11" t="n"/>
      <c r="R396" s="2" t="n"/>
      <c r="S396" s="2" t="n"/>
      <c r="T396" s="11" t="inlineStr"/>
      <c r="U396" s="11" t="inlineStr"/>
      <c r="V396" s="11" t="inlineStr">
        <is>
          <t>outside_list</t>
        </is>
      </c>
      <c r="W396" s="11" t="n"/>
      <c r="X396" s="11" t="n"/>
      <c r="Y396" s="11" t="n"/>
      <c r="Z396" s="11" t="inlineStr">
        <is>
          <t>Mr. Advocate</t>
        </is>
      </c>
      <c r="AA396" s="11" t="inlineStr">
        <is>
          <t>2026-10-07</t>
        </is>
      </c>
      <c r="AB396" s="11" t="inlineStr">
        <is>
          <t>name_year</t>
        </is>
      </c>
      <c r="AC396" s="2" t="inlineStr"/>
      <c r="AD396" s="2" t="inlineStr">
        <is>
          <t>Vatal Nagaraj v. R. Dayanand Sagar (1975) was overruled by Surinder Singh v. Hardial Singh and Others (1985).</t>
        </is>
      </c>
      <c r="AE396" s="2" t="n"/>
      <c r="AF396" s="11" t="inlineStr">
        <is>
          <t>created from list 1</t>
        </is>
      </c>
    </row>
    <row r="397">
      <c r="A397" s="11" t="inlineStr">
        <is>
          <t>L1-0396</t>
        </is>
      </c>
      <c r="B397" s="11" t="inlineStr">
        <is>
          <t>List 1 (to ~2015)</t>
        </is>
      </c>
      <c r="C397" s="11" t="inlineStr">
        <is>
          <t>list1</t>
        </is>
      </c>
      <c r="D397" s="11" t="inlineStr">
        <is>
          <t>verified</t>
        </is>
      </c>
      <c r="E397" s="11" t="inlineStr">
        <is>
          <t>overruled</t>
        </is>
      </c>
      <c r="F397" s="2" t="inlineStr">
        <is>
          <t>M/s. Ballarpur Industries Ltd. v. Asstt. Collector of Customs and Central Excise and others</t>
        </is>
      </c>
      <c r="G397" s="11" t="inlineStr"/>
      <c r="H397" s="11" t="inlineStr">
        <is>
          <t>Supreme Court</t>
        </is>
      </c>
      <c r="I397" s="2" t="inlineStr">
        <is>
          <t>AIR 1995 SC 1439; (1996) 53 ECC 1; (1995) 76 ELT 499; (1995) 3 SCC 429 Supp</t>
        </is>
      </c>
      <c r="J397" s="11" t="n">
        <v>1995</v>
      </c>
      <c r="K397" s="2" t="inlineStr">
        <is>
          <t>Collector of Central Excise, Baroda v. M/s Cotspun Ltd.</t>
        </is>
      </c>
      <c r="L397" s="11" t="inlineStr">
        <is>
          <t>Supreme Court</t>
        </is>
      </c>
      <c r="M397" s="2" t="inlineStr">
        <is>
          <t>AIR 2000 SC 197; (2000) 69 ECC 451; (1999) ECR 817; (1999) 113 ELT 353; (1999) 7 JT 477; (1999) 6 SCALE 223; (1999) 7 SCC 633; (1999) 3 SCR 184 Supp; (1999) AIRSCW 4291; (1999) 8 Supreme 206</t>
        </is>
      </c>
      <c r="N397" s="11" t="n">
        <v>2000</v>
      </c>
      <c r="O397" s="11" t="n"/>
      <c r="P397" s="11" t="n"/>
      <c r="Q397" s="11" t="n"/>
      <c r="R397" s="2" t="n"/>
      <c r="S397" s="2" t="n"/>
      <c r="T397" s="11" t="inlineStr"/>
      <c r="U397" s="11" t="inlineStr"/>
      <c r="V397" s="11" t="inlineStr">
        <is>
          <t>outside_list</t>
        </is>
      </c>
      <c r="W397" s="11" t="n"/>
      <c r="X397" s="11" t="n"/>
      <c r="Y397" s="11" t="n"/>
      <c r="Z397" s="11" t="inlineStr">
        <is>
          <t>Mr. Advocate</t>
        </is>
      </c>
      <c r="AA397" s="11" t="inlineStr">
        <is>
          <t>2026-10-07</t>
        </is>
      </c>
      <c r="AB397" s="11" t="inlineStr">
        <is>
          <t>name_year</t>
        </is>
      </c>
      <c r="AC397" s="2" t="inlineStr"/>
      <c r="AD397" s="2" t="inlineStr">
        <is>
          <t>M/s. Ballarpur Industries Ltd. v. Asstt. Collector of Customs and Central Excise and others (1995) was overruled by Collector of Central Excise, Baroda v. M/s Cotspun Ltd. (2000).</t>
        </is>
      </c>
      <c r="AE397" s="2" t="n"/>
      <c r="AF397" s="11" t="inlineStr">
        <is>
          <t>created from list 1</t>
        </is>
      </c>
    </row>
    <row r="398">
      <c r="A398" s="11" t="inlineStr">
        <is>
          <t>L1-0397</t>
        </is>
      </c>
      <c r="B398" s="11" t="inlineStr">
        <is>
          <t>List 1 (to ~2015)</t>
        </is>
      </c>
      <c r="C398" s="11" t="inlineStr">
        <is>
          <t>list1</t>
        </is>
      </c>
      <c r="D398" s="11" t="inlineStr">
        <is>
          <t>verified</t>
        </is>
      </c>
      <c r="E398" s="11" t="inlineStr">
        <is>
          <t>overruled</t>
        </is>
      </c>
      <c r="F398" s="2" t="inlineStr">
        <is>
          <t>Mir Fazeelath Hussain and others v. Special Deputy Collector Land Acquisition, Hyderabad</t>
        </is>
      </c>
      <c r="G398" s="11" t="inlineStr"/>
      <c r="H398" s="11" t="inlineStr">
        <is>
          <t>Supreme Court</t>
        </is>
      </c>
      <c r="I398" s="2" t="inlineStr">
        <is>
          <t>AIR 1995 SC 1424; (1995) 1 CTC 438; (1995) 3 JT 410; (1995) 4 SCALE 760; (1995) 2 SCALE 424; (1995) 3 SCC 208; (1995) 2 UJ 73</t>
        </is>
      </c>
      <c r="J398" s="11" t="n">
        <v>1995</v>
      </c>
      <c r="K398" s="2" t="inlineStr">
        <is>
          <t>Sunder v. Union of India</t>
        </is>
      </c>
      <c r="L398" s="11" t="inlineStr">
        <is>
          <t>Supreme Court</t>
        </is>
      </c>
      <c r="M398" s="2" t="inlineStr">
        <is>
          <t>AIR 2001 SC 3516; (2001) 8 JT 130; (2001) 6 SCALE 405; (2001) 7 SCC 211; (2001) AIRSCW 3692; (2001) 7 Supreme 37</t>
        </is>
      </c>
      <c r="N398" s="11" t="n">
        <v>2001</v>
      </c>
      <c r="O398" s="11" t="n"/>
      <c r="P398" s="11" t="n"/>
      <c r="Q398" s="11" t="n"/>
      <c r="R398" s="2" t="n"/>
      <c r="S398" s="2" t="n"/>
      <c r="T398" s="11" t="inlineStr"/>
      <c r="U398" s="11" t="inlineStr"/>
      <c r="V398" s="11" t="inlineStr">
        <is>
          <t>outside_list</t>
        </is>
      </c>
      <c r="W398" s="11" t="n"/>
      <c r="X398" s="11" t="n"/>
      <c r="Y398" s="11" t="n"/>
      <c r="Z398" s="11" t="inlineStr">
        <is>
          <t>Mr. Advocate</t>
        </is>
      </c>
      <c r="AA398" s="11" t="inlineStr">
        <is>
          <t>2026-10-07</t>
        </is>
      </c>
      <c r="AB398" s="11" t="inlineStr">
        <is>
          <t>name_year</t>
        </is>
      </c>
      <c r="AC398" s="2" t="inlineStr"/>
      <c r="AD398" s="2" t="inlineStr">
        <is>
          <t>Mir Fazeelath Hussain and others v. Special Deputy Collector Land Acquisition, Hyderabad (1995) was overruled by Sunder v. Union of India (2001).</t>
        </is>
      </c>
      <c r="AE398" s="2" t="n"/>
      <c r="AF398" s="11" t="inlineStr">
        <is>
          <t>created from list 1</t>
        </is>
      </c>
    </row>
    <row r="399">
      <c r="A399" s="11" t="inlineStr">
        <is>
          <t>L1-0398</t>
        </is>
      </c>
      <c r="B399" s="11" t="inlineStr">
        <is>
          <t>List 1 (to ~2015)</t>
        </is>
      </c>
      <c r="C399" s="11" t="inlineStr">
        <is>
          <t>list1</t>
        </is>
      </c>
      <c r="D399" s="11" t="inlineStr">
        <is>
          <t>verified</t>
        </is>
      </c>
      <c r="E399" s="11" t="inlineStr">
        <is>
          <t>overruled</t>
        </is>
      </c>
      <c r="F399" s="2" t="inlineStr">
        <is>
          <t>Mohd. Yunus Saleem v. Shiv Kumar Shastri and Others</t>
        </is>
      </c>
      <c r="G399" s="11" t="inlineStr"/>
      <c r="H399" s="11" t="inlineStr">
        <is>
          <t>Supreme Court</t>
        </is>
      </c>
      <c r="I399" s="2" t="inlineStr">
        <is>
          <t>AIR 1974 SC 1218; (1974) 4 SCC 854; (1974) 3 SCR 738</t>
        </is>
      </c>
      <c r="J399" s="11" t="n">
        <v>1974</v>
      </c>
      <c r="K399" s="2" t="inlineStr">
        <is>
          <t>Shri Umed v. Raj Singh and Others</t>
        </is>
      </c>
      <c r="L399" s="11" t="inlineStr">
        <is>
          <t>Supreme Court</t>
        </is>
      </c>
      <c r="M399" s="2" t="inlineStr">
        <is>
          <t>AIR 1975 SC 43; (1975) 1 SCC 76; (1975) 1 SCR 918</t>
        </is>
      </c>
      <c r="N399" s="11" t="n">
        <v>1975</v>
      </c>
      <c r="O399" s="11" t="n"/>
      <c r="P399" s="11" t="n"/>
      <c r="Q399" s="11" t="n"/>
      <c r="R399" s="2" t="n"/>
      <c r="S399" s="2" t="n"/>
      <c r="T399" s="11" t="inlineStr"/>
      <c r="U399" s="11" t="inlineStr"/>
      <c r="V399" s="11" t="inlineStr">
        <is>
          <t>outside_list</t>
        </is>
      </c>
      <c r="W399" s="11" t="n"/>
      <c r="X399" s="11" t="n"/>
      <c r="Y399" s="11" t="n"/>
      <c r="Z399" s="11" t="inlineStr">
        <is>
          <t>Mr. Advocate</t>
        </is>
      </c>
      <c r="AA399" s="11" t="inlineStr">
        <is>
          <t>2026-10-07</t>
        </is>
      </c>
      <c r="AB399" s="11" t="inlineStr">
        <is>
          <t>name_year</t>
        </is>
      </c>
      <c r="AC399" s="2" t="inlineStr"/>
      <c r="AD399" s="2" t="inlineStr">
        <is>
          <t>Mohd. Yunus Saleem v. Shiv Kumar Shastri and Others (1974) was overruled by Shri Umed v. Raj Singh and Others (1975).</t>
        </is>
      </c>
      <c r="AE399" s="2" t="n"/>
      <c r="AF399" s="11" t="inlineStr">
        <is>
          <t>created from list 1</t>
        </is>
      </c>
    </row>
    <row r="400">
      <c r="A400" s="11" t="inlineStr">
        <is>
          <t>L1-0399</t>
        </is>
      </c>
      <c r="B400" s="11" t="inlineStr">
        <is>
          <t>List 1 (to ~2015)</t>
        </is>
      </c>
      <c r="C400" s="11" t="inlineStr">
        <is>
          <t>list1</t>
        </is>
      </c>
      <c r="D400" s="11" t="inlineStr">
        <is>
          <t>verified</t>
        </is>
      </c>
      <c r="E400" s="11" t="inlineStr">
        <is>
          <t>overruled</t>
        </is>
      </c>
      <c r="F400" s="2" t="inlineStr">
        <is>
          <t>Bharat Kala Bhandar Ltd. v. Municipal Committee, Dhamangaon</t>
        </is>
      </c>
      <c r="G400" s="11" t="inlineStr"/>
      <c r="H400" s="11" t="inlineStr">
        <is>
          <t>Supreme Court</t>
        </is>
      </c>
      <c r="I400" s="2" t="inlineStr">
        <is>
          <t>AIR 1966 SC 249; (1966) 59 ITR 73; (1965) 3 SCR 499</t>
        </is>
      </c>
      <c r="J400" s="11" t="n">
        <v>1966</v>
      </c>
      <c r="K400" s="2" t="inlineStr">
        <is>
          <t>Bihar Mines Ltd. v. Union of India (UOI)</t>
        </is>
      </c>
      <c r="L400" s="11" t="inlineStr">
        <is>
          <t>Supreme Court</t>
        </is>
      </c>
      <c r="M400" s="2" t="inlineStr">
        <is>
          <t>AIR 1967 SC 887; (1967) 1 SCR 707</t>
        </is>
      </c>
      <c r="N400" s="11" t="n">
        <v>1967</v>
      </c>
      <c r="O400" s="11" t="n"/>
      <c r="P400" s="11" t="n"/>
      <c r="Q400" s="11" t="n"/>
      <c r="R400" s="2" t="n"/>
      <c r="S400" s="2" t="n"/>
      <c r="T400" s="11" t="inlineStr"/>
      <c r="U400" s="11" t="inlineStr"/>
      <c r="V400" s="11" t="inlineStr">
        <is>
          <t>outside_list</t>
        </is>
      </c>
      <c r="W400" s="11" t="n"/>
      <c r="X400" s="11" t="n"/>
      <c r="Y400" s="11" t="n"/>
      <c r="Z400" s="11" t="inlineStr">
        <is>
          <t>Mr. Advocate</t>
        </is>
      </c>
      <c r="AA400" s="11" t="inlineStr">
        <is>
          <t>2026-10-07</t>
        </is>
      </c>
      <c r="AB400" s="11" t="inlineStr">
        <is>
          <t>name_year</t>
        </is>
      </c>
      <c r="AC400" s="2" t="inlineStr"/>
      <c r="AD400" s="2" t="inlineStr">
        <is>
          <t>Bharat Kala Bhandar Ltd. v. Municipal Committee, Dhamangaon (1966) was overruled by Bihar Mines Ltd. v. Union of India (UOI) (1967).</t>
        </is>
      </c>
      <c r="AE400" s="2" t="n"/>
      <c r="AF400" s="11" t="inlineStr">
        <is>
          <t>created from list 1</t>
        </is>
      </c>
    </row>
    <row r="401">
      <c r="A401" s="11" t="inlineStr">
        <is>
          <t>L1-0400</t>
        </is>
      </c>
      <c r="B401" s="11" t="inlineStr">
        <is>
          <t>List 1 (to ~2015)</t>
        </is>
      </c>
      <c r="C401" s="11" t="inlineStr">
        <is>
          <t>list1</t>
        </is>
      </c>
      <c r="D401" s="11" t="inlineStr">
        <is>
          <t>verified</t>
        </is>
      </c>
      <c r="E401" s="11" t="inlineStr">
        <is>
          <t>overruled</t>
        </is>
      </c>
      <c r="F401" s="2" t="inlineStr">
        <is>
          <t>State of Kerala v. K.M. Charia Abdullah and Co.</t>
        </is>
      </c>
      <c r="G401" s="11" t="inlineStr"/>
      <c r="H401" s="11" t="inlineStr">
        <is>
          <t>Supreme Court</t>
        </is>
      </c>
      <c r="I401" s="2" t="inlineStr">
        <is>
          <t>AIR 1965 SC 1585; (1965) 1 SCR 601; (1965) 16 STC 875</t>
        </is>
      </c>
      <c r="J401" s="11" t="n">
        <v>1965</v>
      </c>
      <c r="K401" s="2" t="inlineStr">
        <is>
          <t>Swastik Oil Mills Ltd. v. H.B. Munshi, Deputy Commissioner of Sales Tax, Bombay</t>
        </is>
      </c>
      <c r="L401" s="11" t="inlineStr">
        <is>
          <t>Supreme Court</t>
        </is>
      </c>
      <c r="M401" s="2" t="inlineStr">
        <is>
          <t>AIR 1968 SC 843; (1968) 2 SCR 492; (1968) 21 STC 383</t>
        </is>
      </c>
      <c r="N401" s="11" t="n">
        <v>1968</v>
      </c>
      <c r="O401" s="11" t="n"/>
      <c r="P401" s="11" t="n"/>
      <c r="Q401" s="11" t="n"/>
      <c r="R401" s="2" t="n"/>
      <c r="S401" s="2" t="n"/>
      <c r="T401" s="11" t="inlineStr"/>
      <c r="U401" s="11" t="inlineStr"/>
      <c r="V401" s="11" t="inlineStr">
        <is>
          <t>outside_list</t>
        </is>
      </c>
      <c r="W401" s="11" t="n"/>
      <c r="X401" s="11" t="n"/>
      <c r="Y401" s="11" t="n"/>
      <c r="Z401" s="11" t="inlineStr">
        <is>
          <t>Mr. Advocate</t>
        </is>
      </c>
      <c r="AA401" s="11" t="inlineStr">
        <is>
          <t>2026-10-07</t>
        </is>
      </c>
      <c r="AB401" s="11" t="inlineStr">
        <is>
          <t>name_year</t>
        </is>
      </c>
      <c r="AC401" s="2" t="inlineStr"/>
      <c r="AD401" s="2" t="inlineStr">
        <is>
          <t>State of Kerala v. K.M. Charia Abdullah and Co. (1965) was overruled by Swastik Oil Mills Ltd. v. H.B. Munshi, Deputy Commissioner of Sales Tax, Bombay (1968).</t>
        </is>
      </c>
      <c r="AE401" s="2" t="n"/>
      <c r="AF401" s="11" t="inlineStr">
        <is>
          <t>created from list 1</t>
        </is>
      </c>
    </row>
    <row r="402">
      <c r="A402" s="11" t="inlineStr">
        <is>
          <t>L1-0401</t>
        </is>
      </c>
      <c r="B402" s="11" t="inlineStr">
        <is>
          <t>List 1 (to ~2015)</t>
        </is>
      </c>
      <c r="C402" s="11" t="inlineStr">
        <is>
          <t>list1</t>
        </is>
      </c>
      <c r="D402" s="11" t="inlineStr">
        <is>
          <t>verified</t>
        </is>
      </c>
      <c r="E402" s="11" t="inlineStr">
        <is>
          <t>overruled</t>
        </is>
      </c>
      <c r="F402" s="2" t="inlineStr">
        <is>
          <t>S.K. Verma v. Mahesh Chandra and Another</t>
        </is>
      </c>
      <c r="G402" s="11" t="inlineStr"/>
      <c r="H402" s="11" t="inlineStr">
        <is>
          <t>Supreme Court</t>
        </is>
      </c>
      <c r="I402" s="2" t="inlineStr">
        <is>
          <t>AIR 1984 SC 1462; (1983) LabIC 1483; (1983) 2 LLJ 429; (1983) 2 SCALE 199; (1983) 4 SCC 214; (1983) 3 SCR 799; (1983) 2 SLJ 570</t>
        </is>
      </c>
      <c r="J402" s="11" t="n">
        <v>1984</v>
      </c>
      <c r="K402" s="2" t="inlineStr">
        <is>
          <t>Mukesh K. Tripathi v. Sr. Divisional Manager, L.I.C. and Others</t>
        </is>
      </c>
      <c r="L402" s="11" t="inlineStr">
        <is>
          <t>Supreme Court</t>
        </is>
      </c>
      <c r="M402" s="2" t="inlineStr">
        <is>
          <t>AIR 2004 SC 4179; (2004) 7 JT 232; (2004) 3 LLJ 740; (2004) 7 SCALE 442; (2004) 8 SCC 387; (2004) SCC(L&amp;S) 1128; (2005) 1 SLJ 112; (2004) AIRSCW 4974; (2004) 7 Supreme 62</t>
        </is>
      </c>
      <c r="N402" s="11" t="n">
        <v>2004</v>
      </c>
      <c r="O402" s="11" t="n"/>
      <c r="P402" s="11" t="n"/>
      <c r="Q402" s="11" t="n"/>
      <c r="R402" s="2" t="n"/>
      <c r="S402" s="2" t="n"/>
      <c r="T402" s="11" t="inlineStr"/>
      <c r="U402" s="11" t="inlineStr"/>
      <c r="V402" s="11" t="inlineStr">
        <is>
          <t>outside_list</t>
        </is>
      </c>
      <c r="W402" s="11" t="n"/>
      <c r="X402" s="11" t="n"/>
      <c r="Y402" s="11" t="n"/>
      <c r="Z402" s="11" t="inlineStr">
        <is>
          <t>Mr. Advocate</t>
        </is>
      </c>
      <c r="AA402" s="11" t="inlineStr">
        <is>
          <t>2026-10-07</t>
        </is>
      </c>
      <c r="AB402" s="11" t="inlineStr">
        <is>
          <t>name_year</t>
        </is>
      </c>
      <c r="AC402" s="2" t="inlineStr"/>
      <c r="AD402" s="2" t="inlineStr">
        <is>
          <t>S.K. Verma v. Mahesh Chandra and Another (1984) was overruled by Mukesh K. Tripathi v. Sr. Divisional Manager, L.I.C. and Others (2004).</t>
        </is>
      </c>
      <c r="AE402" s="2" t="n"/>
      <c r="AF402" s="11" t="inlineStr">
        <is>
          <t>created from list 1</t>
        </is>
      </c>
    </row>
    <row r="403">
      <c r="A403" s="11" t="inlineStr">
        <is>
          <t>L1-0402</t>
        </is>
      </c>
      <c r="B403" s="11" t="inlineStr">
        <is>
          <t>List 1 (to ~2015)</t>
        </is>
      </c>
      <c r="C403" s="11" t="inlineStr">
        <is>
          <t>list1</t>
        </is>
      </c>
      <c r="D403" s="11" t="inlineStr">
        <is>
          <t>verified</t>
        </is>
      </c>
      <c r="E403" s="11" t="inlineStr">
        <is>
          <t>overruled</t>
        </is>
      </c>
      <c r="F403" s="2" t="inlineStr">
        <is>
          <t>Western Coalfields Limited v. Special Area Development Authority, Korba and Another</t>
        </is>
      </c>
      <c r="G403" s="11" t="inlineStr"/>
      <c r="H403" s="11" t="inlineStr">
        <is>
          <t>Supreme Court</t>
        </is>
      </c>
      <c r="I403" s="2" t="inlineStr">
        <is>
          <t>AIR 1982 SC 697; (1982) 2 CompLJ 793; (1981) 3 SCALE 1775; (1982) 1 SCC 125; (1982) 2 SCR 1</t>
        </is>
      </c>
      <c r="J403" s="11" t="n">
        <v>1982</v>
      </c>
      <c r="K403" s="2" t="inlineStr">
        <is>
          <t>The State of West Bengal v. Kesoram Industries Ltd. and Others</t>
        </is>
      </c>
      <c r="L403" s="11" t="inlineStr">
        <is>
          <t>Supreme Court</t>
        </is>
      </c>
      <c r="M403" s="2" t="inlineStr">
        <is>
          <t>(2004) 187 CTR 219; (2004) 266 ITR 721; (2004) 1 JT 375; (2004) 1 SCALE 425; (2004) 10 SCC 201; (2004) 2 SCR 564</t>
        </is>
      </c>
      <c r="N403" s="11" t="n">
        <v>2004</v>
      </c>
      <c r="O403" s="11" t="n"/>
      <c r="P403" s="11" t="n"/>
      <c r="Q403" s="11" t="n"/>
      <c r="R403" s="2" t="n"/>
      <c r="S403" s="2" t="n"/>
      <c r="T403" s="11" t="inlineStr"/>
      <c r="U403" s="11" t="inlineStr"/>
      <c r="V403" s="11" t="inlineStr">
        <is>
          <t>outside_list</t>
        </is>
      </c>
      <c r="W403" s="11" t="n"/>
      <c r="X403" s="11" t="n"/>
      <c r="Y403" s="11" t="n"/>
      <c r="Z403" s="11" t="inlineStr">
        <is>
          <t>Mr. Advocate</t>
        </is>
      </c>
      <c r="AA403" s="11" t="inlineStr">
        <is>
          <t>2026-10-07</t>
        </is>
      </c>
      <c r="AB403" s="11" t="inlineStr">
        <is>
          <t>name_year</t>
        </is>
      </c>
      <c r="AC403" s="2" t="inlineStr"/>
      <c r="AD403" s="2" t="inlineStr">
        <is>
          <t>Western Coalfields Limited v. Special Area Development Authority, Korba and Another (1982) was overruled by The State of West Bengal v. Kesoram Industries Ltd. and Others (2004).</t>
        </is>
      </c>
      <c r="AE403" s="2" t="n"/>
      <c r="AF403" s="11" t="inlineStr">
        <is>
          <t>created from list 1</t>
        </is>
      </c>
    </row>
    <row r="404">
      <c r="A404" s="11" t="inlineStr">
        <is>
          <t>L1-0403</t>
        </is>
      </c>
      <c r="B404" s="11" t="inlineStr">
        <is>
          <t>List 1 (to ~2015)</t>
        </is>
      </c>
      <c r="C404" s="11" t="inlineStr">
        <is>
          <t>list1</t>
        </is>
      </c>
      <c r="D404" s="11" t="inlineStr">
        <is>
          <t>verified</t>
        </is>
      </c>
      <c r="E404" s="11" t="inlineStr">
        <is>
          <t>overruled</t>
        </is>
      </c>
      <c r="F404" s="2" t="inlineStr">
        <is>
          <t>Dr. A.K. Sabhapathy v. State of Kerala and others</t>
        </is>
      </c>
      <c r="G404" s="11" t="inlineStr"/>
      <c r="H404" s="11" t="inlineStr">
        <is>
          <t>Supreme Court</t>
        </is>
      </c>
      <c r="I404" s="2" t="inlineStr">
        <is>
          <t>AIR 1992 SC 1310; (1992) 3 JT 66; (1992) 1 SCALE 843; (1992) 3 SCC 147 Supp; (1992) 2 SCR 653; (1992) 2 UJ 159</t>
        </is>
      </c>
      <c r="J404" s="11" t="n">
        <v>1992</v>
      </c>
      <c r="K404" s="2" t="inlineStr">
        <is>
          <t>Dr. Mukhtiar Chand and Others v. The State of Punjab and Others</t>
        </is>
      </c>
      <c r="L404" s="11" t="inlineStr">
        <is>
          <t>Supreme Court</t>
        </is>
      </c>
      <c r="M404" s="2" t="inlineStr">
        <is>
          <t>(1998) 7 AD 457; AIR 1999 SC 468; (1998) 7 JT 78; (1998) 5 SCALE 501; (1998) 7 SCC 579; (1998) 2 SCR 143 Supp</t>
        </is>
      </c>
      <c r="N404" s="11" t="n">
        <v>1999</v>
      </c>
      <c r="O404" s="11" t="n"/>
      <c r="P404" s="11" t="n"/>
      <c r="Q404" s="11" t="n"/>
      <c r="R404" s="2" t="n"/>
      <c r="S404" s="2" t="n"/>
      <c r="T404" s="11" t="inlineStr"/>
      <c r="U404" s="11" t="inlineStr"/>
      <c r="V404" s="11" t="inlineStr">
        <is>
          <t>outside_list</t>
        </is>
      </c>
      <c r="W404" s="11" t="n"/>
      <c r="X404" s="11" t="n"/>
      <c r="Y404" s="11" t="n"/>
      <c r="Z404" s="11" t="inlineStr">
        <is>
          <t>Mr. Advocate</t>
        </is>
      </c>
      <c r="AA404" s="11" t="inlineStr">
        <is>
          <t>2026-10-07</t>
        </is>
      </c>
      <c r="AB404" s="11" t="inlineStr">
        <is>
          <t>name_year</t>
        </is>
      </c>
      <c r="AC404" s="2" t="inlineStr"/>
      <c r="AD404" s="2" t="inlineStr">
        <is>
          <t>Dr. A.K. Sabhapathy v. State of Kerala and others (1992) was overruled by Dr. Mukhtiar Chand and Others v. The State of Punjab and Others (1999).</t>
        </is>
      </c>
      <c r="AE404" s="2" t="n"/>
      <c r="AF404" s="11" t="inlineStr">
        <is>
          <t>created from list 1</t>
        </is>
      </c>
    </row>
    <row r="405">
      <c r="A405" s="11" t="inlineStr">
        <is>
          <t>L1-0404</t>
        </is>
      </c>
      <c r="B405" s="11" t="inlineStr">
        <is>
          <t>List 1 (to ~2015)</t>
        </is>
      </c>
      <c r="C405" s="11" t="inlineStr">
        <is>
          <t>list1</t>
        </is>
      </c>
      <c r="D405" s="11" t="inlineStr">
        <is>
          <t>verified</t>
        </is>
      </c>
      <c r="E405" s="11" t="inlineStr">
        <is>
          <t>overruled</t>
        </is>
      </c>
      <c r="F405" s="2" t="inlineStr">
        <is>
          <t>Bengal Lamps Limited v. Furmanite Nicco Limited</t>
        </is>
      </c>
      <c r="G405" s="11" t="inlineStr"/>
      <c r="H405" s="11" t="inlineStr">
        <is>
          <t>unknown</t>
        </is>
      </c>
      <c r="I405" s="2" t="inlineStr">
        <is>
          <t>(1991) 72 CompCas 146; 95 CWN 197</t>
        </is>
      </c>
      <c r="J405" s="11" t="n">
        <v>1991</v>
      </c>
      <c r="K405" s="2" t="inlineStr">
        <is>
          <t>Real Value Appliances Ltd. v. Canara Bank and Others</t>
        </is>
      </c>
      <c r="L405" s="11" t="inlineStr">
        <is>
          <t>Supreme Court</t>
        </is>
      </c>
      <c r="M405" s="2" t="inlineStr">
        <is>
          <t>(1998) 5 AD 121; AIR 1998 SC 2064; (1998) 93 CompCas 26; (1998) 3 CTC 112; (1998) 79 FLR 675; (1998) 3 JT 715; (1998) 119 PLR 553; (1998) 3 SCALE 427; (1998) 5 SCC 554; (1998) 3 SCR 170; (1998) AIRSCW 1924; (1998) 4 Supreme 478</t>
        </is>
      </c>
      <c r="N405" s="11" t="n">
        <v>1998</v>
      </c>
      <c r="O405" s="11" t="n"/>
      <c r="P405" s="11" t="n"/>
      <c r="Q405" s="11" t="n"/>
      <c r="R405" s="2" t="n"/>
      <c r="S405" s="2" t="n"/>
      <c r="T405" s="11" t="inlineStr"/>
      <c r="U405" s="11" t="inlineStr"/>
      <c r="V405" s="11" t="inlineStr">
        <is>
          <t>outside_list</t>
        </is>
      </c>
      <c r="W405" s="11" t="n"/>
      <c r="X405" s="11" t="n"/>
      <c r="Y405" s="11" t="n"/>
      <c r="Z405" s="11" t="inlineStr">
        <is>
          <t>Mr. Advocate</t>
        </is>
      </c>
      <c r="AA405" s="11" t="inlineStr">
        <is>
          <t>2026-10-07</t>
        </is>
      </c>
      <c r="AB405" s="11" t="inlineStr">
        <is>
          <t>name_year</t>
        </is>
      </c>
      <c r="AC405" s="2" t="inlineStr"/>
      <c r="AD405" s="2" t="inlineStr">
        <is>
          <t>Bengal Lamps Limited v. Furmanite Nicco Limited (1991) was overruled by Real Value Appliances Ltd. v. Canara Bank and Others (1998).</t>
        </is>
      </c>
      <c r="AE405" s="2" t="n"/>
      <c r="AF405" s="11" t="inlineStr">
        <is>
          <t>created from list 1</t>
        </is>
      </c>
    </row>
    <row r="406">
      <c r="A406" s="11" t="inlineStr">
        <is>
          <t>L1-0405</t>
        </is>
      </c>
      <c r="B406" s="11" t="inlineStr">
        <is>
          <t>List 1 (to ~2015)</t>
        </is>
      </c>
      <c r="C406" s="11" t="inlineStr">
        <is>
          <t>list1</t>
        </is>
      </c>
      <c r="D406" s="11" t="inlineStr">
        <is>
          <t>verified</t>
        </is>
      </c>
      <c r="E406" s="11" t="inlineStr">
        <is>
          <t>overruled</t>
        </is>
      </c>
      <c r="F406" s="2" t="inlineStr">
        <is>
          <t>Assistant Controller of Estate Duty, Hyderabad v. Nawab Sir Mir Osman Ali Khan Bahadur, H.E.H. the Nizam of Hyderabad and Others</t>
        </is>
      </c>
      <c r="G406" s="11" t="inlineStr"/>
      <c r="H406" s="11" t="inlineStr">
        <is>
          <t>unknown</t>
        </is>
      </c>
      <c r="I406" s="2" t="inlineStr">
        <is>
          <t>(1969) 72 ITR 376</t>
        </is>
      </c>
      <c r="J406" s="11" t="n">
        <v>1969</v>
      </c>
      <c r="K406" s="2" t="inlineStr">
        <is>
          <t>Indian and Eastern Newspaper Society, New Delhi v. Commissioner of Income Tax, New Delhi</t>
        </is>
      </c>
      <c r="L406" s="11" t="inlineStr">
        <is>
          <t>Supreme Court</t>
        </is>
      </c>
      <c r="M406" s="2" t="inlineStr">
        <is>
          <t>AIR 1979 SC 1960; (1979) 12 CTR 190; (1979) 119 ITR 996; (1979) 4 SCC 248; (1980) 1 SCR 442; (1979) 2 TAXMAN 197; (1980) 12 UJ 305</t>
        </is>
      </c>
      <c r="N406" s="11" t="n">
        <v>1979</v>
      </c>
      <c r="O406" s="11" t="n"/>
      <c r="P406" s="11" t="n"/>
      <c r="Q406" s="11" t="n"/>
      <c r="R406" s="2" t="n"/>
      <c r="S406" s="2" t="n"/>
      <c r="T406" s="11" t="inlineStr"/>
      <c r="U406" s="11" t="inlineStr"/>
      <c r="V406" s="11" t="inlineStr">
        <is>
          <t>outside_list</t>
        </is>
      </c>
      <c r="W406" s="11" t="n"/>
      <c r="X406" s="11" t="n"/>
      <c r="Y406" s="11" t="n"/>
      <c r="Z406" s="11" t="inlineStr">
        <is>
          <t>Mr. Advocate</t>
        </is>
      </c>
      <c r="AA406" s="11" t="inlineStr">
        <is>
          <t>2026-10-07</t>
        </is>
      </c>
      <c r="AB406" s="11" t="inlineStr">
        <is>
          <t>name_year</t>
        </is>
      </c>
      <c r="AC406" s="2" t="inlineStr"/>
      <c r="AD406" s="2" t="inlineStr">
        <is>
          <t>Assistant Controller of Estate Duty, Hyderabad v. Nawab Sir Mir Osman Ali Khan Bahadur, H.E.H. the Nizam of Hyderabad and Others (1969) was overruled by Indian and Eastern Newspaper Society, New Delhi v. Commissioner of Income Tax, New Delhi (1979).</t>
        </is>
      </c>
      <c r="AE406" s="2" t="n"/>
      <c r="AF406" s="11" t="inlineStr">
        <is>
          <t>created from list 1</t>
        </is>
      </c>
    </row>
    <row r="407">
      <c r="A407" s="11" t="inlineStr">
        <is>
          <t>L1-0406</t>
        </is>
      </c>
      <c r="B407" s="11" t="inlineStr">
        <is>
          <t>List 1 (to ~2015)</t>
        </is>
      </c>
      <c r="C407" s="11" t="inlineStr">
        <is>
          <t>list1</t>
        </is>
      </c>
      <c r="D407" s="11" t="inlineStr">
        <is>
          <t>verified</t>
        </is>
      </c>
      <c r="E407" s="11" t="inlineStr">
        <is>
          <t>overruled</t>
        </is>
      </c>
      <c r="F407" s="2" t="inlineStr">
        <is>
          <t>Karnataka State Road Transport Corporation, Bangalore v. B.A. Jayaram and Others</t>
        </is>
      </c>
      <c r="G407" s="11" t="inlineStr"/>
      <c r="H407" s="11" t="inlineStr">
        <is>
          <t>Supreme Court</t>
        </is>
      </c>
      <c r="I407" s="2" t="inlineStr">
        <is>
          <t>(1984) 2 ACC 218; AIR 1984 SC 790; (1984) 1 CompLJ 199; (1984) 1 SCALE 142; (1984) SCC 244 Supp; (1984) 2 SCR 768; (1984) 16 UJ 364</t>
        </is>
      </c>
      <c r="J407" s="11" t="n">
        <v>1984</v>
      </c>
      <c r="K407" s="2" t="inlineStr">
        <is>
          <t>R. Raghuram v. P. Jayarama Naidu and Others</t>
        </is>
      </c>
      <c r="L407" s="11" t="inlineStr">
        <is>
          <t>Supreme Court</t>
        </is>
      </c>
      <c r="M407" s="2" t="inlineStr">
        <is>
          <t>(1990) 1 ACC 407; AIR 1990 SC 412; (1989) 4 JT 538; (1989) 2 SCALE 1320; (1990) 1 SCC 361 Supp; (1990) SCC 361 Supp; (1990) 1 UJ 326</t>
        </is>
      </c>
      <c r="N407" s="11" t="n">
        <v>1990</v>
      </c>
      <c r="O407" s="11" t="n"/>
      <c r="P407" s="11" t="n"/>
      <c r="Q407" s="11" t="n"/>
      <c r="R407" s="2" t="n"/>
      <c r="S407" s="2" t="n"/>
      <c r="T407" s="11" t="inlineStr"/>
      <c r="U407" s="11" t="inlineStr"/>
      <c r="V407" s="11" t="inlineStr">
        <is>
          <t>outside_list</t>
        </is>
      </c>
      <c r="W407" s="11" t="n"/>
      <c r="X407" s="11" t="n"/>
      <c r="Y407" s="11" t="n"/>
      <c r="Z407" s="11" t="inlineStr">
        <is>
          <t>Mr. Advocate</t>
        </is>
      </c>
      <c r="AA407" s="11" t="inlineStr">
        <is>
          <t>2026-10-07</t>
        </is>
      </c>
      <c r="AB407" s="11" t="inlineStr">
        <is>
          <t>name_year</t>
        </is>
      </c>
      <c r="AC407" s="2" t="inlineStr"/>
      <c r="AD407" s="2" t="inlineStr">
        <is>
          <t>Karnataka State Road Transport Corporation, Bangalore v. B.A. Jayaram and Others (1984) was overruled by R. Raghuram v. P. Jayarama Naidu and Others (1990).</t>
        </is>
      </c>
      <c r="AE407" s="2" t="n"/>
      <c r="AF407" s="11" t="inlineStr">
        <is>
          <t>created from list 1</t>
        </is>
      </c>
    </row>
    <row r="408">
      <c r="A408" s="11" t="inlineStr">
        <is>
          <t>L1-0407</t>
        </is>
      </c>
      <c r="B408" s="11" t="inlineStr">
        <is>
          <t>List 1 (to ~2015)</t>
        </is>
      </c>
      <c r="C408" s="11" t="inlineStr">
        <is>
          <t>list1</t>
        </is>
      </c>
      <c r="D408" s="11" t="inlineStr">
        <is>
          <t>verified</t>
        </is>
      </c>
      <c r="E408" s="11" t="inlineStr">
        <is>
          <t>overruled</t>
        </is>
      </c>
      <c r="F408" s="2" t="inlineStr">
        <is>
          <t>Ram Lal Narang v. State (Delhi Administration)</t>
        </is>
      </c>
      <c r="G408" s="11" t="inlineStr"/>
      <c r="H408" s="11" t="inlineStr">
        <is>
          <t>Supreme Court</t>
        </is>
      </c>
      <c r="I408" s="2" t="inlineStr">
        <is>
          <t>AIR 1979 SC 1791; (1979) CriLJ 1346; (1979) 2 SCC 322; (1979) SCC(Cri) 479; (1979) 2 SCR 923</t>
        </is>
      </c>
      <c r="J408" s="11" t="n">
        <v>1979</v>
      </c>
      <c r="K408" s="2" t="inlineStr">
        <is>
          <t>Randhir Singh Rana v. The State Being the Delhi Administration</t>
        </is>
      </c>
      <c r="L408" s="11" t="inlineStr">
        <is>
          <t>Supreme Court</t>
        </is>
      </c>
      <c r="M408" s="2" t="inlineStr">
        <is>
          <t>AIR 1997 SC 639; (1997) CriLJ 779; (1997) 1 Crimes 58; (1996) 11 JT 638; (1996) 9 SCALE 447; (1997) 1 SCC 361; (1996) 10 SCR 880 Supp; (1997) AIRSCW 356; (1997) 1 Supreme 278</t>
        </is>
      </c>
      <c r="N408" s="11" t="n">
        <v>1997</v>
      </c>
      <c r="O408" s="11" t="n"/>
      <c r="P408" s="11" t="n"/>
      <c r="Q408" s="11" t="n"/>
      <c r="R408" s="2" t="n"/>
      <c r="S408" s="2" t="n"/>
      <c r="T408" s="11" t="inlineStr"/>
      <c r="U408" s="11" t="inlineStr"/>
      <c r="V408" s="11" t="inlineStr">
        <is>
          <t>outside_list</t>
        </is>
      </c>
      <c r="W408" s="11" t="n"/>
      <c r="X408" s="11" t="n"/>
      <c r="Y408" s="11" t="n"/>
      <c r="Z408" s="11" t="inlineStr">
        <is>
          <t>Mr. Advocate</t>
        </is>
      </c>
      <c r="AA408" s="11" t="inlineStr">
        <is>
          <t>2026-10-07</t>
        </is>
      </c>
      <c r="AB408" s="11" t="inlineStr">
        <is>
          <t>name_year</t>
        </is>
      </c>
      <c r="AC408" s="2" t="inlineStr">
        <is>
          <t>L2-018: overruled by Vinubhai Haribhai Malaviya v. State of Gujarat (2019)</t>
        </is>
      </c>
      <c r="AD408" s="2" t="inlineStr">
        <is>
          <t>Ram Lal Narang v. State (Delhi Administration) (1979) was overruled by Randhir Singh Rana v. The State Being the Delhi Administration (1997). Note: Randhir Singh Rana v. The State Being the Delhi Administration was itself later overruled by Vinubhai Haribhai Malaviya v. State of Gujarat (2019); the current position should be checked.</t>
        </is>
      </c>
      <c r="AE408" s="2" t="n"/>
      <c r="AF408" s="11" t="inlineStr">
        <is>
          <t>created from list 1</t>
        </is>
      </c>
    </row>
    <row r="409">
      <c r="A409" s="11" t="inlineStr">
        <is>
          <t>L1-0408</t>
        </is>
      </c>
      <c r="B409" s="11" t="inlineStr">
        <is>
          <t>List 1 (to ~2015)</t>
        </is>
      </c>
      <c r="C409" s="11" t="inlineStr">
        <is>
          <t>list1</t>
        </is>
      </c>
      <c r="D409" s="11" t="inlineStr">
        <is>
          <t>verified</t>
        </is>
      </c>
      <c r="E409" s="11" t="inlineStr">
        <is>
          <t>overruled</t>
        </is>
      </c>
      <c r="F409" s="2" t="inlineStr">
        <is>
          <t>Dharampal and others v. Smt. Ramshri and others</t>
        </is>
      </c>
      <c r="G409" s="11" t="inlineStr"/>
      <c r="H409" s="11" t="inlineStr">
        <is>
          <t>Supreme Court</t>
        </is>
      </c>
      <c r="I409" s="2" t="inlineStr">
        <is>
          <t>AIR 1993 SC 1361; (1993) CriLJ 1049; (1993) 1 Crimes 304; (1993) 1 JT 61; (1993) 1 SCALE 12; (1993) 1 SCC 435; (1993) 1 SCR 1</t>
        </is>
      </c>
      <c r="J409" s="11" t="n">
        <v>1993</v>
      </c>
      <c r="K409" s="2" t="inlineStr">
        <is>
          <t>Krishnan and another v. Krishnaveni and another</t>
        </is>
      </c>
      <c r="L409" s="11" t="inlineStr">
        <is>
          <t>Supreme Court</t>
        </is>
      </c>
      <c r="M409" s="2" t="inlineStr">
        <is>
          <t>AIR 1997 SC 987; (1997) CriLJ 1519; (1997) 1 Crimes 97; (1997) 1 JT 657; (1997) 1 SCALE 458; (1997) 4 SCC 241; (1997) 1 SCR 511; (1997) AIRSCW 950; (1997) 1 Supreme 628</t>
        </is>
      </c>
      <c r="N409" s="11" t="n">
        <v>1997</v>
      </c>
      <c r="O409" s="11" t="n"/>
      <c r="P409" s="11" t="n"/>
      <c r="Q409" s="11" t="n"/>
      <c r="R409" s="2" t="n"/>
      <c r="S409" s="2" t="n"/>
      <c r="T409" s="11" t="inlineStr"/>
      <c r="U409" s="11" t="inlineStr"/>
      <c r="V409" s="11" t="inlineStr">
        <is>
          <t>outside_list</t>
        </is>
      </c>
      <c r="W409" s="11" t="n"/>
      <c r="X409" s="11" t="n"/>
      <c r="Y409" s="11" t="n"/>
      <c r="Z409" s="11" t="inlineStr">
        <is>
          <t>Mr. Advocate</t>
        </is>
      </c>
      <c r="AA409" s="11" t="inlineStr">
        <is>
          <t>2026-10-07</t>
        </is>
      </c>
      <c r="AB409" s="11" t="inlineStr">
        <is>
          <t>name_year</t>
        </is>
      </c>
      <c r="AC409" s="2" t="inlineStr"/>
      <c r="AD409" s="2" t="inlineStr">
        <is>
          <t>Dharampal and others v. Smt. Ramshri and others (1993) was overruled by Krishnan and another v. Krishnaveni and another (1997).</t>
        </is>
      </c>
      <c r="AE409" s="2" t="n"/>
      <c r="AF409" s="11" t="inlineStr">
        <is>
          <t>created from list 1</t>
        </is>
      </c>
    </row>
    <row r="410">
      <c r="A410" s="11" t="inlineStr">
        <is>
          <t>L1-0409</t>
        </is>
      </c>
      <c r="B410" s="11" t="inlineStr">
        <is>
          <t>List 1 (to ~2015)</t>
        </is>
      </c>
      <c r="C410" s="11" t="inlineStr">
        <is>
          <t>list1</t>
        </is>
      </c>
      <c r="D410" s="11" t="inlineStr">
        <is>
          <t>verified</t>
        </is>
      </c>
      <c r="E410" s="11" t="inlineStr">
        <is>
          <t>overruled</t>
        </is>
      </c>
      <c r="F410" s="2" t="inlineStr">
        <is>
          <t>Commissioner of Police and Another v. Gurbux Anandram Bhiryani</t>
        </is>
      </c>
      <c r="G410" s="11" t="inlineStr"/>
      <c r="H410" s="11" t="inlineStr">
        <is>
          <t>Supreme Court</t>
        </is>
      </c>
      <c r="I410" s="2" t="inlineStr">
        <is>
          <t>(1988) 1 JT 8</t>
        </is>
      </c>
      <c r="J410" s="11" t="n">
        <v>1988</v>
      </c>
      <c r="K410" s="2" t="inlineStr">
        <is>
          <t>Mrs. T. Devaki v. Government of Tamil Nadu and others</t>
        </is>
      </c>
      <c r="L410" s="11" t="inlineStr">
        <is>
          <t>Supreme Court</t>
        </is>
      </c>
      <c r="M410" s="2" t="inlineStr">
        <is>
          <t>AIR 1990 SC 1086; (1990) CriLJ 1140; (1990) 2 Crimes 1; (1990) 1 SCALE 389; (1990) 2 SCC 456; (1990) 1 SCR 836</t>
        </is>
      </c>
      <c r="N410" s="11" t="n">
        <v>1990</v>
      </c>
      <c r="O410" s="11" t="n"/>
      <c r="P410" s="11" t="n"/>
      <c r="Q410" s="11" t="n"/>
      <c r="R410" s="2" t="n"/>
      <c r="S410" s="2" t="n"/>
      <c r="T410" s="11" t="inlineStr"/>
      <c r="U410" s="11" t="inlineStr"/>
      <c r="V410" s="11" t="inlineStr">
        <is>
          <t>outside_list</t>
        </is>
      </c>
      <c r="W410" s="11" t="n"/>
      <c r="X410" s="11" t="n"/>
      <c r="Y410" s="11" t="n"/>
      <c r="Z410" s="11" t="inlineStr">
        <is>
          <t>Mr. Advocate</t>
        </is>
      </c>
      <c r="AA410" s="11" t="inlineStr">
        <is>
          <t>2026-10-07</t>
        </is>
      </c>
      <c r="AB410" s="11" t="inlineStr">
        <is>
          <t>name_year</t>
        </is>
      </c>
      <c r="AC410" s="2" t="inlineStr"/>
      <c r="AD410" s="2" t="inlineStr">
        <is>
          <t>Commissioner of Police and Another v. Gurbux Anandram Bhiryani (1988) was overruled by Mrs. T. Devaki v. Government of Tamil Nadu and others (1990).</t>
        </is>
      </c>
      <c r="AE410" s="2" t="n"/>
      <c r="AF410" s="11" t="inlineStr">
        <is>
          <t>created from list 1</t>
        </is>
      </c>
    </row>
    <row r="411">
      <c r="A411" s="11" t="inlineStr">
        <is>
          <t>L1-0410</t>
        </is>
      </c>
      <c r="B411" s="11" t="inlineStr">
        <is>
          <t>List 1 (to ~2015)</t>
        </is>
      </c>
      <c r="C411" s="11" t="inlineStr">
        <is>
          <t>list1</t>
        </is>
      </c>
      <c r="D411" s="11" t="inlineStr">
        <is>
          <t>verified</t>
        </is>
      </c>
      <c r="E411" s="11" t="inlineStr">
        <is>
          <t>overruled</t>
        </is>
      </c>
      <c r="F411" s="2" t="inlineStr">
        <is>
          <t>Commissioner of Income Tax, Madras v. Madurai Mills Co. Ltd.</t>
        </is>
      </c>
      <c r="G411" s="11" t="inlineStr"/>
      <c r="H411" s="11" t="inlineStr">
        <is>
          <t>Supreme Court</t>
        </is>
      </c>
      <c r="I411" s="2" t="inlineStr">
        <is>
          <t>AIR 1973 SC 1357; (1973) 89 ITR 45; (1973) 4 SCC 194; (1973) 3 SCR 662</t>
        </is>
      </c>
      <c r="J411" s="11" t="n">
        <v>1973</v>
      </c>
      <c r="K411" s="2" t="inlineStr">
        <is>
          <t>Vania Silk Mills (P) Ltd. v. Commissioner of Income Tax, Ahmedabad</t>
        </is>
      </c>
      <c r="L411" s="11" t="inlineStr">
        <is>
          <t>Supreme Court</t>
        </is>
      </c>
      <c r="M411" s="2" t="inlineStr">
        <is>
          <t>AIR 1991 SC 2104; (1991) 3 CompLJ 124; (1991) 98 CTR 153; (1991) 191 ITR 647; (1991) 3 JT 394; (1991) 2 SCALE 327; (1991) 4 SCC 22; (1991) 3 SCR 577; (1991) 59 TAXMAN 3</t>
        </is>
      </c>
      <c r="N411" s="11" t="n">
        <v>1991</v>
      </c>
      <c r="O411" s="11" t="n"/>
      <c r="P411" s="11" t="n"/>
      <c r="Q411" s="11" t="n"/>
      <c r="R411" s="2" t="n"/>
      <c r="S411" s="2" t="n"/>
      <c r="T411" s="11" t="inlineStr"/>
      <c r="U411" s="11" t="inlineStr"/>
      <c r="V411" s="11" t="inlineStr">
        <is>
          <t>outside_list</t>
        </is>
      </c>
      <c r="W411" s="11" t="n"/>
      <c r="X411" s="11" t="n"/>
      <c r="Y411" s="11" t="n"/>
      <c r="Z411" s="11" t="inlineStr">
        <is>
          <t>Mr. Advocate</t>
        </is>
      </c>
      <c r="AA411" s="11" t="inlineStr">
        <is>
          <t>2026-10-07</t>
        </is>
      </c>
      <c r="AB411" s="11" t="inlineStr">
        <is>
          <t>name_year</t>
        </is>
      </c>
      <c r="AC411" s="2" t="inlineStr">
        <is>
          <t>L1-0661: overruled by Commissioner of Income Tax, Cochin v. Mrs. Grace Collis and Others (2001)</t>
        </is>
      </c>
      <c r="AD411" s="2" t="inlineStr">
        <is>
          <t>Commissioner of Income Tax, Madras v. Madurai Mills Co. Ltd. (1973) was overruled by Vania Silk Mills (P) Ltd. v. Commissioner of Income Tax, Ahmedabad (1991). Note: Vania Silk Mills (P) Ltd. v. Commissioner of Income Tax, Ahmedabad was itself later overruled by Commissioner of Income Tax, Cochin v. Mrs. Grace Collis and Others (2001); the current position should be checked.</t>
        </is>
      </c>
      <c r="AE411" s="2" t="n"/>
      <c r="AF411" s="11" t="inlineStr">
        <is>
          <t>created from list 1</t>
        </is>
      </c>
    </row>
    <row r="412">
      <c r="A412" s="11" t="inlineStr">
        <is>
          <t>L1-0411</t>
        </is>
      </c>
      <c r="B412" s="11" t="inlineStr">
        <is>
          <t>List 1 (to ~2015)</t>
        </is>
      </c>
      <c r="C412" s="11" t="inlineStr">
        <is>
          <t>list1</t>
        </is>
      </c>
      <c r="D412" s="11" t="inlineStr">
        <is>
          <t>verified</t>
        </is>
      </c>
      <c r="E412" s="11" t="inlineStr">
        <is>
          <t>overruled</t>
        </is>
      </c>
      <c r="F412" s="2" t="inlineStr">
        <is>
          <t>The Provincial Government of Madras v. J.S. Basappa</t>
        </is>
      </c>
      <c r="G412" s="11" t="inlineStr"/>
      <c r="H412" s="11" t="inlineStr">
        <is>
          <t>Supreme Court</t>
        </is>
      </c>
      <c r="I412" s="2" t="inlineStr">
        <is>
          <t>AIR 1964 SC 1873; (1964) 5 SCR 517; (1964) 15 STC 144</t>
        </is>
      </c>
      <c r="J412" s="11" t="n">
        <v>1964</v>
      </c>
      <c r="K412" s="2" t="inlineStr">
        <is>
          <t>State of Kerala v. Ramaswami Iyer and Sons</t>
        </is>
      </c>
      <c r="L412" s="11" t="inlineStr">
        <is>
          <t>Supreme Court</t>
        </is>
      </c>
      <c r="M412" s="2" t="inlineStr">
        <is>
          <t>AIR 1966 SC 1738; (1966) 61 ITR 187; (1966) 3 SCR 582; (1966) 18 STC 1</t>
        </is>
      </c>
      <c r="N412" s="11" t="n">
        <v>1966</v>
      </c>
      <c r="O412" s="11" t="n"/>
      <c r="P412" s="11" t="n"/>
      <c r="Q412" s="11" t="n"/>
      <c r="R412" s="2" t="n"/>
      <c r="S412" s="2" t="n"/>
      <c r="T412" s="11" t="inlineStr"/>
      <c r="U412" s="11" t="inlineStr"/>
      <c r="V412" s="11" t="inlineStr">
        <is>
          <t>outside_list</t>
        </is>
      </c>
      <c r="W412" s="11" t="n"/>
      <c r="X412" s="11" t="n"/>
      <c r="Y412" s="11" t="n"/>
      <c r="Z412" s="11" t="inlineStr">
        <is>
          <t>Mr. Advocate</t>
        </is>
      </c>
      <c r="AA412" s="11" t="inlineStr">
        <is>
          <t>2026-10-07</t>
        </is>
      </c>
      <c r="AB412" s="11" t="inlineStr">
        <is>
          <t>name_year</t>
        </is>
      </c>
      <c r="AC412" s="2" t="inlineStr"/>
      <c r="AD412" s="2" t="inlineStr">
        <is>
          <t>The Provincial Government of Madras v. J.S. Basappa (1964) was overruled by State of Kerala v. Ramaswami Iyer and Sons (1966).</t>
        </is>
      </c>
      <c r="AE412" s="2" t="n"/>
      <c r="AF412" s="11" t="inlineStr">
        <is>
          <t>created from list 1</t>
        </is>
      </c>
    </row>
    <row r="413">
      <c r="A413" s="11" t="inlineStr">
        <is>
          <t>L1-0412</t>
        </is>
      </c>
      <c r="B413" s="11" t="inlineStr">
        <is>
          <t>List 1 (to ~2015)</t>
        </is>
      </c>
      <c r="C413" s="11" t="inlineStr">
        <is>
          <t>list1</t>
        </is>
      </c>
      <c r="D413" s="11" t="inlineStr">
        <is>
          <t>verified</t>
        </is>
      </c>
      <c r="E413" s="11" t="inlineStr">
        <is>
          <t>overruled</t>
        </is>
      </c>
      <c r="F413" s="2" t="inlineStr">
        <is>
          <t>Goodyear India Ltd., Gedore (India) Pvt. Ltd., Kelvinator of India Ltd. and the Food Corporation of India and Another v. State of Haryana and Another</t>
        </is>
      </c>
      <c r="G413" s="11" t="inlineStr"/>
      <c r="H413" s="11" t="inlineStr">
        <is>
          <t>Supreme Court</t>
        </is>
      </c>
      <c r="I413" s="2" t="inlineStr">
        <is>
          <t>AIR 1990 SC 781; (1991) 188 ITR 402; (1989) 4 JT 229; (1989) 2 SCALE 982; (1990) 2 SCC 71; (1989) 1 SCR 510 Supp; (1990) 76 STC 71</t>
        </is>
      </c>
      <c r="J413" s="11" t="n">
        <v>1990</v>
      </c>
      <c r="K413" s="2" t="inlineStr">
        <is>
          <t>Satnam Overseas (Export) through its Partner v. State of Haryana and Another etc.</t>
        </is>
      </c>
      <c r="L413" s="11" t="inlineStr">
        <is>
          <t>Supreme Court</t>
        </is>
      </c>
      <c r="M413" s="2" t="inlineStr">
        <is>
          <t>AIR 2003 SC 66; (2002) 8 JT 573; (2002) 7 SCALE 493; (2003) 1 SCC 561; (2002) 3 SCR 271 Supp; (2003) 130 STC 107</t>
        </is>
      </c>
      <c r="N413" s="11" t="n">
        <v>2003</v>
      </c>
      <c r="O413" s="11" t="n"/>
      <c r="P413" s="11" t="n"/>
      <c r="Q413" s="11" t="n"/>
      <c r="R413" s="2" t="n"/>
      <c r="S413" s="2" t="n"/>
      <c r="T413" s="11" t="inlineStr"/>
      <c r="U413" s="11" t="inlineStr"/>
      <c r="V413" s="11" t="inlineStr">
        <is>
          <t>outside_list</t>
        </is>
      </c>
      <c r="W413" s="11" t="n"/>
      <c r="X413" s="11" t="n"/>
      <c r="Y413" s="11" t="n"/>
      <c r="Z413" s="11" t="inlineStr">
        <is>
          <t>Mr. Advocate</t>
        </is>
      </c>
      <c r="AA413" s="11" t="inlineStr">
        <is>
          <t>2026-10-07</t>
        </is>
      </c>
      <c r="AB413" s="11" t="inlineStr">
        <is>
          <t>citation</t>
        </is>
      </c>
      <c r="AC413" s="2" t="inlineStr"/>
      <c r="AD413" s="2" t="inlineStr">
        <is>
          <t>Goodyear India Ltd., Gedore (India) Pvt. Ltd., Kelvinator of India Ltd. and the Food Corporation of India and Another v. State of Haryana and Another (1990) was overruled by Satnam Overseas (Export) through its Partner v. State of Haryana and Another etc. (2003).</t>
        </is>
      </c>
      <c r="AE413" s="2" t="n"/>
      <c r="AF413" s="11" t="inlineStr">
        <is>
          <t>created from list 1</t>
        </is>
      </c>
    </row>
    <row r="414">
      <c r="A414" s="11" t="inlineStr">
        <is>
          <t>L1-0413</t>
        </is>
      </c>
      <c r="B414" s="11" t="inlineStr">
        <is>
          <t>List 1 (to ~2015)</t>
        </is>
      </c>
      <c r="C414" s="11" t="inlineStr">
        <is>
          <t>list1</t>
        </is>
      </c>
      <c r="D414" s="11" t="inlineStr">
        <is>
          <t>verified</t>
        </is>
      </c>
      <c r="E414" s="11" t="inlineStr">
        <is>
          <t>overruled</t>
        </is>
      </c>
      <c r="F414" s="2" t="inlineStr">
        <is>
          <t>Smt. Shanno Devi v. Mangal Sain</t>
        </is>
      </c>
      <c r="G414" s="11" t="inlineStr"/>
      <c r="H414" s="11" t="inlineStr">
        <is>
          <t>Supreme Court</t>
        </is>
      </c>
      <c r="I414" s="2" t="inlineStr">
        <is>
          <t>AIR 1961 SC 58; (1961) 1 SCR 576</t>
        </is>
      </c>
      <c r="J414" s="11" t="n">
        <v>1961</v>
      </c>
      <c r="K414" s="2" t="inlineStr">
        <is>
          <t>Kulathil Mammu v. The State of Kerala</t>
        </is>
      </c>
      <c r="L414" s="11" t="inlineStr">
        <is>
          <t>Supreme Court</t>
        </is>
      </c>
      <c r="M414" s="2" t="inlineStr">
        <is>
          <t>AIR 1966 SC 1614; (1966) CriLJ 1217; (1966) 3 SCR 706</t>
        </is>
      </c>
      <c r="N414" s="11" t="n">
        <v>1966</v>
      </c>
      <c r="O414" s="11" t="n"/>
      <c r="P414" s="11" t="n"/>
      <c r="Q414" s="11" t="n"/>
      <c r="R414" s="2" t="n"/>
      <c r="S414" s="2" t="n"/>
      <c r="T414" s="11" t="inlineStr"/>
      <c r="U414" s="11" t="inlineStr"/>
      <c r="V414" s="11" t="inlineStr">
        <is>
          <t>outside_list</t>
        </is>
      </c>
      <c r="W414" s="11" t="n"/>
      <c r="X414" s="11" t="n"/>
      <c r="Y414" s="11" t="n"/>
      <c r="Z414" s="11" t="inlineStr">
        <is>
          <t>Mr. Advocate</t>
        </is>
      </c>
      <c r="AA414" s="11" t="inlineStr">
        <is>
          <t>2026-10-07</t>
        </is>
      </c>
      <c r="AB414" s="11" t="inlineStr">
        <is>
          <t>name_year</t>
        </is>
      </c>
      <c r="AC414" s="2" t="inlineStr"/>
      <c r="AD414" s="2" t="inlineStr">
        <is>
          <t>Smt. Shanno Devi v. Mangal Sain (1961) was overruled by Kulathil Mammu v. The State of Kerala (1966).</t>
        </is>
      </c>
      <c r="AE414" s="2" t="n"/>
      <c r="AF414" s="11" t="inlineStr">
        <is>
          <t>created from list 1</t>
        </is>
      </c>
    </row>
    <row r="415">
      <c r="A415" s="11" t="inlineStr">
        <is>
          <t>L1-0414</t>
        </is>
      </c>
      <c r="B415" s="11" t="inlineStr">
        <is>
          <t>List 1 (to ~2015)</t>
        </is>
      </c>
      <c r="C415" s="11" t="inlineStr">
        <is>
          <t>list1</t>
        </is>
      </c>
      <c r="D415" s="11" t="inlineStr">
        <is>
          <t>verified</t>
        </is>
      </c>
      <c r="E415" s="11" t="inlineStr">
        <is>
          <t>overruled</t>
        </is>
      </c>
      <c r="F415" s="2" t="inlineStr">
        <is>
          <t>The Ahmedabad Textile Industry’s Research Association v. The State of Bombay and Others</t>
        </is>
      </c>
      <c r="G415" s="11" t="inlineStr"/>
      <c r="H415" s="11" t="inlineStr">
        <is>
          <t>Supreme Court</t>
        </is>
      </c>
      <c r="I415" s="2" t="inlineStr">
        <is>
          <t>AIR 1961 SC 484; (1961) 2 FLR 33; (1960) 2 LLJ 720; (1961) 2 SCR 480</t>
        </is>
      </c>
      <c r="J415" s="11" t="n">
        <v>1961</v>
      </c>
      <c r="K415" s="2" t="inlineStr">
        <is>
          <t>University of Delhi and Another v. Ram Nath</t>
        </is>
      </c>
      <c r="L415" s="11" t="inlineStr">
        <is>
          <t>Supreme Court</t>
        </is>
      </c>
      <c r="M415" s="2" t="inlineStr">
        <is>
          <t>AIR 1963 SC 1873; (1963) 7 FLR 177; (1963) 2 LLJ 335; (1964) 2 SCR 703</t>
        </is>
      </c>
      <c r="N415" s="11" t="n">
        <v>1963</v>
      </c>
      <c r="O415" s="11" t="n"/>
      <c r="P415" s="11" t="n"/>
      <c r="Q415" s="11" t="n"/>
      <c r="R415" s="2" t="n"/>
      <c r="S415" s="2" t="n"/>
      <c r="T415" s="11" t="inlineStr"/>
      <c r="U415" s="11" t="inlineStr"/>
      <c r="V415" s="11" t="inlineStr">
        <is>
          <t>outside_list</t>
        </is>
      </c>
      <c r="W415" s="11" t="n"/>
      <c r="X415" s="11" t="n"/>
      <c r="Y415" s="11" t="n"/>
      <c r="Z415" s="11" t="inlineStr">
        <is>
          <t>Mr. Advocate</t>
        </is>
      </c>
      <c r="AA415" s="11" t="inlineStr">
        <is>
          <t>2026-10-07</t>
        </is>
      </c>
      <c r="AB415" s="11" t="inlineStr">
        <is>
          <t>name_year</t>
        </is>
      </c>
      <c r="AC415" s="2" t="inlineStr">
        <is>
          <t>L1-0567: overruled by General Manager, Telecom v. A. Srinivasa Rao and Others (1998)</t>
        </is>
      </c>
      <c r="AD415" s="2" t="inlineStr">
        <is>
          <t>The Ahmedabad Textile Industry’s Research Association v. The State of Bombay and Others (1961) was overruled by University of Delhi and Another v. Ram Nath (1963). Note: University of Delhi and Another v. Ram Nath was itself later overruled by General Manager, Telecom v. A. Srinivasa Rao and Others (1998); the current position should be checked.</t>
        </is>
      </c>
      <c r="AE415" s="2" t="n"/>
      <c r="AF415" s="11" t="inlineStr">
        <is>
          <t>created from list 1</t>
        </is>
      </c>
    </row>
    <row r="416">
      <c r="A416" s="11" t="inlineStr">
        <is>
          <t>L1-0415</t>
        </is>
      </c>
      <c r="B416" s="11" t="inlineStr">
        <is>
          <t>List 1 (to ~2015)</t>
        </is>
      </c>
      <c r="C416" s="11" t="inlineStr">
        <is>
          <t>list1</t>
        </is>
      </c>
      <c r="D416" s="11" t="inlineStr">
        <is>
          <t>verified</t>
        </is>
      </c>
      <c r="E416" s="11" t="inlineStr">
        <is>
          <t>overruled</t>
        </is>
      </c>
      <c r="F416" s="2" t="inlineStr">
        <is>
          <t>Union of India (UOI) v. Gurnam Singh</t>
        </is>
      </c>
      <c r="G416" s="11" t="inlineStr"/>
      <c r="H416" s="11" t="inlineStr">
        <is>
          <t>Supreme Court</t>
        </is>
      </c>
      <c r="I416" s="2" t="inlineStr">
        <is>
          <t>AIR 1982 SC 1265; (1982) 44 FLR 391; (1982) 1 SCALE 453; (1982) 2 SCC 314; (1982) 3 SCR 700; (1982) 1 SLJ 630; (1982) 14 UJ 579</t>
        </is>
      </c>
      <c r="J416" s="11" t="n">
        <v>1982</v>
      </c>
      <c r="K416" s="2" t="inlineStr">
        <is>
          <t>Union of India (UOI) and Another v. M.C. Desai and Others</t>
        </is>
      </c>
      <c r="L416" s="11" t="inlineStr">
        <is>
          <t>Supreme Court</t>
        </is>
      </c>
      <c r="M416" s="2" t="inlineStr">
        <is>
          <t>(1996) 9 AD 290; (1997) 10 JT 550; (1996) 8 SCALE 165; (1996) 11 SCC 400; (1995) 4 SCR 202 Supp; (1997) 1 SLJ 140; (1997) 1 UJ 337</t>
        </is>
      </c>
      <c r="N416" s="11" t="n">
        <v>1995</v>
      </c>
      <c r="O416" s="11" t="n"/>
      <c r="P416" s="11" t="n"/>
      <c r="Q416" s="11" t="n"/>
      <c r="R416" s="2" t="n"/>
      <c r="S416" s="2" t="n"/>
      <c r="T416" s="11" t="inlineStr"/>
      <c r="U416" s="11" t="inlineStr"/>
      <c r="V416" s="11" t="inlineStr">
        <is>
          <t>outside_list</t>
        </is>
      </c>
      <c r="W416" s="11" t="n"/>
      <c r="X416" s="11" t="n"/>
      <c r="Y416" s="11" t="n"/>
      <c r="Z416" s="11" t="inlineStr">
        <is>
          <t>Mr. Advocate</t>
        </is>
      </c>
      <c r="AA416" s="11" t="inlineStr">
        <is>
          <t>2026-10-07</t>
        </is>
      </c>
      <c r="AB416" s="11" t="inlineStr">
        <is>
          <t>name_year</t>
        </is>
      </c>
      <c r="AC416" s="2" t="inlineStr"/>
      <c r="AD416" s="2" t="inlineStr">
        <is>
          <t>Union of India (UOI) v. Gurnam Singh (1982) was overruled by Union of India (UOI) and Another v. M.C. Desai and Others (1995).</t>
        </is>
      </c>
      <c r="AE416" s="2" t="n"/>
      <c r="AF416" s="11" t="inlineStr">
        <is>
          <t>created from list 1</t>
        </is>
      </c>
    </row>
    <row r="417">
      <c r="A417" s="11" t="inlineStr">
        <is>
          <t>L1-0416</t>
        </is>
      </c>
      <c r="B417" s="11" t="inlineStr">
        <is>
          <t>List 1 (to ~2015)</t>
        </is>
      </c>
      <c r="C417" s="11" t="inlineStr">
        <is>
          <t>list1</t>
        </is>
      </c>
      <c r="D417" s="11" t="inlineStr">
        <is>
          <t>verified</t>
        </is>
      </c>
      <c r="E417" s="11" t="inlineStr">
        <is>
          <t>overruled</t>
        </is>
      </c>
      <c r="F417" s="2" t="inlineStr">
        <is>
          <t>The State of Bombay and Others v. The Hospital Mazdoor Sabha and Others</t>
        </is>
      </c>
      <c r="G417" s="11" t="inlineStr"/>
      <c r="H417" s="11" t="inlineStr">
        <is>
          <t>Supreme Court</t>
        </is>
      </c>
      <c r="I417" s="2" t="inlineStr">
        <is>
          <t>AIR 1960 SC 610; (1960) 1 LLJ 251; (1960) 2 SCR 866</t>
        </is>
      </c>
      <c r="J417" s="11" t="n">
        <v>1960</v>
      </c>
      <c r="K417" s="2" t="inlineStr">
        <is>
          <t>Union of India (UOI) and Another v. Ladu Lal Jain</t>
        </is>
      </c>
      <c r="L417" s="11" t="inlineStr">
        <is>
          <t>Supreme Court</t>
        </is>
      </c>
      <c r="M417" s="2" t="inlineStr">
        <is>
          <t>AIR 1963 SC 1681; (1964) 3 SCR 624</t>
        </is>
      </c>
      <c r="N417" s="11" t="n">
        <v>1963</v>
      </c>
      <c r="O417" s="11" t="n"/>
      <c r="P417" s="11" t="n"/>
      <c r="Q417" s="11" t="n"/>
      <c r="R417" s="2" t="n"/>
      <c r="S417" s="2" t="n"/>
      <c r="T417" s="11" t="inlineStr"/>
      <c r="U417" s="11" t="inlineStr"/>
      <c r="V417" s="11" t="inlineStr">
        <is>
          <t>outside_list</t>
        </is>
      </c>
      <c r="W417" s="11" t="n"/>
      <c r="X417" s="11" t="n"/>
      <c r="Y417" s="11" t="n"/>
      <c r="Z417" s="11" t="inlineStr">
        <is>
          <t>Mr. Advocate</t>
        </is>
      </c>
      <c r="AA417" s="11" t="inlineStr">
        <is>
          <t>2026-10-07</t>
        </is>
      </c>
      <c r="AB417" s="11" t="inlineStr">
        <is>
          <t>name_year</t>
        </is>
      </c>
      <c r="AC417" s="2" t="inlineStr"/>
      <c r="AD417" s="2" t="inlineStr">
        <is>
          <t>The State of Bombay and Others v. The Hospital Mazdoor Sabha and Others (1960) was overruled by Union of India (UOI) and Another v. Ladu Lal Jain (1963).</t>
        </is>
      </c>
      <c r="AE417" s="2" t="n"/>
      <c r="AF417" s="11" t="inlineStr">
        <is>
          <t>created from list 1</t>
        </is>
      </c>
    </row>
    <row r="418">
      <c r="A418" s="11" t="inlineStr">
        <is>
          <t>L1-0417</t>
        </is>
      </c>
      <c r="B418" s="11" t="inlineStr">
        <is>
          <t>List 1 (to ~2015)</t>
        </is>
      </c>
      <c r="C418" s="11" t="inlineStr">
        <is>
          <t>list1</t>
        </is>
      </c>
      <c r="D418" s="11" t="inlineStr">
        <is>
          <t>verified</t>
        </is>
      </c>
      <c r="E418" s="11" t="inlineStr">
        <is>
          <t>overruled</t>
        </is>
      </c>
      <c r="F418" s="2" t="inlineStr">
        <is>
          <t>S. Vasudeva v. State of Karnataka and others</t>
        </is>
      </c>
      <c r="G418" s="11" t="inlineStr"/>
      <c r="H418" s="11" t="inlineStr">
        <is>
          <t>Supreme Court</t>
        </is>
      </c>
      <c r="I418" s="2" t="inlineStr">
        <is>
          <t>AIR 1994 SC 923; (1993) 2 JT 465; (1993) 2 SCALE 244; (1993) 3 SCC 467; (1993) 2 SCR 715</t>
        </is>
      </c>
      <c r="J418" s="11" t="n">
        <v>1994</v>
      </c>
      <c r="K418" s="2" t="inlineStr">
        <is>
          <t>T.R. Thandur v. Union of India (UOI) and Others</t>
        </is>
      </c>
      <c r="L418" s="11" t="inlineStr">
        <is>
          <t>Supreme Court</t>
        </is>
      </c>
      <c r="M418" s="2" t="inlineStr">
        <is>
          <t>AIR 1996 SC 1643; (1996) 4 JT 14; (1996) 3 SCALE 322; (1996) 3 SCC 690; (1996) 1 SCR 26 Supp</t>
        </is>
      </c>
      <c r="N418" s="11" t="n">
        <v>1996</v>
      </c>
      <c r="O418" s="11" t="n"/>
      <c r="P418" s="11" t="n"/>
      <c r="Q418" s="11" t="n"/>
      <c r="R418" s="2" t="n"/>
      <c r="S418" s="2" t="n"/>
      <c r="T418" s="11" t="inlineStr"/>
      <c r="U418" s="11" t="inlineStr"/>
      <c r="V418" s="11" t="inlineStr">
        <is>
          <t>outside_list</t>
        </is>
      </c>
      <c r="W418" s="11" t="n"/>
      <c r="X418" s="11" t="n"/>
      <c r="Y418" s="11" t="n"/>
      <c r="Z418" s="11" t="inlineStr">
        <is>
          <t>Mr. Advocate</t>
        </is>
      </c>
      <c r="AA418" s="11" t="inlineStr">
        <is>
          <t>2026-10-07</t>
        </is>
      </c>
      <c r="AB418" s="11" t="inlineStr">
        <is>
          <t>citation</t>
        </is>
      </c>
      <c r="AC418" s="2" t="inlineStr"/>
      <c r="AD418" s="2" t="inlineStr">
        <is>
          <t>S. Vasudeva v. State of Karnataka and others (1994) was overruled by T.R. Thandur v. Union of India (UOI) and Others (1996).</t>
        </is>
      </c>
      <c r="AE418" s="2" t="n"/>
      <c r="AF418" s="11" t="inlineStr">
        <is>
          <t>created from list 1</t>
        </is>
      </c>
    </row>
    <row r="419">
      <c r="A419" s="11" t="inlineStr">
        <is>
          <t>L1-0418</t>
        </is>
      </c>
      <c r="B419" s="11" t="inlineStr">
        <is>
          <t>List 1 (to ~2015)</t>
        </is>
      </c>
      <c r="C419" s="11" t="inlineStr">
        <is>
          <t>list1</t>
        </is>
      </c>
      <c r="D419" s="11" t="inlineStr">
        <is>
          <t>verified</t>
        </is>
      </c>
      <c r="E419" s="11" t="inlineStr">
        <is>
          <t>overruled</t>
        </is>
      </c>
      <c r="F419" s="2" t="inlineStr">
        <is>
          <t>Commissioner of Income Tax, Bombay v. Scindia Steam Navigation Co. Ltd.</t>
        </is>
      </c>
      <c r="G419" s="11" t="inlineStr"/>
      <c r="H419" s="11" t="inlineStr">
        <is>
          <t>Supreme Court</t>
        </is>
      </c>
      <c r="I419" s="2" t="inlineStr">
        <is>
          <t>AIR 1961 SC 1633; (1961) 42 ITR 589; (1962) 1 SCR 788</t>
        </is>
      </c>
      <c r="J419" s="11" t="n">
        <v>1961</v>
      </c>
      <c r="K419" s="2" t="inlineStr">
        <is>
          <t>Karimtharuvi Tea Estate Ltd. v. State of Kerala</t>
        </is>
      </c>
      <c r="L419" s="11" t="inlineStr">
        <is>
          <t>Supreme Court</t>
        </is>
      </c>
      <c r="M419" s="2" t="inlineStr">
        <is>
          <t>AIR 1966 SC 1385; (1966) 60 ITR 262; (1966) 3 SCR 93</t>
        </is>
      </c>
      <c r="N419" s="11" t="n">
        <v>1966</v>
      </c>
      <c r="O419" s="11" t="n"/>
      <c r="P419" s="11" t="n"/>
      <c r="Q419" s="11" t="n"/>
      <c r="R419" s="2" t="n"/>
      <c r="S419" s="2" t="n"/>
      <c r="T419" s="11" t="inlineStr"/>
      <c r="U419" s="11" t="inlineStr"/>
      <c r="V419" s="11" t="inlineStr">
        <is>
          <t>outside_list</t>
        </is>
      </c>
      <c r="W419" s="11" t="n"/>
      <c r="X419" s="11" t="n"/>
      <c r="Y419" s="11" t="n"/>
      <c r="Z419" s="11" t="inlineStr">
        <is>
          <t>Mr. Advocate</t>
        </is>
      </c>
      <c r="AA419" s="11" t="inlineStr">
        <is>
          <t>2026-10-07</t>
        </is>
      </c>
      <c r="AB419" s="11" t="inlineStr">
        <is>
          <t>name_year</t>
        </is>
      </c>
      <c r="AC419" s="2" t="inlineStr"/>
      <c r="AD419" s="2" t="inlineStr">
        <is>
          <t>Commissioner of Income Tax, Bombay v. Scindia Steam Navigation Co. Ltd. (1961) was overruled by Karimtharuvi Tea Estate Ltd. v. State of Kerala (1966).</t>
        </is>
      </c>
      <c r="AE419" s="2" t="n"/>
      <c r="AF419" s="11" t="inlineStr">
        <is>
          <t>created from list 1</t>
        </is>
      </c>
    </row>
    <row r="420">
      <c r="A420" s="11" t="inlineStr">
        <is>
          <t>L1-0419</t>
        </is>
      </c>
      <c r="B420" s="11" t="inlineStr">
        <is>
          <t>List 1 (to ~2015)</t>
        </is>
      </c>
      <c r="C420" s="11" t="inlineStr">
        <is>
          <t>list1</t>
        </is>
      </c>
      <c r="D420" s="11" t="inlineStr">
        <is>
          <t>verified</t>
        </is>
      </c>
      <c r="E420" s="11" t="inlineStr">
        <is>
          <t>overruled</t>
        </is>
      </c>
      <c r="F420" s="2" t="inlineStr">
        <is>
          <t>Rajaldas Gurunamal Pamanani v. The State of Maharashtra</t>
        </is>
      </c>
      <c r="G420" s="11" t="inlineStr"/>
      <c r="H420" s="11" t="inlineStr">
        <is>
          <t>Supreme Court</t>
        </is>
      </c>
      <c r="I420" s="2" t="inlineStr">
        <is>
          <t>AIR 1975 SC 189; AIR 1974 SC 189; (1975) CriLJ 254; (1975) 3 SCC 375; (1975) 2 SCR 886</t>
        </is>
      </c>
      <c r="J420" s="11" t="n">
        <v>1975</v>
      </c>
      <c r="K420" s="2" t="inlineStr">
        <is>
          <t>State of Kerala and Others v. Alasserry Mohammed and Others</t>
        </is>
      </c>
      <c r="L420" s="11" t="inlineStr">
        <is>
          <t>Supreme Court</t>
        </is>
      </c>
      <c r="M420" s="2" t="inlineStr">
        <is>
          <t>AIR 1978 SC 933; (1978) CriLJ 925; (1978) 2 SCC 386; (1978) SCC(Cri) 198; (1978) 2 SCR 820</t>
        </is>
      </c>
      <c r="N420" s="11" t="n">
        <v>1978</v>
      </c>
      <c r="O420" s="11" t="n"/>
      <c r="P420" s="11" t="n"/>
      <c r="Q420" s="11" t="n"/>
      <c r="R420" s="2" t="n"/>
      <c r="S420" s="2" t="n"/>
      <c r="T420" s="11" t="inlineStr"/>
      <c r="U420" s="11" t="inlineStr"/>
      <c r="V420" s="11" t="inlineStr">
        <is>
          <t>outside_list</t>
        </is>
      </c>
      <c r="W420" s="11" t="n"/>
      <c r="X420" s="11" t="n"/>
      <c r="Y420" s="11" t="n"/>
      <c r="Z420" s="11" t="inlineStr">
        <is>
          <t>Mr. Advocate</t>
        </is>
      </c>
      <c r="AA420" s="11" t="inlineStr">
        <is>
          <t>2026-10-07</t>
        </is>
      </c>
      <c r="AB420" s="11" t="inlineStr">
        <is>
          <t>name_year</t>
        </is>
      </c>
      <c r="AC420" s="2" t="inlineStr"/>
      <c r="AD420" s="2" t="inlineStr">
        <is>
          <t>Rajaldas Gurunamal Pamanani v. The State of Maharashtra (1975) was overruled by State of Kerala and Others v. Alasserry Mohammed and Others (1978).</t>
        </is>
      </c>
      <c r="AE420" s="2" t="n"/>
      <c r="AF420" s="11" t="inlineStr">
        <is>
          <t>created from list 1</t>
        </is>
      </c>
    </row>
    <row r="421">
      <c r="A421" s="11" t="inlineStr">
        <is>
          <t>L1-0420</t>
        </is>
      </c>
      <c r="B421" s="11" t="inlineStr">
        <is>
          <t>List 1 (to ~2015)</t>
        </is>
      </c>
      <c r="C421" s="11" t="inlineStr">
        <is>
          <t>list1</t>
        </is>
      </c>
      <c r="D421" s="11" t="inlineStr">
        <is>
          <t>verified</t>
        </is>
      </c>
      <c r="E421" s="11" t="inlineStr">
        <is>
          <t>overruled</t>
        </is>
      </c>
      <c r="F421" s="2" t="inlineStr">
        <is>
          <t>Paras Ram v. State of Haryana</t>
        </is>
      </c>
      <c r="G421" s="11" t="inlineStr"/>
      <c r="H421" s="11" t="inlineStr">
        <is>
          <t>Supreme Court</t>
        </is>
      </c>
      <c r="I421" s="2" t="inlineStr">
        <is>
          <t>AIR 1993 SC 1212; AIR 1992 SC 1212; (1993) CriLJ 416; (1992) 2 SCALE 864; (1992) 4 SCC 662; (1992) 2 SCR 55 Supp</t>
        </is>
      </c>
      <c r="J421" s="11" t="n">
        <v>1993</v>
      </c>
      <c r="K421" s="2" t="inlineStr">
        <is>
          <t>Balbir Singh v. State</t>
        </is>
      </c>
      <c r="L421" s="11" t="inlineStr">
        <is>
          <t>Supreme Court</t>
        </is>
      </c>
      <c r="M421" s="2" t="inlineStr">
        <is>
          <t>(1996) 7 AD 349; (2000) CriLJ 169; (1996) 4 Crimes 131; (1996) 9 JT 158; (1996) 7 SCALE 450; (1996) 11 SCC 139; (1996) 7 SCR 50 Supp</t>
        </is>
      </c>
      <c r="N421" s="11" t="n">
        <v>1996</v>
      </c>
      <c r="O421" s="11" t="n"/>
      <c r="P421" s="11" t="n"/>
      <c r="Q421" s="11" t="n"/>
      <c r="R421" s="2" t="n"/>
      <c r="S421" s="2" t="n"/>
      <c r="T421" s="11" t="inlineStr"/>
      <c r="U421" s="11" t="inlineStr"/>
      <c r="V421" s="11" t="inlineStr">
        <is>
          <t>outside_list</t>
        </is>
      </c>
      <c r="W421" s="11" t="n"/>
      <c r="X421" s="11" t="n"/>
      <c r="Y421" s="11" t="n"/>
      <c r="Z421" s="11" t="inlineStr">
        <is>
          <t>Mr. Advocate</t>
        </is>
      </c>
      <c r="AA421" s="11" t="inlineStr">
        <is>
          <t>2026-10-07</t>
        </is>
      </c>
      <c r="AB421" s="11" t="inlineStr">
        <is>
          <t>name_year</t>
        </is>
      </c>
      <c r="AC421" s="2" t="inlineStr"/>
      <c r="AD421" s="2" t="inlineStr">
        <is>
          <t>Paras Ram v. State of Haryana (1993) was overruled by Balbir Singh v. State (1996).</t>
        </is>
      </c>
      <c r="AE421" s="2" t="n"/>
      <c r="AF421" s="11" t="inlineStr">
        <is>
          <t>created from list 1</t>
        </is>
      </c>
    </row>
    <row r="422">
      <c r="A422" s="11" t="inlineStr">
        <is>
          <t>L1-0421</t>
        </is>
      </c>
      <c r="B422" s="11" t="inlineStr">
        <is>
          <t>List 1 (to ~2015)</t>
        </is>
      </c>
      <c r="C422" s="11" t="inlineStr">
        <is>
          <t>list1</t>
        </is>
      </c>
      <c r="D422" s="11" t="inlineStr">
        <is>
          <t>verified</t>
        </is>
      </c>
      <c r="E422" s="11" t="inlineStr">
        <is>
          <t>overruled</t>
        </is>
      </c>
      <c r="F422" s="2" t="inlineStr">
        <is>
          <t>A.K. Subbaiah and Others v. State of Karnataka and Others</t>
        </is>
      </c>
      <c r="G422" s="11" t="inlineStr"/>
      <c r="H422" s="11" t="inlineStr">
        <is>
          <t>Supreme Court</t>
        </is>
      </c>
      <c r="I422" s="2" t="inlineStr">
        <is>
          <t>(1987) 3 Crimes 399; (1987) 3 JT 435; (1987) 2 SCALE 451; (1987) 4 SCC 557; (1987) 3 SCR 1128</t>
        </is>
      </c>
      <c r="J422" s="11" t="n">
        <v>1987</v>
      </c>
      <c r="K422" s="2" t="inlineStr">
        <is>
          <t>Anand Commercial Agencies v. The Commercial Tax Officer VI Circle, Hyderabad and Others</t>
        </is>
      </c>
      <c r="L422" s="11" t="inlineStr">
        <is>
          <t>Supreme Court</t>
        </is>
      </c>
      <c r="M422" s="2" t="inlineStr">
        <is>
          <t>AIR 1998 SC 113; (1997) 9 JT 6; (1997) 6 SCALE 664; (1998) 1 SCC 101; (1997) 5 SCR 76 Supp; (1997) 107 STC 586</t>
        </is>
      </c>
      <c r="N422" s="11" t="n">
        <v>1998</v>
      </c>
      <c r="O422" s="11" t="n"/>
      <c r="P422" s="11" t="n"/>
      <c r="Q422" s="11" t="n"/>
      <c r="R422" s="2" t="n"/>
      <c r="S422" s="2" t="n"/>
      <c r="T422" s="11" t="inlineStr"/>
      <c r="U422" s="11" t="inlineStr"/>
      <c r="V422" s="11" t="inlineStr">
        <is>
          <t>outside_list</t>
        </is>
      </c>
      <c r="W422" s="11" t="n"/>
      <c r="X422" s="11" t="n"/>
      <c r="Y422" s="11" t="n"/>
      <c r="Z422" s="11" t="inlineStr">
        <is>
          <t>Mr. Advocate</t>
        </is>
      </c>
      <c r="AA422" s="11" t="inlineStr">
        <is>
          <t>2026-10-07</t>
        </is>
      </c>
      <c r="AB422" s="11" t="inlineStr">
        <is>
          <t>name_year</t>
        </is>
      </c>
      <c r="AC422" s="2" t="inlineStr"/>
      <c r="AD422" s="2" t="inlineStr">
        <is>
          <t>A.K. Subbaiah and Others v. State of Karnataka and Others (1987) was overruled by Anand Commercial Agencies v. The Commercial Tax Officer VI Circle, Hyderabad and Others (1998).</t>
        </is>
      </c>
      <c r="AE422" s="2" t="n"/>
      <c r="AF422" s="11" t="inlineStr">
        <is>
          <t>created from list 1</t>
        </is>
      </c>
    </row>
    <row r="423">
      <c r="A423" s="11" t="inlineStr">
        <is>
          <t>L1-0422</t>
        </is>
      </c>
      <c r="B423" s="11" t="inlineStr">
        <is>
          <t>List 1 (to ~2015)</t>
        </is>
      </c>
      <c r="C423" s="11" t="inlineStr">
        <is>
          <t>list1</t>
        </is>
      </c>
      <c r="D423" s="11" t="inlineStr">
        <is>
          <t>verified</t>
        </is>
      </c>
      <c r="E423" s="11" t="inlineStr">
        <is>
          <t>overruled</t>
        </is>
      </c>
      <c r="F423" s="2" t="inlineStr">
        <is>
          <t>Jugraj Singh and another v. Labh Singh and others</t>
        </is>
      </c>
      <c r="G423" s="11" t="inlineStr"/>
      <c r="H423" s="11" t="inlineStr">
        <is>
          <t>Supreme Court</t>
        </is>
      </c>
      <c r="I423" s="2" t="inlineStr">
        <is>
          <t>AIR 1995 SC 945(1); (1995) 111 PLR 706; (1994) 5 SCALE 286; (1995) 2 SCC 31; (1994) 6 SCR 168 Supp; (1995) 1 UJ 221</t>
        </is>
      </c>
      <c r="J423" s="11" t="n">
        <v>1995</v>
      </c>
      <c r="K423" s="2" t="inlineStr">
        <is>
          <t>Ram Awadh (Dead) by Lrs. and Others v. Achhaibar Dubey and Another</t>
        </is>
      </c>
      <c r="L423" s="11" t="inlineStr">
        <is>
          <t>Supreme Court</t>
        </is>
      </c>
      <c r="M423" s="2" t="inlineStr">
        <is>
          <t>AIR 2000 SC 860; (2000) 1 JT 535; (2000) 1 SCALE 415; (2000) 2 SCC 428; (2000) 1 SCR 566; (2000) AIRSCW 442; (2000) AIRSCW 4943; (2000) 1 Supreme 319</t>
        </is>
      </c>
      <c r="N423" s="11" t="n">
        <v>2000</v>
      </c>
      <c r="O423" s="11" t="n"/>
      <c r="P423" s="11" t="n"/>
      <c r="Q423" s="11" t="n"/>
      <c r="R423" s="2" t="n"/>
      <c r="S423" s="2" t="n"/>
      <c r="T423" s="11" t="inlineStr"/>
      <c r="U423" s="11" t="inlineStr"/>
      <c r="V423" s="11" t="inlineStr">
        <is>
          <t>outside_list</t>
        </is>
      </c>
      <c r="W423" s="11" t="n"/>
      <c r="X423" s="11" t="n"/>
      <c r="Y423" s="11" t="n"/>
      <c r="Z423" s="11" t="inlineStr">
        <is>
          <t>Mr. Advocate</t>
        </is>
      </c>
      <c r="AA423" s="11" t="inlineStr">
        <is>
          <t>2026-10-07</t>
        </is>
      </c>
      <c r="AB423" s="11" t="inlineStr">
        <is>
          <t>name_year</t>
        </is>
      </c>
      <c r="AC423" s="2" t="inlineStr"/>
      <c r="AD423" s="2" t="inlineStr">
        <is>
          <t>Jugraj Singh and another v. Labh Singh and others (1995) was overruled by Ram Awadh (Dead) by Lrs. and Others v. Achhaibar Dubey and Another (2000).</t>
        </is>
      </c>
      <c r="AE423" s="2" t="n"/>
      <c r="AF423" s="11" t="inlineStr">
        <is>
          <t>created from list 1</t>
        </is>
      </c>
    </row>
    <row r="424">
      <c r="A424" s="11" t="inlineStr">
        <is>
          <t>L1-0423</t>
        </is>
      </c>
      <c r="B424" s="11" t="inlineStr">
        <is>
          <t>List 1 (to ~2015)</t>
        </is>
      </c>
      <c r="C424" s="11" t="inlineStr">
        <is>
          <t>list1</t>
        </is>
      </c>
      <c r="D424" s="11" t="inlineStr">
        <is>
          <t>verified</t>
        </is>
      </c>
      <c r="E424" s="11" t="inlineStr">
        <is>
          <t>overruled</t>
        </is>
      </c>
      <c r="F424" s="2" t="inlineStr">
        <is>
          <t>Union Bank of India v. Manku Narayana</t>
        </is>
      </c>
      <c r="G424" s="11" t="inlineStr"/>
      <c r="H424" s="11" t="inlineStr">
        <is>
          <t>Supreme Court</t>
        </is>
      </c>
      <c r="I424" s="2" t="inlineStr">
        <is>
          <t>AIR 1987 SC 1078; (1987) 2 JT 24; (1987) 1 SCALE 669; (1987) 2 SCC 335; (1987) 1 UJ 434</t>
        </is>
      </c>
      <c r="J424" s="11" t="n">
        <v>1987</v>
      </c>
      <c r="K424" s="2" t="inlineStr">
        <is>
          <t>State Bank of India v. Messrs. Indexport Registered and others</t>
        </is>
      </c>
      <c r="L424" s="11" t="inlineStr">
        <is>
          <t>Supreme Court</t>
        </is>
      </c>
      <c r="M424" s="2" t="inlineStr">
        <is>
          <t>AIR 1992 SC 1740; (1992) 75 CompCas 1; (1992) 4 JT 273; (1992) 1 SCALE 1109; (1992) 3 SCC 159; (1992) 2 SCR 1031; (1992) 2 UJ 223</t>
        </is>
      </c>
      <c r="N424" s="11" t="n">
        <v>1992</v>
      </c>
      <c r="O424" s="11" t="n"/>
      <c r="P424" s="11" t="n"/>
      <c r="Q424" s="11" t="n"/>
      <c r="R424" s="2" t="n"/>
      <c r="S424" s="2" t="n"/>
      <c r="T424" s="11" t="inlineStr"/>
      <c r="U424" s="11" t="inlineStr"/>
      <c r="V424" s="11" t="inlineStr">
        <is>
          <t>outside_list</t>
        </is>
      </c>
      <c r="W424" s="11" t="n"/>
      <c r="X424" s="11" t="n"/>
      <c r="Y424" s="11" t="n"/>
      <c r="Z424" s="11" t="inlineStr">
        <is>
          <t>Mr. Advocate</t>
        </is>
      </c>
      <c r="AA424" s="11" t="inlineStr">
        <is>
          <t>2026-10-07</t>
        </is>
      </c>
      <c r="AB424" s="11" t="inlineStr">
        <is>
          <t>name_year</t>
        </is>
      </c>
      <c r="AC424" s="2" t="inlineStr"/>
      <c r="AD424" s="2" t="inlineStr">
        <is>
          <t>Union Bank of India v. Manku Narayana (1987) was overruled by State Bank of India v. Messrs. Indexport Registered and others (1992).</t>
        </is>
      </c>
      <c r="AE424" s="2" t="n"/>
      <c r="AF424" s="11" t="inlineStr">
        <is>
          <t>created from list 1</t>
        </is>
      </c>
    </row>
    <row r="425">
      <c r="A425" s="11" t="inlineStr">
        <is>
          <t>L1-0424</t>
        </is>
      </c>
      <c r="B425" s="11" t="inlineStr">
        <is>
          <t>List 1 (to ~2015)</t>
        </is>
      </c>
      <c r="C425" s="11" t="inlineStr">
        <is>
          <t>list1</t>
        </is>
      </c>
      <c r="D425" s="11" t="inlineStr">
        <is>
          <t>verified</t>
        </is>
      </c>
      <c r="E425" s="11" t="inlineStr">
        <is>
          <t>overruled</t>
        </is>
      </c>
      <c r="F425" s="2" t="inlineStr">
        <is>
          <t>P.K. Unni v. Nirmala Industries and others</t>
        </is>
      </c>
      <c r="G425" s="11" t="inlineStr"/>
      <c r="H425" s="11" t="inlineStr">
        <is>
          <t>Supreme Court</t>
        </is>
      </c>
      <c r="I425" s="2" t="inlineStr">
        <is>
          <t>AIR 1990 SC 933; (1991) 2 BC 146; (1990) 1 JT 423; (1990) 97 PLR 547; (1990) 1 SCALE 316; (1990) 2 SCC 378; (1990) 1 SCR 483</t>
        </is>
      </c>
      <c r="J425" s="11" t="n">
        <v>1990</v>
      </c>
      <c r="K425" s="2" t="inlineStr">
        <is>
          <t>Dadi Jagannadham v. Jammulu Ramulu and Others</t>
        </is>
      </c>
      <c r="L425" s="11" t="inlineStr">
        <is>
          <t>Supreme Court</t>
        </is>
      </c>
      <c r="M425" s="2" t="inlineStr">
        <is>
          <t>AIR 2001 SC 2699; (2001) 6 JT 643; (2001) 5 SCALE 402; (2001) 7 SCC 71; (2002) 1 UJ 200; (2001) AIRSCW 3051; (2001) 6 Supreme 294</t>
        </is>
      </c>
      <c r="N425" s="11" t="n">
        <v>2001</v>
      </c>
      <c r="O425" s="11" t="n"/>
      <c r="P425" s="11" t="n"/>
      <c r="Q425" s="11" t="n"/>
      <c r="R425" s="2" t="n"/>
      <c r="S425" s="2" t="n"/>
      <c r="T425" s="11" t="inlineStr"/>
      <c r="U425" s="11" t="inlineStr"/>
      <c r="V425" s="11" t="inlineStr">
        <is>
          <t>outside_list</t>
        </is>
      </c>
      <c r="W425" s="11" t="n"/>
      <c r="X425" s="11" t="n"/>
      <c r="Y425" s="11" t="n"/>
      <c r="Z425" s="11" t="inlineStr">
        <is>
          <t>Mr. Advocate</t>
        </is>
      </c>
      <c r="AA425" s="11" t="inlineStr">
        <is>
          <t>2026-10-07</t>
        </is>
      </c>
      <c r="AB425" s="11" t="inlineStr">
        <is>
          <t>name_year</t>
        </is>
      </c>
      <c r="AC425" s="2" t="inlineStr"/>
      <c r="AD425" s="2" t="inlineStr">
        <is>
          <t>P.K. Unni v. Nirmala Industries and others (1990) was overruled by Dadi Jagannadham v. Jammulu Ramulu and Others (2001).</t>
        </is>
      </c>
      <c r="AE425" s="2" t="n"/>
      <c r="AF425" s="11" t="inlineStr">
        <is>
          <t>created from list 1</t>
        </is>
      </c>
    </row>
    <row r="426">
      <c r="A426" s="11" t="inlineStr">
        <is>
          <t>L1-0425</t>
        </is>
      </c>
      <c r="B426" s="11" t="inlineStr">
        <is>
          <t>List 1 (to ~2015)</t>
        </is>
      </c>
      <c r="C426" s="11" t="inlineStr">
        <is>
          <t>list1</t>
        </is>
      </c>
      <c r="D426" s="11" t="inlineStr">
        <is>
          <t>verified</t>
        </is>
      </c>
      <c r="E426" s="11" t="inlineStr">
        <is>
          <t>overruled</t>
        </is>
      </c>
      <c r="F426" s="2" t="inlineStr">
        <is>
          <t>Commissioner of Income Tax (Central), Calcutta v. Mugneeram Bangur and Co. (Land Department)</t>
        </is>
      </c>
      <c r="G426" s="11" t="inlineStr"/>
      <c r="H426" s="11" t="inlineStr">
        <is>
          <t>Supreme Court</t>
        </is>
      </c>
      <c r="I426" s="2" t="inlineStr">
        <is>
          <t>AIR 1966 SC 50; (1965) 57 ITR 299; (1965) 3 SCR 611</t>
        </is>
      </c>
      <c r="J426" s="11" t="n">
        <v>1966</v>
      </c>
      <c r="K426" s="2" t="inlineStr">
        <is>
          <t>The Commissioner of Income Tax, Calcutta v. Gillanders Arbuthnot and Co.</t>
        </is>
      </c>
      <c r="L426" s="11" t="inlineStr">
        <is>
          <t>Supreme Court</t>
        </is>
      </c>
      <c r="M426" s="2" t="inlineStr">
        <is>
          <t>AIR 1973 SC 989; (1973) 87 ITR 407; (1973) 3 SCC 845; (1973) 2 SCR 437</t>
        </is>
      </c>
      <c r="N426" s="11" t="n">
        <v>1973</v>
      </c>
      <c r="O426" s="11" t="n"/>
      <c r="P426" s="11" t="n"/>
      <c r="Q426" s="11" t="n"/>
      <c r="R426" s="2" t="n"/>
      <c r="S426" s="2" t="n"/>
      <c r="T426" s="11" t="inlineStr"/>
      <c r="U426" s="11" t="inlineStr"/>
      <c r="V426" s="11" t="inlineStr">
        <is>
          <t>outside_list</t>
        </is>
      </c>
      <c r="W426" s="11" t="n"/>
      <c r="X426" s="11" t="n"/>
      <c r="Y426" s="11" t="n"/>
      <c r="Z426" s="11" t="inlineStr">
        <is>
          <t>Mr. Advocate</t>
        </is>
      </c>
      <c r="AA426" s="11" t="inlineStr">
        <is>
          <t>2026-10-07</t>
        </is>
      </c>
      <c r="AB426" s="11" t="inlineStr">
        <is>
          <t>name_year</t>
        </is>
      </c>
      <c r="AC426" s="2" t="inlineStr"/>
      <c r="AD426" s="2" t="inlineStr">
        <is>
          <t>Commissioner of Income Tax (Central), Calcutta v. Mugneeram Bangur and Co. (Land Department) (1966) was overruled by The Commissioner of Income Tax, Calcutta v. Gillanders Arbuthnot and Co. (1973).</t>
        </is>
      </c>
      <c r="AE426" s="2" t="n"/>
      <c r="AF426" s="11" t="inlineStr">
        <is>
          <t>created from list 1</t>
        </is>
      </c>
    </row>
    <row r="427">
      <c r="A427" s="11" t="inlineStr">
        <is>
          <t>L1-0426</t>
        </is>
      </c>
      <c r="B427" s="11" t="inlineStr">
        <is>
          <t>List 1 (to ~2015)</t>
        </is>
      </c>
      <c r="C427" s="11" t="inlineStr">
        <is>
          <t>list1</t>
        </is>
      </c>
      <c r="D427" s="11" t="inlineStr">
        <is>
          <t>verified</t>
        </is>
      </c>
      <c r="E427" s="11" t="inlineStr">
        <is>
          <t>overruled</t>
        </is>
      </c>
      <c r="F427" s="2" t="inlineStr">
        <is>
          <t>Senairam Doongarmall v. Commissioner of Income Tax, Assam</t>
        </is>
      </c>
      <c r="G427" s="11" t="inlineStr"/>
      <c r="H427" s="11" t="inlineStr">
        <is>
          <t>Supreme Court</t>
        </is>
      </c>
      <c r="I427" s="2" t="inlineStr">
        <is>
          <t>AIR 1961 SC 1579; (1961) 42 ITR 392; (1962) 1 SCR 257</t>
        </is>
      </c>
      <c r="J427" s="11" t="n">
        <v>1961</v>
      </c>
      <c r="K427" s="2" t="inlineStr">
        <is>
          <t>Karanpura Development Co. Ltd. v. The Commissioner of Income Tax, West Bengal</t>
        </is>
      </c>
      <c r="L427" s="11" t="inlineStr">
        <is>
          <t>Supreme Court</t>
        </is>
      </c>
      <c r="M427" s="2" t="inlineStr">
        <is>
          <t>AIR 1962 SC 429; (1962) 44 ITR 362; (1962) 3 SCR 368</t>
        </is>
      </c>
      <c r="N427" s="11" t="n">
        <v>1962</v>
      </c>
      <c r="O427" s="11" t="n"/>
      <c r="P427" s="11" t="n"/>
      <c r="Q427" s="11" t="n"/>
      <c r="R427" s="2" t="n"/>
      <c r="S427" s="2" t="n"/>
      <c r="T427" s="11" t="inlineStr"/>
      <c r="U427" s="11" t="inlineStr"/>
      <c r="V427" s="11" t="inlineStr">
        <is>
          <t>outside_list</t>
        </is>
      </c>
      <c r="W427" s="11" t="n"/>
      <c r="X427" s="11" t="n"/>
      <c r="Y427" s="11" t="n"/>
      <c r="Z427" s="11" t="inlineStr">
        <is>
          <t>Mr. Advocate</t>
        </is>
      </c>
      <c r="AA427" s="11" t="inlineStr">
        <is>
          <t>2026-10-07</t>
        </is>
      </c>
      <c r="AB427" s="11" t="inlineStr">
        <is>
          <t>name_year</t>
        </is>
      </c>
      <c r="AC427" s="2" t="inlineStr"/>
      <c r="AD427" s="2" t="inlineStr">
        <is>
          <t>Senairam Doongarmall v. Commissioner of Income Tax, Assam (1961) was overruled by Karanpura Development Co. Ltd. v. The Commissioner of Income Tax, West Bengal (1962).</t>
        </is>
      </c>
      <c r="AE427" s="2" t="n"/>
      <c r="AF427" s="11" t="inlineStr">
        <is>
          <t>created from list 1</t>
        </is>
      </c>
    </row>
    <row r="428">
      <c r="A428" s="11" t="inlineStr">
        <is>
          <t>L1-0427</t>
        </is>
      </c>
      <c r="B428" s="11" t="inlineStr">
        <is>
          <t>List 1 (to ~2015)</t>
        </is>
      </c>
      <c r="C428" s="11" t="inlineStr">
        <is>
          <t>list1</t>
        </is>
      </c>
      <c r="D428" s="11" t="inlineStr">
        <is>
          <t>verified</t>
        </is>
      </c>
      <c r="E428" s="11" t="inlineStr">
        <is>
          <t>overruled</t>
        </is>
      </c>
      <c r="F428" s="2" t="inlineStr">
        <is>
          <t>Commissioner of Sales Tax, Madhya Pradesh, Indore v. Madhya Pradesh Electricity Board, Jabalpur</t>
        </is>
      </c>
      <c r="G428" s="11" t="inlineStr"/>
      <c r="H428" s="11" t="inlineStr">
        <is>
          <t>Supreme Court</t>
        </is>
      </c>
      <c r="I428" s="2" t="inlineStr">
        <is>
          <t>AIR 1970 SC 732; (1969) 1 SCC 200; (1969) 2 SCR 939; (1970) 25 STC 188</t>
        </is>
      </c>
      <c r="J428" s="11" t="n">
        <v>1970</v>
      </c>
      <c r="K428" s="2" t="inlineStr">
        <is>
          <t>State of A.P. v. National Thermal Power Corporation Ltd. and Others</t>
        </is>
      </c>
      <c r="L428" s="11" t="inlineStr">
        <is>
          <t>Supreme Court</t>
        </is>
      </c>
      <c r="M428" s="2" t="inlineStr">
        <is>
          <t>AIR 2002 SC 1895; (2002) 1 JT 254 Supp; (2002) 4 SCALE 7; (2002) 5 SCC 203; (2002) 3 SCR 278; (2002) 127 STC 280; (2002) AIRSCW 1956; (2002) 3 Supreme 400</t>
        </is>
      </c>
      <c r="N428" s="11" t="n">
        <v>2002</v>
      </c>
      <c r="O428" s="11" t="n"/>
      <c r="P428" s="11" t="n"/>
      <c r="Q428" s="11" t="n"/>
      <c r="R428" s="2" t="n"/>
      <c r="S428" s="2" t="n"/>
      <c r="T428" s="11" t="inlineStr"/>
      <c r="U428" s="11" t="inlineStr"/>
      <c r="V428" s="11" t="inlineStr">
        <is>
          <t>outside_list</t>
        </is>
      </c>
      <c r="W428" s="11" t="n"/>
      <c r="X428" s="11" t="n"/>
      <c r="Y428" s="11" t="n"/>
      <c r="Z428" s="11" t="inlineStr">
        <is>
          <t>Mr. Advocate</t>
        </is>
      </c>
      <c r="AA428" s="11" t="inlineStr">
        <is>
          <t>2026-10-07</t>
        </is>
      </c>
      <c r="AB428" s="11" t="inlineStr">
        <is>
          <t>name_year</t>
        </is>
      </c>
      <c r="AC428" s="2" t="inlineStr"/>
      <c r="AD428" s="2" t="inlineStr">
        <is>
          <t>Commissioner of Sales Tax, Madhya Pradesh, Indore v. Madhya Pradesh Electricity Board, Jabalpur (1970) was overruled by State of A.P. v. National Thermal Power Corporation Ltd. and Others (2002).</t>
        </is>
      </c>
      <c r="AE428" s="2" t="n"/>
      <c r="AF428" s="11" t="inlineStr">
        <is>
          <t>created from list 1</t>
        </is>
      </c>
    </row>
    <row r="429">
      <c r="A429" s="11" t="inlineStr">
        <is>
          <t>L1-0428</t>
        </is>
      </c>
      <c r="B429" s="11" t="inlineStr">
        <is>
          <t>List 1 (to ~2015)</t>
        </is>
      </c>
      <c r="C429" s="11" t="inlineStr">
        <is>
          <t>list1</t>
        </is>
      </c>
      <c r="D429" s="11" t="inlineStr">
        <is>
          <t>verified</t>
        </is>
      </c>
      <c r="E429" s="11" t="inlineStr">
        <is>
          <t>overruled</t>
        </is>
      </c>
      <c r="F429" s="2" t="inlineStr">
        <is>
          <t>M.P.V. Sundararamier and Co. v. The State of Andhra Pradesh and Another</t>
        </is>
      </c>
      <c r="G429" s="11" t="inlineStr"/>
      <c r="H429" s="11" t="inlineStr">
        <is>
          <t>Supreme Court</t>
        </is>
      </c>
      <c r="I429" s="2" t="inlineStr">
        <is>
          <t>AIR 1958 SC 468; (1958) 1 SCR 1422; (1958) 9 STC 298</t>
        </is>
      </c>
      <c r="J429" s="11" t="n">
        <v>1958</v>
      </c>
      <c r="K429" s="2" t="inlineStr">
        <is>
          <t>In Re: The Bill To Amend S. 20 of The Sea Customs Act, 1878 and S. 3 of The Central Excises and Salt Act, 1944</t>
        </is>
      </c>
      <c r="L429" s="11" t="inlineStr">
        <is>
          <t>Supreme Court</t>
        </is>
      </c>
      <c r="M429" s="2" t="inlineStr">
        <is>
          <t>(1964) 3 SCR 787</t>
        </is>
      </c>
      <c r="N429" s="11" t="n">
        <v>1964</v>
      </c>
      <c r="O429" s="11" t="n"/>
      <c r="P429" s="11" t="n"/>
      <c r="Q429" s="11" t="n"/>
      <c r="R429" s="2" t="n"/>
      <c r="S429" s="2" t="n"/>
      <c r="T429" s="11" t="inlineStr"/>
      <c r="U429" s="11" t="inlineStr"/>
      <c r="V429" s="11" t="inlineStr">
        <is>
          <t>outside_list</t>
        </is>
      </c>
      <c r="W429" s="11" t="n"/>
      <c r="X429" s="11" t="n"/>
      <c r="Y429" s="11" t="n"/>
      <c r="Z429" s="11" t="inlineStr">
        <is>
          <t>Mr. Advocate</t>
        </is>
      </c>
      <c r="AA429" s="11" t="inlineStr">
        <is>
          <t>2026-10-07</t>
        </is>
      </c>
      <c r="AB429" s="11" t="inlineStr">
        <is>
          <t>name_year</t>
        </is>
      </c>
      <c r="AC429" s="2" t="inlineStr"/>
      <c r="AD429" s="2" t="inlineStr">
        <is>
          <t>M.P.V. Sundararamier and Co. v. The State of Andhra Pradesh and Another (1958) was overruled by In Re: The Bill To Amend S. 20 of The Sea Customs Act, 1878 and S. 3 of The Central Excises and Salt Act, 1944 (1964).</t>
        </is>
      </c>
      <c r="AE429" s="2" t="n"/>
      <c r="AF429" s="11" t="inlineStr">
        <is>
          <t>created from list 1</t>
        </is>
      </c>
    </row>
    <row r="430">
      <c r="A430" s="11" t="inlineStr">
        <is>
          <t>L1-0429</t>
        </is>
      </c>
      <c r="B430" s="11" t="inlineStr">
        <is>
          <t>List 1 (to ~2015)</t>
        </is>
      </c>
      <c r="C430" s="11" t="inlineStr">
        <is>
          <t>list1</t>
        </is>
      </c>
      <c r="D430" s="11" t="inlineStr">
        <is>
          <t>verified</t>
        </is>
      </c>
      <c r="E430" s="11" t="inlineStr">
        <is>
          <t>overruled</t>
        </is>
      </c>
      <c r="F430" s="2" t="inlineStr">
        <is>
          <t>Dr. K. Madan v. Smt. Krishnawati and another</t>
        </is>
      </c>
      <c r="G430" s="11" t="inlineStr"/>
      <c r="H430" s="11" t="inlineStr">
        <is>
          <t>Supreme Court</t>
        </is>
      </c>
      <c r="I430" s="2" t="inlineStr">
        <is>
          <t>(1996) 8 AD 431; AIR 1997 SC 579; (1996) 10 JT 108; (1996) 8 SCALE 158; (1996) 6 SCC 707; (1996) 8 SCR 516 Supp; (1997) 1 UJ 392; (1997) AIRSCW 129; (1996) 8 Supreme 192</t>
        </is>
      </c>
      <c r="J430" s="11" t="n">
        <v>1997</v>
      </c>
      <c r="K430" s="2" t="inlineStr">
        <is>
          <t>Punjab National Bank v. Arjun Dev Arora and Others</t>
        </is>
      </c>
      <c r="L430" s="11" t="inlineStr">
        <is>
          <t>Supreme Court</t>
        </is>
      </c>
      <c r="M430" s="2" t="inlineStr">
        <is>
          <t>AIR 1987 SC 148; (1986) 1 JT 784; (1986) 2 SCALE 736; (1986) 4 SCC 660</t>
        </is>
      </c>
      <c r="N430" s="11" t="n">
        <v>1987</v>
      </c>
      <c r="O430" s="11" t="n"/>
      <c r="P430" s="11" t="n"/>
      <c r="Q430" s="11" t="n"/>
      <c r="R430" s="2" t="n"/>
      <c r="S430" s="2" t="n"/>
      <c r="T430" s="11" t="inlineStr"/>
      <c r="U430" s="11" t="inlineStr">
        <is>
          <t>year_order_check</t>
        </is>
      </c>
      <c r="V430" s="11" t="inlineStr">
        <is>
          <t>outside_list</t>
        </is>
      </c>
      <c r="W430" s="11" t="n"/>
      <c r="X430" s="11" t="n"/>
      <c r="Y430" s="11" t="n"/>
      <c r="Z430" s="11" t="inlineStr">
        <is>
          <t>Mr. Advocate</t>
        </is>
      </c>
      <c r="AA430" s="11" t="inlineStr">
        <is>
          <t>2026-10-07</t>
        </is>
      </c>
      <c r="AB430" s="11" t="inlineStr">
        <is>
          <t>name_year</t>
        </is>
      </c>
      <c r="AC430" s="2" t="inlineStr">
        <is>
          <t>L1-0313: overruled by Dr. K. Madan v. Smt. Krishnawati and another (1997)</t>
        </is>
      </c>
      <c r="AD430" s="2" t="inlineStr">
        <is>
          <t>Dr. K. Madan v. Smt. Krishnawati and another (1997) was overruled by Punjab National Bank v. Arjun Dev Arora and Others (1987). Note: Punjab National Bank v. Arjun Dev Arora and Others was itself later overruled by Dr. K. Madan v. Smt. Krishnawati and another (1997); the current position should be checked.</t>
        </is>
      </c>
      <c r="AE430" s="2" t="n"/>
      <c r="AF430" s="11" t="inlineStr">
        <is>
          <t>created from list 1</t>
        </is>
      </c>
    </row>
    <row r="431">
      <c r="A431" s="11" t="inlineStr">
        <is>
          <t>L1-0430</t>
        </is>
      </c>
      <c r="B431" s="11" t="inlineStr">
        <is>
          <t>List 1 (to ~2015)</t>
        </is>
      </c>
      <c r="C431" s="11" t="inlineStr">
        <is>
          <t>list1</t>
        </is>
      </c>
      <c r="D431" s="11" t="inlineStr">
        <is>
          <t>verified</t>
        </is>
      </c>
      <c r="E431" s="11" t="inlineStr">
        <is>
          <t>overruled</t>
        </is>
      </c>
      <c r="F431" s="2" t="inlineStr">
        <is>
          <t>Gullapalli Nageswara Rao etc. v. The State of Andhra Pradesh and Others</t>
        </is>
      </c>
      <c r="G431" s="11" t="inlineStr"/>
      <c r="H431" s="11" t="inlineStr">
        <is>
          <t>Supreme Court</t>
        </is>
      </c>
      <c r="I431" s="2" t="inlineStr">
        <is>
          <t>AIR 1959 SC 1376; (1960) 1 SCR 580</t>
        </is>
      </c>
      <c r="J431" s="11" t="n">
        <v>1959</v>
      </c>
      <c r="K431" s="2" t="inlineStr">
        <is>
          <t>Makhan Singh v. State of Punjab (and connected appeals)</t>
        </is>
      </c>
      <c r="L431" s="11" t="inlineStr">
        <is>
          <t>Supreme Court</t>
        </is>
      </c>
      <c r="M431" s="2" t="inlineStr">
        <is>
          <t>AIR 1964 SC 381; (1964) CriLJ 217; (1964) 4 SCR 797</t>
        </is>
      </c>
      <c r="N431" s="11" t="n">
        <v>1964</v>
      </c>
      <c r="O431" s="11" t="n"/>
      <c r="P431" s="11" t="n"/>
      <c r="Q431" s="11" t="n"/>
      <c r="R431" s="2" t="n"/>
      <c r="S431" s="2" t="n"/>
      <c r="T431" s="11" t="inlineStr"/>
      <c r="U431" s="11" t="inlineStr"/>
      <c r="V431" s="11" t="inlineStr">
        <is>
          <t>outside_list</t>
        </is>
      </c>
      <c r="W431" s="11" t="n"/>
      <c r="X431" s="11" t="n"/>
      <c r="Y431" s="11" t="n"/>
      <c r="Z431" s="11" t="inlineStr">
        <is>
          <t>Mr. Advocate</t>
        </is>
      </c>
      <c r="AA431" s="11" t="inlineStr">
        <is>
          <t>2026-10-07</t>
        </is>
      </c>
      <c r="AB431" s="11" t="inlineStr">
        <is>
          <t>name_year</t>
        </is>
      </c>
      <c r="AC431" s="2" t="inlineStr"/>
      <c r="AD431" s="2" t="inlineStr">
        <is>
          <t>Gullapalli Nageswara Rao etc. v. The State of Andhra Pradesh and Others (1959) was overruled by Makhan Singh v. State of Punjab (and connected appeals) (1964).</t>
        </is>
      </c>
      <c r="AE431" s="2" t="n"/>
      <c r="AF431" s="11" t="inlineStr">
        <is>
          <t>created from list 1</t>
        </is>
      </c>
    </row>
    <row r="432">
      <c r="A432" s="11" t="inlineStr">
        <is>
          <t>L1-0431</t>
        </is>
      </c>
      <c r="B432" s="11" t="inlineStr">
        <is>
          <t>List 1 (to ~2015)</t>
        </is>
      </c>
      <c r="C432" s="11" t="inlineStr">
        <is>
          <t>list1</t>
        </is>
      </c>
      <c r="D432" s="11" t="inlineStr">
        <is>
          <t>verified</t>
        </is>
      </c>
      <c r="E432" s="11" t="inlineStr">
        <is>
          <t>overruled</t>
        </is>
      </c>
      <c r="F432" s="2" t="inlineStr">
        <is>
          <t>Sher Singh and Others v. State of Punjab</t>
        </is>
      </c>
      <c r="G432" s="11" t="inlineStr"/>
      <c r="H432" s="11" t="inlineStr">
        <is>
          <t>Supreme Court</t>
        </is>
      </c>
      <c r="I432" s="2" t="inlineStr">
        <is>
          <t>AIR 1983 SC 465; (1983) 1 Crimes 1017; (1983) 1 SCALE 283; (1983) 2 SCC 344; (1983) 2 SCR 582</t>
        </is>
      </c>
      <c r="J432" s="11" t="n">
        <v>1983</v>
      </c>
      <c r="K432" s="2" t="inlineStr">
        <is>
          <t>Triveniben v. State of Gujarat</t>
        </is>
      </c>
      <c r="L432" s="11" t="inlineStr">
        <is>
          <t>Supreme Court</t>
        </is>
      </c>
      <c r="M432" s="2" t="inlineStr">
        <is>
          <t>AIR 1989 SC 142; (1988) 3 Crimes 771; (1988) 4 JT 112; (1988) 2 SCALE 907; (1988) 4 SCC 574</t>
        </is>
      </c>
      <c r="N432" s="11" t="n">
        <v>1989</v>
      </c>
      <c r="O432" s="11" t="n"/>
      <c r="P432" s="11" t="n"/>
      <c r="Q432" s="11" t="n"/>
      <c r="R432" s="2" t="n"/>
      <c r="S432" s="2" t="n"/>
      <c r="T432" s="11" t="inlineStr"/>
      <c r="U432" s="11" t="inlineStr"/>
      <c r="V432" s="11" t="inlineStr">
        <is>
          <t>outside_list</t>
        </is>
      </c>
      <c r="W432" s="11" t="n"/>
      <c r="X432" s="11" t="n"/>
      <c r="Y432" s="11" t="n"/>
      <c r="Z432" s="11" t="inlineStr">
        <is>
          <t>Mr. Advocate</t>
        </is>
      </c>
      <c r="AA432" s="11" t="inlineStr">
        <is>
          <t>2026-10-07</t>
        </is>
      </c>
      <c r="AB432" s="11" t="inlineStr">
        <is>
          <t>name_year</t>
        </is>
      </c>
      <c r="AC432" s="2" t="inlineStr"/>
      <c r="AD432" s="2" t="inlineStr">
        <is>
          <t>Sher Singh and Others v. State of Punjab (1983) was overruled by Triveniben v. State of Gujarat (1989).</t>
        </is>
      </c>
      <c r="AE432" s="2" t="n"/>
      <c r="AF432" s="11" t="inlineStr">
        <is>
          <t>created from list 1</t>
        </is>
      </c>
    </row>
    <row r="433">
      <c r="A433" s="11" t="inlineStr">
        <is>
          <t>L1-0432</t>
        </is>
      </c>
      <c r="B433" s="11" t="inlineStr">
        <is>
          <t>List 1 (to ~2015)</t>
        </is>
      </c>
      <c r="C433" s="11" t="inlineStr">
        <is>
          <t>list1</t>
        </is>
      </c>
      <c r="D433" s="11" t="inlineStr">
        <is>
          <t>verified</t>
        </is>
      </c>
      <c r="E433" s="11" t="inlineStr">
        <is>
          <t>overruled</t>
        </is>
      </c>
      <c r="F433" s="2" t="inlineStr">
        <is>
          <t>The Commissioner, Hindu Religious Endowments, Madras v. Sri Lakshmindra Thirtha Swamiar of Sri Shirur Mutt.</t>
        </is>
      </c>
      <c r="G433" s="11" t="inlineStr"/>
      <c r="H433" s="11" t="inlineStr">
        <is>
          <t>Supreme Court</t>
        </is>
      </c>
      <c r="I433" s="2" t="inlineStr">
        <is>
          <t>AIR 1954 SC 282; (1954) 20 CLT 250; (1954) 1 SCR 1005</t>
        </is>
      </c>
      <c r="J433" s="11" t="n">
        <v>1954</v>
      </c>
      <c r="K433" s="2" t="inlineStr">
        <is>
          <t>State of Himachal Pradesh and Others v. Shivalik Agro Poly Products and Others</t>
        </is>
      </c>
      <c r="L433" s="11" t="inlineStr">
        <is>
          <t>Supreme Court</t>
        </is>
      </c>
      <c r="M433" s="2" t="inlineStr">
        <is>
          <t>AIR 2004 SC 4393; (2004) 7 JT 371; (2004) 7 SCALE 658; (2004) 8 SCC 556; (2004) AIRSCW 5207; (2004) 7 Supreme 78</t>
        </is>
      </c>
      <c r="N433" s="11" t="n">
        <v>2004</v>
      </c>
      <c r="O433" s="11" t="n"/>
      <c r="P433" s="11" t="n"/>
      <c r="Q433" s="11" t="n"/>
      <c r="R433" s="2" t="n"/>
      <c r="S433" s="2" t="n"/>
      <c r="T433" s="11" t="inlineStr"/>
      <c r="U433" s="11" t="inlineStr"/>
      <c r="V433" s="11" t="inlineStr">
        <is>
          <t>outside_list</t>
        </is>
      </c>
      <c r="W433" s="11" t="n"/>
      <c r="X433" s="11" t="n"/>
      <c r="Y433" s="11" t="n"/>
      <c r="Z433" s="11" t="inlineStr">
        <is>
          <t>Mr. Advocate</t>
        </is>
      </c>
      <c r="AA433" s="11" t="inlineStr">
        <is>
          <t>2026-10-07</t>
        </is>
      </c>
      <c r="AB433" s="11" t="inlineStr">
        <is>
          <t>name_year</t>
        </is>
      </c>
      <c r="AC433" s="2" t="inlineStr"/>
      <c r="AD433" s="2" t="inlineStr">
        <is>
          <t>The Commissioner, Hindu Religious Endowments, Madras v. Sri Lakshmindra Thirtha Swamiar of Sri Shirur Mutt. (1954) was overruled by State of Himachal Pradesh and Others v. Shivalik Agro Poly Products and Others (2004).</t>
        </is>
      </c>
      <c r="AE433" s="2" t="n"/>
      <c r="AF433" s="11" t="inlineStr">
        <is>
          <t>created from list 1</t>
        </is>
      </c>
    </row>
    <row r="434">
      <c r="A434" s="11" t="inlineStr">
        <is>
          <t>L1-0433</t>
        </is>
      </c>
      <c r="B434" s="11" t="inlineStr">
        <is>
          <t>List 1 (to ~2015)</t>
        </is>
      </c>
      <c r="C434" s="11" t="inlineStr">
        <is>
          <t>list1</t>
        </is>
      </c>
      <c r="D434" s="11" t="inlineStr">
        <is>
          <t>verified</t>
        </is>
      </c>
      <c r="E434" s="11" t="inlineStr">
        <is>
          <t>overruled</t>
        </is>
      </c>
      <c r="F434" s="2" t="inlineStr">
        <is>
          <t>The Corporation of the City of Nagpur v. Its Employees</t>
        </is>
      </c>
      <c r="G434" s="11" t="inlineStr"/>
      <c r="H434" s="11" t="inlineStr">
        <is>
          <t>Supreme Court</t>
        </is>
      </c>
      <c r="I434" s="2" t="inlineStr">
        <is>
          <t>AIR 1960 SC 675; (1960) 1 LLJ 523</t>
        </is>
      </c>
      <c r="J434" s="11" t="n">
        <v>1960</v>
      </c>
      <c r="K434" s="2" t="inlineStr">
        <is>
          <t>University of Delhi and Another v. Ram Nath</t>
        </is>
      </c>
      <c r="L434" s="11" t="inlineStr">
        <is>
          <t>Supreme Court</t>
        </is>
      </c>
      <c r="M434" s="2" t="inlineStr">
        <is>
          <t>AIR 1963 SC 1873; (1963) 7 FLR 177; (1963) 2 LLJ 335; (1964) 2 SCR 703</t>
        </is>
      </c>
      <c r="N434" s="11" t="n">
        <v>1963</v>
      </c>
      <c r="O434" s="11" t="n"/>
      <c r="P434" s="11" t="n"/>
      <c r="Q434" s="11" t="n"/>
      <c r="R434" s="2" t="n"/>
      <c r="S434" s="2" t="n"/>
      <c r="T434" s="11" t="inlineStr"/>
      <c r="U434" s="11" t="inlineStr"/>
      <c r="V434" s="11" t="inlineStr">
        <is>
          <t>outside_list</t>
        </is>
      </c>
      <c r="W434" s="11" t="n"/>
      <c r="X434" s="11" t="n"/>
      <c r="Y434" s="11" t="n"/>
      <c r="Z434" s="11" t="inlineStr">
        <is>
          <t>Mr. Advocate</t>
        </is>
      </c>
      <c r="AA434" s="11" t="inlineStr">
        <is>
          <t>2026-10-07</t>
        </is>
      </c>
      <c r="AB434" s="11" t="inlineStr">
        <is>
          <t>name_year</t>
        </is>
      </c>
      <c r="AC434" s="2" t="inlineStr">
        <is>
          <t>L1-0567: overruled by General Manager, Telecom v. A. Srinivasa Rao and Others (1998)</t>
        </is>
      </c>
      <c r="AD434" s="2" t="inlineStr">
        <is>
          <t>The Corporation of the City of Nagpur v. Its Employees (1960) was overruled by University of Delhi and Another v. Ram Nath (1963). Note: University of Delhi and Another v. Ram Nath was itself later overruled by General Manager, Telecom v. A. Srinivasa Rao and Others (1998); the current position should be checked.</t>
        </is>
      </c>
      <c r="AE434" s="2" t="n"/>
      <c r="AF434" s="11" t="inlineStr">
        <is>
          <t>created from list 1</t>
        </is>
      </c>
    </row>
    <row r="435">
      <c r="A435" s="11" t="inlineStr">
        <is>
          <t>L1-0434</t>
        </is>
      </c>
      <c r="B435" s="11" t="inlineStr">
        <is>
          <t>List 1 (to ~2015)</t>
        </is>
      </c>
      <c r="C435" s="11" t="inlineStr">
        <is>
          <t>list1</t>
        </is>
      </c>
      <c r="D435" s="11" t="inlineStr">
        <is>
          <t>verified</t>
        </is>
      </c>
      <c r="E435" s="11" t="inlineStr">
        <is>
          <t>overruled</t>
        </is>
      </c>
      <c r="F435" s="2" t="inlineStr">
        <is>
          <t>The State of Bombay v. Saubhagchand M. Doshi</t>
        </is>
      </c>
      <c r="G435" s="11" t="inlineStr"/>
      <c r="H435" s="11" t="inlineStr">
        <is>
          <t>Supreme Court</t>
        </is>
      </c>
      <c r="I435" s="2" t="inlineStr">
        <is>
          <t>AIR 1957 SC 892; (1958) 1 SCR 571</t>
        </is>
      </c>
      <c r="J435" s="11" t="n">
        <v>1957</v>
      </c>
      <c r="K435" s="2" t="inlineStr">
        <is>
          <t>S. Pratap Singh v. The State of Punjab</t>
        </is>
      </c>
      <c r="L435" s="11" t="inlineStr">
        <is>
          <t>Supreme Court</t>
        </is>
      </c>
      <c r="M435" s="2" t="inlineStr">
        <is>
          <t>AIR 1964 SC 72; (1966) 1 LLJ 458; (1964) 4 SCR 733</t>
        </is>
      </c>
      <c r="N435" s="11" t="n">
        <v>1964</v>
      </c>
      <c r="O435" s="11" t="n"/>
      <c r="P435" s="11" t="n"/>
      <c r="Q435" s="11" t="n"/>
      <c r="R435" s="2" t="n"/>
      <c r="S435" s="2" t="n"/>
      <c r="T435" s="11" t="inlineStr"/>
      <c r="U435" s="11" t="inlineStr"/>
      <c r="V435" s="11" t="inlineStr">
        <is>
          <t>outside_list</t>
        </is>
      </c>
      <c r="W435" s="11" t="n"/>
      <c r="X435" s="11" t="n"/>
      <c r="Y435" s="11" t="n"/>
      <c r="Z435" s="11" t="inlineStr">
        <is>
          <t>Mr. Advocate</t>
        </is>
      </c>
      <c r="AA435" s="11" t="inlineStr">
        <is>
          <t>2026-10-07</t>
        </is>
      </c>
      <c r="AB435" s="11" t="inlineStr">
        <is>
          <t>name_year</t>
        </is>
      </c>
      <c r="AC435" s="2" t="inlineStr"/>
      <c r="AD435" s="2" t="inlineStr">
        <is>
          <t>The State of Bombay v. Saubhagchand M. Doshi (1957) was overruled by S. Pratap Singh v. The State of Punjab (1964).</t>
        </is>
      </c>
      <c r="AE435" s="2" t="n"/>
      <c r="AF435" s="11" t="inlineStr">
        <is>
          <t>created from list 1</t>
        </is>
      </c>
    </row>
    <row r="436">
      <c r="A436" s="11" t="inlineStr">
        <is>
          <t>L1-0435</t>
        </is>
      </c>
      <c r="B436" s="11" t="inlineStr">
        <is>
          <t>List 1 (to ~2015)</t>
        </is>
      </c>
      <c r="C436" s="11" t="inlineStr">
        <is>
          <t>list1</t>
        </is>
      </c>
      <c r="D436" s="11" t="inlineStr">
        <is>
          <t>verified</t>
        </is>
      </c>
      <c r="E436" s="11" t="inlineStr">
        <is>
          <t>overruled</t>
        </is>
      </c>
      <c r="F436" s="2" t="inlineStr">
        <is>
          <t>Union of India (UOI) v. The Metal Corporation of India Ltd. and Another</t>
        </is>
      </c>
      <c r="G436" s="11" t="inlineStr"/>
      <c r="H436" s="11" t="inlineStr">
        <is>
          <t>Supreme Court</t>
        </is>
      </c>
      <c r="I436" s="2" t="inlineStr">
        <is>
          <t>AIR 1967 SC 637; (1967) 1 CompCas 37; (1967) 1 SCR 255</t>
        </is>
      </c>
      <c r="J436" s="11" t="n">
        <v>1967</v>
      </c>
      <c r="K436" s="2" t="inlineStr">
        <is>
          <t>State of Gujarat v. Shantilal Mangaldas and Others</t>
        </is>
      </c>
      <c r="L436" s="11" t="inlineStr">
        <is>
          <t>Supreme Court</t>
        </is>
      </c>
      <c r="M436" s="2" t="inlineStr">
        <is>
          <t>AIR 1969 SC 634; (1969) 1 SCC 509; (1969) 3 SCR 341</t>
        </is>
      </c>
      <c r="N436" s="11" t="n">
        <v>1969</v>
      </c>
      <c r="O436" s="11" t="n"/>
      <c r="P436" s="11" t="n"/>
      <c r="Q436" s="11" t="n"/>
      <c r="R436" s="2" t="n"/>
      <c r="S436" s="2" t="n"/>
      <c r="T436" s="11" t="inlineStr"/>
      <c r="U436" s="11" t="inlineStr"/>
      <c r="V436" s="11" t="inlineStr">
        <is>
          <t>outside_list</t>
        </is>
      </c>
      <c r="W436" s="11" t="n"/>
      <c r="X436" s="11" t="n"/>
      <c r="Y436" s="11" t="n"/>
      <c r="Z436" s="11" t="inlineStr">
        <is>
          <t>Mr. Advocate</t>
        </is>
      </c>
      <c r="AA436" s="11" t="inlineStr">
        <is>
          <t>2026-10-07</t>
        </is>
      </c>
      <c r="AB436" s="11" t="inlineStr">
        <is>
          <t>citation</t>
        </is>
      </c>
      <c r="AC436" s="2" t="inlineStr"/>
      <c r="AD436" s="2" t="inlineStr">
        <is>
          <t>Union of India (UOI) v. The Metal Corporation of India Ltd. and Another (1967) was overruled by State of Gujarat v. Shantilal Mangaldas and Others (1969).</t>
        </is>
      </c>
      <c r="AE436" s="2" t="n"/>
      <c r="AF436" s="11" t="inlineStr">
        <is>
          <t>created from list 1</t>
        </is>
      </c>
    </row>
    <row r="437">
      <c r="A437" s="11" t="inlineStr">
        <is>
          <t>L1-0436</t>
        </is>
      </c>
      <c r="B437" s="11" t="inlineStr">
        <is>
          <t>List 1 (to ~2015)</t>
        </is>
      </c>
      <c r="C437" s="11" t="inlineStr">
        <is>
          <t>list1</t>
        </is>
      </c>
      <c r="D437" s="11" t="inlineStr">
        <is>
          <t>verified</t>
        </is>
      </c>
      <c r="E437" s="11" t="inlineStr">
        <is>
          <t>reversed_on_appeal</t>
        </is>
      </c>
      <c r="F437" s="2" t="inlineStr">
        <is>
          <t>Md. Abdul Gani and Others v. Election Commission and Another</t>
        </is>
      </c>
      <c r="G437" s="11" t="inlineStr"/>
      <c r="H437" s="11" t="inlineStr">
        <is>
          <t>Calcutta</t>
        </is>
      </c>
      <c r="I437" s="2" t="inlineStr">
        <is>
          <t>AIR 1986 Cal 124</t>
        </is>
      </c>
      <c r="J437" s="11" t="n">
        <v>1986</v>
      </c>
      <c r="K437" s="2" t="inlineStr">
        <is>
          <t>Election Commission of India v. Mohd. Abdul Ghani and Others</t>
        </is>
      </c>
      <c r="L437" s="11" t="inlineStr">
        <is>
          <t>Supreme Court</t>
        </is>
      </c>
      <c r="M437" s="2" t="inlineStr">
        <is>
          <t>(1995) 7 JT 590; (1995) 6 SCALE 155; (1995) 6 SCC 721; (1995) 4 SCR 633 Supp; (1996) 1 UJ 73</t>
        </is>
      </c>
      <c r="N437" s="11" t="n">
        <v>1995</v>
      </c>
      <c r="O437" s="11" t="n"/>
      <c r="P437" s="11" t="n"/>
      <c r="Q437" s="11" t="n"/>
      <c r="R437" s="2" t="n"/>
      <c r="S437" s="2" t="n"/>
      <c r="T437" s="11" t="inlineStr">
        <is>
          <t>yes</t>
        </is>
      </c>
      <c r="U437" s="11" t="inlineStr"/>
      <c r="V437" s="11" t="inlineStr">
        <is>
          <t>outside_list</t>
        </is>
      </c>
      <c r="W437" s="11" t="n"/>
      <c r="X437" s="11" t="n"/>
      <c r="Y437" s="11" t="n"/>
      <c r="Z437" s="11" t="inlineStr">
        <is>
          <t>Mr. Advocate</t>
        </is>
      </c>
      <c r="AA437" s="11" t="inlineStr">
        <is>
          <t>2026-10-07</t>
        </is>
      </c>
      <c r="AB437" s="11" t="inlineStr">
        <is>
          <t>name_year</t>
        </is>
      </c>
      <c r="AC437" s="2" t="inlineStr"/>
      <c r="AD437" s="2" t="inlineStr">
        <is>
          <t>Md. Abdul Gani and Others v. Election Commission and Another (1986) was reversed on appeal by the Supreme Court in Election Commission of India v. Mohd. Abdul Ghani and Others (1995).</t>
        </is>
      </c>
      <c r="AE437" s="2" t="n"/>
      <c r="AF437" s="11" t="inlineStr">
        <is>
          <t>created from list 1</t>
        </is>
      </c>
    </row>
    <row r="438">
      <c r="A438" s="11" t="inlineStr">
        <is>
          <t>L1-0437</t>
        </is>
      </c>
      <c r="B438" s="11" t="inlineStr">
        <is>
          <t>List 1 (to ~2015)</t>
        </is>
      </c>
      <c r="C438" s="11" t="inlineStr">
        <is>
          <t>list1</t>
        </is>
      </c>
      <c r="D438" s="11" t="inlineStr">
        <is>
          <t>verified</t>
        </is>
      </c>
      <c r="E438" s="11" t="inlineStr">
        <is>
          <t>overruled</t>
        </is>
      </c>
      <c r="F438" s="2" t="inlineStr">
        <is>
          <t>Firm Chhotabhai Jethabai Patel and Co. and Others v. The State of Madhya Pradesh</t>
        </is>
      </c>
      <c r="G438" s="11" t="inlineStr"/>
      <c r="H438" s="11" t="inlineStr">
        <is>
          <t>Supreme Court</t>
        </is>
      </c>
      <c r="I438" s="2" t="inlineStr">
        <is>
          <t>AIR 1953 SC 108</t>
        </is>
      </c>
      <c r="J438" s="11" t="n">
        <v>1953</v>
      </c>
      <c r="K438" s="2" t="inlineStr">
        <is>
          <t>State of Madhya Pradesh v. Yakinuddin</t>
        </is>
      </c>
      <c r="L438" s="11" t="inlineStr">
        <is>
          <t>Supreme Court</t>
        </is>
      </c>
      <c r="M438" s="2" t="inlineStr">
        <is>
          <t>AIR 1962 SC 1916; (1963) 3 SCR 13</t>
        </is>
      </c>
      <c r="N438" s="11" t="n">
        <v>1962</v>
      </c>
      <c r="O438" s="11" t="n"/>
      <c r="P438" s="11" t="n"/>
      <c r="Q438" s="11" t="n"/>
      <c r="R438" s="2" t="n"/>
      <c r="S438" s="2" t="n"/>
      <c r="T438" s="11" t="inlineStr"/>
      <c r="U438" s="11" t="inlineStr"/>
      <c r="V438" s="11" t="inlineStr">
        <is>
          <t>outside_list</t>
        </is>
      </c>
      <c r="W438" s="11" t="n"/>
      <c r="X438" s="11" t="n"/>
      <c r="Y438" s="11" t="n"/>
      <c r="Z438" s="11" t="inlineStr">
        <is>
          <t>Mr. Advocate</t>
        </is>
      </c>
      <c r="AA438" s="11" t="inlineStr">
        <is>
          <t>2026-10-07</t>
        </is>
      </c>
      <c r="AB438" s="11" t="inlineStr">
        <is>
          <t>name_year</t>
        </is>
      </c>
      <c r="AC438" s="2" t="inlineStr"/>
      <c r="AD438" s="2" t="inlineStr">
        <is>
          <t>Firm Chhotabhai Jethabai Patel and Co. and Others v. The State of Madhya Pradesh (1953) was overruled by State of Madhya Pradesh v. Yakinuddin (1962).</t>
        </is>
      </c>
      <c r="AE438" s="2" t="n"/>
      <c r="AF438" s="11" t="inlineStr">
        <is>
          <t>created from list 1</t>
        </is>
      </c>
    </row>
    <row r="439">
      <c r="A439" s="11" t="inlineStr">
        <is>
          <t>L1-0438</t>
        </is>
      </c>
      <c r="B439" s="11" t="inlineStr">
        <is>
          <t>List 1 (to ~2015)</t>
        </is>
      </c>
      <c r="C439" s="11" t="inlineStr">
        <is>
          <t>list1</t>
        </is>
      </c>
      <c r="D439" s="11" t="inlineStr">
        <is>
          <t>verified</t>
        </is>
      </c>
      <c r="E439" s="11" t="inlineStr">
        <is>
          <t>overruled</t>
        </is>
      </c>
      <c r="F439" s="2" t="inlineStr">
        <is>
          <t>Raghbir Singh v. State of Haryana</t>
        </is>
      </c>
      <c r="G439" s="11" t="inlineStr"/>
      <c r="H439" s="11" t="inlineStr">
        <is>
          <t>Supreme Court</t>
        </is>
      </c>
      <c r="I439" s="2" t="inlineStr">
        <is>
          <t>AIR 1984 SC 1796; (1984) 2 Crimes 569; (1984) 2 SCALE 365; (1984) 4 SCC 348; (1985) 1 SCR 724</t>
        </is>
      </c>
      <c r="J439" s="11" t="n">
        <v>1984</v>
      </c>
      <c r="K439" s="2" t="inlineStr">
        <is>
          <t>State of Maharashtra and Another v. Najakat Alia Mubarak Ali</t>
        </is>
      </c>
      <c r="L439" s="11" t="inlineStr">
        <is>
          <t>Supreme Court</t>
        </is>
      </c>
      <c r="M439" s="2" t="inlineStr">
        <is>
          <t>AIR 2001 SC 2255; (2001) CriLJ 2588; (2001) 3 Crimes 9; (2001) 1 JT 279 Supp; (2001) 4 SCALE 71; (2001) 6 SCC 311; (2001) 3 SCR 600; (2001) 2 UJ 1510; (2001) AIRSCW 2059; (2001) 4 Supreme 45</t>
        </is>
      </c>
      <c r="N439" s="11" t="n">
        <v>2001</v>
      </c>
      <c r="O439" s="11" t="n"/>
      <c r="P439" s="11" t="n"/>
      <c r="Q439" s="11" t="n"/>
      <c r="R439" s="2" t="n"/>
      <c r="S439" s="2" t="n"/>
      <c r="T439" s="11" t="inlineStr"/>
      <c r="U439" s="11" t="inlineStr"/>
      <c r="V439" s="11" t="inlineStr">
        <is>
          <t>outside_list</t>
        </is>
      </c>
      <c r="W439" s="11" t="n"/>
      <c r="X439" s="11" t="n"/>
      <c r="Y439" s="11" t="n"/>
      <c r="Z439" s="11" t="inlineStr">
        <is>
          <t>Mr. Advocate</t>
        </is>
      </c>
      <c r="AA439" s="11" t="inlineStr">
        <is>
          <t>2026-10-07</t>
        </is>
      </c>
      <c r="AB439" s="11" t="inlineStr">
        <is>
          <t>name_year</t>
        </is>
      </c>
      <c r="AC439" s="2" t="inlineStr"/>
      <c r="AD439" s="2" t="inlineStr">
        <is>
          <t>Raghbir Singh v. State of Haryana (1984) was overruled by State of Maharashtra and Another v. Najakat Alia Mubarak Ali (2001).</t>
        </is>
      </c>
      <c r="AE439" s="2" t="n"/>
      <c r="AF439" s="11" t="inlineStr">
        <is>
          <t>created from list 1</t>
        </is>
      </c>
    </row>
    <row r="440">
      <c r="A440" s="11" t="inlineStr">
        <is>
          <t>L1-0439</t>
        </is>
      </c>
      <c r="B440" s="11" t="inlineStr">
        <is>
          <t>List 1 (to ~2015)</t>
        </is>
      </c>
      <c r="C440" s="11" t="inlineStr">
        <is>
          <t>list1</t>
        </is>
      </c>
      <c r="D440" s="11" t="inlineStr">
        <is>
          <t>verified</t>
        </is>
      </c>
      <c r="E440" s="11" t="inlineStr">
        <is>
          <t>overruled</t>
        </is>
      </c>
      <c r="F440" s="2" t="inlineStr">
        <is>
          <t>R.S. Nayak v. A.R. Antulay</t>
        </is>
      </c>
      <c r="G440" s="11" t="inlineStr"/>
      <c r="H440" s="11" t="inlineStr">
        <is>
          <t>Supreme Court</t>
        </is>
      </c>
      <c r="I440" s="2" t="inlineStr">
        <is>
          <t>AIR 1984 SC 684; (1984) CriLJ 819; (1984) CriLJ 613; (1984) 1 Crimes 926; (1984) 1 Crimes 568; (1984) 1 SCALE 239; (1984) 1 SCALE 198; (1984) 2 SCC 183; (1984) 2 SCR 495; (1984) 1 SLJ 347</t>
        </is>
      </c>
      <c r="J440" s="11" t="n">
        <v>1984</v>
      </c>
      <c r="K440" s="2" t="inlineStr">
        <is>
          <t>A.R. Antulay v. R.S. Nayak and Another</t>
        </is>
      </c>
      <c r="L440" s="11" t="inlineStr">
        <is>
          <t>Supreme Court</t>
        </is>
      </c>
      <c r="M440" s="2" t="inlineStr">
        <is>
          <t>AIR 1988 SC 1531; (1988) CriLJ 1661; (1988) 2 Crimes 753; (1988) 2 JT 325; (1988) 2 SCC 602; (1988) 1 SCR 1 Supp</t>
        </is>
      </c>
      <c r="N440" s="11" t="n">
        <v>1988</v>
      </c>
      <c r="O440" s="11" t="n"/>
      <c r="P440" s="11" t="n"/>
      <c r="Q440" s="11" t="n"/>
      <c r="R440" s="2" t="n"/>
      <c r="S440" s="2" t="n"/>
      <c r="T440" s="11" t="inlineStr"/>
      <c r="U440" s="11" t="inlineStr"/>
      <c r="V440" s="11" t="inlineStr">
        <is>
          <t>outside_list</t>
        </is>
      </c>
      <c r="W440" s="11" t="n"/>
      <c r="X440" s="11" t="n"/>
      <c r="Y440" s="11" t="n"/>
      <c r="Z440" s="11" t="inlineStr">
        <is>
          <t>Mr. Advocate</t>
        </is>
      </c>
      <c r="AA440" s="11" t="inlineStr">
        <is>
          <t>2026-10-07</t>
        </is>
      </c>
      <c r="AB440" s="11" t="inlineStr">
        <is>
          <t>name_year</t>
        </is>
      </c>
      <c r="AC440" s="2" t="inlineStr"/>
      <c r="AD440" s="2" t="inlineStr">
        <is>
          <t>R.S. Nayak v. A.R. Antulay (1984) was overruled by A.R. Antulay v. R.S. Nayak and Another (1988).</t>
        </is>
      </c>
      <c r="AE440" s="2" t="n"/>
      <c r="AF440" s="11" t="inlineStr">
        <is>
          <t>created from list 1</t>
        </is>
      </c>
    </row>
    <row r="441">
      <c r="A441" s="11" t="inlineStr">
        <is>
          <t>L1-0440</t>
        </is>
      </c>
      <c r="B441" s="11" t="inlineStr">
        <is>
          <t>List 1 (to ~2015)</t>
        </is>
      </c>
      <c r="C441" s="11" t="inlineStr">
        <is>
          <t>list1</t>
        </is>
      </c>
      <c r="D441" s="11" t="inlineStr">
        <is>
          <t>verified</t>
        </is>
      </c>
      <c r="E441" s="11" t="inlineStr">
        <is>
          <t>reversed_on_appeal</t>
        </is>
      </c>
      <c r="F441" s="2" t="inlineStr">
        <is>
          <t>The Jay Engineering Works Ltd. v. M.G. Wagh and Others</t>
        </is>
      </c>
      <c r="G441" s="11" t="inlineStr"/>
      <c r="H441" s="11" t="inlineStr">
        <is>
          <t>Calcutta</t>
        </is>
      </c>
      <c r="I441" s="2" t="inlineStr">
        <is>
          <t>AIR 1973 Cal 33; 77 CWN 222</t>
        </is>
      </c>
      <c r="J441" s="11" t="n">
        <v>1973</v>
      </c>
      <c r="K441" s="2" t="inlineStr">
        <is>
          <t>M.G. Wagh and Others v. Jay Engineering Works Ltd.</t>
        </is>
      </c>
      <c r="L441" s="11" t="inlineStr">
        <is>
          <t>Supreme Court</t>
        </is>
      </c>
      <c r="M441" s="2" t="inlineStr">
        <is>
          <t>AIR 1987 SC 670; (1987) 62 CompCas 658; (1987) 2 CompLJ 34; (1987) 11 ECC 410; (1987) 1 JT 135; (1966) 2 LLJ 315; (1987) 1 SCALE 53; (1987) 1 SCC 542; (1987) 1 SCR 981; (1987) 1 UJ 454</t>
        </is>
      </c>
      <c r="N441" s="11" t="n">
        <v>1987</v>
      </c>
      <c r="O441" s="11" t="n"/>
      <c r="P441" s="11" t="n"/>
      <c r="Q441" s="11" t="n"/>
      <c r="R441" s="2" t="n"/>
      <c r="S441" s="2" t="n"/>
      <c r="T441" s="11" t="inlineStr">
        <is>
          <t>yes</t>
        </is>
      </c>
      <c r="U441" s="11" t="inlineStr"/>
      <c r="V441" s="11" t="inlineStr">
        <is>
          <t>outside_list</t>
        </is>
      </c>
      <c r="W441" s="11" t="n"/>
      <c r="X441" s="11" t="n"/>
      <c r="Y441" s="11" t="n"/>
      <c r="Z441" s="11" t="inlineStr">
        <is>
          <t>Mr. Advocate</t>
        </is>
      </c>
      <c r="AA441" s="11" t="inlineStr">
        <is>
          <t>2026-10-07</t>
        </is>
      </c>
      <c r="AB441" s="11" t="inlineStr">
        <is>
          <t>name_year</t>
        </is>
      </c>
      <c r="AC441" s="2" t="inlineStr"/>
      <c r="AD441" s="2" t="inlineStr">
        <is>
          <t>The Jay Engineering Works Ltd. v. M.G. Wagh and Others (1973) was reversed on appeal by the Supreme Court in M.G. Wagh and Others v. Jay Engineering Works Ltd. (1987).</t>
        </is>
      </c>
      <c r="AE441" s="2" t="n"/>
      <c r="AF441" s="11" t="inlineStr">
        <is>
          <t>created from list 1</t>
        </is>
      </c>
    </row>
    <row r="442">
      <c r="A442" s="11" t="inlineStr">
        <is>
          <t>L1-0441</t>
        </is>
      </c>
      <c r="B442" s="11" t="inlineStr">
        <is>
          <t>List 1 (to ~2015)</t>
        </is>
      </c>
      <c r="C442" s="11" t="inlineStr">
        <is>
          <t>list1</t>
        </is>
      </c>
      <c r="D442" s="11" t="inlineStr">
        <is>
          <t>verified</t>
        </is>
      </c>
      <c r="E442" s="11" t="inlineStr">
        <is>
          <t>overruled</t>
        </is>
      </c>
      <c r="F442" s="2" t="inlineStr">
        <is>
          <t>The Keshav Mills Co. Ltd. v. Commissioner of Income Tax, Bombay North</t>
        </is>
      </c>
      <c r="G442" s="11" t="inlineStr"/>
      <c r="H442" s="11" t="inlineStr">
        <is>
          <t>Supreme Court</t>
        </is>
      </c>
      <c r="I442" s="2" t="inlineStr">
        <is>
          <t>AIR 1965 SC 1636; (1965) 56 ITR 365; (1965) 2 SCR 908</t>
        </is>
      </c>
      <c r="J442" s="11" t="n">
        <v>1965</v>
      </c>
      <c r="K442" s="2" t="inlineStr">
        <is>
          <t>The Indian Aluminium Co. Ltd. v. The Commissioner of Income Tax , West Bengal, Calcutta</t>
        </is>
      </c>
      <c r="L442" s="11" t="inlineStr">
        <is>
          <t>Supreme Court</t>
        </is>
      </c>
      <c r="M442" s="2" t="inlineStr">
        <is>
          <t>AIR 1972 SC 1880; (1972) 84 ITR 735; (1972) 2 SCC 150; (1973) 1 SCR 15</t>
        </is>
      </c>
      <c r="N442" s="11" t="n">
        <v>1972</v>
      </c>
      <c r="O442" s="11" t="n"/>
      <c r="P442" s="11" t="n"/>
      <c r="Q442" s="11" t="n"/>
      <c r="R442" s="2" t="n"/>
      <c r="S442" s="2" t="n"/>
      <c r="T442" s="11" t="inlineStr"/>
      <c r="U442" s="11" t="inlineStr"/>
      <c r="V442" s="11" t="inlineStr">
        <is>
          <t>outside_list</t>
        </is>
      </c>
      <c r="W442" s="11" t="n"/>
      <c r="X442" s="11" t="n"/>
      <c r="Y442" s="11" t="n"/>
      <c r="Z442" s="11" t="inlineStr">
        <is>
          <t>Mr. Advocate</t>
        </is>
      </c>
      <c r="AA442" s="11" t="inlineStr">
        <is>
          <t>2026-10-07</t>
        </is>
      </c>
      <c r="AB442" s="11" t="inlineStr">
        <is>
          <t>name_year</t>
        </is>
      </c>
      <c r="AC442" s="2" t="inlineStr">
        <is>
          <t>L1-0375: overruled by National Thermal Power Corporation Ltd. v. M/s. Flowmore Private Ltd. and another (1996)</t>
        </is>
      </c>
      <c r="AD442" s="2" t="inlineStr">
        <is>
          <t>The Keshav Mills Co. Ltd. v. Commissioner of Income Tax, Bombay North (1965) was overruled by The Indian Aluminium Co. Ltd. v. The Commissioner of Income Tax , West Bengal, Calcutta (1972). Note: The Indian Aluminium Co. Ltd. v. The Commissioner of Income Tax , West Bengal, Calcutta was itself later overruled by National Thermal Power Corporation Ltd. v. M/s. Flowmore Private Ltd. and another (1996); the current position should be checked.</t>
        </is>
      </c>
      <c r="AE442" s="2" t="n"/>
      <c r="AF442" s="11" t="inlineStr">
        <is>
          <t>created from list 1</t>
        </is>
      </c>
    </row>
    <row r="443">
      <c r="A443" s="11" t="inlineStr">
        <is>
          <t>L1-0442</t>
        </is>
      </c>
      <c r="B443" s="11" t="inlineStr">
        <is>
          <t>List 1 (to ~2015)</t>
        </is>
      </c>
      <c r="C443" s="11" t="inlineStr">
        <is>
          <t>list1</t>
        </is>
      </c>
      <c r="D443" s="11" t="inlineStr">
        <is>
          <t>verified</t>
        </is>
      </c>
      <c r="E443" s="11" t="inlineStr">
        <is>
          <t>overruled</t>
        </is>
      </c>
      <c r="F443" s="2" t="inlineStr">
        <is>
          <t>L. Robert D’souza v. Executive Engineer, Southern Railway and Another</t>
        </is>
      </c>
      <c r="G443" s="11" t="inlineStr"/>
      <c r="H443" s="11" t="inlineStr">
        <is>
          <t>Supreme Court</t>
        </is>
      </c>
      <c r="I443" s="2" t="inlineStr">
        <is>
          <t>(1982) 1 LLJ 330; (1982) 1 SCALE 466; (1982) 1 SCC 645; (1982) 3 SCR 251; (1982) 14 UJ 344</t>
        </is>
      </c>
      <c r="J443" s="11" t="n">
        <v>1982</v>
      </c>
      <c r="K443" s="2" t="inlineStr">
        <is>
          <t>Punjab Land Development and Reclamation Corporation Ltd., Chandigarh v. Presiding Officer, Labour Court, Chandigarh and Others</t>
        </is>
      </c>
      <c r="L443" s="11" t="inlineStr">
        <is>
          <t>Supreme Court</t>
        </is>
      </c>
      <c r="M443" s="2" t="inlineStr">
        <is>
          <t>(1991) 61 FLR 73; (1990) 2 JT 490; (1990) 2 LLJ 70; (1990) 1 SCALE 878; (1990) 3 SCC 682; (1990) 3 SCR 111; (1990) 2 UJ 293</t>
        </is>
      </c>
      <c r="N443" s="11" t="n">
        <v>1990</v>
      </c>
      <c r="O443" s="11" t="n"/>
      <c r="P443" s="11" t="n"/>
      <c r="Q443" s="11" t="n"/>
      <c r="R443" s="2" t="n"/>
      <c r="S443" s="2" t="n"/>
      <c r="T443" s="11" t="inlineStr"/>
      <c r="U443" s="11" t="inlineStr"/>
      <c r="V443" s="11" t="inlineStr">
        <is>
          <t>outside_list</t>
        </is>
      </c>
      <c r="W443" s="11" t="n"/>
      <c r="X443" s="11" t="n"/>
      <c r="Y443" s="11" t="n"/>
      <c r="Z443" s="11" t="inlineStr">
        <is>
          <t>Mr. Advocate</t>
        </is>
      </c>
      <c r="AA443" s="11" t="inlineStr">
        <is>
          <t>2026-10-07</t>
        </is>
      </c>
      <c r="AB443" s="11" t="inlineStr">
        <is>
          <t>name_year</t>
        </is>
      </c>
      <c r="AC443" s="2" t="inlineStr"/>
      <c r="AD443" s="2" t="inlineStr">
        <is>
          <t>L. Robert D’souza v. Executive Engineer, Southern Railway and Another (1982) was overruled by Punjab Land Development and Reclamation Corporation Ltd., Chandigarh v. Presiding Officer, Labour Court, Chandigarh and Others (1990).</t>
        </is>
      </c>
      <c r="AE443" s="2" t="n"/>
      <c r="AF443" s="11" t="inlineStr">
        <is>
          <t>created from list 1</t>
        </is>
      </c>
    </row>
    <row r="444">
      <c r="A444" s="11" t="inlineStr">
        <is>
          <t>L1-0443</t>
        </is>
      </c>
      <c r="B444" s="11" t="inlineStr">
        <is>
          <t>List 1 (to ~2015)</t>
        </is>
      </c>
      <c r="C444" s="11" t="inlineStr">
        <is>
          <t>list1</t>
        </is>
      </c>
      <c r="D444" s="11" t="inlineStr">
        <is>
          <t>verified</t>
        </is>
      </c>
      <c r="E444" s="11" t="inlineStr">
        <is>
          <t>overruled</t>
        </is>
      </c>
      <c r="F444" s="2" t="inlineStr">
        <is>
          <t>Shri Kanwar Lal Gupta v. Amar Nath Chawla and Others</t>
        </is>
      </c>
      <c r="G444" s="11" t="inlineStr"/>
      <c r="H444" s="11" t="inlineStr">
        <is>
          <t>Supreme Court</t>
        </is>
      </c>
      <c r="I444" s="2" t="inlineStr">
        <is>
          <t>AIR 1975 SC 308; AIR 1974 SC 308; (1975) 3 SCC 646; (1975) 2 SCR 259</t>
        </is>
      </c>
      <c r="J444" s="11" t="n">
        <v>1975</v>
      </c>
      <c r="K444" s="2" t="inlineStr">
        <is>
          <t>Smt. Indira Nehru Gandhi v. Shri Raj Narain and Another</t>
        </is>
      </c>
      <c r="L444" s="11" t="inlineStr">
        <is>
          <t>Supreme Court</t>
        </is>
      </c>
      <c r="M444" s="2" t="inlineStr">
        <is>
          <t>AIR 1975 SC 2299; (1975) SCC 1 Supp; (1976) 2 SCR 347</t>
        </is>
      </c>
      <c r="N444" s="11" t="n">
        <v>1975</v>
      </c>
      <c r="O444" s="11" t="n"/>
      <c r="P444" s="11" t="n"/>
      <c r="Q444" s="11" t="n"/>
      <c r="R444" s="2" t="n"/>
      <c r="S444" s="2" t="n"/>
      <c r="T444" s="11" t="inlineStr"/>
      <c r="U444" s="11" t="inlineStr"/>
      <c r="V444" s="11" t="inlineStr">
        <is>
          <t>outside_list</t>
        </is>
      </c>
      <c r="W444" s="11" t="n"/>
      <c r="X444" s="11" t="n"/>
      <c r="Y444" s="11" t="n"/>
      <c r="Z444" s="11" t="inlineStr">
        <is>
          <t>Mr. Advocate</t>
        </is>
      </c>
      <c r="AA444" s="11" t="inlineStr">
        <is>
          <t>2026-10-07</t>
        </is>
      </c>
      <c r="AB444" s="11" t="inlineStr">
        <is>
          <t>name_year</t>
        </is>
      </c>
      <c r="AC444" s="2" t="inlineStr"/>
      <c r="AD444" s="2" t="inlineStr">
        <is>
          <t>Shri Kanwar Lal Gupta v. Amar Nath Chawla and Others (1975) was overruled by Smt. Indira Nehru Gandhi v. Shri Raj Narain and Another (1975).</t>
        </is>
      </c>
      <c r="AE444" s="2" t="n"/>
      <c r="AF444" s="11" t="inlineStr">
        <is>
          <t>created from list 1</t>
        </is>
      </c>
    </row>
    <row r="445">
      <c r="A445" s="11" t="inlineStr">
        <is>
          <t>L1-0444</t>
        </is>
      </c>
      <c r="B445" s="11" t="inlineStr">
        <is>
          <t>List 1 (to ~2015)</t>
        </is>
      </c>
      <c r="C445" s="11" t="inlineStr">
        <is>
          <t>list1</t>
        </is>
      </c>
      <c r="D445" s="11" t="inlineStr">
        <is>
          <t>verified</t>
        </is>
      </c>
      <c r="E445" s="11" t="inlineStr">
        <is>
          <t>overruled</t>
        </is>
      </c>
      <c r="F445" s="2" t="inlineStr">
        <is>
          <t>Lakshmi Raman Acharya v. Chandan Singh and Others</t>
        </is>
      </c>
      <c r="G445" s="11" t="inlineStr"/>
      <c r="H445" s="11" t="inlineStr">
        <is>
          <t>Supreme Court</t>
        </is>
      </c>
      <c r="I445" s="2" t="inlineStr">
        <is>
          <t>AIR 1977 SC 587; (1977) 1 SCC 423; (1977) 2 SCR 412</t>
        </is>
      </c>
      <c r="J445" s="11" t="n">
        <v>1977</v>
      </c>
      <c r="K445" s="2" t="inlineStr">
        <is>
          <t>Surinder Singh v. Hardial Singh and Others</t>
        </is>
      </c>
      <c r="L445" s="11" t="inlineStr">
        <is>
          <t>Supreme Court</t>
        </is>
      </c>
      <c r="M445" s="2" t="inlineStr">
        <is>
          <t>AIR 1985 SC 89; (1984) 2 SCALE 659; (1985) 1 SCC 91; (1985) 1 SCR 1059</t>
        </is>
      </c>
      <c r="N445" s="11" t="n">
        <v>1985</v>
      </c>
      <c r="O445" s="11" t="n"/>
      <c r="P445" s="11" t="n"/>
      <c r="Q445" s="11" t="n"/>
      <c r="R445" s="2" t="n"/>
      <c r="S445" s="2" t="n"/>
      <c r="T445" s="11" t="inlineStr"/>
      <c r="U445" s="11" t="inlineStr"/>
      <c r="V445" s="11" t="inlineStr">
        <is>
          <t>outside_list</t>
        </is>
      </c>
      <c r="W445" s="11" t="n"/>
      <c r="X445" s="11" t="n"/>
      <c r="Y445" s="11" t="n"/>
      <c r="Z445" s="11" t="inlineStr">
        <is>
          <t>Mr. Advocate</t>
        </is>
      </c>
      <c r="AA445" s="11" t="inlineStr">
        <is>
          <t>2026-10-07</t>
        </is>
      </c>
      <c r="AB445" s="11" t="inlineStr">
        <is>
          <t>name_year</t>
        </is>
      </c>
      <c r="AC445" s="2" t="inlineStr"/>
      <c r="AD445" s="2" t="inlineStr">
        <is>
          <t>Lakshmi Raman Acharya v. Chandan Singh and Others (1977) was overruled by Surinder Singh v. Hardial Singh and Others (1985).</t>
        </is>
      </c>
      <c r="AE445" s="2" t="n"/>
      <c r="AF445" s="11" t="inlineStr">
        <is>
          <t>created from list 1</t>
        </is>
      </c>
    </row>
    <row r="446">
      <c r="A446" s="11" t="inlineStr">
        <is>
          <t>L1-0445</t>
        </is>
      </c>
      <c r="B446" s="11" t="inlineStr">
        <is>
          <t>List 1 (to ~2015)</t>
        </is>
      </c>
      <c r="C446" s="11" t="inlineStr">
        <is>
          <t>list1</t>
        </is>
      </c>
      <c r="D446" s="11" t="inlineStr">
        <is>
          <t>verified</t>
        </is>
      </c>
      <c r="E446" s="11" t="inlineStr">
        <is>
          <t>overruled</t>
        </is>
      </c>
      <c r="F446" s="2" t="inlineStr">
        <is>
          <t>Calcutta Company Ltd. v. The Commissioner of Income Tax, West Bengal</t>
        </is>
      </c>
      <c r="G446" s="11" t="inlineStr"/>
      <c r="H446" s="11" t="inlineStr">
        <is>
          <t>Supreme Court</t>
        </is>
      </c>
      <c r="I446" s="2" t="inlineStr">
        <is>
          <t>(1959) 37 ITR 1; (1960) 1 SCR 185</t>
        </is>
      </c>
      <c r="J446" s="11" t="n">
        <v>1959</v>
      </c>
      <c r="K446" s="2" t="inlineStr">
        <is>
          <t>Commissioner of Income Tax, Madhya Pradesh, Nagpur and Bhandara v. Swadeshi Cotton and Flour Mills Private Ltd.</t>
        </is>
      </c>
      <c r="L446" s="11" t="inlineStr">
        <is>
          <t>Supreme Court</t>
        </is>
      </c>
      <c r="M446" s="2" t="inlineStr">
        <is>
          <t>AIR 1964 SC 1766; (1964) 53 ITR 134; (1964) 7 SCR 810</t>
        </is>
      </c>
      <c r="N446" s="11" t="n">
        <v>1964</v>
      </c>
      <c r="O446" s="11" t="n"/>
      <c r="P446" s="11" t="n"/>
      <c r="Q446" s="11" t="n"/>
      <c r="R446" s="2" t="n"/>
      <c r="S446" s="2" t="n"/>
      <c r="T446" s="11" t="inlineStr"/>
      <c r="U446" s="11" t="inlineStr"/>
      <c r="V446" s="11" t="inlineStr">
        <is>
          <t>outside_list</t>
        </is>
      </c>
      <c r="W446" s="11" t="n"/>
      <c r="X446" s="11" t="n"/>
      <c r="Y446" s="11" t="n"/>
      <c r="Z446" s="11" t="inlineStr">
        <is>
          <t>Mr. Advocate</t>
        </is>
      </c>
      <c r="AA446" s="11" t="inlineStr">
        <is>
          <t>2026-10-07</t>
        </is>
      </c>
      <c r="AB446" s="11" t="inlineStr">
        <is>
          <t>citation</t>
        </is>
      </c>
      <c r="AC446" s="2" t="inlineStr"/>
      <c r="AD446" s="2" t="inlineStr">
        <is>
          <t>Calcutta Company Ltd. v. The Commissioner of Income Tax, West Bengal (1959) was overruled by Commissioner of Income Tax, Madhya Pradesh, Nagpur and Bhandara v. Swadeshi Cotton and Flour Mills Private Ltd. (1964).</t>
        </is>
      </c>
      <c r="AE446" s="2" t="n"/>
      <c r="AF446" s="11" t="inlineStr">
        <is>
          <t>created from list 1</t>
        </is>
      </c>
    </row>
    <row r="447">
      <c r="A447" s="11" t="inlineStr">
        <is>
          <t>L1-0446</t>
        </is>
      </c>
      <c r="B447" s="11" t="inlineStr">
        <is>
          <t>List 1 (to ~2015)</t>
        </is>
      </c>
      <c r="C447" s="11" t="inlineStr">
        <is>
          <t>list1</t>
        </is>
      </c>
      <c r="D447" s="11" t="inlineStr">
        <is>
          <t>verified</t>
        </is>
      </c>
      <c r="E447" s="11" t="inlineStr">
        <is>
          <t>disputed_listing</t>
        </is>
      </c>
      <c r="F447" s="2" t="inlineStr">
        <is>
          <t>Tirlok Singh and Co. v. District Magistrate, Lucknow and Others</t>
        </is>
      </c>
      <c r="G447" s="11" t="inlineStr"/>
      <c r="H447" s="11" t="inlineStr">
        <is>
          <t>Supreme Court</t>
        </is>
      </c>
      <c r="I447" s="2" t="inlineStr">
        <is>
          <t>AIR 1976 SC 1988; (1976) 3 SCC 726; (1976) 3 SCR 942; (1976) 8 UJ 433</t>
        </is>
      </c>
      <c r="J447" s="11" t="n">
        <v>1976</v>
      </c>
      <c r="K447" s="2" t="inlineStr">
        <is>
          <t>Ganpat Roy and Others v. Additional District Magistrate and Others</t>
        </is>
      </c>
      <c r="L447" s="11" t="inlineStr">
        <is>
          <t>Supreme Court</t>
        </is>
      </c>
      <c r="M447" s="2" t="inlineStr">
        <is>
          <t>AIR 1985 SC 1635; (1985) 1 SCALE 545; (1985) 2 SCC 307; (1985) 3 SCR 384</t>
        </is>
      </c>
      <c r="N447" s="11" t="n">
        <v>1985</v>
      </c>
      <c r="O447" s="11" t="n"/>
      <c r="P447" s="11" t="n"/>
      <c r="Q447" s="11" t="n"/>
      <c r="R447" s="2" t="n"/>
      <c r="S447" s="2" t="n"/>
      <c r="T447" s="11" t="inlineStr"/>
      <c r="U447" s="11" t="inlineStr">
        <is>
          <t>list_mutual_pair</t>
        </is>
      </c>
      <c r="V447" s="11" t="inlineStr">
        <is>
          <t>outside_list</t>
        </is>
      </c>
      <c r="W447" s="11" t="n"/>
      <c r="X447" s="11" t="n"/>
      <c r="Y447" s="11" t="n"/>
      <c r="Z447" s="11" t="inlineStr">
        <is>
          <t>Mr. Advocate</t>
        </is>
      </c>
      <c r="AA447" s="11" t="inlineStr">
        <is>
          <t>2026-10-07</t>
        </is>
      </c>
      <c r="AB447" s="11" t="inlineStr">
        <is>
          <t>name_year</t>
        </is>
      </c>
      <c r="AC447" s="2" t="inlineStr">
        <is>
          <t>L1-0645: listed in our reference list as overruled by Tirlok Singh and Co. v. District Magistrate, Lucknow and Others (1976), but the list is inconsistent on this entry</t>
        </is>
      </c>
      <c r="AD447" s="2" t="inlineStr">
        <is>
          <t>Tirlok Singh and Co. v. District Magistrate, Lucknow and Others (1976) is listed in our reference list as overruled by Ganpat Roy and Others v. Additional District Magistrate and Others (1985), but the list is inconsistent on this entry. Note: Ganpat Roy and Others v. Additional District Magistrate and Others was itself later listed in our reference list as overruled by Tirlok Singh and Co. v. District Magistrate, Lucknow and Others (1976), but the list is inconsistent on this entry; the current position should be checked.</t>
        </is>
      </c>
      <c r="AE447" s="2" t="n"/>
      <c r="AF447" s="11" t="inlineStr">
        <is>
          <t>created from list 1</t>
        </is>
      </c>
    </row>
    <row r="448">
      <c r="A448" s="11" t="inlineStr">
        <is>
          <t>L1-0447</t>
        </is>
      </c>
      <c r="B448" s="11" t="inlineStr">
        <is>
          <t>List 1 (to ~2015)</t>
        </is>
      </c>
      <c r="C448" s="11" t="inlineStr">
        <is>
          <t>list1</t>
        </is>
      </c>
      <c r="D448" s="11" t="inlineStr">
        <is>
          <t>verified</t>
        </is>
      </c>
      <c r="E448" s="11" t="inlineStr">
        <is>
          <t>overruled</t>
        </is>
      </c>
      <c r="F448" s="2" t="inlineStr">
        <is>
          <t>The State of Bombay and Another v. The United Motors (India) Ltd. and Others</t>
        </is>
      </c>
      <c r="G448" s="11" t="inlineStr"/>
      <c r="H448" s="11" t="inlineStr">
        <is>
          <t>Supreme Court</t>
        </is>
      </c>
      <c r="I448" s="2" t="inlineStr">
        <is>
          <t>AIR 1953 SC 252; (1953) 4 SCR 1069; (1953) 4 STC 133</t>
        </is>
      </c>
      <c r="J448" s="11" t="n">
        <v>1953</v>
      </c>
      <c r="K448" s="2" t="inlineStr">
        <is>
          <t>The Bengal Immunity Company Limited v. The State of Bihar and Others</t>
        </is>
      </c>
      <c r="L448" s="11" t="inlineStr">
        <is>
          <t>Supreme Court</t>
        </is>
      </c>
      <c r="M448" s="2" t="inlineStr">
        <is>
          <t>AIR 1955 SC 661; (1955) 2 SCR 603; (1955) 6 STC 446</t>
        </is>
      </c>
      <c r="N448" s="11" t="n">
        <v>1955</v>
      </c>
      <c r="O448" s="11" t="n"/>
      <c r="P448" s="11" t="n"/>
      <c r="Q448" s="11" t="n"/>
      <c r="R448" s="2" t="n"/>
      <c r="S448" s="2" t="n"/>
      <c r="T448" s="11" t="inlineStr"/>
      <c r="U448" s="11" t="inlineStr"/>
      <c r="V448" s="11" t="inlineStr">
        <is>
          <t>outside_list</t>
        </is>
      </c>
      <c r="W448" s="11" t="n"/>
      <c r="X448" s="11" t="n"/>
      <c r="Y448" s="11" t="n"/>
      <c r="Z448" s="11" t="inlineStr">
        <is>
          <t>Mr. Advocate</t>
        </is>
      </c>
      <c r="AA448" s="11" t="inlineStr">
        <is>
          <t>2026-10-07</t>
        </is>
      </c>
      <c r="AB448" s="11" t="inlineStr">
        <is>
          <t>name_year</t>
        </is>
      </c>
      <c r="AC448" s="2" t="inlineStr"/>
      <c r="AD448" s="2" t="inlineStr">
        <is>
          <t>The State of Bombay and Another v. The United Motors (India) Ltd. and Others (1953) was overruled by The Bengal Immunity Company Limited v. The State of Bihar and Others (1955).</t>
        </is>
      </c>
      <c r="AE448" s="2" t="n"/>
      <c r="AF448" s="11" t="inlineStr">
        <is>
          <t>created from list 1</t>
        </is>
      </c>
    </row>
    <row r="449">
      <c r="A449" s="11" t="inlineStr">
        <is>
          <t>L1-0448</t>
        </is>
      </c>
      <c r="B449" s="11" t="inlineStr">
        <is>
          <t>List 1 (to ~2015)</t>
        </is>
      </c>
      <c r="C449" s="11" t="inlineStr">
        <is>
          <t>list1</t>
        </is>
      </c>
      <c r="D449" s="11" t="inlineStr">
        <is>
          <t>verified</t>
        </is>
      </c>
      <c r="E449" s="11" t="inlineStr">
        <is>
          <t>overruled</t>
        </is>
      </c>
      <c r="F449" s="2" t="inlineStr">
        <is>
          <t>Saraswati Devi v. Smt. Shanti Devi and Others</t>
        </is>
      </c>
      <c r="G449" s="11" t="inlineStr"/>
      <c r="H449" s="11" t="inlineStr">
        <is>
          <t>Supreme Court</t>
        </is>
      </c>
      <c r="I449" s="2" t="inlineStr">
        <is>
          <t>(1996) 9 AD 15; AIR 1997 SC 347; (1996) 11 JT 23; (1997) 116 PLR 421; (1996) 8 SCALE 357; (1997) 1 SCC 122; (1997) 1 UJ 399; (1997) AIRSCW 106; (1996) 8 Supreme 512</t>
        </is>
      </c>
      <c r="J449" s="11" t="n">
        <v>1997</v>
      </c>
      <c r="K449" s="2" t="inlineStr">
        <is>
          <t>Kasambhai F. Ghanchi v. Chandubhai D. Rajput and Others</t>
        </is>
      </c>
      <c r="L449" s="11" t="inlineStr">
        <is>
          <t>Supreme Court</t>
        </is>
      </c>
      <c r="M449" s="2" t="inlineStr">
        <is>
          <t>AIR 1998 SC 815; (1997) 9 JT 419; (1998) 119 PLR 611; (1997) 7 SCALE 248; (1998) 1 SCC 285; (1997) 5 SCR 401 Supp; (1998) AIRSCW 535; (1997) 10 Supreme 234</t>
        </is>
      </c>
      <c r="N449" s="11" t="n">
        <v>1998</v>
      </c>
      <c r="O449" s="11" t="n"/>
      <c r="P449" s="11" t="n"/>
      <c r="Q449" s="11" t="n"/>
      <c r="R449" s="2" t="n"/>
      <c r="S449" s="2" t="n"/>
      <c r="T449" s="11" t="inlineStr"/>
      <c r="U449" s="11" t="inlineStr"/>
      <c r="V449" s="11" t="inlineStr">
        <is>
          <t>outside_list</t>
        </is>
      </c>
      <c r="W449" s="11" t="n"/>
      <c r="X449" s="11" t="n"/>
      <c r="Y449" s="11" t="n"/>
      <c r="Z449" s="11" t="inlineStr">
        <is>
          <t>Mr. Advocate</t>
        </is>
      </c>
      <c r="AA449" s="11" t="inlineStr">
        <is>
          <t>2026-10-07</t>
        </is>
      </c>
      <c r="AB449" s="11" t="inlineStr">
        <is>
          <t>name_year</t>
        </is>
      </c>
      <c r="AC449" s="2" t="inlineStr"/>
      <c r="AD449" s="2" t="inlineStr">
        <is>
          <t>Saraswati Devi v. Smt. Shanti Devi and Others (1997) was overruled by Kasambhai F. Ghanchi v. Chandubhai D. Rajput and Others (1998).</t>
        </is>
      </c>
      <c r="AE449" s="2" t="n"/>
      <c r="AF449" s="11" t="inlineStr">
        <is>
          <t>created from list 1</t>
        </is>
      </c>
    </row>
    <row r="450">
      <c r="A450" s="11" t="inlineStr">
        <is>
          <t>L1-0449</t>
        </is>
      </c>
      <c r="B450" s="11" t="inlineStr">
        <is>
          <t>List 1 (to ~2015)</t>
        </is>
      </c>
      <c r="C450" s="11" t="inlineStr">
        <is>
          <t>list1</t>
        </is>
      </c>
      <c r="D450" s="11" t="inlineStr">
        <is>
          <t>verified</t>
        </is>
      </c>
      <c r="E450" s="11" t="inlineStr">
        <is>
          <t>overruled</t>
        </is>
      </c>
      <c r="F450" s="2" t="inlineStr">
        <is>
          <t>Vishnu Partap Singh v. The State of Madhya Pradesh and others</t>
        </is>
      </c>
      <c r="G450" s="11" t="inlineStr"/>
      <c r="H450" s="11" t="inlineStr">
        <is>
          <t>Supreme Court</t>
        </is>
      </c>
      <c r="I450" s="2" t="inlineStr">
        <is>
          <t>AIR 1990 SC 522; (1990) 1 JT 20; (1990) 1 SCALE 15; (1990) SCC 43 Supp; (1990) 1 SCR 43</t>
        </is>
      </c>
      <c r="J450" s="11" t="n">
        <v>1990</v>
      </c>
      <c r="K450" s="2" t="inlineStr">
        <is>
          <t>Draupadi Devi and Others v. Union of India (UOI) and Others</t>
        </is>
      </c>
      <c r="L450" s="11" t="inlineStr">
        <is>
          <t>unknown</t>
        </is>
      </c>
      <c r="M450" s="2" t="inlineStr">
        <is>
          <t>(2004) 9 JT 35; (2005) 139 PLR 143; (2004) 7 SCALE 456; (2004) 11 SCC 425; (2004) AIRSCW 6963; (2004) AIRSCW 5270; (2004) 7 Supreme 234; (2004) 6 Supreme 613</t>
        </is>
      </c>
      <c r="N450" s="11" t="n">
        <v>2004</v>
      </c>
      <c r="O450" s="11" t="n"/>
      <c r="P450" s="11" t="n"/>
      <c r="Q450" s="11" t="n"/>
      <c r="R450" s="2" t="n"/>
      <c r="S450" s="2" t="n"/>
      <c r="T450" s="11" t="inlineStr"/>
      <c r="U450" s="11" t="inlineStr"/>
      <c r="V450" s="11" t="inlineStr">
        <is>
          <t>outside_list</t>
        </is>
      </c>
      <c r="W450" s="11" t="n"/>
      <c r="X450" s="11" t="n"/>
      <c r="Y450" s="11" t="n"/>
      <c r="Z450" s="11" t="inlineStr">
        <is>
          <t>Mr. Advocate</t>
        </is>
      </c>
      <c r="AA450" s="11" t="inlineStr">
        <is>
          <t>2026-10-07</t>
        </is>
      </c>
      <c r="AB450" s="11" t="inlineStr">
        <is>
          <t>name_year</t>
        </is>
      </c>
      <c r="AC450" s="2" t="inlineStr"/>
      <c r="AD450" s="2" t="inlineStr">
        <is>
          <t>Vishnu Partap Singh v. The State of Madhya Pradesh and others (1990) was overruled by Draupadi Devi and Others v. Union of India (UOI) and Others (2004).</t>
        </is>
      </c>
      <c r="AE450" s="2" t="n"/>
      <c r="AF450" s="11" t="inlineStr">
        <is>
          <t>created from list 1</t>
        </is>
      </c>
    </row>
    <row r="451">
      <c r="A451" s="11" t="inlineStr">
        <is>
          <t>L1-0450</t>
        </is>
      </c>
      <c r="B451" s="11" t="inlineStr">
        <is>
          <t>List 1 (to ~2015)</t>
        </is>
      </c>
      <c r="C451" s="11" t="inlineStr">
        <is>
          <t>list1</t>
        </is>
      </c>
      <c r="D451" s="11" t="inlineStr">
        <is>
          <t>verified</t>
        </is>
      </c>
      <c r="E451" s="11" t="inlineStr">
        <is>
          <t>overruled</t>
        </is>
      </c>
      <c r="F451" s="2" t="inlineStr">
        <is>
          <t>Tara Prasad Singh and Others v. Union of India (UOI) and Others</t>
        </is>
      </c>
      <c r="G451" s="11" t="inlineStr"/>
      <c r="H451" s="11" t="inlineStr">
        <is>
          <t>Supreme Court</t>
        </is>
      </c>
      <c r="I451" s="2" t="inlineStr">
        <is>
          <t>AIR 1980 SC 1682; (1980) 4 SCC 179; (1980) 3 SCR 1042</t>
        </is>
      </c>
      <c r="J451" s="11" t="n">
        <v>1980</v>
      </c>
      <c r="K451" s="2" t="inlineStr">
        <is>
          <t>Sanjeev Coke Manufacturing Company v. Bharat Coking Coal Limited and Another</t>
        </is>
      </c>
      <c r="L451" s="11" t="inlineStr">
        <is>
          <t>Supreme Court</t>
        </is>
      </c>
      <c r="M451" s="2" t="inlineStr">
        <is>
          <t>AIR 1983 SC 239; (1982) 2 SCALE 1193; (1983) 1 SCC 147; (1983) 1 SCR 1000</t>
        </is>
      </c>
      <c r="N451" s="11" t="n">
        <v>1983</v>
      </c>
      <c r="O451" s="11" t="n"/>
      <c r="P451" s="11" t="n"/>
      <c r="Q451" s="11" t="n"/>
      <c r="R451" s="2" t="n"/>
      <c r="S451" s="2" t="n"/>
      <c r="T451" s="11" t="inlineStr"/>
      <c r="U451" s="11" t="inlineStr"/>
      <c r="V451" s="11" t="inlineStr">
        <is>
          <t>outside_list</t>
        </is>
      </c>
      <c r="W451" s="11" t="n"/>
      <c r="X451" s="11" t="n"/>
      <c r="Y451" s="11" t="n"/>
      <c r="Z451" s="11" t="inlineStr">
        <is>
          <t>Mr. Advocate</t>
        </is>
      </c>
      <c r="AA451" s="11" t="inlineStr">
        <is>
          <t>2026-10-07</t>
        </is>
      </c>
      <c r="AB451" s="11" t="inlineStr">
        <is>
          <t>name_year</t>
        </is>
      </c>
      <c r="AC451" s="2" t="inlineStr"/>
      <c r="AD451" s="2" t="inlineStr">
        <is>
          <t>Tara Prasad Singh and Others v. Union of India (UOI) and Others (1980) was overruled by Sanjeev Coke Manufacturing Company v. Bharat Coking Coal Limited and Another (1983).</t>
        </is>
      </c>
      <c r="AE451" s="2" t="n"/>
      <c r="AF451" s="11" t="inlineStr">
        <is>
          <t>created from list 1</t>
        </is>
      </c>
    </row>
    <row r="452">
      <c r="A452" s="11" t="inlineStr">
        <is>
          <t>L1-0451</t>
        </is>
      </c>
      <c r="B452" s="11" t="inlineStr">
        <is>
          <t>List 1 (to ~2015)</t>
        </is>
      </c>
      <c r="C452" s="11" t="inlineStr">
        <is>
          <t>list1</t>
        </is>
      </c>
      <c r="D452" s="11" t="inlineStr">
        <is>
          <t>verified</t>
        </is>
      </c>
      <c r="E452" s="11" t="inlineStr">
        <is>
          <t>overruled</t>
        </is>
      </c>
      <c r="F452" s="2" t="inlineStr">
        <is>
          <t>V.M. Shah v. State of Maharashtra and another</t>
        </is>
      </c>
      <c r="G452" s="11" t="inlineStr"/>
      <c r="H452" s="11" t="inlineStr">
        <is>
          <t>Supreme Court</t>
        </is>
      </c>
      <c r="I452" s="2" t="inlineStr">
        <is>
          <t>AIR 1996 SC 339; AIR 1995 SC 339; (1996) 85 CompCas 465; (1995) 71 FLR 747; (1995) 6 JT 433; (1995) 5 SCALE 191; (1995) 5 SCC 767; (1995) 3 SCR 79 Supp</t>
        </is>
      </c>
      <c r="J452" s="11" t="n">
        <v>1996</v>
      </c>
      <c r="K452" s="2" t="inlineStr">
        <is>
          <t>K.G. Premshanker v. Inspector of Police and Another</t>
        </is>
      </c>
      <c r="L452" s="11" t="inlineStr">
        <is>
          <t>Supreme Court</t>
        </is>
      </c>
      <c r="M452" s="2" t="inlineStr">
        <is>
          <t>AIR 2002 SC 3372; (2002) CriLJ 4343; (2002) 4 Crimes 261; (2003) 3 CTC 503; (2002) 7 JT 30; (2002) 6 SCALE 371; (2002) 8 SCC 87; (2002) 2 SCR 350 Supp; (2002) 2 UJ 1334</t>
        </is>
      </c>
      <c r="N452" s="11" t="n">
        <v>2002</v>
      </c>
      <c r="O452" s="11" t="n"/>
      <c r="P452" s="11" t="n"/>
      <c r="Q452" s="11" t="n"/>
      <c r="R452" s="2" t="n"/>
      <c r="S452" s="2" t="n"/>
      <c r="T452" s="11" t="inlineStr"/>
      <c r="U452" s="11" t="inlineStr"/>
      <c r="V452" s="11" t="inlineStr">
        <is>
          <t>outside_list</t>
        </is>
      </c>
      <c r="W452" s="11" t="n"/>
      <c r="X452" s="11" t="n"/>
      <c r="Y452" s="11" t="n"/>
      <c r="Z452" s="11" t="inlineStr">
        <is>
          <t>Mr. Advocate</t>
        </is>
      </c>
      <c r="AA452" s="11" t="inlineStr">
        <is>
          <t>2026-10-07</t>
        </is>
      </c>
      <c r="AB452" s="11" t="inlineStr">
        <is>
          <t>citation</t>
        </is>
      </c>
      <c r="AC452" s="2" t="inlineStr"/>
      <c r="AD452" s="2" t="inlineStr">
        <is>
          <t>V.M. Shah v. State of Maharashtra and another (1996) was overruled by K.G. Premshanker v. Inspector of Police and Another (2002).</t>
        </is>
      </c>
      <c r="AE452" s="2" t="n"/>
      <c r="AF452" s="11" t="inlineStr">
        <is>
          <t>created from list 1</t>
        </is>
      </c>
    </row>
    <row r="453">
      <c r="A453" s="11" t="inlineStr">
        <is>
          <t>L1-0452</t>
        </is>
      </c>
      <c r="B453" s="11" t="inlineStr">
        <is>
          <t>List 1 (to ~2015)</t>
        </is>
      </c>
      <c r="C453" s="11" t="inlineStr">
        <is>
          <t>list1</t>
        </is>
      </c>
      <c r="D453" s="11" t="inlineStr">
        <is>
          <t>verified</t>
        </is>
      </c>
      <c r="E453" s="11" t="inlineStr">
        <is>
          <t>overruled</t>
        </is>
      </c>
      <c r="F453" s="2" t="inlineStr">
        <is>
          <t>Prem Chand Garg v. Excise Commissioner, U.P., Allahabad</t>
        </is>
      </c>
      <c r="G453" s="11" t="inlineStr"/>
      <c r="H453" s="11" t="inlineStr">
        <is>
          <t>Supreme Court</t>
        </is>
      </c>
      <c r="I453" s="2" t="inlineStr">
        <is>
          <t>AIR 1963 SC 996; (1963) 1 SCR 885 Supp</t>
        </is>
      </c>
      <c r="J453" s="11" t="n">
        <v>1963</v>
      </c>
      <c r="K453" s="2" t="inlineStr">
        <is>
          <t>In re: Vinay Chandra Mishra (the alleged contemner)</t>
        </is>
      </c>
      <c r="L453" s="11" t="inlineStr">
        <is>
          <t>Supreme Court</t>
        </is>
      </c>
      <c r="M453" s="2" t="inlineStr">
        <is>
          <t>AIR 1995 SC 2348; (1995) CriLJ 3994; (1995) 2 JT 587; (1995) 6 SCALE 619; (1995) 3 SCALE 1; (1995) 2 SCALE 201; (1995) 2 SCALE 200; (1995) 2 SCC 584; (1995) 2 SCR 638; (1995) 2 UJ 93</t>
        </is>
      </c>
      <c r="N453" s="11" t="n">
        <v>1995</v>
      </c>
      <c r="O453" s="11" t="n"/>
      <c r="P453" s="11" t="n"/>
      <c r="Q453" s="11" t="n"/>
      <c r="R453" s="2" t="n"/>
      <c r="S453" s="2" t="n"/>
      <c r="T453" s="11" t="inlineStr"/>
      <c r="U453" s="11" t="inlineStr"/>
      <c r="V453" s="11" t="inlineStr">
        <is>
          <t>outside_list</t>
        </is>
      </c>
      <c r="W453" s="11" t="n"/>
      <c r="X453" s="11" t="n"/>
      <c r="Y453" s="11" t="n"/>
      <c r="Z453" s="11" t="inlineStr">
        <is>
          <t>Mr. Advocate</t>
        </is>
      </c>
      <c r="AA453" s="11" t="inlineStr">
        <is>
          <t>2026-10-07</t>
        </is>
      </c>
      <c r="AB453" s="11" t="inlineStr">
        <is>
          <t>name_year</t>
        </is>
      </c>
      <c r="AC453" s="2" t="inlineStr"/>
      <c r="AD453" s="2" t="inlineStr">
        <is>
          <t>Prem Chand Garg v. Excise Commissioner, U.P., Allahabad (1963) was overruled by In re: Vinay Chandra Mishra (the alleged contemner) (1995).</t>
        </is>
      </c>
      <c r="AE453" s="2" t="n"/>
      <c r="AF453" s="11" t="inlineStr">
        <is>
          <t>created from list 1</t>
        </is>
      </c>
    </row>
    <row r="454">
      <c r="A454" s="11" t="inlineStr">
        <is>
          <t>L1-0453</t>
        </is>
      </c>
      <c r="B454" s="11" t="inlineStr">
        <is>
          <t>List 1 (to ~2015)</t>
        </is>
      </c>
      <c r="C454" s="11" t="inlineStr">
        <is>
          <t>list1</t>
        </is>
      </c>
      <c r="D454" s="11" t="inlineStr">
        <is>
          <t>verified</t>
        </is>
      </c>
      <c r="E454" s="11" t="inlineStr">
        <is>
          <t>overruled</t>
        </is>
      </c>
      <c r="F454" s="2" t="inlineStr">
        <is>
          <t>S.P. Gupta v. President of India and Others</t>
        </is>
      </c>
      <c r="G454" s="11" t="inlineStr"/>
      <c r="H454" s="11" t="inlineStr">
        <is>
          <t>Supreme Court</t>
        </is>
      </c>
      <c r="I454" s="2" t="inlineStr">
        <is>
          <t>AIR 1982 SC 149; (1981) 1 SCC 87 Supp; (1982) 2 SCR 365</t>
        </is>
      </c>
      <c r="J454" s="11" t="n">
        <v>1982</v>
      </c>
      <c r="K454" s="2" t="inlineStr">
        <is>
          <t>Supreme Court Advocates-on-Record Association and another v. Union of India</t>
        </is>
      </c>
      <c r="L454" s="11" t="inlineStr">
        <is>
          <t>Supreme Court</t>
        </is>
      </c>
      <c r="M454" s="2" t="inlineStr">
        <is>
          <t>AIR 1994 SC 268; (1993) 5 JT 497; (1993) 4 SCC 441; (1993) 2 SCR 659 Supp</t>
        </is>
      </c>
      <c r="N454" s="11" t="n">
        <v>1994</v>
      </c>
      <c r="O454" s="11" t="n"/>
      <c r="P454" s="11" t="n"/>
      <c r="Q454" s="11" t="n"/>
      <c r="R454" s="2" t="n"/>
      <c r="S454" s="2" t="n"/>
      <c r="T454" s="11" t="inlineStr"/>
      <c r="U454" s="11" t="inlineStr"/>
      <c r="V454" s="11" t="inlineStr">
        <is>
          <t>outside_list</t>
        </is>
      </c>
      <c r="W454" s="11" t="n"/>
      <c r="X454" s="11" t="n"/>
      <c r="Y454" s="11" t="n"/>
      <c r="Z454" s="11" t="inlineStr">
        <is>
          <t>Mr. Advocate</t>
        </is>
      </c>
      <c r="AA454" s="11" t="inlineStr">
        <is>
          <t>2026-10-07</t>
        </is>
      </c>
      <c r="AB454" s="11" t="inlineStr">
        <is>
          <t>name_year</t>
        </is>
      </c>
      <c r="AC454" s="2" t="inlineStr"/>
      <c r="AD454" s="2" t="inlineStr">
        <is>
          <t>S.P. Gupta v. President of India and Others (1982) was overruled by Supreme Court Advocates-on-Record Association and another v. Union of India (1994).</t>
        </is>
      </c>
      <c r="AE454" s="2" t="n"/>
      <c r="AF454" s="11" t="inlineStr">
        <is>
          <t>created from list 1</t>
        </is>
      </c>
    </row>
    <row r="455">
      <c r="A455" s="11" t="inlineStr">
        <is>
          <t>L1-0454</t>
        </is>
      </c>
      <c r="B455" s="11" t="inlineStr">
        <is>
          <t>List 1 (to ~2015)</t>
        </is>
      </c>
      <c r="C455" s="11" t="inlineStr">
        <is>
          <t>list1</t>
        </is>
      </c>
      <c r="D455" s="11" t="inlineStr">
        <is>
          <t>verified</t>
        </is>
      </c>
      <c r="E455" s="11" t="inlineStr">
        <is>
          <t>overruled</t>
        </is>
      </c>
      <c r="F455" s="2" t="inlineStr">
        <is>
          <t>P.J. Irani v. The State of Madras</t>
        </is>
      </c>
      <c r="G455" s="11" t="inlineStr"/>
      <c r="H455" s="11" t="inlineStr">
        <is>
          <t>Supreme Court</t>
        </is>
      </c>
      <c r="I455" s="2" t="inlineStr">
        <is>
          <t>AIR 1961 SC 1731; (1962) 2 SCR 169</t>
        </is>
      </c>
      <c r="J455" s="11" t="n">
        <v>1961</v>
      </c>
      <c r="K455" s="2" t="inlineStr">
        <is>
          <t>Kesho Ram and Co. and Others etc. v. Union of India (UOI) and Others</t>
        </is>
      </c>
      <c r="L455" s="11" t="inlineStr">
        <is>
          <t>Supreme Court</t>
        </is>
      </c>
      <c r="M455" s="2" t="inlineStr">
        <is>
          <t>(1989) 1 JT 203 Supp; (1989) JT 203 Supp; (1989) 96 PLR 1; (1989) 1 SCALE 1421; (1989) 3 SCC 151; (1989) 2 SCR 1005</t>
        </is>
      </c>
      <c r="N455" s="11" t="n">
        <v>1989</v>
      </c>
      <c r="O455" s="11" t="n"/>
      <c r="P455" s="11" t="n"/>
      <c r="Q455" s="11" t="n"/>
      <c r="R455" s="2" t="n"/>
      <c r="S455" s="2" t="n"/>
      <c r="T455" s="11" t="inlineStr"/>
      <c r="U455" s="11" t="inlineStr"/>
      <c r="V455" s="11" t="inlineStr">
        <is>
          <t>outside_list</t>
        </is>
      </c>
      <c r="W455" s="11" t="n"/>
      <c r="X455" s="11" t="n"/>
      <c r="Y455" s="11" t="n"/>
      <c r="Z455" s="11" t="inlineStr">
        <is>
          <t>Mr. Advocate</t>
        </is>
      </c>
      <c r="AA455" s="11" t="inlineStr">
        <is>
          <t>2026-10-07</t>
        </is>
      </c>
      <c r="AB455" s="11" t="inlineStr">
        <is>
          <t>name_year</t>
        </is>
      </c>
      <c r="AC455" s="2" t="inlineStr">
        <is>
          <t>L1-0631: overruled by Shri Kishan @ Krishan Kumar v. Manoj Kumar Etc. Etc. (1998)</t>
        </is>
      </c>
      <c r="AD455" s="2" t="inlineStr">
        <is>
          <t>P.J. Irani v. The State of Madras (1961)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c r="AE455" s="2" t="n"/>
      <c r="AF455" s="11" t="inlineStr">
        <is>
          <t>created from list 1</t>
        </is>
      </c>
    </row>
    <row r="456">
      <c r="A456" s="11" t="inlineStr">
        <is>
          <t>L1-0455</t>
        </is>
      </c>
      <c r="B456" s="11" t="inlineStr">
        <is>
          <t>List 1 (to ~2015)</t>
        </is>
      </c>
      <c r="C456" s="11" t="inlineStr">
        <is>
          <t>list1</t>
        </is>
      </c>
      <c r="D456" s="11" t="inlineStr">
        <is>
          <t>verified</t>
        </is>
      </c>
      <c r="E456" s="11" t="inlineStr">
        <is>
          <t>overruled</t>
        </is>
      </c>
      <c r="F456" s="2" t="inlineStr">
        <is>
          <t>Kasturi Lal Lakshmi Reddy, Represented by its Partner Shri Kasturi Lal, Jammu and Others v. State of Jammu and Kashmir and Another</t>
        </is>
      </c>
      <c r="G456" s="11" t="inlineStr"/>
      <c r="H456" s="11" t="inlineStr">
        <is>
          <t>Supreme Court</t>
        </is>
      </c>
      <c r="I456" s="2" t="inlineStr">
        <is>
          <t>AIR 1980 SC 1992; (1980) 4 SCC 1; (1980) 3 SCR 1338</t>
        </is>
      </c>
      <c r="J456" s="11" t="n">
        <v>1980</v>
      </c>
      <c r="K456" s="2" t="inlineStr">
        <is>
          <t>Universal Radiators, Coimbatore v. Commissioner of Income Tax, Tamil Nadu</t>
        </is>
      </c>
      <c r="L456" s="11" t="inlineStr">
        <is>
          <t>Supreme Court</t>
        </is>
      </c>
      <c r="M456" s="2" t="inlineStr">
        <is>
          <t>AIR 1993 SC 2254; (1993) 112 CTR 61; (1993) 201 ITR 800; (1993) 3 JT 150; (1993) 2 SCALE 393; (1993) 2 SCC 629; (1993) 2 SCR 775; (1993) 68 TAXMAN 45</t>
        </is>
      </c>
      <c r="N456" s="11" t="n">
        <v>1993</v>
      </c>
      <c r="O456" s="11" t="n"/>
      <c r="P456" s="11" t="n"/>
      <c r="Q456" s="11" t="n"/>
      <c r="R456" s="2" t="n"/>
      <c r="S456" s="2" t="n"/>
      <c r="T456" s="11" t="inlineStr"/>
      <c r="U456" s="11" t="inlineStr"/>
      <c r="V456" s="11" t="inlineStr">
        <is>
          <t>outside_list</t>
        </is>
      </c>
      <c r="W456" s="11" t="n"/>
      <c r="X456" s="11" t="n"/>
      <c r="Y456" s="11" t="n"/>
      <c r="Z456" s="11" t="inlineStr">
        <is>
          <t>Mr. Advocate</t>
        </is>
      </c>
      <c r="AA456" s="11" t="inlineStr">
        <is>
          <t>2026-10-07</t>
        </is>
      </c>
      <c r="AB456" s="11" t="inlineStr">
        <is>
          <t>name_year</t>
        </is>
      </c>
      <c r="AC456" s="2" t="inlineStr"/>
      <c r="AD456" s="2" t="inlineStr">
        <is>
          <t>Kasturi Lal Lakshmi Reddy, Represented by its Partner Shri Kasturi Lal, Jammu and Others v. State of Jammu and Kashmir and Another (1980) was overruled by Universal Radiators, Coimbatore v. Commissioner of Income Tax, Tamil Nadu (1993).</t>
        </is>
      </c>
      <c r="AE456" s="2" t="n"/>
      <c r="AF456" s="11" t="inlineStr">
        <is>
          <t>created from list 1</t>
        </is>
      </c>
    </row>
    <row r="457">
      <c r="A457" s="11" t="inlineStr">
        <is>
          <t>L1-0456</t>
        </is>
      </c>
      <c r="B457" s="11" t="inlineStr">
        <is>
          <t>List 1 (to ~2015)</t>
        </is>
      </c>
      <c r="C457" s="11" t="inlineStr">
        <is>
          <t>list1</t>
        </is>
      </c>
      <c r="D457" s="11" t="inlineStr">
        <is>
          <t>verified</t>
        </is>
      </c>
      <c r="E457" s="11" t="inlineStr">
        <is>
          <t>overruled</t>
        </is>
      </c>
      <c r="F457" s="2" t="inlineStr">
        <is>
          <t>United India Insurance Co. Ltd. v. Bhushan Sachdeva and Others</t>
        </is>
      </c>
      <c r="G457" s="11" t="inlineStr"/>
      <c r="H457" s="11" t="inlineStr">
        <is>
          <t>Supreme Court</t>
        </is>
      </c>
      <c r="I457" s="2" t="inlineStr">
        <is>
          <t>(2002) 1 ACC 333; (2002) ACJ 333; AIR 2002 SC 662; (2002) 110 CompCas 15; (2002) 1 JT 207; (2002) 1 SCALE 223; (2002) 2 SCC 265; (2002) 1 SCR 352; (2002) 1 UJ 375; (2002) AIRSCW 273; (2002) 1 Supreme 177</t>
        </is>
      </c>
      <c r="J457" s="11" t="n">
        <v>2002</v>
      </c>
      <c r="K457" s="2" t="inlineStr">
        <is>
          <t>National Insurance Co. Ltd., Chandigarh v. Nicolletta Rohtagi and Others</t>
        </is>
      </c>
      <c r="L457" s="11" t="inlineStr">
        <is>
          <t>Supreme Court</t>
        </is>
      </c>
      <c r="M457" s="2" t="inlineStr">
        <is>
          <t>(2002) ACJ 1950; AIR 2002 SC 3350; (2003) 95 CLT 157; (2002) 112 CompCas 257; (2002) 7 JT 251; (2002) 3 PLR 621; (2002) 6 SCALE 569; (2002) 7 SCC 456; (2002) 2 SCR 456 Supp</t>
        </is>
      </c>
      <c r="N457" s="11" t="n">
        <v>2002</v>
      </c>
      <c r="O457" s="11" t="n"/>
      <c r="P457" s="11" t="n"/>
      <c r="Q457" s="11" t="n"/>
      <c r="R457" s="2" t="n"/>
      <c r="S457" s="2" t="n"/>
      <c r="T457" s="11" t="inlineStr"/>
      <c r="U457" s="11" t="inlineStr"/>
      <c r="V457" s="11" t="inlineStr">
        <is>
          <t>outside_list</t>
        </is>
      </c>
      <c r="W457" s="11" t="n"/>
      <c r="X457" s="11" t="n"/>
      <c r="Y457" s="11" t="n"/>
      <c r="Z457" s="11" t="inlineStr">
        <is>
          <t>Mr. Advocate</t>
        </is>
      </c>
      <c r="AA457" s="11" t="inlineStr">
        <is>
          <t>2026-10-07</t>
        </is>
      </c>
      <c r="AB457" s="11" t="inlineStr">
        <is>
          <t>name_year</t>
        </is>
      </c>
      <c r="AC457" s="2" t="inlineStr"/>
      <c r="AD457" s="2" t="inlineStr">
        <is>
          <t>United India Insurance Co. Ltd. v. Bhushan Sachdeva and Others (2002) was overruled by National Insurance Co. Ltd., Chandigarh v. Nicolletta Rohtagi and Others (2002).</t>
        </is>
      </c>
      <c r="AE457" s="2" t="n"/>
      <c r="AF457" s="11" t="inlineStr">
        <is>
          <t>created from list 1</t>
        </is>
      </c>
    </row>
    <row r="458">
      <c r="A458" s="11" t="inlineStr">
        <is>
          <t>L1-0457</t>
        </is>
      </c>
      <c r="B458" s="11" t="inlineStr">
        <is>
          <t>List 1 (to ~2015)</t>
        </is>
      </c>
      <c r="C458" s="11" t="inlineStr">
        <is>
          <t>list1</t>
        </is>
      </c>
      <c r="D458" s="11" t="inlineStr">
        <is>
          <t>verified</t>
        </is>
      </c>
      <c r="E458" s="11" t="inlineStr">
        <is>
          <t>overruled</t>
        </is>
      </c>
      <c r="F458" s="2" t="inlineStr">
        <is>
          <t>The Dhanrajgirji Hospital v. The Workmen</t>
        </is>
      </c>
      <c r="G458" s="11" t="inlineStr"/>
      <c r="H458" s="11" t="inlineStr">
        <is>
          <t>Supreme Court</t>
        </is>
      </c>
      <c r="I458" s="2" t="inlineStr">
        <is>
          <t>AIR 1975 SC 2032; (1975) 31 FLR 301; (1975) LabIC 1488; (1975) 2 LLJ 409; (1975) 4 SCC 621; (1975) 7 UJ 707</t>
        </is>
      </c>
      <c r="J458" s="11" t="n">
        <v>1975</v>
      </c>
      <c r="K458" s="2" t="inlineStr">
        <is>
          <t>Bangalore Water Supply and Sewerage Board v. A. Rajappa and Others</t>
        </is>
      </c>
      <c r="L458" s="11" t="inlineStr">
        <is>
          <t>Supreme Court</t>
        </is>
      </c>
      <c r="M458" s="2" t="inlineStr">
        <is>
          <t>AIR 1978 SC 969; AIR 1978 SC 548; (1978) 36 FLR 266; (1978) 2 LLJ 73; (1978) 1 LLJ 349; (1978) 2 SCC 213; (1978) 3 SCR 207</t>
        </is>
      </c>
      <c r="N458" s="11" t="n">
        <v>1978</v>
      </c>
      <c r="O458" s="11" t="n"/>
      <c r="P458" s="11" t="n"/>
      <c r="Q458" s="11" t="n"/>
      <c r="R458" s="2" t="n"/>
      <c r="S458" s="2" t="n"/>
      <c r="T458" s="11" t="inlineStr"/>
      <c r="U458" s="11" t="inlineStr"/>
      <c r="V458" s="11" t="inlineStr">
        <is>
          <t>outside_list</t>
        </is>
      </c>
      <c r="W458" s="11" t="n"/>
      <c r="X458" s="11" t="n"/>
      <c r="Y458" s="11" t="n"/>
      <c r="Z458" s="11" t="inlineStr">
        <is>
          <t>Mr. Advocate</t>
        </is>
      </c>
      <c r="AA458" s="11" t="inlineStr">
        <is>
          <t>2026-10-07</t>
        </is>
      </c>
      <c r="AB458" s="11" t="inlineStr">
        <is>
          <t>name_year</t>
        </is>
      </c>
      <c r="AC458" s="2" t="inlineStr"/>
      <c r="AD458" s="2" t="inlineStr">
        <is>
          <t>The Dhanrajgirji Hospital v. The Workmen (1975) was overruled by Bangalore Water Supply and Sewerage Board v. A. Rajappa and Others (1978).</t>
        </is>
      </c>
      <c r="AE458" s="2" t="n"/>
      <c r="AF458" s="11" t="inlineStr">
        <is>
          <t>created from list 1</t>
        </is>
      </c>
    </row>
    <row r="459">
      <c r="A459" s="11" t="inlineStr">
        <is>
          <t>L1-0458</t>
        </is>
      </c>
      <c r="B459" s="11" t="inlineStr">
        <is>
          <t>List 1 (to ~2015)</t>
        </is>
      </c>
      <c r="C459" s="11" t="inlineStr">
        <is>
          <t>list1</t>
        </is>
      </c>
      <c r="D459" s="11" t="inlineStr">
        <is>
          <t>verified</t>
        </is>
      </c>
      <c r="E459" s="11" t="inlineStr">
        <is>
          <t>overruled</t>
        </is>
      </c>
      <c r="F459" s="2" t="inlineStr">
        <is>
          <t>State of Orissa and others v. Mahanadi Coalfields Ltd. and others</t>
        </is>
      </c>
      <c r="G459" s="11" t="inlineStr"/>
      <c r="H459" s="11" t="inlineStr">
        <is>
          <t>Supreme Court</t>
        </is>
      </c>
      <c r="I459" s="2" t="inlineStr">
        <is>
          <t>AIR 1995 SC 1868; (1995) 3 JT 662; (1996) 4 SCALE 229; (1995) 2 SCALE 900; (1995) 2 SCC 686 Supp; (1995) 3 SCR 639</t>
        </is>
      </c>
      <c r="J459" s="11" t="n">
        <v>1995</v>
      </c>
      <c r="K459" s="2" t="inlineStr">
        <is>
          <t>The State of West Bengal v. Kesoram Industries Ltd. and Others</t>
        </is>
      </c>
      <c r="L459" s="11" t="inlineStr">
        <is>
          <t>Supreme Court</t>
        </is>
      </c>
      <c r="M459" s="2" t="inlineStr">
        <is>
          <t>(2004) 187 CTR 219; (2004) 266 ITR 721; (2004) 1 JT 375; (2004) 1 SCALE 425; (2004) 10 SCC 201; (2004) 2 SCR 564</t>
        </is>
      </c>
      <c r="N459" s="11" t="n">
        <v>2004</v>
      </c>
      <c r="O459" s="11" t="n"/>
      <c r="P459" s="11" t="n"/>
      <c r="Q459" s="11" t="n"/>
      <c r="R459" s="2" t="n"/>
      <c r="S459" s="2" t="n"/>
      <c r="T459" s="11" t="inlineStr"/>
      <c r="U459" s="11" t="inlineStr"/>
      <c r="V459" s="11" t="inlineStr">
        <is>
          <t>outside_list</t>
        </is>
      </c>
      <c r="W459" s="11" t="n"/>
      <c r="X459" s="11" t="n"/>
      <c r="Y459" s="11" t="n"/>
      <c r="Z459" s="11" t="inlineStr">
        <is>
          <t>Mr. Advocate</t>
        </is>
      </c>
      <c r="AA459" s="11" t="inlineStr">
        <is>
          <t>2026-10-07</t>
        </is>
      </c>
      <c r="AB459" s="11" t="inlineStr">
        <is>
          <t>name_year</t>
        </is>
      </c>
      <c r="AC459" s="2" t="inlineStr"/>
      <c r="AD459" s="2" t="inlineStr">
        <is>
          <t>State of Orissa and others v. Mahanadi Coalfields Ltd. and others (1995) was overruled by The State of West Bengal v. Kesoram Industries Ltd. and Others (2004).</t>
        </is>
      </c>
      <c r="AE459" s="2" t="n"/>
      <c r="AF459" s="11" t="inlineStr">
        <is>
          <t>created from list 1</t>
        </is>
      </c>
    </row>
    <row r="460">
      <c r="A460" s="11" t="inlineStr">
        <is>
          <t>L1-0459</t>
        </is>
      </c>
      <c r="B460" s="11" t="inlineStr">
        <is>
          <t>List 1 (to ~2015)</t>
        </is>
      </c>
      <c r="C460" s="11" t="inlineStr">
        <is>
          <t>list1</t>
        </is>
      </c>
      <c r="D460" s="11" t="inlineStr">
        <is>
          <t>verified</t>
        </is>
      </c>
      <c r="E460" s="11" t="inlineStr">
        <is>
          <t>overruled</t>
        </is>
      </c>
      <c r="F460" s="2" t="inlineStr">
        <is>
          <t>Nand Kishore Marwah and Others v. Samundri Devi</t>
        </is>
      </c>
      <c r="G460" s="11" t="inlineStr"/>
      <c r="H460" s="11" t="inlineStr">
        <is>
          <t>Supreme Court</t>
        </is>
      </c>
      <c r="I460" s="2" t="inlineStr">
        <is>
          <t>AIR 1987 SC 2284; (1987) 3 JT 590; (1987) 2 SCALE 555; (1987) 4 SCC 382; (1988) 1 SCR 158</t>
        </is>
      </c>
      <c r="J460" s="11" t="n">
        <v>1987</v>
      </c>
      <c r="K460" s="2" t="inlineStr">
        <is>
          <t>Shri Kishan @ Krishan Kumar v. Manoj Kumar Etc. Etc.</t>
        </is>
      </c>
      <c r="L460" s="11" t="inlineStr">
        <is>
          <t>Supreme Court</t>
        </is>
      </c>
      <c r="M460" s="2" t="inlineStr">
        <is>
          <t>(1998) 2 AD 162; AIR 1998 SC 999; (1998) 2 CTC 37; (1998) 1 JT 633; (1998) 118 PLR 593; (1998) 1 SCALE 582; (1998) 2 SCC 710; (1998) 1 SCR 830; (1998) AIRSCW 769; (1998) 2 Supreme 478</t>
        </is>
      </c>
      <c r="N460" s="11" t="n">
        <v>1998</v>
      </c>
      <c r="O460" s="11" t="n"/>
      <c r="P460" s="11" t="n"/>
      <c r="Q460" s="11" t="n"/>
      <c r="R460" s="2" t="n"/>
      <c r="S460" s="2" t="n"/>
      <c r="T460" s="11" t="inlineStr"/>
      <c r="U460" s="11" t="inlineStr"/>
      <c r="V460" s="11" t="inlineStr">
        <is>
          <t>outside_list</t>
        </is>
      </c>
      <c r="W460" s="11" t="n"/>
      <c r="X460" s="11" t="n"/>
      <c r="Y460" s="11" t="n"/>
      <c r="Z460" s="11" t="inlineStr">
        <is>
          <t>Mr. Advocate</t>
        </is>
      </c>
      <c r="AA460" s="11" t="inlineStr">
        <is>
          <t>2026-10-07</t>
        </is>
      </c>
      <c r="AB460" s="11" t="inlineStr">
        <is>
          <t>name_year</t>
        </is>
      </c>
      <c r="AC460" s="2" t="inlineStr"/>
      <c r="AD460" s="2" t="inlineStr">
        <is>
          <t>Nand Kishore Marwah and Others v. Samundri Devi (1987) was overruled by Shri Kishan @ Krishan Kumar v. Manoj Kumar Etc. Etc. (1998).</t>
        </is>
      </c>
      <c r="AE460" s="2" t="n"/>
      <c r="AF460" s="11" t="inlineStr">
        <is>
          <t>created from list 1</t>
        </is>
      </c>
    </row>
    <row r="461">
      <c r="A461" s="11" t="inlineStr">
        <is>
          <t>L1-0460</t>
        </is>
      </c>
      <c r="B461" s="11" t="inlineStr">
        <is>
          <t>List 1 (to ~2015)</t>
        </is>
      </c>
      <c r="C461" s="11" t="inlineStr">
        <is>
          <t>list1</t>
        </is>
      </c>
      <c r="D461" s="11" t="inlineStr">
        <is>
          <t>verified</t>
        </is>
      </c>
      <c r="E461" s="11" t="inlineStr">
        <is>
          <t>overruled</t>
        </is>
      </c>
      <c r="F461" s="2" t="inlineStr">
        <is>
          <t>Rameshwar Lal Patwari v. State of Bihar</t>
        </is>
      </c>
      <c r="G461" s="11" t="inlineStr"/>
      <c r="H461" s="11" t="inlineStr">
        <is>
          <t>Supreme Court</t>
        </is>
      </c>
      <c r="I461" s="2" t="inlineStr">
        <is>
          <t>AIR 1968 SC 1303; (1968) 2 SCR 505</t>
        </is>
      </c>
      <c r="J461" s="11" t="n">
        <v>1968</v>
      </c>
      <c r="K461" s="2" t="inlineStr">
        <is>
          <t>Motilal Jain v. State of Bihar and Others</t>
        </is>
      </c>
      <c r="L461" s="11" t="inlineStr">
        <is>
          <t>Supreme Court</t>
        </is>
      </c>
      <c r="M461" s="2" t="inlineStr">
        <is>
          <t>AIR 1968 SC 1509; (1969) CriLJ 33; (1968) 3 SCR 587</t>
        </is>
      </c>
      <c r="N461" s="11" t="n">
        <v>1968</v>
      </c>
      <c r="O461" s="11" t="n"/>
      <c r="P461" s="11" t="n"/>
      <c r="Q461" s="11" t="n"/>
      <c r="R461" s="2" t="n"/>
      <c r="S461" s="2" t="n"/>
      <c r="T461" s="11" t="inlineStr"/>
      <c r="U461" s="11" t="inlineStr"/>
      <c r="V461" s="11" t="inlineStr">
        <is>
          <t>outside_list</t>
        </is>
      </c>
      <c r="W461" s="11" t="n"/>
      <c r="X461" s="11" t="n"/>
      <c r="Y461" s="11" t="n"/>
      <c r="Z461" s="11" t="inlineStr">
        <is>
          <t>Mr. Advocate</t>
        </is>
      </c>
      <c r="AA461" s="11" t="inlineStr">
        <is>
          <t>2026-10-07</t>
        </is>
      </c>
      <c r="AB461" s="11" t="inlineStr">
        <is>
          <t>name_year</t>
        </is>
      </c>
      <c r="AC461" s="2" t="inlineStr"/>
      <c r="AD461" s="2" t="inlineStr">
        <is>
          <t>Rameshwar Lal Patwari v. State of Bihar (1968) was overruled by Motilal Jain v. State of Bihar and Others (1968).</t>
        </is>
      </c>
      <c r="AE461" s="2" t="n"/>
      <c r="AF461" s="11" t="inlineStr">
        <is>
          <t>created from list 1</t>
        </is>
      </c>
    </row>
    <row r="462">
      <c r="A462" s="11" t="inlineStr">
        <is>
          <t>L1-0461</t>
        </is>
      </c>
      <c r="B462" s="11" t="inlineStr">
        <is>
          <t>List 1 (to ~2015)</t>
        </is>
      </c>
      <c r="C462" s="11" t="inlineStr">
        <is>
          <t>list1</t>
        </is>
      </c>
      <c r="D462" s="11" t="inlineStr">
        <is>
          <t>verified</t>
        </is>
      </c>
      <c r="E462" s="11" t="inlineStr">
        <is>
          <t>overruled</t>
        </is>
      </c>
      <c r="F462" s="2" t="inlineStr">
        <is>
          <t>Jogta Coal Co. Ltd. v. Commissioner of Income Tax, West Bengal</t>
        </is>
      </c>
      <c r="G462" s="11" t="inlineStr"/>
      <c r="H462" s="11" t="inlineStr">
        <is>
          <t>Supreme Court</t>
        </is>
      </c>
      <c r="I462" s="2" t="inlineStr">
        <is>
          <t>AIR 1959 SC 1232; (1959) 36 ITR 521</t>
        </is>
      </c>
      <c r="J462" s="11" t="n">
        <v>1959</v>
      </c>
      <c r="K462" s="2" t="inlineStr">
        <is>
          <t>Mafatlal Industries Ltd. and Others v. Union of India (UOI) and Others</t>
        </is>
      </c>
      <c r="L462" s="11" t="inlineStr">
        <is>
          <t>Supreme Court</t>
        </is>
      </c>
      <c r="M462" s="2" t="inlineStr">
        <is>
          <t>(2002) 83 ECC 85; (1997) 68 ECR 273; (1997) 89 ELT 247; (1996) 11 JT 283; (1996) 9 SCALE 457; (1997) 5 SCC 536; (1996) 10 SCR 585 Supp; (1998) 111 STC 467</t>
        </is>
      </c>
      <c r="N462" s="11" t="n">
        <v>1996</v>
      </c>
      <c r="O462" s="11" t="n"/>
      <c r="P462" s="11" t="n"/>
      <c r="Q462" s="11" t="n"/>
      <c r="R462" s="2" t="n"/>
      <c r="S462" s="2" t="n"/>
      <c r="T462" s="11" t="inlineStr"/>
      <c r="U462" s="11" t="inlineStr"/>
      <c r="V462" s="11" t="inlineStr">
        <is>
          <t>outside_list</t>
        </is>
      </c>
      <c r="W462" s="11" t="n"/>
      <c r="X462" s="11" t="n"/>
      <c r="Y462" s="11" t="n"/>
      <c r="Z462" s="11" t="inlineStr">
        <is>
          <t>Mr. Advocate</t>
        </is>
      </c>
      <c r="AA462" s="11" t="inlineStr">
        <is>
          <t>2026-10-07</t>
        </is>
      </c>
      <c r="AB462" s="11" t="inlineStr">
        <is>
          <t>name_year</t>
        </is>
      </c>
      <c r="AC462" s="2" t="inlineStr"/>
      <c r="AD462" s="2" t="inlineStr">
        <is>
          <t>Jogta Coal Co. Ltd. v. Commissioner of Income Tax, West Bengal (1959) was overruled by Mafatlal Industries Ltd. and Others v. Union of India (UOI) and Others (1996).</t>
        </is>
      </c>
      <c r="AE462" s="2" t="n"/>
      <c r="AF462" s="11" t="inlineStr">
        <is>
          <t>created from list 1</t>
        </is>
      </c>
    </row>
    <row r="463">
      <c r="A463" s="11" t="inlineStr">
        <is>
          <t>L1-0462</t>
        </is>
      </c>
      <c r="B463" s="11" t="inlineStr">
        <is>
          <t>List 1 (to ~2015)</t>
        </is>
      </c>
      <c r="C463" s="11" t="inlineStr">
        <is>
          <t>list1</t>
        </is>
      </c>
      <c r="D463" s="11" t="inlineStr">
        <is>
          <t>verified</t>
        </is>
      </c>
      <c r="E463" s="11" t="inlineStr">
        <is>
          <t>overruled</t>
        </is>
      </c>
      <c r="F463" s="2" t="inlineStr">
        <is>
          <t>The Automobile Transport (Rajasthan) Ltd. v. The State of Rajasthan and Others</t>
        </is>
      </c>
      <c r="G463" s="11" t="inlineStr"/>
      <c r="H463" s="11" t="inlineStr">
        <is>
          <t>Supreme Court</t>
        </is>
      </c>
      <c r="I463" s="2" t="inlineStr">
        <is>
          <t>AIR 1962 SC 1406; (1963) 1 SCR 491</t>
        </is>
      </c>
      <c r="J463" s="11" t="n">
        <v>1962</v>
      </c>
      <c r="K463" s="2" t="inlineStr">
        <is>
          <t>Abdul Mateen v. Ram Kailash Pandey and Others</t>
        </is>
      </c>
      <c r="L463" s="11" t="inlineStr">
        <is>
          <t>Supreme Court</t>
        </is>
      </c>
      <c r="M463" s="2" t="inlineStr">
        <is>
          <t>AIR 1965 SC 64; (1963) 3 SCR 523</t>
        </is>
      </c>
      <c r="N463" s="11" t="n">
        <v>1965</v>
      </c>
      <c r="O463" s="11" t="n"/>
      <c r="P463" s="11" t="n"/>
      <c r="Q463" s="11" t="n"/>
      <c r="R463" s="2" t="n"/>
      <c r="S463" s="2" t="n"/>
      <c r="T463" s="11" t="inlineStr"/>
      <c r="U463" s="11" t="inlineStr"/>
      <c r="V463" s="11" t="inlineStr">
        <is>
          <t>outside_list</t>
        </is>
      </c>
      <c r="W463" s="11" t="n"/>
      <c r="X463" s="11" t="n"/>
      <c r="Y463" s="11" t="n"/>
      <c r="Z463" s="11" t="inlineStr">
        <is>
          <t>Mr. Advocate</t>
        </is>
      </c>
      <c r="AA463" s="11" t="inlineStr">
        <is>
          <t>2026-10-07</t>
        </is>
      </c>
      <c r="AB463" s="11" t="inlineStr">
        <is>
          <t>name_year</t>
        </is>
      </c>
      <c r="AC463" s="2" t="inlineStr"/>
      <c r="AD463" s="2" t="inlineStr">
        <is>
          <t>The Automobile Transport (Rajasthan) Ltd. v. The State of Rajasthan and Others (1962) was overruled by Abdul Mateen v. Ram Kailash Pandey and Others (1965).</t>
        </is>
      </c>
      <c r="AE463" s="2" t="n"/>
      <c r="AF463" s="11" t="inlineStr">
        <is>
          <t>created from list 1</t>
        </is>
      </c>
    </row>
    <row r="464">
      <c r="A464" s="11" t="inlineStr">
        <is>
          <t>L1-0463</t>
        </is>
      </c>
      <c r="B464" s="11" t="inlineStr">
        <is>
          <t>List 1 (to ~2015)</t>
        </is>
      </c>
      <c r="C464" s="11" t="inlineStr">
        <is>
          <t>list1</t>
        </is>
      </c>
      <c r="D464" s="11" t="inlineStr">
        <is>
          <t>verified</t>
        </is>
      </c>
      <c r="E464" s="11" t="inlineStr">
        <is>
          <t>disputed_listing</t>
        </is>
      </c>
      <c r="F464" s="2" t="inlineStr">
        <is>
          <t>Bhagirath v. Delhi Administration</t>
        </is>
      </c>
      <c r="G464" s="11" t="inlineStr"/>
      <c r="H464" s="11" t="inlineStr">
        <is>
          <t>Supreme Court</t>
        </is>
      </c>
      <c r="I464" s="2" t="inlineStr">
        <is>
          <t>AIR 1985 SC 1050; (1985) CriLJ 1179; (1985) 1 Crimes 832; (1985) 1 SCALE 719; (1985) 2 SCC 580; (1985) 3 SCR 743</t>
        </is>
      </c>
      <c r="J464" s="11" t="n">
        <v>1985</v>
      </c>
      <c r="K464" s="2" t="inlineStr">
        <is>
          <t>Kartar Singh and Others v. State of Haryana</t>
        </is>
      </c>
      <c r="L464" s="11" t="inlineStr">
        <is>
          <t>Supreme Court</t>
        </is>
      </c>
      <c r="M464" s="2" t="inlineStr">
        <is>
          <t>AIR 1982 SC 1439; (1982) CriLJ 1772; (1983) 1 Crimes 43; (1982) 1 SCALE 671; (1982) 3 SCC 1; (1983) 1 SCR 445; (1982) 14 UJ 621</t>
        </is>
      </c>
      <c r="N464" s="11" t="n">
        <v>1982</v>
      </c>
      <c r="O464" s="11" t="n"/>
      <c r="P464" s="11" t="n"/>
      <c r="Q464" s="11" t="n"/>
      <c r="R464" s="2" t="n"/>
      <c r="S464" s="2" t="n"/>
      <c r="T464" s="11" t="inlineStr"/>
      <c r="U464" s="11" t="inlineStr">
        <is>
          <t>list_mutual_pair, year_order_check</t>
        </is>
      </c>
      <c r="V464" s="11" t="inlineStr">
        <is>
          <t>outside_list</t>
        </is>
      </c>
      <c r="W464" s="11" t="n"/>
      <c r="X464" s="11" t="n"/>
      <c r="Y464" s="11" t="n"/>
      <c r="Z464" s="11" t="inlineStr">
        <is>
          <t>Mr. Advocate</t>
        </is>
      </c>
      <c r="AA464" s="11" t="inlineStr">
        <is>
          <t>2026-10-07</t>
        </is>
      </c>
      <c r="AB464" s="11" t="inlineStr">
        <is>
          <t>name_year</t>
        </is>
      </c>
      <c r="AC464" s="2" t="inlineStr">
        <is>
          <t>L1-0535: listed in our reference list as overruled by Bhagirath v. Delhi Administration (1985), but the list is inconsistent on this entry</t>
        </is>
      </c>
      <c r="AD464" s="2" t="inlineStr">
        <is>
          <t>Bhagirath v. Delhi Administration (1985) is listed in our reference list as overruled by Kartar Singh and Others v. State of Haryana (1982), but the list is inconsistent on this entry. Note: Kartar Singh and Others v. State of Haryana was itself later listed in our reference list as overruled by Bhagirath v. Delhi Administration (1985), but the list is inconsistent on this entry; the current position should be checked.</t>
        </is>
      </c>
      <c r="AE464" s="2" t="n"/>
      <c r="AF464" s="11" t="inlineStr">
        <is>
          <t>created from list 1</t>
        </is>
      </c>
    </row>
    <row r="465">
      <c r="A465" s="11" t="inlineStr">
        <is>
          <t>L1-0464</t>
        </is>
      </c>
      <c r="B465" s="11" t="inlineStr">
        <is>
          <t>List 1 (to ~2015)</t>
        </is>
      </c>
      <c r="C465" s="11" t="inlineStr">
        <is>
          <t>list1</t>
        </is>
      </c>
      <c r="D465" s="11" t="inlineStr">
        <is>
          <t>verified</t>
        </is>
      </c>
      <c r="E465" s="11" t="inlineStr">
        <is>
          <t>overruled</t>
        </is>
      </c>
      <c r="F465" s="2" t="inlineStr">
        <is>
          <t>Union of India (UOI) and Others v. N. Hargopal and Others</t>
        </is>
      </c>
      <c r="G465" s="11" t="inlineStr"/>
      <c r="H465" s="11" t="inlineStr">
        <is>
          <t>Supreme Court</t>
        </is>
      </c>
      <c r="I465" s="2" t="inlineStr">
        <is>
          <t>AIR 1987 SC 1227; (1987) 2 JT 182; (1987) LabIC 915; (1987) 1 LLJ 545; (1987) 1 SCALE 753; (1987) 3 SCC 308; (1987) 2 SCR 910; (1988) 1 SLJ 59; (1987) 2 UJ 41</t>
        </is>
      </c>
      <c r="J465" s="11" t="n">
        <v>1987</v>
      </c>
      <c r="K465" s="2" t="inlineStr">
        <is>
          <t>Excise Superintendent Malkapatnam, Krishna District, A.P. v. K.B.N. Visweshwara Rao and Others</t>
        </is>
      </c>
      <c r="L465" s="11" t="inlineStr">
        <is>
          <t>Supreme Court</t>
        </is>
      </c>
      <c r="M465" s="2" t="inlineStr">
        <is>
          <t>(1996) 8 AD 174; (1997) 75 FLR 353; (1996) 9 JT 638; (1997) 1 LLJ 56; (1996) 6 SCALE 676; (1996) 6 SCC 216; (1996) 5 SCR 73 Supp</t>
        </is>
      </c>
      <c r="N465" s="11" t="n">
        <v>1996</v>
      </c>
      <c r="O465" s="11" t="n"/>
      <c r="P465" s="11" t="n"/>
      <c r="Q465" s="11" t="n"/>
      <c r="R465" s="2" t="n"/>
      <c r="S465" s="2" t="n"/>
      <c r="T465" s="11" t="inlineStr"/>
      <c r="U465" s="11" t="inlineStr"/>
      <c r="V465" s="11" t="inlineStr">
        <is>
          <t>outside_list</t>
        </is>
      </c>
      <c r="W465" s="11" t="n"/>
      <c r="X465" s="11" t="n"/>
      <c r="Y465" s="11" t="n"/>
      <c r="Z465" s="11" t="inlineStr">
        <is>
          <t>Mr. Advocate</t>
        </is>
      </c>
      <c r="AA465" s="11" t="inlineStr">
        <is>
          <t>2026-10-07</t>
        </is>
      </c>
      <c r="AB465" s="11" t="inlineStr">
        <is>
          <t>name_year</t>
        </is>
      </c>
      <c r="AC465" s="2" t="inlineStr"/>
      <c r="AD465" s="2" t="inlineStr">
        <is>
          <t>Union of India (UOI) and Others v. N. Hargopal and Others (1987) was overruled by Excise Superintendent Malkapatnam, Krishna District, A.P. v. K.B.N. Visweshwara Rao and Others (1996).</t>
        </is>
      </c>
      <c r="AE465" s="2" t="n"/>
      <c r="AF465" s="11" t="inlineStr">
        <is>
          <t>created from list 1</t>
        </is>
      </c>
    </row>
    <row r="466">
      <c r="A466" s="11" t="inlineStr">
        <is>
          <t>L1-0465</t>
        </is>
      </c>
      <c r="B466" s="11" t="inlineStr">
        <is>
          <t>List 1 (to ~2015)</t>
        </is>
      </c>
      <c r="C466" s="11" t="inlineStr">
        <is>
          <t>list1</t>
        </is>
      </c>
      <c r="D466" s="11" t="inlineStr">
        <is>
          <t>verified</t>
        </is>
      </c>
      <c r="E466" s="11" t="inlineStr">
        <is>
          <t>overruled</t>
        </is>
      </c>
      <c r="F466" s="2" t="inlineStr">
        <is>
          <t>Balwant Singh and Another v. L.C. Bharupal, Income Tax Officer, New Delhi and Another</t>
        </is>
      </c>
      <c r="G466" s="11" t="inlineStr"/>
      <c r="H466" s="11" t="inlineStr">
        <is>
          <t>unknown</t>
        </is>
      </c>
      <c r="I466" s="2" t="inlineStr">
        <is>
          <t>(1968) 70 ITR 89</t>
        </is>
      </c>
      <c r="J466" s="11" t="n">
        <v>1968</v>
      </c>
      <c r="K466" s="2" t="inlineStr">
        <is>
          <t>Dr Baliram Waman Hiray v. Justice B. Lentin and Others</t>
        </is>
      </c>
      <c r="L466" s="11" t="inlineStr">
        <is>
          <t>Supreme Court</t>
        </is>
      </c>
      <c r="M466" s="2" t="inlineStr">
        <is>
          <t>AIR 1988 SC 2267; (1988) 3 Crimes 655; (1989) 176 ITR 1; (1988) 4 JT 265; (1988) 2 SCALE 688; (1988) 4 SCC 419; (1988) 2 SCR 942 Supp; (1989) 72 STC 384</t>
        </is>
      </c>
      <c r="N466" s="11" t="n">
        <v>1988</v>
      </c>
      <c r="O466" s="11" t="n"/>
      <c r="P466" s="11" t="n"/>
      <c r="Q466" s="11" t="n"/>
      <c r="R466" s="2" t="n"/>
      <c r="S466" s="2" t="n"/>
      <c r="T466" s="11" t="inlineStr"/>
      <c r="U466" s="11" t="inlineStr"/>
      <c r="V466" s="11" t="inlineStr">
        <is>
          <t>outside_list</t>
        </is>
      </c>
      <c r="W466" s="11" t="n"/>
      <c r="X466" s="11" t="n"/>
      <c r="Y466" s="11" t="n"/>
      <c r="Z466" s="11" t="inlineStr">
        <is>
          <t>Mr. Advocate</t>
        </is>
      </c>
      <c r="AA466" s="11" t="inlineStr">
        <is>
          <t>2026-10-07</t>
        </is>
      </c>
      <c r="AB466" s="11" t="inlineStr">
        <is>
          <t>name_year</t>
        </is>
      </c>
      <c r="AC466" s="2" t="inlineStr"/>
      <c r="AD466" s="2" t="inlineStr">
        <is>
          <t>Balwant Singh and Another v. L.C. Bharupal, Income Tax Officer, New Delhi and Another (1968) was overruled by Dr Baliram Waman Hiray v. Justice B. Lentin and Others (1988).</t>
        </is>
      </c>
      <c r="AE466" s="2" t="n"/>
      <c r="AF466" s="11" t="inlineStr">
        <is>
          <t>created from list 1</t>
        </is>
      </c>
    </row>
    <row r="467">
      <c r="A467" s="11" t="inlineStr">
        <is>
          <t>L1-0466</t>
        </is>
      </c>
      <c r="B467" s="11" t="inlineStr">
        <is>
          <t>List 1 (to ~2015)</t>
        </is>
      </c>
      <c r="C467" s="11" t="inlineStr">
        <is>
          <t>list1</t>
        </is>
      </c>
      <c r="D467" s="11" t="inlineStr">
        <is>
          <t>verified</t>
        </is>
      </c>
      <c r="E467" s="11" t="inlineStr">
        <is>
          <t>overruled</t>
        </is>
      </c>
      <c r="F467" s="2" t="inlineStr">
        <is>
          <t>Sajjan Singh v. State of Rajasthan</t>
        </is>
      </c>
      <c r="G467" s="11" t="inlineStr"/>
      <c r="H467" s="11" t="inlineStr">
        <is>
          <t>Supreme Court</t>
        </is>
      </c>
      <c r="I467" s="2" t="inlineStr">
        <is>
          <t>AIR 1965 SC 845; (1965) 1 SCR 933</t>
        </is>
      </c>
      <c r="J467" s="11" t="n">
        <v>1965</v>
      </c>
      <c r="K467" s="2" t="inlineStr">
        <is>
          <t>I.C. Golak Nath and Others v. State of Punjab and Another</t>
        </is>
      </c>
      <c r="L467" s="11" t="inlineStr">
        <is>
          <t>Supreme Court</t>
        </is>
      </c>
      <c r="M467" s="2" t="inlineStr">
        <is>
          <t>AIR 1967 SC 1643; (1967) 2 SCR 762</t>
        </is>
      </c>
      <c r="N467" s="11" t="n">
        <v>1967</v>
      </c>
      <c r="O467" s="11" t="n"/>
      <c r="P467" s="11" t="n"/>
      <c r="Q467" s="11" t="n"/>
      <c r="R467" s="2" t="n"/>
      <c r="S467" s="2" t="n"/>
      <c r="T467" s="11" t="inlineStr"/>
      <c r="U467" s="11" t="inlineStr"/>
      <c r="V467" s="11" t="inlineStr">
        <is>
          <t>outside_list</t>
        </is>
      </c>
      <c r="W467" s="11" t="n"/>
      <c r="X467" s="11" t="n"/>
      <c r="Y467" s="11" t="n"/>
      <c r="Z467" s="11" t="inlineStr">
        <is>
          <t>Mr. Advocate</t>
        </is>
      </c>
      <c r="AA467" s="11" t="inlineStr">
        <is>
          <t>2026-10-07</t>
        </is>
      </c>
      <c r="AB467" s="11" t="inlineStr">
        <is>
          <t>name_year</t>
        </is>
      </c>
      <c r="AC467" s="2" t="inlineStr">
        <is>
          <t>L1-0509: overruled by His Holiness Kesavananda Bharati Sripadagalvaru v. State of Kerala (1973)</t>
        </is>
      </c>
      <c r="AD467" s="2" t="inlineStr">
        <is>
          <t>Sajjan Singh v. State of Rajasthan (1965) was overruled by I.C. Golak Nath and Others v. State of Punjab and Another (1967). Note: I.C. Golak Nath and Others v. State of Punjab and Another was itself later overruled by His Holiness Kesavananda Bharati Sripadagalvaru v. State of Kerala (1973); the current position should be checked.</t>
        </is>
      </c>
      <c r="AE467" s="2" t="n"/>
      <c r="AF467" s="11" t="inlineStr">
        <is>
          <t>created from list 1</t>
        </is>
      </c>
    </row>
    <row r="468">
      <c r="A468" s="11" t="inlineStr">
        <is>
          <t>L1-0467</t>
        </is>
      </c>
      <c r="B468" s="11" t="inlineStr">
        <is>
          <t>List 1 (to ~2015)</t>
        </is>
      </c>
      <c r="C468" s="11" t="inlineStr">
        <is>
          <t>list1</t>
        </is>
      </c>
      <c r="D468" s="11" t="inlineStr">
        <is>
          <t>verified</t>
        </is>
      </c>
      <c r="E468" s="11" t="inlineStr">
        <is>
          <t>overruled</t>
        </is>
      </c>
      <c r="F468" s="2" t="inlineStr">
        <is>
          <t>Suraj Prakash Bhasin v. Smt. Raj Rani Bhasin and Others</t>
        </is>
      </c>
      <c r="G468" s="11" t="inlineStr"/>
      <c r="H468" s="11" t="inlineStr">
        <is>
          <t>Supreme Court</t>
        </is>
      </c>
      <c r="I468" s="2" t="inlineStr">
        <is>
          <t>AIR 1981 SC 485; (1981) 3 SCC 652; (1980) 12 UJ 593</t>
        </is>
      </c>
      <c r="J468" s="11" t="n">
        <v>1981</v>
      </c>
      <c r="K468" s="2" t="inlineStr">
        <is>
          <t>V.M. Salgaocar and Bros. Pvt. Ltd. v. Commissioner of Income Tax</t>
        </is>
      </c>
      <c r="L468" s="11" t="inlineStr">
        <is>
          <t>unknown</t>
        </is>
      </c>
      <c r="M468" s="2" t="inlineStr">
        <is>
          <t>(2000) 243 ITR 383; (2000) 4 JT 473; (2000) 3 SCALE 240; (2000) 5 SCC 373; (2000) 2 SCR 1169; (2000) AIRSCW 1702; (2000) 3 Supreme 442</t>
        </is>
      </c>
      <c r="N468" s="11" t="n">
        <v>2000</v>
      </c>
      <c r="O468" s="11" t="n"/>
      <c r="P468" s="11" t="n"/>
      <c r="Q468" s="11" t="n"/>
      <c r="R468" s="2" t="n"/>
      <c r="S468" s="2" t="n"/>
      <c r="T468" s="11" t="inlineStr"/>
      <c r="U468" s="11" t="inlineStr"/>
      <c r="V468" s="11" t="inlineStr">
        <is>
          <t>outside_list</t>
        </is>
      </c>
      <c r="W468" s="11" t="n"/>
      <c r="X468" s="11" t="n"/>
      <c r="Y468" s="11" t="n"/>
      <c r="Z468" s="11" t="inlineStr">
        <is>
          <t>Mr. Advocate</t>
        </is>
      </c>
      <c r="AA468" s="11" t="inlineStr">
        <is>
          <t>2026-10-07</t>
        </is>
      </c>
      <c r="AB468" s="11" t="inlineStr">
        <is>
          <t>name_year</t>
        </is>
      </c>
      <c r="AC468" s="2" t="inlineStr"/>
      <c r="AD468" s="2" t="inlineStr">
        <is>
          <t>Suraj Prakash Bhasin v. Smt. Raj Rani Bhasin and Others (1981) was overruled by V.M. Salgaocar and Bros. Pvt. Ltd. v. Commissioner of Income Tax (2000).</t>
        </is>
      </c>
      <c r="AE468" s="2" t="n"/>
      <c r="AF468" s="11" t="inlineStr">
        <is>
          <t>created from list 1</t>
        </is>
      </c>
    </row>
    <row r="469">
      <c r="A469" s="11" t="inlineStr">
        <is>
          <t>L1-0468</t>
        </is>
      </c>
      <c r="B469" s="11" t="inlineStr">
        <is>
          <t>List 1 (to ~2015)</t>
        </is>
      </c>
      <c r="C469" s="11" t="inlineStr">
        <is>
          <t>list1</t>
        </is>
      </c>
      <c r="D469" s="11" t="inlineStr">
        <is>
          <t>verified</t>
        </is>
      </c>
      <c r="E469" s="11" t="inlineStr">
        <is>
          <t>overruled</t>
        </is>
      </c>
      <c r="F469" s="2" t="inlineStr">
        <is>
          <t>Madhya Pradesh Industries Ltd. v. Union of India and Others (UOI)</t>
        </is>
      </c>
      <c r="G469" s="11" t="inlineStr"/>
      <c r="H469" s="11" t="inlineStr">
        <is>
          <t>Supreme Court</t>
        </is>
      </c>
      <c r="I469" s="2" t="inlineStr">
        <is>
          <t>AIR 1966 SC 671; (1966) 1 SCR 466</t>
        </is>
      </c>
      <c r="J469" s="11" t="n">
        <v>1966</v>
      </c>
      <c r="K469" s="2" t="inlineStr">
        <is>
          <t>Bharat Raja v. The Union of India (UOI) and Others</t>
        </is>
      </c>
      <c r="L469" s="11" t="inlineStr">
        <is>
          <t>Supreme Court</t>
        </is>
      </c>
      <c r="M469" s="2" t="inlineStr">
        <is>
          <t>AIR 1967 SC 1606; (1967) 3 SCR 302</t>
        </is>
      </c>
      <c r="N469" s="11" t="n">
        <v>1967</v>
      </c>
      <c r="O469" s="11" t="n"/>
      <c r="P469" s="11" t="n"/>
      <c r="Q469" s="11" t="n"/>
      <c r="R469" s="2" t="n"/>
      <c r="S469" s="2" t="n"/>
      <c r="T469" s="11" t="inlineStr"/>
      <c r="U469" s="11" t="inlineStr"/>
      <c r="V469" s="11" t="inlineStr">
        <is>
          <t>outside_list</t>
        </is>
      </c>
      <c r="W469" s="11" t="n"/>
      <c r="X469" s="11" t="n"/>
      <c r="Y469" s="11" t="n"/>
      <c r="Z469" s="11" t="inlineStr">
        <is>
          <t>Mr. Advocate</t>
        </is>
      </c>
      <c r="AA469" s="11" t="inlineStr">
        <is>
          <t>2026-10-07</t>
        </is>
      </c>
      <c r="AB469" s="11" t="inlineStr">
        <is>
          <t>citation</t>
        </is>
      </c>
      <c r="AC469" s="2" t="inlineStr"/>
      <c r="AD469" s="2" t="inlineStr">
        <is>
          <t>Madhya Pradesh Industries Ltd. v. Union of India and Others (UOI) (1966) was overruled by Bharat Raja v. The Union of India (UOI) and Others (1967).</t>
        </is>
      </c>
      <c r="AE469" s="2" t="n"/>
      <c r="AF469" s="11" t="inlineStr">
        <is>
          <t>created from list 1</t>
        </is>
      </c>
    </row>
    <row r="470">
      <c r="A470" s="11" t="inlineStr">
        <is>
          <t>L1-0469</t>
        </is>
      </c>
      <c r="B470" s="11" t="inlineStr">
        <is>
          <t>List 1 (to ~2015)</t>
        </is>
      </c>
      <c r="C470" s="11" t="inlineStr">
        <is>
          <t>list1</t>
        </is>
      </c>
      <c r="D470" s="11" t="inlineStr">
        <is>
          <t>verified</t>
        </is>
      </c>
      <c r="E470" s="11" t="inlineStr">
        <is>
          <t>overruled</t>
        </is>
      </c>
      <c r="F470" s="2" t="inlineStr">
        <is>
          <t>Union of India and another v. Deoki Nandan Aggarwal</t>
        </is>
      </c>
      <c r="G470" s="11" t="inlineStr"/>
      <c r="H470" s="11" t="inlineStr">
        <is>
          <t>Supreme Court</t>
        </is>
      </c>
      <c r="I470" s="2" t="inlineStr">
        <is>
          <t>AIR 1992 SC 96; (1991) 3 JT 608; (1991) 2 SCALE 481; (1992) 1 SCC 323 Supp; (1991) 3 SCR 873</t>
        </is>
      </c>
      <c r="J470" s="11" t="n">
        <v>1992</v>
      </c>
      <c r="K470" s="2" t="inlineStr">
        <is>
          <t>Union of India (UOI) and Another v. M.C. Desai and Others</t>
        </is>
      </c>
      <c r="L470" s="11" t="inlineStr">
        <is>
          <t>Supreme Court</t>
        </is>
      </c>
      <c r="M470" s="2" t="inlineStr">
        <is>
          <t>(1996) 9 AD 290; (1997) 10 JT 550; (1996) 8 SCALE 165; (1996) 11 SCC 400; (1995) 4 SCR 202 Supp; (1997) 1 SLJ 140; (1997) 1 UJ 337</t>
        </is>
      </c>
      <c r="N470" s="11" t="n">
        <v>1995</v>
      </c>
      <c r="O470" s="11" t="n"/>
      <c r="P470" s="11" t="n"/>
      <c r="Q470" s="11" t="n"/>
      <c r="R470" s="2" t="n"/>
      <c r="S470" s="2" t="n"/>
      <c r="T470" s="11" t="inlineStr"/>
      <c r="U470" s="11" t="inlineStr"/>
      <c r="V470" s="11" t="inlineStr">
        <is>
          <t>outside_list</t>
        </is>
      </c>
      <c r="W470" s="11" t="n"/>
      <c r="X470" s="11" t="n"/>
      <c r="Y470" s="11" t="n"/>
      <c r="Z470" s="11" t="inlineStr">
        <is>
          <t>Mr. Advocate</t>
        </is>
      </c>
      <c r="AA470" s="11" t="inlineStr">
        <is>
          <t>2026-10-07</t>
        </is>
      </c>
      <c r="AB470" s="11" t="inlineStr">
        <is>
          <t>name_year</t>
        </is>
      </c>
      <c r="AC470" s="2" t="inlineStr"/>
      <c r="AD470" s="2" t="inlineStr">
        <is>
          <t>Union of India and another v. Deoki Nandan Aggarwal (1992) was overruled by Union of India (UOI) and Another v. M.C. Desai and Others (1995).</t>
        </is>
      </c>
      <c r="AE470" s="2" t="n"/>
      <c r="AF470" s="11" t="inlineStr">
        <is>
          <t>created from list 1</t>
        </is>
      </c>
    </row>
    <row r="471">
      <c r="A471" s="11" t="inlineStr">
        <is>
          <t>L1-0470</t>
        </is>
      </c>
      <c r="B471" s="11" t="inlineStr">
        <is>
          <t>List 1 (to ~2015)</t>
        </is>
      </c>
      <c r="C471" s="11" t="inlineStr">
        <is>
          <t>list1</t>
        </is>
      </c>
      <c r="D471" s="11" t="inlineStr">
        <is>
          <t>verified</t>
        </is>
      </c>
      <c r="E471" s="11" t="inlineStr">
        <is>
          <t>overruled</t>
        </is>
      </c>
      <c r="F471" s="2" t="inlineStr">
        <is>
          <t>Sri Sankari Prasad Singh Deo v. Union of India (UOI) and State of Bihar</t>
        </is>
      </c>
      <c r="G471" s="11" t="inlineStr"/>
      <c r="H471" s="11" t="inlineStr">
        <is>
          <t>Supreme Court</t>
        </is>
      </c>
      <c r="I471" s="2" t="inlineStr">
        <is>
          <t>AIR 1951 SC 458; (1952) 1 SCR 89</t>
        </is>
      </c>
      <c r="J471" s="11" t="n">
        <v>1951</v>
      </c>
      <c r="K471" s="2" t="inlineStr">
        <is>
          <t>I.C. Golak Nath and Others v. State of Punjab and Another</t>
        </is>
      </c>
      <c r="L471" s="11" t="inlineStr">
        <is>
          <t>Supreme Court</t>
        </is>
      </c>
      <c r="M471" s="2" t="inlineStr">
        <is>
          <t>AIR 1967 SC 1643; (1967) 2 SCR 762</t>
        </is>
      </c>
      <c r="N471" s="11" t="n">
        <v>1967</v>
      </c>
      <c r="O471" s="11" t="n"/>
      <c r="P471" s="11" t="n"/>
      <c r="Q471" s="11" t="n"/>
      <c r="R471" s="2" t="n"/>
      <c r="S471" s="2" t="n"/>
      <c r="T471" s="11" t="inlineStr"/>
      <c r="U471" s="11" t="inlineStr"/>
      <c r="V471" s="11" t="inlineStr">
        <is>
          <t>outside_list</t>
        </is>
      </c>
      <c r="W471" s="11" t="n"/>
      <c r="X471" s="11" t="n"/>
      <c r="Y471" s="11" t="n"/>
      <c r="Z471" s="11" t="inlineStr">
        <is>
          <t>Mr. Advocate</t>
        </is>
      </c>
      <c r="AA471" s="11" t="inlineStr">
        <is>
          <t>2026-10-07</t>
        </is>
      </c>
      <c r="AB471" s="11" t="inlineStr">
        <is>
          <t>name_year</t>
        </is>
      </c>
      <c r="AC471" s="2" t="inlineStr">
        <is>
          <t>L1-0509: overruled by His Holiness Kesavananda Bharati Sripadagalvaru v. State of Kerala (1973)</t>
        </is>
      </c>
      <c r="AD471" s="2" t="inlineStr">
        <is>
          <t>Sri Sankari Prasad Singh Deo v. Union of India (UOI) and State of Bihar (1951) was overruled by I.C. Golak Nath and Others v. State of Punjab and Another (1967). Note: I.C. Golak Nath and Others v. State of Punjab and Another was itself later overruled by His Holiness Kesavananda Bharati Sripadagalvaru v. State of Kerala (1973); the current position should be checked.</t>
        </is>
      </c>
      <c r="AE471" s="2" t="n"/>
      <c r="AF471" s="11" t="inlineStr">
        <is>
          <t>created from list 1</t>
        </is>
      </c>
    </row>
    <row r="472">
      <c r="A472" s="11" t="inlineStr">
        <is>
          <t>L1-0471</t>
        </is>
      </c>
      <c r="B472" s="11" t="inlineStr">
        <is>
          <t>List 1 (to ~2015)</t>
        </is>
      </c>
      <c r="C472" s="11" t="inlineStr">
        <is>
          <t>list1</t>
        </is>
      </c>
      <c r="D472" s="11" t="inlineStr">
        <is>
          <t>verified</t>
        </is>
      </c>
      <c r="E472" s="11" t="inlineStr">
        <is>
          <t>overruled</t>
        </is>
      </c>
      <c r="F472" s="2" t="inlineStr">
        <is>
          <t>Hanumant v. The State of Madhya Pradesh</t>
        </is>
      </c>
      <c r="G472" s="11" t="inlineStr"/>
      <c r="H472" s="11" t="inlineStr">
        <is>
          <t>Supreme Court</t>
        </is>
      </c>
      <c r="I472" s="2" t="inlineStr">
        <is>
          <t>AIR 1952 SC 343; (1953) CriLJ 129; (1952) 1 SCR 1091</t>
        </is>
      </c>
      <c r="J472" s="11" t="n">
        <v>1952</v>
      </c>
      <c r="K472" s="2" t="inlineStr">
        <is>
          <t>State through CBI v. S.J. Choudhary</t>
        </is>
      </c>
      <c r="L472" s="11" t="inlineStr">
        <is>
          <t>Supreme Court</t>
        </is>
      </c>
      <c r="M472" s="2" t="inlineStr">
        <is>
          <t>AIR 1996 SC 1491; (1996) 2 JT 186; (1996) 2 SCALE 37; (1996) 2 SCC 428</t>
        </is>
      </c>
      <c r="N472" s="11" t="n">
        <v>1996</v>
      </c>
      <c r="O472" s="11" t="n"/>
      <c r="P472" s="11" t="n"/>
      <c r="Q472" s="11" t="n"/>
      <c r="R472" s="2" t="n"/>
      <c r="S472" s="2" t="n"/>
      <c r="T472" s="11" t="inlineStr"/>
      <c r="U472" s="11" t="inlineStr"/>
      <c r="V472" s="11" t="inlineStr">
        <is>
          <t>outside_list</t>
        </is>
      </c>
      <c r="W472" s="11" t="n"/>
      <c r="X472" s="11" t="n"/>
      <c r="Y472" s="11" t="n"/>
      <c r="Z472" s="11" t="inlineStr">
        <is>
          <t>Mr. Advocate</t>
        </is>
      </c>
      <c r="AA472" s="11" t="inlineStr">
        <is>
          <t>2026-10-07</t>
        </is>
      </c>
      <c r="AB472" s="11" t="inlineStr">
        <is>
          <t>citation</t>
        </is>
      </c>
      <c r="AC472" s="2" t="inlineStr"/>
      <c r="AD472" s="2" t="inlineStr">
        <is>
          <t>Hanumant v. The State of Madhya Pradesh (1952) was overruled by State through CBI v. S.J. Choudhary (1996).</t>
        </is>
      </c>
      <c r="AE472" s="2" t="n"/>
      <c r="AF472" s="11" t="inlineStr">
        <is>
          <t>created from list 1</t>
        </is>
      </c>
    </row>
    <row r="473">
      <c r="A473" s="11" t="inlineStr">
        <is>
          <t>L1-0472</t>
        </is>
      </c>
      <c r="B473" s="11" t="inlineStr">
        <is>
          <t>List 1 (to ~2015)</t>
        </is>
      </c>
      <c r="C473" s="11" t="inlineStr">
        <is>
          <t>list1</t>
        </is>
      </c>
      <c r="D473" s="11" t="inlineStr">
        <is>
          <t>verified</t>
        </is>
      </c>
      <c r="E473" s="11" t="inlineStr">
        <is>
          <t>overruled</t>
        </is>
      </c>
      <c r="F473" s="2" t="inlineStr">
        <is>
          <t>Nagesh Bisto Desai and Others v. Khando Tirmal Desai and Others</t>
        </is>
      </c>
      <c r="G473" s="11" t="inlineStr"/>
      <c r="H473" s="11" t="inlineStr">
        <is>
          <t>Supreme Court</t>
        </is>
      </c>
      <c r="I473" s="2" t="inlineStr">
        <is>
          <t>AIR 1982 SC 887; (1982) 1 SCALE 418; (1982) 2 SCC 79; (1982) 3 SCR 341; (1982) 14 UJ 784</t>
        </is>
      </c>
      <c r="J473" s="11" t="n">
        <v>1982</v>
      </c>
      <c r="K473" s="2" t="inlineStr">
        <is>
          <t>Kalgonda Babgonda Patil v. Balgonda Kalgonda Patil and Others</t>
        </is>
      </c>
      <c r="L473" s="11" t="inlineStr">
        <is>
          <t>Supreme Court</t>
        </is>
      </c>
      <c r="M473" s="2" t="inlineStr">
        <is>
          <t>AIR 1989 SC 1042(1); (1989) 1 JT 292; (1989) 1 SCALE 376; (1989) 1 SCC 246 Supp; (1989) 1 UJ 697</t>
        </is>
      </c>
      <c r="N473" s="11" t="n">
        <v>1989</v>
      </c>
      <c r="O473" s="11" t="n"/>
      <c r="P473" s="11" t="n"/>
      <c r="Q473" s="11" t="n"/>
      <c r="R473" s="2" t="n"/>
      <c r="S473" s="2" t="n"/>
      <c r="T473" s="11" t="inlineStr"/>
      <c r="U473" s="11" t="inlineStr"/>
      <c r="V473" s="11" t="inlineStr">
        <is>
          <t>outside_list</t>
        </is>
      </c>
      <c r="W473" s="11" t="n"/>
      <c r="X473" s="11" t="n"/>
      <c r="Y473" s="11" t="n"/>
      <c r="Z473" s="11" t="inlineStr">
        <is>
          <t>Mr. Advocate</t>
        </is>
      </c>
      <c r="AA473" s="11" t="inlineStr">
        <is>
          <t>2026-10-07</t>
        </is>
      </c>
      <c r="AB473" s="11" t="inlineStr">
        <is>
          <t>name_year</t>
        </is>
      </c>
      <c r="AC473" s="2" t="inlineStr"/>
      <c r="AD473" s="2" t="inlineStr">
        <is>
          <t>Nagesh Bisto Desai and Others v. Khando Tirmal Desai and Others (1982) was overruled by Kalgonda Babgonda Patil v. Balgonda Kalgonda Patil and Others (1989).</t>
        </is>
      </c>
      <c r="AE473" s="2" t="n"/>
      <c r="AF473" s="11" t="inlineStr">
        <is>
          <t>created from list 1</t>
        </is>
      </c>
    </row>
    <row r="474">
      <c r="A474" s="11" t="inlineStr">
        <is>
          <t>L1-0473</t>
        </is>
      </c>
      <c r="B474" s="11" t="inlineStr">
        <is>
          <t>List 1 (to ~2015)</t>
        </is>
      </c>
      <c r="C474" s="11" t="inlineStr">
        <is>
          <t>list1</t>
        </is>
      </c>
      <c r="D474" s="11" t="inlineStr">
        <is>
          <t>verified</t>
        </is>
      </c>
      <c r="E474" s="11" t="inlineStr">
        <is>
          <t>overruled</t>
        </is>
      </c>
      <c r="F474" s="2" t="inlineStr">
        <is>
          <t>Manindra Land and Building Corporation Ltd. v. Bhutnath Banerjee and Others</t>
        </is>
      </c>
      <c r="G474" s="11" t="inlineStr"/>
      <c r="H474" s="11" t="inlineStr">
        <is>
          <t>Supreme Court</t>
        </is>
      </c>
      <c r="I474" s="2" t="inlineStr">
        <is>
          <t>AIR 1964 SC 1336; (1964) 3 SCR 495</t>
        </is>
      </c>
      <c r="J474" s="11" t="n">
        <v>1964</v>
      </c>
      <c r="K474" s="2" t="inlineStr">
        <is>
          <t>Vora Abbasbhai Alimahomed v. Haji Gulamnabi Haji Safibhai</t>
        </is>
      </c>
      <c r="L474" s="11" t="inlineStr">
        <is>
          <t>Supreme Court</t>
        </is>
      </c>
      <c r="M474" s="2" t="inlineStr">
        <is>
          <t>AIR 1964 SC 1341; (1964) 5 SCR 157</t>
        </is>
      </c>
      <c r="N474" s="11" t="n">
        <v>1964</v>
      </c>
      <c r="O474" s="11" t="n"/>
      <c r="P474" s="11" t="n"/>
      <c r="Q474" s="11" t="n"/>
      <c r="R474" s="2" t="n"/>
      <c r="S474" s="2" t="n"/>
      <c r="T474" s="11" t="inlineStr"/>
      <c r="U474" s="11" t="inlineStr"/>
      <c r="V474" s="11" t="inlineStr">
        <is>
          <t>outside_list</t>
        </is>
      </c>
      <c r="W474" s="11" t="n"/>
      <c r="X474" s="11" t="n"/>
      <c r="Y474" s="11" t="n"/>
      <c r="Z474" s="11" t="inlineStr">
        <is>
          <t>Mr. Advocate</t>
        </is>
      </c>
      <c r="AA474" s="11" t="inlineStr">
        <is>
          <t>2026-10-07</t>
        </is>
      </c>
      <c r="AB474" s="11" t="inlineStr">
        <is>
          <t>name_year</t>
        </is>
      </c>
      <c r="AC474" s="2" t="inlineStr">
        <is>
          <t>L1-0363: overruled by Harbanslal Jagmohandas and Another v. Prabhudas Shivlal (1976)</t>
        </is>
      </c>
      <c r="AD474" s="2" t="inlineStr">
        <is>
          <t>Manindra Land and Building Corporation Ltd. v. Bhutnath Banerjee and Others (1964) was overruled by Vora Abbasbhai Alimahomed v. Haji Gulamnabi Haji Safibhai (1964). Note: Vora Abbasbhai Alimahomed v. Haji Gulamnabi Haji Safibhai was itself later overruled by Harbanslal Jagmohandas and Another v. Prabhudas Shivlal (1976); the current position should be checked.</t>
        </is>
      </c>
      <c r="AE474" s="2" t="n"/>
      <c r="AF474" s="11" t="inlineStr">
        <is>
          <t>created from list 1</t>
        </is>
      </c>
    </row>
    <row r="475">
      <c r="A475" s="11" t="inlineStr">
        <is>
          <t>L1-0474</t>
        </is>
      </c>
      <c r="B475" s="11" t="inlineStr">
        <is>
          <t>List 1 (to ~2015)</t>
        </is>
      </c>
      <c r="C475" s="11" t="inlineStr">
        <is>
          <t>list1</t>
        </is>
      </c>
      <c r="D475" s="11" t="inlineStr">
        <is>
          <t>verified</t>
        </is>
      </c>
      <c r="E475" s="11" t="inlineStr">
        <is>
          <t>disputed_listing</t>
        </is>
      </c>
      <c r="F475" s="2" t="inlineStr">
        <is>
          <t>The Commissioner of Income Tax, Lucknow v. Sh. Madho Pd. Jatia</t>
        </is>
      </c>
      <c r="G475" s="11" t="inlineStr"/>
      <c r="H475" s="11" t="inlineStr">
        <is>
          <t>Supreme Court</t>
        </is>
      </c>
      <c r="I475" s="2" t="inlineStr">
        <is>
          <t>AIR 1977 SC 420; (1976) 4 SCC 92; (1977) 1 SCR 202; (1976) 8 UJ 810</t>
        </is>
      </c>
      <c r="J475" s="11" t="n">
        <v>1977</v>
      </c>
      <c r="K475" s="2" t="inlineStr">
        <is>
          <t>Commissioner of Income Tax, West Bengal-1, Calcutta v. Simon Carves Limited</t>
        </is>
      </c>
      <c r="L475" s="11" t="inlineStr">
        <is>
          <t>Supreme Court</t>
        </is>
      </c>
      <c r="M475" s="2" t="inlineStr">
        <is>
          <t>AIR 1976 SC 2368; (1976) 105 ITR 212; (1977) SCC 61; (1976) 4 SCC 435; (1977) 1 SCR 207; (1976) 8 UJ 771</t>
        </is>
      </c>
      <c r="N475" s="11" t="n">
        <v>1976</v>
      </c>
      <c r="O475" s="11" t="n"/>
      <c r="P475" s="11" t="n"/>
      <c r="Q475" s="11" t="n"/>
      <c r="R475" s="2" t="n"/>
      <c r="S475" s="2" t="n"/>
      <c r="T475" s="11" t="inlineStr"/>
      <c r="U475" s="11" t="inlineStr">
        <is>
          <t>list_mutual_pair</t>
        </is>
      </c>
      <c r="V475" s="11" t="inlineStr">
        <is>
          <t>outside_list</t>
        </is>
      </c>
      <c r="W475" s="11" t="n"/>
      <c r="X475" s="11" t="n"/>
      <c r="Y475" s="11" t="n"/>
      <c r="Z475" s="11" t="inlineStr">
        <is>
          <t>Mr. Advocate</t>
        </is>
      </c>
      <c r="AA475" s="11" t="inlineStr">
        <is>
          <t>2026-10-07</t>
        </is>
      </c>
      <c r="AB475" s="11" t="inlineStr">
        <is>
          <t>name_year</t>
        </is>
      </c>
      <c r="AC475" s="2" t="inlineStr">
        <is>
          <t>L1-0594: listed in our reference list as overruled by The Commissioner of Income Tax, Lucknow v. Sh. Madho Pd. Jatia (1977), but the list is inconsistent on this entry</t>
        </is>
      </c>
      <c r="AD475" s="2" t="inlineStr">
        <is>
          <t>The Commissioner of Income Tax, Lucknow v. Sh. Madho Pd. Jatia (1977) is listed in our reference list as overruled by Commissioner of Income Tax, West Bengal-1, Calcutta v. Simon Carves Limited (1976), but the list is inconsistent on this entry. Note: Commissioner of Income Tax, West Bengal-1, Calcutta v. Simon Carves Limited was itself later listed in our reference list as overruled by The Commissioner of Income Tax, Lucknow v. Sh. Madho Pd. Jatia (1977), but the list is inconsistent on this entry; the current position should be checked.</t>
        </is>
      </c>
      <c r="AE475" s="2" t="n"/>
      <c r="AF475" s="11" t="inlineStr">
        <is>
          <t>created from list 1</t>
        </is>
      </c>
    </row>
    <row r="476">
      <c r="A476" s="11" t="inlineStr">
        <is>
          <t>L1-0475</t>
        </is>
      </c>
      <c r="B476" s="11" t="inlineStr">
        <is>
          <t>List 1 (to ~2015)</t>
        </is>
      </c>
      <c r="C476" s="11" t="inlineStr">
        <is>
          <t>list1</t>
        </is>
      </c>
      <c r="D476" s="11" t="inlineStr">
        <is>
          <t>verified</t>
        </is>
      </c>
      <c r="E476" s="11" t="inlineStr">
        <is>
          <t>reversed_on_appeal</t>
        </is>
      </c>
      <c r="F476" s="2" t="inlineStr">
        <is>
          <t>Birendra Bahadur Pandey v. Gramophone Co. of India Ltd. and Others</t>
        </is>
      </c>
      <c r="G476" s="11" t="inlineStr"/>
      <c r="H476" s="11" t="inlineStr">
        <is>
          <t>Calcutta</t>
        </is>
      </c>
      <c r="I476" s="2" t="inlineStr">
        <is>
          <t>AIR 1984 Cal 69</t>
        </is>
      </c>
      <c r="J476" s="11" t="n">
        <v>1984</v>
      </c>
      <c r="K476" s="2" t="inlineStr">
        <is>
          <t>Gramophone Company of India Ltd. v. Birendra Bahadur Pandey and Others</t>
        </is>
      </c>
      <c r="L476" s="11" t="inlineStr">
        <is>
          <t>Supreme Court</t>
        </is>
      </c>
      <c r="M476" s="2" t="inlineStr">
        <is>
          <t>AIR 1984 SC 667; (1985) 1 ARBLR 361; (1984) 1 CompLJ 362; (1984) 2 ECC 142; (1984) 1 SCALE 338; (1984) 2 SCC 534; (1984) 2 SCR 664; (1984) 16 UJ 475</t>
        </is>
      </c>
      <c r="N476" s="11" t="n">
        <v>1984</v>
      </c>
      <c r="O476" s="11" t="n"/>
      <c r="P476" s="11" t="n"/>
      <c r="Q476" s="11" t="n"/>
      <c r="R476" s="2" t="n"/>
      <c r="S476" s="2" t="n"/>
      <c r="T476" s="11" t="inlineStr">
        <is>
          <t>yes</t>
        </is>
      </c>
      <c r="U476" s="11" t="inlineStr"/>
      <c r="V476" s="11" t="inlineStr">
        <is>
          <t>outside_list</t>
        </is>
      </c>
      <c r="W476" s="11" t="n"/>
      <c r="X476" s="11" t="n"/>
      <c r="Y476" s="11" t="n"/>
      <c r="Z476" s="11" t="inlineStr">
        <is>
          <t>Mr. Advocate</t>
        </is>
      </c>
      <c r="AA476" s="11" t="inlineStr">
        <is>
          <t>2026-10-07</t>
        </is>
      </c>
      <c r="AB476" s="11" t="inlineStr">
        <is>
          <t>name_year</t>
        </is>
      </c>
      <c r="AC476" s="2" t="inlineStr"/>
      <c r="AD476" s="2" t="inlineStr">
        <is>
          <t>Birendra Bahadur Pandey v. Gramophone Co. of India Ltd. and Others (1984) was reversed on appeal by the Supreme Court in Gramophone Company of India Ltd. v. Birendra Bahadur Pandey and Others (1984).</t>
        </is>
      </c>
      <c r="AE476" s="2" t="n"/>
      <c r="AF476" s="11" t="inlineStr">
        <is>
          <t>created from list 1</t>
        </is>
      </c>
    </row>
    <row r="477">
      <c r="A477" s="11" t="inlineStr">
        <is>
          <t>L1-0476</t>
        </is>
      </c>
      <c r="B477" s="11" t="inlineStr">
        <is>
          <t>List 1 (to ~2015)</t>
        </is>
      </c>
      <c r="C477" s="11" t="inlineStr">
        <is>
          <t>list1</t>
        </is>
      </c>
      <c r="D477" s="11" t="inlineStr">
        <is>
          <t>verified</t>
        </is>
      </c>
      <c r="E477" s="11" t="inlineStr">
        <is>
          <t>overruled</t>
        </is>
      </c>
      <c r="F477" s="2" t="inlineStr">
        <is>
          <t>Commissioner of Income Tax, West Bengal v. Isthmian Steamship Lines</t>
        </is>
      </c>
      <c r="G477" s="11" t="inlineStr"/>
      <c r="H477" s="11" t="inlineStr">
        <is>
          <t>Supreme Court</t>
        </is>
      </c>
      <c r="I477" s="2" t="inlineStr">
        <is>
          <t>AIR 1953 SC 439; (1951) 20 ITR 572</t>
        </is>
      </c>
      <c r="J477" s="11" t="n">
        <v>1953</v>
      </c>
      <c r="K477" s="2" t="inlineStr">
        <is>
          <t>Karimtharuvi Tea Estate Ltd. v. State of Kerala</t>
        </is>
      </c>
      <c r="L477" s="11" t="inlineStr">
        <is>
          <t>Supreme Court</t>
        </is>
      </c>
      <c r="M477" s="2" t="inlineStr">
        <is>
          <t>AIR 1966 SC 1385; (1966) 60 ITR 262; (1966) 3 SCR 93</t>
        </is>
      </c>
      <c r="N477" s="11" t="n">
        <v>1966</v>
      </c>
      <c r="O477" s="11" t="n"/>
      <c r="P477" s="11" t="n"/>
      <c r="Q477" s="11" t="n"/>
      <c r="R477" s="2" t="n"/>
      <c r="S477" s="2" t="n"/>
      <c r="T477" s="11" t="inlineStr"/>
      <c r="U477" s="11" t="inlineStr"/>
      <c r="V477" s="11" t="inlineStr">
        <is>
          <t>outside_list</t>
        </is>
      </c>
      <c r="W477" s="11" t="n"/>
      <c r="X477" s="11" t="n"/>
      <c r="Y477" s="11" t="n"/>
      <c r="Z477" s="11" t="inlineStr">
        <is>
          <t>Mr. Advocate</t>
        </is>
      </c>
      <c r="AA477" s="11" t="inlineStr">
        <is>
          <t>2026-10-07</t>
        </is>
      </c>
      <c r="AB477" s="11" t="inlineStr">
        <is>
          <t>name_year</t>
        </is>
      </c>
      <c r="AC477" s="2" t="inlineStr"/>
      <c r="AD477" s="2" t="inlineStr">
        <is>
          <t>Commissioner of Income Tax, West Bengal v. Isthmian Steamship Lines (1953) was overruled by Karimtharuvi Tea Estate Ltd. v. State of Kerala (1966).</t>
        </is>
      </c>
      <c r="AE477" s="2" t="n"/>
      <c r="AF477" s="11" t="inlineStr">
        <is>
          <t>created from list 1</t>
        </is>
      </c>
    </row>
    <row r="478">
      <c r="A478" s="11" t="inlineStr">
        <is>
          <t>L1-0477</t>
        </is>
      </c>
      <c r="B478" s="11" t="inlineStr">
        <is>
          <t>List 1 (to ~2015)</t>
        </is>
      </c>
      <c r="C478" s="11" t="inlineStr">
        <is>
          <t>list1</t>
        </is>
      </c>
      <c r="D478" s="11" t="inlineStr">
        <is>
          <t>verified</t>
        </is>
      </c>
      <c r="E478" s="11" t="inlineStr">
        <is>
          <t>overruled</t>
        </is>
      </c>
      <c r="F478" s="2" t="inlineStr">
        <is>
          <t>In Re: The Special Courts Bill, 1978</t>
        </is>
      </c>
      <c r="G478" s="11" t="inlineStr"/>
      <c r="H478" s="11" t="inlineStr">
        <is>
          <t>Supreme Court</t>
        </is>
      </c>
      <c r="I478" s="2" t="inlineStr">
        <is>
          <t>AIR 1979 SC 478; (1979) 1 SCC 380; (1979) 2 SCR 476</t>
        </is>
      </c>
      <c r="J478" s="11" t="n">
        <v>1979</v>
      </c>
      <c r="K478" s="2" t="inlineStr">
        <is>
          <t>Prabodh Verma and Others v. State of Uttar Pradesh and Others</t>
        </is>
      </c>
      <c r="L478" s="11" t="inlineStr">
        <is>
          <t>Supreme Court</t>
        </is>
      </c>
      <c r="M478" s="2" t="inlineStr">
        <is>
          <t>AIR 1985 SC 167; (1985) LabIC 1196; (1984) 2 SCALE 87; (1984) 4 SCC 251; (1985) 1 SCR 216</t>
        </is>
      </c>
      <c r="N478" s="11" t="n">
        <v>1985</v>
      </c>
      <c r="O478" s="11" t="n"/>
      <c r="P478" s="11" t="n"/>
      <c r="Q478" s="11" t="n"/>
      <c r="R478" s="2" t="n"/>
      <c r="S478" s="2" t="n"/>
      <c r="T478" s="11" t="inlineStr"/>
      <c r="U478" s="11" t="inlineStr"/>
      <c r="V478" s="11" t="inlineStr">
        <is>
          <t>outside_list</t>
        </is>
      </c>
      <c r="W478" s="11" t="n"/>
      <c r="X478" s="11" t="n"/>
      <c r="Y478" s="11" t="n"/>
      <c r="Z478" s="11" t="inlineStr">
        <is>
          <t>Mr. Advocate</t>
        </is>
      </c>
      <c r="AA478" s="11" t="inlineStr">
        <is>
          <t>2026-10-07</t>
        </is>
      </c>
      <c r="AB478" s="11" t="inlineStr">
        <is>
          <t>citation</t>
        </is>
      </c>
      <c r="AC478" s="2" t="inlineStr"/>
      <c r="AD478" s="2" t="inlineStr">
        <is>
          <t>In Re: The Special Courts Bill, 1978 (1979) was overruled by Prabodh Verma and Others v. State of Uttar Pradesh and Others (1985).</t>
        </is>
      </c>
      <c r="AE478" s="2" t="n"/>
      <c r="AF478" s="11" t="inlineStr">
        <is>
          <t>created from list 1</t>
        </is>
      </c>
    </row>
    <row r="479">
      <c r="A479" s="11" t="inlineStr">
        <is>
          <t>L1-0478</t>
        </is>
      </c>
      <c r="B479" s="11" t="inlineStr">
        <is>
          <t>List 1 (to ~2015)</t>
        </is>
      </c>
      <c r="C479" s="11" t="inlineStr">
        <is>
          <t>list1</t>
        </is>
      </c>
      <c r="D479" s="11" t="inlineStr">
        <is>
          <t>verified</t>
        </is>
      </c>
      <c r="E479" s="11" t="inlineStr">
        <is>
          <t>overruled</t>
        </is>
      </c>
      <c r="F479" s="2" t="inlineStr">
        <is>
          <t>The State of Madhya Pradesh v. Mubarak Ali</t>
        </is>
      </c>
      <c r="G479" s="11" t="inlineStr"/>
      <c r="H479" s="11" t="inlineStr">
        <is>
          <t>Supreme Court</t>
        </is>
      </c>
      <c r="I479" s="2" t="inlineStr">
        <is>
          <t>AIR 1959 SC 707; (1959) CriLJ 920; (1960) 1 LLJ 36; (1959) 2 SCR 201 Supp</t>
        </is>
      </c>
      <c r="J479" s="11" t="n">
        <v>1959</v>
      </c>
      <c r="K479" s="2" t="inlineStr">
        <is>
          <t>The State of Uttar Pradesh v. Bhagwant Kishore Joshi</t>
        </is>
      </c>
      <c r="L479" s="11" t="inlineStr">
        <is>
          <t>Supreme Court</t>
        </is>
      </c>
      <c r="M479" s="2" t="inlineStr">
        <is>
          <t>AIR 1964 SC 221; (1964) CriLJ 140; (1964) 1 LLJ 60; (1964) 3 SCR 71</t>
        </is>
      </c>
      <c r="N479" s="11" t="n">
        <v>1964</v>
      </c>
      <c r="O479" s="11" t="n"/>
      <c r="P479" s="11" t="n"/>
      <c r="Q479" s="11" t="n"/>
      <c r="R479" s="2" t="n"/>
      <c r="S479" s="2" t="n"/>
      <c r="T479" s="11" t="inlineStr"/>
      <c r="U479" s="11" t="inlineStr"/>
      <c r="V479" s="11" t="inlineStr">
        <is>
          <t>outside_list</t>
        </is>
      </c>
      <c r="W479" s="11" t="n"/>
      <c r="X479" s="11" t="n"/>
      <c r="Y479" s="11" t="n"/>
      <c r="Z479" s="11" t="inlineStr">
        <is>
          <t>Mr. Advocate</t>
        </is>
      </c>
      <c r="AA479" s="11" t="inlineStr">
        <is>
          <t>2026-10-07</t>
        </is>
      </c>
      <c r="AB479" s="11" t="inlineStr">
        <is>
          <t>name_year</t>
        </is>
      </c>
      <c r="AC479" s="2" t="inlineStr"/>
      <c r="AD479" s="2" t="inlineStr">
        <is>
          <t>The State of Madhya Pradesh v. Mubarak Ali (1959) was overruled by The State of Uttar Pradesh v. Bhagwant Kishore Joshi (1964).</t>
        </is>
      </c>
      <c r="AE479" s="2" t="n"/>
      <c r="AF479" s="11" t="inlineStr">
        <is>
          <t>created from list 1</t>
        </is>
      </c>
    </row>
    <row r="480">
      <c r="A480" s="11" t="inlineStr">
        <is>
          <t>L1-0479</t>
        </is>
      </c>
      <c r="B480" s="11" t="inlineStr">
        <is>
          <t>List 1 (to ~2015)</t>
        </is>
      </c>
      <c r="C480" s="11" t="inlineStr">
        <is>
          <t>list1</t>
        </is>
      </c>
      <c r="D480" s="11" t="inlineStr">
        <is>
          <t>verified</t>
        </is>
      </c>
      <c r="E480" s="11" t="inlineStr">
        <is>
          <t>overruled</t>
        </is>
      </c>
      <c r="F480" s="2" t="inlineStr">
        <is>
          <t>Willie (William) Slaney v. The State of Madhya Pradesh</t>
        </is>
      </c>
      <c r="G480" s="11" t="inlineStr"/>
      <c r="H480" s="11" t="inlineStr">
        <is>
          <t>Supreme Court</t>
        </is>
      </c>
      <c r="I480" s="2" t="inlineStr">
        <is>
          <t>AIR 1956 SC 116; (1956) CriLJ 291; (1955) 2 SCR 1140</t>
        </is>
      </c>
      <c r="J480" s="11" t="n">
        <v>1956</v>
      </c>
      <c r="K480" s="2" t="inlineStr">
        <is>
          <t>State of Uttar Pradesh v. Singhara Singh and Others</t>
        </is>
      </c>
      <c r="L480" s="11" t="inlineStr">
        <is>
          <t>Supreme Court</t>
        </is>
      </c>
      <c r="M480" s="2" t="inlineStr">
        <is>
          <t>AIR 1964 SC 358; (1964) 4 SCR 485</t>
        </is>
      </c>
      <c r="N480" s="11" t="n">
        <v>1964</v>
      </c>
      <c r="O480" s="11" t="n"/>
      <c r="P480" s="11" t="n"/>
      <c r="Q480" s="11" t="n"/>
      <c r="R480" s="2" t="n"/>
      <c r="S480" s="2" t="n"/>
      <c r="T480" s="11" t="inlineStr"/>
      <c r="U480" s="11" t="inlineStr"/>
      <c r="V480" s="11" t="inlineStr">
        <is>
          <t>outside_list</t>
        </is>
      </c>
      <c r="W480" s="11" t="n"/>
      <c r="X480" s="11" t="n"/>
      <c r="Y480" s="11" t="n"/>
      <c r="Z480" s="11" t="inlineStr">
        <is>
          <t>Mr. Advocate</t>
        </is>
      </c>
      <c r="AA480" s="11" t="inlineStr">
        <is>
          <t>2026-10-07</t>
        </is>
      </c>
      <c r="AB480" s="11" t="inlineStr">
        <is>
          <t>citation</t>
        </is>
      </c>
      <c r="AC480" s="2" t="inlineStr"/>
      <c r="AD480" s="2" t="inlineStr">
        <is>
          <t>Willie (William) Slaney v. The State of Madhya Pradesh (1956) was overruled by State of Uttar Pradesh v. Singhara Singh and Others (1964).</t>
        </is>
      </c>
      <c r="AE480" s="2" t="n"/>
      <c r="AF480" s="11" t="inlineStr">
        <is>
          <t>created from list 1</t>
        </is>
      </c>
    </row>
    <row r="481">
      <c r="A481" s="11" t="inlineStr">
        <is>
          <t>L1-0480</t>
        </is>
      </c>
      <c r="B481" s="11" t="inlineStr">
        <is>
          <t>List 1 (to ~2015)</t>
        </is>
      </c>
      <c r="C481" s="11" t="inlineStr">
        <is>
          <t>list1</t>
        </is>
      </c>
      <c r="D481" s="11" t="inlineStr">
        <is>
          <t>verified</t>
        </is>
      </c>
      <c r="E481" s="11" t="inlineStr">
        <is>
          <t>overruled</t>
        </is>
      </c>
      <c r="F481" s="2" t="inlineStr">
        <is>
          <t>India Electric Works Ltd. v. Registrar of Trade Marks</t>
        </is>
      </c>
      <c r="G481" s="11" t="inlineStr"/>
      <c r="H481" s="11" t="inlineStr">
        <is>
          <t>Calcutta</t>
        </is>
      </c>
      <c r="I481" s="2" t="inlineStr">
        <is>
          <t>AIR 1947 Cal 49</t>
        </is>
      </c>
      <c r="J481" s="11" t="n">
        <v>1947</v>
      </c>
      <c r="K481" s="2" t="inlineStr">
        <is>
          <t>National Sewing Thread Co. Ltd. v. James Chadwick and Bros. Ltd. (J. and P. Coats Ltd., Assignee)</t>
        </is>
      </c>
      <c r="L481" s="11" t="inlineStr">
        <is>
          <t>Supreme Court</t>
        </is>
      </c>
      <c r="M481" s="2" t="inlineStr">
        <is>
          <t>AIR 1953 SC 357; (1953) 4 SCR 1028</t>
        </is>
      </c>
      <c r="N481" s="11" t="n">
        <v>1953</v>
      </c>
      <c r="O481" s="11" t="n"/>
      <c r="P481" s="11" t="n"/>
      <c r="Q481" s="11" t="n"/>
      <c r="R481" s="2" t="n"/>
      <c r="S481" s="2" t="n"/>
      <c r="T481" s="11" t="inlineStr"/>
      <c r="U481" s="11" t="inlineStr"/>
      <c r="V481" s="11" t="inlineStr">
        <is>
          <t>outside_list</t>
        </is>
      </c>
      <c r="W481" s="11" t="n"/>
      <c r="X481" s="11" t="n"/>
      <c r="Y481" s="11" t="n"/>
      <c r="Z481" s="11" t="inlineStr">
        <is>
          <t>Mr. Advocate</t>
        </is>
      </c>
      <c r="AA481" s="11" t="inlineStr">
        <is>
          <t>2026-10-07</t>
        </is>
      </c>
      <c r="AB481" s="11" t="inlineStr">
        <is>
          <t>name_year</t>
        </is>
      </c>
      <c r="AC481" s="2" t="inlineStr"/>
      <c r="AD481" s="2" t="inlineStr">
        <is>
          <t>India Electric Works Ltd. v. Registrar of Trade Marks (1947) was overruled by National Sewing Thread Co. Ltd. v. James Chadwick and Bros. Ltd. (J. and P. Coats Ltd., Assignee) (1953).</t>
        </is>
      </c>
      <c r="AE481" s="2" t="n"/>
      <c r="AF481" s="11" t="inlineStr">
        <is>
          <t>created from list 1</t>
        </is>
      </c>
    </row>
    <row r="482">
      <c r="A482" s="11" t="inlineStr">
        <is>
          <t>L1-0481</t>
        </is>
      </c>
      <c r="B482" s="11" t="inlineStr">
        <is>
          <t>List 1 (to ~2015)</t>
        </is>
      </c>
      <c r="C482" s="11" t="inlineStr">
        <is>
          <t>list1</t>
        </is>
      </c>
      <c r="D482" s="11" t="inlineStr">
        <is>
          <t>verified</t>
        </is>
      </c>
      <c r="E482" s="11" t="inlineStr">
        <is>
          <t>overruled</t>
        </is>
      </c>
      <c r="F482" s="2" t="inlineStr">
        <is>
          <t>The Chief Commissioner, Delhi and Another v. The Delhi Cloth and General Mills Co. Ltd. and Others</t>
        </is>
      </c>
      <c r="G482" s="11" t="inlineStr"/>
      <c r="H482" s="11" t="inlineStr">
        <is>
          <t>Supreme Court</t>
        </is>
      </c>
      <c r="I482" s="2" t="inlineStr">
        <is>
          <t>AIR 1978 SC 1181; (1978) 48 CompCas 588; (1978) 2 SCC 367; (1978) 3 SCR 657; (1978) 10 UJ 376</t>
        </is>
      </c>
      <c r="J482" s="11" t="n">
        <v>1978</v>
      </c>
      <c r="K482" s="2" t="inlineStr">
        <is>
          <t>State of Himachal Pradesh and Others v. Shivalik Agro Poly Products and Others</t>
        </is>
      </c>
      <c r="L482" s="11" t="inlineStr">
        <is>
          <t>Supreme Court</t>
        </is>
      </c>
      <c r="M482" s="2" t="inlineStr">
        <is>
          <t>AIR 2004 SC 4393; (2004) 7 JT 371; (2004) 7 SCALE 658; (2004) 8 SCC 556; (2004) AIRSCW 5207; (2004) 7 Supreme 78</t>
        </is>
      </c>
      <c r="N482" s="11" t="n">
        <v>2004</v>
      </c>
      <c r="O482" s="11" t="n"/>
      <c r="P482" s="11" t="n"/>
      <c r="Q482" s="11" t="n"/>
      <c r="R482" s="2" t="n"/>
      <c r="S482" s="2" t="n"/>
      <c r="T482" s="11" t="inlineStr"/>
      <c r="U482" s="11" t="inlineStr"/>
      <c r="V482" s="11" t="inlineStr">
        <is>
          <t>outside_list</t>
        </is>
      </c>
      <c r="W482" s="11" t="n"/>
      <c r="X482" s="11" t="n"/>
      <c r="Y482" s="11" t="n"/>
      <c r="Z482" s="11" t="inlineStr">
        <is>
          <t>Mr. Advocate</t>
        </is>
      </c>
      <c r="AA482" s="11" t="inlineStr">
        <is>
          <t>2026-10-07</t>
        </is>
      </c>
      <c r="AB482" s="11" t="inlineStr">
        <is>
          <t>name_year</t>
        </is>
      </c>
      <c r="AC482" s="2" t="inlineStr"/>
      <c r="AD482" s="2" t="inlineStr">
        <is>
          <t>The Chief Commissioner, Delhi and Another v. The Delhi Cloth and General Mills Co. Ltd. and Others (1978) was overruled by State of Himachal Pradesh and Others v. Shivalik Agro Poly Products and Others (2004).</t>
        </is>
      </c>
      <c r="AE482" s="2" t="n"/>
      <c r="AF482" s="11" t="inlineStr">
        <is>
          <t>created from list 1</t>
        </is>
      </c>
    </row>
    <row r="483">
      <c r="A483" s="11" t="inlineStr">
        <is>
          <t>L1-0482</t>
        </is>
      </c>
      <c r="B483" s="11" t="inlineStr">
        <is>
          <t>List 1 (to ~2015)</t>
        </is>
      </c>
      <c r="C483" s="11" t="inlineStr">
        <is>
          <t>list1</t>
        </is>
      </c>
      <c r="D483" s="11" t="inlineStr">
        <is>
          <t>verified</t>
        </is>
      </c>
      <c r="E483" s="11" t="inlineStr">
        <is>
          <t>overruled</t>
        </is>
      </c>
      <c r="F483" s="2" t="inlineStr">
        <is>
          <t>Smt. Somavanti and Others v. The State of Punjab and Others</t>
        </is>
      </c>
      <c r="G483" s="11" t="inlineStr"/>
      <c r="H483" s="11" t="inlineStr">
        <is>
          <t>Supreme Court</t>
        </is>
      </c>
      <c r="I483" s="2" t="inlineStr">
        <is>
          <t>AIR 1963 SC 151; (1963) 33 CompCas 745; (1963) 2 SCR 774</t>
        </is>
      </c>
      <c r="J483" s="11" t="n">
        <v>1963</v>
      </c>
      <c r="K483" s="2" t="inlineStr">
        <is>
          <t>Kesho Ram and Co. and Others etc. v. Union of India (UOI) and Others</t>
        </is>
      </c>
      <c r="L483" s="11" t="inlineStr">
        <is>
          <t>Supreme Court</t>
        </is>
      </c>
      <c r="M483" s="2" t="inlineStr">
        <is>
          <t>(1989) 1 JT 203 Supp; (1989) JT 203 Supp; (1989) 96 PLR 1; (1989) 1 SCALE 1421; (1989) 3 SCC 151; (1989) 2 SCR 1005</t>
        </is>
      </c>
      <c r="N483" s="11" t="n">
        <v>1989</v>
      </c>
      <c r="O483" s="11" t="n"/>
      <c r="P483" s="11" t="n"/>
      <c r="Q483" s="11" t="n"/>
      <c r="R483" s="2" t="n"/>
      <c r="S483" s="2" t="n"/>
      <c r="T483" s="11" t="inlineStr"/>
      <c r="U483" s="11" t="inlineStr"/>
      <c r="V483" s="11" t="inlineStr">
        <is>
          <t>outside_list</t>
        </is>
      </c>
      <c r="W483" s="11" t="n"/>
      <c r="X483" s="11" t="n"/>
      <c r="Y483" s="11" t="n"/>
      <c r="Z483" s="11" t="inlineStr">
        <is>
          <t>Mr. Advocate</t>
        </is>
      </c>
      <c r="AA483" s="11" t="inlineStr">
        <is>
          <t>2026-10-07</t>
        </is>
      </c>
      <c r="AB483" s="11" t="inlineStr">
        <is>
          <t>citation</t>
        </is>
      </c>
      <c r="AC483" s="2" t="inlineStr">
        <is>
          <t>L1-0631: overruled by Shri Kishan @ Krishan Kumar v. Manoj Kumar Etc. Etc. (1998)</t>
        </is>
      </c>
      <c r="AD483" s="2" t="inlineStr">
        <is>
          <t>Smt. Somavanti and Others v. The State of Punjab and Others (1963)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c r="AE483" s="2" t="n"/>
      <c r="AF483" s="11" t="inlineStr">
        <is>
          <t>created from list 1</t>
        </is>
      </c>
    </row>
    <row r="484">
      <c r="A484" s="11" t="inlineStr">
        <is>
          <t>L1-0483</t>
        </is>
      </c>
      <c r="B484" s="11" t="inlineStr">
        <is>
          <t>List 1 (to ~2015)</t>
        </is>
      </c>
      <c r="C484" s="11" t="inlineStr">
        <is>
          <t>list1</t>
        </is>
      </c>
      <c r="D484" s="11" t="inlineStr">
        <is>
          <t>verified</t>
        </is>
      </c>
      <c r="E484" s="11" t="inlineStr">
        <is>
          <t>overruled</t>
        </is>
      </c>
      <c r="F484" s="2" t="inlineStr">
        <is>
          <t>Chhotabhai Jethabai Patel and Co. v. The State of Madhya Pradesh</t>
        </is>
      </c>
      <c r="G484" s="11" t="inlineStr"/>
      <c r="H484" s="11" t="inlineStr">
        <is>
          <t>Supreme Court</t>
        </is>
      </c>
      <c r="I484" s="2" t="inlineStr">
        <is>
          <t>(1953) 4 SCR 476</t>
        </is>
      </c>
      <c r="J484" s="11" t="n">
        <v>1953</v>
      </c>
      <c r="K484" s="2" t="inlineStr">
        <is>
          <t>State of Orissa and Others v. Titaghur Paper Mills Company Limited and Another</t>
        </is>
      </c>
      <c r="L484" s="11" t="inlineStr">
        <is>
          <t>Supreme Court</t>
        </is>
      </c>
      <c r="M484" s="2" t="inlineStr">
        <is>
          <t>AIR 1985 SC 1293; (1986) 1 ARBLR 135; (1985) 2 SCALE 410; (1985) SCC 280 Supp; (1985) 3 SCR 26; (1985) 60 STC 213</t>
        </is>
      </c>
      <c r="N484" s="11" t="n">
        <v>1985</v>
      </c>
      <c r="O484" s="11" t="n"/>
      <c r="P484" s="11" t="n"/>
      <c r="Q484" s="11" t="n"/>
      <c r="R484" s="2" t="n"/>
      <c r="S484" s="2" t="n"/>
      <c r="T484" s="11" t="inlineStr"/>
      <c r="U484" s="11" t="inlineStr"/>
      <c r="V484" s="11" t="inlineStr">
        <is>
          <t>outside_list</t>
        </is>
      </c>
      <c r="W484" s="11" t="n"/>
      <c r="X484" s="11" t="n"/>
      <c r="Y484" s="11" t="n"/>
      <c r="Z484" s="11" t="inlineStr">
        <is>
          <t>Mr. Advocate</t>
        </is>
      </c>
      <c r="AA484" s="11" t="inlineStr">
        <is>
          <t>2026-10-07</t>
        </is>
      </c>
      <c r="AB484" s="11" t="inlineStr">
        <is>
          <t>name_year</t>
        </is>
      </c>
      <c r="AC484" s="2" t="inlineStr"/>
      <c r="AD484" s="2" t="inlineStr">
        <is>
          <t>Chhotabhai Jethabai Patel and Co. v. The State of Madhya Pradesh (1953) was overruled by State of Orissa and Others v. Titaghur Paper Mills Company Limited and Another (1985).</t>
        </is>
      </c>
      <c r="AE484" s="2" t="n"/>
      <c r="AF484" s="11" t="inlineStr">
        <is>
          <t>created from list 1</t>
        </is>
      </c>
    </row>
    <row r="485">
      <c r="A485" s="11" t="inlineStr">
        <is>
          <t>L1-0484</t>
        </is>
      </c>
      <c r="B485" s="11" t="inlineStr">
        <is>
          <t>List 1 (to ~2015)</t>
        </is>
      </c>
      <c r="C485" s="11" t="inlineStr">
        <is>
          <t>list1</t>
        </is>
      </c>
      <c r="D485" s="11" t="inlineStr">
        <is>
          <t>verified</t>
        </is>
      </c>
      <c r="E485" s="11" t="inlineStr">
        <is>
          <t>overruled</t>
        </is>
      </c>
      <c r="F485" s="2" t="inlineStr">
        <is>
          <t>State of Madhya Pradesh v. Bhailal Bhai and Others</t>
        </is>
      </c>
      <c r="G485" s="11" t="inlineStr"/>
      <c r="H485" s="11" t="inlineStr">
        <is>
          <t>Supreme Court</t>
        </is>
      </c>
      <c r="I485" s="2" t="inlineStr">
        <is>
          <t>AIR 1964 SC 1006; (1964) 6 SCR 261; (1964) 15 STC 450</t>
        </is>
      </c>
      <c r="J485" s="11" t="n">
        <v>1964</v>
      </c>
      <c r="K485" s="2" t="inlineStr">
        <is>
          <t>Mafatlal Industries Ltd. and Others v. Union of India (UOI) and Others</t>
        </is>
      </c>
      <c r="L485" s="11" t="inlineStr">
        <is>
          <t>Supreme Court</t>
        </is>
      </c>
      <c r="M485" s="2" t="inlineStr">
        <is>
          <t>(2002) 83 ECC 85; (1997) 68 ECR 273; (1997) 89 ELT 247; (1996) 11 JT 283; (1996) 9 SCALE 457; (1997) 5 SCC 536; (1996) 10 SCR 585 Supp; (1998) 111 STC 467</t>
        </is>
      </c>
      <c r="N485" s="11" t="n">
        <v>1996</v>
      </c>
      <c r="O485" s="11" t="n"/>
      <c r="P485" s="11" t="n"/>
      <c r="Q485" s="11" t="n"/>
      <c r="R485" s="2" t="n"/>
      <c r="S485" s="2" t="n"/>
      <c r="T485" s="11" t="inlineStr"/>
      <c r="U485" s="11" t="inlineStr"/>
      <c r="V485" s="11" t="inlineStr">
        <is>
          <t>outside_list</t>
        </is>
      </c>
      <c r="W485" s="11" t="n"/>
      <c r="X485" s="11" t="n"/>
      <c r="Y485" s="11" t="n"/>
      <c r="Z485" s="11" t="inlineStr">
        <is>
          <t>Mr. Advocate</t>
        </is>
      </c>
      <c r="AA485" s="11" t="inlineStr">
        <is>
          <t>2026-10-07</t>
        </is>
      </c>
      <c r="AB485" s="11" t="inlineStr">
        <is>
          <t>name_year</t>
        </is>
      </c>
      <c r="AC485" s="2" t="inlineStr"/>
      <c r="AD485" s="2" t="inlineStr">
        <is>
          <t>State of Madhya Pradesh v. Bhailal Bhai and Others (1964) was overruled by Mafatlal Industries Ltd. and Others v. Union of India (UOI) and Others (1996).</t>
        </is>
      </c>
      <c r="AE485" s="2" t="n"/>
      <c r="AF485" s="11" t="inlineStr">
        <is>
          <t>created from list 1</t>
        </is>
      </c>
    </row>
    <row r="486">
      <c r="A486" s="11" t="inlineStr">
        <is>
          <t>L1-0485</t>
        </is>
      </c>
      <c r="B486" s="11" t="inlineStr">
        <is>
          <t>List 1 (to ~2015)</t>
        </is>
      </c>
      <c r="C486" s="11" t="inlineStr">
        <is>
          <t>list1</t>
        </is>
      </c>
      <c r="D486" s="11" t="inlineStr">
        <is>
          <t>verified</t>
        </is>
      </c>
      <c r="E486" s="11" t="inlineStr">
        <is>
          <t>overruled</t>
        </is>
      </c>
      <c r="F486" s="2" t="inlineStr">
        <is>
          <t>Anil Kumar Neotia and Others v. Union of India (UOI) and Others</t>
        </is>
      </c>
      <c r="G486" s="11" t="inlineStr"/>
      <c r="H486" s="11" t="inlineStr">
        <is>
          <t>Supreme Court</t>
        </is>
      </c>
      <c r="I486" s="2" t="inlineStr">
        <is>
          <t>AIR 1988 SC 1353; (1988) 2 CompLJ 91; (1988) 2 JT 227; (1988) 1 SCALE 817; (1988) 2 SCC 587; (1988) 3 SCR 738; (1988) 2 UJ 77</t>
        </is>
      </c>
      <c r="J486" s="11" t="n">
        <v>1988</v>
      </c>
      <c r="K486" s="2" t="inlineStr">
        <is>
          <t>Kesho Ram and Co. and Others etc. v. Union of India (UOI) and Others</t>
        </is>
      </c>
      <c r="L486" s="11" t="inlineStr">
        <is>
          <t>Supreme Court</t>
        </is>
      </c>
      <c r="M486" s="2" t="inlineStr">
        <is>
          <t>(1989) 1 JT 203 Supp; (1989) JT 203 Supp; (1989) 96 PLR 1; (1989) 1 SCALE 1421; (1989) 3 SCC 151; (1989) 2 SCR 1005</t>
        </is>
      </c>
      <c r="N486" s="11" t="n">
        <v>1989</v>
      </c>
      <c r="O486" s="11" t="n"/>
      <c r="P486" s="11" t="n"/>
      <c r="Q486" s="11" t="n"/>
      <c r="R486" s="2" t="n"/>
      <c r="S486" s="2" t="n"/>
      <c r="T486" s="11" t="inlineStr"/>
      <c r="U486" s="11" t="inlineStr"/>
      <c r="V486" s="11" t="inlineStr">
        <is>
          <t>outside_list</t>
        </is>
      </c>
      <c r="W486" s="11" t="n"/>
      <c r="X486" s="11" t="n"/>
      <c r="Y486" s="11" t="n"/>
      <c r="Z486" s="11" t="inlineStr">
        <is>
          <t>Mr. Advocate</t>
        </is>
      </c>
      <c r="AA486" s="11" t="inlineStr">
        <is>
          <t>2026-10-07</t>
        </is>
      </c>
      <c r="AB486" s="11" t="inlineStr">
        <is>
          <t>name_year</t>
        </is>
      </c>
      <c r="AC486" s="2" t="inlineStr">
        <is>
          <t>L1-0631: overruled by Shri Kishan @ Krishan Kumar v. Manoj Kumar Etc. Etc. (1998)</t>
        </is>
      </c>
      <c r="AD486" s="2" t="inlineStr">
        <is>
          <t>Anil Kumar Neotia and Others v. Union of India (UOI) and Others (1988)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c r="AE486" s="2" t="n"/>
      <c r="AF486" s="11" t="inlineStr">
        <is>
          <t>created from list 1</t>
        </is>
      </c>
    </row>
    <row r="487">
      <c r="A487" s="11" t="inlineStr">
        <is>
          <t>L1-0486</t>
        </is>
      </c>
      <c r="B487" s="11" t="inlineStr">
        <is>
          <t>List 1 (to ~2015)</t>
        </is>
      </c>
      <c r="C487" s="11" t="inlineStr">
        <is>
          <t>list1</t>
        </is>
      </c>
      <c r="D487" s="11" t="inlineStr">
        <is>
          <t>verified</t>
        </is>
      </c>
      <c r="E487" s="11" t="inlineStr">
        <is>
          <t>overruled</t>
        </is>
      </c>
      <c r="F487" s="2" t="inlineStr">
        <is>
          <t>Nutakki Sesharatanam v. Sub- Collector, Land Acquisition, Vijayawada and others</t>
        </is>
      </c>
      <c r="G487" s="11" t="inlineStr"/>
      <c r="H487" s="11" t="inlineStr">
        <is>
          <t>Supreme Court</t>
        </is>
      </c>
      <c r="I487" s="2" t="inlineStr">
        <is>
          <t>AIR 1992 SC 131; (1991) 4 JT 274; (1991) 2 SCALE 921; (1992) 1 SCC 114; (1991) 2 SCR 115 Supp</t>
        </is>
      </c>
      <c r="J487" s="11" t="n">
        <v>1992</v>
      </c>
      <c r="K487" s="2" t="inlineStr">
        <is>
          <t>State of Rajasthan and Others v. D.R. Laxmi and Others</t>
        </is>
      </c>
      <c r="L487" s="11" t="inlineStr">
        <is>
          <t>Supreme Court</t>
        </is>
      </c>
      <c r="M487" s="2" t="inlineStr">
        <is>
          <t>(1996) 7 AD 562; (1996) 9 JT 327; (1996) 7 SCALE 316; (1996) 6 SCC 445; (1996) 6 SCR 221 Supp; (1997) 1 UJ 445</t>
        </is>
      </c>
      <c r="N487" s="11" t="n">
        <v>1996</v>
      </c>
      <c r="O487" s="11" t="n"/>
      <c r="P487" s="11" t="n"/>
      <c r="Q487" s="11" t="n"/>
      <c r="R487" s="2" t="n"/>
      <c r="S487" s="2" t="n"/>
      <c r="T487" s="11" t="inlineStr"/>
      <c r="U487" s="11" t="inlineStr"/>
      <c r="V487" s="11" t="inlineStr">
        <is>
          <t>outside_list</t>
        </is>
      </c>
      <c r="W487" s="11" t="n"/>
      <c r="X487" s="11" t="n"/>
      <c r="Y487" s="11" t="n"/>
      <c r="Z487" s="11" t="inlineStr">
        <is>
          <t>Mr. Advocate</t>
        </is>
      </c>
      <c r="AA487" s="11" t="inlineStr">
        <is>
          <t>2026-10-07</t>
        </is>
      </c>
      <c r="AB487" s="11" t="inlineStr">
        <is>
          <t>name_year</t>
        </is>
      </c>
      <c r="AC487" s="2" t="inlineStr"/>
      <c r="AD487" s="2" t="inlineStr">
        <is>
          <t>Nutakki Sesharatanam v. Sub- Collector, Land Acquisition, Vijayawada and others (1992) was overruled by State of Rajasthan and Others v. D.R. Laxmi and Others (1996).</t>
        </is>
      </c>
      <c r="AE487" s="2" t="n"/>
      <c r="AF487" s="11" t="inlineStr">
        <is>
          <t>created from list 1</t>
        </is>
      </c>
    </row>
    <row r="488">
      <c r="A488" s="11" t="inlineStr">
        <is>
          <t>L1-0487</t>
        </is>
      </c>
      <c r="B488" s="11" t="inlineStr">
        <is>
          <t>List 1 (to ~2015)</t>
        </is>
      </c>
      <c r="C488" s="11" t="inlineStr">
        <is>
          <t>list1</t>
        </is>
      </c>
      <c r="D488" s="11" t="inlineStr">
        <is>
          <t>verified</t>
        </is>
      </c>
      <c r="E488" s="11" t="inlineStr">
        <is>
          <t>overruled</t>
        </is>
      </c>
      <c r="F488" s="2" t="inlineStr">
        <is>
          <t>Collector of Central Excise v. New Tobacco Co. Etc. Etc.</t>
        </is>
      </c>
      <c r="G488" s="11" t="inlineStr"/>
      <c r="H488" s="11" t="inlineStr">
        <is>
          <t>Supreme Court</t>
        </is>
      </c>
      <c r="I488" s="2" t="inlineStr">
        <is>
          <t>(1998) 1 AD 301; AIR 1998 SC 668; (1998) 97 ELT 388; (1998) 1 JT 66; (1998) 1 SCALE 58; (1998) 8 SCC 250; (1998) 1 SCR 63; (1998) 109 STC 376; (1998) AIRSCW 319; (1998) 1 Supreme 189</t>
        </is>
      </c>
      <c r="J488" s="11" t="n">
        <v>1998</v>
      </c>
      <c r="K488" s="2" t="inlineStr">
        <is>
          <t>Union of India and Others v. M/s. Ganesh Das Bhojraj</t>
        </is>
      </c>
      <c r="L488" s="11" t="inlineStr">
        <is>
          <t>Supreme Court</t>
        </is>
      </c>
      <c r="M488" s="2" t="inlineStr">
        <is>
          <t>AIR 2000 SC 1102; (2000) 68 ECC 382; (2000) 116 ELT 431; (2000) 244 ITR 691; (2000) 2 JT 314; (2000) 2 SCALE 17; (2000) 9 SCC 461; (2000) 1 SCR 1081; (2000) 119 STC 293; (2000) 2 UJ 970; (2000) AIRSCW 764; (2000) 2 Supreme 525</t>
        </is>
      </c>
      <c r="N488" s="11" t="n">
        <v>2000</v>
      </c>
      <c r="O488" s="11" t="n"/>
      <c r="P488" s="11" t="n"/>
      <c r="Q488" s="11" t="n"/>
      <c r="R488" s="2" t="n"/>
      <c r="S488" s="2" t="n"/>
      <c r="T488" s="11" t="inlineStr"/>
      <c r="U488" s="11" t="inlineStr"/>
      <c r="V488" s="11" t="inlineStr">
        <is>
          <t>outside_list</t>
        </is>
      </c>
      <c r="W488" s="11" t="n"/>
      <c r="X488" s="11" t="n"/>
      <c r="Y488" s="11" t="n"/>
      <c r="Z488" s="11" t="inlineStr">
        <is>
          <t>Mr. Advocate</t>
        </is>
      </c>
      <c r="AA488" s="11" t="inlineStr">
        <is>
          <t>2026-10-07</t>
        </is>
      </c>
      <c r="AB488" s="11" t="inlineStr">
        <is>
          <t>name_year</t>
        </is>
      </c>
      <c r="AC488" s="2" t="inlineStr"/>
      <c r="AD488" s="2" t="inlineStr">
        <is>
          <t>Collector of Central Excise v. New Tobacco Co. Etc. Etc. (1998) was overruled by Union of India and Others v. M/s. Ganesh Das Bhojraj (2000).</t>
        </is>
      </c>
      <c r="AE488" s="2" t="n"/>
      <c r="AF488" s="11" t="inlineStr">
        <is>
          <t>created from list 1</t>
        </is>
      </c>
    </row>
    <row r="489">
      <c r="A489" s="11" t="inlineStr">
        <is>
          <t>L1-0488</t>
        </is>
      </c>
      <c r="B489" s="11" t="inlineStr">
        <is>
          <t>List 1 (to ~2015)</t>
        </is>
      </c>
      <c r="C489" s="11" t="inlineStr">
        <is>
          <t>list1</t>
        </is>
      </c>
      <c r="D489" s="11" t="inlineStr">
        <is>
          <t>verified</t>
        </is>
      </c>
      <c r="E489" s="11" t="inlineStr">
        <is>
          <t>overruled</t>
        </is>
      </c>
      <c r="F489" s="2" t="inlineStr">
        <is>
          <t>Mahadeo v. The State of Bombay</t>
        </is>
      </c>
      <c r="G489" s="11" t="inlineStr"/>
      <c r="H489" s="11" t="inlineStr">
        <is>
          <t>Supreme Court</t>
        </is>
      </c>
      <c r="I489" s="2" t="inlineStr">
        <is>
          <t>AIR 1959 SC 735; (1959) 2 SCR 339 Supp</t>
        </is>
      </c>
      <c r="J489" s="11" t="n">
        <v>1959</v>
      </c>
      <c r="K489" s="2" t="inlineStr">
        <is>
          <t>Anwar Khan Mehboob and Co. v. State of Madhya Pradesh and Others</t>
        </is>
      </c>
      <c r="L489" s="11" t="inlineStr">
        <is>
          <t>Supreme Court</t>
        </is>
      </c>
      <c r="M489" s="2" t="inlineStr">
        <is>
          <t>AIR 1966 SC 1637; (1966) 2 SCR 40</t>
        </is>
      </c>
      <c r="N489" s="11" t="n">
        <v>1966</v>
      </c>
      <c r="O489" s="11" t="n"/>
      <c r="P489" s="11" t="n"/>
      <c r="Q489" s="11" t="n"/>
      <c r="R489" s="2" t="n"/>
      <c r="S489" s="2" t="n"/>
      <c r="T489" s="11" t="inlineStr"/>
      <c r="U489" s="11" t="inlineStr"/>
      <c r="V489" s="11" t="inlineStr">
        <is>
          <t>outside_list</t>
        </is>
      </c>
      <c r="W489" s="11" t="n"/>
      <c r="X489" s="11" t="n"/>
      <c r="Y489" s="11" t="n"/>
      <c r="Z489" s="11" t="inlineStr">
        <is>
          <t>Mr. Advocate</t>
        </is>
      </c>
      <c r="AA489" s="11" t="inlineStr">
        <is>
          <t>2026-10-07</t>
        </is>
      </c>
      <c r="AB489" s="11" t="inlineStr">
        <is>
          <t>citation</t>
        </is>
      </c>
      <c r="AC489" s="2" t="inlineStr"/>
      <c r="AD489" s="2" t="inlineStr">
        <is>
          <t>Mahadeo v. The State of Bombay (1959) was overruled by Anwar Khan Mehboob and Co. v. State of Madhya Pradesh and Others (1966).</t>
        </is>
      </c>
      <c r="AE489" s="2" t="n"/>
      <c r="AF489" s="11" t="inlineStr">
        <is>
          <t>created from list 1</t>
        </is>
      </c>
    </row>
    <row r="490">
      <c r="A490" s="11" t="inlineStr">
        <is>
          <t>L1-0489</t>
        </is>
      </c>
      <c r="B490" s="11" t="inlineStr">
        <is>
          <t>List 1 (to ~2015)</t>
        </is>
      </c>
      <c r="C490" s="11" t="inlineStr">
        <is>
          <t>list1</t>
        </is>
      </c>
      <c r="D490" s="11" t="inlineStr">
        <is>
          <t>verified</t>
        </is>
      </c>
      <c r="E490" s="11" t="inlineStr">
        <is>
          <t>overruled</t>
        </is>
      </c>
      <c r="F490" s="2" t="inlineStr">
        <is>
          <t>Dwarka Dass Bhatia v. The State of Jammu and Kashmir</t>
        </is>
      </c>
      <c r="G490" s="11" t="inlineStr"/>
      <c r="H490" s="11" t="inlineStr">
        <is>
          <t>Supreme Court</t>
        </is>
      </c>
      <c r="I490" s="2" t="inlineStr">
        <is>
          <t>AIR 1957 SC 164; (1957) CriLJ 316; (1956) 1 SCR 948</t>
        </is>
      </c>
      <c r="J490" s="11" t="n">
        <v>1957</v>
      </c>
      <c r="K490" s="2" t="inlineStr">
        <is>
          <t>Motilal Jain v. State of Bihar and Others</t>
        </is>
      </c>
      <c r="L490" s="11" t="inlineStr">
        <is>
          <t>Supreme Court</t>
        </is>
      </c>
      <c r="M490" s="2" t="inlineStr">
        <is>
          <t>AIR 1968 SC 1509; (1969) CriLJ 33; (1968) 3 SCR 587</t>
        </is>
      </c>
      <c r="N490" s="11" t="n">
        <v>1968</v>
      </c>
      <c r="O490" s="11" t="n"/>
      <c r="P490" s="11" t="n"/>
      <c r="Q490" s="11" t="n"/>
      <c r="R490" s="2" t="n"/>
      <c r="S490" s="2" t="n"/>
      <c r="T490" s="11" t="inlineStr"/>
      <c r="U490" s="11" t="inlineStr"/>
      <c r="V490" s="11" t="inlineStr">
        <is>
          <t>outside_list</t>
        </is>
      </c>
      <c r="W490" s="11" t="n"/>
      <c r="X490" s="11" t="n"/>
      <c r="Y490" s="11" t="n"/>
      <c r="Z490" s="11" t="inlineStr">
        <is>
          <t>Mr. Advocate</t>
        </is>
      </c>
      <c r="AA490" s="11" t="inlineStr">
        <is>
          <t>2026-10-07</t>
        </is>
      </c>
      <c r="AB490" s="11" t="inlineStr">
        <is>
          <t>name_year</t>
        </is>
      </c>
      <c r="AC490" s="2" t="inlineStr"/>
      <c r="AD490" s="2" t="inlineStr">
        <is>
          <t>Dwarka Dass Bhatia v. The State of Jammu and Kashmir (1957) was overruled by Motilal Jain v. State of Bihar and Others (1968).</t>
        </is>
      </c>
      <c r="AE490" s="2" t="n"/>
      <c r="AF490" s="11" t="inlineStr">
        <is>
          <t>created from list 1</t>
        </is>
      </c>
    </row>
    <row r="491">
      <c r="A491" s="11" t="inlineStr">
        <is>
          <t>L1-0490</t>
        </is>
      </c>
      <c r="B491" s="11" t="inlineStr">
        <is>
          <t>List 1 (to ~2015)</t>
        </is>
      </c>
      <c r="C491" s="11" t="inlineStr">
        <is>
          <t>list1</t>
        </is>
      </c>
      <c r="D491" s="11" t="inlineStr">
        <is>
          <t>verified</t>
        </is>
      </c>
      <c r="E491" s="11" t="inlineStr">
        <is>
          <t>overruled</t>
        </is>
      </c>
      <c r="F491" s="2" t="inlineStr">
        <is>
          <t>Bhikaji Narain Dhakras and Others v. The State of Madhya Pradesh and Another</t>
        </is>
      </c>
      <c r="G491" s="11" t="inlineStr"/>
      <c r="H491" s="11" t="inlineStr">
        <is>
          <t>Supreme Court</t>
        </is>
      </c>
      <c r="I491" s="2" t="inlineStr">
        <is>
          <t>AIR 1955 SC 781; (1955) 2 SCR 589</t>
        </is>
      </c>
      <c r="J491" s="11" t="n">
        <v>1955</v>
      </c>
      <c r="K491" s="2" t="inlineStr">
        <is>
          <t>Deep Chand v. The State of Uttar Pradesh and Others</t>
        </is>
      </c>
      <c r="L491" s="11" t="inlineStr">
        <is>
          <t>Supreme Court</t>
        </is>
      </c>
      <c r="M491" s="2" t="inlineStr">
        <is>
          <t>AIR 1959 SC 648</t>
        </is>
      </c>
      <c r="N491" s="11" t="n">
        <v>1959</v>
      </c>
      <c r="O491" s="11" t="n"/>
      <c r="P491" s="11" t="n"/>
      <c r="Q491" s="11" t="n"/>
      <c r="R491" s="2" t="n"/>
      <c r="S491" s="2" t="n"/>
      <c r="T491" s="11" t="inlineStr"/>
      <c r="U491" s="11" t="inlineStr"/>
      <c r="V491" s="11" t="inlineStr">
        <is>
          <t>outside_list</t>
        </is>
      </c>
      <c r="W491" s="11" t="n"/>
      <c r="X491" s="11" t="n"/>
      <c r="Y491" s="11" t="n"/>
      <c r="Z491" s="11" t="inlineStr">
        <is>
          <t>Mr. Advocate</t>
        </is>
      </c>
      <c r="AA491" s="11" t="inlineStr">
        <is>
          <t>2026-10-07</t>
        </is>
      </c>
      <c r="AB491" s="11" t="inlineStr">
        <is>
          <t>name_year</t>
        </is>
      </c>
      <c r="AC491" s="2" t="inlineStr">
        <is>
          <t>L1-0248: overruled by Dr. A.K. Sabhapathy v. State of Kerala and others (1992)</t>
        </is>
      </c>
      <c r="AD491" s="2" t="inlineStr">
        <is>
          <t>Bhikaji Narain Dhakras and Others v. The State of Madhya Pradesh and Another (1955) was overruled by Deep Chand v. The State of Uttar Pradesh and Others (1959). Note: Deep Chand v. The State of Uttar Pradesh and Others was itself later overruled by Dr. A.K. Sabhapathy v. State of Kerala and others (1992); the current position should be checked.</t>
        </is>
      </c>
      <c r="AE491" s="2" t="n"/>
      <c r="AF491" s="11" t="inlineStr">
        <is>
          <t>created from list 1</t>
        </is>
      </c>
    </row>
    <row r="492">
      <c r="A492" s="11" t="inlineStr">
        <is>
          <t>L1-0491</t>
        </is>
      </c>
      <c r="B492" s="11" t="inlineStr">
        <is>
          <t>List 1 (to ~2015)</t>
        </is>
      </c>
      <c r="C492" s="11" t="inlineStr">
        <is>
          <t>list1</t>
        </is>
      </c>
      <c r="D492" s="11" t="inlineStr">
        <is>
          <t>verified</t>
        </is>
      </c>
      <c r="E492" s="11" t="inlineStr">
        <is>
          <t>overruled</t>
        </is>
      </c>
      <c r="F492" s="2" t="inlineStr">
        <is>
          <t>Sha Mulchand and Co. Ltd. (In Liquidation) v. Jawahar Mills Ltd.</t>
        </is>
      </c>
      <c r="G492" s="11" t="inlineStr"/>
      <c r="H492" s="11" t="inlineStr">
        <is>
          <t>Supreme Court</t>
        </is>
      </c>
      <c r="I492" s="2" t="inlineStr">
        <is>
          <t>AIR 1953 SC 98; (1953) 23 CompCas 1; (1953) 4 SCR 351</t>
        </is>
      </c>
      <c r="J492" s="11" t="n">
        <v>1953</v>
      </c>
      <c r="K492" s="2" t="inlineStr">
        <is>
          <t>The Kerala State Electricity Board, Trivandrum v. T.P. Kunhaliumma</t>
        </is>
      </c>
      <c r="L492" s="11" t="inlineStr">
        <is>
          <t>Supreme Court</t>
        </is>
      </c>
      <c r="M492" s="2" t="inlineStr">
        <is>
          <t>AIR 1977 SC 282; (1976) 4 SCC 634; (1977) 1 SCR 996; (1977) 9 UJ 16</t>
        </is>
      </c>
      <c r="N492" s="11" t="n">
        <v>1977</v>
      </c>
      <c r="O492" s="11" t="n"/>
      <c r="P492" s="11" t="n"/>
      <c r="Q492" s="11" t="n"/>
      <c r="R492" s="2" t="n"/>
      <c r="S492" s="2" t="n"/>
      <c r="T492" s="11" t="inlineStr"/>
      <c r="U492" s="11" t="inlineStr"/>
      <c r="V492" s="11" t="inlineStr">
        <is>
          <t>outside_list</t>
        </is>
      </c>
      <c r="W492" s="11" t="n"/>
      <c r="X492" s="11" t="n"/>
      <c r="Y492" s="11" t="n"/>
      <c r="Z492" s="11" t="inlineStr">
        <is>
          <t>Mr. Advocate</t>
        </is>
      </c>
      <c r="AA492" s="11" t="inlineStr">
        <is>
          <t>2026-10-07</t>
        </is>
      </c>
      <c r="AB492" s="11" t="inlineStr">
        <is>
          <t>name_year</t>
        </is>
      </c>
      <c r="AC492" s="2" t="inlineStr"/>
      <c r="AD492" s="2" t="inlineStr">
        <is>
          <t>Sha Mulchand and Co. Ltd. (In Liquidation) v. Jawahar Mills Ltd. (1953) was overruled by The Kerala State Electricity Board, Trivandrum v. T.P. Kunhaliumma (1977).</t>
        </is>
      </c>
      <c r="AE492" s="2" t="n"/>
      <c r="AF492" s="11" t="inlineStr">
        <is>
          <t>created from list 1</t>
        </is>
      </c>
    </row>
    <row r="493">
      <c r="A493" s="11" t="inlineStr">
        <is>
          <t>L1-0492</t>
        </is>
      </c>
      <c r="B493" s="11" t="inlineStr">
        <is>
          <t>List 1 (to ~2015)</t>
        </is>
      </c>
      <c r="C493" s="11" t="inlineStr">
        <is>
          <t>list1</t>
        </is>
      </c>
      <c r="D493" s="11" t="inlineStr">
        <is>
          <t>verified</t>
        </is>
      </c>
      <c r="E493" s="11" t="inlineStr">
        <is>
          <t>overruled</t>
        </is>
      </c>
      <c r="F493" s="2" t="inlineStr">
        <is>
          <t>Chander Mohan Khanna v. The National Council of Educational Research and Training and other</t>
        </is>
      </c>
      <c r="G493" s="11" t="inlineStr"/>
      <c r="H493" s="11" t="inlineStr">
        <is>
          <t>Supreme Court</t>
        </is>
      </c>
      <c r="I493" s="2" t="inlineStr">
        <is>
          <t>AIR 1992 SC 76; (1991) 4 JT 233; (1992) 1 LLJ 331; (1991) 2 SCALE 773; (1991) 4 SCC 578; (1991) 1 SCR 165 Supp; (1992) 1 SLJ 17; (1991) 2 UJ 747</t>
        </is>
      </c>
      <c r="J493" s="11" t="n">
        <v>1992</v>
      </c>
      <c r="K493" s="2" t="inlineStr">
        <is>
          <t>Pradeep Kumar Biswas and Others v. Indian Institute of Chemical Biology and Others</t>
        </is>
      </c>
      <c r="L493" s="11" t="inlineStr">
        <is>
          <t>Supreme Court</t>
        </is>
      </c>
      <c r="M493" s="2" t="inlineStr">
        <is>
          <t>(2002) 4 JT 146; (2002) 3 SCALE 638; (2002) 5 SCC 111; (2002) 3 SCR 100</t>
        </is>
      </c>
      <c r="N493" s="11" t="n">
        <v>2002</v>
      </c>
      <c r="O493" s="11" t="n"/>
      <c r="P493" s="11" t="n"/>
      <c r="Q493" s="11" t="n"/>
      <c r="R493" s="2" t="n"/>
      <c r="S493" s="2" t="n"/>
      <c r="T493" s="11" t="inlineStr"/>
      <c r="U493" s="11" t="inlineStr"/>
      <c r="V493" s="11" t="inlineStr">
        <is>
          <t>outside_list</t>
        </is>
      </c>
      <c r="W493" s="11" t="n"/>
      <c r="X493" s="11" t="n"/>
      <c r="Y493" s="11" t="n"/>
      <c r="Z493" s="11" t="inlineStr">
        <is>
          <t>Mr. Advocate</t>
        </is>
      </c>
      <c r="AA493" s="11" t="inlineStr">
        <is>
          <t>2026-10-07</t>
        </is>
      </c>
      <c r="AB493" s="11" t="inlineStr">
        <is>
          <t>name_year</t>
        </is>
      </c>
      <c r="AC493" s="2" t="inlineStr"/>
      <c r="AD493" s="2" t="inlineStr">
        <is>
          <t>Chander Mohan Khanna v. The National Council of Educational Research and Training and other (1992) was overruled by Pradeep Kumar Biswas and Others v. Indian Institute of Chemical Biology and Others (2002).</t>
        </is>
      </c>
      <c r="AE493" s="2" t="n"/>
      <c r="AF493" s="11" t="inlineStr">
        <is>
          <t>created from list 1</t>
        </is>
      </c>
    </row>
    <row r="494">
      <c r="A494" s="11" t="inlineStr">
        <is>
          <t>L1-0493</t>
        </is>
      </c>
      <c r="B494" s="11" t="inlineStr">
        <is>
          <t>List 1 (to ~2015)</t>
        </is>
      </c>
      <c r="C494" s="11" t="inlineStr">
        <is>
          <t>list1</t>
        </is>
      </c>
      <c r="D494" s="11" t="inlineStr">
        <is>
          <t>verified</t>
        </is>
      </c>
      <c r="E494" s="11" t="inlineStr">
        <is>
          <t>overruled</t>
        </is>
      </c>
      <c r="F494" s="2" t="inlineStr">
        <is>
          <t>Chiranjit Lal Chowdhuri v. The Union of India (UOI) and Others</t>
        </is>
      </c>
      <c r="G494" s="11" t="inlineStr"/>
      <c r="H494" s="11" t="inlineStr">
        <is>
          <t>Supreme Court</t>
        </is>
      </c>
      <c r="I494" s="2" t="inlineStr">
        <is>
          <t>AIR 1951 SC 41; (1951) 21 CompCas 33; (1950) 1 SCR 869</t>
        </is>
      </c>
      <c r="J494" s="11" t="n">
        <v>1951</v>
      </c>
      <c r="K494" s="2" t="inlineStr">
        <is>
          <t>The State Trading Corporation of India Ltd. and Others v. The Commercial Tax Officer, Visakhapatnam and Others</t>
        </is>
      </c>
      <c r="L494" s="11" t="inlineStr">
        <is>
          <t>Supreme Court</t>
        </is>
      </c>
      <c r="M494" s="2" t="inlineStr">
        <is>
          <t>AIR 1963 SC 1811; (1963) 33 CompCas 1057; (1964) 4 SCR 99</t>
        </is>
      </c>
      <c r="N494" s="11" t="n">
        <v>1963</v>
      </c>
      <c r="O494" s="11" t="n"/>
      <c r="P494" s="11" t="n"/>
      <c r="Q494" s="11" t="n"/>
      <c r="R494" s="2" t="n"/>
      <c r="S494" s="2" t="n"/>
      <c r="T494" s="11" t="inlineStr"/>
      <c r="U494" s="11" t="inlineStr"/>
      <c r="V494" s="11" t="inlineStr">
        <is>
          <t>outside_list</t>
        </is>
      </c>
      <c r="W494" s="11" t="n"/>
      <c r="X494" s="11" t="n"/>
      <c r="Y494" s="11" t="n"/>
      <c r="Z494" s="11" t="inlineStr">
        <is>
          <t>Mr. Advocate</t>
        </is>
      </c>
      <c r="AA494" s="11" t="inlineStr">
        <is>
          <t>2026-10-07</t>
        </is>
      </c>
      <c r="AB494" s="11" t="inlineStr">
        <is>
          <t>name_year</t>
        </is>
      </c>
      <c r="AC494" s="2" t="inlineStr"/>
      <c r="AD494" s="2" t="inlineStr">
        <is>
          <t>Chiranjit Lal Chowdhuri v. The Union of India (UOI) and Others (1951) was overruled by The State Trading Corporation of India Ltd. and Others v. The Commercial Tax Officer, Visakhapatnam and Others (1963).</t>
        </is>
      </c>
      <c r="AE494" s="2" t="n"/>
      <c r="AF494" s="11" t="inlineStr">
        <is>
          <t>created from list 1</t>
        </is>
      </c>
    </row>
    <row r="495">
      <c r="A495" s="11" t="inlineStr">
        <is>
          <t>L1-0494</t>
        </is>
      </c>
      <c r="B495" s="11" t="inlineStr">
        <is>
          <t>List 1 (to ~2015)</t>
        </is>
      </c>
      <c r="C495" s="11" t="inlineStr">
        <is>
          <t>list1</t>
        </is>
      </c>
      <c r="D495" s="11" t="inlineStr">
        <is>
          <t>verified</t>
        </is>
      </c>
      <c r="E495" s="11" t="inlineStr">
        <is>
          <t>overruled</t>
        </is>
      </c>
      <c r="F495" s="2" t="inlineStr">
        <is>
          <t>The State of Madras v. Srimathi Champakam Dorairajan</t>
        </is>
      </c>
      <c r="G495" s="11" t="inlineStr"/>
      <c r="H495" s="11" t="inlineStr">
        <is>
          <t>Supreme Court</t>
        </is>
      </c>
      <c r="I495" s="2" t="inlineStr">
        <is>
          <t>AIR 1951 SC 226; (1951) 2 SCR 525</t>
        </is>
      </c>
      <c r="J495" s="11" t="n">
        <v>1951</v>
      </c>
      <c r="K495" s="2" t="inlineStr">
        <is>
          <t>State of Kerala and Another v. N.M. Thomas and Others</t>
        </is>
      </c>
      <c r="L495" s="11" t="inlineStr">
        <is>
          <t>Supreme Court</t>
        </is>
      </c>
      <c r="M495" s="2" t="inlineStr">
        <is>
          <t>AIR 1976 SC 490; (1976) LabIC 395; (1976) 1 LLJ 376; (1976) 2 SCC 310; (1976) 1 SCR 906</t>
        </is>
      </c>
      <c r="N495" s="11" t="n">
        <v>1976</v>
      </c>
      <c r="O495" s="11" t="n"/>
      <c r="P495" s="11" t="n"/>
      <c r="Q495" s="11" t="n"/>
      <c r="R495" s="2" t="n"/>
      <c r="S495" s="2" t="n"/>
      <c r="T495" s="11" t="inlineStr"/>
      <c r="U495" s="11" t="inlineStr"/>
      <c r="V495" s="11" t="inlineStr">
        <is>
          <t>outside_list</t>
        </is>
      </c>
      <c r="W495" s="11" t="n"/>
      <c r="X495" s="11" t="n"/>
      <c r="Y495" s="11" t="n"/>
      <c r="Z495" s="11" t="inlineStr">
        <is>
          <t>Mr. Advocate</t>
        </is>
      </c>
      <c r="AA495" s="11" t="inlineStr">
        <is>
          <t>2026-10-07</t>
        </is>
      </c>
      <c r="AB495" s="11" t="inlineStr">
        <is>
          <t>name_year</t>
        </is>
      </c>
      <c r="AC495" s="2" t="inlineStr"/>
      <c r="AD495" s="2" t="inlineStr">
        <is>
          <t>The State of Madras v. Srimathi Champakam Dorairajan (1951) was overruled by State of Kerala and Another v. N.M. Thomas and Others (1976).</t>
        </is>
      </c>
      <c r="AE495" s="2" t="n"/>
      <c r="AF495" s="11" t="inlineStr">
        <is>
          <t>created from list 1</t>
        </is>
      </c>
    </row>
    <row r="496">
      <c r="A496" s="11" t="inlineStr">
        <is>
          <t>L1-0495</t>
        </is>
      </c>
      <c r="B496" s="11" t="inlineStr">
        <is>
          <t>List 1 (to ~2015)</t>
        </is>
      </c>
      <c r="C496" s="11" t="inlineStr">
        <is>
          <t>list1</t>
        </is>
      </c>
      <c r="D496" s="11" t="inlineStr">
        <is>
          <t>verified</t>
        </is>
      </c>
      <c r="E496" s="11" t="inlineStr">
        <is>
          <t>overruled</t>
        </is>
      </c>
      <c r="F496" s="2" t="inlineStr">
        <is>
          <t>Romesh Thappar v. The State of Madras</t>
        </is>
      </c>
      <c r="G496" s="11" t="inlineStr"/>
      <c r="H496" s="11" t="inlineStr">
        <is>
          <t>Supreme Court</t>
        </is>
      </c>
      <c r="I496" s="2" t="inlineStr">
        <is>
          <t>AIR 1950 SC 124; (1950) CriLJ 1514; (1950) 1 SCR 594</t>
        </is>
      </c>
      <c r="J496" s="11" t="n">
        <v>1950</v>
      </c>
      <c r="K496" s="2" t="inlineStr">
        <is>
          <t>Rev. Stainislaus v. State of Madhya Pradesh and Others</t>
        </is>
      </c>
      <c r="L496" s="11" t="inlineStr">
        <is>
          <t>Supreme Court</t>
        </is>
      </c>
      <c r="M496" s="2" t="inlineStr">
        <is>
          <t>AIR 1977 SC 908; (1977) 43 CLT 382; (1977) CriLJ 551; (1977) 1 SCC 677; (1977) 2 SCR 611; (1977) 9 UJ 158</t>
        </is>
      </c>
      <c r="N496" s="11" t="n">
        <v>1977</v>
      </c>
      <c r="O496" s="11" t="n"/>
      <c r="P496" s="11" t="n"/>
      <c r="Q496" s="11" t="n"/>
      <c r="R496" s="2" t="n"/>
      <c r="S496" s="2" t="n"/>
      <c r="T496" s="11" t="inlineStr"/>
      <c r="U496" s="11" t="inlineStr"/>
      <c r="V496" s="11" t="inlineStr">
        <is>
          <t>outside_list</t>
        </is>
      </c>
      <c r="W496" s="11" t="n"/>
      <c r="X496" s="11" t="n"/>
      <c r="Y496" s="11" t="n"/>
      <c r="Z496" s="11" t="inlineStr">
        <is>
          <t>Mr. Advocate</t>
        </is>
      </c>
      <c r="AA496" s="11" t="inlineStr">
        <is>
          <t>2026-10-07</t>
        </is>
      </c>
      <c r="AB496" s="11" t="inlineStr">
        <is>
          <t>name_year</t>
        </is>
      </c>
      <c r="AC496" s="2" t="inlineStr"/>
      <c r="AD496" s="2" t="inlineStr">
        <is>
          <t>Romesh Thappar v. The State of Madras (1950) was overruled by Rev. Stainislaus v. State of Madhya Pradesh and Others (1977).</t>
        </is>
      </c>
      <c r="AE496" s="2" t="n"/>
      <c r="AF496" s="11" t="inlineStr">
        <is>
          <t>created from list 1</t>
        </is>
      </c>
    </row>
    <row r="497">
      <c r="A497" s="11" t="inlineStr">
        <is>
          <t>L1-0496</t>
        </is>
      </c>
      <c r="B497" s="11" t="inlineStr">
        <is>
          <t>List 1 (to ~2015)</t>
        </is>
      </c>
      <c r="C497" s="11" t="inlineStr">
        <is>
          <t>list1</t>
        </is>
      </c>
      <c r="D497" s="11" t="inlineStr">
        <is>
          <t>verified</t>
        </is>
      </c>
      <c r="E497" s="11" t="inlineStr">
        <is>
          <t>overruled</t>
        </is>
      </c>
      <c r="F497" s="2" t="inlineStr">
        <is>
          <t>Executive Engineer (Irrigation), Balimela and Others v. Abhaduta Jena and Others</t>
        </is>
      </c>
      <c r="G497" s="11" t="inlineStr"/>
      <c r="H497" s="11" t="inlineStr">
        <is>
          <t>Supreme Court</t>
        </is>
      </c>
      <c r="I497" s="2" t="inlineStr">
        <is>
          <t>AIR 1988 SC 1520; (1987) 4 JT 8; (1987) 2 SCALE 675; (1988) 1 SCC 418; (1988) 1 SCR 253</t>
        </is>
      </c>
      <c r="J497" s="11" t="n">
        <v>1988</v>
      </c>
      <c r="K497" s="2" t="inlineStr">
        <is>
          <t>State of Orissa v. Sudhakar Das (Dead) by Lrs.</t>
        </is>
      </c>
      <c r="L497" s="11" t="inlineStr">
        <is>
          <t>Supreme Court</t>
        </is>
      </c>
      <c r="M497" s="2" t="inlineStr">
        <is>
          <t>AIR 2000 SC 1294; (2000) 90 CLT 721; (2000) 2 JT 465; (2000) 125 PLR 763; (2000) 2 SCALE 124; (2000) 3 SCC 27; (2000) 1 SCR 1136; (2000) 1 UJ 613; (2000) AIRSCW 981; (2000) 2 Supreme 119</t>
        </is>
      </c>
      <c r="N497" s="11" t="n">
        <v>2000</v>
      </c>
      <c r="O497" s="11" t="n"/>
      <c r="P497" s="11" t="n"/>
      <c r="Q497" s="11" t="n"/>
      <c r="R497" s="2" t="n"/>
      <c r="S497" s="2" t="n"/>
      <c r="T497" s="11" t="inlineStr"/>
      <c r="U497" s="11" t="inlineStr"/>
      <c r="V497" s="11" t="inlineStr">
        <is>
          <t>outside_list</t>
        </is>
      </c>
      <c r="W497" s="11" t="n"/>
      <c r="X497" s="11" t="n"/>
      <c r="Y497" s="11" t="n"/>
      <c r="Z497" s="11" t="inlineStr">
        <is>
          <t>Mr. Advocate</t>
        </is>
      </c>
      <c r="AA497" s="11" t="inlineStr">
        <is>
          <t>2026-10-07</t>
        </is>
      </c>
      <c r="AB497" s="11" t="inlineStr">
        <is>
          <t>citation</t>
        </is>
      </c>
      <c r="AC497" s="2" t="inlineStr"/>
      <c r="AD497" s="2" t="inlineStr">
        <is>
          <t>Executive Engineer (Irrigation), Balimela and Others v. Abhaduta Jena and Others (1988) was overruled by State of Orissa v. Sudhakar Das (Dead) by Lrs. (2000).</t>
        </is>
      </c>
      <c r="AE497" s="2" t="n"/>
      <c r="AF497" s="11" t="inlineStr">
        <is>
          <t>created from list 1</t>
        </is>
      </c>
    </row>
    <row r="498">
      <c r="A498" s="11" t="inlineStr">
        <is>
          <t>L1-0497</t>
        </is>
      </c>
      <c r="B498" s="11" t="inlineStr">
        <is>
          <t>List 1 (to ~2015)</t>
        </is>
      </c>
      <c r="C498" s="11" t="inlineStr">
        <is>
          <t>list1</t>
        </is>
      </c>
      <c r="D498" s="11" t="inlineStr">
        <is>
          <t>verified</t>
        </is>
      </c>
      <c r="E498" s="11" t="inlineStr">
        <is>
          <t>overruled</t>
        </is>
      </c>
      <c r="F498" s="2" t="inlineStr">
        <is>
          <t>Hanskumar Kishanchand v. The Union of India (UOI)</t>
        </is>
      </c>
      <c r="G498" s="11" t="inlineStr"/>
      <c r="H498" s="11" t="inlineStr">
        <is>
          <t>Supreme Court</t>
        </is>
      </c>
      <c r="I498" s="2" t="inlineStr">
        <is>
          <t>AIR 1958 SC 947; (1959) 1 SCR 1177</t>
        </is>
      </c>
      <c r="J498" s="11" t="n">
        <v>1958</v>
      </c>
      <c r="K498" s="2" t="inlineStr">
        <is>
          <t>Collector of Varanasi v. Gauri Shankar Misra and Others</t>
        </is>
      </c>
      <c r="L498" s="11" t="inlineStr">
        <is>
          <t>Supreme Court</t>
        </is>
      </c>
      <c r="M498" s="2" t="inlineStr">
        <is>
          <t>AIR 1968 SC 384; (1968) 1 SCR 372</t>
        </is>
      </c>
      <c r="N498" s="11" t="n">
        <v>1968</v>
      </c>
      <c r="O498" s="11" t="n"/>
      <c r="P498" s="11" t="n"/>
      <c r="Q498" s="11" t="n"/>
      <c r="R498" s="2" t="n"/>
      <c r="S498" s="2" t="n"/>
      <c r="T498" s="11" t="inlineStr"/>
      <c r="U498" s="11" t="inlineStr"/>
      <c r="V498" s="11" t="inlineStr">
        <is>
          <t>outside_list</t>
        </is>
      </c>
      <c r="W498" s="11" t="n"/>
      <c r="X498" s="11" t="n"/>
      <c r="Y498" s="11" t="n"/>
      <c r="Z498" s="11" t="inlineStr">
        <is>
          <t>Mr. Advocate</t>
        </is>
      </c>
      <c r="AA498" s="11" t="inlineStr">
        <is>
          <t>2026-10-07</t>
        </is>
      </c>
      <c r="AB498" s="11" t="inlineStr">
        <is>
          <t>name_year</t>
        </is>
      </c>
      <c r="AC498" s="2" t="inlineStr"/>
      <c r="AD498" s="2" t="inlineStr">
        <is>
          <t>Hanskumar Kishanchand v. The Union of India (UOI) (1958) was overruled by Collector of Varanasi v. Gauri Shankar Misra and Others (1968).</t>
        </is>
      </c>
      <c r="AE498" s="2" t="n"/>
      <c r="AF498" s="11" t="inlineStr">
        <is>
          <t>created from list 1</t>
        </is>
      </c>
    </row>
    <row r="499">
      <c r="A499" s="11" t="inlineStr">
        <is>
          <t>L1-0498</t>
        </is>
      </c>
      <c r="B499" s="11" t="inlineStr">
        <is>
          <t>List 1 (to ~2015)</t>
        </is>
      </c>
      <c r="C499" s="11" t="inlineStr">
        <is>
          <t>list1</t>
        </is>
      </c>
      <c r="D499" s="11" t="inlineStr">
        <is>
          <t>verified</t>
        </is>
      </c>
      <c r="E499" s="11" t="inlineStr">
        <is>
          <t>overruled</t>
        </is>
      </c>
      <c r="F499" s="2" t="inlineStr">
        <is>
          <t>Union of India (UOI) v. Raman Iron Foundry</t>
        </is>
      </c>
      <c r="G499" s="11" t="inlineStr"/>
      <c r="H499" s="11" t="inlineStr">
        <is>
          <t>Supreme Court</t>
        </is>
      </c>
      <c r="I499" s="2" t="inlineStr">
        <is>
          <t>AIR 1974 SC 1265; (1974) 2 SCC 231; (1974) 3 SCR 556</t>
        </is>
      </c>
      <c r="J499" s="11" t="n">
        <v>1974</v>
      </c>
      <c r="K499" s="2" t="inlineStr">
        <is>
          <t>M/s. Sant Ram and Company v. State of Rajasthan and others</t>
        </is>
      </c>
      <c r="L499" s="11" t="inlineStr">
        <is>
          <t>Supreme Court</t>
        </is>
      </c>
      <c r="M499" s="2" t="inlineStr">
        <is>
          <t>(1996) 9 AD 400; AIR 1997 SC 2557; (1997) 1 ARBLR 209; (1997) 1 CTC 375; (1996) 8 SCALE 722; (1997) 1 SCC 147; (1996) 8 SCR 931 Supp; (1997) 1 UJ 184; (1997) AIRSCW 2504; (1996) 8 Supreme 695</t>
        </is>
      </c>
      <c r="N499" s="11" t="n">
        <v>1997</v>
      </c>
      <c r="O499" s="11" t="n"/>
      <c r="P499" s="11" t="n"/>
      <c r="Q499" s="11" t="n"/>
      <c r="R499" s="2" t="n"/>
      <c r="S499" s="2" t="n"/>
      <c r="T499" s="11" t="inlineStr"/>
      <c r="U499" s="11" t="inlineStr"/>
      <c r="V499" s="11" t="inlineStr">
        <is>
          <t>outside_list</t>
        </is>
      </c>
      <c r="W499" s="11" t="n"/>
      <c r="X499" s="11" t="n"/>
      <c r="Y499" s="11" t="n"/>
      <c r="Z499" s="11" t="inlineStr">
        <is>
          <t>Mr. Advocate</t>
        </is>
      </c>
      <c r="AA499" s="11" t="inlineStr">
        <is>
          <t>2026-10-07</t>
        </is>
      </c>
      <c r="AB499" s="11" t="inlineStr">
        <is>
          <t>name_year</t>
        </is>
      </c>
      <c r="AC499" s="2" t="inlineStr"/>
      <c r="AD499" s="2" t="inlineStr">
        <is>
          <t>Union of India (UOI) v. Raman Iron Foundry (1974) was overruled by M/s. Sant Ram and Company v. State of Rajasthan and others (1997).</t>
        </is>
      </c>
      <c r="AE499" s="2" t="n"/>
      <c r="AF499" s="11" t="inlineStr">
        <is>
          <t>created from list 1</t>
        </is>
      </c>
    </row>
    <row r="500">
      <c r="A500" s="11" t="inlineStr">
        <is>
          <t>L1-0499</t>
        </is>
      </c>
      <c r="B500" s="11" t="inlineStr">
        <is>
          <t>List 1 (to ~2015)</t>
        </is>
      </c>
      <c r="C500" s="11" t="inlineStr">
        <is>
          <t>list1</t>
        </is>
      </c>
      <c r="D500" s="11" t="inlineStr">
        <is>
          <t>verified</t>
        </is>
      </c>
      <c r="E500" s="11" t="inlineStr">
        <is>
          <t>overruled</t>
        </is>
      </c>
      <c r="F500" s="2" t="inlineStr">
        <is>
          <t>The State of Bombay and Another v. F.N. Balsara</t>
        </is>
      </c>
      <c r="G500" s="11" t="inlineStr"/>
      <c r="H500" s="11" t="inlineStr">
        <is>
          <t>Supreme Court</t>
        </is>
      </c>
      <c r="I500" s="2" t="inlineStr">
        <is>
          <t>AIR 1951 SC 318; (1951) 2 SCR 682</t>
        </is>
      </c>
      <c r="J500" s="11" t="n">
        <v>1951</v>
      </c>
      <c r="K500" s="2" t="inlineStr">
        <is>
          <t>Synthetics and Chemicals Ltd. and Others v. State of U.P. and Others</t>
        </is>
      </c>
      <c r="L500" s="11" t="inlineStr">
        <is>
          <t>Supreme Court</t>
        </is>
      </c>
      <c r="M500" s="2" t="inlineStr">
        <is>
          <t>AIR 1990 SC 1927; (1989) 4 JT 267; (1989) 2 SCALE 1045; (1990) 1 SCC 109; (1989) 1 SCR 623 Supp</t>
        </is>
      </c>
      <c r="N500" s="11" t="n">
        <v>1990</v>
      </c>
      <c r="O500" s="11" t="n"/>
      <c r="P500" s="11" t="n"/>
      <c r="Q500" s="11" t="n"/>
      <c r="R500" s="2" t="n"/>
      <c r="S500" s="2" t="n"/>
      <c r="T500" s="11" t="inlineStr"/>
      <c r="U500" s="11" t="inlineStr"/>
      <c r="V500" s="11" t="inlineStr">
        <is>
          <t>outside_list</t>
        </is>
      </c>
      <c r="W500" s="11" t="n"/>
      <c r="X500" s="11" t="n"/>
      <c r="Y500" s="11" t="n"/>
      <c r="Z500" s="11" t="inlineStr">
        <is>
          <t>Mr. Advocate</t>
        </is>
      </c>
      <c r="AA500" s="11" t="inlineStr">
        <is>
          <t>2026-10-07</t>
        </is>
      </c>
      <c r="AB500" s="11" t="inlineStr">
        <is>
          <t>name_year</t>
        </is>
      </c>
      <c r="AC500" s="2" t="inlineStr">
        <is>
          <t>L2-051: overruled by State of U.P. v. Lalta Prasad Vaish &amp; Sons (2024)</t>
        </is>
      </c>
      <c r="AD500" s="2" t="inlineStr">
        <is>
          <t>The State of Bombay and Another v. F.N. Balsara (1951) was overruled by Synthetics and Chemicals Ltd. and Others v. State of U.P. and Others (1990). Note: Synthetics and Chemicals Ltd. and Others v. State of U.P. and Others was itself later overruled by State of U.P. v. Lalta Prasad Vaish &amp; Sons (2024); the current position should be checked.</t>
        </is>
      </c>
      <c r="AE500" s="2" t="n"/>
      <c r="AF500" s="11" t="inlineStr">
        <is>
          <t>created from list 1</t>
        </is>
      </c>
    </row>
    <row r="501">
      <c r="A501" s="11" t="inlineStr">
        <is>
          <t>L1-0500</t>
        </is>
      </c>
      <c r="B501" s="11" t="inlineStr">
        <is>
          <t>List 1 (to ~2015)</t>
        </is>
      </c>
      <c r="C501" s="11" t="inlineStr">
        <is>
          <t>list1</t>
        </is>
      </c>
      <c r="D501" s="11" t="inlineStr">
        <is>
          <t>verified</t>
        </is>
      </c>
      <c r="E501" s="11" t="inlineStr">
        <is>
          <t>overruled</t>
        </is>
      </c>
      <c r="F501" s="2" t="inlineStr">
        <is>
          <t>Dr. Ram Krishan Bhardwaj v. The State of Delhi and Others</t>
        </is>
      </c>
      <c r="G501" s="11" t="inlineStr"/>
      <c r="H501" s="11" t="inlineStr">
        <is>
          <t>Supreme Court</t>
        </is>
      </c>
      <c r="I501" s="2" t="inlineStr">
        <is>
          <t>AIR 1953 SC 318; (1953) CriLJ 1241; (1953) 4 SCR 708</t>
        </is>
      </c>
      <c r="J501" s="11" t="n">
        <v>1953</v>
      </c>
      <c r="K501" s="2" t="inlineStr">
        <is>
          <t>Motilal Jain v. State of Bihar and Others</t>
        </is>
      </c>
      <c r="L501" s="11" t="inlineStr">
        <is>
          <t>Supreme Court</t>
        </is>
      </c>
      <c r="M501" s="2" t="inlineStr">
        <is>
          <t>AIR 1968 SC 1509; (1969) CriLJ 33; (1968) 3 SCR 587</t>
        </is>
      </c>
      <c r="N501" s="11" t="n">
        <v>1968</v>
      </c>
      <c r="O501" s="11" t="n"/>
      <c r="P501" s="11" t="n"/>
      <c r="Q501" s="11" t="n"/>
      <c r="R501" s="2" t="n"/>
      <c r="S501" s="2" t="n"/>
      <c r="T501" s="11" t="inlineStr"/>
      <c r="U501" s="11" t="inlineStr"/>
      <c r="V501" s="11" t="inlineStr">
        <is>
          <t>outside_list</t>
        </is>
      </c>
      <c r="W501" s="11" t="n"/>
      <c r="X501" s="11" t="n"/>
      <c r="Y501" s="11" t="n"/>
      <c r="Z501" s="11" t="inlineStr">
        <is>
          <t>Mr. Advocate</t>
        </is>
      </c>
      <c r="AA501" s="11" t="inlineStr">
        <is>
          <t>2026-10-07</t>
        </is>
      </c>
      <c r="AB501" s="11" t="inlineStr">
        <is>
          <t>name_year</t>
        </is>
      </c>
      <c r="AC501" s="2" t="inlineStr"/>
      <c r="AD501" s="2" t="inlineStr">
        <is>
          <t>Dr. Ram Krishan Bhardwaj v. The State of Delhi and Others (1953) was overruled by Motilal Jain v. State of Bihar and Others (1968).</t>
        </is>
      </c>
      <c r="AE501" s="2" t="n"/>
      <c r="AF501" s="11" t="inlineStr">
        <is>
          <t>created from list 1</t>
        </is>
      </c>
    </row>
    <row r="502">
      <c r="A502" s="11" t="inlineStr">
        <is>
          <t>L1-0501</t>
        </is>
      </c>
      <c r="B502" s="11" t="inlineStr">
        <is>
          <t>List 1 (to ~2015)</t>
        </is>
      </c>
      <c r="C502" s="11" t="inlineStr">
        <is>
          <t>list1</t>
        </is>
      </c>
      <c r="D502" s="11" t="inlineStr">
        <is>
          <t>verified</t>
        </is>
      </c>
      <c r="E502" s="11" t="inlineStr">
        <is>
          <t>overruled</t>
        </is>
      </c>
      <c r="F502" s="2" t="inlineStr">
        <is>
          <t>S.N. Dutt v. Union of India (UOI)</t>
        </is>
      </c>
      <c r="G502" s="11" t="inlineStr"/>
      <c r="H502" s="11" t="inlineStr">
        <is>
          <t>Supreme Court</t>
        </is>
      </c>
      <c r="I502" s="2" t="inlineStr">
        <is>
          <t>AIR 1961 SC 1449; (1962) 1 SCR 560</t>
        </is>
      </c>
      <c r="J502" s="11" t="n">
        <v>1961</v>
      </c>
      <c r="K502" s="2" t="inlineStr">
        <is>
          <t>Ghanshyam Dass and Others v. Dominion of India and Others</t>
        </is>
      </c>
      <c r="L502" s="11" t="inlineStr">
        <is>
          <t>Supreme Court</t>
        </is>
      </c>
      <c r="M502" s="2" t="inlineStr">
        <is>
          <t>AIR 1984 SC 1004; (1984) 1 SCALE 528; (1984) 3 SCC 46; (1984) 3 SCR 229; (1984) 16 UJ 604</t>
        </is>
      </c>
      <c r="N502" s="11" t="n">
        <v>1984</v>
      </c>
      <c r="O502" s="11" t="n"/>
      <c r="P502" s="11" t="n"/>
      <c r="Q502" s="11" t="n"/>
      <c r="R502" s="2" t="n"/>
      <c r="S502" s="2" t="n"/>
      <c r="T502" s="11" t="inlineStr"/>
      <c r="U502" s="11" t="inlineStr"/>
      <c r="V502" s="11" t="inlineStr">
        <is>
          <t>outside_list</t>
        </is>
      </c>
      <c r="W502" s="11" t="n"/>
      <c r="X502" s="11" t="n"/>
      <c r="Y502" s="11" t="n"/>
      <c r="Z502" s="11" t="inlineStr">
        <is>
          <t>Mr. Advocate</t>
        </is>
      </c>
      <c r="AA502" s="11" t="inlineStr">
        <is>
          <t>2026-10-07</t>
        </is>
      </c>
      <c r="AB502" s="11" t="inlineStr">
        <is>
          <t>name_year</t>
        </is>
      </c>
      <c r="AC502" s="2" t="inlineStr"/>
      <c r="AD502" s="2" t="inlineStr">
        <is>
          <t>S.N. Dutt v. Union of India (UOI) (1961) was overruled by Ghanshyam Dass and Others v. Dominion of India and Others (1984).</t>
        </is>
      </c>
      <c r="AE502" s="2" t="n"/>
      <c r="AF502" s="11" t="inlineStr">
        <is>
          <t>created from list 1</t>
        </is>
      </c>
    </row>
    <row r="503">
      <c r="A503" s="11" t="inlineStr">
        <is>
          <t>L1-0502</t>
        </is>
      </c>
      <c r="B503" s="11" t="inlineStr">
        <is>
          <t>List 1 (to ~2015)</t>
        </is>
      </c>
      <c r="C503" s="11" t="inlineStr">
        <is>
          <t>list1</t>
        </is>
      </c>
      <c r="D503" s="11" t="inlineStr">
        <is>
          <t>verified</t>
        </is>
      </c>
      <c r="E503" s="11" t="inlineStr">
        <is>
          <t>overruled</t>
        </is>
      </c>
      <c r="F503" s="2" t="inlineStr">
        <is>
          <t>A.K. Gopalan v. The State of Madras</t>
        </is>
      </c>
      <c r="G503" s="11" t="inlineStr"/>
      <c r="H503" s="11" t="inlineStr">
        <is>
          <t>Supreme Court</t>
        </is>
      </c>
      <c r="I503" s="2" t="inlineStr">
        <is>
          <t>AIR 1950 SC 27; (1950) CriLJ 1383; (1950) 1 SCR 88</t>
        </is>
      </c>
      <c r="J503" s="11" t="n">
        <v>1950</v>
      </c>
      <c r="K503" s="2" t="inlineStr">
        <is>
          <t>Khudiram Das v. The State of West Bengal and Others</t>
        </is>
      </c>
      <c r="L503" s="11" t="inlineStr">
        <is>
          <t>Supreme Court</t>
        </is>
      </c>
      <c r="M503" s="2" t="inlineStr">
        <is>
          <t>AIR 1975 SC 550; AIR 1974 SC 550; (1975) 2 SCC 81; (1975) 2 SCR 832</t>
        </is>
      </c>
      <c r="N503" s="11" t="n">
        <v>1975</v>
      </c>
      <c r="O503" s="11" t="n"/>
      <c r="P503" s="11" t="n"/>
      <c r="Q503" s="11" t="n"/>
      <c r="R503" s="2" t="n"/>
      <c r="S503" s="2" t="n"/>
      <c r="T503" s="11" t="inlineStr"/>
      <c r="U503" s="11" t="inlineStr"/>
      <c r="V503" s="11" t="inlineStr">
        <is>
          <t>outside_list</t>
        </is>
      </c>
      <c r="W503" s="11" t="n"/>
      <c r="X503" s="11" t="n"/>
      <c r="Y503" s="11" t="n"/>
      <c r="Z503" s="11" t="inlineStr">
        <is>
          <t>Mr. Advocate</t>
        </is>
      </c>
      <c r="AA503" s="11" t="inlineStr">
        <is>
          <t>2026-10-07</t>
        </is>
      </c>
      <c r="AB503" s="11" t="inlineStr">
        <is>
          <t>name_year</t>
        </is>
      </c>
      <c r="AC503" s="2" t="inlineStr"/>
      <c r="AD503" s="2" t="inlineStr">
        <is>
          <t>A.K. Gopalan v. The State of Madras (1950) was overruled by Khudiram Das v. The State of West Bengal and Others (1975).</t>
        </is>
      </c>
      <c r="AE503" s="2" t="n"/>
      <c r="AF503" s="11" t="inlineStr">
        <is>
          <t>created from list 1</t>
        </is>
      </c>
    </row>
    <row r="504">
      <c r="A504" s="11" t="inlineStr">
        <is>
          <t>L1-0503</t>
        </is>
      </c>
      <c r="B504" s="11" t="inlineStr">
        <is>
          <t>List 1 (to ~2015)</t>
        </is>
      </c>
      <c r="C504" s="11" t="inlineStr">
        <is>
          <t>list1</t>
        </is>
      </c>
      <c r="D504" s="11" t="inlineStr">
        <is>
          <t>verified</t>
        </is>
      </c>
      <c r="E504" s="11" t="inlineStr">
        <is>
          <t>overruled</t>
        </is>
      </c>
      <c r="F504" s="2" t="inlineStr">
        <is>
          <t>Mohammad Yasin v. The Town Area Committee, Jalalabad and Another</t>
        </is>
      </c>
      <c r="G504" s="11" t="inlineStr"/>
      <c r="H504" s="11" t="inlineStr">
        <is>
          <t>Supreme Court</t>
        </is>
      </c>
      <c r="I504" s="2" t="inlineStr">
        <is>
          <t>AIR 1952 SC 115; (1952) 1 SCR 572</t>
        </is>
      </c>
      <c r="J504" s="11" t="n">
        <v>1952</v>
      </c>
      <c r="K504" s="2" t="inlineStr">
        <is>
          <t>Himmatlal Harilal Mehta v. The State of Madhya Pradesh and Others</t>
        </is>
      </c>
      <c r="L504" s="11" t="inlineStr">
        <is>
          <t>Supreme Court</t>
        </is>
      </c>
      <c r="M504" s="2" t="inlineStr">
        <is>
          <t>AIR 1954 SC 403; (1954) 1 SCR 1122</t>
        </is>
      </c>
      <c r="N504" s="11" t="n">
        <v>1954</v>
      </c>
      <c r="O504" s="11" t="n"/>
      <c r="P504" s="11" t="n"/>
      <c r="Q504" s="11" t="n"/>
      <c r="R504" s="2" t="n"/>
      <c r="S504" s="2" t="n"/>
      <c r="T504" s="11" t="inlineStr"/>
      <c r="U504" s="11" t="inlineStr"/>
      <c r="V504" s="11" t="inlineStr">
        <is>
          <t>outside_list</t>
        </is>
      </c>
      <c r="W504" s="11" t="n"/>
      <c r="X504" s="11" t="n"/>
      <c r="Y504" s="11" t="n"/>
      <c r="Z504" s="11" t="inlineStr">
        <is>
          <t>Mr. Advocate</t>
        </is>
      </c>
      <c r="AA504" s="11" t="inlineStr">
        <is>
          <t>2026-10-07</t>
        </is>
      </c>
      <c r="AB504" s="11" t="inlineStr">
        <is>
          <t>name_year</t>
        </is>
      </c>
      <c r="AC504" s="2" t="inlineStr"/>
      <c r="AD504" s="2" t="inlineStr">
        <is>
          <t>Mohammad Yasin v. The Town Area Committee, Jalalabad and Another (1952) was overruled by Himmatlal Harilal Mehta v. The State of Madhya Pradesh and Others (1954).</t>
        </is>
      </c>
      <c r="AE504" s="2" t="n"/>
      <c r="AF504" s="11" t="inlineStr">
        <is>
          <t>created from list 1</t>
        </is>
      </c>
    </row>
    <row r="505">
      <c r="A505" s="11" t="inlineStr">
        <is>
          <t>L1-0504</t>
        </is>
      </c>
      <c r="B505" s="11" t="inlineStr">
        <is>
          <t>List 1 (to ~2015)</t>
        </is>
      </c>
      <c r="C505" s="11" t="inlineStr">
        <is>
          <t>list1</t>
        </is>
      </c>
      <c r="D505" s="11" t="inlineStr">
        <is>
          <t>verified</t>
        </is>
      </c>
      <c r="E505" s="11" t="inlineStr">
        <is>
          <t>overruled</t>
        </is>
      </c>
      <c r="F505" s="2" t="inlineStr">
        <is>
          <t>State of Bihar v. Banshi Ram Modi and Others</t>
        </is>
      </c>
      <c r="G505" s="11" t="inlineStr"/>
      <c r="H505" s="11" t="inlineStr">
        <is>
          <t>Supreme Court</t>
        </is>
      </c>
      <c r="I505" s="2" t="inlineStr">
        <is>
          <t>AIR 1985 SC 814; (1985) 1 SCALE 1201; (1985) 3 SCC 643; (1985) 1 SCR 345 Supp; (1985) 17 UJ 928</t>
        </is>
      </c>
      <c r="J505" s="11" t="n">
        <v>1985</v>
      </c>
      <c r="K505" s="2" t="inlineStr">
        <is>
          <t>K.M. Chinnappa and T.N. Godavarman Thirumalpad v. Union of India (UOI) and Others</t>
        </is>
      </c>
      <c r="L505" s="11" t="inlineStr">
        <is>
          <t>Supreme Court</t>
        </is>
      </c>
      <c r="M505" s="2" t="inlineStr">
        <is>
          <t>AIR 2003 SC 724; (2002) 9 JT 200; (2003) AIRSCW 23; (2002) 7 Supreme 620</t>
        </is>
      </c>
      <c r="N505" s="11" t="n">
        <v>2003</v>
      </c>
      <c r="O505" s="11" t="n"/>
      <c r="P505" s="11" t="n"/>
      <c r="Q505" s="11" t="n"/>
      <c r="R505" s="2" t="n"/>
      <c r="S505" s="2" t="n"/>
      <c r="T505" s="11" t="inlineStr"/>
      <c r="U505" s="11" t="inlineStr"/>
      <c r="V505" s="11" t="inlineStr">
        <is>
          <t>outside_list</t>
        </is>
      </c>
      <c r="W505" s="11" t="n"/>
      <c r="X505" s="11" t="n"/>
      <c r="Y505" s="11" t="n"/>
      <c r="Z505" s="11" t="inlineStr">
        <is>
          <t>Mr. Advocate</t>
        </is>
      </c>
      <c r="AA505" s="11" t="inlineStr">
        <is>
          <t>2026-10-07</t>
        </is>
      </c>
      <c r="AB505" s="11" t="inlineStr">
        <is>
          <t>name_year</t>
        </is>
      </c>
      <c r="AC505" s="2" t="inlineStr"/>
      <c r="AD505" s="2" t="inlineStr">
        <is>
          <t>State of Bihar v. Banshi Ram Modi and Others (1985) was overruled by K.M. Chinnappa and T.N. Godavarman Thirumalpad v. Union of India (UOI) and Others (2003).</t>
        </is>
      </c>
      <c r="AE505" s="2" t="n"/>
      <c r="AF505" s="11" t="inlineStr">
        <is>
          <t>created from list 1</t>
        </is>
      </c>
    </row>
    <row r="506">
      <c r="A506" s="11" t="inlineStr">
        <is>
          <t>L1-0505</t>
        </is>
      </c>
      <c r="B506" s="11" t="inlineStr">
        <is>
          <t>List 1 (to ~2015)</t>
        </is>
      </c>
      <c r="C506" s="11" t="inlineStr">
        <is>
          <t>list1</t>
        </is>
      </c>
      <c r="D506" s="11" t="inlineStr">
        <is>
          <t>verified</t>
        </is>
      </c>
      <c r="E506" s="11" t="inlineStr">
        <is>
          <t>overruled</t>
        </is>
      </c>
      <c r="F506" s="2" t="inlineStr">
        <is>
          <t>K.C. Gajapati Narayan Deo and Others v. The State of Orissa</t>
        </is>
      </c>
      <c r="G506" s="11" t="inlineStr"/>
      <c r="H506" s="11" t="inlineStr">
        <is>
          <t>Supreme Court</t>
        </is>
      </c>
      <c r="I506" s="2" t="inlineStr">
        <is>
          <t>AIR 1953 SC 375; (1954) 20 CLT 1; (1954) 1 SCR 1</t>
        </is>
      </c>
      <c r="J506" s="11" t="n">
        <v>1953</v>
      </c>
      <c r="K506" s="2" t="inlineStr">
        <is>
          <t>Makhan Singh v. State of Punjab (and connected appeals)</t>
        </is>
      </c>
      <c r="L506" s="11" t="inlineStr">
        <is>
          <t>Supreme Court</t>
        </is>
      </c>
      <c r="M506" s="2" t="inlineStr">
        <is>
          <t>AIR 1964 SC 381; (1964) CriLJ 217; (1964) 4 SCR 797</t>
        </is>
      </c>
      <c r="N506" s="11" t="n">
        <v>1964</v>
      </c>
      <c r="O506" s="11" t="n"/>
      <c r="P506" s="11" t="n"/>
      <c r="Q506" s="11" t="n"/>
      <c r="R506" s="2" t="n"/>
      <c r="S506" s="2" t="n"/>
      <c r="T506" s="11" t="inlineStr"/>
      <c r="U506" s="11" t="inlineStr"/>
      <c r="V506" s="11" t="inlineStr">
        <is>
          <t>outside_list</t>
        </is>
      </c>
      <c r="W506" s="11" t="n"/>
      <c r="X506" s="11" t="n"/>
      <c r="Y506" s="11" t="n"/>
      <c r="Z506" s="11" t="inlineStr">
        <is>
          <t>Mr. Advocate</t>
        </is>
      </c>
      <c r="AA506" s="11" t="inlineStr">
        <is>
          <t>2026-10-07</t>
        </is>
      </c>
      <c r="AB506" s="11" t="inlineStr">
        <is>
          <t>name_year</t>
        </is>
      </c>
      <c r="AC506" s="2" t="inlineStr"/>
      <c r="AD506" s="2" t="inlineStr">
        <is>
          <t>K.C. Gajapati Narayan Deo and Others v. The State of Orissa (1953) was overruled by Makhan Singh v. State of Punjab (and connected appeals) (1964).</t>
        </is>
      </c>
      <c r="AE506" s="2" t="n"/>
      <c r="AF506" s="11" t="inlineStr">
        <is>
          <t>created from list 1</t>
        </is>
      </c>
    </row>
    <row r="507">
      <c r="A507" s="11" t="inlineStr">
        <is>
          <t>L1-0506</t>
        </is>
      </c>
      <c r="B507" s="11" t="inlineStr">
        <is>
          <t>List 1 (to ~2015)</t>
        </is>
      </c>
      <c r="C507" s="11" t="inlineStr">
        <is>
          <t>list1</t>
        </is>
      </c>
      <c r="D507" s="11" t="inlineStr">
        <is>
          <t>verified</t>
        </is>
      </c>
      <c r="E507" s="11" t="inlineStr">
        <is>
          <t>disputed_listing</t>
        </is>
      </c>
      <c r="F507" s="2" t="inlineStr">
        <is>
          <t>Superintendent and Legal Remembrancer, State of West Bengal v. Corporation of Calcutta</t>
        </is>
      </c>
      <c r="G507" s="11" t="inlineStr"/>
      <c r="H507" s="11" t="inlineStr">
        <is>
          <t>Supreme Court</t>
        </is>
      </c>
      <c r="I507" s="2" t="inlineStr">
        <is>
          <t>AIR 1967 SC 997; (1967) CriLJ 950; (1967) 2 SCR 170</t>
        </is>
      </c>
      <c r="J507" s="11" t="n">
        <v>1967</v>
      </c>
      <c r="K507" s="2" t="inlineStr">
        <is>
          <t>Director of Rationing and Distribution v. The Corporation of Calcutta and Others</t>
        </is>
      </c>
      <c r="L507" s="11" t="inlineStr">
        <is>
          <t>Supreme Court</t>
        </is>
      </c>
      <c r="M507" s="2" t="inlineStr">
        <is>
          <t>AIR 1960 SC 1355; (1960) CriLJ 1684; (1961) 1 SCR 158</t>
        </is>
      </c>
      <c r="N507" s="11" t="n">
        <v>1960</v>
      </c>
      <c r="O507" s="11" t="n"/>
      <c r="P507" s="11" t="n"/>
      <c r="Q507" s="11" t="n"/>
      <c r="R507" s="2" t="n"/>
      <c r="S507" s="2" t="n"/>
      <c r="T507" s="11" t="inlineStr"/>
      <c r="U507" s="11" t="inlineStr">
        <is>
          <t>list_mutual_pair, year_order_check</t>
        </is>
      </c>
      <c r="V507" s="11" t="inlineStr">
        <is>
          <t>outside_list</t>
        </is>
      </c>
      <c r="W507" s="11" t="n"/>
      <c r="X507" s="11" t="n"/>
      <c r="Y507" s="11" t="n"/>
      <c r="Z507" s="11" t="inlineStr">
        <is>
          <t>Mr. Advocate</t>
        </is>
      </c>
      <c r="AA507" s="11" t="inlineStr">
        <is>
          <t>2026-10-07</t>
        </is>
      </c>
      <c r="AB507" s="11" t="inlineStr">
        <is>
          <t>name_year</t>
        </is>
      </c>
      <c r="AC507" s="2" t="inlineStr">
        <is>
          <t>L1-0247: listed in our reference list as overruled by Superintendent and Legal Remembrancer, State of West Bengal v. Corporation of Calcutta (1967), but the list is inconsistent on this entry</t>
        </is>
      </c>
      <c r="AD507" s="2" t="inlineStr">
        <is>
          <t>Superintendent and Legal Remembrancer, State of West Bengal v. Corporation of Calcutta (1967) is listed in our reference list as overruled by Director of Rationing and Distribution v. The Corporation of Calcutta and Others (1960), but the list is inconsistent on this entry. Note: Director of Rationing and Distribution v. The Corporation of Calcutta and Others was itself later listed in our reference list as overruled by Superintendent and Legal Remembrancer, State of West Bengal v. Corporation of Calcutta (1967), but the list is inconsistent on this entry; the current position should be checked.</t>
        </is>
      </c>
      <c r="AE507" s="2" t="n"/>
      <c r="AF507" s="11" t="inlineStr">
        <is>
          <t>created from list 1</t>
        </is>
      </c>
    </row>
    <row r="508">
      <c r="A508" s="11" t="inlineStr">
        <is>
          <t>L1-0507</t>
        </is>
      </c>
      <c r="B508" s="11" t="inlineStr">
        <is>
          <t>List 1 (to ~2015)</t>
        </is>
      </c>
      <c r="C508" s="11" t="inlineStr">
        <is>
          <t>list1</t>
        </is>
      </c>
      <c r="D508" s="11" t="inlineStr">
        <is>
          <t>verified</t>
        </is>
      </c>
      <c r="E508" s="11" t="inlineStr">
        <is>
          <t>overruled</t>
        </is>
      </c>
      <c r="F508" s="2" t="inlineStr">
        <is>
          <t>Virendra Singh and Others v. The State of Uttar Pradesh</t>
        </is>
      </c>
      <c r="G508" s="11" t="inlineStr"/>
      <c r="H508" s="11" t="inlineStr">
        <is>
          <t>Supreme Court</t>
        </is>
      </c>
      <c r="I508" s="2" t="inlineStr">
        <is>
          <t>AIR 1954 SC 447; (1955) 1 SCR 415</t>
        </is>
      </c>
      <c r="J508" s="11" t="n">
        <v>1954</v>
      </c>
      <c r="K508" s="2" t="inlineStr">
        <is>
          <t>State of Gujarat v. Vora Fiddali Badruddin Mithibarwala</t>
        </is>
      </c>
      <c r="L508" s="11" t="inlineStr">
        <is>
          <t>Supreme Court</t>
        </is>
      </c>
      <c r="M508" s="2" t="inlineStr">
        <is>
          <t>AIR 1964 SC 1043; (1964) 6 SCR 461</t>
        </is>
      </c>
      <c r="N508" s="11" t="n">
        <v>1964</v>
      </c>
      <c r="O508" s="11" t="n"/>
      <c r="P508" s="11" t="n"/>
      <c r="Q508" s="11" t="n"/>
      <c r="R508" s="2" t="n"/>
      <c r="S508" s="2" t="n"/>
      <c r="T508" s="11" t="inlineStr"/>
      <c r="U508" s="11" t="inlineStr"/>
      <c r="V508" s="11" t="inlineStr">
        <is>
          <t>outside_list</t>
        </is>
      </c>
      <c r="W508" s="11" t="n"/>
      <c r="X508" s="11" t="n"/>
      <c r="Y508" s="11" t="n"/>
      <c r="Z508" s="11" t="inlineStr">
        <is>
          <t>Mr. Advocate</t>
        </is>
      </c>
      <c r="AA508" s="11" t="inlineStr">
        <is>
          <t>2026-10-07</t>
        </is>
      </c>
      <c r="AB508" s="11" t="inlineStr">
        <is>
          <t>name_year</t>
        </is>
      </c>
      <c r="AC508" s="2" t="inlineStr"/>
      <c r="AD508" s="2" t="inlineStr">
        <is>
          <t>Virendra Singh and Others v. The State of Uttar Pradesh (1954) was overruled by State of Gujarat v. Vora Fiddali Badruddin Mithibarwala (1964).</t>
        </is>
      </c>
      <c r="AE508" s="2" t="n"/>
      <c r="AF508" s="11" t="inlineStr">
        <is>
          <t>created from list 1</t>
        </is>
      </c>
    </row>
    <row r="509">
      <c r="A509" s="11" t="inlineStr">
        <is>
          <t>L1-0508</t>
        </is>
      </c>
      <c r="B509" s="11" t="inlineStr">
        <is>
          <t>List 1 (to ~2015)</t>
        </is>
      </c>
      <c r="C509" s="11" t="inlineStr">
        <is>
          <t>list1</t>
        </is>
      </c>
      <c r="D509" s="11" t="inlineStr">
        <is>
          <t>verified</t>
        </is>
      </c>
      <c r="E509" s="11" t="inlineStr">
        <is>
          <t>overruled</t>
        </is>
      </c>
      <c r="F509" s="2" t="inlineStr">
        <is>
          <t>State of Himachal Pradesh and others v. Dharam Das</t>
        </is>
      </c>
      <c r="G509" s="11" t="inlineStr"/>
      <c r="H509" s="11" t="inlineStr">
        <is>
          <t>Supreme Court</t>
        </is>
      </c>
      <c r="I509" s="2" t="inlineStr">
        <is>
          <t>AIR 1996 SC 127; AIR 1995 SC 127; (1995) 6 JT 519; (1995) 5 SCALE 220; (1995) 5 SCC 683; (1995) 3 SCR 74 Supp; (1995) 2 UJ 746</t>
        </is>
      </c>
      <c r="J509" s="11" t="n">
        <v>1996</v>
      </c>
      <c r="K509" s="2" t="inlineStr">
        <is>
          <t>Siddappa Vasappa Kuri and Another v. Special Land Acquisition Officer and anr</t>
        </is>
      </c>
      <c r="L509" s="11" t="inlineStr">
        <is>
          <t>Supreme Court</t>
        </is>
      </c>
      <c r="M509" s="2" t="inlineStr">
        <is>
          <t>AIR 2001 SC 2951; (2001) 9 JT 176; (2001) 7 SCALE 380; (2002) 1 SCC 142; (2001) AIRSCW 4419; (2001) 8 Supreme 89</t>
        </is>
      </c>
      <c r="N509" s="11" t="n">
        <v>2001</v>
      </c>
      <c r="O509" s="11" t="n"/>
      <c r="P509" s="11" t="n"/>
      <c r="Q509" s="11" t="n"/>
      <c r="R509" s="2" t="n"/>
      <c r="S509" s="2" t="n"/>
      <c r="T509" s="11" t="inlineStr"/>
      <c r="U509" s="11" t="inlineStr"/>
      <c r="V509" s="11" t="inlineStr">
        <is>
          <t>outside_list</t>
        </is>
      </c>
      <c r="W509" s="11" t="n"/>
      <c r="X509" s="11" t="n"/>
      <c r="Y509" s="11" t="n"/>
      <c r="Z509" s="11" t="inlineStr">
        <is>
          <t>Mr. Advocate</t>
        </is>
      </c>
      <c r="AA509" s="11" t="inlineStr">
        <is>
          <t>2026-10-07</t>
        </is>
      </c>
      <c r="AB509" s="11" t="inlineStr">
        <is>
          <t>name_year</t>
        </is>
      </c>
      <c r="AC509" s="2" t="inlineStr"/>
      <c r="AD509" s="2" t="inlineStr">
        <is>
          <t>State of Himachal Pradesh and others v. Dharam Das (1996) was overruled by Siddappa Vasappa Kuri and Another v. Special Land Acquisition Officer and anr (2001).</t>
        </is>
      </c>
      <c r="AE509" s="2" t="n"/>
      <c r="AF509" s="11" t="inlineStr">
        <is>
          <t>created from list 1</t>
        </is>
      </c>
    </row>
    <row r="510">
      <c r="A510" s="11" t="inlineStr">
        <is>
          <t>L1-0509</t>
        </is>
      </c>
      <c r="B510" s="11" t="inlineStr">
        <is>
          <t>List 1 (to ~2015)</t>
        </is>
      </c>
      <c r="C510" s="11" t="inlineStr">
        <is>
          <t>list1</t>
        </is>
      </c>
      <c r="D510" s="11" t="inlineStr">
        <is>
          <t>verified</t>
        </is>
      </c>
      <c r="E510" s="11" t="inlineStr">
        <is>
          <t>overruled</t>
        </is>
      </c>
      <c r="F510" s="2" t="inlineStr">
        <is>
          <t>I.C. Golak Nath and Others v. State of Punjab and Another</t>
        </is>
      </c>
      <c r="G510" s="11" t="inlineStr"/>
      <c r="H510" s="11" t="inlineStr">
        <is>
          <t>Supreme Court</t>
        </is>
      </c>
      <c r="I510" s="2" t="inlineStr">
        <is>
          <t>AIR 1967 SC 1643; (1967) 2 SCR 762</t>
        </is>
      </c>
      <c r="J510" s="11" t="n">
        <v>1967</v>
      </c>
      <c r="K510" s="2" t="inlineStr">
        <is>
          <t>His Holiness Kesavananda Bharati Sripadagalvaru v. State of Kerala</t>
        </is>
      </c>
      <c r="L510" s="11" t="inlineStr">
        <is>
          <t>Supreme Court</t>
        </is>
      </c>
      <c r="M510" s="2" t="inlineStr">
        <is>
          <t>AIR 1973 SC 1461; (1973) 4 SCC 225; (1973) SCR 1 Supp</t>
        </is>
      </c>
      <c r="N510" s="11" t="n">
        <v>1973</v>
      </c>
      <c r="O510" s="11" t="n"/>
      <c r="P510" s="11" t="n"/>
      <c r="Q510" s="11" t="n"/>
      <c r="R510" s="2" t="n"/>
      <c r="S510" s="2" t="n"/>
      <c r="T510" s="11" t="inlineStr"/>
      <c r="U510" s="11" t="inlineStr"/>
      <c r="V510" s="11" t="inlineStr">
        <is>
          <t>outside_list</t>
        </is>
      </c>
      <c r="W510" s="11" t="n"/>
      <c r="X510" s="11" t="n"/>
      <c r="Y510" s="11" t="n"/>
      <c r="Z510" s="11" t="inlineStr">
        <is>
          <t>Mr. Advocate</t>
        </is>
      </c>
      <c r="AA510" s="11" t="inlineStr">
        <is>
          <t>2026-10-07</t>
        </is>
      </c>
      <c r="AB510" s="11" t="inlineStr">
        <is>
          <t>name_year</t>
        </is>
      </c>
      <c r="AC510" s="2" t="inlineStr"/>
      <c r="AD510" s="2" t="inlineStr">
        <is>
          <t>I.C. Golak Nath and Others v. State of Punjab and Another (1967) was overruled by His Holiness Kesavananda Bharati Sripadagalvaru v. State of Kerala (1973).</t>
        </is>
      </c>
      <c r="AE510" s="2" t="n"/>
      <c r="AF510" s="11" t="inlineStr">
        <is>
          <t>created from list 1</t>
        </is>
      </c>
    </row>
    <row r="511">
      <c r="A511" s="11" t="inlineStr">
        <is>
          <t>L1-0510</t>
        </is>
      </c>
      <c r="B511" s="11" t="inlineStr">
        <is>
          <t>List 1 (to ~2015)</t>
        </is>
      </c>
      <c r="C511" s="11" t="inlineStr">
        <is>
          <t>list1</t>
        </is>
      </c>
      <c r="D511" s="11" t="inlineStr">
        <is>
          <t>verified</t>
        </is>
      </c>
      <c r="E511" s="11" t="inlineStr">
        <is>
          <t>overruled</t>
        </is>
      </c>
      <c r="F511" s="2" t="inlineStr">
        <is>
          <t>Atma Ram Mittal v. Ishwar Singh Punia</t>
        </is>
      </c>
      <c r="G511" s="11" t="inlineStr"/>
      <c r="H511" s="11" t="inlineStr">
        <is>
          <t>Supreme Court</t>
        </is>
      </c>
      <c r="I511" s="2" t="inlineStr">
        <is>
          <t>AIR 1988 SC 2031; (1988) 3 CompLJ 93; (1988) 2 JT 528; (1988) LabIC 1673; (1994) 3 LLJ 972; (1988) 2 SCALE 658; (1988) 4 SCC 284; (1988) 2 SCR 528 Supp; (1988) 2 UJ 633</t>
        </is>
      </c>
      <c r="J511" s="11" t="n">
        <v>1988</v>
      </c>
      <c r="K511" s="2" t="inlineStr">
        <is>
          <t>Kesho Ram and Co. and Others etc. v. Union of India (UOI) and Others</t>
        </is>
      </c>
      <c r="L511" s="11" t="inlineStr">
        <is>
          <t>Supreme Court</t>
        </is>
      </c>
      <c r="M511" s="2" t="inlineStr">
        <is>
          <t>(1989) 1 JT 203 Supp; (1989) JT 203 Supp; (1989) 96 PLR 1; (1989) 1 SCALE 1421; (1989) 3 SCC 151; (1989) 2 SCR 1005</t>
        </is>
      </c>
      <c r="N511" s="11" t="n">
        <v>1989</v>
      </c>
      <c r="O511" s="11" t="n"/>
      <c r="P511" s="11" t="n"/>
      <c r="Q511" s="11" t="n"/>
      <c r="R511" s="2" t="n"/>
      <c r="S511" s="2" t="n"/>
      <c r="T511" s="11" t="inlineStr"/>
      <c r="U511" s="11" t="inlineStr"/>
      <c r="V511" s="11" t="inlineStr">
        <is>
          <t>outside_list</t>
        </is>
      </c>
      <c r="W511" s="11" t="n"/>
      <c r="X511" s="11" t="n"/>
      <c r="Y511" s="11" t="n"/>
      <c r="Z511" s="11" t="inlineStr">
        <is>
          <t>Mr. Advocate</t>
        </is>
      </c>
      <c r="AA511" s="11" t="inlineStr">
        <is>
          <t>2026-10-07</t>
        </is>
      </c>
      <c r="AB511" s="11" t="inlineStr">
        <is>
          <t>name_year</t>
        </is>
      </c>
      <c r="AC511" s="2" t="inlineStr">
        <is>
          <t>L1-0631: overruled by Shri Kishan @ Krishan Kumar v. Manoj Kumar Etc. Etc. (1998)</t>
        </is>
      </c>
      <c r="AD511" s="2" t="inlineStr">
        <is>
          <t>Atma Ram Mittal v. Ishwar Singh Punia (1988)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c r="AE511" s="2" t="n"/>
      <c r="AF511" s="11" t="inlineStr">
        <is>
          <t>created from list 1</t>
        </is>
      </c>
    </row>
    <row r="512">
      <c r="A512" s="11" t="inlineStr">
        <is>
          <t>L1-0511</t>
        </is>
      </c>
      <c r="B512" s="11" t="inlineStr">
        <is>
          <t>List 1 (to ~2015)</t>
        </is>
      </c>
      <c r="C512" s="11" t="inlineStr">
        <is>
          <t>list1</t>
        </is>
      </c>
      <c r="D512" s="11" t="inlineStr">
        <is>
          <t>verified</t>
        </is>
      </c>
      <c r="E512" s="11" t="inlineStr">
        <is>
          <t>overruled</t>
        </is>
      </c>
      <c r="F512" s="2" t="inlineStr">
        <is>
          <t>Jagdish Chandra (Dead) by Lrs. v. Brij Mohan and Others</t>
        </is>
      </c>
      <c r="G512" s="11" t="inlineStr"/>
      <c r="H512" s="11" t="inlineStr">
        <is>
          <t>Supreme Court</t>
        </is>
      </c>
      <c r="I512" s="2" t="inlineStr">
        <is>
          <t>AIR 1978 SC 1318; (1978) 2 SCC 361; (1978) 2 SCR 805; (1978) 10 UJ 151</t>
        </is>
      </c>
      <c r="J512" s="11" t="n">
        <v>1978</v>
      </c>
      <c r="K512" s="2" t="inlineStr">
        <is>
          <t>Mrs. Helen C. Rebello and Others v. Maharashtra State Road Transport Corpn. and Another</t>
        </is>
      </c>
      <c r="L512" s="11" t="inlineStr">
        <is>
          <t>Supreme Court</t>
        </is>
      </c>
      <c r="M512" s="2" t="inlineStr">
        <is>
          <t>(1998) 2 ACC 512; (1999) ACJ 10; (1998) 7 AD 269; AIR 1998 SC 3191; (1999) 95 CompCas 509; (1998) 6 JT 418; (1998) 5 SCALE 339; (1999) 1 SCC 90; (1998) 1 SCR 685 Supp; (1999) 1 UJ 174; (1998) AIRSCW 3105; (1998) 7 Supreme 404</t>
        </is>
      </c>
      <c r="N512" s="11" t="n">
        <v>1998</v>
      </c>
      <c r="O512" s="11" t="n"/>
      <c r="P512" s="11" t="n"/>
      <c r="Q512" s="11" t="n"/>
      <c r="R512" s="2" t="n"/>
      <c r="S512" s="2" t="n"/>
      <c r="T512" s="11" t="inlineStr"/>
      <c r="U512" s="11" t="inlineStr"/>
      <c r="V512" s="11" t="inlineStr">
        <is>
          <t>outside_list</t>
        </is>
      </c>
      <c r="W512" s="11" t="n"/>
      <c r="X512" s="11" t="n"/>
      <c r="Y512" s="11" t="n"/>
      <c r="Z512" s="11" t="inlineStr">
        <is>
          <t>Mr. Advocate</t>
        </is>
      </c>
      <c r="AA512" s="11" t="inlineStr">
        <is>
          <t>2026-10-07</t>
        </is>
      </c>
      <c r="AB512" s="11" t="inlineStr">
        <is>
          <t>name_year</t>
        </is>
      </c>
      <c r="AC512" s="2" t="inlineStr"/>
      <c r="AD512" s="2" t="inlineStr">
        <is>
          <t>Jagdish Chandra (Dead) by Lrs. v. Brij Mohan and Others (1978) was overruled by Mrs. Helen C. Rebello and Others v. Maharashtra State Road Transport Corpn. and Another (1998).</t>
        </is>
      </c>
      <c r="AE512" s="2" t="n"/>
      <c r="AF512" s="11" t="inlineStr">
        <is>
          <t>created from list 1</t>
        </is>
      </c>
    </row>
    <row r="513">
      <c r="A513" s="11" t="inlineStr">
        <is>
          <t>L1-0512</t>
        </is>
      </c>
      <c r="B513" s="11" t="inlineStr">
        <is>
          <t>List 1 (to ~2015)</t>
        </is>
      </c>
      <c r="C513" s="11" t="inlineStr">
        <is>
          <t>list1</t>
        </is>
      </c>
      <c r="D513" s="11" t="inlineStr">
        <is>
          <t>verified</t>
        </is>
      </c>
      <c r="E513" s="11" t="inlineStr">
        <is>
          <t>overruled</t>
        </is>
      </c>
      <c r="F513" s="2" t="inlineStr">
        <is>
          <t>Mohinder Kumar and Others v. State of Haryana and Another</t>
        </is>
      </c>
      <c r="G513" s="11" t="inlineStr"/>
      <c r="H513" s="11" t="inlineStr">
        <is>
          <t>Supreme Court</t>
        </is>
      </c>
      <c r="I513" s="2" t="inlineStr">
        <is>
          <t>AIR 1986 SC 244; (1985) 2 SCALE 795; (1985) 4 SCC 221; (1986) 1 SCR 74; (1985) 2 SCR 859 Supp; (1985) 17 UJ 978</t>
        </is>
      </c>
      <c r="J513" s="11" t="n">
        <v>1986</v>
      </c>
      <c r="K513" s="2" t="inlineStr">
        <is>
          <t>Shri Kishan @ Krishan Kumar v. Manoj Kumar Etc. Etc.</t>
        </is>
      </c>
      <c r="L513" s="11" t="inlineStr">
        <is>
          <t>Supreme Court</t>
        </is>
      </c>
      <c r="M513" s="2" t="inlineStr">
        <is>
          <t>(1998) 2 AD 162; AIR 1998 SC 999; (1998) 2 CTC 37; (1998) 1 JT 633; (1998) 118 PLR 593; (1998) 1 SCALE 582; (1998) 2 SCC 710; (1998) 1 SCR 830; (1998) AIRSCW 769; (1998) 2 Supreme 478</t>
        </is>
      </c>
      <c r="N513" s="11" t="n">
        <v>1998</v>
      </c>
      <c r="O513" s="11" t="n"/>
      <c r="P513" s="11" t="n"/>
      <c r="Q513" s="11" t="n"/>
      <c r="R513" s="2" t="n"/>
      <c r="S513" s="2" t="n"/>
      <c r="T513" s="11" t="inlineStr"/>
      <c r="U513" s="11" t="inlineStr"/>
      <c r="V513" s="11" t="inlineStr">
        <is>
          <t>outside_list</t>
        </is>
      </c>
      <c r="W513" s="11" t="n"/>
      <c r="X513" s="11" t="n"/>
      <c r="Y513" s="11" t="n"/>
      <c r="Z513" s="11" t="inlineStr">
        <is>
          <t>Mr. Advocate</t>
        </is>
      </c>
      <c r="AA513" s="11" t="inlineStr">
        <is>
          <t>2026-10-07</t>
        </is>
      </c>
      <c r="AB513" s="11" t="inlineStr">
        <is>
          <t>name_year</t>
        </is>
      </c>
      <c r="AC513" s="2" t="inlineStr"/>
      <c r="AD513" s="2" t="inlineStr">
        <is>
          <t>Mohinder Kumar and Others v. State of Haryana and Another (1986) was overruled by Shri Kishan @ Krishan Kumar v. Manoj Kumar Etc. Etc. (1998).</t>
        </is>
      </c>
      <c r="AE513" s="2" t="n"/>
      <c r="AF513" s="11" t="inlineStr">
        <is>
          <t>created from list 1</t>
        </is>
      </c>
    </row>
    <row r="514">
      <c r="A514" s="11" t="inlineStr">
        <is>
          <t>L1-0513</t>
        </is>
      </c>
      <c r="B514" s="11" t="inlineStr">
        <is>
          <t>List 1 (to ~2015)</t>
        </is>
      </c>
      <c r="C514" s="11" t="inlineStr">
        <is>
          <t>list1</t>
        </is>
      </c>
      <c r="D514" s="11" t="inlineStr">
        <is>
          <t>verified</t>
        </is>
      </c>
      <c r="E514" s="11" t="inlineStr">
        <is>
          <t>overruled</t>
        </is>
      </c>
      <c r="F514" s="2" t="inlineStr">
        <is>
          <t>Abdul Hakim Quraishi and Others v. The State of Bihar</t>
        </is>
      </c>
      <c r="G514" s="11" t="inlineStr"/>
      <c r="H514" s="11" t="inlineStr">
        <is>
          <t>Supreme Court</t>
        </is>
      </c>
      <c r="I514" s="2" t="inlineStr">
        <is>
          <t>AIR 1961 SC 448; (1961) CriLJ 573; (1961) 2 SCR 610</t>
        </is>
      </c>
      <c r="J514" s="11" t="n">
        <v>1961</v>
      </c>
      <c r="K514" s="2" t="inlineStr">
        <is>
          <t>State of Gujarat v. Mirzapur Moti Kureshi Kassab Jamat and Others</t>
        </is>
      </c>
      <c r="L514" s="11" t="inlineStr">
        <is>
          <t>Supreme Court</t>
        </is>
      </c>
      <c r="M514" s="2" t="inlineStr">
        <is>
          <t>AIR 2006 SC 212; (2005) 12 JT 580; (2005) 8 SCALE 661; (2005) 8 SCC 534; (2006) 1 UJ 240; (2005) AIRSCW 5723; (2005) 8 Supreme 697</t>
        </is>
      </c>
      <c r="N514" s="11" t="n">
        <v>2006</v>
      </c>
      <c r="O514" s="11" t="n"/>
      <c r="P514" s="11" t="n"/>
      <c r="Q514" s="11" t="n"/>
      <c r="R514" s="2" t="n"/>
      <c r="S514" s="2" t="n"/>
      <c r="T514" s="11" t="inlineStr"/>
      <c r="U514" s="11" t="inlineStr"/>
      <c r="V514" s="11" t="inlineStr">
        <is>
          <t>outside_list</t>
        </is>
      </c>
      <c r="W514" s="11" t="n"/>
      <c r="X514" s="11" t="n"/>
      <c r="Y514" s="11" t="n"/>
      <c r="Z514" s="11" t="inlineStr">
        <is>
          <t>Mr. Advocate</t>
        </is>
      </c>
      <c r="AA514" s="11" t="inlineStr">
        <is>
          <t>2026-10-07</t>
        </is>
      </c>
      <c r="AB514" s="11" t="inlineStr">
        <is>
          <t>name_year</t>
        </is>
      </c>
      <c r="AC514" s="2" t="inlineStr"/>
      <c r="AD514" s="2" t="inlineStr">
        <is>
          <t>Abdul Hakim Quraishi and Others v. The State of Bihar (1961) was overruled by State of Gujarat v. Mirzapur Moti Kureshi Kassab Jamat and Others (2006).</t>
        </is>
      </c>
      <c r="AE514" s="2" t="n"/>
      <c r="AF514" s="11" t="inlineStr">
        <is>
          <t>created from list 1</t>
        </is>
      </c>
    </row>
    <row r="515">
      <c r="A515" s="11" t="inlineStr">
        <is>
          <t>L1-0514</t>
        </is>
      </c>
      <c r="B515" s="11" t="inlineStr">
        <is>
          <t>List 1 (to ~2015)</t>
        </is>
      </c>
      <c r="C515" s="11" t="inlineStr">
        <is>
          <t>list1</t>
        </is>
      </c>
      <c r="D515" s="11" t="inlineStr">
        <is>
          <t>verified</t>
        </is>
      </c>
      <c r="E515" s="11" t="inlineStr">
        <is>
          <t>overruled</t>
        </is>
      </c>
      <c r="F515" s="2" t="inlineStr">
        <is>
          <t>Udit Narain Singh Malpaharia v. Additional Member, Board of Revenue, Bihar</t>
        </is>
      </c>
      <c r="G515" s="11" t="inlineStr"/>
      <c r="H515" s="11" t="inlineStr">
        <is>
          <t>Supreme Court</t>
        </is>
      </c>
      <c r="I515" s="2" t="inlineStr">
        <is>
          <t>AIR 1963 SC 786; (1963) 1 SCR 676 Supp</t>
        </is>
      </c>
      <c r="J515" s="11" t="n">
        <v>1963</v>
      </c>
      <c r="K515" s="2" t="inlineStr">
        <is>
          <t>Prabodh Verma and Others v. State of Uttar Pradesh and Others</t>
        </is>
      </c>
      <c r="L515" s="11" t="inlineStr">
        <is>
          <t>Supreme Court</t>
        </is>
      </c>
      <c r="M515" s="2" t="inlineStr">
        <is>
          <t>AIR 1985 SC 167; (1985) LabIC 1196; (1984) 2 SCALE 87; (1984) 4 SCC 251; (1985) 1 SCR 216</t>
        </is>
      </c>
      <c r="N515" s="11" t="n">
        <v>1985</v>
      </c>
      <c r="O515" s="11" t="n"/>
      <c r="P515" s="11" t="n"/>
      <c r="Q515" s="11" t="n"/>
      <c r="R515" s="2" t="n"/>
      <c r="S515" s="2" t="n"/>
      <c r="T515" s="11" t="inlineStr"/>
      <c r="U515" s="11" t="inlineStr"/>
      <c r="V515" s="11" t="inlineStr">
        <is>
          <t>outside_list</t>
        </is>
      </c>
      <c r="W515" s="11" t="n"/>
      <c r="X515" s="11" t="n"/>
      <c r="Y515" s="11" t="n"/>
      <c r="Z515" s="11" t="inlineStr">
        <is>
          <t>Mr. Advocate</t>
        </is>
      </c>
      <c r="AA515" s="11" t="inlineStr">
        <is>
          <t>2026-10-07</t>
        </is>
      </c>
      <c r="AB515" s="11" t="inlineStr">
        <is>
          <t>name_year</t>
        </is>
      </c>
      <c r="AC515" s="2" t="inlineStr"/>
      <c r="AD515" s="2" t="inlineStr">
        <is>
          <t>Udit Narain Singh Malpaharia v. Additional Member, Board of Revenue, Bihar (1963) was overruled by Prabodh Verma and Others v. State of Uttar Pradesh and Others (1985).</t>
        </is>
      </c>
      <c r="AE515" s="2" t="n"/>
      <c r="AF515" s="11" t="inlineStr">
        <is>
          <t>created from list 1</t>
        </is>
      </c>
    </row>
    <row r="516">
      <c r="A516" s="11" t="inlineStr">
        <is>
          <t>L1-0515</t>
        </is>
      </c>
      <c r="B516" s="11" t="inlineStr">
        <is>
          <t>List 1 (to ~2015)</t>
        </is>
      </c>
      <c r="C516" s="11" t="inlineStr">
        <is>
          <t>list1</t>
        </is>
      </c>
      <c r="D516" s="11" t="inlineStr">
        <is>
          <t>verified</t>
        </is>
      </c>
      <c r="E516" s="11" t="inlineStr">
        <is>
          <t>overruled</t>
        </is>
      </c>
      <c r="F516" s="2" t="inlineStr">
        <is>
          <t>Mohammed Faruk v. State of Madhya Pradesh and Others</t>
        </is>
      </c>
      <c r="G516" s="11" t="inlineStr"/>
      <c r="H516" s="11" t="inlineStr">
        <is>
          <t>Supreme Court</t>
        </is>
      </c>
      <c r="I516" s="2" t="inlineStr">
        <is>
          <t>AIR 1970 SC 93; (1969) 1 SCC 853; (1970) 1 SCR 156</t>
        </is>
      </c>
      <c r="J516" s="11" t="n">
        <v>1970</v>
      </c>
      <c r="K516" s="2" t="inlineStr">
        <is>
          <t>State of Gujarat v. Mirzapur Moti Kureshi Kassab Jamat and Others</t>
        </is>
      </c>
      <c r="L516" s="11" t="inlineStr">
        <is>
          <t>Supreme Court</t>
        </is>
      </c>
      <c r="M516" s="2" t="inlineStr">
        <is>
          <t>AIR 2006 SC 212; (2005) 12 JT 580; (2005) 8 SCALE 661; (2005) 8 SCC 534; (2006) 1 UJ 240; (2005) AIRSCW 5723; (2005) 8 Supreme 697</t>
        </is>
      </c>
      <c r="N516" s="11" t="n">
        <v>2006</v>
      </c>
      <c r="O516" s="11" t="n"/>
      <c r="P516" s="11" t="n"/>
      <c r="Q516" s="11" t="n"/>
      <c r="R516" s="2" t="n"/>
      <c r="S516" s="2" t="n"/>
      <c r="T516" s="11" t="inlineStr"/>
      <c r="U516" s="11" t="inlineStr"/>
      <c r="V516" s="11" t="inlineStr">
        <is>
          <t>outside_list</t>
        </is>
      </c>
      <c r="W516" s="11" t="n"/>
      <c r="X516" s="11" t="n"/>
      <c r="Y516" s="11" t="n"/>
      <c r="Z516" s="11" t="inlineStr">
        <is>
          <t>Mr. Advocate</t>
        </is>
      </c>
      <c r="AA516" s="11" t="inlineStr">
        <is>
          <t>2026-10-07</t>
        </is>
      </c>
      <c r="AB516" s="11" t="inlineStr">
        <is>
          <t>name_year</t>
        </is>
      </c>
      <c r="AC516" s="2" t="inlineStr"/>
      <c r="AD516" s="2" t="inlineStr">
        <is>
          <t>Mohammed Faruk v. State of Madhya Pradesh and Others (1970) was overruled by State of Gujarat v. Mirzapur Moti Kureshi Kassab Jamat and Others (2006).</t>
        </is>
      </c>
      <c r="AE516" s="2" t="n"/>
      <c r="AF516" s="11" t="inlineStr">
        <is>
          <t>created from list 1</t>
        </is>
      </c>
    </row>
    <row r="517">
      <c r="A517" s="11" t="inlineStr">
        <is>
          <t>L1-0516</t>
        </is>
      </c>
      <c r="B517" s="11" t="inlineStr">
        <is>
          <t>List 1 (to ~2015)</t>
        </is>
      </c>
      <c r="C517" s="11" t="inlineStr">
        <is>
          <t>list1</t>
        </is>
      </c>
      <c r="D517" s="11" t="inlineStr">
        <is>
          <t>verified</t>
        </is>
      </c>
      <c r="E517" s="11" t="inlineStr">
        <is>
          <t>overruled</t>
        </is>
      </c>
      <c r="F517" s="2" t="inlineStr">
        <is>
          <t>N.E. Horo v. Smt. Jahanara Jaipal Singh</t>
        </is>
      </c>
      <c r="G517" s="11" t="inlineStr"/>
      <c r="H517" s="11" t="inlineStr">
        <is>
          <t>Supreme Court</t>
        </is>
      </c>
      <c r="I517" s="2" t="inlineStr">
        <is>
          <t>AIR 1972 SC 1840; (1972) 1 SCC 771; (1972) 3 SCR 361</t>
        </is>
      </c>
      <c r="J517" s="11" t="n">
        <v>1972</v>
      </c>
      <c r="K517" s="2" t="inlineStr">
        <is>
          <t>Sobha Hymavathi Devi v. Setti Gangadhara Swamy and Others</t>
        </is>
      </c>
      <c r="L517" s="11" t="inlineStr">
        <is>
          <t>Supreme Court</t>
        </is>
      </c>
      <c r="M517" s="2" t="inlineStr">
        <is>
          <t>AIR 2005 SC 800; (2005) 1 JT 496; (2005) 2 SCC 244; (2005) 2 SCR 848; (2005) AIRSCW 718; (2005) 1 Supreme 617</t>
        </is>
      </c>
      <c r="N517" s="11" t="n">
        <v>2005</v>
      </c>
      <c r="O517" s="11" t="n"/>
      <c r="P517" s="11" t="n"/>
      <c r="Q517" s="11" t="n"/>
      <c r="R517" s="2" t="n"/>
      <c r="S517" s="2" t="n"/>
      <c r="T517" s="11" t="inlineStr"/>
      <c r="U517" s="11" t="inlineStr"/>
      <c r="V517" s="11" t="inlineStr">
        <is>
          <t>outside_list</t>
        </is>
      </c>
      <c r="W517" s="11" t="n"/>
      <c r="X517" s="11" t="n"/>
      <c r="Y517" s="11" t="n"/>
      <c r="Z517" s="11" t="inlineStr">
        <is>
          <t>Mr. Advocate</t>
        </is>
      </c>
      <c r="AA517" s="11" t="inlineStr">
        <is>
          <t>2026-10-07</t>
        </is>
      </c>
      <c r="AB517" s="11" t="inlineStr">
        <is>
          <t>name_year</t>
        </is>
      </c>
      <c r="AC517" s="2" t="inlineStr"/>
      <c r="AD517" s="2" t="inlineStr">
        <is>
          <t>N.E. Horo v. Smt. Jahanara Jaipal Singh (1972) was overruled by Sobha Hymavathi Devi v. Setti Gangadhara Swamy and Others (2005).</t>
        </is>
      </c>
      <c r="AE517" s="2" t="n"/>
      <c r="AF517" s="11" t="inlineStr">
        <is>
          <t>created from list 1</t>
        </is>
      </c>
    </row>
    <row r="518">
      <c r="A518" s="11" t="inlineStr">
        <is>
          <t>L1-0517</t>
        </is>
      </c>
      <c r="B518" s="11" t="inlineStr">
        <is>
          <t>List 1 (to ~2015)</t>
        </is>
      </c>
      <c r="C518" s="11" t="inlineStr">
        <is>
          <t>list1</t>
        </is>
      </c>
      <c r="D518" s="11" t="inlineStr">
        <is>
          <t>verified</t>
        </is>
      </c>
      <c r="E518" s="11" t="inlineStr">
        <is>
          <t>overruled</t>
        </is>
      </c>
      <c r="F518" s="2" t="inlineStr">
        <is>
          <t>Rajinder Kumar Joshi v. Veena Rani</t>
        </is>
      </c>
      <c r="G518" s="11" t="inlineStr"/>
      <c r="H518" s="11" t="inlineStr">
        <is>
          <t>Supreme Court</t>
        </is>
      </c>
      <c r="I518" s="2" t="inlineStr">
        <is>
          <t>AIR 1991 SC 259; (1990) 4 JT 50; (1990) 2 SCALE 539; (1990) 4 SCC 526; (1991) 1 UJ 105</t>
        </is>
      </c>
      <c r="J518" s="11" t="n">
        <v>1991</v>
      </c>
      <c r="K518" s="2" t="inlineStr">
        <is>
          <t>Vinod Kumar v. Prem Lata</t>
        </is>
      </c>
      <c r="L518" s="11" t="inlineStr">
        <is>
          <t>Supreme Court</t>
        </is>
      </c>
      <c r="M518" s="2" t="inlineStr">
        <is>
          <t>AIR 2003 SC 3854; (2003) 7 JT 574; (2003) 6 SCALE 608; (2003) 11 SCC 397; (2003) 2 SCR 803 Supp; (2004) 1 UJ 384; (2003) AIRSCW 4426; (2003) 6 Supreme 25</t>
        </is>
      </c>
      <c r="N518" s="11" t="n">
        <v>2003</v>
      </c>
      <c r="O518" s="11" t="n"/>
      <c r="P518" s="11" t="n"/>
      <c r="Q518" s="11" t="n"/>
      <c r="R518" s="2" t="n"/>
      <c r="S518" s="2" t="n"/>
      <c r="T518" s="11" t="inlineStr"/>
      <c r="U518" s="11" t="inlineStr"/>
      <c r="V518" s="11" t="inlineStr">
        <is>
          <t>outside_list</t>
        </is>
      </c>
      <c r="W518" s="11" t="n"/>
      <c r="X518" s="11" t="n"/>
      <c r="Y518" s="11" t="n"/>
      <c r="Z518" s="11" t="inlineStr">
        <is>
          <t>Mr. Advocate</t>
        </is>
      </c>
      <c r="AA518" s="11" t="inlineStr">
        <is>
          <t>2026-10-07</t>
        </is>
      </c>
      <c r="AB518" s="11" t="inlineStr">
        <is>
          <t>name_year</t>
        </is>
      </c>
      <c r="AC518" s="2" t="inlineStr"/>
      <c r="AD518" s="2" t="inlineStr">
        <is>
          <t>Rajinder Kumar Joshi v. Veena Rani (1991) was overruled by Vinod Kumar v. Prem Lata (2003).</t>
        </is>
      </c>
      <c r="AE518" s="2" t="n"/>
      <c r="AF518" s="11" t="inlineStr">
        <is>
          <t>created from list 1</t>
        </is>
      </c>
    </row>
    <row r="519">
      <c r="A519" s="11" t="inlineStr">
        <is>
          <t>L1-0518</t>
        </is>
      </c>
      <c r="B519" s="11" t="inlineStr">
        <is>
          <t>List 1 (to ~2015)</t>
        </is>
      </c>
      <c r="C519" s="11" t="inlineStr">
        <is>
          <t>list1</t>
        </is>
      </c>
      <c r="D519" s="11" t="inlineStr">
        <is>
          <t>verified</t>
        </is>
      </c>
      <c r="E519" s="11" t="inlineStr">
        <is>
          <t>overruled</t>
        </is>
      </c>
      <c r="F519" s="2" t="inlineStr">
        <is>
          <t>Baidyanath Mahapatra v. State of Orissa and Another</t>
        </is>
      </c>
      <c r="G519" s="11" t="inlineStr"/>
      <c r="H519" s="11" t="inlineStr">
        <is>
          <t>Supreme Court</t>
        </is>
      </c>
      <c r="I519" s="2" t="inlineStr">
        <is>
          <t>AIR 1989 SC 2218; (1989) 68 CLT 640; (1989) 25 ECR 24; (1989) 59 FLR 393; (1989) 3 JT 360; (1989) 2 SCALE 271; (1989) 4 SCC 664; (1989) 3 SCR 803; (1989) 2 UJ 666</t>
        </is>
      </c>
      <c r="J519" s="11" t="n">
        <v>1989</v>
      </c>
      <c r="K519" s="2" t="inlineStr">
        <is>
          <t>Brij Mohan Singh Chopra v. State of Punjab</t>
        </is>
      </c>
      <c r="L519" s="11" t="inlineStr">
        <is>
          <t>Supreme Court</t>
        </is>
      </c>
      <c r="M519" s="2" t="inlineStr">
        <is>
          <t>AIR 1987 SC 948; (1987) 54 FLR 460; (1987) 1 JT 673; (1987) 1 LLJ 522; (1987) 1 SCALE 556; (1987) 2 SCC 188; (1987) 2 SCR 583; (1987) 3 SLJ 54; (1987) 2 UJ 49</t>
        </is>
      </c>
      <c r="N519" s="11" t="n">
        <v>1987</v>
      </c>
      <c r="O519" s="11" t="n"/>
      <c r="P519" s="11" t="n"/>
      <c r="Q519" s="11" t="n"/>
      <c r="R519" s="2" t="n"/>
      <c r="S519" s="2" t="n"/>
      <c r="T519" s="11" t="inlineStr"/>
      <c r="U519" s="11" t="inlineStr">
        <is>
          <t>year_order_check</t>
        </is>
      </c>
      <c r="V519" s="11" t="inlineStr">
        <is>
          <t>outside_list</t>
        </is>
      </c>
      <c r="W519" s="11" t="n"/>
      <c r="X519" s="11" t="n"/>
      <c r="Y519" s="11" t="n"/>
      <c r="Z519" s="11" t="inlineStr">
        <is>
          <t>Mr. Advocate</t>
        </is>
      </c>
      <c r="AA519" s="11" t="inlineStr">
        <is>
          <t>2026-10-07</t>
        </is>
      </c>
      <c r="AB519" s="11" t="inlineStr">
        <is>
          <t>name_year</t>
        </is>
      </c>
      <c r="AC519" s="2" t="inlineStr">
        <is>
          <t>L1-0583: overruled by Baikuntha Nath Das and another v. Chief District Medical Officer, Baripada and another (1992)</t>
        </is>
      </c>
      <c r="AD519" s="2" t="inlineStr">
        <is>
          <t>Baidyanath Mahapatra v. State of Orissa and Another (1989) was overruled by Brij Mohan Singh Chopra v. State of Punjab (1987). Note: Brij Mohan Singh Chopra v. State of Punjab was itself later overruled by Baikuntha Nath Das and another v. Chief District Medical Officer, Baripada and another (1992); the current position should be checked.</t>
        </is>
      </c>
      <c r="AE519" s="2" t="n"/>
      <c r="AF519" s="11" t="inlineStr">
        <is>
          <t>created from list 1</t>
        </is>
      </c>
    </row>
    <row r="520">
      <c r="A520" s="11" t="inlineStr">
        <is>
          <t>L1-0519</t>
        </is>
      </c>
      <c r="B520" s="11" t="inlineStr">
        <is>
          <t>List 1 (to ~2015)</t>
        </is>
      </c>
      <c r="C520" s="11" t="inlineStr">
        <is>
          <t>list1</t>
        </is>
      </c>
      <c r="D520" s="11" t="inlineStr">
        <is>
          <t>verified</t>
        </is>
      </c>
      <c r="E520" s="11" t="inlineStr">
        <is>
          <t>overruled</t>
        </is>
      </c>
      <c r="F520" s="2" t="inlineStr">
        <is>
          <t>Ram Kishore Sen and Others v. Union of India and Others (UOI)</t>
        </is>
      </c>
      <c r="G520" s="11" t="inlineStr"/>
      <c r="H520" s="11" t="inlineStr">
        <is>
          <t>Supreme Court</t>
        </is>
      </c>
      <c r="I520" s="2" t="inlineStr">
        <is>
          <t>AIR 1966 SC 644; (1966) 1 SCR 430</t>
        </is>
      </c>
      <c r="J520" s="11" t="n">
        <v>1966</v>
      </c>
      <c r="K520" s="2" t="inlineStr">
        <is>
          <t>New Delhi Municipal Committee v. State of Punjab, etc.</t>
        </is>
      </c>
      <c r="L520" s="11" t="inlineStr">
        <is>
          <t>Supreme Court</t>
        </is>
      </c>
      <c r="M520" s="2" t="inlineStr">
        <is>
          <t>AIR 1997 SC 2847; (1997) 1 JT 40; (1996) 9 SCALE 613; (1997) 7 SCC 339; (1996) 10 SCR 472 Supp; (1997) AIRSCW 2851; (1997) 4 Supreme 90</t>
        </is>
      </c>
      <c r="N520" s="11" t="n">
        <v>1997</v>
      </c>
      <c r="O520" s="11" t="n"/>
      <c r="P520" s="11" t="n"/>
      <c r="Q520" s="11" t="n"/>
      <c r="R520" s="2" t="n"/>
      <c r="S520" s="2" t="n"/>
      <c r="T520" s="11" t="inlineStr"/>
      <c r="U520" s="11" t="inlineStr"/>
      <c r="V520" s="11" t="inlineStr">
        <is>
          <t>outside_list</t>
        </is>
      </c>
      <c r="W520" s="11" t="n"/>
      <c r="X520" s="11" t="n"/>
      <c r="Y520" s="11" t="n"/>
      <c r="Z520" s="11" t="inlineStr">
        <is>
          <t>Mr. Advocate</t>
        </is>
      </c>
      <c r="AA520" s="11" t="inlineStr">
        <is>
          <t>2026-10-07</t>
        </is>
      </c>
      <c r="AB520" s="11" t="inlineStr">
        <is>
          <t>name_year</t>
        </is>
      </c>
      <c r="AC520" s="2" t="inlineStr"/>
      <c r="AD520" s="2" t="inlineStr">
        <is>
          <t>Ram Kishore Sen and Others v. Union of India and Others (UOI) (1966) was overruled by New Delhi Municipal Committee v. State of Punjab, etc. (1997).</t>
        </is>
      </c>
      <c r="AE520" s="2" t="n"/>
      <c r="AF520" s="11" t="inlineStr">
        <is>
          <t>created from list 1</t>
        </is>
      </c>
    </row>
    <row r="521">
      <c r="A521" s="11" t="inlineStr">
        <is>
          <t>L1-0520</t>
        </is>
      </c>
      <c r="B521" s="11" t="inlineStr">
        <is>
          <t>List 1 (to ~2015)</t>
        </is>
      </c>
      <c r="C521" s="11" t="inlineStr">
        <is>
          <t>list1</t>
        </is>
      </c>
      <c r="D521" s="11" t="inlineStr">
        <is>
          <t>verified</t>
        </is>
      </c>
      <c r="E521" s="11" t="inlineStr">
        <is>
          <t>overruled</t>
        </is>
      </c>
      <c r="F521" s="2" t="inlineStr">
        <is>
          <t>Sri Satya Narain Singh v. District Engineer, P.W.D. and Another</t>
        </is>
      </c>
      <c r="G521" s="11" t="inlineStr"/>
      <c r="H521" s="11" t="inlineStr">
        <is>
          <t>Supreme Court</t>
        </is>
      </c>
      <c r="I521" s="2" t="inlineStr">
        <is>
          <t>AIR 1962 SC 1161; (1962) 3 SCR 105 Supp</t>
        </is>
      </c>
      <c r="J521" s="11" t="n">
        <v>1962</v>
      </c>
      <c r="K521" s="2" t="inlineStr">
        <is>
          <t>Union of India (UOI) and Another v. Ladu Lal Jain</t>
        </is>
      </c>
      <c r="L521" s="11" t="inlineStr">
        <is>
          <t>Supreme Court</t>
        </is>
      </c>
      <c r="M521" s="2" t="inlineStr">
        <is>
          <t>AIR 1963 SC 1681; (1964) 3 SCR 624</t>
        </is>
      </c>
      <c r="N521" s="11" t="n">
        <v>1963</v>
      </c>
      <c r="O521" s="11" t="n"/>
      <c r="P521" s="11" t="n"/>
      <c r="Q521" s="11" t="n"/>
      <c r="R521" s="2" t="n"/>
      <c r="S521" s="2" t="n"/>
      <c r="T521" s="11" t="inlineStr"/>
      <c r="U521" s="11" t="inlineStr"/>
      <c r="V521" s="11" t="inlineStr">
        <is>
          <t>outside_list</t>
        </is>
      </c>
      <c r="W521" s="11" t="n"/>
      <c r="X521" s="11" t="n"/>
      <c r="Y521" s="11" t="n"/>
      <c r="Z521" s="11" t="inlineStr">
        <is>
          <t>Mr. Advocate</t>
        </is>
      </c>
      <c r="AA521" s="11" t="inlineStr">
        <is>
          <t>2026-10-07</t>
        </is>
      </c>
      <c r="AB521" s="11" t="inlineStr">
        <is>
          <t>name_year</t>
        </is>
      </c>
      <c r="AC521" s="2" t="inlineStr"/>
      <c r="AD521" s="2" t="inlineStr">
        <is>
          <t>Sri Satya Narain Singh v. District Engineer, P.W.D. and Another (1962) was overruled by Union of India (UOI) and Another v. Ladu Lal Jain (1963).</t>
        </is>
      </c>
      <c r="AE521" s="2" t="n"/>
      <c r="AF521" s="11" t="inlineStr">
        <is>
          <t>created from list 1</t>
        </is>
      </c>
    </row>
    <row r="522">
      <c r="A522" s="11" t="inlineStr">
        <is>
          <t>L1-0521</t>
        </is>
      </c>
      <c r="B522" s="11" t="inlineStr">
        <is>
          <t>List 1 (to ~2015)</t>
        </is>
      </c>
      <c r="C522" s="11" t="inlineStr">
        <is>
          <t>list1</t>
        </is>
      </c>
      <c r="D522" s="11" t="inlineStr">
        <is>
          <t>verified</t>
        </is>
      </c>
      <c r="E522" s="11" t="inlineStr">
        <is>
          <t>overruled</t>
        </is>
      </c>
      <c r="F522" s="2" t="inlineStr">
        <is>
          <t>Konkan Railway Corporation Ltd. and Another v. Rani Construction Pvt. Ltd.</t>
        </is>
      </c>
      <c r="G522" s="11" t="inlineStr"/>
      <c r="H522" s="11" t="inlineStr">
        <is>
          <t>Supreme Court</t>
        </is>
      </c>
      <c r="I522" s="2" t="inlineStr">
        <is>
          <t>AIR 2002 SC 778; (2002) 1 ARBLR 326; (2002) 1 CompLJ 393; (2002) 1 JT 587; (2002) 1 SCALE 465; (2001) 4 SCALE 225; (2002) 2 SCC 388; (2002) 37 SCL 407; (2002) 1 SCR 728; (2002) 1 UJ 538; (2002) AIRSCW 426; (2002) 1 Supreme 419</t>
        </is>
      </c>
      <c r="J522" s="11" t="n">
        <v>2002</v>
      </c>
      <c r="K522" s="2" t="inlineStr">
        <is>
          <t>S.B.P. and Co. v. Patel Engineering Ltd. and Another</t>
        </is>
      </c>
      <c r="L522" s="11" t="inlineStr">
        <is>
          <t>Supreme Court</t>
        </is>
      </c>
      <c r="M522" s="2" t="inlineStr">
        <is>
          <t>AIR 2006 SC 450; (2005) 3 ARBLR 285; (2005) 128 CompCas 465; (2006) 2 CompLJ 7; (2005) 5 CTC 302; (2005) 9 JT 219; (2005) 9 SCALE 1; (2005) 8 SCC 618; (2006) 1 UJ 156; (2005) AIRSCW 5932; (2005) 7 Supreme 610</t>
        </is>
      </c>
      <c r="N522" s="11" t="n">
        <v>2006</v>
      </c>
      <c r="O522" s="11" t="n"/>
      <c r="P522" s="11" t="n"/>
      <c r="Q522" s="11" t="n"/>
      <c r="R522" s="2" t="n"/>
      <c r="S522" s="2" t="n"/>
      <c r="T522" s="11" t="inlineStr"/>
      <c r="U522" s="11" t="inlineStr"/>
      <c r="V522" s="11" t="inlineStr">
        <is>
          <t>outside_list</t>
        </is>
      </c>
      <c r="W522" s="11" t="n"/>
      <c r="X522" s="11" t="n"/>
      <c r="Y522" s="11" t="n"/>
      <c r="Z522" s="11" t="inlineStr">
        <is>
          <t>Mr. Advocate</t>
        </is>
      </c>
      <c r="AA522" s="11" t="inlineStr">
        <is>
          <t>2026-10-07</t>
        </is>
      </c>
      <c r="AB522" s="11" t="inlineStr">
        <is>
          <t>name_year</t>
        </is>
      </c>
      <c r="AC522" s="2" t="inlineStr"/>
      <c r="AD522" s="2" t="inlineStr">
        <is>
          <t>Konkan Railway Corporation Ltd. and Another v. Rani Construction Pvt. Ltd. (2002) was overruled by S.B.P. and Co. v. Patel Engineering Ltd. and Another (2006).</t>
        </is>
      </c>
      <c r="AE522" s="2" t="n"/>
      <c r="AF522" s="11" t="inlineStr">
        <is>
          <t>created from list 1</t>
        </is>
      </c>
    </row>
    <row r="523">
      <c r="A523" s="11" t="inlineStr">
        <is>
          <t>L1-0522</t>
        </is>
      </c>
      <c r="B523" s="11" t="inlineStr">
        <is>
          <t>List 1 (to ~2015)</t>
        </is>
      </c>
      <c r="C523" s="11" t="inlineStr">
        <is>
          <t>list1</t>
        </is>
      </c>
      <c r="D523" s="11" t="inlineStr">
        <is>
          <t>verified</t>
        </is>
      </c>
      <c r="E523" s="11" t="inlineStr">
        <is>
          <t>overruled</t>
        </is>
      </c>
      <c r="F523" s="2" t="inlineStr">
        <is>
          <t>Sabhajit Tewary v. Union of India (UOI) and Others</t>
        </is>
      </c>
      <c r="G523" s="11" t="inlineStr"/>
      <c r="H523" s="11" t="inlineStr">
        <is>
          <t>Supreme Court</t>
        </is>
      </c>
      <c r="I523" s="2" t="inlineStr">
        <is>
          <t>AIR 1975 SC 1329; (1975) 30 FLR 212; (1975) LabIC 819; (1975) 1 LLJ 374; (1975) 1 SCC 485; (1975) 3 SCR 616</t>
        </is>
      </c>
      <c r="J523" s="11" t="n">
        <v>1975</v>
      </c>
      <c r="K523" s="2" t="inlineStr">
        <is>
          <t>Virendra Kumar Srivastava v. U.P. Rajya Karmachari Kalyan Nigam and Another</t>
        </is>
      </c>
      <c r="L523" s="11" t="inlineStr">
        <is>
          <t>Supreme Court</t>
        </is>
      </c>
      <c r="M523" s="2" t="inlineStr">
        <is>
          <t>AIR 2005 SC 411; (2005) 2 ESC 161; (2005) 1 LLJ 544; (2004) 9 SCALE 623; (2005) 1 SCC 149; (2005) SCC(L&amp;S) 1; (2005) 2 SLJ 80; (2004) AIRSCW 6628; (2005) AIRSCW 6628; (2005) 1 Supreme 550</t>
        </is>
      </c>
      <c r="N523" s="11" t="n">
        <v>2005</v>
      </c>
      <c r="O523" s="11" t="n"/>
      <c r="P523" s="11" t="n"/>
      <c r="Q523" s="11" t="n"/>
      <c r="R523" s="2" t="n"/>
      <c r="S523" s="2" t="n"/>
      <c r="T523" s="11" t="inlineStr"/>
      <c r="U523" s="11" t="inlineStr"/>
      <c r="V523" s="11" t="inlineStr">
        <is>
          <t>outside_list</t>
        </is>
      </c>
      <c r="W523" s="11" t="n"/>
      <c r="X523" s="11" t="n"/>
      <c r="Y523" s="11" t="n"/>
      <c r="Z523" s="11" t="inlineStr">
        <is>
          <t>Mr. Advocate</t>
        </is>
      </c>
      <c r="AA523" s="11" t="inlineStr">
        <is>
          <t>2026-10-07</t>
        </is>
      </c>
      <c r="AB523" s="11" t="inlineStr">
        <is>
          <t>name_year</t>
        </is>
      </c>
      <c r="AC523" s="2" t="inlineStr"/>
      <c r="AD523" s="2" t="inlineStr">
        <is>
          <t>Sabhajit Tewary v. Union of India (UOI) and Others (1975) was overruled by Virendra Kumar Srivastava v. U.P. Rajya Karmachari Kalyan Nigam and Another (2005).</t>
        </is>
      </c>
      <c r="AE523" s="2" t="n"/>
      <c r="AF523" s="11" t="inlineStr">
        <is>
          <t>created from list 1</t>
        </is>
      </c>
    </row>
    <row r="524">
      <c r="A524" s="11" t="inlineStr">
        <is>
          <t>L1-0523</t>
        </is>
      </c>
      <c r="B524" s="11" t="inlineStr">
        <is>
          <t>List 1 (to ~2015)</t>
        </is>
      </c>
      <c r="C524" s="11" t="inlineStr">
        <is>
          <t>list1</t>
        </is>
      </c>
      <c r="D524" s="11" t="inlineStr">
        <is>
          <t>verified</t>
        </is>
      </c>
      <c r="E524" s="11" t="inlineStr">
        <is>
          <t>overruled</t>
        </is>
      </c>
      <c r="F524" s="2" t="inlineStr">
        <is>
          <t>Indira Sohanlal v. Custodian of Evacuee Property, Delhi and Others</t>
        </is>
      </c>
      <c r="G524" s="11" t="inlineStr"/>
      <c r="H524" s="11" t="inlineStr">
        <is>
          <t>Supreme Court</t>
        </is>
      </c>
      <c r="I524" s="2" t="inlineStr">
        <is>
          <t>AIR 1956 SC 77; (1955) 2 SCR 1117</t>
        </is>
      </c>
      <c r="J524" s="11" t="n">
        <v>1956</v>
      </c>
      <c r="K524" s="2" t="inlineStr">
        <is>
          <t>Vijayee Singh and others v. State of U.P.</t>
        </is>
      </c>
      <c r="L524" s="11" t="inlineStr">
        <is>
          <t>Supreme Court</t>
        </is>
      </c>
      <c r="M524" s="2" t="inlineStr">
        <is>
          <t>AIR 1990 SC 1459; (1990) CriLJ 1510; (1990) 2 Crimes 584; (1990) 2 JT 596; (1990) 3 SCC 190; (1990) 2 SCR 573</t>
        </is>
      </c>
      <c r="N524" s="11" t="n">
        <v>1990</v>
      </c>
      <c r="O524" s="11" t="n"/>
      <c r="P524" s="11" t="n"/>
      <c r="Q524" s="11" t="n"/>
      <c r="R524" s="2" t="n"/>
      <c r="S524" s="2" t="n"/>
      <c r="T524" s="11" t="inlineStr"/>
      <c r="U524" s="11" t="inlineStr"/>
      <c r="V524" s="11" t="inlineStr">
        <is>
          <t>outside_list</t>
        </is>
      </c>
      <c r="W524" s="11" t="n"/>
      <c r="X524" s="11" t="n"/>
      <c r="Y524" s="11" t="n"/>
      <c r="Z524" s="11" t="inlineStr">
        <is>
          <t>Mr. Advocate</t>
        </is>
      </c>
      <c r="AA524" s="11" t="inlineStr">
        <is>
          <t>2026-10-07</t>
        </is>
      </c>
      <c r="AB524" s="11" t="inlineStr">
        <is>
          <t>name_year</t>
        </is>
      </c>
      <c r="AC524" s="2" t="inlineStr"/>
      <c r="AD524" s="2" t="inlineStr">
        <is>
          <t>Indira Sohanlal v. Custodian of Evacuee Property, Delhi and Others (1956) was overruled by Vijayee Singh and others v. State of U.P. (1990).</t>
        </is>
      </c>
      <c r="AE524" s="2" t="n"/>
      <c r="AF524" s="11" t="inlineStr">
        <is>
          <t>created from list 1</t>
        </is>
      </c>
    </row>
    <row r="525">
      <c r="A525" s="11" t="inlineStr">
        <is>
          <t>L1-0524</t>
        </is>
      </c>
      <c r="B525" s="11" t="inlineStr">
        <is>
          <t>List 1 (to ~2015)</t>
        </is>
      </c>
      <c r="C525" s="11" t="inlineStr">
        <is>
          <t>list1</t>
        </is>
      </c>
      <c r="D525" s="11" t="inlineStr">
        <is>
          <t>verified</t>
        </is>
      </c>
      <c r="E525" s="11" t="inlineStr">
        <is>
          <t>overruled</t>
        </is>
      </c>
      <c r="F525" s="2" t="inlineStr">
        <is>
          <t>Satya Narain v. Dhuja Ram and Others</t>
        </is>
      </c>
      <c r="G525" s="11" t="inlineStr"/>
      <c r="H525" s="11" t="inlineStr">
        <is>
          <t>Supreme Court</t>
        </is>
      </c>
      <c r="I525" s="2" t="inlineStr">
        <is>
          <t>AIR 1974 SC 1185; (1974) 4 SCC 237; (1974) 3 SCR 20; (1974) 6 UJ 126</t>
        </is>
      </c>
      <c r="J525" s="11" t="n">
        <v>1974</v>
      </c>
      <c r="K525" s="2" t="inlineStr">
        <is>
          <t>Chandrakant Uttam Chodankar v. Shri Dayanand Rayu Mandrakar and Others</t>
        </is>
      </c>
      <c r="L525" s="11" t="inlineStr">
        <is>
          <t>Supreme Court</t>
        </is>
      </c>
      <c r="M525" s="2" t="inlineStr">
        <is>
          <t>AIR 2005 SC 547; (2005) 11 JT 408; (2004) 10 SCALE 429; (2005) 2 SCC 188</t>
        </is>
      </c>
      <c r="N525" s="11" t="n">
        <v>2005</v>
      </c>
      <c r="O525" s="11" t="n"/>
      <c r="P525" s="11" t="n"/>
      <c r="Q525" s="11" t="n"/>
      <c r="R525" s="2" t="n"/>
      <c r="S525" s="2" t="n"/>
      <c r="T525" s="11" t="inlineStr"/>
      <c r="U525" s="11" t="inlineStr"/>
      <c r="V525" s="11" t="inlineStr">
        <is>
          <t>outside_list</t>
        </is>
      </c>
      <c r="W525" s="11" t="n"/>
      <c r="X525" s="11" t="n"/>
      <c r="Y525" s="11" t="n"/>
      <c r="Z525" s="11" t="inlineStr">
        <is>
          <t>Mr. Advocate</t>
        </is>
      </c>
      <c r="AA525" s="11" t="inlineStr">
        <is>
          <t>2026-10-07</t>
        </is>
      </c>
      <c r="AB525" s="11" t="inlineStr">
        <is>
          <t>name_year</t>
        </is>
      </c>
      <c r="AC525" s="2" t="inlineStr"/>
      <c r="AD525" s="2" t="inlineStr">
        <is>
          <t>Satya Narain v. Dhuja Ram and Others (1974) was overruled by Chandrakant Uttam Chodankar v. Shri Dayanand Rayu Mandrakar and Others (2005).</t>
        </is>
      </c>
      <c r="AE525" s="2" t="n"/>
      <c r="AF525" s="11" t="inlineStr">
        <is>
          <t>created from list 1</t>
        </is>
      </c>
    </row>
    <row r="526">
      <c r="A526" s="11" t="inlineStr">
        <is>
          <t>L1-0525</t>
        </is>
      </c>
      <c r="B526" s="11" t="inlineStr">
        <is>
          <t>List 1 (to ~2015)</t>
        </is>
      </c>
      <c r="C526" s="11" t="inlineStr">
        <is>
          <t>list1</t>
        </is>
      </c>
      <c r="D526" s="11" t="inlineStr">
        <is>
          <t>verified</t>
        </is>
      </c>
      <c r="E526" s="11" t="inlineStr">
        <is>
          <t>overruled</t>
        </is>
      </c>
      <c r="F526" s="2" t="inlineStr">
        <is>
          <t>Punjab University v. Subash Chander and Another</t>
        </is>
      </c>
      <c r="G526" s="11" t="inlineStr"/>
      <c r="H526" s="11" t="inlineStr">
        <is>
          <t>Supreme Court</t>
        </is>
      </c>
      <c r="I526" s="2" t="inlineStr">
        <is>
          <t>AIR 1984 SC 1415; (1984) 1 SCALE 925; (1984) 3 SCC 603; (1984) 3 SCR 822; (1984) 16 UJ 772</t>
        </is>
      </c>
      <c r="J526" s="11" t="n">
        <v>1984</v>
      </c>
      <c r="K526" s="2" t="inlineStr">
        <is>
          <t>Punjab University, Chandigarh v. Devjani Chakrabarti and Others</t>
        </is>
      </c>
      <c r="L526" s="11" t="inlineStr">
        <is>
          <t>Supreme Court</t>
        </is>
      </c>
      <c r="M526" s="2" t="inlineStr">
        <is>
          <t>AIR 1984 SC 1444; (1984) 1 SCALE 856; (1984) 3 SCC 612; (1984) 3 SCR 815; (1984) 16 UJ 768</t>
        </is>
      </c>
      <c r="N526" s="11" t="n">
        <v>1984</v>
      </c>
      <c r="O526" s="11" t="n"/>
      <c r="P526" s="11" t="n"/>
      <c r="Q526" s="11" t="n"/>
      <c r="R526" s="2" t="n"/>
      <c r="S526" s="2" t="n"/>
      <c r="T526" s="11" t="inlineStr"/>
      <c r="U526" s="11" t="inlineStr"/>
      <c r="V526" s="11" t="inlineStr">
        <is>
          <t>outside_list</t>
        </is>
      </c>
      <c r="W526" s="11" t="n"/>
      <c r="X526" s="11" t="n"/>
      <c r="Y526" s="11" t="n"/>
      <c r="Z526" s="11" t="inlineStr">
        <is>
          <t>Mr. Advocate</t>
        </is>
      </c>
      <c r="AA526" s="11" t="inlineStr">
        <is>
          <t>2026-10-07</t>
        </is>
      </c>
      <c r="AB526" s="11" t="inlineStr">
        <is>
          <t>name_year</t>
        </is>
      </c>
      <c r="AC526" s="2" t="inlineStr"/>
      <c r="AD526" s="2" t="inlineStr">
        <is>
          <t>Punjab University v. Subash Chander and Another (1984) was overruled by Punjab University, Chandigarh v. Devjani Chakrabarti and Others (1984).</t>
        </is>
      </c>
      <c r="AE526" s="2" t="n"/>
      <c r="AF526" s="11" t="inlineStr">
        <is>
          <t>created from list 1</t>
        </is>
      </c>
    </row>
    <row r="527">
      <c r="A527" s="11" t="inlineStr">
        <is>
          <t>L1-0526</t>
        </is>
      </c>
      <c r="B527" s="11" t="inlineStr">
        <is>
          <t>List 1 (to ~2015)</t>
        </is>
      </c>
      <c r="C527" s="11" t="inlineStr">
        <is>
          <t>list1</t>
        </is>
      </c>
      <c r="D527" s="11" t="inlineStr">
        <is>
          <t>verified</t>
        </is>
      </c>
      <c r="E527" s="11" t="inlineStr">
        <is>
          <t>overruled</t>
        </is>
      </c>
      <c r="F527" s="2" t="inlineStr">
        <is>
          <t>Comptroller and Auditor-general of India, Gian Prakash, New Delhi and Another v. K.S. Jagannathan and Another</t>
        </is>
      </c>
      <c r="G527" s="11" t="inlineStr"/>
      <c r="H527" s="11" t="inlineStr">
        <is>
          <t>Supreme Court</t>
        </is>
      </c>
      <c r="I527" s="2" t="inlineStr">
        <is>
          <t>AIR 1987 SC 537; (1986) 1 SCALE 1077; (1986) 2 SCC 679; (1986) 2 SCR 17; (1986) 2 SLJ 1</t>
        </is>
      </c>
      <c r="J527" s="11" t="n">
        <v>1987</v>
      </c>
      <c r="K527" s="2" t="inlineStr">
        <is>
          <t>Indra Sawhney v. Union of India (UOI) and Others</t>
        </is>
      </c>
      <c r="L527" s="11" t="inlineStr">
        <is>
          <t>Supreme Court</t>
        </is>
      </c>
      <c r="M527" s="2" t="inlineStr">
        <is>
          <t>(1992) 3 SCC 217 Supp</t>
        </is>
      </c>
      <c r="N527" s="11" t="n">
        <v>1992</v>
      </c>
      <c r="O527" s="11" t="n"/>
      <c r="P527" s="11" t="n"/>
      <c r="Q527" s="11" t="n"/>
      <c r="R527" s="2" t="n"/>
      <c r="S527" s="2" t="n"/>
      <c r="T527" s="11" t="inlineStr"/>
      <c r="U527" s="11" t="inlineStr"/>
      <c r="V527" s="11" t="inlineStr">
        <is>
          <t>outside_list</t>
        </is>
      </c>
      <c r="W527" s="11" t="n"/>
      <c r="X527" s="11" t="n"/>
      <c r="Y527" s="11" t="n"/>
      <c r="Z527" s="11" t="inlineStr">
        <is>
          <t>Mr. Advocate</t>
        </is>
      </c>
      <c r="AA527" s="11" t="inlineStr">
        <is>
          <t>2026-10-07</t>
        </is>
      </c>
      <c r="AB527" s="11" t="inlineStr">
        <is>
          <t>name_year</t>
        </is>
      </c>
      <c r="AC527" s="2" t="inlineStr"/>
      <c r="AD527" s="2" t="inlineStr">
        <is>
          <t>Comptroller and Auditor-general of India, Gian Prakash, New Delhi and Another v. K.S. Jagannathan and Another (1987) was overruled by Indra Sawhney v. Union of India (UOI) and Others (1992).</t>
        </is>
      </c>
      <c r="AE527" s="2" t="n"/>
      <c r="AF527" s="11" t="inlineStr">
        <is>
          <t>created from list 1</t>
        </is>
      </c>
    </row>
    <row r="528">
      <c r="A528" s="11" t="inlineStr">
        <is>
          <t>L1-0527</t>
        </is>
      </c>
      <c r="B528" s="11" t="inlineStr">
        <is>
          <t>List 1 (to ~2015)</t>
        </is>
      </c>
      <c r="C528" s="11" t="inlineStr">
        <is>
          <t>list1</t>
        </is>
      </c>
      <c r="D528" s="11" t="inlineStr">
        <is>
          <t>verified</t>
        </is>
      </c>
      <c r="E528" s="11" t="inlineStr">
        <is>
          <t>overruled</t>
        </is>
      </c>
      <c r="F528" s="2" t="inlineStr">
        <is>
          <t>Sree Balaji Krishna Hardware Stores v. Srinivasaiah</t>
        </is>
      </c>
      <c r="G528" s="11" t="inlineStr"/>
      <c r="H528" s="11" t="inlineStr">
        <is>
          <t>Supreme Court</t>
        </is>
      </c>
      <c r="I528" s="2" t="inlineStr">
        <is>
          <t>AIR 1998 SC 994; (1998) 1 CTC 729; (1998) 1 JT 429; (1998) 1 SCALE 430; (1998) 2 SCC 708; (1998) 1 UJ 513; (1998) AIRSCW 762; (1998) 1 Supreme 480</t>
        </is>
      </c>
      <c r="J528" s="11" t="n">
        <v>1998</v>
      </c>
      <c r="K528" s="2" t="inlineStr">
        <is>
          <t>Srinivasiah v. Sri Balaji Krishna Hardware Stores</t>
        </is>
      </c>
      <c r="L528" s="11" t="inlineStr">
        <is>
          <t>Supreme Court</t>
        </is>
      </c>
      <c r="M528" s="2" t="inlineStr">
        <is>
          <t>AIR 1999 SC 462; (1998) 8 JT 72; (1998) 6 SCALE 219; (1998) 8 SCC 312; (1998) 3 SCR 83 Supp; (1999) 1 UJ 149; (1998) AIRSCW 3625; (1998) 8 Supreme 546</t>
        </is>
      </c>
      <c r="N528" s="11" t="n">
        <v>1999</v>
      </c>
      <c r="O528" s="11" t="n"/>
      <c r="P528" s="11" t="n"/>
      <c r="Q528" s="11" t="n"/>
      <c r="R528" s="2" t="n"/>
      <c r="S528" s="2" t="n"/>
      <c r="T528" s="11" t="inlineStr"/>
      <c r="U528" s="11" t="inlineStr"/>
      <c r="V528" s="11" t="inlineStr">
        <is>
          <t>outside_list</t>
        </is>
      </c>
      <c r="W528" s="11" t="n"/>
      <c r="X528" s="11" t="n"/>
      <c r="Y528" s="11" t="n"/>
      <c r="Z528" s="11" t="inlineStr">
        <is>
          <t>Mr. Advocate</t>
        </is>
      </c>
      <c r="AA528" s="11" t="inlineStr">
        <is>
          <t>2026-10-07</t>
        </is>
      </c>
      <c r="AB528" s="11" t="inlineStr">
        <is>
          <t>name_year</t>
        </is>
      </c>
      <c r="AC528" s="2" t="inlineStr"/>
      <c r="AD528" s="2" t="inlineStr">
        <is>
          <t>Sree Balaji Krishna Hardware Stores v. Srinivasaiah (1998) was overruled by Srinivasiah v. Sri Balaji Krishna Hardware Stores (1999).</t>
        </is>
      </c>
      <c r="AE528" s="2" t="n"/>
      <c r="AF528" s="11" t="inlineStr">
        <is>
          <t>created from list 1</t>
        </is>
      </c>
    </row>
    <row r="529">
      <c r="A529" s="11" t="inlineStr">
        <is>
          <t>L1-0528</t>
        </is>
      </c>
      <c r="B529" s="11" t="inlineStr">
        <is>
          <t>List 1 (to ~2015)</t>
        </is>
      </c>
      <c r="C529" s="11" t="inlineStr">
        <is>
          <t>list1</t>
        </is>
      </c>
      <c r="D529" s="11" t="inlineStr">
        <is>
          <t>verified</t>
        </is>
      </c>
      <c r="E529" s="11" t="inlineStr">
        <is>
          <t>overruled</t>
        </is>
      </c>
      <c r="F529" s="2" t="inlineStr">
        <is>
          <t>K. Kamaraja Nadar v. Kunju Thevar and Others</t>
        </is>
      </c>
      <c r="G529" s="11" t="inlineStr"/>
      <c r="H529" s="11" t="inlineStr">
        <is>
          <t>Supreme Court</t>
        </is>
      </c>
      <c r="I529" s="2" t="inlineStr">
        <is>
          <t>AIR 1958 SC 687; (1959) 1 SCR 583</t>
        </is>
      </c>
      <c r="J529" s="11" t="n">
        <v>1958</v>
      </c>
      <c r="K529" s="2" t="inlineStr">
        <is>
          <t>Bijayananda Patnaik v. Satrughna Sahu and Others</t>
        </is>
      </c>
      <c r="L529" s="11" t="inlineStr">
        <is>
          <t>Supreme Court</t>
        </is>
      </c>
      <c r="M529" s="2" t="inlineStr">
        <is>
          <t>AIR 1963 SC 1566; (1963) 29 CLT 619; (1964) 2 SCR 538</t>
        </is>
      </c>
      <c r="N529" s="11" t="n">
        <v>1963</v>
      </c>
      <c r="O529" s="11" t="n"/>
      <c r="P529" s="11" t="n"/>
      <c r="Q529" s="11" t="n"/>
      <c r="R529" s="2" t="n"/>
      <c r="S529" s="2" t="n"/>
      <c r="T529" s="11" t="inlineStr"/>
      <c r="U529" s="11" t="inlineStr"/>
      <c r="V529" s="11" t="inlineStr">
        <is>
          <t>outside_list</t>
        </is>
      </c>
      <c r="W529" s="11" t="n"/>
      <c r="X529" s="11" t="n"/>
      <c r="Y529" s="11" t="n"/>
      <c r="Z529" s="11" t="inlineStr">
        <is>
          <t>Mr. Advocate</t>
        </is>
      </c>
      <c r="AA529" s="11" t="inlineStr">
        <is>
          <t>2026-10-07</t>
        </is>
      </c>
      <c r="AB529" s="11" t="inlineStr">
        <is>
          <t>name_year</t>
        </is>
      </c>
      <c r="AC529" s="2" t="inlineStr"/>
      <c r="AD529" s="2" t="inlineStr">
        <is>
          <t>K. Kamaraja Nadar v. Kunju Thevar and Others (1958) was overruled by Bijayananda Patnaik v. Satrughna Sahu and Others (1963).</t>
        </is>
      </c>
      <c r="AE529" s="2" t="n"/>
      <c r="AF529" s="11" t="inlineStr">
        <is>
          <t>created from list 1</t>
        </is>
      </c>
    </row>
    <row r="530">
      <c r="A530" s="11" t="inlineStr">
        <is>
          <t>L1-0529</t>
        </is>
      </c>
      <c r="B530" s="11" t="inlineStr">
        <is>
          <t>List 1 (to ~2015)</t>
        </is>
      </c>
      <c r="C530" s="11" t="inlineStr">
        <is>
          <t>list1</t>
        </is>
      </c>
      <c r="D530" s="11" t="inlineStr">
        <is>
          <t>verified</t>
        </is>
      </c>
      <c r="E530" s="11" t="inlineStr">
        <is>
          <t>overruled</t>
        </is>
      </c>
      <c r="F530" s="2" t="inlineStr">
        <is>
          <t>Punjab Beverages Pvt. Ltd., Chandigarh v. Suresh Chand and Another</t>
        </is>
      </c>
      <c r="G530" s="11" t="inlineStr"/>
      <c r="H530" s="11" t="inlineStr">
        <is>
          <t>Supreme Court</t>
        </is>
      </c>
      <c r="I530" s="2" t="inlineStr">
        <is>
          <t>AIR 1978 SC 995; (1978) 36 FLR 383; (1978) LabIC 693; (1978) 2 LLJ 1; (1978) 2 SCC 144; (1978) 3 SCR 370</t>
        </is>
      </c>
      <c r="J530" s="11" t="n">
        <v>1978</v>
      </c>
      <c r="K530" s="2" t="inlineStr">
        <is>
          <t>Jaipur Zila Sahakari Bhoomi Vikas Bank Ltd. v. Ram Gopal Sharma and Others</t>
        </is>
      </c>
      <c r="L530" s="11" t="inlineStr">
        <is>
          <t>Supreme Court</t>
        </is>
      </c>
      <c r="M530" s="2" t="inlineStr">
        <is>
          <t>AIR 2002 SC 643; (2002) 92 FLR 667; (2002) 1 JT 182; (2002) LabIC 513; (2002) 1 LLJ 834; (2002) 1 SCALE 190; (2002) 2 SCC 244; (2002) 1 SCR 284; (2002) 1 SCT 966; (2002) 2 SLJ 410; (2002) 1 UJ 576; (2002) AIRSCW 249; (2002) 1 Supreme 181</t>
        </is>
      </c>
      <c r="N530" s="11" t="n">
        <v>2002</v>
      </c>
      <c r="O530" s="11" t="n"/>
      <c r="P530" s="11" t="n"/>
      <c r="Q530" s="11" t="n"/>
      <c r="R530" s="2" t="n"/>
      <c r="S530" s="2" t="n"/>
      <c r="T530" s="11" t="inlineStr"/>
      <c r="U530" s="11" t="inlineStr"/>
      <c r="V530" s="11" t="inlineStr">
        <is>
          <t>outside_list</t>
        </is>
      </c>
      <c r="W530" s="11" t="n"/>
      <c r="X530" s="11" t="n"/>
      <c r="Y530" s="11" t="n"/>
      <c r="Z530" s="11" t="inlineStr">
        <is>
          <t>Mr. Advocate</t>
        </is>
      </c>
      <c r="AA530" s="11" t="inlineStr">
        <is>
          <t>2026-10-07</t>
        </is>
      </c>
      <c r="AB530" s="11" t="inlineStr">
        <is>
          <t>name_year</t>
        </is>
      </c>
      <c r="AC530" s="2" t="inlineStr"/>
      <c r="AD530" s="2" t="inlineStr">
        <is>
          <t>Punjab Beverages Pvt. Ltd., Chandigarh v. Suresh Chand and Another (1978) was overruled by Jaipur Zila Sahakari Bhoomi Vikas Bank Ltd. v. Ram Gopal Sharma and Others (2002).</t>
        </is>
      </c>
      <c r="AE530" s="2" t="n"/>
      <c r="AF530" s="11" t="inlineStr">
        <is>
          <t>created from list 1</t>
        </is>
      </c>
    </row>
    <row r="531">
      <c r="A531" s="11" t="inlineStr">
        <is>
          <t>L1-0530</t>
        </is>
      </c>
      <c r="B531" s="11" t="inlineStr">
        <is>
          <t>List 1 (to ~2015)</t>
        </is>
      </c>
      <c r="C531" s="11" t="inlineStr">
        <is>
          <t>list1</t>
        </is>
      </c>
      <c r="D531" s="11" t="inlineStr">
        <is>
          <t>verified</t>
        </is>
      </c>
      <c r="E531" s="11" t="inlineStr">
        <is>
          <t>overruled</t>
        </is>
      </c>
      <c r="F531" s="2" t="inlineStr">
        <is>
          <t>Achal Misra v. Rama Shanker Singh and Others</t>
        </is>
      </c>
      <c r="G531" s="11" t="inlineStr"/>
      <c r="H531" s="11" t="inlineStr">
        <is>
          <t>Supreme Court</t>
        </is>
      </c>
      <c r="I531" s="2" t="inlineStr">
        <is>
          <t>(2005) 4 JT 236; (2005) 141 PLR 356; (2005) 5 SCC 531; (2000) 6 SCC 694; (2005) 3 SCR 439</t>
        </is>
      </c>
      <c r="J531" s="11" t="n">
        <v>2000</v>
      </c>
      <c r="K531" s="2" t="inlineStr">
        <is>
          <t>Tirlok Singh and Co. v. District Magistrate, Lucknow and Others</t>
        </is>
      </c>
      <c r="L531" s="11" t="inlineStr">
        <is>
          <t>Supreme Court</t>
        </is>
      </c>
      <c r="M531" s="2" t="inlineStr">
        <is>
          <t>AIR 1976 SC 1988; (1976) 3 SCC 726; (1976) 3 SCR 942; (1976) 8 UJ 433</t>
        </is>
      </c>
      <c r="N531" s="11" t="n">
        <v>1976</v>
      </c>
      <c r="O531" s="11" t="n"/>
      <c r="P531" s="11" t="n"/>
      <c r="Q531" s="11" t="n"/>
      <c r="R531" s="2" t="n"/>
      <c r="S531" s="2" t="n"/>
      <c r="T531" s="11" t="inlineStr"/>
      <c r="U531" s="11" t="inlineStr">
        <is>
          <t>year_order_check</t>
        </is>
      </c>
      <c r="V531" s="11" t="inlineStr">
        <is>
          <t>outside_list</t>
        </is>
      </c>
      <c r="W531" s="11" t="n"/>
      <c r="X531" s="11" t="n"/>
      <c r="Y531" s="11" t="n"/>
      <c r="Z531" s="11" t="inlineStr">
        <is>
          <t>Mr. Advocate</t>
        </is>
      </c>
      <c r="AA531" s="11" t="inlineStr">
        <is>
          <t>2026-10-07</t>
        </is>
      </c>
      <c r="AB531" s="11" t="inlineStr">
        <is>
          <t>name_year</t>
        </is>
      </c>
      <c r="AC531" s="2" t="inlineStr">
        <is>
          <t>L1-0446: listed in our reference list as overruled by Ganpat Roy and Others v. Additional District Magistrate and Others (1985), but the list is inconsistent on this entry</t>
        </is>
      </c>
      <c r="AD531" s="2" t="inlineStr">
        <is>
          <t>Achal Misra v. Rama Shanker Singh and Others (2000) was overruled by Tirlok Singh and Co. v. District Magistrate, Lucknow and Others (1976). Note: Tirlok Singh and Co. v. District Magistrate, Lucknow and Others was itself later listed in our reference list as overruled by Ganpat Roy and Others v. Additional District Magistrate and Others (1985), but the list is inconsistent on this entry; the current position should be checked.</t>
        </is>
      </c>
      <c r="AE531" s="2" t="n"/>
      <c r="AF531" s="11" t="inlineStr">
        <is>
          <t>created from list 1</t>
        </is>
      </c>
    </row>
    <row r="532">
      <c r="A532" s="11" t="inlineStr">
        <is>
          <t>L1-0531</t>
        </is>
      </c>
      <c r="B532" s="11" t="inlineStr">
        <is>
          <t>List 1 (to ~2015)</t>
        </is>
      </c>
      <c r="C532" s="11" t="inlineStr">
        <is>
          <t>list1</t>
        </is>
      </c>
      <c r="D532" s="11" t="inlineStr">
        <is>
          <t>verified</t>
        </is>
      </c>
      <c r="E532" s="11" t="inlineStr">
        <is>
          <t>overruled</t>
        </is>
      </c>
      <c r="F532" s="2" t="inlineStr">
        <is>
          <t>Bhaiya Ram Munda v. Anirudh Patar and Others</t>
        </is>
      </c>
      <c r="G532" s="11" t="inlineStr"/>
      <c r="H532" s="11" t="inlineStr">
        <is>
          <t>Supreme Court</t>
        </is>
      </c>
      <c r="I532" s="2" t="inlineStr">
        <is>
          <t>AIR 1971 SC 2533; (1970) 2 SCC 825; (1971) 1 SCR 804</t>
        </is>
      </c>
      <c r="J532" s="11" t="n">
        <v>1971</v>
      </c>
      <c r="K532" s="2" t="inlineStr">
        <is>
          <t>State of Maharashtra and Others v. Mana Adim Jamat Mandal</t>
        </is>
      </c>
      <c r="L532" s="11" t="inlineStr">
        <is>
          <t>Supreme Court</t>
        </is>
      </c>
      <c r="M532" s="2" t="inlineStr">
        <is>
          <t>AIR 2006 SC 3446; (2006) 3 JT 338; (2006) 3 SCALE 169; (2006) 4 SCC 98; (2006) AIRSCW 1529; (2006) 3 Supreme 28</t>
        </is>
      </c>
      <c r="N532" s="11" t="n">
        <v>2006</v>
      </c>
      <c r="O532" s="11" t="n"/>
      <c r="P532" s="11" t="n"/>
      <c r="Q532" s="11" t="n"/>
      <c r="R532" s="2" t="n"/>
      <c r="S532" s="2" t="n"/>
      <c r="T532" s="11" t="inlineStr"/>
      <c r="U532" s="11" t="inlineStr"/>
      <c r="V532" s="11" t="inlineStr">
        <is>
          <t>outside_list</t>
        </is>
      </c>
      <c r="W532" s="11" t="n"/>
      <c r="X532" s="11" t="n"/>
      <c r="Y532" s="11" t="n"/>
      <c r="Z532" s="11" t="inlineStr">
        <is>
          <t>Mr. Advocate</t>
        </is>
      </c>
      <c r="AA532" s="11" t="inlineStr">
        <is>
          <t>2026-10-07</t>
        </is>
      </c>
      <c r="AB532" s="11" t="inlineStr">
        <is>
          <t>name_year</t>
        </is>
      </c>
      <c r="AC532" s="2" t="inlineStr"/>
      <c r="AD532" s="2" t="inlineStr">
        <is>
          <t>Bhaiya Ram Munda v. Anirudh Patar and Others (1971) was overruled by State of Maharashtra and Others v. Mana Adim Jamat Mandal (2006).</t>
        </is>
      </c>
      <c r="AE532" s="2" t="n"/>
      <c r="AF532" s="11" t="inlineStr">
        <is>
          <t>created from list 1</t>
        </is>
      </c>
    </row>
    <row r="533">
      <c r="A533" s="11" t="inlineStr">
        <is>
          <t>L1-0532</t>
        </is>
      </c>
      <c r="B533" s="11" t="inlineStr">
        <is>
          <t>List 1 (to ~2015)</t>
        </is>
      </c>
      <c r="C533" s="11" t="inlineStr">
        <is>
          <t>list1</t>
        </is>
      </c>
      <c r="D533" s="11" t="inlineStr">
        <is>
          <t>verified</t>
        </is>
      </c>
      <c r="E533" s="11" t="inlineStr">
        <is>
          <t>overruled</t>
        </is>
      </c>
      <c r="F533" s="2" t="inlineStr">
        <is>
          <t>R.P. Kapur and Others v. Sardar Pratap Singh Kairon and Others</t>
        </is>
      </c>
      <c r="G533" s="11" t="inlineStr"/>
      <c r="H533" s="11" t="inlineStr">
        <is>
          <t>Supreme Court</t>
        </is>
      </c>
      <c r="I533" s="2" t="inlineStr">
        <is>
          <t>AIR 1961 SC 1117; (1961) 2 SCR 143</t>
        </is>
      </c>
      <c r="J533" s="11" t="n">
        <v>1961</v>
      </c>
      <c r="K533" s="2" t="inlineStr">
        <is>
          <t>R. P. Kapur v. Pratap Singh Kairon and Others</t>
        </is>
      </c>
      <c r="L533" s="11" t="inlineStr">
        <is>
          <t>Supreme Court</t>
        </is>
      </c>
      <c r="M533" s="2" t="inlineStr">
        <is>
          <t>AIR 1964 SC 295; (1964) CriLJ 224; (1964) 4 SCR 204</t>
        </is>
      </c>
      <c r="N533" s="11" t="n">
        <v>1964</v>
      </c>
      <c r="O533" s="11" t="n"/>
      <c r="P533" s="11" t="n"/>
      <c r="Q533" s="11" t="n"/>
      <c r="R533" s="2" t="n"/>
      <c r="S533" s="2" t="n"/>
      <c r="T533" s="11" t="inlineStr"/>
      <c r="U533" s="11" t="inlineStr"/>
      <c r="V533" s="11" t="inlineStr">
        <is>
          <t>outside_list</t>
        </is>
      </c>
      <c r="W533" s="11" t="n"/>
      <c r="X533" s="11" t="n"/>
      <c r="Y533" s="11" t="n"/>
      <c r="Z533" s="11" t="inlineStr">
        <is>
          <t>Mr. Advocate</t>
        </is>
      </c>
      <c r="AA533" s="11" t="inlineStr">
        <is>
          <t>2026-10-07</t>
        </is>
      </c>
      <c r="AB533" s="11" t="inlineStr">
        <is>
          <t>name_year</t>
        </is>
      </c>
      <c r="AC533" s="2" t="inlineStr"/>
      <c r="AD533" s="2" t="inlineStr">
        <is>
          <t>R.P. Kapur and Others v. Sardar Pratap Singh Kairon and Others (1961) was overruled by R. P. Kapur v. Pratap Singh Kairon and Others (1964).</t>
        </is>
      </c>
      <c r="AE533" s="2" t="n"/>
      <c r="AF533" s="11" t="inlineStr">
        <is>
          <t>created from list 1</t>
        </is>
      </c>
    </row>
    <row r="534">
      <c r="A534" s="11" t="inlineStr">
        <is>
          <t>L1-0533</t>
        </is>
      </c>
      <c r="B534" s="11" t="inlineStr">
        <is>
          <t>List 1 (to ~2015)</t>
        </is>
      </c>
      <c r="C534" s="11" t="inlineStr">
        <is>
          <t>list1</t>
        </is>
      </c>
      <c r="D534" s="11" t="inlineStr">
        <is>
          <t>verified</t>
        </is>
      </c>
      <c r="E534" s="11" t="inlineStr">
        <is>
          <t>overruled</t>
        </is>
      </c>
      <c r="F534" s="2" t="inlineStr">
        <is>
          <t>Bathina Ramakrishna Reddy v. The State of Madras</t>
        </is>
      </c>
      <c r="G534" s="11" t="inlineStr"/>
      <c r="H534" s="11" t="inlineStr">
        <is>
          <t>Supreme Court</t>
        </is>
      </c>
      <c r="I534" s="2" t="inlineStr">
        <is>
          <t>AIR 1952 SC 149; (1952) CriLJ 832; (1952) 1 SCR 425</t>
        </is>
      </c>
      <c r="J534" s="11" t="n">
        <v>1952</v>
      </c>
      <c r="K534" s="2" t="inlineStr">
        <is>
          <t>State of Madhya Pradesh v. Revashankar</t>
        </is>
      </c>
      <c r="L534" s="11" t="inlineStr">
        <is>
          <t>Supreme Court</t>
        </is>
      </c>
      <c r="M534" s="2" t="inlineStr">
        <is>
          <t>AIR 1959 SC 102; (1959) CriLJ 251; (1959) 61 PLR 343; (1959) 1 SCR 1367</t>
        </is>
      </c>
      <c r="N534" s="11" t="n">
        <v>1959</v>
      </c>
      <c r="O534" s="11" t="n"/>
      <c r="P534" s="11" t="n"/>
      <c r="Q534" s="11" t="n"/>
      <c r="R534" s="2" t="n"/>
      <c r="S534" s="2" t="n"/>
      <c r="T534" s="11" t="inlineStr"/>
      <c r="U534" s="11" t="inlineStr"/>
      <c r="V534" s="11" t="inlineStr">
        <is>
          <t>outside_list</t>
        </is>
      </c>
      <c r="W534" s="11" t="n"/>
      <c r="X534" s="11" t="n"/>
      <c r="Y534" s="11" t="n"/>
      <c r="Z534" s="11" t="inlineStr">
        <is>
          <t>Mr. Advocate</t>
        </is>
      </c>
      <c r="AA534" s="11" t="inlineStr">
        <is>
          <t>2026-10-07</t>
        </is>
      </c>
      <c r="AB534" s="11" t="inlineStr">
        <is>
          <t>name_year</t>
        </is>
      </c>
      <c r="AC534" s="2" t="inlineStr"/>
      <c r="AD534" s="2" t="inlineStr">
        <is>
          <t>Bathina Ramakrishna Reddy v. The State of Madras (1952) was overruled by State of Madhya Pradesh v. Revashankar (1959).</t>
        </is>
      </c>
      <c r="AE534" s="2" t="n"/>
      <c r="AF534" s="11" t="inlineStr">
        <is>
          <t>created from list 1</t>
        </is>
      </c>
    </row>
    <row r="535">
      <c r="A535" s="11" t="inlineStr">
        <is>
          <t>L1-0534</t>
        </is>
      </c>
      <c r="B535" s="11" t="inlineStr">
        <is>
          <t>List 1 (to ~2015)</t>
        </is>
      </c>
      <c r="C535" s="11" t="inlineStr">
        <is>
          <t>list1</t>
        </is>
      </c>
      <c r="D535" s="11" t="inlineStr">
        <is>
          <t>verified</t>
        </is>
      </c>
      <c r="E535" s="11" t="inlineStr">
        <is>
          <t>overruled</t>
        </is>
      </c>
      <c r="F535" s="2" t="inlineStr">
        <is>
          <t>Dena Nath and others v. National Fertilisers Ltd. and others</t>
        </is>
      </c>
      <c r="G535" s="11" t="inlineStr"/>
      <c r="H535" s="11" t="inlineStr">
        <is>
          <t>Supreme Court</t>
        </is>
      </c>
      <c r="I535" s="2" t="inlineStr">
        <is>
          <t>AIR 1992 SC 457; (1991) 4 JT 413; (1992) LabIC 75; (1992) 1 LLJ 289; (1991) 2 SCALE 1081; (1992) 1 SCC 695; (1991) 2 SCR 401 Supp</t>
        </is>
      </c>
      <c r="J535" s="11" t="n">
        <v>1992</v>
      </c>
      <c r="K535" s="2" t="inlineStr">
        <is>
          <t>Steel Authority of India Ltd. and Others etc. etc. v. National Union Water Front Workers and Others etc.</t>
        </is>
      </c>
      <c r="L535" s="11" t="inlineStr">
        <is>
          <t>Supreme Court</t>
        </is>
      </c>
      <c r="M535" s="2" t="inlineStr">
        <is>
          <t>AIR 2001 SC 3527; (2001) 91 FLR 182; (2001) 7 JT 268; (2001) LabIC 3656; (2001) 2 LLJ 1087; (2001) 5 SCALE 626; (2001) 7 SCC 1; (2001) SCC(L&amp;S) 1121; (2001) 4 SCT 1; (2001) AIRSCW 3574; (2001) 6 Supreme 602</t>
        </is>
      </c>
      <c r="N535" s="11" t="n">
        <v>2001</v>
      </c>
      <c r="O535" s="11" t="n"/>
      <c r="P535" s="11" t="n"/>
      <c r="Q535" s="11" t="n"/>
      <c r="R535" s="2" t="n"/>
      <c r="S535" s="2" t="n"/>
      <c r="T535" s="11" t="inlineStr"/>
      <c r="U535" s="11" t="inlineStr"/>
      <c r="V535" s="11" t="inlineStr">
        <is>
          <t>outside_list</t>
        </is>
      </c>
      <c r="W535" s="11" t="n"/>
      <c r="X535" s="11" t="n"/>
      <c r="Y535" s="11" t="n"/>
      <c r="Z535" s="11" t="inlineStr">
        <is>
          <t>Mr. Advocate</t>
        </is>
      </c>
      <c r="AA535" s="11" t="inlineStr">
        <is>
          <t>2026-10-07</t>
        </is>
      </c>
      <c r="AB535" s="11" t="inlineStr">
        <is>
          <t>name_year</t>
        </is>
      </c>
      <c r="AC535" s="2" t="inlineStr"/>
      <c r="AD535" s="2" t="inlineStr">
        <is>
          <t>Dena Nath and others v. National Fertilisers Ltd. and others (1992) was overruled by Steel Authority of India Ltd. and Others etc. etc. v. National Union Water Front Workers and Others etc. (2001).</t>
        </is>
      </c>
      <c r="AE535" s="2" t="n"/>
      <c r="AF535" s="11" t="inlineStr">
        <is>
          <t>created from list 1</t>
        </is>
      </c>
    </row>
    <row r="536">
      <c r="A536" s="11" t="inlineStr">
        <is>
          <t>L1-0535</t>
        </is>
      </c>
      <c r="B536" s="11" t="inlineStr">
        <is>
          <t>List 1 (to ~2015)</t>
        </is>
      </c>
      <c r="C536" s="11" t="inlineStr">
        <is>
          <t>list1</t>
        </is>
      </c>
      <c r="D536" s="11" t="inlineStr">
        <is>
          <t>verified</t>
        </is>
      </c>
      <c r="E536" s="11" t="inlineStr">
        <is>
          <t>disputed_listing</t>
        </is>
      </c>
      <c r="F536" s="2" t="inlineStr">
        <is>
          <t>Kartar Singh and Others v. State of Haryana</t>
        </is>
      </c>
      <c r="G536" s="11" t="inlineStr"/>
      <c r="H536" s="11" t="inlineStr">
        <is>
          <t>Supreme Court</t>
        </is>
      </c>
      <c r="I536" s="2" t="inlineStr">
        <is>
          <t>AIR 1982 SC 1439; (1982) CriLJ 1772; (1983) 1 Crimes 43; (1982) 1 SCALE 671; (1982) 3 SCC 1; (1983) 1 SCR 445; (1982) 14 UJ 621</t>
        </is>
      </c>
      <c r="J536" s="11" t="n">
        <v>1982</v>
      </c>
      <c r="K536" s="2" t="inlineStr">
        <is>
          <t>Bhagirath v. Delhi Administration</t>
        </is>
      </c>
      <c r="L536" s="11" t="inlineStr">
        <is>
          <t>Supreme Court</t>
        </is>
      </c>
      <c r="M536" s="2" t="inlineStr">
        <is>
          <t>AIR 1985 SC 1050; (1985) CriLJ 1179; (1985) 1 Crimes 832; (1985) 1 SCALE 719; (1985) 2 SCC 580; (1985) 3 SCR 743</t>
        </is>
      </c>
      <c r="N536" s="11" t="n">
        <v>1985</v>
      </c>
      <c r="O536" s="11" t="n"/>
      <c r="P536" s="11" t="n"/>
      <c r="Q536" s="11" t="n"/>
      <c r="R536" s="2" t="n"/>
      <c r="S536" s="2" t="n"/>
      <c r="T536" s="11" t="inlineStr"/>
      <c r="U536" s="11" t="inlineStr">
        <is>
          <t>list_mutual_pair</t>
        </is>
      </c>
      <c r="V536" s="11" t="inlineStr">
        <is>
          <t>outside_list</t>
        </is>
      </c>
      <c r="W536" s="11" t="n"/>
      <c r="X536" s="11" t="n"/>
      <c r="Y536" s="11" t="n"/>
      <c r="Z536" s="11" t="inlineStr">
        <is>
          <t>Mr. Advocate</t>
        </is>
      </c>
      <c r="AA536" s="11" t="inlineStr">
        <is>
          <t>2026-10-07</t>
        </is>
      </c>
      <c r="AB536" s="11" t="inlineStr">
        <is>
          <t>name_year</t>
        </is>
      </c>
      <c r="AC536" s="2" t="inlineStr">
        <is>
          <t>L1-0463: listed in our reference list as overruled by Kartar Singh and Others v. State of Haryana (1982), but the list is inconsistent on this entry</t>
        </is>
      </c>
      <c r="AD536" s="2" t="inlineStr">
        <is>
          <t>Kartar Singh and Others v. State of Haryana (1982) is listed in our reference list as overruled by Bhagirath v. Delhi Administration (1985), but the list is inconsistent on this entry. Note: Bhagirath v. Delhi Administration was itself later listed in our reference list as overruled by Kartar Singh and Others v. State of Haryana (1982), but the list is inconsistent on this entry; the current position should be checked.</t>
        </is>
      </c>
      <c r="AE536" s="2" t="n"/>
      <c r="AF536" s="11" t="inlineStr">
        <is>
          <t>created from list 1</t>
        </is>
      </c>
    </row>
    <row r="537">
      <c r="A537" s="11" t="inlineStr">
        <is>
          <t>L1-0536</t>
        </is>
      </c>
      <c r="B537" s="11" t="inlineStr">
        <is>
          <t>List 1 (to ~2015)</t>
        </is>
      </c>
      <c r="C537" s="11" t="inlineStr">
        <is>
          <t>list1</t>
        </is>
      </c>
      <c r="D537" s="11" t="inlineStr">
        <is>
          <t>verified</t>
        </is>
      </c>
      <c r="E537" s="11" t="inlineStr">
        <is>
          <t>overruled</t>
        </is>
      </c>
      <c r="F537" s="2" t="inlineStr">
        <is>
          <t>R.N. Gosain v. Yashpal Dhir</t>
        </is>
      </c>
      <c r="G537" s="11" t="inlineStr"/>
      <c r="H537" s="11" t="inlineStr">
        <is>
          <t>Supreme Court</t>
        </is>
      </c>
      <c r="I537" s="2" t="inlineStr">
        <is>
          <t>AIR 1993 SC 352; AIR 1992 SC 352; (1993) 103 PLR 184; (1992) 2 SCALE 913; (1992) 4 SCC 683; (1992) 2 SCR 257 Supp</t>
        </is>
      </c>
      <c r="J537" s="11" t="n">
        <v>1993</v>
      </c>
      <c r="K537" s="2" t="inlineStr">
        <is>
          <t>P.R. Deshpande v. Maruti Balaram Haibatti</t>
        </is>
      </c>
      <c r="L537" s="11" t="inlineStr">
        <is>
          <t>Supreme Court</t>
        </is>
      </c>
      <c r="M537" s="2" t="inlineStr">
        <is>
          <t>(1998) 6 AD 325; AIR 1998 SC 2979; (1998) 5 JT 390; (1999) 121 PLR 421; (1998) 4 SCALE 426; (1998) 6 SCC 507; (1998) 3 SCR 1079; (1998) AIRSCW 2830; (1998) 6 Supreme 303</t>
        </is>
      </c>
      <c r="N537" s="11" t="n">
        <v>1998</v>
      </c>
      <c r="O537" s="11" t="n"/>
      <c r="P537" s="11" t="n"/>
      <c r="Q537" s="11" t="n"/>
      <c r="R537" s="2" t="n"/>
      <c r="S537" s="2" t="n"/>
      <c r="T537" s="11" t="inlineStr"/>
      <c r="U537" s="11" t="inlineStr"/>
      <c r="V537" s="11" t="inlineStr">
        <is>
          <t>outside_list</t>
        </is>
      </c>
      <c r="W537" s="11" t="n"/>
      <c r="X537" s="11" t="n"/>
      <c r="Y537" s="11" t="n"/>
      <c r="Z537" s="11" t="inlineStr">
        <is>
          <t>Mr. Advocate</t>
        </is>
      </c>
      <c r="AA537" s="11" t="inlineStr">
        <is>
          <t>2026-10-07</t>
        </is>
      </c>
      <c r="AB537" s="11" t="inlineStr">
        <is>
          <t>name_year</t>
        </is>
      </c>
      <c r="AC537" s="2" t="inlineStr"/>
      <c r="AD537" s="2" t="inlineStr">
        <is>
          <t>R.N. Gosain v. Yashpal Dhir (1993) was overruled by P.R. Deshpande v. Maruti Balaram Haibatti (1998).</t>
        </is>
      </c>
      <c r="AE537" s="2" t="n"/>
      <c r="AF537" s="11" t="inlineStr">
        <is>
          <t>created from list 1</t>
        </is>
      </c>
    </row>
    <row r="538">
      <c r="A538" s="11" t="inlineStr">
        <is>
          <t>L1-0537</t>
        </is>
      </c>
      <c r="B538" s="11" t="inlineStr">
        <is>
          <t>List 1 (to ~2015)</t>
        </is>
      </c>
      <c r="C538" s="11" t="inlineStr">
        <is>
          <t>list1</t>
        </is>
      </c>
      <c r="D538" s="11" t="inlineStr">
        <is>
          <t>verified</t>
        </is>
      </c>
      <c r="E538" s="11" t="inlineStr">
        <is>
          <t>overruled</t>
        </is>
      </c>
      <c r="F538" s="2" t="inlineStr">
        <is>
          <t>M.R. Balaji and Others v. State of Mysore</t>
        </is>
      </c>
      <c r="G538" s="11" t="inlineStr"/>
      <c r="H538" s="11" t="inlineStr">
        <is>
          <t>Supreme Court</t>
        </is>
      </c>
      <c r="I538" s="2" t="inlineStr">
        <is>
          <t>AIR 1963 SC 649; (1963) 1 SCR 439 Supp</t>
        </is>
      </c>
      <c r="J538" s="11" t="n">
        <v>1963</v>
      </c>
      <c r="K538" s="2" t="inlineStr">
        <is>
          <t>R. Chitralekha and Another v. State of Mysore and Others</t>
        </is>
      </c>
      <c r="L538" s="11" t="inlineStr">
        <is>
          <t>Supreme Court</t>
        </is>
      </c>
      <c r="M538" s="2" t="inlineStr">
        <is>
          <t>AIR 1964 SC 1823; (1964) 6 SCR 368</t>
        </is>
      </c>
      <c r="N538" s="11" t="n">
        <v>1964</v>
      </c>
      <c r="O538" s="11" t="n"/>
      <c r="P538" s="11" t="n"/>
      <c r="Q538" s="11" t="n"/>
      <c r="R538" s="2" t="n"/>
      <c r="S538" s="2" t="n"/>
      <c r="T538" s="11" t="inlineStr"/>
      <c r="U538" s="11" t="inlineStr"/>
      <c r="V538" s="11" t="inlineStr">
        <is>
          <t>outside_list</t>
        </is>
      </c>
      <c r="W538" s="11" t="n"/>
      <c r="X538" s="11" t="n"/>
      <c r="Y538" s="11" t="n"/>
      <c r="Z538" s="11" t="inlineStr">
        <is>
          <t>Mr. Advocate</t>
        </is>
      </c>
      <c r="AA538" s="11" t="inlineStr">
        <is>
          <t>2026-10-07</t>
        </is>
      </c>
      <c r="AB538" s="11" t="inlineStr">
        <is>
          <t>name_year</t>
        </is>
      </c>
      <c r="AC538" s="2" t="inlineStr"/>
      <c r="AD538" s="2" t="inlineStr">
        <is>
          <t>M.R. Balaji and Others v. State of Mysore (1963) was overruled by R. Chitralekha and Another v. State of Mysore and Others (1964).</t>
        </is>
      </c>
      <c r="AE538" s="2" t="n"/>
      <c r="AF538" s="11" t="inlineStr">
        <is>
          <t>created from list 1</t>
        </is>
      </c>
    </row>
    <row r="539">
      <c r="A539" s="11" t="inlineStr">
        <is>
          <t>L1-0538</t>
        </is>
      </c>
      <c r="B539" s="11" t="inlineStr">
        <is>
          <t>List 1 (to ~2015)</t>
        </is>
      </c>
      <c r="C539" s="11" t="inlineStr">
        <is>
          <t>list1</t>
        </is>
      </c>
      <c r="D539" s="11" t="inlineStr">
        <is>
          <t>verified</t>
        </is>
      </c>
      <c r="E539" s="11" t="inlineStr">
        <is>
          <t>overruled</t>
        </is>
      </c>
      <c r="F539" s="2" t="inlineStr">
        <is>
          <t>Mohanlal Hargovind Das, Bidi Merchants, Jabalpur (M.P.) v. The State of Madhya Pradesh and Another</t>
        </is>
      </c>
      <c r="G539" s="11" t="inlineStr"/>
      <c r="H539" s="11" t="inlineStr">
        <is>
          <t>Supreme Court</t>
        </is>
      </c>
      <c r="I539" s="2" t="inlineStr">
        <is>
          <t>AIR 1955 SC 786; (1955) 2 SCR 509; (1956) 6 STC 687</t>
        </is>
      </c>
      <c r="J539" s="11" t="n">
        <v>1955</v>
      </c>
      <c r="K539" s="2" t="inlineStr">
        <is>
          <t>Ramanbhai Ashabhai Patel v. Dabhi Ajitkumar Fulsinji and Others</t>
        </is>
      </c>
      <c r="L539" s="11" t="inlineStr">
        <is>
          <t>Supreme Court</t>
        </is>
      </c>
      <c r="M539" s="2" t="inlineStr">
        <is>
          <t>AIR 1965 SC 669; (1965) 1 SCR 712</t>
        </is>
      </c>
      <c r="N539" s="11" t="n">
        <v>1965</v>
      </c>
      <c r="O539" s="11" t="n"/>
      <c r="P539" s="11" t="n"/>
      <c r="Q539" s="11" t="n"/>
      <c r="R539" s="2" t="n"/>
      <c r="S539" s="2" t="n"/>
      <c r="T539" s="11" t="inlineStr"/>
      <c r="U539" s="11" t="inlineStr"/>
      <c r="V539" s="11" t="inlineStr">
        <is>
          <t>outside_list</t>
        </is>
      </c>
      <c r="W539" s="11" t="n"/>
      <c r="X539" s="11" t="n"/>
      <c r="Y539" s="11" t="n"/>
      <c r="Z539" s="11" t="inlineStr">
        <is>
          <t>Mr. Advocate</t>
        </is>
      </c>
      <c r="AA539" s="11" t="inlineStr">
        <is>
          <t>2026-10-07</t>
        </is>
      </c>
      <c r="AB539" s="11" t="inlineStr">
        <is>
          <t>name_year</t>
        </is>
      </c>
      <c r="AC539" s="2" t="inlineStr"/>
      <c r="AD539" s="2" t="inlineStr">
        <is>
          <t>Mohanlal Hargovind Das, Bidi Merchants, Jabalpur (M.P.) v. The State of Madhya Pradesh and Another (1955) was overruled by Ramanbhai Ashabhai Patel v. Dabhi Ajitkumar Fulsinji and Others (1965).</t>
        </is>
      </c>
      <c r="AE539" s="2" t="n"/>
      <c r="AF539" s="11" t="inlineStr">
        <is>
          <t>created from list 1</t>
        </is>
      </c>
    </row>
    <row r="540">
      <c r="A540" s="11" t="inlineStr">
        <is>
          <t>L1-0539</t>
        </is>
      </c>
      <c r="B540" s="11" t="inlineStr">
        <is>
          <t>List 1 (to ~2015)</t>
        </is>
      </c>
      <c r="C540" s="11" t="inlineStr">
        <is>
          <t>list1</t>
        </is>
      </c>
      <c r="D540" s="11" t="inlineStr">
        <is>
          <t>verified</t>
        </is>
      </c>
      <c r="E540" s="11" t="inlineStr">
        <is>
          <t>overruled</t>
        </is>
      </c>
      <c r="F540" s="2" t="inlineStr">
        <is>
          <t>Maya Rani Punj v. Commissioner of Income Tax, Delhi</t>
        </is>
      </c>
      <c r="G540" s="11" t="inlineStr"/>
      <c r="H540" s="11" t="inlineStr">
        <is>
          <t>Supreme Court</t>
        </is>
      </c>
      <c r="I540" s="2" t="inlineStr">
        <is>
          <t>AIR 1986 SC 293; (1986) 50 CTR 191; (1986) 157 ITR 330; (1985) 2 SCALE 1267; (1986) 1 SCC 445(1); (1986) 1 SCC 445; (1985) 3 SCR 827 Supp; (1987) 65 STC 416; (1986) 1 UJ 192</t>
        </is>
      </c>
      <c r="J540" s="11" t="n">
        <v>1986</v>
      </c>
      <c r="K540" s="2" t="inlineStr">
        <is>
          <t>Commissioner of Wealth Tax v. Trutees of Sahebzadas of Saraf-E-Khas Trust, Hyderabad</t>
        </is>
      </c>
      <c r="L540" s="11" t="inlineStr">
        <is>
          <t>Supreme Court</t>
        </is>
      </c>
      <c r="M540" s="2" t="inlineStr">
        <is>
          <t>AIR 1997 SC 692; (1997) 224 ITR 558; (1997) 1 JT 218; (1996) 9 SCALE 256; (1997) 3 SCC 481; (1997) 90 TAXMAN 518; (1997) AIRSCW 501; (1997) 1 Supreme 120</t>
        </is>
      </c>
      <c r="N540" s="11" t="n">
        <v>1997</v>
      </c>
      <c r="O540" s="11" t="n"/>
      <c r="P540" s="11" t="n"/>
      <c r="Q540" s="11" t="n"/>
      <c r="R540" s="2" t="n"/>
      <c r="S540" s="2" t="n"/>
      <c r="T540" s="11" t="inlineStr"/>
      <c r="U540" s="11" t="inlineStr"/>
      <c r="V540" s="11" t="inlineStr">
        <is>
          <t>outside_list</t>
        </is>
      </c>
      <c r="W540" s="11" t="n"/>
      <c r="X540" s="11" t="n"/>
      <c r="Y540" s="11" t="n"/>
      <c r="Z540" s="11" t="inlineStr">
        <is>
          <t>Mr. Advocate</t>
        </is>
      </c>
      <c r="AA540" s="11" t="inlineStr">
        <is>
          <t>2026-10-07</t>
        </is>
      </c>
      <c r="AB540" s="11" t="inlineStr">
        <is>
          <t>name_year</t>
        </is>
      </c>
      <c r="AC540" s="2" t="inlineStr"/>
      <c r="AD540" s="2" t="inlineStr">
        <is>
          <t>Maya Rani Punj v. Commissioner of Income Tax, Delhi (1986) was overruled by Commissioner of Wealth Tax v. Trutees of Sahebzadas of Saraf-E-Khas Trust, Hyderabad (1997).</t>
        </is>
      </c>
      <c r="AE540" s="2" t="n"/>
      <c r="AF540" s="11" t="inlineStr">
        <is>
          <t>created from list 1</t>
        </is>
      </c>
    </row>
    <row r="541">
      <c r="A541" s="11" t="inlineStr">
        <is>
          <t>L1-0540</t>
        </is>
      </c>
      <c r="B541" s="11" t="inlineStr">
        <is>
          <t>List 1 (to ~2015)</t>
        </is>
      </c>
      <c r="C541" s="11" t="inlineStr">
        <is>
          <t>list1</t>
        </is>
      </c>
      <c r="D541" s="11" t="inlineStr">
        <is>
          <t>verified</t>
        </is>
      </c>
      <c r="E541" s="11" t="inlineStr">
        <is>
          <t>overruled</t>
        </is>
      </c>
      <c r="F541" s="2" t="inlineStr">
        <is>
          <t>Sadhu Singh v. Delhi Administration</t>
        </is>
      </c>
      <c r="G541" s="11" t="inlineStr"/>
      <c r="H541" s="11" t="inlineStr">
        <is>
          <t>Supreme Court</t>
        </is>
      </c>
      <c r="I541" s="2" t="inlineStr">
        <is>
          <t>AIR 1966 SC 91; (1966) 1 SCR 243(2)</t>
        </is>
      </c>
      <c r="J541" s="11" t="n">
        <v>1966</v>
      </c>
      <c r="K541" s="2" t="inlineStr">
        <is>
          <t>P.L. Lakhanpal v. The Union of India (UOI) and Another</t>
        </is>
      </c>
      <c r="L541" s="11" t="inlineStr">
        <is>
          <t>Supreme Court</t>
        </is>
      </c>
      <c r="M541" s="2" t="inlineStr">
        <is>
          <t>AIR 1967 SC 1507; (1967) 3 SCR 114</t>
        </is>
      </c>
      <c r="N541" s="11" t="n">
        <v>1967</v>
      </c>
      <c r="O541" s="11" t="n"/>
      <c r="P541" s="11" t="n"/>
      <c r="Q541" s="11" t="n"/>
      <c r="R541" s="2" t="n"/>
      <c r="S541" s="2" t="n"/>
      <c r="T541" s="11" t="inlineStr"/>
      <c r="U541" s="11" t="inlineStr"/>
      <c r="V541" s="11" t="inlineStr">
        <is>
          <t>outside_list</t>
        </is>
      </c>
      <c r="W541" s="11" t="n"/>
      <c r="X541" s="11" t="n"/>
      <c r="Y541" s="11" t="n"/>
      <c r="Z541" s="11" t="inlineStr">
        <is>
          <t>Mr. Advocate</t>
        </is>
      </c>
      <c r="AA541" s="11" t="inlineStr">
        <is>
          <t>2026-10-07</t>
        </is>
      </c>
      <c r="AB541" s="11" t="inlineStr">
        <is>
          <t>name_year</t>
        </is>
      </c>
      <c r="AC541" s="2" t="inlineStr"/>
      <c r="AD541" s="2" t="inlineStr">
        <is>
          <t>Sadhu Singh v. Delhi Administration (1966) was overruled by P.L. Lakhanpal v. The Union of India (UOI) and Another (1967).</t>
        </is>
      </c>
      <c r="AE541" s="2" t="n"/>
      <c r="AF541" s="11" t="inlineStr">
        <is>
          <t>created from list 1</t>
        </is>
      </c>
    </row>
    <row r="542">
      <c r="A542" s="11" t="inlineStr">
        <is>
          <t>L1-0541</t>
        </is>
      </c>
      <c r="B542" s="11" t="inlineStr">
        <is>
          <t>List 1 (to ~2015)</t>
        </is>
      </c>
      <c r="C542" s="11" t="inlineStr">
        <is>
          <t>list1</t>
        </is>
      </c>
      <c r="D542" s="11" t="inlineStr">
        <is>
          <t>verified</t>
        </is>
      </c>
      <c r="E542" s="11" t="inlineStr">
        <is>
          <t>overruled</t>
        </is>
      </c>
      <c r="F542" s="2" t="inlineStr">
        <is>
          <t>Bishnu Deo Shaw v. State of West Bengal</t>
        </is>
      </c>
      <c r="G542" s="11" t="inlineStr"/>
      <c r="H542" s="11" t="inlineStr">
        <is>
          <t>Supreme Court</t>
        </is>
      </c>
      <c r="I542" s="2" t="inlineStr">
        <is>
          <t>AIR 1979 SC 964; (1979) CriLJ 841; (1979) 3 SCC 714; (1979) SCC(Cri) 817; (1979) 3 SCR 355</t>
        </is>
      </c>
      <c r="J542" s="11" t="n">
        <v>1979</v>
      </c>
      <c r="K542" s="2" t="inlineStr">
        <is>
          <t>Bachan Singh v. State of Punjab</t>
        </is>
      </c>
      <c r="L542" s="11" t="inlineStr">
        <is>
          <t>Supreme Court</t>
        </is>
      </c>
      <c r="M542" s="2" t="inlineStr">
        <is>
          <t>AIR 1980 SC 898; (1980) CriLJ 636; (1982) 1 SCALE 713; (1980) 2 SCC 684; (1980) SCC(Cri) 174; (1983) 1 SCR 145</t>
        </is>
      </c>
      <c r="N542" s="11" t="n">
        <v>1980</v>
      </c>
      <c r="O542" s="11" t="n"/>
      <c r="P542" s="11" t="n"/>
      <c r="Q542" s="11" t="n"/>
      <c r="R542" s="2" t="n"/>
      <c r="S542" s="2" t="n"/>
      <c r="T542" s="11" t="inlineStr"/>
      <c r="U542" s="11" t="inlineStr"/>
      <c r="V542" s="11" t="inlineStr">
        <is>
          <t>outside_list</t>
        </is>
      </c>
      <c r="W542" s="11" t="n"/>
      <c r="X542" s="11" t="n"/>
      <c r="Y542" s="11" t="n"/>
      <c r="Z542" s="11" t="inlineStr">
        <is>
          <t>Mr. Advocate</t>
        </is>
      </c>
      <c r="AA542" s="11" t="inlineStr">
        <is>
          <t>2026-10-07</t>
        </is>
      </c>
      <c r="AB542" s="11" t="inlineStr">
        <is>
          <t>name_year</t>
        </is>
      </c>
      <c r="AC542" s="2" t="inlineStr"/>
      <c r="AD542" s="2" t="inlineStr">
        <is>
          <t>Bishnu Deo Shaw v. State of West Bengal (1979) was overruled by Bachan Singh v. State of Punjab (1980).</t>
        </is>
      </c>
      <c r="AE542" s="2" t="n"/>
      <c r="AF542" s="11" t="inlineStr">
        <is>
          <t>created from list 1</t>
        </is>
      </c>
    </row>
    <row r="543">
      <c r="A543" s="11" t="inlineStr">
        <is>
          <t>L1-0542</t>
        </is>
      </c>
      <c r="B543" s="11" t="inlineStr">
        <is>
          <t>List 1 (to ~2015)</t>
        </is>
      </c>
      <c r="C543" s="11" t="inlineStr">
        <is>
          <t>list1</t>
        </is>
      </c>
      <c r="D543" s="11" t="inlineStr">
        <is>
          <t>verified</t>
        </is>
      </c>
      <c r="E543" s="11" t="inlineStr">
        <is>
          <t>overruled</t>
        </is>
      </c>
      <c r="F543" s="2" t="inlineStr">
        <is>
          <t>Kaushalya Rani v. Gopal Singh</t>
        </is>
      </c>
      <c r="G543" s="11" t="inlineStr"/>
      <c r="H543" s="11" t="inlineStr">
        <is>
          <t>Supreme Court</t>
        </is>
      </c>
      <c r="I543" s="2" t="inlineStr">
        <is>
          <t>AIR 1964 SC 260; (1964) 4 SCR 982</t>
        </is>
      </c>
      <c r="J543" s="11" t="n">
        <v>1964</v>
      </c>
      <c r="K543" s="2" t="inlineStr">
        <is>
          <t>Vidyacharan Shukla v. Khubchand Baghel and Others</t>
        </is>
      </c>
      <c r="L543" s="11" t="inlineStr">
        <is>
          <t>Supreme Court</t>
        </is>
      </c>
      <c r="M543" s="2" t="inlineStr">
        <is>
          <t>AIR 1964 SC 1099; (1964) 6 SCR 129</t>
        </is>
      </c>
      <c r="N543" s="11" t="n">
        <v>1964</v>
      </c>
      <c r="O543" s="11" t="n"/>
      <c r="P543" s="11" t="n"/>
      <c r="Q543" s="11" t="n"/>
      <c r="R543" s="2" t="n"/>
      <c r="S543" s="2" t="n"/>
      <c r="T543" s="11" t="inlineStr"/>
      <c r="U543" s="11" t="inlineStr"/>
      <c r="V543" s="11" t="inlineStr">
        <is>
          <t>outside_list</t>
        </is>
      </c>
      <c r="W543" s="11" t="n"/>
      <c r="X543" s="11" t="n"/>
      <c r="Y543" s="11" t="n"/>
      <c r="Z543" s="11" t="inlineStr">
        <is>
          <t>Mr. Advocate</t>
        </is>
      </c>
      <c r="AA543" s="11" t="inlineStr">
        <is>
          <t>2026-10-07</t>
        </is>
      </c>
      <c r="AB543" s="11" t="inlineStr">
        <is>
          <t>name_year</t>
        </is>
      </c>
      <c r="AC543" s="2" t="inlineStr"/>
      <c r="AD543" s="2" t="inlineStr">
        <is>
          <t>Kaushalya Rani v. Gopal Singh (1964) was overruled by Vidyacharan Shukla v. Khubchand Baghel and Others (1964).</t>
        </is>
      </c>
      <c r="AE543" s="2" t="n"/>
      <c r="AF543" s="11" t="inlineStr">
        <is>
          <t>created from list 1</t>
        </is>
      </c>
    </row>
    <row r="544">
      <c r="A544" s="11" t="inlineStr">
        <is>
          <t>L1-0543</t>
        </is>
      </c>
      <c r="B544" s="11" t="inlineStr">
        <is>
          <t>List 1 (to ~2015)</t>
        </is>
      </c>
      <c r="C544" s="11" t="inlineStr">
        <is>
          <t>list1</t>
        </is>
      </c>
      <c r="D544" s="11" t="inlineStr">
        <is>
          <t>verified</t>
        </is>
      </c>
      <c r="E544" s="11" t="inlineStr">
        <is>
          <t>overruled</t>
        </is>
      </c>
      <c r="F544" s="2" t="inlineStr">
        <is>
          <t>Javed Ahmed Abdul Hamid Pawala v. State of Maharashtra</t>
        </is>
      </c>
      <c r="G544" s="11" t="inlineStr"/>
      <c r="H544" s="11" t="inlineStr">
        <is>
          <t>Supreme Court</t>
        </is>
      </c>
      <c r="I544" s="2" t="inlineStr">
        <is>
          <t>AIR 1985 SC 231; (1984) CriLJ 1909; (1985) 1 Crimes 913; (1984) 2 SCALE 697; (1985) 1 SCC 275; (1985) 2 SCR 8</t>
        </is>
      </c>
      <c r="J544" s="11" t="n">
        <v>1985</v>
      </c>
      <c r="K544" s="2" t="inlineStr">
        <is>
          <t>Triveniben v. State of Gujarat</t>
        </is>
      </c>
      <c r="L544" s="11" t="inlineStr">
        <is>
          <t>Supreme Court</t>
        </is>
      </c>
      <c r="M544" s="2" t="inlineStr">
        <is>
          <t>AIR 1989 SC 142; (1988) 3 Crimes 771; (1988) 4 JT 112; (1988) 2 SCALE 907; (1988) 4 SCC 574</t>
        </is>
      </c>
      <c r="N544" s="11" t="n">
        <v>1989</v>
      </c>
      <c r="O544" s="11" t="n"/>
      <c r="P544" s="11" t="n"/>
      <c r="Q544" s="11" t="n"/>
      <c r="R544" s="2" t="n"/>
      <c r="S544" s="2" t="n"/>
      <c r="T544" s="11" t="inlineStr"/>
      <c r="U544" s="11" t="inlineStr"/>
      <c r="V544" s="11" t="inlineStr">
        <is>
          <t>outside_list</t>
        </is>
      </c>
      <c r="W544" s="11" t="n"/>
      <c r="X544" s="11" t="n"/>
      <c r="Y544" s="11" t="n"/>
      <c r="Z544" s="11" t="inlineStr">
        <is>
          <t>Mr. Advocate</t>
        </is>
      </c>
      <c r="AA544" s="11" t="inlineStr">
        <is>
          <t>2026-10-07</t>
        </is>
      </c>
      <c r="AB544" s="11" t="inlineStr">
        <is>
          <t>name_year</t>
        </is>
      </c>
      <c r="AC544" s="2" t="inlineStr"/>
      <c r="AD544" s="2" t="inlineStr">
        <is>
          <t>Javed Ahmed Abdul Hamid Pawala v. State of Maharashtra (1985) was overruled by Triveniben v. State of Gujarat (1989).</t>
        </is>
      </c>
      <c r="AE544" s="2" t="n"/>
      <c r="AF544" s="11" t="inlineStr">
        <is>
          <t>created from list 1</t>
        </is>
      </c>
    </row>
    <row r="545">
      <c r="A545" s="11" t="inlineStr">
        <is>
          <t>L1-0544</t>
        </is>
      </c>
      <c r="B545" s="11" t="inlineStr">
        <is>
          <t>List 1 (to ~2015)</t>
        </is>
      </c>
      <c r="C545" s="11" t="inlineStr">
        <is>
          <t>list1</t>
        </is>
      </c>
      <c r="D545" s="11" t="inlineStr">
        <is>
          <t>verified</t>
        </is>
      </c>
      <c r="E545" s="11" t="inlineStr">
        <is>
          <t>overruled</t>
        </is>
      </c>
      <c r="F545" s="2" t="inlineStr">
        <is>
          <t>Commissioner of Income Tax, Nagpur v. Rai Bahadur Jairam Valji and Others</t>
        </is>
      </c>
      <c r="G545" s="11" t="inlineStr"/>
      <c r="H545" s="11" t="inlineStr">
        <is>
          <t>Supreme Court</t>
        </is>
      </c>
      <c r="I545" s="2" t="inlineStr">
        <is>
          <t>AIR 1959 SC 291; (1959) 35 ITR 148; (1959) 1 SCC 110 Supp; (1959) 1 SCR 110 Supp</t>
        </is>
      </c>
      <c r="J545" s="11" t="n">
        <v>1959</v>
      </c>
      <c r="K545" s="2" t="inlineStr">
        <is>
          <t>Kettlewell Bullen and Co. v. Commissioner of Income Tax, Calcutta</t>
        </is>
      </c>
      <c r="L545" s="11" t="inlineStr">
        <is>
          <t>Supreme Court</t>
        </is>
      </c>
      <c r="M545" s="2" t="inlineStr">
        <is>
          <t>AIR 1965 SC 65; (1964) 53 ITR 261; (1964) 8 SCR 93</t>
        </is>
      </c>
      <c r="N545" s="11" t="n">
        <v>1965</v>
      </c>
      <c r="O545" s="11" t="n"/>
      <c r="P545" s="11" t="n"/>
      <c r="Q545" s="11" t="n"/>
      <c r="R545" s="2" t="n"/>
      <c r="S545" s="2" t="n"/>
      <c r="T545" s="11" t="inlineStr"/>
      <c r="U545" s="11" t="inlineStr"/>
      <c r="V545" s="11" t="inlineStr">
        <is>
          <t>outside_list</t>
        </is>
      </c>
      <c r="W545" s="11" t="n"/>
      <c r="X545" s="11" t="n"/>
      <c r="Y545" s="11" t="n"/>
      <c r="Z545" s="11" t="inlineStr">
        <is>
          <t>Mr. Advocate</t>
        </is>
      </c>
      <c r="AA545" s="11" t="inlineStr">
        <is>
          <t>2026-10-07</t>
        </is>
      </c>
      <c r="AB545" s="11" t="inlineStr">
        <is>
          <t>name_year</t>
        </is>
      </c>
      <c r="AC545" s="2" t="inlineStr"/>
      <c r="AD545" s="2" t="inlineStr">
        <is>
          <t>Commissioner of Income Tax, Nagpur v. Rai Bahadur Jairam Valji and Others (1959) was overruled by Kettlewell Bullen and Co. v. Commissioner of Income Tax, Calcutta (1965).</t>
        </is>
      </c>
      <c r="AE545" s="2" t="n"/>
      <c r="AF545" s="11" t="inlineStr">
        <is>
          <t>created from list 1</t>
        </is>
      </c>
    </row>
    <row r="546">
      <c r="A546" s="11" t="inlineStr">
        <is>
          <t>L1-0545</t>
        </is>
      </c>
      <c r="B546" s="11" t="inlineStr">
        <is>
          <t>List 1 (to ~2015)</t>
        </is>
      </c>
      <c r="C546" s="11" t="inlineStr">
        <is>
          <t>list1</t>
        </is>
      </c>
      <c r="D546" s="11" t="inlineStr">
        <is>
          <t>verified</t>
        </is>
      </c>
      <c r="E546" s="11" t="inlineStr">
        <is>
          <t>overruled</t>
        </is>
      </c>
      <c r="F546" s="2" t="inlineStr">
        <is>
          <t>Hanuman Jute Mills v. Amin Das and Another</t>
        </is>
      </c>
      <c r="G546" s="11" t="inlineStr"/>
      <c r="H546" s="11" t="inlineStr">
        <is>
          <t>Supreme Court</t>
        </is>
      </c>
      <c r="I546" s="2" t="inlineStr">
        <is>
          <t>AIR 1957 SC 194; (1956) 2 LLJ 454</t>
        </is>
      </c>
      <c r="J546" s="11" t="n">
        <v>1957</v>
      </c>
      <c r="K546" s="2" t="inlineStr">
        <is>
          <t>Ram Lal Narang v. State (Delhi Administration)</t>
        </is>
      </c>
      <c r="L546" s="11" t="inlineStr">
        <is>
          <t>Supreme Court</t>
        </is>
      </c>
      <c r="M546" s="2" t="inlineStr">
        <is>
          <t>AIR 1979 SC 1791; (1979) CriLJ 1346; (1979) 2 SCC 322; (1979) SCC(Cri) 479; (1979) 2 SCR 923</t>
        </is>
      </c>
      <c r="N546" s="11" t="n">
        <v>1979</v>
      </c>
      <c r="O546" s="11" t="n"/>
      <c r="P546" s="11" t="n"/>
      <c r="Q546" s="11" t="n"/>
      <c r="R546" s="2" t="n"/>
      <c r="S546" s="2" t="n"/>
      <c r="T546" s="11" t="inlineStr"/>
      <c r="U546" s="11" t="inlineStr"/>
      <c r="V546" s="11" t="inlineStr">
        <is>
          <t>outside_list</t>
        </is>
      </c>
      <c r="W546" s="11" t="n"/>
      <c r="X546" s="11" t="n"/>
      <c r="Y546" s="11" t="n"/>
      <c r="Z546" s="11" t="inlineStr">
        <is>
          <t>Mr. Advocate</t>
        </is>
      </c>
      <c r="AA546" s="11" t="inlineStr">
        <is>
          <t>2026-10-07</t>
        </is>
      </c>
      <c r="AB546" s="11" t="inlineStr">
        <is>
          <t>name_year</t>
        </is>
      </c>
      <c r="AC546" s="2" t="inlineStr">
        <is>
          <t>L1-0407: overruled by Randhir Singh Rana v. The State Being the Delhi Administration (1997)</t>
        </is>
      </c>
      <c r="AD546" s="2" t="inlineStr">
        <is>
          <t>Hanuman Jute Mills v. Amin Das and Another (1957) was overruled by Ram Lal Narang v. State (Delhi Administration) (1979). Note: Ram Lal Narang v. State (Delhi Administration) was itself later overruled by Randhir Singh Rana v. The State Being the Delhi Administration (1997); the current position should be checked.</t>
        </is>
      </c>
      <c r="AE546" s="2" t="n"/>
      <c r="AF546" s="11" t="inlineStr">
        <is>
          <t>created from list 1</t>
        </is>
      </c>
    </row>
    <row r="547">
      <c r="A547" s="11" t="inlineStr">
        <is>
          <t>L1-0546</t>
        </is>
      </c>
      <c r="B547" s="11" t="inlineStr">
        <is>
          <t>List 1 (to ~2015)</t>
        </is>
      </c>
      <c r="C547" s="11" t="inlineStr">
        <is>
          <t>list1</t>
        </is>
      </c>
      <c r="D547" s="11" t="inlineStr">
        <is>
          <t>verified</t>
        </is>
      </c>
      <c r="E547" s="11" t="inlineStr">
        <is>
          <t>overruled</t>
        </is>
      </c>
      <c r="F547" s="2" t="inlineStr">
        <is>
          <t>Vashit Narain Sharma v. Dev Chandra and Others</t>
        </is>
      </c>
      <c r="G547" s="11" t="inlineStr"/>
      <c r="H547" s="11" t="inlineStr">
        <is>
          <t>Supreme Court</t>
        </is>
      </c>
      <c r="I547" s="2" t="inlineStr">
        <is>
          <t>AIR 1954 SC 513; (1955) 1 SCR 509</t>
        </is>
      </c>
      <c r="J547" s="11" t="n">
        <v>1954</v>
      </c>
      <c r="K547" s="2" t="inlineStr">
        <is>
          <t>Ramanbhai Ashabhai Patel v. Dabhi Ajitkumar Fulsinji and Others</t>
        </is>
      </c>
      <c r="L547" s="11" t="inlineStr">
        <is>
          <t>Supreme Court</t>
        </is>
      </c>
      <c r="M547" s="2" t="inlineStr">
        <is>
          <t>AIR 1965 SC 669; (1965) 1 SCR 712</t>
        </is>
      </c>
      <c r="N547" s="11" t="n">
        <v>1965</v>
      </c>
      <c r="O547" s="11" t="n"/>
      <c r="P547" s="11" t="n"/>
      <c r="Q547" s="11" t="n"/>
      <c r="R547" s="2" t="n"/>
      <c r="S547" s="2" t="n"/>
      <c r="T547" s="11" t="inlineStr"/>
      <c r="U547" s="11" t="inlineStr"/>
      <c r="V547" s="11" t="inlineStr">
        <is>
          <t>outside_list</t>
        </is>
      </c>
      <c r="W547" s="11" t="n"/>
      <c r="X547" s="11" t="n"/>
      <c r="Y547" s="11" t="n"/>
      <c r="Z547" s="11" t="inlineStr">
        <is>
          <t>Mr. Advocate</t>
        </is>
      </c>
      <c r="AA547" s="11" t="inlineStr">
        <is>
          <t>2026-10-07</t>
        </is>
      </c>
      <c r="AB547" s="11" t="inlineStr">
        <is>
          <t>name_year</t>
        </is>
      </c>
      <c r="AC547" s="2" t="inlineStr"/>
      <c r="AD547" s="2" t="inlineStr">
        <is>
          <t>Vashit Narain Sharma v. Dev Chandra and Others (1954) was overruled by Ramanbhai Ashabhai Patel v. Dabhi Ajitkumar Fulsinji and Others (1965).</t>
        </is>
      </c>
      <c r="AE547" s="2" t="n"/>
      <c r="AF547" s="11" t="inlineStr">
        <is>
          <t>created from list 1</t>
        </is>
      </c>
    </row>
    <row r="548">
      <c r="A548" s="11" t="inlineStr">
        <is>
          <t>L1-0547</t>
        </is>
      </c>
      <c r="B548" s="11" t="inlineStr">
        <is>
          <t>List 1 (to ~2015)</t>
        </is>
      </c>
      <c r="C548" s="11" t="inlineStr">
        <is>
          <t>list1</t>
        </is>
      </c>
      <c r="D548" s="11" t="inlineStr">
        <is>
          <t>verified</t>
        </is>
      </c>
      <c r="E548" s="11" t="inlineStr">
        <is>
          <t>overruled</t>
        </is>
      </c>
      <c r="F548" s="2" t="inlineStr">
        <is>
          <t>Joginder Singh and Another v. State of Punjab and Another</t>
        </is>
      </c>
      <c r="G548" s="11" t="inlineStr"/>
      <c r="H548" s="11" t="inlineStr">
        <is>
          <t>Supreme Court</t>
        </is>
      </c>
      <c r="I548" s="2" t="inlineStr">
        <is>
          <t>AIR 1979 SC 339; (1979) CriLJ 333; (1979) 1 SCC 345; (1979) 2 SCR 306; (1979) 11 UJ 124</t>
        </is>
      </c>
      <c r="J548" s="11" t="n">
        <v>1979</v>
      </c>
      <c r="K548" s="2" t="inlineStr">
        <is>
          <t>Rakesh and Another v. State of Haryana</t>
        </is>
      </c>
      <c r="L548" s="11" t="inlineStr">
        <is>
          <t>Supreme Court</t>
        </is>
      </c>
      <c r="M548" s="2" t="inlineStr">
        <is>
          <t>AIR 2001 SC 2521; (2001) CriLJ 3511; (2001) 3 Crimes 330; (2001) 5 JT 639; (2001) 4 SCALE 522; (2001) 6 SCC 248; (2001) AIRSCW 2703; (2001) 5 Supreme 300</t>
        </is>
      </c>
      <c r="N548" s="11" t="n">
        <v>2001</v>
      </c>
      <c r="O548" s="11" t="n"/>
      <c r="P548" s="11" t="n"/>
      <c r="Q548" s="11" t="n"/>
      <c r="R548" s="2" t="n"/>
      <c r="S548" s="2" t="n"/>
      <c r="T548" s="11" t="inlineStr"/>
      <c r="U548" s="11" t="inlineStr"/>
      <c r="V548" s="11" t="inlineStr">
        <is>
          <t>outside_list</t>
        </is>
      </c>
      <c r="W548" s="11" t="n"/>
      <c r="X548" s="11" t="n"/>
      <c r="Y548" s="11" t="n"/>
      <c r="Z548" s="11" t="inlineStr">
        <is>
          <t>Mr. Advocate</t>
        </is>
      </c>
      <c r="AA548" s="11" t="inlineStr">
        <is>
          <t>2026-10-07</t>
        </is>
      </c>
      <c r="AB548" s="11" t="inlineStr">
        <is>
          <t>name_year</t>
        </is>
      </c>
      <c r="AC548" s="2" t="inlineStr"/>
      <c r="AD548" s="2" t="inlineStr">
        <is>
          <t>Joginder Singh and Another v. State of Punjab and Another (1979) was overruled by Rakesh and Another v. State of Haryana (2001).</t>
        </is>
      </c>
      <c r="AE548" s="2" t="n"/>
      <c r="AF548" s="11" t="inlineStr">
        <is>
          <t>created from list 1</t>
        </is>
      </c>
    </row>
    <row r="549">
      <c r="A549" s="11" t="inlineStr">
        <is>
          <t>L1-0548</t>
        </is>
      </c>
      <c r="B549" s="11" t="inlineStr">
        <is>
          <t>List 1 (to ~2015)</t>
        </is>
      </c>
      <c r="C549" s="11" t="inlineStr">
        <is>
          <t>list1</t>
        </is>
      </c>
      <c r="D549" s="11" t="inlineStr">
        <is>
          <t>verified</t>
        </is>
      </c>
      <c r="E549" s="11" t="inlineStr">
        <is>
          <t>overruled</t>
        </is>
      </c>
      <c r="F549" s="2" t="inlineStr">
        <is>
          <t>Keshav Laxman Borkar v. Devrao Laxman Anande</t>
        </is>
      </c>
      <c r="G549" s="11" t="inlineStr"/>
      <c r="H549" s="11" t="inlineStr">
        <is>
          <t>Supreme Court</t>
        </is>
      </c>
      <c r="I549" s="2" t="inlineStr">
        <is>
          <t>AIR 1960 SC 131; (1960) 1 SCR 902</t>
        </is>
      </c>
      <c r="J549" s="11" t="n">
        <v>1960</v>
      </c>
      <c r="K549" s="2" t="inlineStr">
        <is>
          <t>Vishwanatha Reddy v. Konappa Rudrappa Nadgouda and Another</t>
        </is>
      </c>
      <c r="L549" s="11" t="inlineStr">
        <is>
          <t>unknown</t>
        </is>
      </c>
      <c r="M549" s="2" t="inlineStr"/>
      <c r="N549" s="11" t="n"/>
      <c r="O549" s="11" t="n"/>
      <c r="P549" s="11" t="n"/>
      <c r="Q549" s="11" t="n"/>
      <c r="R549" s="2" t="n"/>
      <c r="S549" s="2" t="n"/>
      <c r="T549" s="11" t="inlineStr"/>
      <c r="U549" s="11" t="inlineStr"/>
      <c r="V549" s="11" t="inlineStr">
        <is>
          <t>outside_list</t>
        </is>
      </c>
      <c r="W549" s="11" t="n"/>
      <c r="X549" s="11" t="n"/>
      <c r="Y549" s="11" t="n"/>
      <c r="Z549" s="11" t="inlineStr">
        <is>
          <t>Mr. Advocate</t>
        </is>
      </c>
      <c r="AA549" s="11" t="inlineStr">
        <is>
          <t>2026-10-07</t>
        </is>
      </c>
      <c r="AB549" s="11" t="inlineStr">
        <is>
          <t>name_year</t>
        </is>
      </c>
      <c r="AC549" s="2" t="inlineStr"/>
      <c r="AD549" s="2" t="inlineStr">
        <is>
          <t>Keshav Laxman Borkar v. Devrao Laxman Anande (1960) was overruled by Vishwanatha Reddy v. Konappa Rudrappa Nadgouda and Another.</t>
        </is>
      </c>
      <c r="AE549" s="2" t="n"/>
      <c r="AF549" s="11" t="inlineStr">
        <is>
          <t>created from list 1</t>
        </is>
      </c>
    </row>
    <row r="550">
      <c r="A550" s="11" t="inlineStr">
        <is>
          <t>L1-0549</t>
        </is>
      </c>
      <c r="B550" s="11" t="inlineStr">
        <is>
          <t>List 1 (to ~2015)</t>
        </is>
      </c>
      <c r="C550" s="11" t="inlineStr">
        <is>
          <t>list1</t>
        </is>
      </c>
      <c r="D550" s="11" t="inlineStr">
        <is>
          <t>verified</t>
        </is>
      </c>
      <c r="E550" s="11" t="inlineStr">
        <is>
          <t>overruled</t>
        </is>
      </c>
      <c r="F550" s="2" t="inlineStr">
        <is>
          <t>Govind Mehta v. State of Bihar</t>
        </is>
      </c>
      <c r="G550" s="11" t="inlineStr"/>
      <c r="H550" s="11" t="inlineStr">
        <is>
          <t>Supreme Court</t>
        </is>
      </c>
      <c r="I550" s="2" t="inlineStr">
        <is>
          <t>AIR 1971 SC 1708; (1971) CriLJ 1266; (1971) 3 SCC 329; (1971) SCC(Cri) 608; (1971) SCR 777 Supp; (1971) 3 UJ 720</t>
        </is>
      </c>
      <c r="J550" s="11" t="n">
        <v>1971</v>
      </c>
      <c r="K550" s="2" t="inlineStr">
        <is>
          <t>Dr. S.L. Goswami v. The High Court of Madhya Pradesh at Jabalpur</t>
        </is>
      </c>
      <c r="L550" s="11" t="inlineStr">
        <is>
          <t>Supreme Court</t>
        </is>
      </c>
      <c r="M550" s="2" t="inlineStr">
        <is>
          <t>AIR 1979 SC 437; (1979) CriLJ 193; (1979) 1 SCC 373; (1979) SCC(Cri) 311; (1979) 2 SCR 385</t>
        </is>
      </c>
      <c r="N550" s="11" t="n">
        <v>1979</v>
      </c>
      <c r="O550" s="11" t="n"/>
      <c r="P550" s="11" t="n"/>
      <c r="Q550" s="11" t="n"/>
      <c r="R550" s="2" t="n"/>
      <c r="S550" s="2" t="n"/>
      <c r="T550" s="11" t="inlineStr"/>
      <c r="U550" s="11" t="inlineStr"/>
      <c r="V550" s="11" t="inlineStr">
        <is>
          <t>outside_list</t>
        </is>
      </c>
      <c r="W550" s="11" t="n"/>
      <c r="X550" s="11" t="n"/>
      <c r="Y550" s="11" t="n"/>
      <c r="Z550" s="11" t="inlineStr">
        <is>
          <t>Mr. Advocate</t>
        </is>
      </c>
      <c r="AA550" s="11" t="inlineStr">
        <is>
          <t>2026-10-07</t>
        </is>
      </c>
      <c r="AB550" s="11" t="inlineStr">
        <is>
          <t>name_year</t>
        </is>
      </c>
      <c r="AC550" s="2" t="inlineStr"/>
      <c r="AD550" s="2" t="inlineStr">
        <is>
          <t>Govind Mehta v. State of Bihar (1971) was overruled by Dr. S.L. Goswami v. The High Court of Madhya Pradesh at Jabalpur (1979).</t>
        </is>
      </c>
      <c r="AE550" s="2" t="n"/>
      <c r="AF550" s="11" t="inlineStr">
        <is>
          <t>created from list 1</t>
        </is>
      </c>
    </row>
    <row r="551">
      <c r="A551" s="11" t="inlineStr">
        <is>
          <t>L1-0550</t>
        </is>
      </c>
      <c r="B551" s="11" t="inlineStr">
        <is>
          <t>List 1 (to ~2015)</t>
        </is>
      </c>
      <c r="C551" s="11" t="inlineStr">
        <is>
          <t>list1</t>
        </is>
      </c>
      <c r="D551" s="11" t="inlineStr">
        <is>
          <t>verified</t>
        </is>
      </c>
      <c r="E551" s="11" t="inlineStr">
        <is>
          <t>overruled</t>
        </is>
      </c>
      <c r="F551" s="2" t="inlineStr">
        <is>
          <t>Travancore Titanium Products Ltd. v. Commissioner of Income Tax, Kerala</t>
        </is>
      </c>
      <c r="G551" s="11" t="inlineStr"/>
      <c r="H551" s="11" t="inlineStr">
        <is>
          <t>Supreme Court</t>
        </is>
      </c>
      <c r="I551" s="2" t="inlineStr">
        <is>
          <t>AIR 1966 SC 1250; (1966) 60 ITR 277; (1966) 3 SCR 321</t>
        </is>
      </c>
      <c r="J551" s="11" t="n">
        <v>1966</v>
      </c>
      <c r="K551" s="2" t="inlineStr">
        <is>
          <t>The Indian Aluminium Co. Ltd. v. The Commissioner of Income Tax , West Bengal, Calcutta</t>
        </is>
      </c>
      <c r="L551" s="11" t="inlineStr">
        <is>
          <t>Supreme Court</t>
        </is>
      </c>
      <c r="M551" s="2" t="inlineStr">
        <is>
          <t>AIR 1972 SC 1880; (1972) 84 ITR 735; (1972) 2 SCC 150; (1973) 1 SCR 15</t>
        </is>
      </c>
      <c r="N551" s="11" t="n">
        <v>1972</v>
      </c>
      <c r="O551" s="11" t="n"/>
      <c r="P551" s="11" t="n"/>
      <c r="Q551" s="11" t="n"/>
      <c r="R551" s="2" t="n"/>
      <c r="S551" s="2" t="n"/>
      <c r="T551" s="11" t="inlineStr"/>
      <c r="U551" s="11" t="inlineStr"/>
      <c r="V551" s="11" t="inlineStr">
        <is>
          <t>outside_list</t>
        </is>
      </c>
      <c r="W551" s="11" t="n"/>
      <c r="X551" s="11" t="n"/>
      <c r="Y551" s="11" t="n"/>
      <c r="Z551" s="11" t="inlineStr">
        <is>
          <t>Mr. Advocate</t>
        </is>
      </c>
      <c r="AA551" s="11" t="inlineStr">
        <is>
          <t>2026-10-07</t>
        </is>
      </c>
      <c r="AB551" s="11" t="inlineStr">
        <is>
          <t>name_year</t>
        </is>
      </c>
      <c r="AC551" s="2" t="inlineStr">
        <is>
          <t>L1-0375: overruled by National Thermal Power Corporation Ltd. v. M/s. Flowmore Private Ltd. and another (1996)</t>
        </is>
      </c>
      <c r="AD551" s="2" t="inlineStr">
        <is>
          <t>Travancore Titanium Products Ltd. v. Commissioner of Income Tax, Kerala (1966) was overruled by The Indian Aluminium Co. Ltd. v. The Commissioner of Income Tax , West Bengal, Calcutta (1972). Note: The Indian Aluminium Co. Ltd. v. The Commissioner of Income Tax , West Bengal, Calcutta was itself later overruled by National Thermal Power Corporation Ltd. v. M/s. Flowmore Private Ltd. and another (1996); the current position should be checked.</t>
        </is>
      </c>
      <c r="AE551" s="2" t="n"/>
      <c r="AF551" s="11" t="inlineStr">
        <is>
          <t>created from list 1</t>
        </is>
      </c>
    </row>
    <row r="552">
      <c r="A552" s="11" t="inlineStr">
        <is>
          <t>L1-0551</t>
        </is>
      </c>
      <c r="B552" s="11" t="inlineStr">
        <is>
          <t>List 1 (to ~2015)</t>
        </is>
      </c>
      <c r="C552" s="11" t="inlineStr">
        <is>
          <t>list1</t>
        </is>
      </c>
      <c r="D552" s="11" t="inlineStr">
        <is>
          <t>verified</t>
        </is>
      </c>
      <c r="E552" s="11" t="inlineStr">
        <is>
          <t>overruled</t>
        </is>
      </c>
      <c r="F552" s="2" t="inlineStr">
        <is>
          <t>Om Prakash Jaiswal v. D.K. Mittal and Another</t>
        </is>
      </c>
      <c r="G552" s="11" t="inlineStr"/>
      <c r="H552" s="11" t="inlineStr">
        <is>
          <t>Supreme Court</t>
        </is>
      </c>
      <c r="I552" s="2" t="inlineStr">
        <is>
          <t>AIR 2000 SC 1136; (2000) CriLJ 1700; (2000) 2 JT 293; (2000) 2 SCALE 28; (2000) 3 SCC 171; (2000) 1 SCR 1064; (2000) 1 UJ 524; (2000) AIRSCW 722; (2000) 1 Supreme 574</t>
        </is>
      </c>
      <c r="J552" s="11" t="n">
        <v>2000</v>
      </c>
      <c r="K552" s="2" t="inlineStr">
        <is>
          <t>Pallav Sheth v. Custodian and Others</t>
        </is>
      </c>
      <c r="L552" s="11" t="inlineStr">
        <is>
          <t>Supreme Court</t>
        </is>
      </c>
      <c r="M552" s="2" t="inlineStr">
        <is>
          <t>AIR 2001 SC 2763; (2001) 107 CompCas 76; (2001) 4 CompLJ 161; (2001) CriLJ 4175; (2001) 6 JT 330; (2001) 5 SCALE 127; (2001) 7 SCC 549; (2001) 2 UJ 1464; (2001) AIRSCW 3025; (2001) 5 Supreme 763</t>
        </is>
      </c>
      <c r="N552" s="11" t="n">
        <v>2001</v>
      </c>
      <c r="O552" s="11" t="n"/>
      <c r="P552" s="11" t="n"/>
      <c r="Q552" s="11" t="n"/>
      <c r="R552" s="2" t="n"/>
      <c r="S552" s="2" t="n"/>
      <c r="T552" s="11" t="inlineStr"/>
      <c r="U552" s="11" t="inlineStr"/>
      <c r="V552" s="11" t="inlineStr">
        <is>
          <t>outside_list</t>
        </is>
      </c>
      <c r="W552" s="11" t="n"/>
      <c r="X552" s="11" t="n"/>
      <c r="Y552" s="11" t="n"/>
      <c r="Z552" s="11" t="inlineStr">
        <is>
          <t>Mr. Advocate</t>
        </is>
      </c>
      <c r="AA552" s="11" t="inlineStr">
        <is>
          <t>2026-10-07</t>
        </is>
      </c>
      <c r="AB552" s="11" t="inlineStr">
        <is>
          <t>name_year</t>
        </is>
      </c>
      <c r="AC552" s="2" t="inlineStr"/>
      <c r="AD552" s="2" t="inlineStr">
        <is>
          <t>Om Prakash Jaiswal v. D.K. Mittal and Another (2000) was overruled by Pallav Sheth v. Custodian and Others (2001).</t>
        </is>
      </c>
      <c r="AE552" s="2" t="n"/>
      <c r="AF552" s="11" t="inlineStr">
        <is>
          <t>created from list 1</t>
        </is>
      </c>
    </row>
    <row r="553">
      <c r="A553" s="11" t="inlineStr">
        <is>
          <t>L1-0552</t>
        </is>
      </c>
      <c r="B553" s="11" t="inlineStr">
        <is>
          <t>List 1 (to ~2015)</t>
        </is>
      </c>
      <c r="C553" s="11" t="inlineStr">
        <is>
          <t>list1</t>
        </is>
      </c>
      <c r="D553" s="11" t="inlineStr">
        <is>
          <t>verified</t>
        </is>
      </c>
      <c r="E553" s="11" t="inlineStr">
        <is>
          <t>overruled</t>
        </is>
      </c>
      <c r="F553" s="2" t="inlineStr">
        <is>
          <t>Bishan Singh and Others v. Khazan Singh and Another</t>
        </is>
      </c>
      <c r="G553" s="11" t="inlineStr"/>
      <c r="H553" s="11" t="inlineStr">
        <is>
          <t>Supreme Court</t>
        </is>
      </c>
      <c r="I553" s="2" t="inlineStr">
        <is>
          <t>AIR 1958 SC 838; (1959) 1 SCR 878</t>
        </is>
      </c>
      <c r="J553" s="11" t="n">
        <v>1958</v>
      </c>
      <c r="K553" s="2" t="inlineStr">
        <is>
          <t>Bhagwati Prasad Sah and Others v. Bhagwati Prasad Sah and Another</t>
        </is>
      </c>
      <c r="L553" s="11" t="inlineStr">
        <is>
          <t>Supreme Court</t>
        </is>
      </c>
      <c r="M553" s="2" t="inlineStr">
        <is>
          <t>(1964) 5 SCR 105</t>
        </is>
      </c>
      <c r="N553" s="11" t="n">
        <v>1964</v>
      </c>
      <c r="O553" s="11" t="n"/>
      <c r="P553" s="11" t="n"/>
      <c r="Q553" s="11" t="n"/>
      <c r="R553" s="2" t="n"/>
      <c r="S553" s="2" t="n"/>
      <c r="T553" s="11" t="inlineStr"/>
      <c r="U553" s="11" t="inlineStr"/>
      <c r="V553" s="11" t="inlineStr">
        <is>
          <t>outside_list</t>
        </is>
      </c>
      <c r="W553" s="11" t="n"/>
      <c r="X553" s="11" t="n"/>
      <c r="Y553" s="11" t="n"/>
      <c r="Z553" s="11" t="inlineStr">
        <is>
          <t>Mr. Advocate</t>
        </is>
      </c>
      <c r="AA553" s="11" t="inlineStr">
        <is>
          <t>2026-10-07</t>
        </is>
      </c>
      <c r="AB553" s="11" t="inlineStr">
        <is>
          <t>name_year</t>
        </is>
      </c>
      <c r="AC553" s="2" t="inlineStr"/>
      <c r="AD553" s="2" t="inlineStr">
        <is>
          <t>Bishan Singh and Others v. Khazan Singh and Another (1958) was overruled by Bhagwati Prasad Sah and Others v. Bhagwati Prasad Sah and Another (1964).</t>
        </is>
      </c>
      <c r="AE553" s="2" t="n"/>
      <c r="AF553" s="11" t="inlineStr">
        <is>
          <t>created from list 1</t>
        </is>
      </c>
    </row>
    <row r="554">
      <c r="A554" s="11" t="inlineStr">
        <is>
          <t>L1-0553</t>
        </is>
      </c>
      <c r="B554" s="11" t="inlineStr">
        <is>
          <t>List 1 (to ~2015)</t>
        </is>
      </c>
      <c r="C554" s="11" t="inlineStr">
        <is>
          <t>list1</t>
        </is>
      </c>
      <c r="D554" s="11" t="inlineStr">
        <is>
          <t>verified</t>
        </is>
      </c>
      <c r="E554" s="11" t="inlineStr">
        <is>
          <t>overruled</t>
        </is>
      </c>
      <c r="F554" s="2" t="inlineStr">
        <is>
          <t>State of U.P. v. Manbodhan Lal Srivastava</t>
        </is>
      </c>
      <c r="G554" s="11" t="inlineStr"/>
      <c r="H554" s="11" t="inlineStr">
        <is>
          <t>Supreme Court</t>
        </is>
      </c>
      <c r="I554" s="2" t="inlineStr">
        <is>
          <t>AIR 1957 SC 912; (1958) 2 LLJ 273; (1958) 1 SCR 533</t>
        </is>
      </c>
      <c r="J554" s="11" t="n">
        <v>1957</v>
      </c>
      <c r="K554" s="2" t="inlineStr">
        <is>
          <t>Atlas Cycle Industries Ltd. and Others v. The State of Haryana</t>
        </is>
      </c>
      <c r="L554" s="11" t="inlineStr">
        <is>
          <t>Supreme Court</t>
        </is>
      </c>
      <c r="M554" s="2" t="inlineStr">
        <is>
          <t>AIR 1979 SC 1149(1); (1979) CriLJ 927(1); (1979) 2 SCC 196; (1979) SCC(Cri) 422; (1979) 1 SCR 1070</t>
        </is>
      </c>
      <c r="N554" s="11" t="n">
        <v>1979</v>
      </c>
      <c r="O554" s="11" t="n"/>
      <c r="P554" s="11" t="n"/>
      <c r="Q554" s="11" t="n"/>
      <c r="R554" s="2" t="n"/>
      <c r="S554" s="2" t="n"/>
      <c r="T554" s="11" t="inlineStr"/>
      <c r="U554" s="11" t="inlineStr"/>
      <c r="V554" s="11" t="inlineStr">
        <is>
          <t>outside_list</t>
        </is>
      </c>
      <c r="W554" s="11" t="n"/>
      <c r="X554" s="11" t="n"/>
      <c r="Y554" s="11" t="n"/>
      <c r="Z554" s="11" t="inlineStr">
        <is>
          <t>Mr. Advocate</t>
        </is>
      </c>
      <c r="AA554" s="11" t="inlineStr">
        <is>
          <t>2026-10-07</t>
        </is>
      </c>
      <c r="AB554" s="11" t="inlineStr">
        <is>
          <t>name_year</t>
        </is>
      </c>
      <c r="AC554" s="2" t="inlineStr"/>
      <c r="AD554" s="2" t="inlineStr">
        <is>
          <t>State of U.P. v. Manbodhan Lal Srivastava (1957) was overruled by Atlas Cycle Industries Ltd. and Others v. The State of Haryana (1979).</t>
        </is>
      </c>
      <c r="AE554" s="2" t="n"/>
      <c r="AF554" s="11" t="inlineStr">
        <is>
          <t>created from list 1</t>
        </is>
      </c>
    </row>
    <row r="555">
      <c r="A555" s="11" t="inlineStr">
        <is>
          <t>L1-0554</t>
        </is>
      </c>
      <c r="B555" s="11" t="inlineStr">
        <is>
          <t>List 1 (to ~2015)</t>
        </is>
      </c>
      <c r="C555" s="11" t="inlineStr">
        <is>
          <t>list1</t>
        </is>
      </c>
      <c r="D555" s="11" t="inlineStr">
        <is>
          <t>verified</t>
        </is>
      </c>
      <c r="E555" s="11" t="inlineStr">
        <is>
          <t>overruled</t>
        </is>
      </c>
      <c r="F555" s="2" t="inlineStr">
        <is>
          <t>Residence Ltd. v. Surendra Mohan Banerjee and Others</t>
        </is>
      </c>
      <c r="G555" s="11" t="inlineStr"/>
      <c r="H555" s="11" t="inlineStr">
        <is>
          <t>Calcutta</t>
        </is>
      </c>
      <c r="I555" s="2" t="inlineStr">
        <is>
          <t>AIR 1951 Cal 126; (1952) 2 ILR (Cal) 175</t>
        </is>
      </c>
      <c r="J555" s="11" t="n">
        <v>1951</v>
      </c>
      <c r="K555" s="2" t="inlineStr">
        <is>
          <t>Karnani Properties Ltd. v. Augustin</t>
        </is>
      </c>
      <c r="L555" s="11" t="inlineStr">
        <is>
          <t>Supreme Court</t>
        </is>
      </c>
      <c r="M555" s="2" t="inlineStr">
        <is>
          <t>AIR 1957 SC 309; (1957) 1 SCR 20</t>
        </is>
      </c>
      <c r="N555" s="11" t="n">
        <v>1957</v>
      </c>
      <c r="O555" s="11" t="n"/>
      <c r="P555" s="11" t="n"/>
      <c r="Q555" s="11" t="n"/>
      <c r="R555" s="2" t="n"/>
      <c r="S555" s="2" t="n"/>
      <c r="T555" s="11" t="inlineStr"/>
      <c r="U555" s="11" t="inlineStr"/>
      <c r="V555" s="11" t="inlineStr">
        <is>
          <t>outside_list</t>
        </is>
      </c>
      <c r="W555" s="11" t="n"/>
      <c r="X555" s="11" t="n"/>
      <c r="Y555" s="11" t="n"/>
      <c r="Z555" s="11" t="inlineStr">
        <is>
          <t>Mr. Advocate</t>
        </is>
      </c>
      <c r="AA555" s="11" t="inlineStr">
        <is>
          <t>2026-10-07</t>
        </is>
      </c>
      <c r="AB555" s="11" t="inlineStr">
        <is>
          <t>name_year</t>
        </is>
      </c>
      <c r="AC555" s="2" t="inlineStr"/>
      <c r="AD555" s="2" t="inlineStr">
        <is>
          <t>Residence Ltd. v. Surendra Mohan Banerjee and Others (1951) was overruled by Karnani Properties Ltd. v. Augustin (1957).</t>
        </is>
      </c>
      <c r="AE555" s="2" t="n"/>
      <c r="AF555" s="11" t="inlineStr">
        <is>
          <t>created from list 1</t>
        </is>
      </c>
    </row>
    <row r="556">
      <c r="A556" s="11" t="inlineStr">
        <is>
          <t>L1-0555</t>
        </is>
      </c>
      <c r="B556" s="11" t="inlineStr">
        <is>
          <t>List 1 (to ~2015)</t>
        </is>
      </c>
      <c r="C556" s="11" t="inlineStr">
        <is>
          <t>list1</t>
        </is>
      </c>
      <c r="D556" s="11" t="inlineStr">
        <is>
          <t>verified</t>
        </is>
      </c>
      <c r="E556" s="11" t="inlineStr">
        <is>
          <t>overruled</t>
        </is>
      </c>
      <c r="F556" s="2" t="inlineStr">
        <is>
          <t>Sailaja Kanta Mitra and Others v. State of West Bengal</t>
        </is>
      </c>
      <c r="G556" s="11" t="inlineStr"/>
      <c r="H556" s="11" t="inlineStr">
        <is>
          <t>Calcutta</t>
        </is>
      </c>
      <c r="I556" s="2" t="inlineStr">
        <is>
          <t>AIR 1971 Cal 137; 75 CWN 804; (1971) 1 ILR (Cal) 256</t>
        </is>
      </c>
      <c r="J556" s="11" t="n">
        <v>1971</v>
      </c>
      <c r="K556" s="2" t="inlineStr">
        <is>
          <t>Manohar Lal v. Vinesh Anand and Others</t>
        </is>
      </c>
      <c r="L556" s="11" t="inlineStr">
        <is>
          <t>Supreme Court</t>
        </is>
      </c>
      <c r="M556" s="2" t="inlineStr">
        <is>
          <t>AIR 2001 SC 1820; (2001) 2 ARBLR 160; (2001) 2 CompLJ 207; (2001) CriLJ 2044; (2001) 2 Crimes 202; (2001) 4 JT 573; (2001) 3 SCALE 270; (2001) 5 SCC 407; (2001) 2 SCR 1036; (2001) AIRSCW 1590; (2001) 3 Supreme 279</t>
        </is>
      </c>
      <c r="N556" s="11" t="n">
        <v>2001</v>
      </c>
      <c r="O556" s="11" t="n"/>
      <c r="P556" s="11" t="n"/>
      <c r="Q556" s="11" t="n"/>
      <c r="R556" s="2" t="n"/>
      <c r="S556" s="2" t="n"/>
      <c r="T556" s="11" t="inlineStr"/>
      <c r="U556" s="11" t="inlineStr"/>
      <c r="V556" s="11" t="inlineStr">
        <is>
          <t>outside_list</t>
        </is>
      </c>
      <c r="W556" s="11" t="n"/>
      <c r="X556" s="11" t="n"/>
      <c r="Y556" s="11" t="n"/>
      <c r="Z556" s="11" t="inlineStr">
        <is>
          <t>Mr. Advocate</t>
        </is>
      </c>
      <c r="AA556" s="11" t="inlineStr">
        <is>
          <t>2026-10-07</t>
        </is>
      </c>
      <c r="AB556" s="11" t="inlineStr">
        <is>
          <t>name_year</t>
        </is>
      </c>
      <c r="AC556" s="2" t="inlineStr"/>
      <c r="AD556" s="2" t="inlineStr">
        <is>
          <t>Sailaja Kanta Mitra and Others v. State of West Bengal (1971) was overruled by Manohar Lal v. Vinesh Anand and Others (2001).</t>
        </is>
      </c>
      <c r="AE556" s="2" t="n"/>
      <c r="AF556" s="11" t="inlineStr">
        <is>
          <t>created from list 1</t>
        </is>
      </c>
    </row>
    <row r="557">
      <c r="A557" s="11" t="inlineStr">
        <is>
          <t>L1-0556</t>
        </is>
      </c>
      <c r="B557" s="11" t="inlineStr">
        <is>
          <t>List 1 (to ~2015)</t>
        </is>
      </c>
      <c r="C557" s="11" t="inlineStr">
        <is>
          <t>list1</t>
        </is>
      </c>
      <c r="D557" s="11" t="inlineStr">
        <is>
          <t>verified</t>
        </is>
      </c>
      <c r="E557" s="11" t="inlineStr">
        <is>
          <t>overruled</t>
        </is>
      </c>
      <c r="F557" s="2" t="inlineStr">
        <is>
          <t>Sales Tax Officer, Banaras and Others v. Kanhaiya Lal Mukundlal Saraf</t>
        </is>
      </c>
      <c r="G557" s="11" t="inlineStr"/>
      <c r="H557" s="11" t="inlineStr">
        <is>
          <t>Supreme Court</t>
        </is>
      </c>
      <c r="I557" s="2" t="inlineStr">
        <is>
          <t>AIR 1959 SC 135; (1959) 1 SCR 1350; (1958) 9 STC 747</t>
        </is>
      </c>
      <c r="J557" s="11" t="n">
        <v>1959</v>
      </c>
      <c r="K557" s="2" t="inlineStr">
        <is>
          <t>Mafatlal Industries Ltd. and Others v. Union of India (UOI) and Others</t>
        </is>
      </c>
      <c r="L557" s="11" t="inlineStr">
        <is>
          <t>Supreme Court</t>
        </is>
      </c>
      <c r="M557" s="2" t="inlineStr">
        <is>
          <t>(2002) 83 ECC 85; (1997) 68 ECR 273; (1997) 89 ELT 247; (1996) 11 JT 283; (1996) 9 SCALE 457; (1997) 5 SCC 536; (1996) 10 SCR 585 Supp; (1998) 111 STC 467</t>
        </is>
      </c>
      <c r="N557" s="11" t="n">
        <v>1996</v>
      </c>
      <c r="O557" s="11" t="n"/>
      <c r="P557" s="11" t="n"/>
      <c r="Q557" s="11" t="n"/>
      <c r="R557" s="2" t="n"/>
      <c r="S557" s="2" t="n"/>
      <c r="T557" s="11" t="inlineStr"/>
      <c r="U557" s="11" t="inlineStr"/>
      <c r="V557" s="11" t="inlineStr">
        <is>
          <t>outside_list</t>
        </is>
      </c>
      <c r="W557" s="11" t="n"/>
      <c r="X557" s="11" t="n"/>
      <c r="Y557" s="11" t="n"/>
      <c r="Z557" s="11" t="inlineStr">
        <is>
          <t>Mr. Advocate</t>
        </is>
      </c>
      <c r="AA557" s="11" t="inlineStr">
        <is>
          <t>2026-10-07</t>
        </is>
      </c>
      <c r="AB557" s="11" t="inlineStr">
        <is>
          <t>name_year</t>
        </is>
      </c>
      <c r="AC557" s="2" t="inlineStr"/>
      <c r="AD557" s="2" t="inlineStr">
        <is>
          <t>Sales Tax Officer, Banaras and Others v. Kanhaiya Lal Mukundlal Saraf (1959) was overruled by Mafatlal Industries Ltd. and Others v. Union of India (UOI) and Others (1996).</t>
        </is>
      </c>
      <c r="AE557" s="2" t="n"/>
      <c r="AF557" s="11" t="inlineStr">
        <is>
          <t>created from list 1</t>
        </is>
      </c>
    </row>
    <row r="558">
      <c r="A558" s="11" t="inlineStr">
        <is>
          <t>L1-0557</t>
        </is>
      </c>
      <c r="B558" s="11" t="inlineStr">
        <is>
          <t>List 1 (to ~2015)</t>
        </is>
      </c>
      <c r="C558" s="11" t="inlineStr">
        <is>
          <t>list1</t>
        </is>
      </c>
      <c r="D558" s="11" t="inlineStr">
        <is>
          <t>verified</t>
        </is>
      </c>
      <c r="E558" s="11" t="inlineStr">
        <is>
          <t>overruled</t>
        </is>
      </c>
      <c r="F558" s="2" t="inlineStr">
        <is>
          <t>Commissioner of Income Tax Bombay v. Chugandas and Co., Bombay</t>
        </is>
      </c>
      <c r="G558" s="11" t="inlineStr"/>
      <c r="H558" s="11" t="inlineStr">
        <is>
          <t>Supreme Court</t>
        </is>
      </c>
      <c r="I558" s="2" t="inlineStr">
        <is>
          <t>AIR 1965 SC 568; (1965) 55 ITR 17; (1964) 8 SCR 332</t>
        </is>
      </c>
      <c r="J558" s="11" t="n">
        <v>1965</v>
      </c>
      <c r="K558" s="2" t="inlineStr">
        <is>
          <t>State of Mysore and Another v. Syed Mahmood and Others</t>
        </is>
      </c>
      <c r="L558" s="11" t="inlineStr">
        <is>
          <t>Supreme Court</t>
        </is>
      </c>
      <c r="M558" s="2" t="inlineStr">
        <is>
          <t>AIR 1968 SC 1113; (1968) LabIC 1291; (1970) 1 LLJ 370; (1968) 3 SCR 363</t>
        </is>
      </c>
      <c r="N558" s="11" t="n">
        <v>1968</v>
      </c>
      <c r="O558" s="11" t="n"/>
      <c r="P558" s="11" t="n"/>
      <c r="Q558" s="11" t="n"/>
      <c r="R558" s="2" t="n"/>
      <c r="S558" s="2" t="n"/>
      <c r="T558" s="11" t="inlineStr"/>
      <c r="U558" s="11" t="inlineStr"/>
      <c r="V558" s="11" t="inlineStr">
        <is>
          <t>outside_list</t>
        </is>
      </c>
      <c r="W558" s="11" t="n"/>
      <c r="X558" s="11" t="n"/>
      <c r="Y558" s="11" t="n"/>
      <c r="Z558" s="11" t="inlineStr">
        <is>
          <t>Mr. Advocate</t>
        </is>
      </c>
      <c r="AA558" s="11" t="inlineStr">
        <is>
          <t>2026-10-07</t>
        </is>
      </c>
      <c r="AB558" s="11" t="inlineStr">
        <is>
          <t>citation</t>
        </is>
      </c>
      <c r="AC558" s="2" t="inlineStr"/>
      <c r="AD558" s="2" t="inlineStr">
        <is>
          <t>Commissioner of Income Tax Bombay v. Chugandas and Co., Bombay (1965) was overruled by State of Mysore and Another v. Syed Mahmood and Others (1968).</t>
        </is>
      </c>
      <c r="AE558" s="2" t="n"/>
      <c r="AF558" s="11" t="inlineStr">
        <is>
          <t>created from list 1</t>
        </is>
      </c>
    </row>
    <row r="559">
      <c r="A559" s="11" t="inlineStr">
        <is>
          <t>L1-0558</t>
        </is>
      </c>
      <c r="B559" s="11" t="inlineStr">
        <is>
          <t>List 1 (to ~2015)</t>
        </is>
      </c>
      <c r="C559" s="11" t="inlineStr">
        <is>
          <t>list1</t>
        </is>
      </c>
      <c r="D559" s="11" t="inlineStr">
        <is>
          <t>verified</t>
        </is>
      </c>
      <c r="E559" s="11" t="inlineStr">
        <is>
          <t>overruled</t>
        </is>
      </c>
      <c r="F559" s="2" t="inlineStr">
        <is>
          <t>Mahesh Chandra v. Regional Manager, U.P. Financial Corporation and others</t>
        </is>
      </c>
      <c r="G559" s="11" t="inlineStr"/>
      <c r="H559" s="11" t="inlineStr">
        <is>
          <t>Supreme Court</t>
        </is>
      </c>
      <c r="I559" s="2" t="inlineStr">
        <is>
          <t>AIR 1993 SC 935; AIR 1992 SC 935; (1993) 78 CompCas 1; (1992) 2 CompLJ 89; (1992) 2 JT 326; (1992) 1 SCALE 388; (1993) 2 SCC 279; (1992) 1 SCR 616</t>
        </is>
      </c>
      <c r="J559" s="11" t="n">
        <v>1993</v>
      </c>
      <c r="K559" s="2" t="inlineStr">
        <is>
          <t>Karnataka State Industrial Investment and Development Corporation Ltd. v. Cavalet India Ltd. and Others</t>
        </is>
      </c>
      <c r="L559" s="11" t="inlineStr">
        <is>
          <t>Supreme Court</t>
        </is>
      </c>
      <c r="M559" s="2" t="inlineStr">
        <is>
          <t>(2005) 2 BC 443; (2005) 124 CompCas 797; (2005) 4 CompLJ 513; (2005) 3 JT 570; (2005) 4 SCC 456; (2005) 60 SCL 387; (2005) 2 SCR 1183</t>
        </is>
      </c>
      <c r="N559" s="11" t="n">
        <v>2005</v>
      </c>
      <c r="O559" s="11" t="n"/>
      <c r="P559" s="11" t="n"/>
      <c r="Q559" s="11" t="n"/>
      <c r="R559" s="2" t="n"/>
      <c r="S559" s="2" t="n"/>
      <c r="T559" s="11" t="inlineStr"/>
      <c r="U559" s="11" t="inlineStr"/>
      <c r="V559" s="11" t="inlineStr">
        <is>
          <t>outside_list</t>
        </is>
      </c>
      <c r="W559" s="11" t="n"/>
      <c r="X559" s="11" t="n"/>
      <c r="Y559" s="11" t="n"/>
      <c r="Z559" s="11" t="inlineStr">
        <is>
          <t>Mr. Advocate</t>
        </is>
      </c>
      <c r="AA559" s="11" t="inlineStr">
        <is>
          <t>2026-10-07</t>
        </is>
      </c>
      <c r="AB559" s="11" t="inlineStr">
        <is>
          <t>name_year</t>
        </is>
      </c>
      <c r="AC559" s="2" t="inlineStr"/>
      <c r="AD559" s="2" t="inlineStr">
        <is>
          <t>Mahesh Chandra v. Regional Manager, U.P. Financial Corporation and others (1993) was overruled by Karnataka State Industrial Investment and Development Corporation Ltd. v. Cavalet India Ltd. and Others (2005).</t>
        </is>
      </c>
      <c r="AE559" s="2" t="n"/>
      <c r="AF559" s="11" t="inlineStr">
        <is>
          <t>created from list 1</t>
        </is>
      </c>
    </row>
    <row r="560">
      <c r="A560" s="11" t="inlineStr">
        <is>
          <t>L1-0559</t>
        </is>
      </c>
      <c r="B560" s="11" t="inlineStr">
        <is>
          <t>List 1 (to ~2015)</t>
        </is>
      </c>
      <c r="C560" s="11" t="inlineStr">
        <is>
          <t>list1</t>
        </is>
      </c>
      <c r="D560" s="11" t="inlineStr">
        <is>
          <t>verified</t>
        </is>
      </c>
      <c r="E560" s="11" t="inlineStr">
        <is>
          <t>overruled</t>
        </is>
      </c>
      <c r="F560" s="2" t="inlineStr">
        <is>
          <t>Sita Ram Goel v. The Municipal Board, Kanpur and Others</t>
        </is>
      </c>
      <c r="G560" s="11" t="inlineStr"/>
      <c r="H560" s="11" t="inlineStr">
        <is>
          <t>Supreme Court</t>
        </is>
      </c>
      <c r="I560" s="2" t="inlineStr">
        <is>
          <t>AIR 1958 SC 1036; (1959) 1 SCR 1148</t>
        </is>
      </c>
      <c r="J560" s="11" t="n">
        <v>1958</v>
      </c>
      <c r="K560" s="2" t="inlineStr">
        <is>
          <t>Mohd. Quaramuddin (Dead) by Lrs. v. State of A.P.</t>
        </is>
      </c>
      <c r="L560" s="11" t="inlineStr">
        <is>
          <t>Supreme Court</t>
        </is>
      </c>
      <c r="M560" s="2" t="inlineStr">
        <is>
          <t>(1994) 3 SCALE 4; (1994) 5 SCC 118</t>
        </is>
      </c>
      <c r="N560" s="11" t="n">
        <v>1994</v>
      </c>
      <c r="O560" s="11" t="n"/>
      <c r="P560" s="11" t="n"/>
      <c r="Q560" s="11" t="n"/>
      <c r="R560" s="2" t="n"/>
      <c r="S560" s="2" t="n"/>
      <c r="T560" s="11" t="inlineStr"/>
      <c r="U560" s="11" t="inlineStr"/>
      <c r="V560" s="11" t="inlineStr">
        <is>
          <t>outside_list</t>
        </is>
      </c>
      <c r="W560" s="11" t="n"/>
      <c r="X560" s="11" t="n"/>
      <c r="Y560" s="11" t="n"/>
      <c r="Z560" s="11" t="inlineStr">
        <is>
          <t>Mr. Advocate</t>
        </is>
      </c>
      <c r="AA560" s="11" t="inlineStr">
        <is>
          <t>2026-10-07</t>
        </is>
      </c>
      <c r="AB560" s="11" t="inlineStr">
        <is>
          <t>name_year</t>
        </is>
      </c>
      <c r="AC560" s="2" t="inlineStr"/>
      <c r="AD560" s="2" t="inlineStr">
        <is>
          <t>Sita Ram Goel v. The Municipal Board, Kanpur and Others (1958) was overruled by Mohd. Quaramuddin (Dead) by Lrs. v. State of A.P. (1994).</t>
        </is>
      </c>
      <c r="AE560" s="2" t="n"/>
      <c r="AF560" s="11" t="inlineStr">
        <is>
          <t>created from list 1</t>
        </is>
      </c>
    </row>
    <row r="561">
      <c r="A561" s="11" t="inlineStr">
        <is>
          <t>L1-0560</t>
        </is>
      </c>
      <c r="B561" s="11" t="inlineStr">
        <is>
          <t>List 1 (to ~2015)</t>
        </is>
      </c>
      <c r="C561" s="11" t="inlineStr">
        <is>
          <t>list1</t>
        </is>
      </c>
      <c r="D561" s="11" t="inlineStr">
        <is>
          <t>verified</t>
        </is>
      </c>
      <c r="E561" s="11" t="inlineStr">
        <is>
          <t>overruled</t>
        </is>
      </c>
      <c r="F561" s="2" t="inlineStr">
        <is>
          <t>Mohan Lal and Others v. The State of Rajasthan and Another</t>
        </is>
      </c>
      <c r="G561" s="11" t="inlineStr"/>
      <c r="H561" s="11" t="inlineStr">
        <is>
          <t>Supreme Court</t>
        </is>
      </c>
      <c r="I561" s="2" t="inlineStr">
        <is>
          <t>AIR 1974 SC 299; (1974) CriLJ 350; (1974) 3 SCC 628; (1974) SCC(Cri) 118</t>
        </is>
      </c>
      <c r="J561" s="11" t="n">
        <v>1974</v>
      </c>
      <c r="K561" s="2" t="inlineStr">
        <is>
          <t>Sachida Nand Singh and Another v. State of Bihar and Another</t>
        </is>
      </c>
      <c r="L561" s="11" t="inlineStr">
        <is>
          <t>Supreme Court</t>
        </is>
      </c>
      <c r="M561" s="2" t="inlineStr">
        <is>
          <t>(1998) 1 AD 534; AIR 1998 SC 1121; (1998) CriLJ 1565; (1998) 1 Crimes 142; (1998) 1 JT 370; (1998) 1 SCALE 307; (1998) 2 SCC 493(2); (1998) 2 SCC 493; (1998) 1 SCR 492; (1998) AIRSCW 932; (1998) 1 Supreme 419</t>
        </is>
      </c>
      <c r="N561" s="11" t="n">
        <v>1998</v>
      </c>
      <c r="O561" s="11" t="n"/>
      <c r="P561" s="11" t="n"/>
      <c r="Q561" s="11" t="n"/>
      <c r="R561" s="2" t="n"/>
      <c r="S561" s="2" t="n"/>
      <c r="T561" s="11" t="inlineStr"/>
      <c r="U561" s="11" t="inlineStr"/>
      <c r="V561" s="11" t="inlineStr">
        <is>
          <t>outside_list</t>
        </is>
      </c>
      <c r="W561" s="11" t="n"/>
      <c r="X561" s="11" t="n"/>
      <c r="Y561" s="11" t="n"/>
      <c r="Z561" s="11" t="inlineStr">
        <is>
          <t>Mr. Advocate</t>
        </is>
      </c>
      <c r="AA561" s="11" t="inlineStr">
        <is>
          <t>2026-10-07</t>
        </is>
      </c>
      <c r="AB561" s="11" t="inlineStr">
        <is>
          <t>name_year</t>
        </is>
      </c>
      <c r="AC561" s="2" t="inlineStr"/>
      <c r="AD561" s="2" t="inlineStr">
        <is>
          <t>Mohan Lal and Others v. The State of Rajasthan and Another (1974) was overruled by Sachida Nand Singh and Another v. State of Bihar and Another (1998).</t>
        </is>
      </c>
      <c r="AE561" s="2" t="n"/>
      <c r="AF561" s="11" t="inlineStr">
        <is>
          <t>created from list 1</t>
        </is>
      </c>
    </row>
    <row r="562">
      <c r="A562" s="11" t="inlineStr">
        <is>
          <t>L1-0561</t>
        </is>
      </c>
      <c r="B562" s="11" t="inlineStr">
        <is>
          <t>List 1 (to ~2015)</t>
        </is>
      </c>
      <c r="C562" s="11" t="inlineStr">
        <is>
          <t>list1</t>
        </is>
      </c>
      <c r="D562" s="11" t="inlineStr">
        <is>
          <t>verified</t>
        </is>
      </c>
      <c r="E562" s="11" t="inlineStr">
        <is>
          <t>overruled</t>
        </is>
      </c>
      <c r="F562" s="2" t="inlineStr">
        <is>
          <t>Bhag Singh and Others v. Union Territory of Chandigarh through the land acquisition collector, Chandigarh</t>
        </is>
      </c>
      <c r="G562" s="11" t="inlineStr"/>
      <c r="H562" s="11" t="inlineStr">
        <is>
          <t>Supreme Court</t>
        </is>
      </c>
      <c r="I562" s="2" t="inlineStr">
        <is>
          <t>AIR 1985 SC 1576; (1985) 2 SCALE 246; (1985) 3 SCC 737; (1985) 2 SCR 949 Supp; (1985) 17 UJ 910</t>
        </is>
      </c>
      <c r="J562" s="11" t="n">
        <v>1985</v>
      </c>
      <c r="K562" s="2" t="inlineStr">
        <is>
          <t>Krishi Utpadan Mandi Samiti v. Kanhaiya Lal and Others</t>
        </is>
      </c>
      <c r="L562" s="11" t="inlineStr">
        <is>
          <t>Supreme Court</t>
        </is>
      </c>
      <c r="M562" s="2" t="inlineStr">
        <is>
          <t>AIR 2000 SC 3282; (2000) 1 JT 251 Supp; (2000) 6 SCALE 649; (2000) 7 SCC 756; (2000) 3 SCR 531 Supp; (2000) AIRSCW 3575; (2000) 6 Supreme 529</t>
        </is>
      </c>
      <c r="N562" s="11" t="n">
        <v>2000</v>
      </c>
      <c r="O562" s="11" t="n"/>
      <c r="P562" s="11" t="n"/>
      <c r="Q562" s="11" t="n"/>
      <c r="R562" s="2" t="n"/>
      <c r="S562" s="2" t="n"/>
      <c r="T562" s="11" t="inlineStr"/>
      <c r="U562" s="11" t="inlineStr"/>
      <c r="V562" s="11" t="inlineStr">
        <is>
          <t>outside_list</t>
        </is>
      </c>
      <c r="W562" s="11" t="n"/>
      <c r="X562" s="11" t="n"/>
      <c r="Y562" s="11" t="n"/>
      <c r="Z562" s="11" t="inlineStr">
        <is>
          <t>Mr. Advocate</t>
        </is>
      </c>
      <c r="AA562" s="11" t="inlineStr">
        <is>
          <t>2026-10-07</t>
        </is>
      </c>
      <c r="AB562" s="11" t="inlineStr">
        <is>
          <t>name_year</t>
        </is>
      </c>
      <c r="AC562" s="2" t="inlineStr">
        <is>
          <t>L1-0302: overruled by The Land Acquisition Officer-cum- DSWO, Andhra Pradesh v. B.V. Reddy and Sons (2002)</t>
        </is>
      </c>
      <c r="AD562" s="2" t="inlineStr">
        <is>
          <t>Bhag Singh and Others v. Union Territory of Chandigarh through the land acquisition collector, Chandigarh (1985) was overruled by Krishi Utpadan Mandi Samiti v. Kanhaiya Lal and Others (2000). Note: Krishi Utpadan Mandi Samiti v. Kanhaiya Lal and Others was itself later overruled by The Land Acquisition Officer-cum- DSWO, Andhra Pradesh v. B.V. Reddy and Sons (2002); the current position should be checked.</t>
        </is>
      </c>
      <c r="AE562" s="2" t="n"/>
      <c r="AF562" s="11" t="inlineStr">
        <is>
          <t>created from list 1</t>
        </is>
      </c>
    </row>
    <row r="563">
      <c r="A563" s="11" t="inlineStr">
        <is>
          <t>L1-0562</t>
        </is>
      </c>
      <c r="B563" s="11" t="inlineStr">
        <is>
          <t>List 1 (to ~2015)</t>
        </is>
      </c>
      <c r="C563" s="11" t="inlineStr">
        <is>
          <t>list1</t>
        </is>
      </c>
      <c r="D563" s="11" t="inlineStr">
        <is>
          <t>verified</t>
        </is>
      </c>
      <c r="E563" s="11" t="inlineStr">
        <is>
          <t>overruled</t>
        </is>
      </c>
      <c r="F563" s="2" t="inlineStr">
        <is>
          <t>Thacker Hariram Motiram v. Balkrishan Chatrabhu Thacker and Others</t>
        </is>
      </c>
      <c r="G563" s="11" t="inlineStr"/>
      <c r="H563" s="11" t="inlineStr">
        <is>
          <t>Supreme Court</t>
        </is>
      </c>
      <c r="I563" s="2" t="inlineStr">
        <is>
          <t>(1988) 3 JT 18; (1989) 2 SCC 655 Supp</t>
        </is>
      </c>
      <c r="J563" s="11" t="n">
        <v>1988</v>
      </c>
      <c r="K563" s="2" t="inlineStr">
        <is>
          <t>P.R. Deshpande v. Maruti Balaram Haibatti</t>
        </is>
      </c>
      <c r="L563" s="11" t="inlineStr">
        <is>
          <t>Supreme Court</t>
        </is>
      </c>
      <c r="M563" s="2" t="inlineStr">
        <is>
          <t>(1998) 6 AD 325; AIR 1998 SC 2979; (1998) 5 JT 390; (1999) 121 PLR 421; (1998) 4 SCALE 426; (1998) 6 SCC 507; (1998) 3 SCR 1079; (1998) AIRSCW 2830; (1998) 6 Supreme 303</t>
        </is>
      </c>
      <c r="N563" s="11" t="n">
        <v>1998</v>
      </c>
      <c r="O563" s="11" t="n"/>
      <c r="P563" s="11" t="n"/>
      <c r="Q563" s="11" t="n"/>
      <c r="R563" s="2" t="n"/>
      <c r="S563" s="2" t="n"/>
      <c r="T563" s="11" t="inlineStr"/>
      <c r="U563" s="11" t="inlineStr"/>
      <c r="V563" s="11" t="inlineStr">
        <is>
          <t>outside_list</t>
        </is>
      </c>
      <c r="W563" s="11" t="n"/>
      <c r="X563" s="11" t="n"/>
      <c r="Y563" s="11" t="n"/>
      <c r="Z563" s="11" t="inlineStr">
        <is>
          <t>Mr. Advocate</t>
        </is>
      </c>
      <c r="AA563" s="11" t="inlineStr">
        <is>
          <t>2026-10-07</t>
        </is>
      </c>
      <c r="AB563" s="11" t="inlineStr">
        <is>
          <t>name_year</t>
        </is>
      </c>
      <c r="AC563" s="2" t="inlineStr"/>
      <c r="AD563" s="2" t="inlineStr">
        <is>
          <t>Thacker Hariram Motiram v. Balkrishan Chatrabhu Thacker and Others (1988) was overruled by P.R. Deshpande v. Maruti Balaram Haibatti (1998).</t>
        </is>
      </c>
      <c r="AE563" s="2" t="n"/>
      <c r="AF563" s="11" t="inlineStr">
        <is>
          <t>created from list 1</t>
        </is>
      </c>
    </row>
    <row r="564">
      <c r="A564" s="11" t="inlineStr">
        <is>
          <t>L1-0563</t>
        </is>
      </c>
      <c r="B564" s="11" t="inlineStr">
        <is>
          <t>List 1 (to ~2015)</t>
        </is>
      </c>
      <c r="C564" s="11" t="inlineStr">
        <is>
          <t>list1</t>
        </is>
      </c>
      <c r="D564" s="11" t="inlineStr">
        <is>
          <t>verified</t>
        </is>
      </c>
      <c r="E564" s="11" t="inlineStr">
        <is>
          <t>overruled</t>
        </is>
      </c>
      <c r="F564" s="2" t="inlineStr">
        <is>
          <t>State of Punjab v. Mohinder Singh and Another</t>
        </is>
      </c>
      <c r="G564" s="11" t="inlineStr"/>
      <c r="H564" s="11" t="inlineStr">
        <is>
          <t>Supreme Court</t>
        </is>
      </c>
      <c r="I564" s="2" t="inlineStr">
        <is>
          <t>AIR 1987 SC 758; (1985) 1 SCALE 1319; (1986) 1 SCC 365</t>
        </is>
      </c>
      <c r="J564" s="11" t="n">
        <v>1987</v>
      </c>
      <c r="K564" s="2" t="inlineStr">
        <is>
          <t>Union of India (UOI) and Another v. Raghubir Singh (Dead) by Lrs. Etc.</t>
        </is>
      </c>
      <c r="L564" s="11" t="inlineStr">
        <is>
          <t>Supreme Court</t>
        </is>
      </c>
      <c r="M564" s="2" t="inlineStr">
        <is>
          <t>AIR 1989 SC 1933; (1989) 66 CompCas 466; (1989) 178 ITR 548; (1989) 2 JT 427; (1989) 1 SCALE 1337; (1989) 2 SCC 754; (1989) 3 SCR 316; (1989) 74 STC 313</t>
        </is>
      </c>
      <c r="N564" s="11" t="n">
        <v>1989</v>
      </c>
      <c r="O564" s="11" t="n"/>
      <c r="P564" s="11" t="n"/>
      <c r="Q564" s="11" t="n"/>
      <c r="R564" s="2" t="n"/>
      <c r="S564" s="2" t="n"/>
      <c r="T564" s="11" t="inlineStr"/>
      <c r="U564" s="11" t="inlineStr"/>
      <c r="V564" s="11" t="inlineStr">
        <is>
          <t>outside_list</t>
        </is>
      </c>
      <c r="W564" s="11" t="n"/>
      <c r="X564" s="11" t="n"/>
      <c r="Y564" s="11" t="n"/>
      <c r="Z564" s="11" t="inlineStr">
        <is>
          <t>Mr. Advocate</t>
        </is>
      </c>
      <c r="AA564" s="11" t="inlineStr">
        <is>
          <t>2026-10-07</t>
        </is>
      </c>
      <c r="AB564" s="11" t="inlineStr">
        <is>
          <t>name_year</t>
        </is>
      </c>
      <c r="AC564" s="2" t="inlineStr"/>
      <c r="AD564" s="2" t="inlineStr">
        <is>
          <t>State of Punjab v. Mohinder Singh and Another (1987) was overruled by Union of India (UOI) and Another v. Raghubir Singh (Dead) by Lrs. Etc. (1989).</t>
        </is>
      </c>
      <c r="AE564" s="2" t="n"/>
      <c r="AF564" s="11" t="inlineStr">
        <is>
          <t>created from list 1</t>
        </is>
      </c>
    </row>
    <row r="565">
      <c r="A565" s="11" t="inlineStr">
        <is>
          <t>L1-0564</t>
        </is>
      </c>
      <c r="B565" s="11" t="inlineStr">
        <is>
          <t>List 1 (to ~2015)</t>
        </is>
      </c>
      <c r="C565" s="11" t="inlineStr">
        <is>
          <t>list1</t>
        </is>
      </c>
      <c r="D565" s="11" t="inlineStr">
        <is>
          <t>verified</t>
        </is>
      </c>
      <c r="E565" s="11" t="inlineStr">
        <is>
          <t>overruled</t>
        </is>
      </c>
      <c r="F565" s="2" t="inlineStr">
        <is>
          <t>Superintending Engineer and Others v. B. Subba Reddy</t>
        </is>
      </c>
      <c r="G565" s="11" t="inlineStr"/>
      <c r="H565" s="11" t="inlineStr">
        <is>
          <t>Supreme Court</t>
        </is>
      </c>
      <c r="I565" s="2" t="inlineStr">
        <is>
          <t>AIR 1999 SC 1747; (1999) 2 ARBLR 304; (1999) 2 CTC 507; (1999) 3 JT 311; (1999) 122 PLR 585; (1999) 3 SCALE 55; (1999) 4 SCC 423; (1999) 2 SCR 880; (1999) 2 UJ 881; (1999) AIRSCW 1479; (1999) 4 Supreme 386</t>
        </is>
      </c>
      <c r="J565" s="11" t="n">
        <v>1999</v>
      </c>
      <c r="K565" s="2" t="inlineStr">
        <is>
          <t>Municipal Corporation of Delhi and Others v. Intnl. Security and Intelligence Agency Ltd.</t>
        </is>
      </c>
      <c r="L565" s="11" t="inlineStr">
        <is>
          <t>Supreme Court</t>
        </is>
      </c>
      <c r="M565" s="2" t="inlineStr">
        <is>
          <t>AIR 2003 SC 1515; (2003) 1 ARBLR 432; (2003) 2 JT 103; (2003) 1 SCALE 771; (2004) 3 SCC 250; (2003) 1 SCR 951; (2003) 1 UJ 562; (2003) AIRSCW 870; (2003) 1 Supreme 923</t>
        </is>
      </c>
      <c r="N565" s="11" t="n">
        <v>2003</v>
      </c>
      <c r="O565" s="11" t="n"/>
      <c r="P565" s="11" t="n"/>
      <c r="Q565" s="11" t="n"/>
      <c r="R565" s="2" t="n"/>
      <c r="S565" s="2" t="n"/>
      <c r="T565" s="11" t="inlineStr"/>
      <c r="U565" s="11" t="inlineStr"/>
      <c r="V565" s="11" t="inlineStr">
        <is>
          <t>outside_list</t>
        </is>
      </c>
      <c r="W565" s="11" t="n"/>
      <c r="X565" s="11" t="n"/>
      <c r="Y565" s="11" t="n"/>
      <c r="Z565" s="11" t="inlineStr">
        <is>
          <t>Mr. Advocate</t>
        </is>
      </c>
      <c r="AA565" s="11" t="inlineStr">
        <is>
          <t>2026-10-07</t>
        </is>
      </c>
      <c r="AB565" s="11" t="inlineStr">
        <is>
          <t>name_year</t>
        </is>
      </c>
      <c r="AC565" s="2" t="inlineStr"/>
      <c r="AD565" s="2" t="inlineStr">
        <is>
          <t>Superintending Engineer and Others v. B. Subba Reddy (1999) was overruled by Municipal Corporation of Delhi and Others v. Intnl. Security and Intelligence Agency Ltd. (2003).</t>
        </is>
      </c>
      <c r="AE565" s="2" t="n"/>
      <c r="AF565" s="11" t="inlineStr">
        <is>
          <t>created from list 1</t>
        </is>
      </c>
    </row>
    <row r="566">
      <c r="A566" s="11" t="inlineStr">
        <is>
          <t>L1-0565</t>
        </is>
      </c>
      <c r="B566" s="11" t="inlineStr">
        <is>
          <t>List 1 (to ~2015)</t>
        </is>
      </c>
      <c r="C566" s="11" t="inlineStr">
        <is>
          <t>list1</t>
        </is>
      </c>
      <c r="D566" s="11" t="inlineStr">
        <is>
          <t>verified</t>
        </is>
      </c>
      <c r="E566" s="11" t="inlineStr">
        <is>
          <t>overruled</t>
        </is>
      </c>
      <c r="F566" s="2" t="inlineStr">
        <is>
          <t>Konkan Railway Corpn. Ltd. and Others v. M/s. Mehul Construction Co.</t>
        </is>
      </c>
      <c r="G566" s="11" t="inlineStr"/>
      <c r="H566" s="11" t="inlineStr">
        <is>
          <t>Supreme Court</t>
        </is>
      </c>
      <c r="I566" s="2" t="inlineStr">
        <is>
          <t>AIR 2000 SC 2821; (2000) 3 CTC 686; (2000) 9 JT 362; (2000) 6 SCALE 71; (2000) 7 SCC 201; (2000) 2 SCR 563 Supp; (2000) 2 UJ 1437; (2000) AIRSCW 2960; (2000) 5 Supreme 657</t>
        </is>
      </c>
      <c r="J566" s="11" t="n">
        <v>2000</v>
      </c>
      <c r="K566" s="2" t="inlineStr">
        <is>
          <t>S.B.P. and Co. v. Patel Engineering Ltd. and Another</t>
        </is>
      </c>
      <c r="L566" s="11" t="inlineStr">
        <is>
          <t>Supreme Court</t>
        </is>
      </c>
      <c r="M566" s="2" t="inlineStr">
        <is>
          <t>AIR 2006 SC 450; (2005) 3 ARBLR 285; (2005) 128 CompCas 465; (2006) 2 CompLJ 7; (2005) 5 CTC 302; (2005) 9 JT 219; (2005) 9 SCALE 1; (2005) 8 SCC 618; (2006) 1 UJ 156; (2005) AIRSCW 5932; (2005) 7 Supreme 610</t>
        </is>
      </c>
      <c r="N566" s="11" t="n">
        <v>2006</v>
      </c>
      <c r="O566" s="11" t="n"/>
      <c r="P566" s="11" t="n"/>
      <c r="Q566" s="11" t="n"/>
      <c r="R566" s="2" t="n"/>
      <c r="S566" s="2" t="n"/>
      <c r="T566" s="11" t="inlineStr"/>
      <c r="U566" s="11" t="inlineStr"/>
      <c r="V566" s="11" t="inlineStr">
        <is>
          <t>outside_list</t>
        </is>
      </c>
      <c r="W566" s="11" t="n"/>
      <c r="X566" s="11" t="n"/>
      <c r="Y566" s="11" t="n"/>
      <c r="Z566" s="11" t="inlineStr">
        <is>
          <t>Mr. Advocate</t>
        </is>
      </c>
      <c r="AA566" s="11" t="inlineStr">
        <is>
          <t>2026-10-07</t>
        </is>
      </c>
      <c r="AB566" s="11" t="inlineStr">
        <is>
          <t>name_year</t>
        </is>
      </c>
      <c r="AC566" s="2" t="inlineStr"/>
      <c r="AD566" s="2" t="inlineStr">
        <is>
          <t>Konkan Railway Corpn. Ltd. and Others v. M/s. Mehul Construction Co. (2000) was overruled by S.B.P. and Co. v. Patel Engineering Ltd. and Another (2006).</t>
        </is>
      </c>
      <c r="AE566" s="2" t="n"/>
      <c r="AF566" s="11" t="inlineStr">
        <is>
          <t>created from list 1</t>
        </is>
      </c>
    </row>
    <row r="567">
      <c r="A567" s="11" t="inlineStr">
        <is>
          <t>L1-0566</t>
        </is>
      </c>
      <c r="B567" s="11" t="inlineStr">
        <is>
          <t>List 1 (to ~2015)</t>
        </is>
      </c>
      <c r="C567" s="11" t="inlineStr">
        <is>
          <t>list1</t>
        </is>
      </c>
      <c r="D567" s="11" t="inlineStr">
        <is>
          <t>verified</t>
        </is>
      </c>
      <c r="E567" s="11" t="inlineStr">
        <is>
          <t>overruled</t>
        </is>
      </c>
      <c r="F567" s="2" t="inlineStr">
        <is>
          <t>Secretary, Irrigation Department, Government of Orissa and others v. G.C. Roy</t>
        </is>
      </c>
      <c r="G567" s="11" t="inlineStr"/>
      <c r="H567" s="11" t="inlineStr">
        <is>
          <t>Supreme Court</t>
        </is>
      </c>
      <c r="I567" s="2" t="inlineStr">
        <is>
          <t>AIR 1992 SC 732; (1992) 1 ARBLR 145; (1991) 6 JT 349; (1991) 2 SCALE 1369; (1992) 1 SCC 508; (1991) 3 SCR 417 Supp; (1991) 3 SCR 417; (1992) 1 UJ 276</t>
        </is>
      </c>
      <c r="J567" s="11" t="n">
        <v>1992</v>
      </c>
      <c r="K567" s="2" t="inlineStr">
        <is>
          <t>Executive Engineer, Dhenkanal Minor Irrigation Division, Orissa, v. N.C. Budharaj (Dead) by Lrs. etc.</t>
        </is>
      </c>
      <c r="L567" s="11" t="inlineStr">
        <is>
          <t>Supreme Court</t>
        </is>
      </c>
      <c r="M567" s="2" t="inlineStr">
        <is>
          <t>AIR 2001 SC 626; (2001) 91 CLT 754; (2001) 1 JT 486; (2001) 1 SCALE 109; (1999) 9 SCC 514; (2001) 1 SCR 264</t>
        </is>
      </c>
      <c r="N567" s="11" t="n">
        <v>2001</v>
      </c>
      <c r="O567" s="11" t="n"/>
      <c r="P567" s="11" t="n"/>
      <c r="Q567" s="11" t="n"/>
      <c r="R567" s="2" t="n"/>
      <c r="S567" s="2" t="n"/>
      <c r="T567" s="11" t="inlineStr"/>
      <c r="U567" s="11" t="inlineStr"/>
      <c r="V567" s="11" t="inlineStr">
        <is>
          <t>outside_list</t>
        </is>
      </c>
      <c r="W567" s="11" t="n"/>
      <c r="X567" s="11" t="n"/>
      <c r="Y567" s="11" t="n"/>
      <c r="Z567" s="11" t="inlineStr">
        <is>
          <t>Mr. Advocate</t>
        </is>
      </c>
      <c r="AA567" s="11" t="inlineStr">
        <is>
          <t>2026-10-07</t>
        </is>
      </c>
      <c r="AB567" s="11" t="inlineStr">
        <is>
          <t>name_year</t>
        </is>
      </c>
      <c r="AC567" s="2" t="inlineStr"/>
      <c r="AD567" s="2" t="inlineStr">
        <is>
          <t>Secretary, Irrigation Department, Government of Orissa and others v. G.C. Roy (1992) was overruled by Executive Engineer, Dhenkanal Minor Irrigation Division, Orissa, v. N.C. Budharaj (Dead) by Lrs. etc. (2001).</t>
        </is>
      </c>
      <c r="AE567" s="2" t="n"/>
      <c r="AF567" s="11" t="inlineStr">
        <is>
          <t>created from list 1</t>
        </is>
      </c>
    </row>
    <row r="568">
      <c r="A568" s="11" t="inlineStr">
        <is>
          <t>L1-0567</t>
        </is>
      </c>
      <c r="B568" s="11" t="inlineStr">
        <is>
          <t>List 1 (to ~2015)</t>
        </is>
      </c>
      <c r="C568" s="11" t="inlineStr">
        <is>
          <t>list1</t>
        </is>
      </c>
      <c r="D568" s="11" t="inlineStr">
        <is>
          <t>verified</t>
        </is>
      </c>
      <c r="E568" s="11" t="inlineStr">
        <is>
          <t>overruled</t>
        </is>
      </c>
      <c r="F568" s="2" t="inlineStr">
        <is>
          <t>University of Delhi and Another v. Ram Nath</t>
        </is>
      </c>
      <c r="G568" s="11" t="inlineStr"/>
      <c r="H568" s="11" t="inlineStr">
        <is>
          <t>Supreme Court</t>
        </is>
      </c>
      <c r="I568" s="2" t="inlineStr">
        <is>
          <t>AIR 1963 SC 1873; (1963) 7 FLR 177; (1963) 2 LLJ 335; (1964) 2 SCR 703</t>
        </is>
      </c>
      <c r="J568" s="11" t="n">
        <v>1963</v>
      </c>
      <c r="K568" s="2" t="inlineStr">
        <is>
          <t>General Manager, Telecom v. A. Srinivasa Rao and Others</t>
        </is>
      </c>
      <c r="L568" s="11" t="inlineStr">
        <is>
          <t>Supreme Court</t>
        </is>
      </c>
      <c r="M568" s="2" t="inlineStr">
        <is>
          <t>AIR 1998 SC 656; (1997) 9 JT 234; (1997) 7 SCALE 99; (1997) 8 SCC 767; (1998) SCC(L&amp;S) 6; (1997) 5 SCR 212 Supp; (1998) 1 UJ 142; (1998) AIRSCW 270; (1997) 9 Supreme 469</t>
        </is>
      </c>
      <c r="N568" s="11" t="n">
        <v>1998</v>
      </c>
      <c r="O568" s="11" t="n"/>
      <c r="P568" s="11" t="n"/>
      <c r="Q568" s="11" t="n"/>
      <c r="R568" s="2" t="n"/>
      <c r="S568" s="2" t="n"/>
      <c r="T568" s="11" t="inlineStr"/>
      <c r="U568" s="11" t="inlineStr"/>
      <c r="V568" s="11" t="inlineStr">
        <is>
          <t>outside_list</t>
        </is>
      </c>
      <c r="W568" s="11" t="n"/>
      <c r="X568" s="11" t="n"/>
      <c r="Y568" s="11" t="n"/>
      <c r="Z568" s="11" t="inlineStr">
        <is>
          <t>Mr. Advocate</t>
        </is>
      </c>
      <c r="AA568" s="11" t="inlineStr">
        <is>
          <t>2026-10-07</t>
        </is>
      </c>
      <c r="AB568" s="11" t="inlineStr">
        <is>
          <t>name_year</t>
        </is>
      </c>
      <c r="AC568" s="2" t="inlineStr"/>
      <c r="AD568" s="2" t="inlineStr">
        <is>
          <t>University of Delhi and Another v. Ram Nath (1963) was overruled by General Manager, Telecom v. A. Srinivasa Rao and Others (1998).</t>
        </is>
      </c>
      <c r="AE568" s="2" t="n"/>
      <c r="AF568" s="11" t="inlineStr">
        <is>
          <t>created from list 1</t>
        </is>
      </c>
    </row>
    <row r="569">
      <c r="A569" s="11" t="inlineStr">
        <is>
          <t>L1-0568</t>
        </is>
      </c>
      <c r="B569" s="11" t="inlineStr">
        <is>
          <t>List 1 (to ~2015)</t>
        </is>
      </c>
      <c r="C569" s="11" t="inlineStr">
        <is>
          <t>list1</t>
        </is>
      </c>
      <c r="D569" s="11" t="inlineStr">
        <is>
          <t>verified</t>
        </is>
      </c>
      <c r="E569" s="11" t="inlineStr">
        <is>
          <t>overruled</t>
        </is>
      </c>
      <c r="F569" s="2" t="inlineStr">
        <is>
          <t>Raghunath and Others v. State of U.P. and Others</t>
        </is>
      </c>
      <c r="G569" s="11" t="inlineStr"/>
      <c r="H569" s="11" t="inlineStr">
        <is>
          <t>Supreme Court</t>
        </is>
      </c>
      <c r="I569" s="2" t="inlineStr">
        <is>
          <t>AIR 1973 SC 1100; (1973) 1 SCC 564; (1973) SCC(Cri) 448</t>
        </is>
      </c>
      <c r="J569" s="11" t="n">
        <v>1973</v>
      </c>
      <c r="K569" s="2" t="inlineStr">
        <is>
          <t>Rashiklal and Co. v. Commissioner of Income Tax, Orissa</t>
        </is>
      </c>
      <c r="L569" s="11" t="inlineStr">
        <is>
          <t>Supreme Court</t>
        </is>
      </c>
      <c r="M569" s="2" t="inlineStr">
        <is>
          <t>AIR 1997 SC 4389; (1998) 229 ITR 458; (1997) 10 JT 1; (1997) 7 SCALE 568; (1998) 2 SCC 49; (1997) 6 SCR 331 Supp</t>
        </is>
      </c>
      <c r="N569" s="11" t="n">
        <v>1997</v>
      </c>
      <c r="O569" s="11" t="n"/>
      <c r="P569" s="11" t="n"/>
      <c r="Q569" s="11" t="n"/>
      <c r="R569" s="2" t="n"/>
      <c r="S569" s="2" t="n"/>
      <c r="T569" s="11" t="inlineStr"/>
      <c r="U569" s="11" t="inlineStr"/>
      <c r="V569" s="11" t="inlineStr">
        <is>
          <t>outside_list</t>
        </is>
      </c>
      <c r="W569" s="11" t="n"/>
      <c r="X569" s="11" t="n"/>
      <c r="Y569" s="11" t="n"/>
      <c r="Z569" s="11" t="inlineStr">
        <is>
          <t>Mr. Advocate</t>
        </is>
      </c>
      <c r="AA569" s="11" t="inlineStr">
        <is>
          <t>2026-10-07</t>
        </is>
      </c>
      <c r="AB569" s="11" t="inlineStr">
        <is>
          <t>citation</t>
        </is>
      </c>
      <c r="AC569" s="2" t="inlineStr"/>
      <c r="AD569" s="2" t="inlineStr">
        <is>
          <t>Raghunath and Others v. State of U.P. and Others (1973) was overruled by Rashiklal and Co. v. Commissioner of Income Tax, Orissa (1997).</t>
        </is>
      </c>
      <c r="AE569" s="2" t="n"/>
      <c r="AF569" s="11" t="inlineStr">
        <is>
          <t>created from list 1</t>
        </is>
      </c>
    </row>
    <row r="570">
      <c r="A570" s="11" t="inlineStr">
        <is>
          <t>L1-0569</t>
        </is>
      </c>
      <c r="B570" s="11" t="inlineStr">
        <is>
          <t>List 1 (to ~2015)</t>
        </is>
      </c>
      <c r="C570" s="11" t="inlineStr">
        <is>
          <t>list1</t>
        </is>
      </c>
      <c r="D570" s="11" t="inlineStr">
        <is>
          <t>verified</t>
        </is>
      </c>
      <c r="E570" s="11" t="inlineStr">
        <is>
          <t>overruled</t>
        </is>
      </c>
      <c r="F570" s="2" t="inlineStr">
        <is>
          <t>M/s. Hindustan Aeronautics Ltd., Bangalore v. Commissioner of Income Tax, Karnataka- I, Bangalore</t>
        </is>
      </c>
      <c r="G570" s="11" t="inlineStr"/>
      <c r="H570" s="11" t="inlineStr">
        <is>
          <t>Supreme Court</t>
        </is>
      </c>
      <c r="I570" s="2" t="inlineStr">
        <is>
          <t>AIR 2000 SC 2178; (2000) 119 ELT 513; (2000) 243 ITR 808; (2000) 7 JT 82; (2000) 4 SCALE 690; (2000) 5 SCC 365; (2000) 1 SCR 230 Supp; (2000) AIRSCW 4468; (2000) AIRSCW 2285; (2000) 4 Supreme 183; (2000) 7 Supreme 693</t>
        </is>
      </c>
      <c r="J570" s="11" t="n">
        <v>2000</v>
      </c>
      <c r="K570" s="2" t="inlineStr">
        <is>
          <t>Commissioner of Customs, Calcutta v. Indian Oil Corporation Ltd. and Another</t>
        </is>
      </c>
      <c r="L570" s="11" t="inlineStr">
        <is>
          <t>unknown</t>
        </is>
      </c>
      <c r="M570" s="2" t="inlineStr">
        <is>
          <t>(2004) 187 CTR 297; (2004) 92 ECC 161; (2004) 165 ELT 257; (2004) 267 ITR 272; (2004) 2 SCALE 569; (2004) 3 SCC 488; (2004) 2 SCR 511; (2006) 144 STC 146; (2004) AIRSCW 5169; (2004) AIRSCW 1310; (2004) 6 Supreme 479</t>
        </is>
      </c>
      <c r="N570" s="11" t="n">
        <v>2004</v>
      </c>
      <c r="O570" s="11" t="n"/>
      <c r="P570" s="11" t="n"/>
      <c r="Q570" s="11" t="n"/>
      <c r="R570" s="2" t="n"/>
      <c r="S570" s="2" t="n"/>
      <c r="T570" s="11" t="inlineStr"/>
      <c r="U570" s="11" t="inlineStr"/>
      <c r="V570" s="11" t="inlineStr">
        <is>
          <t>outside_list</t>
        </is>
      </c>
      <c r="W570" s="11" t="n"/>
      <c r="X570" s="11" t="n"/>
      <c r="Y570" s="11" t="n"/>
      <c r="Z570" s="11" t="inlineStr">
        <is>
          <t>Mr. Advocate</t>
        </is>
      </c>
      <c r="AA570" s="11" t="inlineStr">
        <is>
          <t>2026-10-07</t>
        </is>
      </c>
      <c r="AB570" s="11" t="inlineStr">
        <is>
          <t>name_year</t>
        </is>
      </c>
      <c r="AC570" s="2" t="inlineStr"/>
      <c r="AD570" s="2" t="inlineStr">
        <is>
          <t>M/s. Hindustan Aeronautics Ltd., Bangalore v. Commissioner of Income Tax, Karnataka- I, Bangalore (2000) was overruled by Commissioner of Customs, Calcutta v. Indian Oil Corporation Ltd. and Another (2004).</t>
        </is>
      </c>
      <c r="AE570" s="2" t="n"/>
      <c r="AF570" s="11" t="inlineStr">
        <is>
          <t>created from list 1</t>
        </is>
      </c>
    </row>
    <row r="571">
      <c r="A571" s="11" t="inlineStr">
        <is>
          <t>L1-0570</t>
        </is>
      </c>
      <c r="B571" s="11" t="inlineStr">
        <is>
          <t>List 1 (to ~2015)</t>
        </is>
      </c>
      <c r="C571" s="11" t="inlineStr">
        <is>
          <t>list1</t>
        </is>
      </c>
      <c r="D571" s="11" t="inlineStr">
        <is>
          <t>verified</t>
        </is>
      </c>
      <c r="E571" s="11" t="inlineStr">
        <is>
          <t>overruled</t>
        </is>
      </c>
      <c r="F571" s="2" t="inlineStr">
        <is>
          <t>Sterling Foods, A Partnership Firm represented by its Partner Shri Ramesh Dalpatram v. State of Karnataka and Another</t>
        </is>
      </c>
      <c r="G571" s="11" t="inlineStr"/>
      <c r="H571" s="11" t="inlineStr">
        <is>
          <t>Supreme Court</t>
        </is>
      </c>
      <c r="I571" s="2" t="inlineStr">
        <is>
          <t>AIR 1986 SC 1809; (1987) 11 ECC 89; (1986) 26 ELT 3; (1986) JT 155; (1986) 2 SCALE 106; (1986) 3 SCC 469; (1986) 3 SCR 367; (1986) 63 STC 239; (1986) 2 UJ 545</t>
        </is>
      </c>
      <c r="J571" s="11" t="n">
        <v>1986</v>
      </c>
      <c r="K571" s="2" t="inlineStr">
        <is>
          <t>State of Karnataka v. Azad Coach Builders Pvt. Ltd.</t>
        </is>
      </c>
      <c r="L571" s="11" t="inlineStr">
        <is>
          <t>Supreme Court</t>
        </is>
      </c>
      <c r="M571" s="2" t="inlineStr">
        <is>
          <t>(2006) 196 ELT 135; (2006) 2 JT 599; (2006) 2 SCALE 487; (2006) 3 SCC 338; (2006) 145 STC 176</t>
        </is>
      </c>
      <c r="N571" s="11" t="n">
        <v>2006</v>
      </c>
      <c r="O571" s="11" t="n"/>
      <c r="P571" s="11" t="n"/>
      <c r="Q571" s="11" t="n"/>
      <c r="R571" s="2" t="n"/>
      <c r="S571" s="2" t="n"/>
      <c r="T571" s="11" t="inlineStr"/>
      <c r="U571" s="11" t="inlineStr"/>
      <c r="V571" s="11" t="inlineStr">
        <is>
          <t>outside_list</t>
        </is>
      </c>
      <c r="W571" s="11" t="n"/>
      <c r="X571" s="11" t="n"/>
      <c r="Y571" s="11" t="n"/>
      <c r="Z571" s="11" t="inlineStr">
        <is>
          <t>Mr. Advocate</t>
        </is>
      </c>
      <c r="AA571" s="11" t="inlineStr">
        <is>
          <t>2026-10-07</t>
        </is>
      </c>
      <c r="AB571" s="11" t="inlineStr">
        <is>
          <t>name_year</t>
        </is>
      </c>
      <c r="AC571" s="2" t="inlineStr"/>
      <c r="AD571" s="2" t="inlineStr">
        <is>
          <t>Sterling Foods, A Partnership Firm represented by its Partner Shri Ramesh Dalpatram v. State of Karnataka and Another (1986) was overruled by State of Karnataka v. Azad Coach Builders Pvt. Ltd. (2006).</t>
        </is>
      </c>
      <c r="AE571" s="2" t="n"/>
      <c r="AF571" s="11" t="inlineStr">
        <is>
          <t>created from list 1</t>
        </is>
      </c>
    </row>
    <row r="572">
      <c r="A572" s="11" t="inlineStr">
        <is>
          <t>L1-0571</t>
        </is>
      </c>
      <c r="B572" s="11" t="inlineStr">
        <is>
          <t>List 1 (to ~2015)</t>
        </is>
      </c>
      <c r="C572" s="11" t="inlineStr">
        <is>
          <t>list1</t>
        </is>
      </c>
      <c r="D572" s="11" t="inlineStr">
        <is>
          <t>verified</t>
        </is>
      </c>
      <c r="E572" s="11" t="inlineStr">
        <is>
          <t>overruled</t>
        </is>
      </c>
      <c r="F572" s="2" t="inlineStr">
        <is>
          <t>B. Banerjee v. Smt. Anita Pan</t>
        </is>
      </c>
      <c r="G572" s="11" t="inlineStr"/>
      <c r="H572" s="11" t="inlineStr">
        <is>
          <t>Supreme Court</t>
        </is>
      </c>
      <c r="I572" s="2" t="inlineStr">
        <is>
          <t>AIR 1975 SC 1146; (1975) 1 SCC 166; (1975) 2 SCR 774</t>
        </is>
      </c>
      <c r="J572" s="11" t="n">
        <v>1975</v>
      </c>
      <c r="K572" s="2" t="inlineStr">
        <is>
          <t>Deena alias Deen Dayal and Others v. Union of India (UOI) and Others</t>
        </is>
      </c>
      <c r="L572" s="11" t="inlineStr">
        <is>
          <t>Supreme Court</t>
        </is>
      </c>
      <c r="M572" s="2" t="inlineStr">
        <is>
          <t>AIR 1983 SC 1155; (1983) CriLJ 1602; (1983) 2 Crimes 770; (1983) 2 SCALE 340; (1983) 4 SCC 645; (1984) 1 SCR 1</t>
        </is>
      </c>
      <c r="N572" s="11" t="n">
        <v>1983</v>
      </c>
      <c r="O572" s="11" t="n"/>
      <c r="P572" s="11" t="n"/>
      <c r="Q572" s="11" t="n"/>
      <c r="R572" s="2" t="n"/>
      <c r="S572" s="2" t="n"/>
      <c r="T572" s="11" t="inlineStr"/>
      <c r="U572" s="11" t="inlineStr"/>
      <c r="V572" s="11" t="inlineStr">
        <is>
          <t>outside_list</t>
        </is>
      </c>
      <c r="W572" s="11" t="n"/>
      <c r="X572" s="11" t="n"/>
      <c r="Y572" s="11" t="n"/>
      <c r="Z572" s="11" t="inlineStr">
        <is>
          <t>Mr. Advocate</t>
        </is>
      </c>
      <c r="AA572" s="11" t="inlineStr">
        <is>
          <t>2026-10-07</t>
        </is>
      </c>
      <c r="AB572" s="11" t="inlineStr">
        <is>
          <t>name_year</t>
        </is>
      </c>
      <c r="AC572" s="2" t="inlineStr"/>
      <c r="AD572" s="2" t="inlineStr">
        <is>
          <t>B. Banerjee v. Smt. Anita Pan (1975) was overruled by Deena alias Deen Dayal and Others v. Union of India (UOI) and Others (1983).</t>
        </is>
      </c>
      <c r="AE572" s="2" t="n"/>
      <c r="AF572" s="11" t="inlineStr">
        <is>
          <t>created from list 1</t>
        </is>
      </c>
    </row>
    <row r="573">
      <c r="A573" s="11" t="inlineStr">
        <is>
          <t>L1-0572</t>
        </is>
      </c>
      <c r="B573" s="11" t="inlineStr">
        <is>
          <t>List 1 (to ~2015)</t>
        </is>
      </c>
      <c r="C573" s="11" t="inlineStr">
        <is>
          <t>list1</t>
        </is>
      </c>
      <c r="D573" s="11" t="inlineStr">
        <is>
          <t>verified</t>
        </is>
      </c>
      <c r="E573" s="11" t="inlineStr">
        <is>
          <t>overruled</t>
        </is>
      </c>
      <c r="F573" s="2" t="inlineStr">
        <is>
          <t>State of Rajasthan v. M.C. Saxena</t>
        </is>
      </c>
      <c r="G573" s="11" t="inlineStr"/>
      <c r="H573" s="11" t="inlineStr">
        <is>
          <t>Supreme Court</t>
        </is>
      </c>
      <c r="I573" s="2" t="inlineStr">
        <is>
          <t>AIR 1998 SC 1150; (1998) 79 FLR 140; (1998) 2 JT 103; (1998) 2 SCALE 26; (1998) 3 SCC 385; (1998) 1 SCR 1090; (1998) AIRSCW 965; (1998) 2 Supreme 174</t>
        </is>
      </c>
      <c r="J573" s="11" t="n">
        <v>1998</v>
      </c>
      <c r="K573" s="2" t="inlineStr">
        <is>
          <t>Punjab National Bank and Others v. Sh. Kunj Behari Misra</t>
        </is>
      </c>
      <c r="L573" s="11" t="inlineStr">
        <is>
          <t>Supreme Court</t>
        </is>
      </c>
      <c r="M573" s="2" t="inlineStr">
        <is>
          <t>(1998) 6 AD 220; AIR 1998 SC 2713; (1998) 2 CTC 742; (1998) 5 JT 548; (1998) LabIC 3012; (1998) 2 LLJ 809; (1998) 4 SCALE 608; (1998) 7 SCC 84; (1998) SCC(L&amp;S) 1783; (1998) 1 SCR 22 Supp; (1999) 1 SLJ 271; (1998) AIRSCW 2762; (1998) 6 Supreme 486</t>
        </is>
      </c>
      <c r="N573" s="11" t="n">
        <v>1998</v>
      </c>
      <c r="O573" s="11" t="n"/>
      <c r="P573" s="11" t="n"/>
      <c r="Q573" s="11" t="n"/>
      <c r="R573" s="2" t="n"/>
      <c r="S573" s="2" t="n"/>
      <c r="T573" s="11" t="inlineStr"/>
      <c r="U573" s="11" t="inlineStr"/>
      <c r="V573" s="11" t="inlineStr">
        <is>
          <t>outside_list</t>
        </is>
      </c>
      <c r="W573" s="11" t="n"/>
      <c r="X573" s="11" t="n"/>
      <c r="Y573" s="11" t="n"/>
      <c r="Z573" s="11" t="inlineStr">
        <is>
          <t>Mr. Advocate</t>
        </is>
      </c>
      <c r="AA573" s="11" t="inlineStr">
        <is>
          <t>2026-10-07</t>
        </is>
      </c>
      <c r="AB573" s="11" t="inlineStr">
        <is>
          <t>name_year</t>
        </is>
      </c>
      <c r="AC573" s="2" t="inlineStr"/>
      <c r="AD573" s="2" t="inlineStr">
        <is>
          <t>State of Rajasthan v. M.C. Saxena (1998) was overruled by Punjab National Bank and Others v. Sh. Kunj Behari Misra (1998).</t>
        </is>
      </c>
      <c r="AE573" s="2" t="n"/>
      <c r="AF573" s="11" t="inlineStr">
        <is>
          <t>created from list 1</t>
        </is>
      </c>
    </row>
    <row r="574">
      <c r="A574" s="11" t="inlineStr">
        <is>
          <t>L1-0573</t>
        </is>
      </c>
      <c r="B574" s="11" t="inlineStr">
        <is>
          <t>List 1 (to ~2015)</t>
        </is>
      </c>
      <c r="C574" s="11" t="inlineStr">
        <is>
          <t>list1</t>
        </is>
      </c>
      <c r="D574" s="11" t="inlineStr">
        <is>
          <t>verified</t>
        </is>
      </c>
      <c r="E574" s="11" t="inlineStr">
        <is>
          <t>overruled</t>
        </is>
      </c>
      <c r="F574" s="2" t="inlineStr">
        <is>
          <t>Pollisetti Pullamma and others v. Kalluri Kameswaramma and others</t>
        </is>
      </c>
      <c r="G574" s="11" t="inlineStr"/>
      <c r="H574" s="11" t="inlineStr">
        <is>
          <t>Supreme Court</t>
        </is>
      </c>
      <c r="I574" s="2" t="inlineStr">
        <is>
          <t>AIR 1991 SC 604; (1990) 4 JT 293; (1990) 2 SCALE 883; (1990) 2 SCR 393 Supp</t>
        </is>
      </c>
      <c r="J574" s="11" t="n">
        <v>1991</v>
      </c>
      <c r="K574" s="2" t="inlineStr">
        <is>
          <t>State of T.N. v. His Holiness Srilla Sri Ambalavana Pandara Sannadhi Adheenakartha and Others</t>
        </is>
      </c>
      <c r="L574" s="11" t="inlineStr">
        <is>
          <t>Supreme Court</t>
        </is>
      </c>
      <c r="M574" s="2" t="inlineStr">
        <is>
          <t>(1996) 11 JT 499; (1996) 9 SCALE 284; (1997) 9 SCC 313; (1996) 9 SCR 161 Supp</t>
        </is>
      </c>
      <c r="N574" s="11" t="n">
        <v>1996</v>
      </c>
      <c r="O574" s="11" t="n"/>
      <c r="P574" s="11" t="n"/>
      <c r="Q574" s="11" t="n"/>
      <c r="R574" s="2" t="n"/>
      <c r="S574" s="2" t="n"/>
      <c r="T574" s="11" t="inlineStr"/>
      <c r="U574" s="11" t="inlineStr"/>
      <c r="V574" s="11" t="inlineStr">
        <is>
          <t>outside_list</t>
        </is>
      </c>
      <c r="W574" s="11" t="n"/>
      <c r="X574" s="11" t="n"/>
      <c r="Y574" s="11" t="n"/>
      <c r="Z574" s="11" t="inlineStr">
        <is>
          <t>Mr. Advocate</t>
        </is>
      </c>
      <c r="AA574" s="11" t="inlineStr">
        <is>
          <t>2026-10-07</t>
        </is>
      </c>
      <c r="AB574" s="11" t="inlineStr">
        <is>
          <t>name_year</t>
        </is>
      </c>
      <c r="AC574" s="2" t="inlineStr"/>
      <c r="AD574" s="2" t="inlineStr">
        <is>
          <t>Pollisetti Pullamma and others v. Kalluri Kameswaramma and others (1991) was overruled by State of T.N. v. His Holiness Srilla Sri Ambalavana Pandara Sannadhi Adheenakartha and Others (1996).</t>
        </is>
      </c>
      <c r="AE574" s="2" t="n"/>
      <c r="AF574" s="11" t="inlineStr">
        <is>
          <t>created from list 1</t>
        </is>
      </c>
    </row>
    <row r="575">
      <c r="A575" s="11" t="inlineStr">
        <is>
          <t>L1-0574</t>
        </is>
      </c>
      <c r="B575" s="11" t="inlineStr">
        <is>
          <t>List 1 (to ~2015)</t>
        </is>
      </c>
      <c r="C575" s="11" t="inlineStr">
        <is>
          <t>list1</t>
        </is>
      </c>
      <c r="D575" s="11" t="inlineStr">
        <is>
          <t>verified</t>
        </is>
      </c>
      <c r="E575" s="11" t="inlineStr">
        <is>
          <t>overruled</t>
        </is>
      </c>
      <c r="F575" s="2" t="inlineStr">
        <is>
          <t>Rajendra Singh v. Smt. Usha Rani and Others</t>
        </is>
      </c>
      <c r="G575" s="11" t="inlineStr"/>
      <c r="H575" s="11" t="inlineStr">
        <is>
          <t>Supreme Court</t>
        </is>
      </c>
      <c r="I575" s="2" t="inlineStr">
        <is>
          <t>AIR 1984 SC 956; (1984) 1 SCALE 440; (1984) 3 SCC 339; (1984) 3 SCR 22; (1984) 16 UJ 313</t>
        </is>
      </c>
      <c r="J575" s="11" t="n">
        <v>1984</v>
      </c>
      <c r="K575" s="2" t="inlineStr">
        <is>
          <t>Chandrakant Uttam Chodankar v. Shri Dayanand Rayu Mandrakar and Others</t>
        </is>
      </c>
      <c r="L575" s="11" t="inlineStr">
        <is>
          <t>Supreme Court</t>
        </is>
      </c>
      <c r="M575" s="2" t="inlineStr">
        <is>
          <t>AIR 2005 SC 547; (2005) 11 JT 408; (2004) 10 SCALE 429; (2005) 2 SCC 188</t>
        </is>
      </c>
      <c r="N575" s="11" t="n">
        <v>2005</v>
      </c>
      <c r="O575" s="11" t="n"/>
      <c r="P575" s="11" t="n"/>
      <c r="Q575" s="11" t="n"/>
      <c r="R575" s="2" t="n"/>
      <c r="S575" s="2" t="n"/>
      <c r="T575" s="11" t="inlineStr"/>
      <c r="U575" s="11" t="inlineStr"/>
      <c r="V575" s="11" t="inlineStr">
        <is>
          <t>outside_list</t>
        </is>
      </c>
      <c r="W575" s="11" t="n"/>
      <c r="X575" s="11" t="n"/>
      <c r="Y575" s="11" t="n"/>
      <c r="Z575" s="11" t="inlineStr">
        <is>
          <t>Mr. Advocate</t>
        </is>
      </c>
      <c r="AA575" s="11" t="inlineStr">
        <is>
          <t>2026-10-07</t>
        </is>
      </c>
      <c r="AB575" s="11" t="inlineStr">
        <is>
          <t>name_year</t>
        </is>
      </c>
      <c r="AC575" s="2" t="inlineStr"/>
      <c r="AD575" s="2" t="inlineStr">
        <is>
          <t>Rajendra Singh v. Smt. Usha Rani and Others (1984) was overruled by Chandrakant Uttam Chodankar v. Shri Dayanand Rayu Mandrakar and Others (2005).</t>
        </is>
      </c>
      <c r="AE575" s="2" t="n"/>
      <c r="AF575" s="11" t="inlineStr">
        <is>
          <t>created from list 1</t>
        </is>
      </c>
    </row>
    <row r="576">
      <c r="A576" s="11" t="inlineStr">
        <is>
          <t>L1-0575</t>
        </is>
      </c>
      <c r="B576" s="11" t="inlineStr">
        <is>
          <t>List 1 (to ~2015)</t>
        </is>
      </c>
      <c r="C576" s="11" t="inlineStr">
        <is>
          <t>list1</t>
        </is>
      </c>
      <c r="D576" s="11" t="inlineStr">
        <is>
          <t>verified</t>
        </is>
      </c>
      <c r="E576" s="11" t="inlineStr">
        <is>
          <t>overruled</t>
        </is>
      </c>
      <c r="F576" s="2" t="inlineStr">
        <is>
          <t>Air India Statutory Corporation, etc. v. United Labour Union and others</t>
        </is>
      </c>
      <c r="G576" s="11" t="inlineStr"/>
      <c r="H576" s="11" t="inlineStr">
        <is>
          <t>Supreme Court</t>
        </is>
      </c>
      <c r="I576" s="2" t="inlineStr">
        <is>
          <t>AIR 1997 SC 645; (1996) 11 JT 109; (1997) 1 LLJ 1113; (1996) 9 SCALE 70; (1997) 9 SCC 377; (1997) SCC(L&amp;S) 1344; (1996) 9 SCR 579 Supp; (1997) AIRSCW 430; (1997) 2 Supreme 165</t>
        </is>
      </c>
      <c r="J576" s="11" t="n">
        <v>1997</v>
      </c>
      <c r="K576" s="2" t="inlineStr">
        <is>
          <t>Steel Authority of India Ltd. and Others etc. etc. v. National Union Water Front Workers and Others etc.</t>
        </is>
      </c>
      <c r="L576" s="11" t="inlineStr">
        <is>
          <t>Supreme Court</t>
        </is>
      </c>
      <c r="M576" s="2" t="inlineStr">
        <is>
          <t>AIR 2001 SC 3527; (2001) 91 FLR 182; (2001) 7 JT 268; (2001) LabIC 3656; (2001) 2 LLJ 1087; (2001) 5 SCALE 626; (2001) 7 SCC 1; (2001) SCC(L&amp;S) 1121; (2001) 4 SCT 1; (2001) AIRSCW 3574; (2001) 6 Supreme 602</t>
        </is>
      </c>
      <c r="N576" s="11" t="n">
        <v>2001</v>
      </c>
      <c r="O576" s="11" t="n"/>
      <c r="P576" s="11" t="n"/>
      <c r="Q576" s="11" t="n"/>
      <c r="R576" s="2" t="n"/>
      <c r="S576" s="2" t="n"/>
      <c r="T576" s="11" t="inlineStr"/>
      <c r="U576" s="11" t="inlineStr"/>
      <c r="V576" s="11" t="inlineStr">
        <is>
          <t>outside_list</t>
        </is>
      </c>
      <c r="W576" s="11" t="n"/>
      <c r="X576" s="11" t="n"/>
      <c r="Y576" s="11" t="n"/>
      <c r="Z576" s="11" t="inlineStr">
        <is>
          <t>Mr. Advocate</t>
        </is>
      </c>
      <c r="AA576" s="11" t="inlineStr">
        <is>
          <t>2026-10-07</t>
        </is>
      </c>
      <c r="AB576" s="11" t="inlineStr">
        <is>
          <t>name_year</t>
        </is>
      </c>
      <c r="AC576" s="2" t="inlineStr"/>
      <c r="AD576" s="2" t="inlineStr">
        <is>
          <t>Air India Statutory Corporation, etc. v. United Labour Union and others (1997) was overruled by Steel Authority of India Ltd. and Others etc. etc. v. National Union Water Front Workers and Others etc. (2001).</t>
        </is>
      </c>
      <c r="AE576" s="2" t="n"/>
      <c r="AF576" s="11" t="inlineStr">
        <is>
          <t>created from list 1</t>
        </is>
      </c>
    </row>
    <row r="577">
      <c r="A577" s="11" t="inlineStr">
        <is>
          <t>L1-0576</t>
        </is>
      </c>
      <c r="B577" s="11" t="inlineStr">
        <is>
          <t>List 1 (to ~2015)</t>
        </is>
      </c>
      <c r="C577" s="11" t="inlineStr">
        <is>
          <t>list1</t>
        </is>
      </c>
      <c r="D577" s="11" t="inlineStr">
        <is>
          <t>verified</t>
        </is>
      </c>
      <c r="E577" s="11" t="inlineStr">
        <is>
          <t>overruled</t>
        </is>
      </c>
      <c r="F577" s="2" t="inlineStr">
        <is>
          <t>Dwarka Nath v. Income Tax Officer, Special Circle D-ward, Kanpur and Another</t>
        </is>
      </c>
      <c r="G577" s="11" t="inlineStr"/>
      <c r="H577" s="11" t="inlineStr">
        <is>
          <t>Supreme Court</t>
        </is>
      </c>
      <c r="I577" s="2" t="inlineStr">
        <is>
          <t>AIR 1966 SC 81; (1965) 57 ITR 349; (1965) 3 SCR 536</t>
        </is>
      </c>
      <c r="J577" s="11" t="n">
        <v>1966</v>
      </c>
      <c r="K577" s="2" t="inlineStr">
        <is>
          <t>Prabodh Verma and Others v. State of Uttar Pradesh and Others</t>
        </is>
      </c>
      <c r="L577" s="11" t="inlineStr">
        <is>
          <t>Supreme Court</t>
        </is>
      </c>
      <c r="M577" s="2" t="inlineStr">
        <is>
          <t>AIR 1985 SC 167; (1985) LabIC 1196; (1984) 2 SCALE 87; (1984) 4 SCC 251; (1985) 1 SCR 216</t>
        </is>
      </c>
      <c r="N577" s="11" t="n">
        <v>1985</v>
      </c>
      <c r="O577" s="11" t="n"/>
      <c r="P577" s="11" t="n"/>
      <c r="Q577" s="11" t="n"/>
      <c r="R577" s="2" t="n"/>
      <c r="S577" s="2" t="n"/>
      <c r="T577" s="11" t="inlineStr"/>
      <c r="U577" s="11" t="inlineStr"/>
      <c r="V577" s="11" t="inlineStr">
        <is>
          <t>outside_list</t>
        </is>
      </c>
      <c r="W577" s="11" t="n"/>
      <c r="X577" s="11" t="n"/>
      <c r="Y577" s="11" t="n"/>
      <c r="Z577" s="11" t="inlineStr">
        <is>
          <t>Mr. Advocate</t>
        </is>
      </c>
      <c r="AA577" s="11" t="inlineStr">
        <is>
          <t>2026-10-07</t>
        </is>
      </c>
      <c r="AB577" s="11" t="inlineStr">
        <is>
          <t>name_year</t>
        </is>
      </c>
      <c r="AC577" s="2" t="inlineStr"/>
      <c r="AD577" s="2" t="inlineStr">
        <is>
          <t>Dwarka Nath v. Income Tax Officer, Special Circle D-ward, Kanpur and Another (1966) was overruled by Prabodh Verma and Others v. State of Uttar Pradesh and Others (1985).</t>
        </is>
      </c>
      <c r="AE577" s="2" t="n"/>
      <c r="AF577" s="11" t="inlineStr">
        <is>
          <t>created from list 1</t>
        </is>
      </c>
    </row>
    <row r="578">
      <c r="A578" s="11" t="inlineStr">
        <is>
          <t>L1-0577</t>
        </is>
      </c>
      <c r="B578" s="11" t="inlineStr">
        <is>
          <t>List 1 (to ~2015)</t>
        </is>
      </c>
      <c r="C578" s="11" t="inlineStr">
        <is>
          <t>list1</t>
        </is>
      </c>
      <c r="D578" s="11" t="inlineStr">
        <is>
          <t>verified</t>
        </is>
      </c>
      <c r="E578" s="11" t="inlineStr">
        <is>
          <t>overruled</t>
        </is>
      </c>
      <c r="F578" s="2" t="inlineStr">
        <is>
          <t>Suresh Chand v. Gulam Chisti</t>
        </is>
      </c>
      <c r="G578" s="11" t="inlineStr"/>
      <c r="H578" s="11" t="inlineStr">
        <is>
          <t>Supreme Court</t>
        </is>
      </c>
      <c r="I578" s="2" t="inlineStr">
        <is>
          <t>AIR 1990 SC 897; (1990) 1 JT 118; (1990) 1 SCC 593; (1990) 1 SCR 186</t>
        </is>
      </c>
      <c r="J578" s="11" t="n">
        <v>1990</v>
      </c>
      <c r="K578" s="2" t="inlineStr">
        <is>
          <t>Shri Kishan @ Krishan Kumar v. Manoj Kumar Etc. Etc.</t>
        </is>
      </c>
      <c r="L578" s="11" t="inlineStr">
        <is>
          <t>Supreme Court</t>
        </is>
      </c>
      <c r="M578" s="2" t="inlineStr">
        <is>
          <t>(1998) 2 AD 162; AIR 1998 SC 999; (1998) 2 CTC 37; (1998) 1 JT 633; (1998) 118 PLR 593; (1998) 1 SCALE 582; (1998) 2 SCC 710; (1998) 1 SCR 830; (1998) AIRSCW 769; (1998) 2 Supreme 478</t>
        </is>
      </c>
      <c r="N578" s="11" t="n">
        <v>1998</v>
      </c>
      <c r="O578" s="11" t="n"/>
      <c r="P578" s="11" t="n"/>
      <c r="Q578" s="11" t="n"/>
      <c r="R578" s="2" t="n"/>
      <c r="S578" s="2" t="n"/>
      <c r="T578" s="11" t="inlineStr"/>
      <c r="U578" s="11" t="inlineStr"/>
      <c r="V578" s="11" t="inlineStr">
        <is>
          <t>outside_list</t>
        </is>
      </c>
      <c r="W578" s="11" t="n"/>
      <c r="X578" s="11" t="n"/>
      <c r="Y578" s="11" t="n"/>
      <c r="Z578" s="11" t="inlineStr">
        <is>
          <t>Mr. Advocate</t>
        </is>
      </c>
      <c r="AA578" s="11" t="inlineStr">
        <is>
          <t>2026-10-07</t>
        </is>
      </c>
      <c r="AB578" s="11" t="inlineStr">
        <is>
          <t>name_year</t>
        </is>
      </c>
      <c r="AC578" s="2" t="inlineStr"/>
      <c r="AD578" s="2" t="inlineStr">
        <is>
          <t>Suresh Chand v. Gulam Chisti (1990) was overruled by Shri Kishan @ Krishan Kumar v. Manoj Kumar Etc. Etc. (1998).</t>
        </is>
      </c>
      <c r="AE578" s="2" t="n"/>
      <c r="AF578" s="11" t="inlineStr">
        <is>
          <t>created from list 1</t>
        </is>
      </c>
    </row>
    <row r="579">
      <c r="A579" s="11" t="inlineStr">
        <is>
          <t>L1-0578</t>
        </is>
      </c>
      <c r="B579" s="11" t="inlineStr">
        <is>
          <t>List 1 (to ~2015)</t>
        </is>
      </c>
      <c r="C579" s="11" t="inlineStr">
        <is>
          <t>list1</t>
        </is>
      </c>
      <c r="D579" s="11" t="inlineStr">
        <is>
          <t>verified</t>
        </is>
      </c>
      <c r="E579" s="11" t="inlineStr">
        <is>
          <t>overruled</t>
        </is>
      </c>
      <c r="F579" s="2" t="inlineStr">
        <is>
          <t>M.M.R. Khan and others etc. v. Union of India and others</t>
        </is>
      </c>
      <c r="G579" s="11" t="inlineStr"/>
      <c r="H579" s="11" t="inlineStr">
        <is>
          <t>Supreme Court</t>
        </is>
      </c>
      <c r="I579" s="2" t="inlineStr">
        <is>
          <t>AIR 1990 SC 937; (1991) 61 FLR 271; (1990) 3 JT 1; (1990) 1 SCALE 324; (1990) 1 SCC 191 Supp; (1990) SCC 191 Supp; (1990) 1 SCR 687</t>
        </is>
      </c>
      <c r="J579" s="11" t="n">
        <v>1990</v>
      </c>
      <c r="K579" s="2" t="inlineStr">
        <is>
          <t>Union of India (Railway Board) and others v. J.V. Subhaiah and others etc.</t>
        </is>
      </c>
      <c r="L579" s="11" t="inlineStr">
        <is>
          <t>Supreme Court</t>
        </is>
      </c>
      <c r="M579" s="2" t="inlineStr">
        <is>
          <t>AIR 1996 SC 2890; (1995) 9 JT 488; (1996) 1 SCALE 193; (1996) 2 SCC 258; (1995) 6 SCR 812 Supp</t>
        </is>
      </c>
      <c r="N579" s="11" t="n">
        <v>1996</v>
      </c>
      <c r="O579" s="11" t="n"/>
      <c r="P579" s="11" t="n"/>
      <c r="Q579" s="11" t="n"/>
      <c r="R579" s="2" t="n"/>
      <c r="S579" s="2" t="n"/>
      <c r="T579" s="11" t="inlineStr"/>
      <c r="U579" s="11" t="inlineStr"/>
      <c r="V579" s="11" t="inlineStr">
        <is>
          <t>outside_list</t>
        </is>
      </c>
      <c r="W579" s="11" t="n"/>
      <c r="X579" s="11" t="n"/>
      <c r="Y579" s="11" t="n"/>
      <c r="Z579" s="11" t="inlineStr">
        <is>
          <t>Mr. Advocate</t>
        </is>
      </c>
      <c r="AA579" s="11" t="inlineStr">
        <is>
          <t>2026-10-07</t>
        </is>
      </c>
      <c r="AB579" s="11" t="inlineStr">
        <is>
          <t>name_year</t>
        </is>
      </c>
      <c r="AC579" s="2" t="inlineStr"/>
      <c r="AD579" s="2" t="inlineStr">
        <is>
          <t>M.M.R. Khan and others etc. v. Union of India and others (1990) was overruled by Union of India (Railway Board) and others v. J.V. Subhaiah and others etc. (1996).</t>
        </is>
      </c>
      <c r="AE579" s="2" t="n"/>
      <c r="AF579" s="11" t="inlineStr">
        <is>
          <t>created from list 1</t>
        </is>
      </c>
    </row>
    <row r="580">
      <c r="A580" s="11" t="inlineStr">
        <is>
          <t>L1-0579</t>
        </is>
      </c>
      <c r="B580" s="11" t="inlineStr">
        <is>
          <t>List 1 (to ~2015)</t>
        </is>
      </c>
      <c r="C580" s="11" t="inlineStr">
        <is>
          <t>list1</t>
        </is>
      </c>
      <c r="D580" s="11" t="inlineStr">
        <is>
          <t>verified</t>
        </is>
      </c>
      <c r="E580" s="11" t="inlineStr">
        <is>
          <t>overruled</t>
        </is>
      </c>
      <c r="F580" s="2" t="inlineStr">
        <is>
          <t>Ram Saroop Dasji v. S.P. Sahi, Special Officer-in-charge of The Hindu Religious Trusts and Others</t>
        </is>
      </c>
      <c r="G580" s="11" t="inlineStr"/>
      <c r="H580" s="11" t="inlineStr">
        <is>
          <t>Supreme Court</t>
        </is>
      </c>
      <c r="I580" s="2" t="inlineStr">
        <is>
          <t>AIR 1959 SC 951; (1959) 2 SCR 583 Supp</t>
        </is>
      </c>
      <c r="J580" s="11" t="n">
        <v>1959</v>
      </c>
      <c r="K580" s="2" t="inlineStr">
        <is>
          <t>The Bihar State Board Religious Trust, Patna v. Mahant Sri Biseshwar Das</t>
        </is>
      </c>
      <c r="L580" s="11" t="inlineStr">
        <is>
          <t>Supreme Court</t>
        </is>
      </c>
      <c r="M580" s="2" t="inlineStr">
        <is>
          <t>AIR 1971 SC 2057; (1971) 1 SCC 574; (1971) 3 SCR 680</t>
        </is>
      </c>
      <c r="N580" s="11" t="n">
        <v>1971</v>
      </c>
      <c r="O580" s="11" t="n"/>
      <c r="P580" s="11" t="n"/>
      <c r="Q580" s="11" t="n"/>
      <c r="R580" s="2" t="n"/>
      <c r="S580" s="2" t="n"/>
      <c r="T580" s="11" t="inlineStr"/>
      <c r="U580" s="11" t="inlineStr"/>
      <c r="V580" s="11" t="inlineStr">
        <is>
          <t>outside_list</t>
        </is>
      </c>
      <c r="W580" s="11" t="n"/>
      <c r="X580" s="11" t="n"/>
      <c r="Y580" s="11" t="n"/>
      <c r="Z580" s="11" t="inlineStr">
        <is>
          <t>Mr. Advocate</t>
        </is>
      </c>
      <c r="AA580" s="11" t="inlineStr">
        <is>
          <t>2026-10-07</t>
        </is>
      </c>
      <c r="AB580" s="11" t="inlineStr">
        <is>
          <t>name_year</t>
        </is>
      </c>
      <c r="AC580" s="2" t="inlineStr"/>
      <c r="AD580" s="2" t="inlineStr">
        <is>
          <t>Ram Saroop Dasji v. S.P. Sahi, Special Officer-in-charge of The Hindu Religious Trusts and Others (1959) was overruled by The Bihar State Board Religious Trust, Patna v. Mahant Sri Biseshwar Das (1971).</t>
        </is>
      </c>
      <c r="AE580" s="2" t="n"/>
      <c r="AF580" s="11" t="inlineStr">
        <is>
          <t>created from list 1</t>
        </is>
      </c>
    </row>
    <row r="581">
      <c r="A581" s="11" t="inlineStr">
        <is>
          <t>L1-0580</t>
        </is>
      </c>
      <c r="B581" s="11" t="inlineStr">
        <is>
          <t>List 1 (to ~2015)</t>
        </is>
      </c>
      <c r="C581" s="11" t="inlineStr">
        <is>
          <t>list1</t>
        </is>
      </c>
      <c r="D581" s="11" t="inlineStr">
        <is>
          <t>verified</t>
        </is>
      </c>
      <c r="E581" s="11" t="inlineStr">
        <is>
          <t>overruled</t>
        </is>
      </c>
      <c r="F581" s="2" t="inlineStr">
        <is>
          <t>Molar Mal (Dead) Through L.Rs. v. M/s. Kay Iron Works(P) Ltd.</t>
        </is>
      </c>
      <c r="G581" s="11" t="inlineStr"/>
      <c r="H581" s="11" t="inlineStr">
        <is>
          <t>Supreme Court</t>
        </is>
      </c>
      <c r="I581" s="2" t="inlineStr">
        <is>
          <t>AIR 2000 SC 1261; (2000) 3 JT 122(1); (2000) 125 PLR 678; (2000) 2 SCALE 334; (2000) 4 SCC 285; (2000) AIRSCW 950; (2000) 2 Supreme 284</t>
        </is>
      </c>
      <c r="J581" s="11" t="n">
        <v>2000</v>
      </c>
      <c r="K581" s="2" t="inlineStr">
        <is>
          <t>Kailash Chand and Another v. Dharam Das</t>
        </is>
      </c>
      <c r="L581" s="11" t="inlineStr">
        <is>
          <t>Supreme Court</t>
        </is>
      </c>
      <c r="M581" s="2" t="inlineStr">
        <is>
          <t>AIR 2005 SC 2362; (2005) 5 JT 139; (2005) 5 SCC 375; (2005) 3 SCR 1182</t>
        </is>
      </c>
      <c r="N581" s="11" t="n">
        <v>2005</v>
      </c>
      <c r="O581" s="11" t="n"/>
      <c r="P581" s="11" t="n"/>
      <c r="Q581" s="11" t="n"/>
      <c r="R581" s="2" t="n"/>
      <c r="S581" s="2" t="n"/>
      <c r="T581" s="11" t="inlineStr"/>
      <c r="U581" s="11" t="inlineStr"/>
      <c r="V581" s="11" t="inlineStr">
        <is>
          <t>outside_list</t>
        </is>
      </c>
      <c r="W581" s="11" t="n"/>
      <c r="X581" s="11" t="n"/>
      <c r="Y581" s="11" t="n"/>
      <c r="Z581" s="11" t="inlineStr">
        <is>
          <t>Mr. Advocate</t>
        </is>
      </c>
      <c r="AA581" s="11" t="inlineStr">
        <is>
          <t>2026-10-07</t>
        </is>
      </c>
      <c r="AB581" s="11" t="inlineStr">
        <is>
          <t>name_year</t>
        </is>
      </c>
      <c r="AC581" s="2" t="inlineStr"/>
      <c r="AD581" s="2" t="inlineStr">
        <is>
          <t>Molar Mal (Dead) Through L.Rs. v. M/s. Kay Iron Works(P) Ltd. (2000) was overruled by Kailash Chand and Another v. Dharam Das (2005).</t>
        </is>
      </c>
      <c r="AE581" s="2" t="n"/>
      <c r="AF581" s="11" t="inlineStr">
        <is>
          <t>created from list 1</t>
        </is>
      </c>
    </row>
    <row r="582">
      <c r="A582" s="11" t="inlineStr">
        <is>
          <t>L1-0581</t>
        </is>
      </c>
      <c r="B582" s="11" t="inlineStr">
        <is>
          <t>List 1 (to ~2015)</t>
        </is>
      </c>
      <c r="C582" s="11" t="inlineStr">
        <is>
          <t>list1</t>
        </is>
      </c>
      <c r="D582" s="11" t="inlineStr">
        <is>
          <t>verified</t>
        </is>
      </c>
      <c r="E582" s="11" t="inlineStr">
        <is>
          <t>overruled</t>
        </is>
      </c>
      <c r="F582" s="2" t="inlineStr">
        <is>
          <t>The State of Uttar Pradesh and Others v. Babu Ram Upadhya</t>
        </is>
      </c>
      <c r="G582" s="11" t="inlineStr"/>
      <c r="H582" s="11" t="inlineStr">
        <is>
          <t>Supreme Court</t>
        </is>
      </c>
      <c r="I582" s="2" t="inlineStr">
        <is>
          <t>AIR 1961 SC 751; (1961) CriLJ 773; (1970) 1 LLJ 670; (1961) 2 SCR 679</t>
        </is>
      </c>
      <c r="J582" s="11" t="n">
        <v>1961</v>
      </c>
      <c r="K582" s="2" t="inlineStr">
        <is>
          <t>Samsher Singh v. State of Punjab and Another</t>
        </is>
      </c>
      <c r="L582" s="11" t="inlineStr">
        <is>
          <t>Supreme Court</t>
        </is>
      </c>
      <c r="M582" s="2" t="inlineStr">
        <is>
          <t>AIR 1974 SC 2192; (1974) 2 LLJ 465; (1974) 2 SCC 831; (1975) 1 SCR 814; (1975) 1 SLJ 1</t>
        </is>
      </c>
      <c r="N582" s="11" t="n">
        <v>1974</v>
      </c>
      <c r="O582" s="11" t="n"/>
      <c r="P582" s="11" t="n"/>
      <c r="Q582" s="11" t="n"/>
      <c r="R582" s="2" t="n"/>
      <c r="S582" s="2" t="n"/>
      <c r="T582" s="11" t="inlineStr"/>
      <c r="U582" s="11" t="inlineStr"/>
      <c r="V582" s="11" t="inlineStr">
        <is>
          <t>outside_list</t>
        </is>
      </c>
      <c r="W582" s="11" t="n"/>
      <c r="X582" s="11" t="n"/>
      <c r="Y582" s="11" t="n"/>
      <c r="Z582" s="11" t="inlineStr">
        <is>
          <t>Mr. Advocate</t>
        </is>
      </c>
      <c r="AA582" s="11" t="inlineStr">
        <is>
          <t>2026-10-07</t>
        </is>
      </c>
      <c r="AB582" s="11" t="inlineStr">
        <is>
          <t>name_year</t>
        </is>
      </c>
      <c r="AC582" s="2" t="inlineStr"/>
      <c r="AD582" s="2" t="inlineStr">
        <is>
          <t>The State of Uttar Pradesh and Others v. Babu Ram Upadhya (1961) was overruled by Samsher Singh v. State of Punjab and Another (1974).</t>
        </is>
      </c>
      <c r="AE582" s="2" t="n"/>
      <c r="AF582" s="11" t="inlineStr">
        <is>
          <t>created from list 1</t>
        </is>
      </c>
    </row>
    <row r="583">
      <c r="A583" s="11" t="inlineStr">
        <is>
          <t>L1-0582</t>
        </is>
      </c>
      <c r="B583" s="11" t="inlineStr">
        <is>
          <t>List 1 (to ~2015)</t>
        </is>
      </c>
      <c r="C583" s="11" t="inlineStr">
        <is>
          <t>list1</t>
        </is>
      </c>
      <c r="D583" s="11" t="inlineStr">
        <is>
          <t>verified</t>
        </is>
      </c>
      <c r="E583" s="11" t="inlineStr">
        <is>
          <t>overruled</t>
        </is>
      </c>
      <c r="F583" s="2" t="inlineStr">
        <is>
          <t>Jain Bros. and Others v. The Union of India (UOI) and Others</t>
        </is>
      </c>
      <c r="G583" s="11" t="inlineStr"/>
      <c r="H583" s="11" t="inlineStr">
        <is>
          <t>Supreme Court</t>
        </is>
      </c>
      <c r="I583" s="2" t="inlineStr">
        <is>
          <t>AIR 1970 SC 778; (1970) 77 ITR 107; (1969) 3 SCC 311; (1970) 3 SCR 253</t>
        </is>
      </c>
      <c r="J583" s="11" t="n">
        <v>1970</v>
      </c>
      <c r="K583" s="2" t="inlineStr">
        <is>
          <t>Commissioner of Income Tax, Mysore v. S.G. Magavi</t>
        </is>
      </c>
      <c r="L583" s="11" t="inlineStr">
        <is>
          <t>unknown</t>
        </is>
      </c>
      <c r="M583" s="2" t="inlineStr">
        <is>
          <t>(1971) 81 ITR 475; (1971) 3 UJ 253</t>
        </is>
      </c>
      <c r="N583" s="11" t="n">
        <v>1971</v>
      </c>
      <c r="O583" s="11" t="n"/>
      <c r="P583" s="11" t="n"/>
      <c r="Q583" s="11" t="n"/>
      <c r="R583" s="2" t="n"/>
      <c r="S583" s="2" t="n"/>
      <c r="T583" s="11" t="inlineStr"/>
      <c r="U583" s="11" t="inlineStr"/>
      <c r="V583" s="11" t="inlineStr">
        <is>
          <t>outside_list</t>
        </is>
      </c>
      <c r="W583" s="11" t="n"/>
      <c r="X583" s="11" t="n"/>
      <c r="Y583" s="11" t="n"/>
      <c r="Z583" s="11" t="inlineStr">
        <is>
          <t>Mr. Advocate</t>
        </is>
      </c>
      <c r="AA583" s="11" t="inlineStr">
        <is>
          <t>2026-10-07</t>
        </is>
      </c>
      <c r="AB583" s="11" t="inlineStr">
        <is>
          <t>name_year</t>
        </is>
      </c>
      <c r="AC583" s="2" t="inlineStr"/>
      <c r="AD583" s="2" t="inlineStr">
        <is>
          <t>Jain Bros. and Others v. The Union of India (UOI) and Others (1970) was overruled by Commissioner of Income Tax, Mysore v. S.G. Magavi (1971).</t>
        </is>
      </c>
      <c r="AE583" s="2" t="n"/>
      <c r="AF583" s="11" t="inlineStr">
        <is>
          <t>created from list 1</t>
        </is>
      </c>
    </row>
    <row r="584">
      <c r="A584" s="11" t="inlineStr">
        <is>
          <t>L1-0583</t>
        </is>
      </c>
      <c r="B584" s="11" t="inlineStr">
        <is>
          <t>List 1 (to ~2015)</t>
        </is>
      </c>
      <c r="C584" s="11" t="inlineStr">
        <is>
          <t>list1</t>
        </is>
      </c>
      <c r="D584" s="11" t="inlineStr">
        <is>
          <t>verified</t>
        </is>
      </c>
      <c r="E584" s="11" t="inlineStr">
        <is>
          <t>overruled</t>
        </is>
      </c>
      <c r="F584" s="2" t="inlineStr">
        <is>
          <t>Brij Mohan Singh Chopra v. State of Punjab</t>
        </is>
      </c>
      <c r="G584" s="11" t="inlineStr"/>
      <c r="H584" s="11" t="inlineStr">
        <is>
          <t>Supreme Court</t>
        </is>
      </c>
      <c r="I584" s="2" t="inlineStr">
        <is>
          <t>AIR 1987 SC 948; (1987) 54 FLR 460; (1987) 1 JT 673; (1987) 1 LLJ 522; (1987) 1 SCALE 556; (1987) 2 SCC 188; (1987) 2 SCR 583; (1987) 3 SLJ 54; (1987) 2 UJ 49</t>
        </is>
      </c>
      <c r="J584" s="11" t="n">
        <v>1987</v>
      </c>
      <c r="K584" s="2" t="inlineStr">
        <is>
          <t>Baikuntha Nath Das and another v. Chief District Medical Officer, Baripada and another</t>
        </is>
      </c>
      <c r="L584" s="11" t="inlineStr">
        <is>
          <t>Supreme Court</t>
        </is>
      </c>
      <c r="M584" s="2" t="inlineStr">
        <is>
          <t>AIR 1992 SC 1029; (1992) 73 CLT 665; (1992) 2 JT 1; (1992) 1 LLJ 784; (1992) 1 SCALE 428; (1992) 2 SCC 299; (1992) 1 SCR 836; (1992) 1 SLJ 177</t>
        </is>
      </c>
      <c r="N584" s="11" t="n">
        <v>1992</v>
      </c>
      <c r="O584" s="11" t="n"/>
      <c r="P584" s="11" t="n"/>
      <c r="Q584" s="11" t="n"/>
      <c r="R584" s="2" t="n"/>
      <c r="S584" s="2" t="n"/>
      <c r="T584" s="11" t="inlineStr"/>
      <c r="U584" s="11" t="inlineStr"/>
      <c r="V584" s="11" t="inlineStr">
        <is>
          <t>outside_list</t>
        </is>
      </c>
      <c r="W584" s="11" t="n"/>
      <c r="X584" s="11" t="n"/>
      <c r="Y584" s="11" t="n"/>
      <c r="Z584" s="11" t="inlineStr">
        <is>
          <t>Mr. Advocate</t>
        </is>
      </c>
      <c r="AA584" s="11" t="inlineStr">
        <is>
          <t>2026-10-07</t>
        </is>
      </c>
      <c r="AB584" s="11" t="inlineStr">
        <is>
          <t>name_year</t>
        </is>
      </c>
      <c r="AC584" s="2" t="inlineStr"/>
      <c r="AD584" s="2" t="inlineStr">
        <is>
          <t>Brij Mohan Singh Chopra v. State of Punjab (1987) was overruled by Baikuntha Nath Das and another v. Chief District Medical Officer, Baripada and another (1992).</t>
        </is>
      </c>
      <c r="AE584" s="2" t="n"/>
      <c r="AF584" s="11" t="inlineStr">
        <is>
          <t>created from list 1</t>
        </is>
      </c>
    </row>
    <row r="585">
      <c r="A585" s="11" t="inlineStr">
        <is>
          <t>L1-0584</t>
        </is>
      </c>
      <c r="B585" s="11" t="inlineStr">
        <is>
          <t>List 1 (to ~2015)</t>
        </is>
      </c>
      <c r="C585" s="11" t="inlineStr">
        <is>
          <t>list1</t>
        </is>
      </c>
      <c r="D585" s="11" t="inlineStr">
        <is>
          <t>verified</t>
        </is>
      </c>
      <c r="E585" s="11" t="inlineStr">
        <is>
          <t>overruled</t>
        </is>
      </c>
      <c r="F585" s="2" t="inlineStr">
        <is>
          <t>State of U.P. and Another v. Jaggo alias Jagdish and Others</t>
        </is>
      </c>
      <c r="G585" s="11" t="inlineStr"/>
      <c r="H585" s="11" t="inlineStr">
        <is>
          <t>Supreme Court</t>
        </is>
      </c>
      <c r="I585" s="2" t="inlineStr">
        <is>
          <t>AIR 1971 SC 1586; (1971) CriLJ 1173; (1971) 2 SCC 42; (1971) SCC(Cri) 401</t>
        </is>
      </c>
      <c r="J585" s="11" t="n">
        <v>1971</v>
      </c>
      <c r="K585" s="2" t="inlineStr">
        <is>
          <t>Sukhwant Singh v. State of Punjab</t>
        </is>
      </c>
      <c r="L585" s="11" t="inlineStr">
        <is>
          <t>Supreme Court</t>
        </is>
      </c>
      <c r="M585" s="2" t="inlineStr">
        <is>
          <t>AIR 1995 SC 1601; (1995) 2 Crimes 148; (1995) 3 JT 495; (1995) 2 SCALE 482; (1995) 3 SCC 367; (1995) 2 UJ 29</t>
        </is>
      </c>
      <c r="N585" s="11" t="n">
        <v>1995</v>
      </c>
      <c r="O585" s="11" t="n"/>
      <c r="P585" s="11" t="n"/>
      <c r="Q585" s="11" t="n"/>
      <c r="R585" s="2" t="n"/>
      <c r="S585" s="2" t="n"/>
      <c r="T585" s="11" t="inlineStr"/>
      <c r="U585" s="11" t="inlineStr"/>
      <c r="V585" s="11" t="inlineStr">
        <is>
          <t>outside_list</t>
        </is>
      </c>
      <c r="W585" s="11" t="n"/>
      <c r="X585" s="11" t="n"/>
      <c r="Y585" s="11" t="n"/>
      <c r="Z585" s="11" t="inlineStr">
        <is>
          <t>Mr. Advocate</t>
        </is>
      </c>
      <c r="AA585" s="11" t="inlineStr">
        <is>
          <t>2026-10-07</t>
        </is>
      </c>
      <c r="AB585" s="11" t="inlineStr">
        <is>
          <t>name_year</t>
        </is>
      </c>
      <c r="AC585" s="2" t="inlineStr"/>
      <c r="AD585" s="2" t="inlineStr">
        <is>
          <t>State of U.P. and Another v. Jaggo alias Jagdish and Others (1971) was overruled by Sukhwant Singh v. State of Punjab (1995).</t>
        </is>
      </c>
      <c r="AE585" s="2" t="n"/>
      <c r="AF585" s="11" t="inlineStr">
        <is>
          <t>created from list 1</t>
        </is>
      </c>
    </row>
    <row r="586">
      <c r="A586" s="11" t="inlineStr">
        <is>
          <t>L1-0585</t>
        </is>
      </c>
      <c r="B586" s="11" t="inlineStr">
        <is>
          <t>List 1 (to ~2015)</t>
        </is>
      </c>
      <c r="C586" s="11" t="inlineStr">
        <is>
          <t>list1</t>
        </is>
      </c>
      <c r="D586" s="11" t="inlineStr">
        <is>
          <t>verified</t>
        </is>
      </c>
      <c r="E586" s="11" t="inlineStr">
        <is>
          <t>overruled</t>
        </is>
      </c>
      <c r="F586" s="2" t="inlineStr">
        <is>
          <t>R.K. Malhotra, ITO, Group Circle II(1), Ahmedabad v. Kasturbhai Lalbhai (Huf)</t>
        </is>
      </c>
      <c r="G586" s="11" t="inlineStr"/>
      <c r="H586" s="11" t="inlineStr">
        <is>
          <t>Supreme Court</t>
        </is>
      </c>
      <c r="I586" s="2" t="inlineStr">
        <is>
          <t>AIR 1977 SC 2129; (1975) CriLJ 1545; (1977) 109 ITR 537; (1977) 3 SCC 519; (1977) SCC 508; (1978) 1 SCR 289; (1977) 9 UJ 559</t>
        </is>
      </c>
      <c r="J586" s="11" t="n">
        <v>1977</v>
      </c>
      <c r="K586" s="2" t="inlineStr">
        <is>
          <t>Indian and Eastern Newspaper Society, New Delhi v. Commissioner of Income Tax, New Delhi</t>
        </is>
      </c>
      <c r="L586" s="11" t="inlineStr">
        <is>
          <t>Supreme Court</t>
        </is>
      </c>
      <c r="M586" s="2" t="inlineStr">
        <is>
          <t>AIR 1979 SC 1960; (1979) 12 CTR 190; (1979) 119 ITR 996; (1979) 4 SCC 248; (1980) 1 SCR 442; (1979) 2 TAXMAN 197; (1980) 12 UJ 305</t>
        </is>
      </c>
      <c r="N586" s="11" t="n">
        <v>1979</v>
      </c>
      <c r="O586" s="11" t="n"/>
      <c r="P586" s="11" t="n"/>
      <c r="Q586" s="11" t="n"/>
      <c r="R586" s="2" t="n"/>
      <c r="S586" s="2" t="n"/>
      <c r="T586" s="11" t="inlineStr"/>
      <c r="U586" s="11" t="inlineStr"/>
      <c r="V586" s="11" t="inlineStr">
        <is>
          <t>outside_list</t>
        </is>
      </c>
      <c r="W586" s="11" t="n"/>
      <c r="X586" s="11" t="n"/>
      <c r="Y586" s="11" t="n"/>
      <c r="Z586" s="11" t="inlineStr">
        <is>
          <t>Mr. Advocate</t>
        </is>
      </c>
      <c r="AA586" s="11" t="inlineStr">
        <is>
          <t>2026-10-07</t>
        </is>
      </c>
      <c r="AB586" s="11" t="inlineStr">
        <is>
          <t>name_year</t>
        </is>
      </c>
      <c r="AC586" s="2" t="inlineStr"/>
      <c r="AD586" s="2" t="inlineStr">
        <is>
          <t>R.K. Malhotra, ITO, Group Circle II(1), Ahmedabad v. Kasturbhai Lalbhai (Huf) (1977) was overruled by Indian and Eastern Newspaper Society, New Delhi v. Commissioner of Income Tax, New Delhi (1979).</t>
        </is>
      </c>
      <c r="AE586" s="2" t="n"/>
      <c r="AF586" s="11" t="inlineStr">
        <is>
          <t>created from list 1</t>
        </is>
      </c>
    </row>
    <row r="587">
      <c r="A587" s="11" t="inlineStr">
        <is>
          <t>L1-0586</t>
        </is>
      </c>
      <c r="B587" s="11" t="inlineStr">
        <is>
          <t>List 1 (to ~2015)</t>
        </is>
      </c>
      <c r="C587" s="11" t="inlineStr">
        <is>
          <t>list1</t>
        </is>
      </c>
      <c r="D587" s="11" t="inlineStr">
        <is>
          <t>verified</t>
        </is>
      </c>
      <c r="E587" s="11" t="inlineStr">
        <is>
          <t>overruled</t>
        </is>
      </c>
      <c r="F587" s="2" t="inlineStr">
        <is>
          <t>Indian Cement and Others v. State of Andhra Pradesh and Others</t>
        </is>
      </c>
      <c r="G587" s="11" t="inlineStr"/>
      <c r="H587" s="11" t="inlineStr">
        <is>
          <t>Supreme Court</t>
        </is>
      </c>
      <c r="I587" s="2" t="inlineStr">
        <is>
          <t>AIR 1988 SC 567; (1988) 1 JT 86; (1988) 1 SCALE 43; (1988) 1 SCC 743; (1988) 2 SCR 574; (1988) 69 STC 305; (1988) 1 UJ 416</t>
        </is>
      </c>
      <c r="J587" s="11" t="n">
        <v>1988</v>
      </c>
      <c r="K587" s="2" t="inlineStr">
        <is>
          <t>Shree Digvijay Cement Co. Ltd. and Others v. State of Rajasthan and Others</t>
        </is>
      </c>
      <c r="L587" s="11" t="inlineStr">
        <is>
          <t>Supreme Court</t>
        </is>
      </c>
      <c r="M587" s="2" t="inlineStr">
        <is>
          <t>AIR 2000 SC 680; (1999) 10 JT 201; (1999) 7 SCALE 580; (2000) 1 SCC 688; (1999) 5 SCR 428 Supp; (2000) 117 STC 395; (2000) 1 UJ 558; (2000) AIRSCW 207; (1999) 10 Supreme 488</t>
        </is>
      </c>
      <c r="N587" s="11" t="n">
        <v>2000</v>
      </c>
      <c r="O587" s="11" t="n"/>
      <c r="P587" s="11" t="n"/>
      <c r="Q587" s="11" t="n"/>
      <c r="R587" s="2" t="n"/>
      <c r="S587" s="2" t="n"/>
      <c r="T587" s="11" t="inlineStr"/>
      <c r="U587" s="11" t="inlineStr"/>
      <c r="V587" s="11" t="inlineStr">
        <is>
          <t>outside_list</t>
        </is>
      </c>
      <c r="W587" s="11" t="n"/>
      <c r="X587" s="11" t="n"/>
      <c r="Y587" s="11" t="n"/>
      <c r="Z587" s="11" t="inlineStr">
        <is>
          <t>Mr. Advocate</t>
        </is>
      </c>
      <c r="AA587" s="11" t="inlineStr">
        <is>
          <t>2026-10-07</t>
        </is>
      </c>
      <c r="AB587" s="11" t="inlineStr">
        <is>
          <t>name_year</t>
        </is>
      </c>
      <c r="AC587" s="2" t="inlineStr"/>
      <c r="AD587" s="2" t="inlineStr">
        <is>
          <t>Indian Cement and Others v. State of Andhra Pradesh and Others (1988) was overruled by Shree Digvijay Cement Co. Ltd. and Others v. State of Rajasthan and Others (2000).</t>
        </is>
      </c>
      <c r="AE587" s="2" t="n"/>
      <c r="AF587" s="11" t="inlineStr">
        <is>
          <t>created from list 1</t>
        </is>
      </c>
    </row>
    <row r="588">
      <c r="A588" s="11" t="inlineStr">
        <is>
          <t>L1-0587</t>
        </is>
      </c>
      <c r="B588" s="11" t="inlineStr">
        <is>
          <t>List 1 (to ~2015)</t>
        </is>
      </c>
      <c r="C588" s="11" t="inlineStr">
        <is>
          <t>list1</t>
        </is>
      </c>
      <c r="D588" s="11" t="inlineStr">
        <is>
          <t>verified</t>
        </is>
      </c>
      <c r="E588" s="11" t="inlineStr">
        <is>
          <t>overruled</t>
        </is>
      </c>
      <c r="F588" s="2" t="inlineStr">
        <is>
          <t>Sk. Amir v. The State of Maharashtra</t>
        </is>
      </c>
      <c r="G588" s="11" t="inlineStr"/>
      <c r="H588" s="11" t="inlineStr">
        <is>
          <t>Supreme Court</t>
        </is>
      </c>
      <c r="I588" s="2" t="inlineStr">
        <is>
          <t>AIR 1974 SC 469; (1974) CriLJ 459; (1974) 4 SCC 210; (1974) SCC(Cri) 379; (1974) 3 SCR 84; (1974) 6 UJ 763</t>
        </is>
      </c>
      <c r="J588" s="11" t="n">
        <v>1974</v>
      </c>
      <c r="K588" s="2" t="inlineStr">
        <is>
          <t>Bijaya Kumar Agarwala v. State of Orissa</t>
        </is>
      </c>
      <c r="L588" s="11" t="inlineStr">
        <is>
          <t>Supreme Court</t>
        </is>
      </c>
      <c r="M588" s="2" t="inlineStr">
        <is>
          <t>AIR 1996 SC 2531; (1996) CriLJ 3577; (1996) 3 Crimes 99; (1996) 7 JT 56; (1996) 5 SCALE 530; (1996) 5 SCC 1; (1996) 4 SCR 249 Supp</t>
        </is>
      </c>
      <c r="N588" s="11" t="n">
        <v>1996</v>
      </c>
      <c r="O588" s="11" t="n"/>
      <c r="P588" s="11" t="n"/>
      <c r="Q588" s="11" t="n"/>
      <c r="R588" s="2" t="n"/>
      <c r="S588" s="2" t="n"/>
      <c r="T588" s="11" t="inlineStr"/>
      <c r="U588" s="11" t="inlineStr"/>
      <c r="V588" s="11" t="inlineStr">
        <is>
          <t>outside_list</t>
        </is>
      </c>
      <c r="W588" s="11" t="n"/>
      <c r="X588" s="11" t="n"/>
      <c r="Y588" s="11" t="n"/>
      <c r="Z588" s="11" t="inlineStr">
        <is>
          <t>Mr. Advocate</t>
        </is>
      </c>
      <c r="AA588" s="11" t="inlineStr">
        <is>
          <t>2026-10-07</t>
        </is>
      </c>
      <c r="AB588" s="11" t="inlineStr">
        <is>
          <t>name_year</t>
        </is>
      </c>
      <c r="AC588" s="2" t="inlineStr"/>
      <c r="AD588" s="2" t="inlineStr">
        <is>
          <t>Sk. Amir v. The State of Maharashtra (1974) was overruled by Bijaya Kumar Agarwala v. State of Orissa (1996).</t>
        </is>
      </c>
      <c r="AE588" s="2" t="n"/>
      <c r="AF588" s="11" t="inlineStr">
        <is>
          <t>created from list 1</t>
        </is>
      </c>
    </row>
    <row r="589">
      <c r="A589" s="11" t="inlineStr">
        <is>
          <t>L1-0588</t>
        </is>
      </c>
      <c r="B589" s="11" t="inlineStr">
        <is>
          <t>List 1 (to ~2015)</t>
        </is>
      </c>
      <c r="C589" s="11" t="inlineStr">
        <is>
          <t>list1</t>
        </is>
      </c>
      <c r="D589" s="11" t="inlineStr">
        <is>
          <t>verified</t>
        </is>
      </c>
      <c r="E589" s="11" t="inlineStr">
        <is>
          <t>overruled</t>
        </is>
      </c>
      <c r="F589" s="2" t="inlineStr">
        <is>
          <t>Pushpa Devi M. Jatia v. M.L. Wadhavan, Additional Secretary, Government of India and Others</t>
        </is>
      </c>
      <c r="G589" s="11" t="inlineStr"/>
      <c r="H589" s="11" t="inlineStr">
        <is>
          <t>Supreme Court</t>
        </is>
      </c>
      <c r="I589" s="2" t="inlineStr">
        <is>
          <t>AIR 1987 SC 1156; (1987) CriLJ 1054; (1987) 2 JT 321; (1986) 2 SCALE 1081; (1986) 1 SCC 535 Supp; (1986) SCC 535 Supp; (1987) 1 UJ 213</t>
        </is>
      </c>
      <c r="J589" s="11" t="n">
        <v>1987</v>
      </c>
      <c r="K589" s="2" t="inlineStr">
        <is>
          <t>Sunil Fulchand Shah v. Union of India and Others</t>
        </is>
      </c>
      <c r="L589" s="11" t="inlineStr">
        <is>
          <t>Supreme Court</t>
        </is>
      </c>
      <c r="M589" s="2" t="inlineStr">
        <is>
          <t>AIR 2000 SC 1023; (2000) CriLJ 1444; (2000) 1 CTC 694; (2000) 68 ECC 209; (2000) 2 JT 230; (2000) 1 SCALE 660; (2000) 3 SCC 409; (2000) 1 SCR 945; (2000) AIRSCW 582; (2000) 4 Supreme 682</t>
        </is>
      </c>
      <c r="N589" s="11" t="n">
        <v>2000</v>
      </c>
      <c r="O589" s="11" t="n"/>
      <c r="P589" s="11" t="n"/>
      <c r="Q589" s="11" t="n"/>
      <c r="R589" s="2" t="n"/>
      <c r="S589" s="2" t="n"/>
      <c r="T589" s="11" t="inlineStr"/>
      <c r="U589" s="11" t="inlineStr"/>
      <c r="V589" s="11" t="inlineStr">
        <is>
          <t>outside_list</t>
        </is>
      </c>
      <c r="W589" s="11" t="n"/>
      <c r="X589" s="11" t="n"/>
      <c r="Y589" s="11" t="n"/>
      <c r="Z589" s="11" t="inlineStr">
        <is>
          <t>Mr. Advocate</t>
        </is>
      </c>
      <c r="AA589" s="11" t="inlineStr">
        <is>
          <t>2026-10-07</t>
        </is>
      </c>
      <c r="AB589" s="11" t="inlineStr">
        <is>
          <t>name_year</t>
        </is>
      </c>
      <c r="AC589" s="2" t="inlineStr"/>
      <c r="AD589" s="2" t="inlineStr">
        <is>
          <t>Pushpa Devi M. Jatia v. M.L. Wadhavan, Additional Secretary, Government of India and Others (1987) was overruled by Sunil Fulchand Shah v. Union of India and Others (2000).</t>
        </is>
      </c>
      <c r="AE589" s="2" t="n"/>
      <c r="AF589" s="11" t="inlineStr">
        <is>
          <t>created from list 1</t>
        </is>
      </c>
    </row>
    <row r="590">
      <c r="A590" s="11" t="inlineStr">
        <is>
          <t>L1-0589</t>
        </is>
      </c>
      <c r="B590" s="11" t="inlineStr">
        <is>
          <t>List 1 (to ~2015)</t>
        </is>
      </c>
      <c r="C590" s="11" t="inlineStr">
        <is>
          <t>list1</t>
        </is>
      </c>
      <c r="D590" s="11" t="inlineStr">
        <is>
          <t>verified</t>
        </is>
      </c>
      <c r="E590" s="11" t="inlineStr">
        <is>
          <t>overruled</t>
        </is>
      </c>
      <c r="F590" s="2" t="inlineStr">
        <is>
          <t>Heavy Engineering Mazdoor Union v. State of Bihar and Others</t>
        </is>
      </c>
      <c r="G590" s="11" t="inlineStr"/>
      <c r="H590" s="11" t="inlineStr">
        <is>
          <t>Supreme Court</t>
        </is>
      </c>
      <c r="I590" s="2" t="inlineStr">
        <is>
          <t>AIR 1970 SC 82; (1969) 19 FLR 27; (1969) 2 LLJ 549; (1969) 1 SCC 765; (1969) 3 SCR 995</t>
        </is>
      </c>
      <c r="J590" s="11" t="n">
        <v>1970</v>
      </c>
      <c r="K590" s="2" t="inlineStr">
        <is>
          <t>Air India Statutory Corporation, etc. v. United Labour Union and others</t>
        </is>
      </c>
      <c r="L590" s="11" t="inlineStr">
        <is>
          <t>Supreme Court</t>
        </is>
      </c>
      <c r="M590" s="2" t="inlineStr">
        <is>
          <t>AIR 1997 SC 645; (1996) 11 JT 109; (1997) 1 LLJ 1113; (1996) 9 SCALE 70; (1997) 9 SCC 377; (1997) SCC(L&amp;S) 1344; (1996) 9 SCR 579 Supp; (1997) AIRSCW 430; (1997) 2 Supreme 165</t>
        </is>
      </c>
      <c r="N590" s="11" t="n">
        <v>1997</v>
      </c>
      <c r="O590" s="11" t="n"/>
      <c r="P590" s="11" t="n"/>
      <c r="Q590" s="11" t="n"/>
      <c r="R590" s="2" t="n"/>
      <c r="S590" s="2" t="n"/>
      <c r="T590" s="11" t="inlineStr"/>
      <c r="U590" s="11" t="inlineStr"/>
      <c r="V590" s="11" t="inlineStr">
        <is>
          <t>outside_list</t>
        </is>
      </c>
      <c r="W590" s="11" t="n"/>
      <c r="X590" s="11" t="n"/>
      <c r="Y590" s="11" t="n"/>
      <c r="Z590" s="11" t="inlineStr">
        <is>
          <t>Mr. Advocate</t>
        </is>
      </c>
      <c r="AA590" s="11" t="inlineStr">
        <is>
          <t>2026-10-07</t>
        </is>
      </c>
      <c r="AB590" s="11" t="inlineStr">
        <is>
          <t>name_year</t>
        </is>
      </c>
      <c r="AC590" s="2" t="inlineStr">
        <is>
          <t>L1-0575: overruled by Steel Authority of India Ltd. and Others etc. etc. v. National Union Water Front Workers and Others etc. (2001)</t>
        </is>
      </c>
      <c r="AD590" s="2" t="inlineStr">
        <is>
          <t>Heavy Engineering Mazdoor Union v. State of Bihar and Others (1970) was overruled by Air India Statutory Corporation, etc. v. United Labour Union and others (1997). Note: Air India Statutory Corporation, etc. v. United Labour Union and others was itself later overruled by Steel Authority of India Ltd. and Others etc. etc. v. National Union Water Front Workers and Others etc. (2001); the current position should be checked.</t>
        </is>
      </c>
      <c r="AE590" s="2" t="n"/>
      <c r="AF590" s="11" t="inlineStr">
        <is>
          <t>created from list 1</t>
        </is>
      </c>
    </row>
    <row r="591">
      <c r="A591" s="11" t="inlineStr">
        <is>
          <t>L1-0590</t>
        </is>
      </c>
      <c r="B591" s="11" t="inlineStr">
        <is>
          <t>List 1 (to ~2015)</t>
        </is>
      </c>
      <c r="C591" s="11" t="inlineStr">
        <is>
          <t>list1</t>
        </is>
      </c>
      <c r="D591" s="11" t="inlineStr">
        <is>
          <t>verified</t>
        </is>
      </c>
      <c r="E591" s="11" t="inlineStr">
        <is>
          <t>overruled</t>
        </is>
      </c>
      <c r="F591" s="2" t="inlineStr">
        <is>
          <t>Kanta Goel v. B.P. Pathak and Others</t>
        </is>
      </c>
      <c r="G591" s="11" t="inlineStr"/>
      <c r="H591" s="11" t="inlineStr">
        <is>
          <t>Supreme Court</t>
        </is>
      </c>
      <c r="I591" s="2" t="inlineStr">
        <is>
          <t>AIR 1977 SC 1599; (1977) 2 SCC 814; (1977) 3 SCR 412; (1977) 9 UJ 283</t>
        </is>
      </c>
      <c r="J591" s="11" t="n">
        <v>1977</v>
      </c>
      <c r="K591" s="2" t="inlineStr">
        <is>
          <t>Nathi Devi v. Radha Devi Gupta</t>
        </is>
      </c>
      <c r="L591" s="11" t="inlineStr">
        <is>
          <t>Supreme Court</t>
        </is>
      </c>
      <c r="M591" s="2" t="inlineStr">
        <is>
          <t>AIR 2005 SC 648; (2005) 1 JT 1; (2004) 10 SCALE 550; (2005) 2 SCC 271; (2005) AIRSCW 2721; (2005) 1 Supreme 393</t>
        </is>
      </c>
      <c r="N591" s="11" t="n">
        <v>2005</v>
      </c>
      <c r="O591" s="11" t="n"/>
      <c r="P591" s="11" t="n"/>
      <c r="Q591" s="11" t="n"/>
      <c r="R591" s="2" t="n"/>
      <c r="S591" s="2" t="n"/>
      <c r="T591" s="11" t="inlineStr"/>
      <c r="U591" s="11" t="inlineStr"/>
      <c r="V591" s="11" t="inlineStr">
        <is>
          <t>outside_list</t>
        </is>
      </c>
      <c r="W591" s="11" t="n"/>
      <c r="X591" s="11" t="n"/>
      <c r="Y591" s="11" t="n"/>
      <c r="Z591" s="11" t="inlineStr">
        <is>
          <t>Mr. Advocate</t>
        </is>
      </c>
      <c r="AA591" s="11" t="inlineStr">
        <is>
          <t>2026-10-07</t>
        </is>
      </c>
      <c r="AB591" s="11" t="inlineStr">
        <is>
          <t>name_year</t>
        </is>
      </c>
      <c r="AC591" s="2" t="inlineStr"/>
      <c r="AD591" s="2" t="inlineStr">
        <is>
          <t>Kanta Goel v. B.P. Pathak and Others (1977) was overruled by Nathi Devi v. Radha Devi Gupta (2005).</t>
        </is>
      </c>
      <c r="AE591" s="2" t="n"/>
      <c r="AF591" s="11" t="inlineStr">
        <is>
          <t>created from list 1</t>
        </is>
      </c>
    </row>
    <row r="592">
      <c r="A592" s="11" t="inlineStr">
        <is>
          <t>L1-0591</t>
        </is>
      </c>
      <c r="B592" s="11" t="inlineStr">
        <is>
          <t>List 1 (to ~2015)</t>
        </is>
      </c>
      <c r="C592" s="11" t="inlineStr">
        <is>
          <t>list1</t>
        </is>
      </c>
      <c r="D592" s="11" t="inlineStr">
        <is>
          <t>verified</t>
        </is>
      </c>
      <c r="E592" s="11" t="inlineStr">
        <is>
          <t>overruled</t>
        </is>
      </c>
      <c r="F592" s="2" t="inlineStr">
        <is>
          <t>Bihar State Harijan Kalyan Parishad v. Union of India and Others</t>
        </is>
      </c>
      <c r="G592" s="11" t="inlineStr"/>
      <c r="H592" s="11" t="inlineStr">
        <is>
          <t>Supreme Court</t>
        </is>
      </c>
      <c r="I592" s="2" t="inlineStr">
        <is>
          <t>AIR 1985 SC 983; (1985) 51 FLR 151; (1985) LabIC 1006; (1985) 2 LLJ 173; (1985) 1 SCALE 369; (1985) 2 SCC 644; (1985) 3 SCR 12; (1985) 1 SLJ 654; (1985) 17 UJ 769</t>
        </is>
      </c>
      <c r="J592" s="11" t="n">
        <v>1985</v>
      </c>
      <c r="K592" s="2" t="inlineStr">
        <is>
          <t>National Federation of S.B.I. and Others, etc. v. Union of India and Others</t>
        </is>
      </c>
      <c r="L592" s="11" t="inlineStr">
        <is>
          <t>Supreme Court</t>
        </is>
      </c>
      <c r="M592" s="2" t="inlineStr">
        <is>
          <t>AIR 1995 SC 1457; (1995) 3 JT 336; (1996) 1 LLJ 435; (1995) 2 SCALE 282; (1995) 3 SCC 532; (1995) 2 SCR 748; (1995) 3 SLJ 107; (1995) 2 UJ 157</t>
        </is>
      </c>
      <c r="N592" s="11" t="n">
        <v>1995</v>
      </c>
      <c r="O592" s="11" t="n"/>
      <c r="P592" s="11" t="n"/>
      <c r="Q592" s="11" t="n"/>
      <c r="R592" s="2" t="n"/>
      <c r="S592" s="2" t="n"/>
      <c r="T592" s="11" t="inlineStr"/>
      <c r="U592" s="11" t="inlineStr"/>
      <c r="V592" s="11" t="inlineStr">
        <is>
          <t>outside_list</t>
        </is>
      </c>
      <c r="W592" s="11" t="n"/>
      <c r="X592" s="11" t="n"/>
      <c r="Y592" s="11" t="n"/>
      <c r="Z592" s="11" t="inlineStr">
        <is>
          <t>Mr. Advocate</t>
        </is>
      </c>
      <c r="AA592" s="11" t="inlineStr">
        <is>
          <t>2026-10-07</t>
        </is>
      </c>
      <c r="AB592" s="11" t="inlineStr">
        <is>
          <t>name_year</t>
        </is>
      </c>
      <c r="AC592" s="2" t="inlineStr"/>
      <c r="AD592" s="2" t="inlineStr">
        <is>
          <t>Bihar State Harijan Kalyan Parishad v. Union of India and Others (1985) was overruled by National Federation of S.B.I. and Others, etc. v. Union of India and Others (1995).</t>
        </is>
      </c>
      <c r="AE592" s="2" t="n"/>
      <c r="AF592" s="11" t="inlineStr">
        <is>
          <t>created from list 1</t>
        </is>
      </c>
    </row>
    <row r="593">
      <c r="A593" s="11" t="inlineStr">
        <is>
          <t>L1-0592</t>
        </is>
      </c>
      <c r="B593" s="11" t="inlineStr">
        <is>
          <t>List 1 (to ~2015)</t>
        </is>
      </c>
      <c r="C593" s="11" t="inlineStr">
        <is>
          <t>list1</t>
        </is>
      </c>
      <c r="D593" s="11" t="inlineStr">
        <is>
          <t>verified</t>
        </is>
      </c>
      <c r="E593" s="11" t="inlineStr">
        <is>
          <t>overruled</t>
        </is>
      </c>
      <c r="F593" s="2" t="inlineStr">
        <is>
          <t>Shri Rattan Lal v. Shri Vardesh Chander and Others</t>
        </is>
      </c>
      <c r="G593" s="11" t="inlineStr"/>
      <c r="H593" s="11" t="inlineStr">
        <is>
          <t>Supreme Court</t>
        </is>
      </c>
      <c r="I593" s="2" t="inlineStr">
        <is>
          <t>AIR 1976 SC 588; (1976) 2 SCC 103; (1976) 2 SCR 906</t>
        </is>
      </c>
      <c r="J593" s="11" t="n">
        <v>1976</v>
      </c>
      <c r="K593" s="2" t="inlineStr">
        <is>
          <t>V. Dhanapal Chettiar v. Yesodai Ammal</t>
        </is>
      </c>
      <c r="L593" s="11" t="inlineStr">
        <is>
          <t>Supreme Court</t>
        </is>
      </c>
      <c r="M593" s="2" t="inlineStr">
        <is>
          <t>AIR 1979 SC 1745; (1979) 4 SCC 214; (1980) 1 SCR 334</t>
        </is>
      </c>
      <c r="N593" s="11" t="n">
        <v>1979</v>
      </c>
      <c r="O593" s="11" t="n"/>
      <c r="P593" s="11" t="n"/>
      <c r="Q593" s="11" t="n"/>
      <c r="R593" s="2" t="n"/>
      <c r="S593" s="2" t="n"/>
      <c r="T593" s="11" t="inlineStr"/>
      <c r="U593" s="11" t="inlineStr"/>
      <c r="V593" s="11" t="inlineStr">
        <is>
          <t>outside_list</t>
        </is>
      </c>
      <c r="W593" s="11" t="n"/>
      <c r="X593" s="11" t="n"/>
      <c r="Y593" s="11" t="n"/>
      <c r="Z593" s="11" t="inlineStr">
        <is>
          <t>Mr. Advocate</t>
        </is>
      </c>
      <c r="AA593" s="11" t="inlineStr">
        <is>
          <t>2026-10-07</t>
        </is>
      </c>
      <c r="AB593" s="11" t="inlineStr">
        <is>
          <t>name_year</t>
        </is>
      </c>
      <c r="AC593" s="2" t="inlineStr">
        <is>
          <t>L1-0237: overruled by Tara Chand and Another v. Ram Prasad (1990)</t>
        </is>
      </c>
      <c r="AD593" s="2" t="inlineStr">
        <is>
          <t>Shri Rattan Lal v. Shri Vardesh Chander and Others (1976) was overruled by V. Dhanapal Chettiar v. Yesodai Ammal (1979). Note: V. Dhanapal Chettiar v. Yesodai Ammal was itself later overruled by Tara Chand and Another v. Ram Prasad (1990); the current position should be checked.</t>
        </is>
      </c>
      <c r="AE593" s="2" t="n"/>
      <c r="AF593" s="11" t="inlineStr">
        <is>
          <t>created from list 1</t>
        </is>
      </c>
    </row>
    <row r="594">
      <c r="A594" s="11" t="inlineStr">
        <is>
          <t>L1-0593</t>
        </is>
      </c>
      <c r="B594" s="11" t="inlineStr">
        <is>
          <t>List 1 (to ~2015)</t>
        </is>
      </c>
      <c r="C594" s="11" t="inlineStr">
        <is>
          <t>list1</t>
        </is>
      </c>
      <c r="D594" s="11" t="inlineStr">
        <is>
          <t>verified</t>
        </is>
      </c>
      <c r="E594" s="11" t="inlineStr">
        <is>
          <t>overruled</t>
        </is>
      </c>
      <c r="F594" s="2" t="inlineStr">
        <is>
          <t>V.K. Sharma v. Union of India and Others</t>
        </is>
      </c>
      <c r="G594" s="11" t="inlineStr"/>
      <c r="H594" s="11" t="inlineStr">
        <is>
          <t>Supreme Court</t>
        </is>
      </c>
      <c r="I594" s="2" t="inlineStr">
        <is>
          <t>(2000) 9 JT 32; (2000) 2 SCALE 640; (2000) 9 SCC 449</t>
        </is>
      </c>
      <c r="J594" s="11" t="n">
        <v>2000</v>
      </c>
      <c r="K594" s="2" t="inlineStr">
        <is>
          <t>State of Punjab and Another v. Rajesh Syal</t>
        </is>
      </c>
      <c r="L594" s="11" t="inlineStr">
        <is>
          <t>Supreme Court</t>
        </is>
      </c>
      <c r="M594" s="2" t="inlineStr">
        <is>
          <t>AIR 2002 SC 3687; (2003) 95 CLT 359; (2003) CriLJ 60; (2002) 8 JT 18; (2002) 7 SCALE 348; (2002) 8 SCC 158; (2002) 3 SCR 124 Supp; (2002) 2 UJ 1494</t>
        </is>
      </c>
      <c r="N594" s="11" t="n">
        <v>2002</v>
      </c>
      <c r="O594" s="11" t="n"/>
      <c r="P594" s="11" t="n"/>
      <c r="Q594" s="11" t="n"/>
      <c r="R594" s="2" t="n"/>
      <c r="S594" s="2" t="n"/>
      <c r="T594" s="11" t="inlineStr"/>
      <c r="U594" s="11" t="inlineStr"/>
      <c r="V594" s="11" t="inlineStr">
        <is>
          <t>outside_list</t>
        </is>
      </c>
      <c r="W594" s="11" t="n"/>
      <c r="X594" s="11" t="n"/>
      <c r="Y594" s="11" t="n"/>
      <c r="Z594" s="11" t="inlineStr">
        <is>
          <t>Mr. Advocate</t>
        </is>
      </c>
      <c r="AA594" s="11" t="inlineStr">
        <is>
          <t>2026-10-07</t>
        </is>
      </c>
      <c r="AB594" s="11" t="inlineStr">
        <is>
          <t>name_year</t>
        </is>
      </c>
      <c r="AC594" s="2" t="inlineStr"/>
      <c r="AD594" s="2" t="inlineStr">
        <is>
          <t>V.K. Sharma v. Union of India and Others (2000) was overruled by State of Punjab and Another v. Rajesh Syal (2002).</t>
        </is>
      </c>
      <c r="AE594" s="2" t="n"/>
      <c r="AF594" s="11" t="inlineStr">
        <is>
          <t>created from list 1</t>
        </is>
      </c>
    </row>
    <row r="595">
      <c r="A595" s="11" t="inlineStr">
        <is>
          <t>L1-0594</t>
        </is>
      </c>
      <c r="B595" s="11" t="inlineStr">
        <is>
          <t>List 1 (to ~2015)</t>
        </is>
      </c>
      <c r="C595" s="11" t="inlineStr">
        <is>
          <t>list1</t>
        </is>
      </c>
      <c r="D595" s="11" t="inlineStr">
        <is>
          <t>verified</t>
        </is>
      </c>
      <c r="E595" s="11" t="inlineStr">
        <is>
          <t>disputed_listing</t>
        </is>
      </c>
      <c r="F595" s="2" t="inlineStr">
        <is>
          <t>Commissioner of Income Tax, West Bengal-1, Calcutta v. Simon Carves Limited</t>
        </is>
      </c>
      <c r="G595" s="11" t="inlineStr"/>
      <c r="H595" s="11" t="inlineStr">
        <is>
          <t>Supreme Court</t>
        </is>
      </c>
      <c r="I595" s="2" t="inlineStr">
        <is>
          <t>AIR 1976 SC 2368; (1976) 105 ITR 212; (1977) SCC 61; (1976) 4 SCC 435; (1977) 1 SCR 207; (1976) 8 UJ 771</t>
        </is>
      </c>
      <c r="J595" s="11" t="n">
        <v>1976</v>
      </c>
      <c r="K595" s="2" t="inlineStr">
        <is>
          <t>The Commissioner of Income Tax, Lucknow v. Sh. Madho Pd. Jatia</t>
        </is>
      </c>
      <c r="L595" s="11" t="inlineStr">
        <is>
          <t>Supreme Court</t>
        </is>
      </c>
      <c r="M595" s="2" t="inlineStr">
        <is>
          <t>AIR 1977 SC 420; (1976) 4 SCC 92; (1977) 1 SCR 202; (1976) 8 UJ 810</t>
        </is>
      </c>
      <c r="N595" s="11" t="n">
        <v>1977</v>
      </c>
      <c r="O595" s="11" t="n"/>
      <c r="P595" s="11" t="n"/>
      <c r="Q595" s="11" t="n"/>
      <c r="R595" s="2" t="n"/>
      <c r="S595" s="2" t="n"/>
      <c r="T595" s="11" t="inlineStr"/>
      <c r="U595" s="11" t="inlineStr">
        <is>
          <t>list_mutual_pair</t>
        </is>
      </c>
      <c r="V595" s="11" t="inlineStr">
        <is>
          <t>outside_list</t>
        </is>
      </c>
      <c r="W595" s="11" t="n"/>
      <c r="X595" s="11" t="n"/>
      <c r="Y595" s="11" t="n"/>
      <c r="Z595" s="11" t="inlineStr">
        <is>
          <t>Mr. Advocate</t>
        </is>
      </c>
      <c r="AA595" s="11" t="inlineStr">
        <is>
          <t>2026-10-07</t>
        </is>
      </c>
      <c r="AB595" s="11" t="inlineStr">
        <is>
          <t>name_year</t>
        </is>
      </c>
      <c r="AC595" s="2" t="inlineStr">
        <is>
          <t>L1-0474: listed in our reference list as overruled by Commissioner of Income Tax, West Bengal-1, Calcutta v. Simon Carves Limited (1976), but the list is inconsistent on this entry</t>
        </is>
      </c>
      <c r="AD595" s="2" t="inlineStr">
        <is>
          <t>Commissioner of Income Tax, West Bengal-1, Calcutta v. Simon Carves Limited (1976) is listed in our reference list as overruled by The Commissioner of Income Tax, Lucknow v. Sh. Madho Pd. Jatia (1977), but the list is inconsistent on this entry. Note: The Commissioner of Income Tax, Lucknow v. Sh. Madho Pd. Jatia was itself later listed in our reference list as overruled by Commissioner of Income Tax, West Bengal-1, Calcutta v. Simon Carves Limited (1976), but the list is inconsistent on this entry; the current position should be checked.</t>
        </is>
      </c>
      <c r="AE595" s="2" t="n"/>
      <c r="AF595" s="11" t="inlineStr">
        <is>
          <t>created from list 1</t>
        </is>
      </c>
    </row>
    <row r="596">
      <c r="A596" s="11" t="inlineStr">
        <is>
          <t>L1-0595</t>
        </is>
      </c>
      <c r="B596" s="11" t="inlineStr">
        <is>
          <t>List 1 (to ~2015)</t>
        </is>
      </c>
      <c r="C596" s="11" t="inlineStr">
        <is>
          <t>list1</t>
        </is>
      </c>
      <c r="D596" s="11" t="inlineStr">
        <is>
          <t>verified</t>
        </is>
      </c>
      <c r="E596" s="11" t="inlineStr">
        <is>
          <t>overruled</t>
        </is>
      </c>
      <c r="F596" s="2" t="inlineStr">
        <is>
          <t>Mangilal v. Suganchand Rathi</t>
        </is>
      </c>
      <c r="G596" s="11" t="inlineStr"/>
      <c r="H596" s="11" t="inlineStr">
        <is>
          <t>Supreme Court</t>
        </is>
      </c>
      <c r="I596" s="2" t="inlineStr">
        <is>
          <t>AIR 1965 SC 101; (1964) 5 SCR 239</t>
        </is>
      </c>
      <c r="J596" s="11" t="n">
        <v>1965</v>
      </c>
      <c r="K596" s="2" t="inlineStr">
        <is>
          <t>V. Dhanapal Chettiar v. Yesodai Ammal</t>
        </is>
      </c>
      <c r="L596" s="11" t="inlineStr">
        <is>
          <t>Supreme Court</t>
        </is>
      </c>
      <c r="M596" s="2" t="inlineStr">
        <is>
          <t>AIR 1979 SC 1745; (1979) 4 SCC 214; (1980) 1 SCR 334</t>
        </is>
      </c>
      <c r="N596" s="11" t="n">
        <v>1979</v>
      </c>
      <c r="O596" s="11" t="n"/>
      <c r="P596" s="11" t="n"/>
      <c r="Q596" s="11" t="n"/>
      <c r="R596" s="2" t="n"/>
      <c r="S596" s="2" t="n"/>
      <c r="T596" s="11" t="inlineStr"/>
      <c r="U596" s="11" t="inlineStr"/>
      <c r="V596" s="11" t="inlineStr">
        <is>
          <t>outside_list</t>
        </is>
      </c>
      <c r="W596" s="11" t="n"/>
      <c r="X596" s="11" t="n"/>
      <c r="Y596" s="11" t="n"/>
      <c r="Z596" s="11" t="inlineStr">
        <is>
          <t>Mr. Advocate</t>
        </is>
      </c>
      <c r="AA596" s="11" t="inlineStr">
        <is>
          <t>2026-10-07</t>
        </is>
      </c>
      <c r="AB596" s="11" t="inlineStr">
        <is>
          <t>name_year</t>
        </is>
      </c>
      <c r="AC596" s="2" t="inlineStr">
        <is>
          <t>L1-0237: overruled by Tara Chand and Another v. Ram Prasad (1990)</t>
        </is>
      </c>
      <c r="AD596" s="2" t="inlineStr">
        <is>
          <t>Mangilal v. Suganchand Rathi (1965) was overruled by V. Dhanapal Chettiar v. Yesodai Ammal (1979). Note: V. Dhanapal Chettiar v. Yesodai Ammal was itself later overruled by Tara Chand and Another v. Ram Prasad (1990); the current position should be checked.</t>
        </is>
      </c>
      <c r="AE596" s="2" t="n"/>
      <c r="AF596" s="11" t="inlineStr">
        <is>
          <t>created from list 1</t>
        </is>
      </c>
    </row>
    <row r="597">
      <c r="A597" s="11" t="inlineStr">
        <is>
          <t>L1-0596</t>
        </is>
      </c>
      <c r="B597" s="11" t="inlineStr">
        <is>
          <t>List 1 (to ~2015)</t>
        </is>
      </c>
      <c r="C597" s="11" t="inlineStr">
        <is>
          <t>list1</t>
        </is>
      </c>
      <c r="D597" s="11" t="inlineStr">
        <is>
          <t>verified</t>
        </is>
      </c>
      <c r="E597" s="11" t="inlineStr">
        <is>
          <t>overruled</t>
        </is>
      </c>
      <c r="F597" s="2" t="inlineStr">
        <is>
          <t>Ibrahim Ahmad Batti alias Mohd. Akhtar Hussain alias Kandar Ahmed Wagher alias Iqbal alias Gulam v. State of Gujarat and Others</t>
        </is>
      </c>
      <c r="G597" s="11" t="inlineStr"/>
      <c r="H597" s="11" t="inlineStr">
        <is>
          <t>Supreme Court</t>
        </is>
      </c>
      <c r="I597" s="2" t="inlineStr">
        <is>
          <t>AIR 1982 SC 1500; (1983) 1 Crimes 275; (1982) 2 SCALE 888; (1982) 3 SCC 440; (1983) 1 SCR 540</t>
        </is>
      </c>
      <c r="J597" s="11" t="n">
        <v>1982</v>
      </c>
      <c r="K597" s="2" t="inlineStr">
        <is>
          <t>State of Rajasthan and another v. Talib Khan and others</t>
        </is>
      </c>
      <c r="L597" s="11" t="inlineStr">
        <is>
          <t>Supreme Court</t>
        </is>
      </c>
      <c r="M597" s="2" t="inlineStr">
        <is>
          <t>(1996) 8 AD 340; AIR 1997 SC 1559; (1997) CriLJ 408; (1996) 4 Crimes 189; (1996) 10 JT 471; (1996) 8 SCALE 169; (1996) 11 SCC 393; (1996) 7 SCR 742 Supp; (1997) AIRSCW 312; (1996) 8 Supreme 258</t>
        </is>
      </c>
      <c r="N597" s="11" t="n">
        <v>1997</v>
      </c>
      <c r="O597" s="11" t="n"/>
      <c r="P597" s="11" t="n"/>
      <c r="Q597" s="11" t="n"/>
      <c r="R597" s="2" t="n"/>
      <c r="S597" s="2" t="n"/>
      <c r="T597" s="11" t="inlineStr"/>
      <c r="U597" s="11" t="inlineStr"/>
      <c r="V597" s="11" t="inlineStr">
        <is>
          <t>outside_list</t>
        </is>
      </c>
      <c r="W597" s="11" t="n"/>
      <c r="X597" s="11" t="n"/>
      <c r="Y597" s="11" t="n"/>
      <c r="Z597" s="11" t="inlineStr">
        <is>
          <t>Mr. Advocate</t>
        </is>
      </c>
      <c r="AA597" s="11" t="inlineStr">
        <is>
          <t>2026-10-07</t>
        </is>
      </c>
      <c r="AB597" s="11" t="inlineStr">
        <is>
          <t>citation</t>
        </is>
      </c>
      <c r="AC597" s="2" t="inlineStr"/>
      <c r="AD597" s="2" t="inlineStr">
        <is>
          <t>Ibrahim Ahmad Batti alias Mohd. Akhtar Hussain alias Kandar Ahmed Wagher alias Iqbal alias Gulam v. State of Gujarat and Others (1982) was overruled by State of Rajasthan and another v. Talib Khan and others (1997).</t>
        </is>
      </c>
      <c r="AE597" s="2" t="n"/>
      <c r="AF597" s="11" t="inlineStr">
        <is>
          <t>created from list 1</t>
        </is>
      </c>
    </row>
    <row r="598">
      <c r="A598" s="11" t="inlineStr">
        <is>
          <t>L1-0597</t>
        </is>
      </c>
      <c r="B598" s="11" t="inlineStr">
        <is>
          <t>List 1 (to ~2015)</t>
        </is>
      </c>
      <c r="C598" s="11" t="inlineStr">
        <is>
          <t>list1</t>
        </is>
      </c>
      <c r="D598" s="11" t="inlineStr">
        <is>
          <t>verified</t>
        </is>
      </c>
      <c r="E598" s="11" t="inlineStr">
        <is>
          <t>overruled</t>
        </is>
      </c>
      <c r="F598" s="2" t="inlineStr">
        <is>
          <t>Secretary, Madras Gymkhana Club Employees’ Union v. Management of the Gymkhana Club</t>
        </is>
      </c>
      <c r="G598" s="11" t="inlineStr"/>
      <c r="H598" s="11" t="inlineStr">
        <is>
          <t>Supreme Court</t>
        </is>
      </c>
      <c r="I598" s="2" t="inlineStr">
        <is>
          <t>AIR 1968 SC 554; (1967) 15 FLR 411; (1967) 2 LLJ 720; (1968) 1 SCR 742</t>
        </is>
      </c>
      <c r="J598" s="11" t="n">
        <v>1968</v>
      </c>
      <c r="K598" s="2" t="inlineStr">
        <is>
          <t>Bangalore Water Supply and Sewerage Board v. A. Rajappa and Others</t>
        </is>
      </c>
      <c r="L598" s="11" t="inlineStr">
        <is>
          <t>Supreme Court</t>
        </is>
      </c>
      <c r="M598" s="2" t="inlineStr">
        <is>
          <t>AIR 1978 SC 969; AIR 1978 SC 548; (1978) 36 FLR 266; (1978) 2 LLJ 73; (1978) 1 LLJ 349; (1978) 2 SCC 213; (1978) 3 SCR 207</t>
        </is>
      </c>
      <c r="N598" s="11" t="n">
        <v>1978</v>
      </c>
      <c r="O598" s="11" t="n"/>
      <c r="P598" s="11" t="n"/>
      <c r="Q598" s="11" t="n"/>
      <c r="R598" s="2" t="n"/>
      <c r="S598" s="2" t="n"/>
      <c r="T598" s="11" t="inlineStr"/>
      <c r="U598" s="11" t="inlineStr"/>
      <c r="V598" s="11" t="inlineStr">
        <is>
          <t>outside_list</t>
        </is>
      </c>
      <c r="W598" s="11" t="n"/>
      <c r="X598" s="11" t="n"/>
      <c r="Y598" s="11" t="n"/>
      <c r="Z598" s="11" t="inlineStr">
        <is>
          <t>Mr. Advocate</t>
        </is>
      </c>
      <c r="AA598" s="11" t="inlineStr">
        <is>
          <t>2026-10-07</t>
        </is>
      </c>
      <c r="AB598" s="11" t="inlineStr">
        <is>
          <t>name_year</t>
        </is>
      </c>
      <c r="AC598" s="2" t="inlineStr"/>
      <c r="AD598" s="2" t="inlineStr">
        <is>
          <t>Secretary, Madras Gymkhana Club Employees’ Union v. Management of the Gymkhana Club (1968) was overruled by Bangalore Water Supply and Sewerage Board v. A. Rajappa and Others (1978).</t>
        </is>
      </c>
      <c r="AE598" s="2" t="n"/>
      <c r="AF598" s="11" t="inlineStr">
        <is>
          <t>created from list 1</t>
        </is>
      </c>
    </row>
    <row r="599">
      <c r="A599" s="11" t="inlineStr">
        <is>
          <t>L1-0598</t>
        </is>
      </c>
      <c r="B599" s="11" t="inlineStr">
        <is>
          <t>List 1 (to ~2015)</t>
        </is>
      </c>
      <c r="C599" s="11" t="inlineStr">
        <is>
          <t>list1</t>
        </is>
      </c>
      <c r="D599" s="11" t="inlineStr">
        <is>
          <t>verified</t>
        </is>
      </c>
      <c r="E599" s="11" t="inlineStr">
        <is>
          <t>overruled</t>
        </is>
      </c>
      <c r="F599" s="2" t="inlineStr">
        <is>
          <t>H.R.S. Murthy v. Collector of Chittoor and Another</t>
        </is>
      </c>
      <c r="G599" s="11" t="inlineStr"/>
      <c r="H599" s="11" t="inlineStr">
        <is>
          <t>Supreme Court</t>
        </is>
      </c>
      <c r="I599" s="2" t="inlineStr">
        <is>
          <t>AIR 1965 SC 177; (1964) 6 SCR 666</t>
        </is>
      </c>
      <c r="J599" s="11" t="n">
        <v>1965</v>
      </c>
      <c r="K599" s="2" t="inlineStr">
        <is>
          <t>India Cement Ltd. and Others v. State Of Tamil Nadu and Others</t>
        </is>
      </c>
      <c r="L599" s="11" t="inlineStr">
        <is>
          <t>Supreme Court</t>
        </is>
      </c>
      <c r="M599" s="2" t="inlineStr">
        <is>
          <t>AIR 1990 SC 85; (1991) 188 ITR 690; (1989) 4 JT 190; (1989) 2 SCALE 953; (1990) 1 SCC 12; (1989) 1 SCR 692 Supp</t>
        </is>
      </c>
      <c r="N599" s="11" t="n">
        <v>1990</v>
      </c>
      <c r="O599" s="11" t="n"/>
      <c r="P599" s="11" t="n"/>
      <c r="Q599" s="11" t="n"/>
      <c r="R599" s="2" t="n"/>
      <c r="S599" s="2" t="n"/>
      <c r="T599" s="11" t="inlineStr"/>
      <c r="U599" s="11" t="inlineStr"/>
      <c r="V599" s="11" t="inlineStr">
        <is>
          <t>outside_list</t>
        </is>
      </c>
      <c r="W599" s="11" t="n"/>
      <c r="X599" s="11" t="n"/>
      <c r="Y599" s="11" t="n"/>
      <c r="Z599" s="11" t="inlineStr">
        <is>
          <t>Mr. Advocate</t>
        </is>
      </c>
      <c r="AA599" s="11" t="inlineStr">
        <is>
          <t>2026-10-07</t>
        </is>
      </c>
      <c r="AB599" s="11" t="inlineStr">
        <is>
          <t>name_year</t>
        </is>
      </c>
      <c r="AC599" s="2" t="inlineStr">
        <is>
          <t>L2-050: overruled in part by Mineral Area Development Authority v. Steel Authority of India (2024) (to the extent of the observations made in the present case; India Cement had held royalty to be a tax)</t>
        </is>
      </c>
      <c r="AD599" s="2" t="inlineStr">
        <is>
          <t>H.R.S. Murthy v. Collector of Chittoor and Another (1965) was overruled by India Cement Ltd. and Others v. State Of Tamil Nadu and Others (1990). Note: India Cement Ltd. and Others v. State Of Tamil Nadu and Others was itself later overruled in part by Mineral Area Development Authority v. Steel Authority of India (2024) (to the extent of the observations made in the present case; India Cement had held royalty to be a tax); the current position should be checked.</t>
        </is>
      </c>
      <c r="AE599" s="2" t="n"/>
      <c r="AF599" s="11" t="inlineStr">
        <is>
          <t>created from list 1</t>
        </is>
      </c>
    </row>
    <row r="600">
      <c r="A600" s="11" t="inlineStr">
        <is>
          <t>L1-0599</t>
        </is>
      </c>
      <c r="B600" s="11" t="inlineStr">
        <is>
          <t>List 1 (to ~2015)</t>
        </is>
      </c>
      <c r="C600" s="11" t="inlineStr">
        <is>
          <t>list1</t>
        </is>
      </c>
      <c r="D600" s="11" t="inlineStr">
        <is>
          <t>verified</t>
        </is>
      </c>
      <c r="E600" s="11" t="inlineStr">
        <is>
          <t>overruled</t>
        </is>
      </c>
      <c r="F600" s="2" t="inlineStr">
        <is>
          <t>Hava Singh v. State of Haryana and Another</t>
        </is>
      </c>
      <c r="G600" s="11" t="inlineStr"/>
      <c r="H600" s="11" t="inlineStr">
        <is>
          <t>Supreme Court</t>
        </is>
      </c>
      <c r="I600" s="2" t="inlineStr">
        <is>
          <t>AIR 1987 SC 2001; (1987) CriLJ 1919; (1987) 3 JT 375; (1987) 2 SCALE 345; (1987) 4 SCC 207; (1987) 3 SCR 1061; (1987) 2 UJ 600</t>
        </is>
      </c>
      <c r="J600" s="11" t="n">
        <v>1987</v>
      </c>
      <c r="K600" s="2" t="inlineStr">
        <is>
          <t>Subhas Chand v. State of Haryana and Others</t>
        </is>
      </c>
      <c r="L600" s="11" t="inlineStr">
        <is>
          <t>Supreme Court</t>
        </is>
      </c>
      <c r="M600" s="2" t="inlineStr">
        <is>
          <t>AIR 1988 SC 584(1); (1988) CriLJ 907; (1988) 1 Crimes 598; (1988) 1 JT 109; (1988) 1 SCALE 99; (1988) 1 SCC 717; (1988) 2 SCR 556</t>
        </is>
      </c>
      <c r="N600" s="11" t="n">
        <v>1988</v>
      </c>
      <c r="O600" s="11" t="n"/>
      <c r="P600" s="11" t="n"/>
      <c r="Q600" s="11" t="n"/>
      <c r="R600" s="2" t="n"/>
      <c r="S600" s="2" t="n"/>
      <c r="T600" s="11" t="inlineStr"/>
      <c r="U600" s="11" t="inlineStr"/>
      <c r="V600" s="11" t="inlineStr">
        <is>
          <t>outside_list</t>
        </is>
      </c>
      <c r="W600" s="11" t="n"/>
      <c r="X600" s="11" t="n"/>
      <c r="Y600" s="11" t="n"/>
      <c r="Z600" s="11" t="inlineStr">
        <is>
          <t>Mr. Advocate</t>
        </is>
      </c>
      <c r="AA600" s="11" t="inlineStr">
        <is>
          <t>2026-10-07</t>
        </is>
      </c>
      <c r="AB600" s="11" t="inlineStr">
        <is>
          <t>name_year</t>
        </is>
      </c>
      <c r="AC600" s="2" t="inlineStr"/>
      <c r="AD600" s="2" t="inlineStr">
        <is>
          <t>Hava Singh v. State of Haryana and Another (1987) was overruled by Subhas Chand v. State of Haryana and Others (1988).</t>
        </is>
      </c>
      <c r="AE600" s="2" t="n"/>
      <c r="AF600" s="11" t="inlineStr">
        <is>
          <t>created from list 1</t>
        </is>
      </c>
    </row>
    <row r="601">
      <c r="A601" s="11" t="inlineStr">
        <is>
          <t>L1-0600</t>
        </is>
      </c>
      <c r="B601" s="11" t="inlineStr">
        <is>
          <t>List 1 (to ~2015)</t>
        </is>
      </c>
      <c r="C601" s="11" t="inlineStr">
        <is>
          <t>list1</t>
        </is>
      </c>
      <c r="D601" s="11" t="inlineStr">
        <is>
          <t>verified</t>
        </is>
      </c>
      <c r="E601" s="11" t="inlineStr">
        <is>
          <t>overruled</t>
        </is>
      </c>
      <c r="F601" s="2" t="inlineStr">
        <is>
          <t>Anand Nivas (Private) Ltd. v. Anandji Kalyanji Pedhi and Others</t>
        </is>
      </c>
      <c r="G601" s="11" t="inlineStr"/>
      <c r="H601" s="11" t="inlineStr">
        <is>
          <t>Supreme Court</t>
        </is>
      </c>
      <c r="I601" s="2" t="inlineStr">
        <is>
          <t>AIR 1965 SC 414; (1964) 4 SCR 892</t>
        </is>
      </c>
      <c r="J601" s="11" t="n">
        <v>1965</v>
      </c>
      <c r="K601" s="2" t="inlineStr">
        <is>
          <t>Tara Chand and Another v. Ram Prasad</t>
        </is>
      </c>
      <c r="L601" s="11" t="inlineStr">
        <is>
          <t>Supreme Court</t>
        </is>
      </c>
      <c r="M601" s="2" t="inlineStr">
        <is>
          <t>(1990) 3 JT 17; (1990) 3 SCC 526; (1990) 3 SCR 7; (1990) 2 UJ 157</t>
        </is>
      </c>
      <c r="N601" s="11" t="n">
        <v>1990</v>
      </c>
      <c r="O601" s="11" t="n"/>
      <c r="P601" s="11" t="n"/>
      <c r="Q601" s="11" t="n"/>
      <c r="R601" s="2" t="n"/>
      <c r="S601" s="2" t="n"/>
      <c r="T601" s="11" t="inlineStr"/>
      <c r="U601" s="11" t="inlineStr"/>
      <c r="V601" s="11" t="inlineStr">
        <is>
          <t>outside_list</t>
        </is>
      </c>
      <c r="W601" s="11" t="n"/>
      <c r="X601" s="11" t="n"/>
      <c r="Y601" s="11" t="n"/>
      <c r="Z601" s="11" t="inlineStr">
        <is>
          <t>Mr. Advocate</t>
        </is>
      </c>
      <c r="AA601" s="11" t="inlineStr">
        <is>
          <t>2026-10-07</t>
        </is>
      </c>
      <c r="AB601" s="11" t="inlineStr">
        <is>
          <t>name_year</t>
        </is>
      </c>
      <c r="AC601" s="2" t="inlineStr"/>
      <c r="AD601" s="2" t="inlineStr">
        <is>
          <t>Anand Nivas (Private) Ltd. v. Anandji Kalyanji Pedhi and Others (1965) was overruled by Tara Chand and Another v. Ram Prasad (1990).</t>
        </is>
      </c>
      <c r="AE601" s="2" t="n"/>
      <c r="AF601" s="11" t="inlineStr">
        <is>
          <t>created from list 1</t>
        </is>
      </c>
    </row>
    <row r="602">
      <c r="A602" s="11" t="inlineStr">
        <is>
          <t>L1-0601</t>
        </is>
      </c>
      <c r="B602" s="11" t="inlineStr">
        <is>
          <t>List 1 (to ~2015)</t>
        </is>
      </c>
      <c r="C602" s="11" t="inlineStr">
        <is>
          <t>list1</t>
        </is>
      </c>
      <c r="D602" s="11" t="inlineStr">
        <is>
          <t>verified</t>
        </is>
      </c>
      <c r="E602" s="11" t="inlineStr">
        <is>
          <t>overruled</t>
        </is>
      </c>
      <c r="F602" s="2" t="inlineStr">
        <is>
          <t>The Ahmedabad Miscellaneous Industrial Workers’ Union v. The Ahmedabad Electricity Co. Ltd.</t>
        </is>
      </c>
      <c r="G602" s="11" t="inlineStr"/>
      <c r="H602" s="11" t="inlineStr">
        <is>
          <t>Supreme Court</t>
        </is>
      </c>
      <c r="I602" s="2" t="inlineStr">
        <is>
          <t>AIR 1962 SC 1255; (1961) 3 FLR 228; (1961) 2 LLJ 377; (1962) 2 SCR 934</t>
        </is>
      </c>
      <c r="J602" s="11" t="n">
        <v>1962</v>
      </c>
      <c r="K602" s="2" t="inlineStr">
        <is>
          <t>Jalan Trading Co. (Private Ltd.) v. Mill Mazdoor Union</t>
        </is>
      </c>
      <c r="L602" s="11" t="inlineStr">
        <is>
          <t>Supreme Court</t>
        </is>
      </c>
      <c r="M602" s="2" t="inlineStr">
        <is>
          <t>AIR 1967 SC 691; (1966) 36 CompCas 901; (1966) 2 LLJ 546; (1967) 1 SCR 15</t>
        </is>
      </c>
      <c r="N602" s="11" t="n">
        <v>1967</v>
      </c>
      <c r="O602" s="11" t="n"/>
      <c r="P602" s="11" t="n"/>
      <c r="Q602" s="11" t="n"/>
      <c r="R602" s="2" t="n"/>
      <c r="S602" s="2" t="n"/>
      <c r="T602" s="11" t="inlineStr"/>
      <c r="U602" s="11" t="inlineStr"/>
      <c r="V602" s="11" t="inlineStr">
        <is>
          <t>outside_list</t>
        </is>
      </c>
      <c r="W602" s="11" t="n"/>
      <c r="X602" s="11" t="n"/>
      <c r="Y602" s="11" t="n"/>
      <c r="Z602" s="11" t="inlineStr">
        <is>
          <t>Mr. Advocate</t>
        </is>
      </c>
      <c r="AA602" s="11" t="inlineStr">
        <is>
          <t>2026-10-07</t>
        </is>
      </c>
      <c r="AB602" s="11" t="inlineStr">
        <is>
          <t>name_year</t>
        </is>
      </c>
      <c r="AC602" s="2" t="inlineStr"/>
      <c r="AD602" s="2" t="inlineStr">
        <is>
          <t>The Ahmedabad Miscellaneous Industrial Workers’ Union v. The Ahmedabad Electricity Co. Ltd. (1962) was overruled by Jalan Trading Co. (Private Ltd.) v. Mill Mazdoor Union (1967).</t>
        </is>
      </c>
      <c r="AE602" s="2" t="n"/>
      <c r="AF602" s="11" t="inlineStr">
        <is>
          <t>created from list 1</t>
        </is>
      </c>
    </row>
    <row r="603">
      <c r="A603" s="11" t="inlineStr">
        <is>
          <t>L1-0602</t>
        </is>
      </c>
      <c r="B603" s="11" t="inlineStr">
        <is>
          <t>List 1 (to ~2015)</t>
        </is>
      </c>
      <c r="C603" s="11" t="inlineStr">
        <is>
          <t>list1</t>
        </is>
      </c>
      <c r="D603" s="11" t="inlineStr">
        <is>
          <t>verified</t>
        </is>
      </c>
      <c r="E603" s="11" t="inlineStr">
        <is>
          <t>overruled</t>
        </is>
      </c>
      <c r="F603" s="2" t="inlineStr">
        <is>
          <t>Raghunath Prasad Poddar, etc. v. Commissioner of Income Tax, Calcutta</t>
        </is>
      </c>
      <c r="G603" s="11" t="inlineStr"/>
      <c r="H603" s="11" t="inlineStr">
        <is>
          <t>Supreme Court</t>
        </is>
      </c>
      <c r="I603" s="2" t="inlineStr">
        <is>
          <t>AIR 1973 SC 2061; (1973) 90 ITR 140; (1974) 3 SCC 205; (1974) 1 SCR 91</t>
        </is>
      </c>
      <c r="J603" s="11" t="n">
        <v>1973</v>
      </c>
      <c r="K603" s="2" t="inlineStr">
        <is>
          <t>Davenport and Co. Pvt. Ltd. v. Commissioner of Income Tax, West Bengal-II</t>
        </is>
      </c>
      <c r="L603" s="11" t="inlineStr">
        <is>
          <t>Supreme Court</t>
        </is>
      </c>
      <c r="M603" s="2" t="inlineStr">
        <is>
          <t>AIR 1975 SC 1996; (1975) 100 ITR 715; (1975) 2 SCC 399; (1976) 1 SCR 180; (1975) 7 UJ 621</t>
        </is>
      </c>
      <c r="N603" s="11" t="n">
        <v>1975</v>
      </c>
      <c r="O603" s="11" t="n"/>
      <c r="P603" s="11" t="n"/>
      <c r="Q603" s="11" t="n"/>
      <c r="R603" s="2" t="n"/>
      <c r="S603" s="2" t="n"/>
      <c r="T603" s="11" t="inlineStr"/>
      <c r="U603" s="11" t="inlineStr"/>
      <c r="V603" s="11" t="inlineStr">
        <is>
          <t>outside_list</t>
        </is>
      </c>
      <c r="W603" s="11" t="n"/>
      <c r="X603" s="11" t="n"/>
      <c r="Y603" s="11" t="n"/>
      <c r="Z603" s="11" t="inlineStr">
        <is>
          <t>Mr. Advocate</t>
        </is>
      </c>
      <c r="AA603" s="11" t="inlineStr">
        <is>
          <t>2026-10-07</t>
        </is>
      </c>
      <c r="AB603" s="11" t="inlineStr">
        <is>
          <t>name_year</t>
        </is>
      </c>
      <c r="AC603" s="2" t="inlineStr"/>
      <c r="AD603" s="2" t="inlineStr">
        <is>
          <t>Raghunath Prasad Poddar, etc. v. Commissioner of Income Tax, Calcutta (1973) was overruled by Davenport and Co. Pvt. Ltd. v. Commissioner of Income Tax, West Bengal-II (1975).</t>
        </is>
      </c>
      <c r="AE603" s="2" t="n"/>
      <c r="AF603" s="11" t="inlineStr">
        <is>
          <t>created from list 1</t>
        </is>
      </c>
    </row>
    <row r="604">
      <c r="A604" s="11" t="inlineStr">
        <is>
          <t>L1-0603</t>
        </is>
      </c>
      <c r="B604" s="11" t="inlineStr">
        <is>
          <t>List 1 (to ~2015)</t>
        </is>
      </c>
      <c r="C604" s="11" t="inlineStr">
        <is>
          <t>list1</t>
        </is>
      </c>
      <c r="D604" s="11" t="inlineStr">
        <is>
          <t>verified</t>
        </is>
      </c>
      <c r="E604" s="11" t="inlineStr">
        <is>
          <t>overruled</t>
        </is>
      </c>
      <c r="F604" s="2" t="inlineStr">
        <is>
          <t>Minu B. Mehta and Another v. Balkrishna Ramchandra Nayan and Another</t>
        </is>
      </c>
      <c r="G604" s="11" t="inlineStr"/>
      <c r="H604" s="11" t="inlineStr">
        <is>
          <t>Supreme Court</t>
        </is>
      </c>
      <c r="I604" s="2" t="inlineStr">
        <is>
          <t>AIR 1977 SC 1248; (1977) 47 CompCas 736; (1977) 2 SCC 441; (1977) 2 SCR 886</t>
        </is>
      </c>
      <c r="J604" s="11" t="n">
        <v>1977</v>
      </c>
      <c r="K604" s="2" t="inlineStr">
        <is>
          <t>Gujarat State Road Transport Corporation, Ahmedabad v. Ramanbhai Prabhatbhai and Another</t>
        </is>
      </c>
      <c r="L604" s="11" t="inlineStr">
        <is>
          <t>Supreme Court</t>
        </is>
      </c>
      <c r="M604" s="2" t="inlineStr">
        <is>
          <t>(1987) ACJ 561; AIR 1987 SC 1690; (1987) 62 CompCas 609; (1987) 2 JT 384; (1987) 1 SCALE 1027; (1987) 3 SCC 234; (1987) 3 SCR 404</t>
        </is>
      </c>
      <c r="N604" s="11" t="n">
        <v>1987</v>
      </c>
      <c r="O604" s="11" t="n"/>
      <c r="P604" s="11" t="n"/>
      <c r="Q604" s="11" t="n"/>
      <c r="R604" s="2" t="n"/>
      <c r="S604" s="2" t="n"/>
      <c r="T604" s="11" t="inlineStr"/>
      <c r="U604" s="11" t="inlineStr"/>
      <c r="V604" s="11" t="inlineStr">
        <is>
          <t>outside_list</t>
        </is>
      </c>
      <c r="W604" s="11" t="n"/>
      <c r="X604" s="11" t="n"/>
      <c r="Y604" s="11" t="n"/>
      <c r="Z604" s="11" t="inlineStr">
        <is>
          <t>Mr. Advocate</t>
        </is>
      </c>
      <c r="AA604" s="11" t="inlineStr">
        <is>
          <t>2026-10-07</t>
        </is>
      </c>
      <c r="AB604" s="11" t="inlineStr">
        <is>
          <t>name_year</t>
        </is>
      </c>
      <c r="AC604" s="2" t="inlineStr"/>
      <c r="AD604" s="2" t="inlineStr">
        <is>
          <t>Minu B. Mehta and Another v. Balkrishna Ramchandra Nayan and Another (1977) was overruled by Gujarat State Road Transport Corporation, Ahmedabad v. Ramanbhai Prabhatbhai and Another (1987).</t>
        </is>
      </c>
      <c r="AE604" s="2" t="n"/>
      <c r="AF604" s="11" t="inlineStr">
        <is>
          <t>created from list 1</t>
        </is>
      </c>
    </row>
    <row r="605">
      <c r="A605" s="11" t="inlineStr">
        <is>
          <t>L1-0604</t>
        </is>
      </c>
      <c r="B605" s="11" t="inlineStr">
        <is>
          <t>List 1 (to ~2015)</t>
        </is>
      </c>
      <c r="C605" s="11" t="inlineStr">
        <is>
          <t>list1</t>
        </is>
      </c>
      <c r="D605" s="11" t="inlineStr">
        <is>
          <t>verified</t>
        </is>
      </c>
      <c r="E605" s="11" t="inlineStr">
        <is>
          <t>overruled</t>
        </is>
      </c>
      <c r="F605" s="2" t="inlineStr">
        <is>
          <t>Manujendra Dutt v. Purendu Prosad Roy Chowdhury and Others</t>
        </is>
      </c>
      <c r="G605" s="11" t="inlineStr"/>
      <c r="H605" s="11" t="inlineStr">
        <is>
          <t>Supreme Court</t>
        </is>
      </c>
      <c r="I605" s="2" t="inlineStr">
        <is>
          <t>AIR 1967 SC 1419; (1967) 1 SCR 475</t>
        </is>
      </c>
      <c r="J605" s="11" t="n">
        <v>1967</v>
      </c>
      <c r="K605" s="2" t="inlineStr">
        <is>
          <t>V. Dhanapal Chettiar v. Yesodai Ammal</t>
        </is>
      </c>
      <c r="L605" s="11" t="inlineStr">
        <is>
          <t>Supreme Court</t>
        </is>
      </c>
      <c r="M605" s="2" t="inlineStr">
        <is>
          <t>AIR 1979 SC 1745; (1979) 4 SCC 214; (1980) 1 SCR 334</t>
        </is>
      </c>
      <c r="N605" s="11" t="n">
        <v>1979</v>
      </c>
      <c r="O605" s="11" t="n"/>
      <c r="P605" s="11" t="n"/>
      <c r="Q605" s="11" t="n"/>
      <c r="R605" s="2" t="n"/>
      <c r="S605" s="2" t="n"/>
      <c r="T605" s="11" t="inlineStr"/>
      <c r="U605" s="11" t="inlineStr"/>
      <c r="V605" s="11" t="inlineStr">
        <is>
          <t>outside_list</t>
        </is>
      </c>
      <c r="W605" s="11" t="n"/>
      <c r="X605" s="11" t="n"/>
      <c r="Y605" s="11" t="n"/>
      <c r="Z605" s="11" t="inlineStr">
        <is>
          <t>Mr. Advocate</t>
        </is>
      </c>
      <c r="AA605" s="11" t="inlineStr">
        <is>
          <t>2026-10-07</t>
        </is>
      </c>
      <c r="AB605" s="11" t="inlineStr">
        <is>
          <t>name_year</t>
        </is>
      </c>
      <c r="AC605" s="2" t="inlineStr">
        <is>
          <t>L1-0237: overruled by Tara Chand and Another v. Ram Prasad (1990)</t>
        </is>
      </c>
      <c r="AD605" s="2" t="inlineStr">
        <is>
          <t>Manujendra Dutt v. Purendu Prosad Roy Chowdhury and Others (1967) was overruled by V. Dhanapal Chettiar v. Yesodai Ammal (1979). Note: V. Dhanapal Chettiar v. Yesodai Ammal was itself later overruled by Tara Chand and Another v. Ram Prasad (1990); the current position should be checked.</t>
        </is>
      </c>
      <c r="AE605" s="2" t="n"/>
      <c r="AF605" s="11" t="inlineStr">
        <is>
          <t>created from list 1</t>
        </is>
      </c>
    </row>
    <row r="606">
      <c r="A606" s="11" t="inlineStr">
        <is>
          <t>L1-0605</t>
        </is>
      </c>
      <c r="B606" s="11" t="inlineStr">
        <is>
          <t>List 1 (to ~2015)</t>
        </is>
      </c>
      <c r="C606" s="11" t="inlineStr">
        <is>
          <t>list1</t>
        </is>
      </c>
      <c r="D606" s="11" t="inlineStr">
        <is>
          <t>verified</t>
        </is>
      </c>
      <c r="E606" s="11" t="inlineStr">
        <is>
          <t>overruled</t>
        </is>
      </c>
      <c r="F606" s="2" t="inlineStr">
        <is>
          <t>Indian Chamber of Commerce v. Commissioner of Income Tax , West Bengal II, Calcutta</t>
        </is>
      </c>
      <c r="G606" s="11" t="inlineStr"/>
      <c r="H606" s="11" t="inlineStr">
        <is>
          <t>Supreme Court</t>
        </is>
      </c>
      <c r="I606" s="2" t="inlineStr">
        <is>
          <t>AIR 1976 SC 348; (1975) 101 ITR 796; (1976) 1 SCC 324; (1976) 1 SCR 830</t>
        </is>
      </c>
      <c r="J606" s="11" t="n">
        <v>1976</v>
      </c>
      <c r="K606" s="2" t="inlineStr">
        <is>
          <t>Additional Commissioner of Income Tax, Gujarat, Ahmedabad v. Surat Art Silk Cloth Manufacturers’ Association, Surat</t>
        </is>
      </c>
      <c r="L606" s="11" t="inlineStr">
        <is>
          <t>Supreme Court</t>
        </is>
      </c>
      <c r="M606" s="2" t="inlineStr">
        <is>
          <t>AIR 1980 SC 387(1); (1980) 2 SCC 31</t>
        </is>
      </c>
      <c r="N606" s="11" t="n">
        <v>1980</v>
      </c>
      <c r="O606" s="11" t="n"/>
      <c r="P606" s="11" t="n"/>
      <c r="Q606" s="11" t="n"/>
      <c r="R606" s="2" t="n"/>
      <c r="S606" s="2" t="n"/>
      <c r="T606" s="11" t="inlineStr"/>
      <c r="U606" s="11" t="inlineStr"/>
      <c r="V606" s="11" t="inlineStr">
        <is>
          <t>outside_list</t>
        </is>
      </c>
      <c r="W606" s="11" t="n"/>
      <c r="X606" s="11" t="n"/>
      <c r="Y606" s="11" t="n"/>
      <c r="Z606" s="11" t="inlineStr">
        <is>
          <t>Mr. Advocate</t>
        </is>
      </c>
      <c r="AA606" s="11" t="inlineStr">
        <is>
          <t>2026-10-07</t>
        </is>
      </c>
      <c r="AB606" s="11" t="inlineStr">
        <is>
          <t>name_year</t>
        </is>
      </c>
      <c r="AC606" s="2" t="inlineStr"/>
      <c r="AD606" s="2" t="inlineStr">
        <is>
          <t>Indian Chamber of Commerce v. Commissioner of Income Tax , West Bengal II, Calcutta (1976) was overruled by Additional Commissioner of Income Tax, Gujarat, Ahmedabad v. Surat Art Silk Cloth Manufacturers’ Association, Surat (1980).</t>
        </is>
      </c>
      <c r="AE606" s="2" t="n"/>
      <c r="AF606" s="11" t="inlineStr">
        <is>
          <t>created from list 1</t>
        </is>
      </c>
    </row>
    <row r="607">
      <c r="A607" s="11" t="inlineStr">
        <is>
          <t>L1-0606</t>
        </is>
      </c>
      <c r="B607" s="11" t="inlineStr">
        <is>
          <t>List 1 (to ~2015)</t>
        </is>
      </c>
      <c r="C607" s="11" t="inlineStr">
        <is>
          <t>list1</t>
        </is>
      </c>
      <c r="D607" s="11" t="inlineStr">
        <is>
          <t>verified</t>
        </is>
      </c>
      <c r="E607" s="11" t="inlineStr">
        <is>
          <t>overruled</t>
        </is>
      </c>
      <c r="F607" s="2" t="inlineStr">
        <is>
          <t>Hindustan Lever Ltd., Bombay v. The Monopolies and Restrictive Trade Practices Commission, New Delhi and Others</t>
        </is>
      </c>
      <c r="G607" s="11" t="inlineStr"/>
      <c r="H607" s="11" t="inlineStr">
        <is>
          <t>Supreme Court</t>
        </is>
      </c>
      <c r="I607" s="2" t="inlineStr">
        <is>
          <t>AIR 1977 SC 1285; (1977) 47 CompCas 581; (1977) 3 SCC 227; (1977) 3 SCR 455</t>
        </is>
      </c>
      <c r="J607" s="11" t="n">
        <v>1977</v>
      </c>
      <c r="K607" s="2" t="inlineStr">
        <is>
          <t>Mahindra and Mahindra Ltd. v. Union of India (UOI) and Another</t>
        </is>
      </c>
      <c r="L607" s="11" t="inlineStr">
        <is>
          <t>Supreme Court</t>
        </is>
      </c>
      <c r="M607" s="2" t="inlineStr">
        <is>
          <t>AIR 1979 SC 798; (1979) 49 CompCas 419; (1979) 2 SCC 529; (1979) 2 SCR 1038</t>
        </is>
      </c>
      <c r="N607" s="11" t="n">
        <v>1979</v>
      </c>
      <c r="O607" s="11" t="n"/>
      <c r="P607" s="11" t="n"/>
      <c r="Q607" s="11" t="n"/>
      <c r="R607" s="2" t="n"/>
      <c r="S607" s="2" t="n"/>
      <c r="T607" s="11" t="inlineStr"/>
      <c r="U607" s="11" t="inlineStr"/>
      <c r="V607" s="11" t="inlineStr">
        <is>
          <t>outside_list</t>
        </is>
      </c>
      <c r="W607" s="11" t="n"/>
      <c r="X607" s="11" t="n"/>
      <c r="Y607" s="11" t="n"/>
      <c r="Z607" s="11" t="inlineStr">
        <is>
          <t>Mr. Advocate</t>
        </is>
      </c>
      <c r="AA607" s="11" t="inlineStr">
        <is>
          <t>2026-10-07</t>
        </is>
      </c>
      <c r="AB607" s="11" t="inlineStr">
        <is>
          <t>name_year</t>
        </is>
      </c>
      <c r="AC607" s="2" t="inlineStr"/>
      <c r="AD607" s="2" t="inlineStr">
        <is>
          <t>Hindustan Lever Ltd., Bombay v. The Monopolies and Restrictive Trade Practices Commission, New Delhi and Others (1977) was overruled by Mahindra and Mahindra Ltd. v. Union of India (UOI) and Another (1979).</t>
        </is>
      </c>
      <c r="AE607" s="2" t="n"/>
      <c r="AF607" s="11" t="inlineStr">
        <is>
          <t>created from list 1</t>
        </is>
      </c>
    </row>
    <row r="608">
      <c r="A608" s="11" t="inlineStr">
        <is>
          <t>L1-0607</t>
        </is>
      </c>
      <c r="B608" s="11" t="inlineStr">
        <is>
          <t>List 1 (to ~2015)</t>
        </is>
      </c>
      <c r="C608" s="11" t="inlineStr">
        <is>
          <t>list1</t>
        </is>
      </c>
      <c r="D608" s="11" t="inlineStr">
        <is>
          <t>verified</t>
        </is>
      </c>
      <c r="E608" s="11" t="inlineStr">
        <is>
          <t>overruled</t>
        </is>
      </c>
      <c r="F608" s="2" t="inlineStr">
        <is>
          <t>S.M. Nilajkar and Others v. Telecom, District Manager, Karnataka</t>
        </is>
      </c>
      <c r="G608" s="11" t="inlineStr"/>
      <c r="H608" s="11" t="inlineStr">
        <is>
          <t>Supreme Court</t>
        </is>
      </c>
      <c r="I608" s="2" t="inlineStr">
        <is>
          <t>AIR 2003 SC 3553; (2003) 97 FLR 608; (2003) 3 JT 436; (2003) 2 LLJ 359; (2003) 3 SCALE 533; (2003) 4 SCC 27; (2003) SCC(L&amp;S) 380; (2003) 3 SCR 156; (2003) AIRSCW 2196; (2003) 3 Supreme 53</t>
        </is>
      </c>
      <c r="J608" s="11" t="n">
        <v>2003</v>
      </c>
      <c r="K608" s="2" t="inlineStr">
        <is>
          <t>Nagar Mahapalika (Now Municipal Corpn.) v. State of U.P. and Others</t>
        </is>
      </c>
      <c r="L608" s="11" t="inlineStr">
        <is>
          <t>Supreme Court</t>
        </is>
      </c>
      <c r="M608" s="2" t="inlineStr">
        <is>
          <t>AIR 2006 SC 2113; (2006) 109 FLR 1092; (2006) 5 JT 318; (2006) 2 LLJ 748; (2006) 5 SCALE 145; (2006) 5 SCC 127; (2006) SCC(L&amp;S) 934; (2006) 1 SCR 681 Supp; (2007) 1 SLJ 118; (2006) AIRSCW 2497; (2006) 3 Supreme 772</t>
        </is>
      </c>
      <c r="N608" s="11" t="n">
        <v>2006</v>
      </c>
      <c r="O608" s="11" t="n"/>
      <c r="P608" s="11" t="n"/>
      <c r="Q608" s="11" t="n"/>
      <c r="R608" s="2" t="n"/>
      <c r="S608" s="2" t="n"/>
      <c r="T608" s="11" t="inlineStr"/>
      <c r="U608" s="11" t="inlineStr"/>
      <c r="V608" s="11" t="inlineStr">
        <is>
          <t>outside_list</t>
        </is>
      </c>
      <c r="W608" s="11" t="n"/>
      <c r="X608" s="11" t="n"/>
      <c r="Y608" s="11" t="n"/>
      <c r="Z608" s="11" t="inlineStr">
        <is>
          <t>Mr. Advocate</t>
        </is>
      </c>
      <c r="AA608" s="11" t="inlineStr">
        <is>
          <t>2026-10-07</t>
        </is>
      </c>
      <c r="AB608" s="11" t="inlineStr">
        <is>
          <t>name_year</t>
        </is>
      </c>
      <c r="AC608" s="2" t="inlineStr"/>
      <c r="AD608" s="2" t="inlineStr">
        <is>
          <t>S.M. Nilajkar and Others v. Telecom, District Manager, Karnataka (2003) was overruled by Nagar Mahapalika (Now Municipal Corpn.) v. State of U.P. and Others (2006).</t>
        </is>
      </c>
      <c r="AE608" s="2" t="n"/>
      <c r="AF608" s="11" t="inlineStr">
        <is>
          <t>created from list 1</t>
        </is>
      </c>
    </row>
    <row r="609">
      <c r="A609" s="11" t="inlineStr">
        <is>
          <t>L1-0608</t>
        </is>
      </c>
      <c r="B609" s="11" t="inlineStr">
        <is>
          <t>List 1 (to ~2015)</t>
        </is>
      </c>
      <c r="C609" s="11" t="inlineStr">
        <is>
          <t>list1</t>
        </is>
      </c>
      <c r="D609" s="11" t="inlineStr">
        <is>
          <t>verified</t>
        </is>
      </c>
      <c r="E609" s="11" t="inlineStr">
        <is>
          <t>overruled</t>
        </is>
      </c>
      <c r="F609" s="2" t="inlineStr">
        <is>
          <t>Tata Iron and Steel Co., Limited, Bombay v. S.R. Sarkar and Others</t>
        </is>
      </c>
      <c r="G609" s="11" t="inlineStr"/>
      <c r="H609" s="11" t="inlineStr">
        <is>
          <t>Supreme Court</t>
        </is>
      </c>
      <c r="I609" s="2" t="inlineStr">
        <is>
          <t>AIR 1961 SC 65; (1961) 1 SCR 379; (1960) 11 STC 655</t>
        </is>
      </c>
      <c r="J609" s="11" t="n">
        <v>1961</v>
      </c>
      <c r="K609" s="2" t="inlineStr">
        <is>
          <t>Bharat Heavy Electrical Limited etc. v. Union of India and Others</t>
        </is>
      </c>
      <c r="L609" s="11" t="inlineStr">
        <is>
          <t>Supreme Court</t>
        </is>
      </c>
      <c r="M609" s="2" t="inlineStr">
        <is>
          <t>(1996) 4 AD 481; AIR 1996 SC 1854; (1996) 4 JT 427; (1996) 3 SCALE 746; (1996) 4 SCC 230; (1996) 1 SCR 533 Supp; (1996) 102 STC 373</t>
        </is>
      </c>
      <c r="N609" s="11" t="n">
        <v>1996</v>
      </c>
      <c r="O609" s="11" t="n"/>
      <c r="P609" s="11" t="n"/>
      <c r="Q609" s="11" t="n"/>
      <c r="R609" s="2" t="n"/>
      <c r="S609" s="2" t="n"/>
      <c r="T609" s="11" t="inlineStr"/>
      <c r="U609" s="11" t="inlineStr"/>
      <c r="V609" s="11" t="inlineStr">
        <is>
          <t>outside_list</t>
        </is>
      </c>
      <c r="W609" s="11" t="n"/>
      <c r="X609" s="11" t="n"/>
      <c r="Y609" s="11" t="n"/>
      <c r="Z609" s="11" t="inlineStr">
        <is>
          <t>Mr. Advocate</t>
        </is>
      </c>
      <c r="AA609" s="11" t="inlineStr">
        <is>
          <t>2026-10-07</t>
        </is>
      </c>
      <c r="AB609" s="11" t="inlineStr">
        <is>
          <t>name_year</t>
        </is>
      </c>
      <c r="AC609" s="2" t="inlineStr"/>
      <c r="AD609" s="2" t="inlineStr">
        <is>
          <t>Tata Iron and Steel Co., Limited, Bombay v. S.R. Sarkar and Others (1961) was overruled by Bharat Heavy Electrical Limited etc. v. Union of India and Others (1996).</t>
        </is>
      </c>
      <c r="AE609" s="2" t="n"/>
      <c r="AF609" s="11" t="inlineStr">
        <is>
          <t>created from list 1</t>
        </is>
      </c>
    </row>
    <row r="610">
      <c r="A610" s="11" t="inlineStr">
        <is>
          <t>L1-0609</t>
        </is>
      </c>
      <c r="B610" s="11" t="inlineStr">
        <is>
          <t>List 1 (to ~2015)</t>
        </is>
      </c>
      <c r="C610" s="11" t="inlineStr">
        <is>
          <t>list1</t>
        </is>
      </c>
      <c r="D610" s="11" t="inlineStr">
        <is>
          <t>verified</t>
        </is>
      </c>
      <c r="E610" s="11" t="inlineStr">
        <is>
          <t>overruled</t>
        </is>
      </c>
      <c r="F610" s="2" t="inlineStr">
        <is>
          <t>T. Devadasan v. The Union of India (UOI) and Another</t>
        </is>
      </c>
      <c r="G610" s="11" t="inlineStr"/>
      <c r="H610" s="11" t="inlineStr">
        <is>
          <t>Supreme Court</t>
        </is>
      </c>
      <c r="I610" s="2" t="inlineStr">
        <is>
          <t>AIR 1964 SC 179; (1965) 2 LLJ 560; (1964) 4 SCR 680</t>
        </is>
      </c>
      <c r="J610" s="11" t="n">
        <v>1964</v>
      </c>
      <c r="K610" s="2" t="inlineStr">
        <is>
          <t>Indra Sawhney v. Union of India (UOI) and Others</t>
        </is>
      </c>
      <c r="L610" s="11" t="inlineStr">
        <is>
          <t>Supreme Court</t>
        </is>
      </c>
      <c r="M610" s="2" t="inlineStr">
        <is>
          <t>(1992) 3 SCC 217 Supp</t>
        </is>
      </c>
      <c r="N610" s="11" t="n">
        <v>1992</v>
      </c>
      <c r="O610" s="11" t="n"/>
      <c r="P610" s="11" t="n"/>
      <c r="Q610" s="11" t="n"/>
      <c r="R610" s="2" t="n"/>
      <c r="S610" s="2" t="n"/>
      <c r="T610" s="11" t="inlineStr"/>
      <c r="U610" s="11" t="inlineStr"/>
      <c r="V610" s="11" t="inlineStr">
        <is>
          <t>outside_list</t>
        </is>
      </c>
      <c r="W610" s="11" t="n"/>
      <c r="X610" s="11" t="n"/>
      <c r="Y610" s="11" t="n"/>
      <c r="Z610" s="11" t="inlineStr">
        <is>
          <t>Mr. Advocate</t>
        </is>
      </c>
      <c r="AA610" s="11" t="inlineStr">
        <is>
          <t>2026-10-07</t>
        </is>
      </c>
      <c r="AB610" s="11" t="inlineStr">
        <is>
          <t>name_year</t>
        </is>
      </c>
      <c r="AC610" s="2" t="inlineStr"/>
      <c r="AD610" s="2" t="inlineStr">
        <is>
          <t>T. Devadasan v. The Union of India (UOI) and Another (1964) was overruled by Indra Sawhney v. Union of India (UOI) and Others (1992).</t>
        </is>
      </c>
      <c r="AE610" s="2" t="n"/>
      <c r="AF610" s="11" t="inlineStr">
        <is>
          <t>created from list 1</t>
        </is>
      </c>
    </row>
    <row r="611">
      <c r="A611" s="11" t="inlineStr">
        <is>
          <t>L1-0610</t>
        </is>
      </c>
      <c r="B611" s="11" t="inlineStr">
        <is>
          <t>List 1 (to ~2015)</t>
        </is>
      </c>
      <c r="C611" s="11" t="inlineStr">
        <is>
          <t>list1</t>
        </is>
      </c>
      <c r="D611" s="11" t="inlineStr">
        <is>
          <t>verified</t>
        </is>
      </c>
      <c r="E611" s="11" t="inlineStr">
        <is>
          <t>overruled</t>
        </is>
      </c>
      <c r="F611" s="2" t="inlineStr">
        <is>
          <t>Government of Andhra Pradesh and Another v. B. Satyanarayana Rao (Dead) by Lrs. and Others</t>
        </is>
      </c>
      <c r="G611" s="11" t="inlineStr"/>
      <c r="H611" s="11" t="inlineStr">
        <is>
          <t>Supreme Court</t>
        </is>
      </c>
      <c r="I611" s="2" t="inlineStr">
        <is>
          <t>AIR 2000 SC 1729; (2000) 85 FLR 744; (2000) 4 JT 536; (2000) 2 LLJ 545; (2000) 3 SCALE 277; (2000) 4 SCC 262; (2000) 2 SCR 1009; (2000) AIRSCW 1561; (2000) 3 Supreme 715</t>
        </is>
      </c>
      <c r="J611" s="11" t="n">
        <v>2000</v>
      </c>
      <c r="K611" s="2" t="inlineStr">
        <is>
          <t>V. Jagannadha Rao and Others v. State of A.P. and Others</t>
        </is>
      </c>
      <c r="L611" s="11" t="inlineStr">
        <is>
          <t>Supreme Court</t>
        </is>
      </c>
      <c r="M611" s="2" t="inlineStr">
        <is>
          <t>AIR 2002 SC 77; (2002) 92 FLR 512; (2001) 9 JT 463; (2001) 8 SCALE 137; (2001) 2 SCALE 345; (2001) AIRSCW 4628; (2001) 8 Supreme 343</t>
        </is>
      </c>
      <c r="N611" s="11" t="n">
        <v>2002</v>
      </c>
      <c r="O611" s="11" t="n"/>
      <c r="P611" s="11" t="n"/>
      <c r="Q611" s="11" t="n"/>
      <c r="R611" s="2" t="n"/>
      <c r="S611" s="2" t="n"/>
      <c r="T611" s="11" t="inlineStr"/>
      <c r="U611" s="11" t="inlineStr"/>
      <c r="V611" s="11" t="inlineStr">
        <is>
          <t>outside_list</t>
        </is>
      </c>
      <c r="W611" s="11" t="n"/>
      <c r="X611" s="11" t="n"/>
      <c r="Y611" s="11" t="n"/>
      <c r="Z611" s="11" t="inlineStr">
        <is>
          <t>Mr. Advocate</t>
        </is>
      </c>
      <c r="AA611" s="11" t="inlineStr">
        <is>
          <t>2026-10-07</t>
        </is>
      </c>
      <c r="AB611" s="11" t="inlineStr">
        <is>
          <t>name_year</t>
        </is>
      </c>
      <c r="AC611" s="2" t="inlineStr"/>
      <c r="AD611" s="2" t="inlineStr">
        <is>
          <t>Government of Andhra Pradesh and Another v. B. Satyanarayana Rao (Dead) by Lrs. and Others (2000) was overruled by V. Jagannadha Rao and Others v. State of A.P. and Others (2002).</t>
        </is>
      </c>
      <c r="AE611" s="2" t="n"/>
      <c r="AF611" s="11" t="inlineStr">
        <is>
          <t>created from list 1</t>
        </is>
      </c>
    </row>
    <row r="612">
      <c r="A612" s="11" t="inlineStr">
        <is>
          <t>L1-0611</t>
        </is>
      </c>
      <c r="B612" s="11" t="inlineStr">
        <is>
          <t>List 1 (to ~2015)</t>
        </is>
      </c>
      <c r="C612" s="11" t="inlineStr">
        <is>
          <t>list1</t>
        </is>
      </c>
      <c r="D612" s="11" t="inlineStr">
        <is>
          <t>verified</t>
        </is>
      </c>
      <c r="E612" s="11" t="inlineStr">
        <is>
          <t>overruled</t>
        </is>
      </c>
      <c r="F612" s="2" t="inlineStr">
        <is>
          <t>Commissioner of Sales Tax, Uttar Pradesh v. The Modi Sugar Mills Ltd.</t>
        </is>
      </c>
      <c r="G612" s="11" t="inlineStr"/>
      <c r="H612" s="11" t="inlineStr">
        <is>
          <t>Supreme Court</t>
        </is>
      </c>
      <c r="I612" s="2" t="inlineStr">
        <is>
          <t>AIR 1961 SC 1047; (1961) 2 SCR 189; (1961) 12 STC 182</t>
        </is>
      </c>
      <c r="J612" s="11" t="n">
        <v>1961</v>
      </c>
      <c r="K612" s="2" t="inlineStr">
        <is>
          <t>Karimtharuvi Tea Estate Ltd. v. State of Kerala</t>
        </is>
      </c>
      <c r="L612" s="11" t="inlineStr">
        <is>
          <t>Supreme Court</t>
        </is>
      </c>
      <c r="M612" s="2" t="inlineStr">
        <is>
          <t>AIR 1966 SC 1385; (1966) 60 ITR 262; (1966) 3 SCR 93</t>
        </is>
      </c>
      <c r="N612" s="11" t="n">
        <v>1966</v>
      </c>
      <c r="O612" s="11" t="n"/>
      <c r="P612" s="11" t="n"/>
      <c r="Q612" s="11" t="n"/>
      <c r="R612" s="2" t="n"/>
      <c r="S612" s="2" t="n"/>
      <c r="T612" s="11" t="inlineStr"/>
      <c r="U612" s="11" t="inlineStr"/>
      <c r="V612" s="11" t="inlineStr">
        <is>
          <t>outside_list</t>
        </is>
      </c>
      <c r="W612" s="11" t="n"/>
      <c r="X612" s="11" t="n"/>
      <c r="Y612" s="11" t="n"/>
      <c r="Z612" s="11" t="inlineStr">
        <is>
          <t>Mr. Advocate</t>
        </is>
      </c>
      <c r="AA612" s="11" t="inlineStr">
        <is>
          <t>2026-10-07</t>
        </is>
      </c>
      <c r="AB612" s="11" t="inlineStr">
        <is>
          <t>name_year</t>
        </is>
      </c>
      <c r="AC612" s="2" t="inlineStr"/>
      <c r="AD612" s="2" t="inlineStr">
        <is>
          <t>Commissioner of Sales Tax, Uttar Pradesh v. The Modi Sugar Mills Ltd. (1961) was overruled by Karimtharuvi Tea Estate Ltd. v. State of Kerala (1966).</t>
        </is>
      </c>
      <c r="AE612" s="2" t="n"/>
      <c r="AF612" s="11" t="inlineStr">
        <is>
          <t>created from list 1</t>
        </is>
      </c>
    </row>
    <row r="613">
      <c r="A613" s="11" t="inlineStr">
        <is>
          <t>L1-0612</t>
        </is>
      </c>
      <c r="B613" s="11" t="inlineStr">
        <is>
          <t>List 1 (to ~2015)</t>
        </is>
      </c>
      <c r="C613" s="11" t="inlineStr">
        <is>
          <t>list1</t>
        </is>
      </c>
      <c r="D613" s="11" t="inlineStr">
        <is>
          <t>verified</t>
        </is>
      </c>
      <c r="E613" s="11" t="inlineStr">
        <is>
          <t>overruled</t>
        </is>
      </c>
      <c r="F613" s="2" t="inlineStr">
        <is>
          <t>The Commissioner of Wakfs v. Sm. Ayesa Bibi and Others</t>
        </is>
      </c>
      <c r="G613" s="11" t="inlineStr"/>
      <c r="H613" s="11" t="inlineStr">
        <is>
          <t>Calcutta</t>
        </is>
      </c>
      <c r="I613" s="2" t="inlineStr">
        <is>
          <t>AIR 1966 Cal 68; (1966) 1 CALLT 296</t>
        </is>
      </c>
      <c r="J613" s="11" t="n">
        <v>1966</v>
      </c>
      <c r="K613" s="2" t="inlineStr">
        <is>
          <t>Mst. Ayesha Bibi v. The Commissioner of Wakfs, West Bengal and Others</t>
        </is>
      </c>
      <c r="L613" s="11" t="inlineStr">
        <is>
          <t>Supreme Court</t>
        </is>
      </c>
      <c r="M613" s="2" t="inlineStr">
        <is>
          <t>AIR 1970 SC 287; (1969) 2 SCC 305; (1970) 1 SCR 585</t>
        </is>
      </c>
      <c r="N613" s="11" t="n">
        <v>1970</v>
      </c>
      <c r="O613" s="11" t="n"/>
      <c r="P613" s="11" t="n"/>
      <c r="Q613" s="11" t="n"/>
      <c r="R613" s="2" t="n"/>
      <c r="S613" s="2" t="n"/>
      <c r="T613" s="11" t="inlineStr"/>
      <c r="U613" s="11" t="inlineStr"/>
      <c r="V613" s="11" t="inlineStr">
        <is>
          <t>outside_list</t>
        </is>
      </c>
      <c r="W613" s="11" t="n"/>
      <c r="X613" s="11" t="n"/>
      <c r="Y613" s="11" t="n"/>
      <c r="Z613" s="11" t="inlineStr">
        <is>
          <t>Mr. Advocate</t>
        </is>
      </c>
      <c r="AA613" s="11" t="inlineStr">
        <is>
          <t>2026-10-07</t>
        </is>
      </c>
      <c r="AB613" s="11" t="inlineStr">
        <is>
          <t>name_year</t>
        </is>
      </c>
      <c r="AC613" s="2" t="inlineStr"/>
      <c r="AD613" s="2" t="inlineStr">
        <is>
          <t>The Commissioner of Wakfs v. Sm. Ayesa Bibi and Others (1966) was overruled by Mst. Ayesha Bibi v. The Commissioner of Wakfs, West Bengal and Others (1970).</t>
        </is>
      </c>
      <c r="AE613" s="2" t="n"/>
      <c r="AF613" s="11" t="inlineStr">
        <is>
          <t>created from list 1</t>
        </is>
      </c>
    </row>
    <row r="614">
      <c r="A614" s="11" t="inlineStr">
        <is>
          <t>L1-0613</t>
        </is>
      </c>
      <c r="B614" s="11" t="inlineStr">
        <is>
          <t>List 1 (to ~2015)</t>
        </is>
      </c>
      <c r="C614" s="11" t="inlineStr">
        <is>
          <t>list1</t>
        </is>
      </c>
      <c r="D614" s="11" t="inlineStr">
        <is>
          <t>verified</t>
        </is>
      </c>
      <c r="E614" s="11" t="inlineStr">
        <is>
          <t>overruled</t>
        </is>
      </c>
      <c r="F614" s="2" t="inlineStr">
        <is>
          <t>Ramnikal Pitambardas Mehta v. Indradaman Amratlal Sheth</t>
        </is>
      </c>
      <c r="G614" s="11" t="inlineStr"/>
      <c r="H614" s="11" t="inlineStr">
        <is>
          <t>Supreme Court</t>
        </is>
      </c>
      <c r="I614" s="2" t="inlineStr">
        <is>
          <t>AIR 1964 SC 1676; (1964) 8 SCR 1</t>
        </is>
      </c>
      <c r="J614" s="11" t="n">
        <v>1964</v>
      </c>
      <c r="K614" s="2" t="inlineStr">
        <is>
          <t>M/s. Modern Tailoring Hall etc. v. H.S. Venkusa and others</t>
        </is>
      </c>
      <c r="L614" s="11" t="inlineStr">
        <is>
          <t>Supreme Court</t>
        </is>
      </c>
      <c r="M614" s="2" t="inlineStr">
        <is>
          <t>AIR 1997 SC 2453; (1997) 2 CTC 456; (1997) 5 JT 92; (1997) 3 SCALE 705; (1997) 5 SCC 315; (1997) 3 SCR 984; (1997) 2 UJ 64; (1997) AIRSCW 2371; (1997) 6 Supreme 112; (1997) 5 Supreme 198</t>
        </is>
      </c>
      <c r="N614" s="11" t="n">
        <v>1997</v>
      </c>
      <c r="O614" s="11" t="n"/>
      <c r="P614" s="11" t="n"/>
      <c r="Q614" s="11" t="n"/>
      <c r="R614" s="2" t="n"/>
      <c r="S614" s="2" t="n"/>
      <c r="T614" s="11" t="inlineStr"/>
      <c r="U614" s="11" t="inlineStr"/>
      <c r="V614" s="11" t="inlineStr">
        <is>
          <t>outside_list</t>
        </is>
      </c>
      <c r="W614" s="11" t="n"/>
      <c r="X614" s="11" t="n"/>
      <c r="Y614" s="11" t="n"/>
      <c r="Z614" s="11" t="inlineStr">
        <is>
          <t>Mr. Advocate</t>
        </is>
      </c>
      <c r="AA614" s="11" t="inlineStr">
        <is>
          <t>2026-10-07</t>
        </is>
      </c>
      <c r="AB614" s="11" t="inlineStr">
        <is>
          <t>name_year</t>
        </is>
      </c>
      <c r="AC614" s="2" t="inlineStr"/>
      <c r="AD614" s="2" t="inlineStr">
        <is>
          <t>Ramnikal Pitambardas Mehta v. Indradaman Amratlal Sheth (1964) was overruled by M/s. Modern Tailoring Hall etc. v. H.S. Venkusa and others (1997).</t>
        </is>
      </c>
      <c r="AE614" s="2" t="n"/>
      <c r="AF614" s="11" t="inlineStr">
        <is>
          <t>created from list 1</t>
        </is>
      </c>
    </row>
    <row r="615">
      <c r="A615" s="11" t="inlineStr">
        <is>
          <t>L1-0614</t>
        </is>
      </c>
      <c r="B615" s="11" t="inlineStr">
        <is>
          <t>List 1 (to ~2015)</t>
        </is>
      </c>
      <c r="C615" s="11" t="inlineStr">
        <is>
          <t>list1</t>
        </is>
      </c>
      <c r="D615" s="11" t="inlineStr">
        <is>
          <t>verified</t>
        </is>
      </c>
      <c r="E615" s="11" t="inlineStr">
        <is>
          <t>overruled</t>
        </is>
      </c>
      <c r="F615" s="2" t="inlineStr">
        <is>
          <t>Vimalchand Jawantraj Jain v. Shri Pradhan and Others</t>
        </is>
      </c>
      <c r="G615" s="11" t="inlineStr"/>
      <c r="H615" s="11" t="inlineStr">
        <is>
          <t>Supreme Court</t>
        </is>
      </c>
      <c r="I615" s="2" t="inlineStr">
        <is>
          <t>AIR 1979 SC 1501; (1979) CENCUS 351; (1979) CriLJ 1131; (1979) 4 SCC 401; (1980) SCC(Cri) 4; (1979) 3 SCR 1007; (1979) 11 UJ 814</t>
        </is>
      </c>
      <c r="J615" s="11" t="n">
        <v>1979</v>
      </c>
      <c r="K615" s="2" t="inlineStr">
        <is>
          <t>K.M. Abdulla Kunhi and B.L. Abdul Khader v. Union of India (UOI) and Others and State of Karnataka and Others</t>
        </is>
      </c>
      <c r="L615" s="11" t="inlineStr">
        <is>
          <t>Supreme Court</t>
        </is>
      </c>
      <c r="M615" s="2" t="inlineStr">
        <is>
          <t>AIR 1991 SC 574; (1992) 73 CompCas 470; (1991) CriLJ 790; (1991) 1 Crimes 341; (1991) 32 ECC 179; (1991) 52 ELT 321; (1991) 1 JT 216; (1991) 1 SCALE 58; (1991) 1 SCC 476; (1991) 1 SCR 102</t>
        </is>
      </c>
      <c r="N615" s="11" t="n">
        <v>1991</v>
      </c>
      <c r="O615" s="11" t="n"/>
      <c r="P615" s="11" t="n"/>
      <c r="Q615" s="11" t="n"/>
      <c r="R615" s="2" t="n"/>
      <c r="S615" s="2" t="n"/>
      <c r="T615" s="11" t="inlineStr"/>
      <c r="U615" s="11" t="inlineStr"/>
      <c r="V615" s="11" t="inlineStr">
        <is>
          <t>outside_list</t>
        </is>
      </c>
      <c r="W615" s="11" t="n"/>
      <c r="X615" s="11" t="n"/>
      <c r="Y615" s="11" t="n"/>
      <c r="Z615" s="11" t="inlineStr">
        <is>
          <t>Mr. Advocate</t>
        </is>
      </c>
      <c r="AA615" s="11" t="inlineStr">
        <is>
          <t>2026-10-07</t>
        </is>
      </c>
      <c r="AB615" s="11" t="inlineStr">
        <is>
          <t>name_year</t>
        </is>
      </c>
      <c r="AC615" s="2" t="inlineStr"/>
      <c r="AD615" s="2" t="inlineStr">
        <is>
          <t>Vimalchand Jawantraj Jain v. Shri Pradhan and Others (1979) was overruled by K.M. Abdulla Kunhi and B.L. Abdul Khader v. Union of India (UOI) and Others and State of Karnataka and Others (1991).</t>
        </is>
      </c>
      <c r="AE615" s="2" t="n"/>
      <c r="AF615" s="11" t="inlineStr">
        <is>
          <t>created from list 1</t>
        </is>
      </c>
    </row>
    <row r="616">
      <c r="A616" s="11" t="inlineStr">
        <is>
          <t>L1-0615</t>
        </is>
      </c>
      <c r="B616" s="11" t="inlineStr">
        <is>
          <t>List 1 (to ~2015)</t>
        </is>
      </c>
      <c r="C616" s="11" t="inlineStr">
        <is>
          <t>list1</t>
        </is>
      </c>
      <c r="D616" s="11" t="inlineStr">
        <is>
          <t>verified</t>
        </is>
      </c>
      <c r="E616" s="11" t="inlineStr">
        <is>
          <t>overruled</t>
        </is>
      </c>
      <c r="F616" s="2" t="inlineStr">
        <is>
          <t>S. Raghbir Singh Gill v. S. Gurcharan Singh Tohra and Others</t>
        </is>
      </c>
      <c r="G616" s="11" t="inlineStr"/>
      <c r="H616" s="11" t="inlineStr">
        <is>
          <t>Supreme Court</t>
        </is>
      </c>
      <c r="I616" s="2" t="inlineStr">
        <is>
          <t>AIR 1980 SC 1362; (1980) 3 SCR 1302</t>
        </is>
      </c>
      <c r="J616" s="11" t="n">
        <v>1980</v>
      </c>
      <c r="K616" s="2" t="inlineStr">
        <is>
          <t>Surinder Singh v. Hardial Singh and Others</t>
        </is>
      </c>
      <c r="L616" s="11" t="inlineStr">
        <is>
          <t>Supreme Court</t>
        </is>
      </c>
      <c r="M616" s="2" t="inlineStr">
        <is>
          <t>AIR 1985 SC 89; (1984) 2 SCALE 659; (1985) 1 SCC 91; (1985) 1 SCR 1059</t>
        </is>
      </c>
      <c r="N616" s="11" t="n">
        <v>1985</v>
      </c>
      <c r="O616" s="11" t="n"/>
      <c r="P616" s="11" t="n"/>
      <c r="Q616" s="11" t="n"/>
      <c r="R616" s="2" t="n"/>
      <c r="S616" s="2" t="n"/>
      <c r="T616" s="11" t="inlineStr"/>
      <c r="U616" s="11" t="inlineStr"/>
      <c r="V616" s="11" t="inlineStr">
        <is>
          <t>outside_list</t>
        </is>
      </c>
      <c r="W616" s="11" t="n"/>
      <c r="X616" s="11" t="n"/>
      <c r="Y616" s="11" t="n"/>
      <c r="Z616" s="11" t="inlineStr">
        <is>
          <t>Mr. Advocate</t>
        </is>
      </c>
      <c r="AA616" s="11" t="inlineStr">
        <is>
          <t>2026-10-07</t>
        </is>
      </c>
      <c r="AB616" s="11" t="inlineStr">
        <is>
          <t>name_year</t>
        </is>
      </c>
      <c r="AC616" s="2" t="inlineStr"/>
      <c r="AD616" s="2" t="inlineStr">
        <is>
          <t>S. Raghbir Singh Gill v. S. Gurcharan Singh Tohra and Others (1980) was overruled by Surinder Singh v. Hardial Singh and Others (1985).</t>
        </is>
      </c>
      <c r="AE616" s="2" t="n"/>
      <c r="AF616" s="11" t="inlineStr">
        <is>
          <t>created from list 1</t>
        </is>
      </c>
    </row>
    <row r="617">
      <c r="A617" s="11" t="inlineStr">
        <is>
          <t>L1-0616</t>
        </is>
      </c>
      <c r="B617" s="11" t="inlineStr">
        <is>
          <t>List 1 (to ~2015)</t>
        </is>
      </c>
      <c r="C617" s="11" t="inlineStr">
        <is>
          <t>list1</t>
        </is>
      </c>
      <c r="D617" s="11" t="inlineStr">
        <is>
          <t>verified</t>
        </is>
      </c>
      <c r="E617" s="11" t="inlineStr">
        <is>
          <t>overruled</t>
        </is>
      </c>
      <c r="F617" s="2" t="inlineStr">
        <is>
          <t>Punjab Tin Supply Co., Chandigarh and Others v. Central Government and Others</t>
        </is>
      </c>
      <c r="G617" s="11" t="inlineStr"/>
      <c r="H617" s="11" t="inlineStr">
        <is>
          <t>Supreme Court</t>
        </is>
      </c>
      <c r="I617" s="2" t="inlineStr">
        <is>
          <t>AIR 1984 SC 87; (1983) 2 SCALE 503; (1984) 1 SCC 206; (1984) 1 SCR 428; (1984) 16 UJ 9</t>
        </is>
      </c>
      <c r="J617" s="11" t="n">
        <v>1984</v>
      </c>
      <c r="K617" s="2" t="inlineStr">
        <is>
          <t>Kesho Ram and Co. and Others etc. v. Union of India (UOI) and Others</t>
        </is>
      </c>
      <c r="L617" s="11" t="inlineStr">
        <is>
          <t>Supreme Court</t>
        </is>
      </c>
      <c r="M617" s="2" t="inlineStr">
        <is>
          <t>(1989) 1 JT 203 Supp; (1989) JT 203 Supp; (1989) 96 PLR 1; (1989) 1 SCALE 1421; (1989) 3 SCC 151; (1989) 2 SCR 1005</t>
        </is>
      </c>
      <c r="N617" s="11" t="n">
        <v>1989</v>
      </c>
      <c r="O617" s="11" t="n"/>
      <c r="P617" s="11" t="n"/>
      <c r="Q617" s="11" t="n"/>
      <c r="R617" s="2" t="n"/>
      <c r="S617" s="2" t="n"/>
      <c r="T617" s="11" t="inlineStr"/>
      <c r="U617" s="11" t="inlineStr"/>
      <c r="V617" s="11" t="inlineStr">
        <is>
          <t>outside_list</t>
        </is>
      </c>
      <c r="W617" s="11" t="n"/>
      <c r="X617" s="11" t="n"/>
      <c r="Y617" s="11" t="n"/>
      <c r="Z617" s="11" t="inlineStr">
        <is>
          <t>Mr. Advocate</t>
        </is>
      </c>
      <c r="AA617" s="11" t="inlineStr">
        <is>
          <t>2026-10-07</t>
        </is>
      </c>
      <c r="AB617" s="11" t="inlineStr">
        <is>
          <t>name_year</t>
        </is>
      </c>
      <c r="AC617" s="2" t="inlineStr">
        <is>
          <t>L1-0631: overruled by Shri Kishan @ Krishan Kumar v. Manoj Kumar Etc. Etc. (1998)</t>
        </is>
      </c>
      <c r="AD617" s="2" t="inlineStr">
        <is>
          <t>Punjab Tin Supply Co., Chandigarh and Others v. Central Government and Others (1984)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c r="AE617" s="2" t="n"/>
      <c r="AF617" s="11" t="inlineStr">
        <is>
          <t>created from list 1</t>
        </is>
      </c>
    </row>
    <row r="618">
      <c r="A618" s="11" t="inlineStr">
        <is>
          <t>L1-0617</t>
        </is>
      </c>
      <c r="B618" s="11" t="inlineStr">
        <is>
          <t>List 1 (to ~2015)</t>
        </is>
      </c>
      <c r="C618" s="11" t="inlineStr">
        <is>
          <t>list1</t>
        </is>
      </c>
      <c r="D618" s="11" t="inlineStr">
        <is>
          <t>verified</t>
        </is>
      </c>
      <c r="E618" s="11" t="inlineStr">
        <is>
          <t>overruled</t>
        </is>
      </c>
      <c r="F618" s="2" t="inlineStr">
        <is>
          <t>Dr. K.C. Nambiar v. Rent Controller, Madras and Others</t>
        </is>
      </c>
      <c r="G618" s="11" t="inlineStr"/>
      <c r="H618" s="11" t="inlineStr">
        <is>
          <t>Supreme Court</t>
        </is>
      </c>
      <c r="I618" s="2" t="inlineStr">
        <is>
          <t>AIR 1970 SC 1656; (1969) 2 SCC 465; (1970) 1 SCR 906</t>
        </is>
      </c>
      <c r="J618" s="11" t="n">
        <v>1970</v>
      </c>
      <c r="K618" s="2" t="inlineStr">
        <is>
          <t>Miss. Liza Arulanandam v. Smt. A.S. Sulochana</t>
        </is>
      </c>
      <c r="L618" s="11" t="inlineStr">
        <is>
          <t>Supreme Court</t>
        </is>
      </c>
      <c r="M618" s="2" t="inlineStr">
        <is>
          <t>AIR 1990 SC 2289; (1991) 5 JT 228; (1990) 2 SCALE 512; (1990) 4 SCC 701; (1990) 1 SCR 394 Supp</t>
        </is>
      </c>
      <c r="N618" s="11" t="n">
        <v>1990</v>
      </c>
      <c r="O618" s="11" t="n"/>
      <c r="P618" s="11" t="n"/>
      <c r="Q618" s="11" t="n"/>
      <c r="R618" s="2" t="n"/>
      <c r="S618" s="2" t="n"/>
      <c r="T618" s="11" t="inlineStr"/>
      <c r="U618" s="11" t="inlineStr"/>
      <c r="V618" s="11" t="inlineStr">
        <is>
          <t>outside_list</t>
        </is>
      </c>
      <c r="W618" s="11" t="n"/>
      <c r="X618" s="11" t="n"/>
      <c r="Y618" s="11" t="n"/>
      <c r="Z618" s="11" t="inlineStr">
        <is>
          <t>Mr. Advocate</t>
        </is>
      </c>
      <c r="AA618" s="11" t="inlineStr">
        <is>
          <t>2026-10-07</t>
        </is>
      </c>
      <c r="AB618" s="11" t="inlineStr">
        <is>
          <t>name_year</t>
        </is>
      </c>
      <c r="AC618" s="2" t="inlineStr"/>
      <c r="AD618" s="2" t="inlineStr">
        <is>
          <t>Dr. K.C. Nambiar v. Rent Controller, Madras and Others (1970) was overruled by Miss. Liza Arulanandam v. Smt. A.S. Sulochana (1990).</t>
        </is>
      </c>
      <c r="AE618" s="2" t="n"/>
      <c r="AF618" s="11" t="inlineStr">
        <is>
          <t>created from list 1</t>
        </is>
      </c>
    </row>
    <row r="619">
      <c r="A619" s="11" t="inlineStr">
        <is>
          <t>L1-0618</t>
        </is>
      </c>
      <c r="B619" s="11" t="inlineStr">
        <is>
          <t>List 1 (to ~2015)</t>
        </is>
      </c>
      <c r="C619" s="11" t="inlineStr">
        <is>
          <t>list1</t>
        </is>
      </c>
      <c r="D619" s="11" t="inlineStr">
        <is>
          <t>verified</t>
        </is>
      </c>
      <c r="E619" s="11" t="inlineStr">
        <is>
          <t>overruled</t>
        </is>
      </c>
      <c r="F619" s="2" t="inlineStr">
        <is>
          <t>Rajnikant Jivanlal and Another v. Intelligence Officer, Narcotic Control Bureau, New Delhi</t>
        </is>
      </c>
      <c r="G619" s="11" t="inlineStr"/>
      <c r="H619" s="11" t="inlineStr">
        <is>
          <t>Supreme Court</t>
        </is>
      </c>
      <c r="I619" s="2" t="inlineStr">
        <is>
          <t>AIR 1990 SC 71; (1990) CriLJ 62; (1989) 25 ECR 139; (1992) 61 ELT 330; (1989) 3 JT 67; (1989) 1 SCALE 1586; (1989) 3 SCC 532; (1989) 2 UJ 273</t>
        </is>
      </c>
      <c r="J619" s="11" t="n">
        <v>1990</v>
      </c>
      <c r="K619" s="2" t="inlineStr">
        <is>
          <t>Aslam Babalal Desai v. State of Maharashtra</t>
        </is>
      </c>
      <c r="L619" s="11" t="inlineStr">
        <is>
          <t>Supreme Court</t>
        </is>
      </c>
      <c r="M619" s="2" t="inlineStr">
        <is>
          <t>AIR 1993 SC 1; AIR 1992 SC 1; (1992) CriLJ 3712; (1992) 6 JT 21; (1992) 2 SCALE 523; (1992) 4 SCC 272; (1992) 1 SCR 545 Supp</t>
        </is>
      </c>
      <c r="N619" s="11" t="n">
        <v>1993</v>
      </c>
      <c r="O619" s="11" t="n"/>
      <c r="P619" s="11" t="n"/>
      <c r="Q619" s="11" t="n"/>
      <c r="R619" s="2" t="n"/>
      <c r="S619" s="2" t="n"/>
      <c r="T619" s="11" t="inlineStr"/>
      <c r="U619" s="11" t="inlineStr"/>
      <c r="V619" s="11" t="inlineStr">
        <is>
          <t>outside_list</t>
        </is>
      </c>
      <c r="W619" s="11" t="n"/>
      <c r="X619" s="11" t="n"/>
      <c r="Y619" s="11" t="n"/>
      <c r="Z619" s="11" t="inlineStr">
        <is>
          <t>Mr. Advocate</t>
        </is>
      </c>
      <c r="AA619" s="11" t="inlineStr">
        <is>
          <t>2026-10-07</t>
        </is>
      </c>
      <c r="AB619" s="11" t="inlineStr">
        <is>
          <t>name_year</t>
        </is>
      </c>
      <c r="AC619" s="2" t="inlineStr"/>
      <c r="AD619" s="2" t="inlineStr">
        <is>
          <t>Rajnikant Jivanlal and Another v. Intelligence Officer, Narcotic Control Bureau, New Delhi (1990) was overruled by Aslam Babalal Desai v. State of Maharashtra (1993).</t>
        </is>
      </c>
      <c r="AE619" s="2" t="n"/>
      <c r="AF619" s="11" t="inlineStr">
        <is>
          <t>created from list 1</t>
        </is>
      </c>
    </row>
    <row r="620">
      <c r="A620" s="11" t="inlineStr">
        <is>
          <t>L1-0619</t>
        </is>
      </c>
      <c r="B620" s="11" t="inlineStr">
        <is>
          <t>List 1 (to ~2015)</t>
        </is>
      </c>
      <c r="C620" s="11" t="inlineStr">
        <is>
          <t>list1</t>
        </is>
      </c>
      <c r="D620" s="11" t="inlineStr">
        <is>
          <t>verified</t>
        </is>
      </c>
      <c r="E620" s="11" t="inlineStr">
        <is>
          <t>overruled</t>
        </is>
      </c>
      <c r="F620" s="2" t="inlineStr">
        <is>
          <t>The Divisional Personnel Officer, Southern Railway and Another v. T.R. Chellappan and Others</t>
        </is>
      </c>
      <c r="G620" s="11" t="inlineStr"/>
      <c r="H620" s="11" t="inlineStr">
        <is>
          <t>Supreme Court</t>
        </is>
      </c>
      <c r="I620" s="2" t="inlineStr">
        <is>
          <t>AIR 1975 SC 2216; (1975) LabIC 1598; (1976) 1 LLJ 68; (1976) 3 SCC 190; (1976) 1 SCR 783; (1975) 2 SLJ 587</t>
        </is>
      </c>
      <c r="J620" s="11" t="n">
        <v>1975</v>
      </c>
      <c r="K620" s="2" t="inlineStr">
        <is>
          <t>Union of India and Another v. Tulsiram Patel and Others</t>
        </is>
      </c>
      <c r="L620" s="11" t="inlineStr">
        <is>
          <t>Supreme Court</t>
        </is>
      </c>
      <c r="M620" s="2" t="inlineStr">
        <is>
          <t>AIR 1985 SC 1416; (1985) 3 CompLJ 45; (1985) 51 FLR 362; (1985) 2 LLJ 206; (1985) 2 SCALE 133; (1985) 3 SCC 398; (1985) 2 SCR 131 Supp; (1985) 2 SLJ 145</t>
        </is>
      </c>
      <c r="N620" s="11" t="n">
        <v>1985</v>
      </c>
      <c r="O620" s="11" t="n"/>
      <c r="P620" s="11" t="n"/>
      <c r="Q620" s="11" t="n"/>
      <c r="R620" s="2" t="n"/>
      <c r="S620" s="2" t="n"/>
      <c r="T620" s="11" t="inlineStr"/>
      <c r="U620" s="11" t="inlineStr"/>
      <c r="V620" s="11" t="inlineStr">
        <is>
          <t>outside_list</t>
        </is>
      </c>
      <c r="W620" s="11" t="n"/>
      <c r="X620" s="11" t="n"/>
      <c r="Y620" s="11" t="n"/>
      <c r="Z620" s="11" t="inlineStr">
        <is>
          <t>Mr. Advocate</t>
        </is>
      </c>
      <c r="AA620" s="11" t="inlineStr">
        <is>
          <t>2026-10-07</t>
        </is>
      </c>
      <c r="AB620" s="11" t="inlineStr">
        <is>
          <t>name_year</t>
        </is>
      </c>
      <c r="AC620" s="2" t="inlineStr"/>
      <c r="AD620" s="2" t="inlineStr">
        <is>
          <t>The Divisional Personnel Officer, Southern Railway and Another v. T.R. Chellappan and Others (1975) was overruled by Union of India and Another v. Tulsiram Patel and Others (1985).</t>
        </is>
      </c>
      <c r="AE620" s="2" t="n"/>
      <c r="AF620" s="11" t="inlineStr">
        <is>
          <t>created from list 1</t>
        </is>
      </c>
    </row>
    <row r="621">
      <c r="A621" s="11" t="inlineStr">
        <is>
          <t>L1-0620</t>
        </is>
      </c>
      <c r="B621" s="11" t="inlineStr">
        <is>
          <t>List 1 (to ~2015)</t>
        </is>
      </c>
      <c r="C621" s="11" t="inlineStr">
        <is>
          <t>list1</t>
        </is>
      </c>
      <c r="D621" s="11" t="inlineStr">
        <is>
          <t>verified</t>
        </is>
      </c>
      <c r="E621" s="11" t="inlineStr">
        <is>
          <t>overruled</t>
        </is>
      </c>
      <c r="F621" s="2" t="inlineStr">
        <is>
          <t>Triveni Engineering and Industries Ltd. and Another v. Commissioner of Central Excise and Another</t>
        </is>
      </c>
      <c r="G621" s="11" t="inlineStr"/>
      <c r="H621" s="11" t="inlineStr">
        <is>
          <t>Supreme Court</t>
        </is>
      </c>
      <c r="I621" s="2" t="inlineStr">
        <is>
          <t>AIR 2000 SC 2896; (2000) 71 ECC 225; (2000) 120 ELT 273; (2000) 9 JT 38; (2000) 5 SCALE 468; (2000) 7 SCC 29; (2000) 2 SCR 199 Supp; (2000) AIRSCW 3144; (2000) 5 Supreme 459</t>
        </is>
      </c>
      <c r="J621" s="11" t="n">
        <v>2000</v>
      </c>
      <c r="K621" s="2" t="inlineStr">
        <is>
          <t>Commissioner of C. Ex. v. Josts Engineering Co. Ltd.</t>
        </is>
      </c>
      <c r="L621" s="11" t="inlineStr">
        <is>
          <t>Supreme Court</t>
        </is>
      </c>
      <c r="M621" s="2" t="inlineStr">
        <is>
          <t>(2002) 146 ELT 29; (2002) 10 SCC 164</t>
        </is>
      </c>
      <c r="N621" s="11" t="n">
        <v>2002</v>
      </c>
      <c r="O621" s="11" t="n"/>
      <c r="P621" s="11" t="n"/>
      <c r="Q621" s="11" t="n"/>
      <c r="R621" s="2" t="n"/>
      <c r="S621" s="2" t="n"/>
      <c r="T621" s="11" t="inlineStr"/>
      <c r="U621" s="11" t="inlineStr"/>
      <c r="V621" s="11" t="inlineStr">
        <is>
          <t>outside_list</t>
        </is>
      </c>
      <c r="W621" s="11" t="n"/>
      <c r="X621" s="11" t="n"/>
      <c r="Y621" s="11" t="n"/>
      <c r="Z621" s="11" t="inlineStr">
        <is>
          <t>Mr. Advocate</t>
        </is>
      </c>
      <c r="AA621" s="11" t="inlineStr">
        <is>
          <t>2026-10-07</t>
        </is>
      </c>
      <c r="AB621" s="11" t="inlineStr">
        <is>
          <t>name_year</t>
        </is>
      </c>
      <c r="AC621" s="2" t="inlineStr"/>
      <c r="AD621" s="2" t="inlineStr">
        <is>
          <t>Triveni Engineering and Industries Ltd. and Another v. Commissioner of Central Excise and Another (2000) was overruled by Commissioner of C. Ex. v. Josts Engineering Co. Ltd. (2002).</t>
        </is>
      </c>
      <c r="AE621" s="2" t="n"/>
      <c r="AF621" s="11" t="inlineStr">
        <is>
          <t>created from list 1</t>
        </is>
      </c>
    </row>
    <row r="622">
      <c r="A622" s="11" t="inlineStr">
        <is>
          <t>L1-0621</t>
        </is>
      </c>
      <c r="B622" s="11" t="inlineStr">
        <is>
          <t>List 1 (to ~2015)</t>
        </is>
      </c>
      <c r="C622" s="11" t="inlineStr">
        <is>
          <t>list1</t>
        </is>
      </c>
      <c r="D622" s="11" t="inlineStr">
        <is>
          <t>verified</t>
        </is>
      </c>
      <c r="E622" s="11" t="inlineStr">
        <is>
          <t>overruled</t>
        </is>
      </c>
      <c r="F622" s="2" t="inlineStr">
        <is>
          <t>Jit Singh and Others v. State of Punjab and Others</t>
        </is>
      </c>
      <c r="G622" s="11" t="inlineStr"/>
      <c r="H622" s="11" t="inlineStr">
        <is>
          <t>Supreme Court</t>
        </is>
      </c>
      <c r="I622" s="2" t="inlineStr">
        <is>
          <t>AIR 1979 SC 1034; (1979) LabIC 799; (1979) 3 SCC 37; (1979) 3 SCR 194; (1979) 11 UJ 267</t>
        </is>
      </c>
      <c r="J622" s="11" t="n">
        <v>1979</v>
      </c>
      <c r="K622" s="2" t="inlineStr">
        <is>
          <t>J.C. Yadav and others v. State of Haryana and others</t>
        </is>
      </c>
      <c r="L622" s="11" t="inlineStr">
        <is>
          <t>Supreme Court</t>
        </is>
      </c>
      <c r="M622" s="2" t="inlineStr">
        <is>
          <t>AIR 1990 SC 857; (1990) 60 FLR 523; (1990) 1 JT 278; (1990) 2 LLJ 138; (1990) 1 SCALE 229; (1990) 2 SCC 189; (1990) 1 SCR 470; (1990) 1 UJ 636</t>
        </is>
      </c>
      <c r="N622" s="11" t="n">
        <v>1990</v>
      </c>
      <c r="O622" s="11" t="n"/>
      <c r="P622" s="11" t="n"/>
      <c r="Q622" s="11" t="n"/>
      <c r="R622" s="2" t="n"/>
      <c r="S622" s="2" t="n"/>
      <c r="T622" s="11" t="inlineStr"/>
      <c r="U622" s="11" t="inlineStr"/>
      <c r="V622" s="11" t="inlineStr">
        <is>
          <t>outside_list</t>
        </is>
      </c>
      <c r="W622" s="11" t="n"/>
      <c r="X622" s="11" t="n"/>
      <c r="Y622" s="11" t="n"/>
      <c r="Z622" s="11" t="inlineStr">
        <is>
          <t>Mr. Advocate</t>
        </is>
      </c>
      <c r="AA622" s="11" t="inlineStr">
        <is>
          <t>2026-10-07</t>
        </is>
      </c>
      <c r="AB622" s="11" t="inlineStr">
        <is>
          <t>name_year</t>
        </is>
      </c>
      <c r="AC622" s="2" t="inlineStr"/>
      <c r="AD622" s="2" t="inlineStr">
        <is>
          <t>Jit Singh and Others v. State of Punjab and Others (1979) was overruled by J.C. Yadav and others v. State of Haryana and others (1990).</t>
        </is>
      </c>
      <c r="AE622" s="2" t="n"/>
      <c r="AF622" s="11" t="inlineStr">
        <is>
          <t>created from list 1</t>
        </is>
      </c>
    </row>
    <row r="623">
      <c r="A623" s="11" t="inlineStr">
        <is>
          <t>L1-0622</t>
        </is>
      </c>
      <c r="B623" s="11" t="inlineStr">
        <is>
          <t>List 1 (to ~2015)</t>
        </is>
      </c>
      <c r="C623" s="11" t="inlineStr">
        <is>
          <t>list1</t>
        </is>
      </c>
      <c r="D623" s="11" t="inlineStr">
        <is>
          <t>verified</t>
        </is>
      </c>
      <c r="E623" s="11" t="inlineStr">
        <is>
          <t>overruled</t>
        </is>
      </c>
      <c r="F623" s="2" t="inlineStr">
        <is>
          <t>State of West Bengal and Others v. Jagadamba Prasad Singh and Others</t>
        </is>
      </c>
      <c r="G623" s="11" t="inlineStr"/>
      <c r="H623" s="11" t="inlineStr">
        <is>
          <t>Calcutta</t>
        </is>
      </c>
      <c r="I623" s="2" t="inlineStr">
        <is>
          <t>AIR 1969 Cal 281; (1969) 1 CALLT 425; (1970) 1 ILR (Cal) 258</t>
        </is>
      </c>
      <c r="J623" s="11" t="n">
        <v>1969</v>
      </c>
      <c r="K623" s="2" t="inlineStr">
        <is>
          <t>Banarsi Dass Chadha and Brothers v. Lt. Governor, Delhi Administration and Others</t>
        </is>
      </c>
      <c r="L623" s="11" t="inlineStr">
        <is>
          <t>Supreme Court</t>
        </is>
      </c>
      <c r="M623" s="2" t="inlineStr">
        <is>
          <t>AIR 1978 SC 1587; (1978) 37 FLR 249; (1978) 4 SCC 11; (1979) 1 SCR 271; (1978) 10 UJ 744</t>
        </is>
      </c>
      <c r="N623" s="11" t="n">
        <v>1978</v>
      </c>
      <c r="O623" s="11" t="n"/>
      <c r="P623" s="11" t="n"/>
      <c r="Q623" s="11" t="n"/>
      <c r="R623" s="2" t="n"/>
      <c r="S623" s="2" t="n"/>
      <c r="T623" s="11" t="inlineStr"/>
      <c r="U623" s="11" t="inlineStr"/>
      <c r="V623" s="11" t="inlineStr">
        <is>
          <t>outside_list</t>
        </is>
      </c>
      <c r="W623" s="11" t="n"/>
      <c r="X623" s="11" t="n"/>
      <c r="Y623" s="11" t="n"/>
      <c r="Z623" s="11" t="inlineStr">
        <is>
          <t>Mr. Advocate</t>
        </is>
      </c>
      <c r="AA623" s="11" t="inlineStr">
        <is>
          <t>2026-10-07</t>
        </is>
      </c>
      <c r="AB623" s="11" t="inlineStr">
        <is>
          <t>name_year</t>
        </is>
      </c>
      <c r="AC623" s="2" t="inlineStr"/>
      <c r="AD623" s="2" t="inlineStr">
        <is>
          <t>State of West Bengal and Others v. Jagadamba Prasad Singh and Others (1969) was overruled by Banarsi Dass Chadha and Brothers v. Lt. Governor, Delhi Administration and Others (1978).</t>
        </is>
      </c>
      <c r="AE623" s="2" t="n"/>
      <c r="AF623" s="11" t="inlineStr">
        <is>
          <t>created from list 1</t>
        </is>
      </c>
    </row>
    <row r="624">
      <c r="A624" s="11" t="inlineStr">
        <is>
          <t>L1-0623</t>
        </is>
      </c>
      <c r="B624" s="11" t="inlineStr">
        <is>
          <t>List 1 (to ~2015)</t>
        </is>
      </c>
      <c r="C624" s="11" t="inlineStr">
        <is>
          <t>list1</t>
        </is>
      </c>
      <c r="D624" s="11" t="inlineStr">
        <is>
          <t>verified</t>
        </is>
      </c>
      <c r="E624" s="11" t="inlineStr">
        <is>
          <t>overruled</t>
        </is>
      </c>
      <c r="F624" s="2" t="inlineStr">
        <is>
          <t>Chhitter Mal Narain Das v. Commissioner of Sales Tax</t>
        </is>
      </c>
      <c r="G624" s="11" t="inlineStr"/>
      <c r="H624" s="11" t="inlineStr">
        <is>
          <t>Supreme Court</t>
        </is>
      </c>
      <c r="I624" s="2" t="inlineStr">
        <is>
          <t>AIR 1970 SC 2000; (1970) 3 SCC 809; (1971) 1 SCR 671; (1970) 26 STC 344</t>
        </is>
      </c>
      <c r="J624" s="11" t="n">
        <v>1970</v>
      </c>
      <c r="K624" s="2" t="inlineStr">
        <is>
          <t>Food Corporation of India, etc. etc. v. State of Kerala</t>
        </is>
      </c>
      <c r="L624" s="11" t="inlineStr">
        <is>
          <t>Supreme Court</t>
        </is>
      </c>
      <c r="M624" s="2" t="inlineStr">
        <is>
          <t>AIR 1997 SC 1252; (1997) 2 JT 243; (1997) 1 SCALE 720; (1997) 3 SCC 410; (1997) 1 SCR 24; (1997) 105 STC 4; (1997) AIRSCW 1298; (1997) 3 Supreme 653</t>
        </is>
      </c>
      <c r="N624" s="11" t="n">
        <v>1997</v>
      </c>
      <c r="O624" s="11" t="n"/>
      <c r="P624" s="11" t="n"/>
      <c r="Q624" s="11" t="n"/>
      <c r="R624" s="2" t="n"/>
      <c r="S624" s="2" t="n"/>
      <c r="T624" s="11" t="inlineStr"/>
      <c r="U624" s="11" t="inlineStr"/>
      <c r="V624" s="11" t="inlineStr">
        <is>
          <t>outside_list</t>
        </is>
      </c>
      <c r="W624" s="11" t="n"/>
      <c r="X624" s="11" t="n"/>
      <c r="Y624" s="11" t="n"/>
      <c r="Z624" s="11" t="inlineStr">
        <is>
          <t>Mr. Advocate</t>
        </is>
      </c>
      <c r="AA624" s="11" t="inlineStr">
        <is>
          <t>2026-10-07</t>
        </is>
      </c>
      <c r="AB624" s="11" t="inlineStr">
        <is>
          <t>name_year</t>
        </is>
      </c>
      <c r="AC624" s="2" t="inlineStr"/>
      <c r="AD624" s="2" t="inlineStr">
        <is>
          <t>Chhitter Mal Narain Das v. Commissioner of Sales Tax (1970) was overruled by Food Corporation of India, etc. etc. v. State of Kerala (1997).</t>
        </is>
      </c>
      <c r="AE624" s="2" t="n"/>
      <c r="AF624" s="11" t="inlineStr">
        <is>
          <t>created from list 1</t>
        </is>
      </c>
    </row>
    <row r="625">
      <c r="A625" s="11" t="inlineStr">
        <is>
          <t>L1-0624</t>
        </is>
      </c>
      <c r="B625" s="11" t="inlineStr">
        <is>
          <t>List 1 (to ~2015)</t>
        </is>
      </c>
      <c r="C625" s="11" t="inlineStr">
        <is>
          <t>list1</t>
        </is>
      </c>
      <c r="D625" s="11" t="inlineStr">
        <is>
          <t>verified</t>
        </is>
      </c>
      <c r="E625" s="11" t="inlineStr">
        <is>
          <t>overruled</t>
        </is>
      </c>
      <c r="F625" s="2" t="inlineStr">
        <is>
          <t>State Bank of Travancore v. Elias Elias and Others</t>
        </is>
      </c>
      <c r="G625" s="11" t="inlineStr"/>
      <c r="H625" s="11" t="inlineStr">
        <is>
          <t>Supreme Court</t>
        </is>
      </c>
      <c r="I625" s="2" t="inlineStr">
        <is>
          <t>AIR 1971 SC 143; (1971) 41 CompCas 14; (1971) 21 FLR 342; (1971) LabIC 14; (1970) 2 LLJ 424; (1970) 2 SCC 761; (1971) 2 SCR 28</t>
        </is>
      </c>
      <c r="J625" s="11" t="n">
        <v>1971</v>
      </c>
      <c r="K625" s="2" t="inlineStr">
        <is>
          <t>The Chairman, Canara Bank, Bangalore v. M.S. Jasra and others</t>
        </is>
      </c>
      <c r="L625" s="11" t="inlineStr">
        <is>
          <t>Supreme Court</t>
        </is>
      </c>
      <c r="M625" s="2" t="inlineStr">
        <is>
          <t>AIR 1992 SC 1341; AIR 1992 SC 1100; (1992) 2 JT 203; (1992) LabIC 1001; (1992) 1 LLJ 777; (1992) 1 SCALE 616; (1992) 2 SCC 484; (1992) 2 SCR 68; (1992) 2 SLJ 160; (1992) 2 UJ 173</t>
        </is>
      </c>
      <c r="N625" s="11" t="n">
        <v>1992</v>
      </c>
      <c r="O625" s="11" t="n"/>
      <c r="P625" s="11" t="n"/>
      <c r="Q625" s="11" t="n"/>
      <c r="R625" s="2" t="n"/>
      <c r="S625" s="2" t="n"/>
      <c r="T625" s="11" t="inlineStr"/>
      <c r="U625" s="11" t="inlineStr"/>
      <c r="V625" s="11" t="inlineStr">
        <is>
          <t>outside_list</t>
        </is>
      </c>
      <c r="W625" s="11" t="n"/>
      <c r="X625" s="11" t="n"/>
      <c r="Y625" s="11" t="n"/>
      <c r="Z625" s="11" t="inlineStr">
        <is>
          <t>Mr. Advocate</t>
        </is>
      </c>
      <c r="AA625" s="11" t="inlineStr">
        <is>
          <t>2026-10-07</t>
        </is>
      </c>
      <c r="AB625" s="11" t="inlineStr">
        <is>
          <t>name_year</t>
        </is>
      </c>
      <c r="AC625" s="2" t="inlineStr"/>
      <c r="AD625" s="2" t="inlineStr">
        <is>
          <t>State Bank of Travancore v. Elias Elias and Others (1971) was overruled by The Chairman, Canara Bank, Bangalore v. M.S. Jasra and others (1992).</t>
        </is>
      </c>
      <c r="AE625" s="2" t="n"/>
      <c r="AF625" s="11" t="inlineStr">
        <is>
          <t>created from list 1</t>
        </is>
      </c>
    </row>
    <row r="626">
      <c r="A626" s="11" t="inlineStr">
        <is>
          <t>L1-0625</t>
        </is>
      </c>
      <c r="B626" s="11" t="inlineStr">
        <is>
          <t>List 1 (to ~2015)</t>
        </is>
      </c>
      <c r="C626" s="11" t="inlineStr">
        <is>
          <t>list1</t>
        </is>
      </c>
      <c r="D626" s="11" t="inlineStr">
        <is>
          <t>verified</t>
        </is>
      </c>
      <c r="E626" s="11" t="inlineStr">
        <is>
          <t>overruled</t>
        </is>
      </c>
      <c r="F626" s="2" t="inlineStr">
        <is>
          <t>Mathunni Mathai v. Hindustan Organic Chemicals Limited and another</t>
        </is>
      </c>
      <c r="G626" s="11" t="inlineStr"/>
      <c r="H626" s="11" t="inlineStr">
        <is>
          <t>Supreme Court</t>
        </is>
      </c>
      <c r="I626" s="2" t="inlineStr">
        <is>
          <t>AIR 1995 SC 1572; (1996) 1 BC 134; (1995) 4 JT 233; (1995) 111 PLR 596; (1995) 3 SCALE 159; (1995) 4 SCC 26; (1995) 3 SCR 765</t>
        </is>
      </c>
      <c r="J626" s="11" t="n">
        <v>1995</v>
      </c>
      <c r="K626" s="2" t="inlineStr">
        <is>
          <t>Prem Nath Kapur and Another v. National Fertilizers Corpn. of India Ltd. and Others</t>
        </is>
      </c>
      <c r="L626" s="11" t="inlineStr">
        <is>
          <t>Supreme Court</t>
        </is>
      </c>
      <c r="M626" s="2" t="inlineStr">
        <is>
          <t>(1996) 1 AD 195; (1995) 9 JT 23; (1995) 7 SCALE 109; (1996) 2 SCC 71; (1995) 5 SCR 790 Supp; (1996) 1 UJ 180</t>
        </is>
      </c>
      <c r="N626" s="11" t="n">
        <v>1995</v>
      </c>
      <c r="O626" s="11" t="n"/>
      <c r="P626" s="11" t="n"/>
      <c r="Q626" s="11" t="n"/>
      <c r="R626" s="2" t="n"/>
      <c r="S626" s="2" t="n"/>
      <c r="T626" s="11" t="inlineStr"/>
      <c r="U626" s="11" t="inlineStr"/>
      <c r="V626" s="11" t="inlineStr">
        <is>
          <t>outside_list</t>
        </is>
      </c>
      <c r="W626" s="11" t="n"/>
      <c r="X626" s="11" t="n"/>
      <c r="Y626" s="11" t="n"/>
      <c r="Z626" s="11" t="inlineStr">
        <is>
          <t>Mr. Advocate</t>
        </is>
      </c>
      <c r="AA626" s="11" t="inlineStr">
        <is>
          <t>2026-10-07</t>
        </is>
      </c>
      <c r="AB626" s="11" t="inlineStr">
        <is>
          <t>name_year</t>
        </is>
      </c>
      <c r="AC626" s="2" t="inlineStr"/>
      <c r="AD626" s="2" t="inlineStr">
        <is>
          <t>Mathunni Mathai v. Hindustan Organic Chemicals Limited and another (1995) was overruled by Prem Nath Kapur and Another v. National Fertilizers Corpn. of India Ltd. and Others (1995).</t>
        </is>
      </c>
      <c r="AE626" s="2" t="n"/>
      <c r="AF626" s="11" t="inlineStr">
        <is>
          <t>created from list 1</t>
        </is>
      </c>
    </row>
    <row r="627">
      <c r="A627" s="11" t="inlineStr">
        <is>
          <t>L1-0626</t>
        </is>
      </c>
      <c r="B627" s="11" t="inlineStr">
        <is>
          <t>List 1 (to ~2015)</t>
        </is>
      </c>
      <c r="C627" s="11" t="inlineStr">
        <is>
          <t>list1</t>
        </is>
      </c>
      <c r="D627" s="11" t="inlineStr">
        <is>
          <t>verified</t>
        </is>
      </c>
      <c r="E627" s="11" t="inlineStr">
        <is>
          <t>overruled</t>
        </is>
      </c>
      <c r="F627" s="2" t="inlineStr">
        <is>
          <t>Vidya Charan Shukla v. Purshottam Lal Kaushik</t>
        </is>
      </c>
      <c r="G627" s="11" t="inlineStr"/>
      <c r="H627" s="11" t="inlineStr">
        <is>
          <t>Supreme Court</t>
        </is>
      </c>
      <c r="I627" s="2" t="inlineStr">
        <is>
          <t>AIR 1981 SC 547; (1981) 1 SCALE 159; (1981) 2 SCC 84; (1981) 2 SCR 637</t>
        </is>
      </c>
      <c r="J627" s="11" t="n">
        <v>1981</v>
      </c>
      <c r="K627" s="2" t="inlineStr">
        <is>
          <t>P. Prabhakaran v. P. Jayarajan</t>
        </is>
      </c>
      <c r="L627" s="11" t="inlineStr">
        <is>
          <t>Supreme Court</t>
        </is>
      </c>
      <c r="M627" s="2" t="inlineStr">
        <is>
          <t>AIR 2005 SC 688; (2005) 1 JT 173; (2005) 1 SCC 754</t>
        </is>
      </c>
      <c r="N627" s="11" t="n">
        <v>2005</v>
      </c>
      <c r="O627" s="11" t="n"/>
      <c r="P627" s="11" t="n"/>
      <c r="Q627" s="11" t="n"/>
      <c r="R627" s="2" t="n"/>
      <c r="S627" s="2" t="n"/>
      <c r="T627" s="11" t="inlineStr"/>
      <c r="U627" s="11" t="inlineStr"/>
      <c r="V627" s="11" t="inlineStr">
        <is>
          <t>outside_list</t>
        </is>
      </c>
      <c r="W627" s="11" t="n"/>
      <c r="X627" s="11" t="n"/>
      <c r="Y627" s="11" t="n"/>
      <c r="Z627" s="11" t="inlineStr">
        <is>
          <t>Mr. Advocate</t>
        </is>
      </c>
      <c r="AA627" s="11" t="inlineStr">
        <is>
          <t>2026-10-07</t>
        </is>
      </c>
      <c r="AB627" s="11" t="inlineStr">
        <is>
          <t>name_year</t>
        </is>
      </c>
      <c r="AC627" s="2" t="inlineStr"/>
      <c r="AD627" s="2" t="inlineStr">
        <is>
          <t>Vidya Charan Shukla v. Purshottam Lal Kaushik (1981) was overruled by P. Prabhakaran v. P. Jayarajan (2005).</t>
        </is>
      </c>
      <c r="AE627" s="2" t="n"/>
      <c r="AF627" s="11" t="inlineStr">
        <is>
          <t>created from list 1</t>
        </is>
      </c>
    </row>
    <row r="628">
      <c r="A628" s="11" t="inlineStr">
        <is>
          <t>L1-0627</t>
        </is>
      </c>
      <c r="B628" s="11" t="inlineStr">
        <is>
          <t>List 1 (to ~2015)</t>
        </is>
      </c>
      <c r="C628" s="11" t="inlineStr">
        <is>
          <t>list1</t>
        </is>
      </c>
      <c r="D628" s="11" t="inlineStr">
        <is>
          <t>verified</t>
        </is>
      </c>
      <c r="E628" s="11" t="inlineStr">
        <is>
          <t>overruled</t>
        </is>
      </c>
      <c r="F628" s="2" t="inlineStr">
        <is>
          <t>Mithilesh Kumar and Another v. Prem Behari Khare</t>
        </is>
      </c>
      <c r="G628" s="11" t="inlineStr"/>
      <c r="H628" s="11" t="inlineStr">
        <is>
          <t>Supreme Court</t>
        </is>
      </c>
      <c r="I628" s="2" t="inlineStr">
        <is>
          <t>AIR 1989 SC 1247; (1989) 40 ELT 257; (1989) 177 ITR 97; (1989) 1 JT 275; (1989) 1 SCALE 358; (1989) 2 SCC 95; (1989) 1 SCR 621; (1989) 1 UJ 530</t>
        </is>
      </c>
      <c r="J628" s="11" t="n">
        <v>1989</v>
      </c>
      <c r="K628" s="2" t="inlineStr">
        <is>
          <t>R. Rajagopal Reddy (dead) by L.Rs. and others v. Padmini Chandrasekharan (dead) by L.Rs.</t>
        </is>
      </c>
      <c r="L628" s="11" t="inlineStr">
        <is>
          <t>Supreme Court</t>
        </is>
      </c>
      <c r="M628" s="2" t="inlineStr">
        <is>
          <t>AIR 1996 SC 238; AIR 1995 SC 238; (1995) 124 CTR 311; (1995) 1 SCR 715; (1995) 79 TAXMAN 92</t>
        </is>
      </c>
      <c r="N628" s="11" t="n">
        <v>1996</v>
      </c>
      <c r="O628" s="11" t="n"/>
      <c r="P628" s="11" t="n"/>
      <c r="Q628" s="11" t="n"/>
      <c r="R628" s="2" t="n"/>
      <c r="S628" s="2" t="n"/>
      <c r="T628" s="11" t="inlineStr"/>
      <c r="U628" s="11" t="inlineStr"/>
      <c r="V628" s="11" t="inlineStr">
        <is>
          <t>outside_list</t>
        </is>
      </c>
      <c r="W628" s="11" t="n"/>
      <c r="X628" s="11" t="n"/>
      <c r="Y628" s="11" t="n"/>
      <c r="Z628" s="11" t="inlineStr">
        <is>
          <t>Mr. Advocate</t>
        </is>
      </c>
      <c r="AA628" s="11" t="inlineStr">
        <is>
          <t>2026-10-07</t>
        </is>
      </c>
      <c r="AB628" s="11" t="inlineStr">
        <is>
          <t>name_year</t>
        </is>
      </c>
      <c r="AC628" s="2" t="inlineStr"/>
      <c r="AD628" s="2" t="inlineStr">
        <is>
          <t>Mithilesh Kumar and Another v. Prem Behari Khare (1989) was overruled by R. Rajagopal Reddy (dead) by L.Rs. and others v. Padmini Chandrasekharan (dead) by L.Rs. (1996).</t>
        </is>
      </c>
      <c r="AE628" s="2" t="n"/>
      <c r="AF628" s="11" t="inlineStr">
        <is>
          <t>created from list 1</t>
        </is>
      </c>
    </row>
    <row r="629">
      <c r="A629" s="11" t="inlineStr">
        <is>
          <t>L1-0628</t>
        </is>
      </c>
      <c r="B629" s="11" t="inlineStr">
        <is>
          <t>List 1 (to ~2015)</t>
        </is>
      </c>
      <c r="C629" s="11" t="inlineStr">
        <is>
          <t>list1</t>
        </is>
      </c>
      <c r="D629" s="11" t="inlineStr">
        <is>
          <t>verified</t>
        </is>
      </c>
      <c r="E629" s="11" t="inlineStr">
        <is>
          <t>overruled</t>
        </is>
      </c>
      <c r="F629" s="2" t="inlineStr">
        <is>
          <t>Mysore State Road Transport Corporation v. The Mysore Revenue Appellate Tribunal and Others</t>
        </is>
      </c>
      <c r="G629" s="11" t="inlineStr"/>
      <c r="H629" s="11" t="inlineStr">
        <is>
          <t>Supreme Court</t>
        </is>
      </c>
      <c r="I629" s="2" t="inlineStr">
        <is>
          <t>(1975) 4 SCC 192; (1975) 1 SCR 493</t>
        </is>
      </c>
      <c r="J629" s="11" t="n">
        <v>1975</v>
      </c>
      <c r="K629" s="2" t="inlineStr">
        <is>
          <t>Adarsh Travels Bus Service and Another v. State of U.P. and Others</t>
        </is>
      </c>
      <c r="L629" s="11" t="inlineStr">
        <is>
          <t>Supreme Court</t>
        </is>
      </c>
      <c r="M629" s="2" t="inlineStr">
        <is>
          <t>AIR 1986 SC 319; (1985) 2 SCALE 880; (1985) 4 SCC 557; (1985) 3 SCR 661 Supp; (1986) 1 UJ 121</t>
        </is>
      </c>
      <c r="N629" s="11" t="n">
        <v>1986</v>
      </c>
      <c r="O629" s="11" t="n"/>
      <c r="P629" s="11" t="n"/>
      <c r="Q629" s="11" t="n"/>
      <c r="R629" s="2" t="n"/>
      <c r="S629" s="2" t="n"/>
      <c r="T629" s="11" t="inlineStr"/>
      <c r="U629" s="11" t="inlineStr"/>
      <c r="V629" s="11" t="inlineStr">
        <is>
          <t>outside_list</t>
        </is>
      </c>
      <c r="W629" s="11" t="n"/>
      <c r="X629" s="11" t="n"/>
      <c r="Y629" s="11" t="n"/>
      <c r="Z629" s="11" t="inlineStr">
        <is>
          <t>Mr. Advocate</t>
        </is>
      </c>
      <c r="AA629" s="11" t="inlineStr">
        <is>
          <t>2026-10-07</t>
        </is>
      </c>
      <c r="AB629" s="11" t="inlineStr">
        <is>
          <t>name_year</t>
        </is>
      </c>
      <c r="AC629" s="2" t="inlineStr"/>
      <c r="AD629" s="2" t="inlineStr">
        <is>
          <t>Mysore State Road Transport Corporation v. The Mysore Revenue Appellate Tribunal and Others (1975) was overruled by Adarsh Travels Bus Service and Another v. State of U.P. and Others (1986).</t>
        </is>
      </c>
      <c r="AE629" s="2" t="n"/>
      <c r="AF629" s="11" t="inlineStr">
        <is>
          <t>created from list 1</t>
        </is>
      </c>
    </row>
    <row r="630">
      <c r="A630" s="11" t="inlineStr">
        <is>
          <t>L1-0629</t>
        </is>
      </c>
      <c r="B630" s="11" t="inlineStr">
        <is>
          <t>List 1 (to ~2015)</t>
        </is>
      </c>
      <c r="C630" s="11" t="inlineStr">
        <is>
          <t>list1</t>
        </is>
      </c>
      <c r="D630" s="11" t="inlineStr">
        <is>
          <t>verified</t>
        </is>
      </c>
      <c r="E630" s="11" t="inlineStr">
        <is>
          <t>overruled</t>
        </is>
      </c>
      <c r="F630" s="2" t="inlineStr">
        <is>
          <t>Vineet Kumar v. Mangal Sain Wadhera</t>
        </is>
      </c>
      <c r="G630" s="11" t="inlineStr"/>
      <c r="H630" s="11" t="inlineStr">
        <is>
          <t>Supreme Court</t>
        </is>
      </c>
      <c r="I630" s="2" t="inlineStr">
        <is>
          <t>AIR 1985 SC 817; (1984) 1 SCALE 31; (1984) 3 SCC 352; (1984) 2 SCR 333; (1984) 16 UJ 778</t>
        </is>
      </c>
      <c r="J630" s="11" t="n">
        <v>1985</v>
      </c>
      <c r="K630" s="2" t="inlineStr">
        <is>
          <t>Shri Kishan @ Krishan Kumar v. Manoj Kumar Etc. Etc.</t>
        </is>
      </c>
      <c r="L630" s="11" t="inlineStr">
        <is>
          <t>Supreme Court</t>
        </is>
      </c>
      <c r="M630" s="2" t="inlineStr">
        <is>
          <t>(1998) 2 AD 162; AIR 1998 SC 999; (1998) 2 CTC 37; (1998) 1 JT 633; (1998) 118 PLR 593; (1998) 1 SCALE 582; (1998) 2 SCC 710; (1998) 1 SCR 830; (1998) AIRSCW 769; (1998) 2 Supreme 478</t>
        </is>
      </c>
      <c r="N630" s="11" t="n">
        <v>1998</v>
      </c>
      <c r="O630" s="11" t="n"/>
      <c r="P630" s="11" t="n"/>
      <c r="Q630" s="11" t="n"/>
      <c r="R630" s="2" t="n"/>
      <c r="S630" s="2" t="n"/>
      <c r="T630" s="11" t="inlineStr"/>
      <c r="U630" s="11" t="inlineStr"/>
      <c r="V630" s="11" t="inlineStr">
        <is>
          <t>outside_list</t>
        </is>
      </c>
      <c r="W630" s="11" t="n"/>
      <c r="X630" s="11" t="n"/>
      <c r="Y630" s="11" t="n"/>
      <c r="Z630" s="11" t="inlineStr">
        <is>
          <t>Mr. Advocate</t>
        </is>
      </c>
      <c r="AA630" s="11" t="inlineStr">
        <is>
          <t>2026-10-07</t>
        </is>
      </c>
      <c r="AB630" s="11" t="inlineStr">
        <is>
          <t>name_year</t>
        </is>
      </c>
      <c r="AC630" s="2" t="inlineStr"/>
      <c r="AD630" s="2" t="inlineStr">
        <is>
          <t>Vineet Kumar v. Mangal Sain Wadhera (1985) was overruled by Shri Kishan @ Krishan Kumar v. Manoj Kumar Etc. Etc. (1998).</t>
        </is>
      </c>
      <c r="AE630" s="2" t="n"/>
      <c r="AF630" s="11" t="inlineStr">
        <is>
          <t>created from list 1</t>
        </is>
      </c>
    </row>
    <row r="631">
      <c r="A631" s="11" t="inlineStr">
        <is>
          <t>L1-0630</t>
        </is>
      </c>
      <c r="B631" s="11" t="inlineStr">
        <is>
          <t>List 1 (to ~2015)</t>
        </is>
      </c>
      <c r="C631" s="11" t="inlineStr">
        <is>
          <t>list1</t>
        </is>
      </c>
      <c r="D631" s="11" t="inlineStr">
        <is>
          <t>verified</t>
        </is>
      </c>
      <c r="E631" s="11" t="inlineStr">
        <is>
          <t>overruled</t>
        </is>
      </c>
      <c r="F631" s="2" t="inlineStr">
        <is>
          <t>Cricket Club of India v. Bombay Labour Union and Another</t>
        </is>
      </c>
      <c r="G631" s="11" t="inlineStr"/>
      <c r="H631" s="11" t="inlineStr">
        <is>
          <t>Supreme Court</t>
        </is>
      </c>
      <c r="I631" s="2" t="inlineStr">
        <is>
          <t>AIR 1969 SC 276; (1969) 18 FLR 10; (1969) 1 LLJ 775; (1969) 1 SCR 600</t>
        </is>
      </c>
      <c r="J631" s="11" t="n">
        <v>1969</v>
      </c>
      <c r="K631" s="2" t="inlineStr">
        <is>
          <t>Bangalore Water Supply and Sewerage Board v. A. Rajappa and Others</t>
        </is>
      </c>
      <c r="L631" s="11" t="inlineStr">
        <is>
          <t>Supreme Court</t>
        </is>
      </c>
      <c r="M631" s="2" t="inlineStr">
        <is>
          <t>AIR 1978 SC 969; AIR 1978 SC 548; (1978) 36 FLR 266; (1978) 2 LLJ 73; (1978) 1 LLJ 349; (1978) 2 SCC 213; (1978) 3 SCR 207</t>
        </is>
      </c>
      <c r="N631" s="11" t="n">
        <v>1978</v>
      </c>
      <c r="O631" s="11" t="n"/>
      <c r="P631" s="11" t="n"/>
      <c r="Q631" s="11" t="n"/>
      <c r="R631" s="2" t="n"/>
      <c r="S631" s="2" t="n"/>
      <c r="T631" s="11" t="inlineStr"/>
      <c r="U631" s="11" t="inlineStr"/>
      <c r="V631" s="11" t="inlineStr">
        <is>
          <t>outside_list</t>
        </is>
      </c>
      <c r="W631" s="11" t="n"/>
      <c r="X631" s="11" t="n"/>
      <c r="Y631" s="11" t="n"/>
      <c r="Z631" s="11" t="inlineStr">
        <is>
          <t>Mr. Advocate</t>
        </is>
      </c>
      <c r="AA631" s="11" t="inlineStr">
        <is>
          <t>2026-10-07</t>
        </is>
      </c>
      <c r="AB631" s="11" t="inlineStr">
        <is>
          <t>name_year</t>
        </is>
      </c>
      <c r="AC631" s="2" t="inlineStr"/>
      <c r="AD631" s="2" t="inlineStr">
        <is>
          <t>Cricket Club of India v. Bombay Labour Union and Another (1969) was overruled by Bangalore Water Supply and Sewerage Board v. A. Rajappa and Others (1978).</t>
        </is>
      </c>
      <c r="AE631" s="2" t="n"/>
      <c r="AF631" s="11" t="inlineStr">
        <is>
          <t>created from list 1</t>
        </is>
      </c>
    </row>
    <row r="632">
      <c r="A632" s="11" t="inlineStr">
        <is>
          <t>L1-0631</t>
        </is>
      </c>
      <c r="B632" s="11" t="inlineStr">
        <is>
          <t>List 1 (to ~2015)</t>
        </is>
      </c>
      <c r="C632" s="11" t="inlineStr">
        <is>
          <t>list1</t>
        </is>
      </c>
      <c r="D632" s="11" t="inlineStr">
        <is>
          <t>verified</t>
        </is>
      </c>
      <c r="E632" s="11" t="inlineStr">
        <is>
          <t>overruled</t>
        </is>
      </c>
      <c r="F632" s="2" t="inlineStr">
        <is>
          <t>Kesho Ram and Co. and Others etc. v. Union of India (UOI) and Others</t>
        </is>
      </c>
      <c r="G632" s="11" t="inlineStr"/>
      <c r="H632" s="11" t="inlineStr">
        <is>
          <t>Supreme Court</t>
        </is>
      </c>
      <c r="I632" s="2" t="inlineStr">
        <is>
          <t>(1989) 1 JT 203 Supp; (1989) JT 203 Supp; (1989) 96 PLR 1; (1989) 1 SCALE 1421; (1989) 3 SCC 151; (1989) 2 SCR 1005</t>
        </is>
      </c>
      <c r="J632" s="11" t="n">
        <v>1989</v>
      </c>
      <c r="K632" s="2" t="inlineStr">
        <is>
          <t>Shri Kishan @ Krishan Kumar v. Manoj Kumar Etc. Etc.</t>
        </is>
      </c>
      <c r="L632" s="11" t="inlineStr">
        <is>
          <t>Supreme Court</t>
        </is>
      </c>
      <c r="M632" s="2" t="inlineStr">
        <is>
          <t>(1998) 2 AD 162; AIR 1998 SC 999; (1998) 2 CTC 37; (1998) 1 JT 633; (1998) 118 PLR 593; (1998) 1 SCALE 582; (1998) 2 SCC 710; (1998) 1 SCR 830; (1998) AIRSCW 769; (1998) 2 Supreme 478</t>
        </is>
      </c>
      <c r="N632" s="11" t="n">
        <v>1998</v>
      </c>
      <c r="O632" s="11" t="n"/>
      <c r="P632" s="11" t="n"/>
      <c r="Q632" s="11" t="n"/>
      <c r="R632" s="2" t="n"/>
      <c r="S632" s="2" t="n"/>
      <c r="T632" s="11" t="inlineStr"/>
      <c r="U632" s="11" t="inlineStr"/>
      <c r="V632" s="11" t="inlineStr">
        <is>
          <t>outside_list</t>
        </is>
      </c>
      <c r="W632" s="11" t="n"/>
      <c r="X632" s="11" t="n"/>
      <c r="Y632" s="11" t="n"/>
      <c r="Z632" s="11" t="inlineStr">
        <is>
          <t>Mr. Advocate</t>
        </is>
      </c>
      <c r="AA632" s="11" t="inlineStr">
        <is>
          <t>2026-10-07</t>
        </is>
      </c>
      <c r="AB632" s="11" t="inlineStr">
        <is>
          <t>name_year</t>
        </is>
      </c>
      <c r="AC632" s="2" t="inlineStr"/>
      <c r="AD632" s="2" t="inlineStr">
        <is>
          <t>Kesho Ram and Co. and Others etc. v. Union of India (UOI) and Others (1989) was overruled by Shri Kishan @ Krishan Kumar v. Manoj Kumar Etc. Etc. (1998).</t>
        </is>
      </c>
      <c r="AE632" s="2" t="n"/>
      <c r="AF632" s="11" t="inlineStr">
        <is>
          <t>created from list 1</t>
        </is>
      </c>
    </row>
    <row r="633">
      <c r="A633" s="11" t="inlineStr">
        <is>
          <t>L1-0632</t>
        </is>
      </c>
      <c r="B633" s="11" t="inlineStr">
        <is>
          <t>List 1 (to ~2015)</t>
        </is>
      </c>
      <c r="C633" s="11" t="inlineStr">
        <is>
          <t>list1</t>
        </is>
      </c>
      <c r="D633" s="11" t="inlineStr">
        <is>
          <t>verified</t>
        </is>
      </c>
      <c r="E633" s="11" t="inlineStr">
        <is>
          <t>overruled</t>
        </is>
      </c>
      <c r="F633" s="2" t="inlineStr">
        <is>
          <t>Sakharam @ Bapusaheb Narayan Sanas and Another v. Manikchand Motichand Shah and Another</t>
        </is>
      </c>
      <c r="G633" s="11" t="inlineStr"/>
      <c r="H633" s="11" t="inlineStr">
        <is>
          <t>Supreme Court</t>
        </is>
      </c>
      <c r="I633" s="2" t="inlineStr">
        <is>
          <t>AIR 1963 SC 354; (1962) 2 SCR 59</t>
        </is>
      </c>
      <c r="J633" s="11" t="n">
        <v>1963</v>
      </c>
      <c r="K633" s="2" t="inlineStr">
        <is>
          <t>Sidram Narsappa Kamble v. Sholapur Borough Municipality Another</t>
        </is>
      </c>
      <c r="L633" s="11" t="inlineStr">
        <is>
          <t>Supreme Court</t>
        </is>
      </c>
      <c r="M633" s="2" t="inlineStr">
        <is>
          <t>AIR 1966 SC 538; (1966) 1 SCR 618</t>
        </is>
      </c>
      <c r="N633" s="11" t="n">
        <v>1966</v>
      </c>
      <c r="O633" s="11" t="n"/>
      <c r="P633" s="11" t="n"/>
      <c r="Q633" s="11" t="n"/>
      <c r="R633" s="2" t="n"/>
      <c r="S633" s="2" t="n"/>
      <c r="T633" s="11" t="inlineStr"/>
      <c r="U633" s="11" t="inlineStr"/>
      <c r="V633" s="11" t="inlineStr">
        <is>
          <t>outside_list</t>
        </is>
      </c>
      <c r="W633" s="11" t="n"/>
      <c r="X633" s="11" t="n"/>
      <c r="Y633" s="11" t="n"/>
      <c r="Z633" s="11" t="inlineStr">
        <is>
          <t>Mr. Advocate</t>
        </is>
      </c>
      <c r="AA633" s="11" t="inlineStr">
        <is>
          <t>2026-10-07</t>
        </is>
      </c>
      <c r="AB633" s="11" t="inlineStr">
        <is>
          <t>name_year</t>
        </is>
      </c>
      <c r="AC633" s="2" t="inlineStr"/>
      <c r="AD633" s="2" t="inlineStr">
        <is>
          <t>Sakharam @ Bapusaheb Narayan Sanas and Another v. Manikchand Motichand Shah and Another (1963) was overruled by Sidram Narsappa Kamble v. Sholapur Borough Municipality Another (1966).</t>
        </is>
      </c>
      <c r="AE633" s="2" t="n"/>
      <c r="AF633" s="11" t="inlineStr">
        <is>
          <t>created from list 1</t>
        </is>
      </c>
    </row>
    <row r="634">
      <c r="A634" s="11" t="inlineStr">
        <is>
          <t>L1-0633</t>
        </is>
      </c>
      <c r="B634" s="11" t="inlineStr">
        <is>
          <t>List 1 (to ~2015)</t>
        </is>
      </c>
      <c r="C634" s="11" t="inlineStr">
        <is>
          <t>list1</t>
        </is>
      </c>
      <c r="D634" s="11" t="inlineStr">
        <is>
          <t>verified</t>
        </is>
      </c>
      <c r="E634" s="11" t="inlineStr">
        <is>
          <t>overruled</t>
        </is>
      </c>
      <c r="F634" s="2" t="inlineStr">
        <is>
          <t>Jit Ram Shiv Kumar and Others v. State of Haryana and Others</t>
        </is>
      </c>
      <c r="G634" s="11" t="inlineStr"/>
      <c r="H634" s="11" t="inlineStr">
        <is>
          <t>Supreme Court</t>
        </is>
      </c>
      <c r="I634" s="2" t="inlineStr">
        <is>
          <t>AIR 1980 SC 1285; (1981) 1 SCC 11; (1980) 3 SCR 689</t>
        </is>
      </c>
      <c r="J634" s="11" t="n">
        <v>1980</v>
      </c>
      <c r="K634" s="2" t="inlineStr">
        <is>
          <t>Union of India (UOI) and Others v. Godfrey Philips India Ltd.</t>
        </is>
      </c>
      <c r="L634" s="11" t="inlineStr">
        <is>
          <t>Supreme Court</t>
        </is>
      </c>
      <c r="M634" s="2" t="inlineStr">
        <is>
          <t>AIR 1986 SC 806; (1986) 1 CompLJ 46; (1985) 22 ELT 306; (1986) 158 ITR 574; (1985) 2 SCALE 619; (1985) 4 SCC 369</t>
        </is>
      </c>
      <c r="N634" s="11" t="n">
        <v>1986</v>
      </c>
      <c r="O634" s="11" t="n"/>
      <c r="P634" s="11" t="n"/>
      <c r="Q634" s="11" t="n"/>
      <c r="R634" s="2" t="n"/>
      <c r="S634" s="2" t="n"/>
      <c r="T634" s="11" t="inlineStr"/>
      <c r="U634" s="11" t="inlineStr"/>
      <c r="V634" s="11" t="inlineStr">
        <is>
          <t>outside_list</t>
        </is>
      </c>
      <c r="W634" s="11" t="n"/>
      <c r="X634" s="11" t="n"/>
      <c r="Y634" s="11" t="n"/>
      <c r="Z634" s="11" t="inlineStr">
        <is>
          <t>Mr. Advocate</t>
        </is>
      </c>
      <c r="AA634" s="11" t="inlineStr">
        <is>
          <t>2026-10-07</t>
        </is>
      </c>
      <c r="AB634" s="11" t="inlineStr">
        <is>
          <t>name_year</t>
        </is>
      </c>
      <c r="AC634" s="2" t="inlineStr"/>
      <c r="AD634" s="2" t="inlineStr">
        <is>
          <t>Jit Ram Shiv Kumar and Others v. State of Haryana and Others (1980) was overruled by Union of India (UOI) and Others v. Godfrey Philips India Ltd. (1986).</t>
        </is>
      </c>
      <c r="AE634" s="2" t="n"/>
      <c r="AF634" s="11" t="inlineStr">
        <is>
          <t>created from list 1</t>
        </is>
      </c>
    </row>
    <row r="635">
      <c r="A635" s="11" t="inlineStr">
        <is>
          <t>L1-0634</t>
        </is>
      </c>
      <c r="B635" s="11" t="inlineStr">
        <is>
          <t>List 1 (to ~2015)</t>
        </is>
      </c>
      <c r="C635" s="11" t="inlineStr">
        <is>
          <t>list1</t>
        </is>
      </c>
      <c r="D635" s="11" t="inlineStr">
        <is>
          <t>verified</t>
        </is>
      </c>
      <c r="E635" s="11" t="inlineStr">
        <is>
          <t>overruled</t>
        </is>
      </c>
      <c r="F635" s="2" t="inlineStr">
        <is>
          <t>Teja Singh v. Union Territory of Chandigarh and Others</t>
        </is>
      </c>
      <c r="G635" s="11" t="inlineStr"/>
      <c r="H635" s="11" t="inlineStr">
        <is>
          <t>Supreme Court</t>
        </is>
      </c>
      <c r="I635" s="2" t="inlineStr">
        <is>
          <t>AIR 1984 SC 299; (1983) LabIC 1643; (1983) 2 SCALE 649; (1984) 1 SCC 657 Supp; (1984) SCC 657 Supp</t>
        </is>
      </c>
      <c r="J635" s="11" t="n">
        <v>1984</v>
      </c>
      <c r="K635" s="2" t="inlineStr">
        <is>
          <t>Puran Singh and others v. State of Punjab and others</t>
        </is>
      </c>
      <c r="L635" s="11" t="inlineStr">
        <is>
          <t>Supreme Court</t>
        </is>
      </c>
      <c r="M635" s="2" t="inlineStr">
        <is>
          <t>(1996) 1 AD 639; AIR 1996 SC 1092; (1996) 1 JT 362; (1996) 113 PLR 700; (1996) 1 SCALE 380; (1996) 2 SCC 205; (1996) 1 SCR 730; (1996) 1 UJ 241</t>
        </is>
      </c>
      <c r="N635" s="11" t="n">
        <v>1996</v>
      </c>
      <c r="O635" s="11" t="n"/>
      <c r="P635" s="11" t="n"/>
      <c r="Q635" s="11" t="n"/>
      <c r="R635" s="2" t="n"/>
      <c r="S635" s="2" t="n"/>
      <c r="T635" s="11" t="inlineStr"/>
      <c r="U635" s="11" t="inlineStr"/>
      <c r="V635" s="11" t="inlineStr">
        <is>
          <t>outside_list</t>
        </is>
      </c>
      <c r="W635" s="11" t="n"/>
      <c r="X635" s="11" t="n"/>
      <c r="Y635" s="11" t="n"/>
      <c r="Z635" s="11" t="inlineStr">
        <is>
          <t>Mr. Advocate</t>
        </is>
      </c>
      <c r="AA635" s="11" t="inlineStr">
        <is>
          <t>2026-10-07</t>
        </is>
      </c>
      <c r="AB635" s="11" t="inlineStr">
        <is>
          <t>name_year</t>
        </is>
      </c>
      <c r="AC635" s="2" t="inlineStr"/>
      <c r="AD635" s="2" t="inlineStr">
        <is>
          <t>Teja Singh v. Union Territory of Chandigarh and Others (1984) was overruled by Puran Singh and others v. State of Punjab and others (1996).</t>
        </is>
      </c>
      <c r="AE635" s="2" t="n"/>
      <c r="AF635" s="11" t="inlineStr">
        <is>
          <t>created from list 1</t>
        </is>
      </c>
    </row>
    <row r="636">
      <c r="A636" s="11" t="inlineStr">
        <is>
          <t>L1-0635</t>
        </is>
      </c>
      <c r="B636" s="11" t="inlineStr">
        <is>
          <t>List 1 (to ~2015)</t>
        </is>
      </c>
      <c r="C636" s="11" t="inlineStr">
        <is>
          <t>list1</t>
        </is>
      </c>
      <c r="D636" s="11" t="inlineStr">
        <is>
          <t>verified</t>
        </is>
      </c>
      <c r="E636" s="11" t="inlineStr">
        <is>
          <t>overruled</t>
        </is>
      </c>
      <c r="F636" s="2" t="inlineStr">
        <is>
          <t>Administrator Municipal Corporation, Bilaspur v. Dattatraya Dahankar and another</t>
        </is>
      </c>
      <c r="G636" s="11" t="inlineStr"/>
      <c r="H636" s="11" t="inlineStr">
        <is>
          <t>Supreme Court</t>
        </is>
      </c>
      <c r="I636" s="2" t="inlineStr">
        <is>
          <t>AIR 1992 SC 1846; (1991) 4 JT 500; (1991) 2 SCALE 1215; (1992) 1 SCC 361; (1991) 3 SCR 112 Supp; (1992) 1 UJ 332</t>
        </is>
      </c>
      <c r="J636" s="11" t="n">
        <v>1992</v>
      </c>
      <c r="K636" s="2" t="inlineStr">
        <is>
          <t>Mathuram Agrawal v. State of Madhya Pradesh</t>
        </is>
      </c>
      <c r="L636" s="11" t="inlineStr">
        <is>
          <t>Supreme Court</t>
        </is>
      </c>
      <c r="M636" s="2" t="inlineStr">
        <is>
          <t>AIR 2000 SC 109; (1999) 8 JT 505; (1999) 6 SCALE 667; (1999) 8 SCC 667; (1999) 4 SCR 195 Supp; (2000) 1 UJ 345; (1999) AIRSCW 4069; (1999) 9 Supreme 503</t>
        </is>
      </c>
      <c r="N636" s="11" t="n">
        <v>2000</v>
      </c>
      <c r="O636" s="11" t="n"/>
      <c r="P636" s="11" t="n"/>
      <c r="Q636" s="11" t="n"/>
      <c r="R636" s="2" t="n"/>
      <c r="S636" s="2" t="n"/>
      <c r="T636" s="11" t="inlineStr"/>
      <c r="U636" s="11" t="inlineStr"/>
      <c r="V636" s="11" t="inlineStr">
        <is>
          <t>outside_list</t>
        </is>
      </c>
      <c r="W636" s="11" t="n"/>
      <c r="X636" s="11" t="n"/>
      <c r="Y636" s="11" t="n"/>
      <c r="Z636" s="11" t="inlineStr">
        <is>
          <t>Mr. Advocate</t>
        </is>
      </c>
      <c r="AA636" s="11" t="inlineStr">
        <is>
          <t>2026-10-07</t>
        </is>
      </c>
      <c r="AB636" s="11" t="inlineStr">
        <is>
          <t>name_year</t>
        </is>
      </c>
      <c r="AC636" s="2" t="inlineStr"/>
      <c r="AD636" s="2" t="inlineStr">
        <is>
          <t>Administrator Municipal Corporation, Bilaspur v. Dattatraya Dahankar and another (1992) was overruled by Mathuram Agrawal v. State of Madhya Pradesh (2000).</t>
        </is>
      </c>
      <c r="AE636" s="2" t="n"/>
      <c r="AF636" s="11" t="inlineStr">
        <is>
          <t>created from list 1</t>
        </is>
      </c>
    </row>
    <row r="637">
      <c r="A637" s="11" t="inlineStr">
        <is>
          <t>L1-0636</t>
        </is>
      </c>
      <c r="B637" s="11" t="inlineStr">
        <is>
          <t>List 1 (to ~2015)</t>
        </is>
      </c>
      <c r="C637" s="11" t="inlineStr">
        <is>
          <t>list1</t>
        </is>
      </c>
      <c r="D637" s="11" t="inlineStr">
        <is>
          <t>verified</t>
        </is>
      </c>
      <c r="E637" s="11" t="inlineStr">
        <is>
          <t>overruled</t>
        </is>
      </c>
      <c r="F637" s="2" t="inlineStr">
        <is>
          <t>New India Sugar Mills Ltd. v. Commissioner of Sales Tax, Bihar</t>
        </is>
      </c>
      <c r="G637" s="11" t="inlineStr"/>
      <c r="H637" s="11" t="inlineStr">
        <is>
          <t>Supreme Court</t>
        </is>
      </c>
      <c r="I637" s="2" t="inlineStr">
        <is>
          <t>AIR 1963 SC 1207; (1963) 2 SCR 459 Supp; (1963) 14 STC 316</t>
        </is>
      </c>
      <c r="J637" s="11" t="n">
        <v>1963</v>
      </c>
      <c r="K637" s="2" t="inlineStr">
        <is>
          <t>Vishnu Agencies (Pvt.) Ltd. v. Commercial Tax Officer and Others</t>
        </is>
      </c>
      <c r="L637" s="11" t="inlineStr">
        <is>
          <t>Supreme Court</t>
        </is>
      </c>
      <c r="M637" s="2" t="inlineStr">
        <is>
          <t>AIR 1978 SC 449; AIR 1977 SC 449; (1978) 1 SCC 520; (1978) 2 SCR 433; (1978) 42 STC 31</t>
        </is>
      </c>
      <c r="N637" s="11" t="n">
        <v>1978</v>
      </c>
      <c r="O637" s="11" t="n"/>
      <c r="P637" s="11" t="n"/>
      <c r="Q637" s="11" t="n"/>
      <c r="R637" s="2" t="n"/>
      <c r="S637" s="2" t="n"/>
      <c r="T637" s="11" t="inlineStr"/>
      <c r="U637" s="11" t="inlineStr"/>
      <c r="V637" s="11" t="inlineStr">
        <is>
          <t>outside_list</t>
        </is>
      </c>
      <c r="W637" s="11" t="n"/>
      <c r="X637" s="11" t="n"/>
      <c r="Y637" s="11" t="n"/>
      <c r="Z637" s="11" t="inlineStr">
        <is>
          <t>Mr. Advocate</t>
        </is>
      </c>
      <c r="AA637" s="11" t="inlineStr">
        <is>
          <t>2026-10-07</t>
        </is>
      </c>
      <c r="AB637" s="11" t="inlineStr">
        <is>
          <t>name_year</t>
        </is>
      </c>
      <c r="AC637" s="2" t="inlineStr"/>
      <c r="AD637" s="2" t="inlineStr">
        <is>
          <t>New India Sugar Mills Ltd. v. Commissioner of Sales Tax, Bihar (1963) was overruled by Vishnu Agencies (Pvt.) Ltd. v. Commercial Tax Officer and Others (1978).</t>
        </is>
      </c>
      <c r="AE637" s="2" t="n"/>
      <c r="AF637" s="11" t="inlineStr">
        <is>
          <t>created from list 1</t>
        </is>
      </c>
    </row>
    <row r="638">
      <c r="A638" s="11" t="inlineStr">
        <is>
          <t>L1-0637</t>
        </is>
      </c>
      <c r="B638" s="11" t="inlineStr">
        <is>
          <t>List 1 (to ~2015)</t>
        </is>
      </c>
      <c r="C638" s="11" t="inlineStr">
        <is>
          <t>list1</t>
        </is>
      </c>
      <c r="D638" s="11" t="inlineStr">
        <is>
          <t>verified</t>
        </is>
      </c>
      <c r="E638" s="11" t="inlineStr">
        <is>
          <t>overruled</t>
        </is>
      </c>
      <c r="F638" s="2" t="inlineStr">
        <is>
          <t>Common Cause, A Registered Society Throough its Director v. Union of India and others</t>
        </is>
      </c>
      <c r="G638" s="11" t="inlineStr"/>
      <c r="H638" s="11" t="inlineStr">
        <is>
          <t>Supreme Court</t>
        </is>
      </c>
      <c r="I638" s="2" t="inlineStr">
        <is>
          <t>(1996) 8 AD 746; AIR 1997 SC 1539; (1997) CriLJ 195; (1997) 1 CTC 390; (1996) 8 SCALE 557; (1997) 10 SCC 729; (1996) 6 SCC 775; (1996) 9 SCR 296 Supp; (1997) AIRSCW 290; (1996) 8 Supreme 302</t>
        </is>
      </c>
      <c r="J638" s="11" t="n">
        <v>1997</v>
      </c>
      <c r="K638" s="2" t="inlineStr">
        <is>
          <t>P. Ramachandra Rao v. State of Karnataka</t>
        </is>
      </c>
      <c r="L638" s="11" t="inlineStr">
        <is>
          <t>Supreme Court</t>
        </is>
      </c>
      <c r="M638" s="2" t="inlineStr">
        <is>
          <t>AIR 2002 SC 1856; (2002) CriLJ 2547; (2002) 2 Crimes 200; (2002) 4 JT 92; (2001) 4 SCALE 226; (2002) 4 SCC 578; (2002) 3 SCR 68; (2002) AIRSCW 1841; (2002) 3 Supreme 260</t>
        </is>
      </c>
      <c r="N638" s="11" t="n">
        <v>2002</v>
      </c>
      <c r="O638" s="11" t="n"/>
      <c r="P638" s="11" t="n"/>
      <c r="Q638" s="11" t="n"/>
      <c r="R638" s="2" t="n"/>
      <c r="S638" s="2" t="n"/>
      <c r="T638" s="11" t="inlineStr"/>
      <c r="U638" s="11" t="inlineStr"/>
      <c r="V638" s="11" t="inlineStr">
        <is>
          <t>outside_list</t>
        </is>
      </c>
      <c r="W638" s="11" t="n"/>
      <c r="X638" s="11" t="n"/>
      <c r="Y638" s="11" t="n"/>
      <c r="Z638" s="11" t="inlineStr">
        <is>
          <t>Mr. Advocate</t>
        </is>
      </c>
      <c r="AA638" s="11" t="inlineStr">
        <is>
          <t>2026-10-07</t>
        </is>
      </c>
      <c r="AB638" s="11" t="inlineStr">
        <is>
          <t>name_year</t>
        </is>
      </c>
      <c r="AC638" s="2" t="inlineStr"/>
      <c r="AD638" s="2" t="inlineStr">
        <is>
          <t>Common Cause, A Registered Society Throough its Director v. Union of India and others (1997) was overruled by P. Ramachandra Rao v. State of Karnataka (2002).</t>
        </is>
      </c>
      <c r="AE638" s="2" t="n"/>
      <c r="AF638" s="11" t="inlineStr">
        <is>
          <t>created from list 1</t>
        </is>
      </c>
    </row>
    <row r="639">
      <c r="A639" s="11" t="inlineStr">
        <is>
          <t>L1-0638</t>
        </is>
      </c>
      <c r="B639" s="11" t="inlineStr">
        <is>
          <t>List 1 (to ~2015)</t>
        </is>
      </c>
      <c r="C639" s="11" t="inlineStr">
        <is>
          <t>list1</t>
        </is>
      </c>
      <c r="D639" s="11" t="inlineStr">
        <is>
          <t>verified</t>
        </is>
      </c>
      <c r="E639" s="11" t="inlineStr">
        <is>
          <t>overruled</t>
        </is>
      </c>
      <c r="F639" s="2" t="inlineStr">
        <is>
          <t>P. Paulsamy v. Union of India and Another</t>
        </is>
      </c>
      <c r="G639" s="11" t="inlineStr"/>
      <c r="H639" s="11" t="inlineStr">
        <is>
          <t>Supreme Court</t>
        </is>
      </c>
      <c r="I639" s="2" t="inlineStr">
        <is>
          <t>AIR 1999 SC 2004; (1999) CriLJ 2897; (1999) 3 Crimes 50; (1999) 4 JT 16; (1999) 123 PLR 503; (1999) 3 SCALE 618; (1999) 4 SCC 415; (1999) 3 SCR 736; (1999) 2 UJ 995; (1999) AIRSCW 1707; (1999) 5 Supreme 332</t>
        </is>
      </c>
      <c r="J639" s="11" t="n">
        <v>1999</v>
      </c>
      <c r="K639" s="2" t="inlineStr">
        <is>
          <t>Kantilal Hirji Shah v. State of Tamil Nadu and Others</t>
        </is>
      </c>
      <c r="L639" s="11" t="inlineStr">
        <is>
          <t>unknown</t>
        </is>
      </c>
      <c r="M639" s="2" t="inlineStr">
        <is>
          <t>(2002) CriLJ 261; (2000) 71 ECC 19; (2000) 7 JT 478; (2000) 6 SCALE 37; (2000) 7 SCC 606; (2001) AIRSCW 4781; (2000) 6 Supreme 605</t>
        </is>
      </c>
      <c r="N639" s="11" t="n">
        <v>2000</v>
      </c>
      <c r="O639" s="11" t="n"/>
      <c r="P639" s="11" t="n"/>
      <c r="Q639" s="11" t="n"/>
      <c r="R639" s="2" t="n"/>
      <c r="S639" s="2" t="n"/>
      <c r="T639" s="11" t="inlineStr"/>
      <c r="U639" s="11" t="inlineStr"/>
      <c r="V639" s="11" t="inlineStr">
        <is>
          <t>outside_list</t>
        </is>
      </c>
      <c r="W639" s="11" t="n"/>
      <c r="X639" s="11" t="n"/>
      <c r="Y639" s="11" t="n"/>
      <c r="Z639" s="11" t="inlineStr">
        <is>
          <t>Mr. Advocate</t>
        </is>
      </c>
      <c r="AA639" s="11" t="inlineStr">
        <is>
          <t>2026-10-07</t>
        </is>
      </c>
      <c r="AB639" s="11" t="inlineStr">
        <is>
          <t>name_year</t>
        </is>
      </c>
      <c r="AC639" s="2" t="inlineStr"/>
      <c r="AD639" s="2" t="inlineStr">
        <is>
          <t>P. Paulsamy v. Union of India and Another (1999) was overruled by Kantilal Hirji Shah v. State of Tamil Nadu and Others (2000).</t>
        </is>
      </c>
      <c r="AE639" s="2" t="n"/>
      <c r="AF639" s="11" t="inlineStr">
        <is>
          <t>created from list 1</t>
        </is>
      </c>
    </row>
    <row r="640">
      <c r="A640" s="11" t="inlineStr">
        <is>
          <t>L1-0639</t>
        </is>
      </c>
      <c r="B640" s="11" t="inlineStr">
        <is>
          <t>List 1 (to ~2015)</t>
        </is>
      </c>
      <c r="C640" s="11" t="inlineStr">
        <is>
          <t>list1</t>
        </is>
      </c>
      <c r="D640" s="11" t="inlineStr">
        <is>
          <t>verified</t>
        </is>
      </c>
      <c r="E640" s="11" t="inlineStr">
        <is>
          <t>overruled</t>
        </is>
      </c>
      <c r="F640" s="2" t="inlineStr">
        <is>
          <t>A.S. Sulochana v. C. Dharmalingam</t>
        </is>
      </c>
      <c r="G640" s="11" t="inlineStr"/>
      <c r="H640" s="11" t="inlineStr">
        <is>
          <t>Supreme Court</t>
        </is>
      </c>
      <c r="I640" s="2" t="inlineStr">
        <is>
          <t>AIR 1987 SC 242; (1986) JT 1068; (1986) 2 SCALE 996; (1987) 1 SCC 180; (1987) 1 SCR 379; (1987) 1 UJ 207</t>
        </is>
      </c>
      <c r="J640" s="11" t="n">
        <v>1987</v>
      </c>
      <c r="K640" s="2" t="inlineStr">
        <is>
          <t>Imdad Ali v. Keshav Chand and Others</t>
        </is>
      </c>
      <c r="L640" s="11" t="inlineStr">
        <is>
          <t>Supreme Court</t>
        </is>
      </c>
      <c r="M640" s="2" t="inlineStr">
        <is>
          <t>AIR 2003 SC 1863; (2003) 5 JT 502; (2003) 2 SCALE 494; (2003) 4 SCC 635; (2003) 2 SCR 259; (2003) 1 UJ 634; (2003) AIRSCW 1327; (2003) 3 Supreme 276</t>
        </is>
      </c>
      <c r="N640" s="11" t="n">
        <v>2003</v>
      </c>
      <c r="O640" s="11" t="n"/>
      <c r="P640" s="11" t="n"/>
      <c r="Q640" s="11" t="n"/>
      <c r="R640" s="2" t="n"/>
      <c r="S640" s="2" t="n"/>
      <c r="T640" s="11" t="inlineStr"/>
      <c r="U640" s="11" t="inlineStr"/>
      <c r="V640" s="11" t="inlineStr">
        <is>
          <t>outside_list</t>
        </is>
      </c>
      <c r="W640" s="11" t="n"/>
      <c r="X640" s="11" t="n"/>
      <c r="Y640" s="11" t="n"/>
      <c r="Z640" s="11" t="inlineStr">
        <is>
          <t>Mr. Advocate</t>
        </is>
      </c>
      <c r="AA640" s="11" t="inlineStr">
        <is>
          <t>2026-10-07</t>
        </is>
      </c>
      <c r="AB640" s="11" t="inlineStr">
        <is>
          <t>name_year</t>
        </is>
      </c>
      <c r="AC640" s="2" t="inlineStr"/>
      <c r="AD640" s="2" t="inlineStr">
        <is>
          <t>A.S. Sulochana v. C. Dharmalingam (1987) was overruled by Imdad Ali v. Keshav Chand and Others (2003).</t>
        </is>
      </c>
      <c r="AE640" s="2" t="n"/>
      <c r="AF640" s="11" t="inlineStr">
        <is>
          <t>created from list 1</t>
        </is>
      </c>
    </row>
    <row r="641">
      <c r="A641" s="11" t="inlineStr">
        <is>
          <t>L1-0640</t>
        </is>
      </c>
      <c r="B641" s="11" t="inlineStr">
        <is>
          <t>List 1 (to ~2015)</t>
        </is>
      </c>
      <c r="C641" s="11" t="inlineStr">
        <is>
          <t>list1</t>
        </is>
      </c>
      <c r="D641" s="11" t="inlineStr">
        <is>
          <t>verified</t>
        </is>
      </c>
      <c r="E641" s="11" t="inlineStr">
        <is>
          <t>overruled</t>
        </is>
      </c>
      <c r="F641" s="2" t="inlineStr">
        <is>
          <t>State of Rajasthan and Others v. Union of India and Others</t>
        </is>
      </c>
      <c r="G641" s="11" t="inlineStr"/>
      <c r="H641" s="11" t="inlineStr">
        <is>
          <t>Supreme Court</t>
        </is>
      </c>
      <c r="I641" s="2" t="inlineStr">
        <is>
          <t>AIR 1977 SC 1361; (1977) 3 SCC 592; (1978) 1 SCR 1</t>
        </is>
      </c>
      <c r="J641" s="11" t="n">
        <v>1977</v>
      </c>
      <c r="K641" s="2" t="inlineStr">
        <is>
          <t>A.K. Roy and Others v. Union of India (UOI) and Others</t>
        </is>
      </c>
      <c r="L641" s="11" t="inlineStr">
        <is>
          <t>Supreme Court</t>
        </is>
      </c>
      <c r="M641" s="2" t="inlineStr">
        <is>
          <t>AIR 1982 SC 710; (1982) CriLJ 340; (1981) 4 SCALE 1904; (1982) 1 SCC 271; (1982) 2 SCR 272</t>
        </is>
      </c>
      <c r="N641" s="11" t="n">
        <v>1982</v>
      </c>
      <c r="O641" s="11" t="n"/>
      <c r="P641" s="11" t="n"/>
      <c r="Q641" s="11" t="n"/>
      <c r="R641" s="2" t="n"/>
      <c r="S641" s="2" t="n"/>
      <c r="T641" s="11" t="inlineStr"/>
      <c r="U641" s="11" t="inlineStr"/>
      <c r="V641" s="11" t="inlineStr">
        <is>
          <t>outside_list</t>
        </is>
      </c>
      <c r="W641" s="11" t="n"/>
      <c r="X641" s="11" t="n"/>
      <c r="Y641" s="11" t="n"/>
      <c r="Z641" s="11" t="inlineStr">
        <is>
          <t>Mr. Advocate</t>
        </is>
      </c>
      <c r="AA641" s="11" t="inlineStr">
        <is>
          <t>2026-10-07</t>
        </is>
      </c>
      <c r="AB641" s="11" t="inlineStr">
        <is>
          <t>citation</t>
        </is>
      </c>
      <c r="AC641" s="2" t="inlineStr"/>
      <c r="AD641" s="2" t="inlineStr">
        <is>
          <t>State of Rajasthan and Others v. Union of India and Others (1977) was overruled by A.K. Roy and Others v. Union of India (UOI) and Others (1982).</t>
        </is>
      </c>
      <c r="AE641" s="2" t="n"/>
      <c r="AF641" s="11" t="inlineStr">
        <is>
          <t>created from list 1</t>
        </is>
      </c>
    </row>
    <row r="642">
      <c r="A642" s="11" t="inlineStr">
        <is>
          <t>L1-0641</t>
        </is>
      </c>
      <c r="B642" s="11" t="inlineStr">
        <is>
          <t>List 1 (to ~2015)</t>
        </is>
      </c>
      <c r="C642" s="11" t="inlineStr">
        <is>
          <t>list1</t>
        </is>
      </c>
      <c r="D642" s="11" t="inlineStr">
        <is>
          <t>verified</t>
        </is>
      </c>
      <c r="E642" s="11" t="inlineStr">
        <is>
          <t>overruled</t>
        </is>
      </c>
      <c r="F642" s="2" t="inlineStr">
        <is>
          <t>Bhaiya Punjalal Bhagwanddin v. Dave Bhagwatprasad Prabhuprasad</t>
        </is>
      </c>
      <c r="G642" s="11" t="inlineStr"/>
      <c r="H642" s="11" t="inlineStr">
        <is>
          <t>Supreme Court</t>
        </is>
      </c>
      <c r="I642" s="2" t="inlineStr">
        <is>
          <t>AIR 1963 SC 120; (1963) 3 SCR 312</t>
        </is>
      </c>
      <c r="J642" s="11" t="n">
        <v>1963</v>
      </c>
      <c r="K642" s="2" t="inlineStr">
        <is>
          <t>V. Dhanapal Chettiar v. Yesodai Ammal</t>
        </is>
      </c>
      <c r="L642" s="11" t="inlineStr">
        <is>
          <t>Supreme Court</t>
        </is>
      </c>
      <c r="M642" s="2" t="inlineStr">
        <is>
          <t>AIR 1979 SC 1745; (1979) 4 SCC 214; (1980) 1 SCR 334</t>
        </is>
      </c>
      <c r="N642" s="11" t="n">
        <v>1979</v>
      </c>
      <c r="O642" s="11" t="n"/>
      <c r="P642" s="11" t="n"/>
      <c r="Q642" s="11" t="n"/>
      <c r="R642" s="2" t="n"/>
      <c r="S642" s="2" t="n"/>
      <c r="T642" s="11" t="inlineStr"/>
      <c r="U642" s="11" t="inlineStr"/>
      <c r="V642" s="11" t="inlineStr">
        <is>
          <t>outside_list</t>
        </is>
      </c>
      <c r="W642" s="11" t="n"/>
      <c r="X642" s="11" t="n"/>
      <c r="Y642" s="11" t="n"/>
      <c r="Z642" s="11" t="inlineStr">
        <is>
          <t>Mr. Advocate</t>
        </is>
      </c>
      <c r="AA642" s="11" t="inlineStr">
        <is>
          <t>2026-10-07</t>
        </is>
      </c>
      <c r="AB642" s="11" t="inlineStr">
        <is>
          <t>name_year</t>
        </is>
      </c>
      <c r="AC642" s="2" t="inlineStr">
        <is>
          <t>L1-0237: overruled by Tara Chand and Another v. Ram Prasad (1990)</t>
        </is>
      </c>
      <c r="AD642" s="2" t="inlineStr">
        <is>
          <t>Bhaiya Punjalal Bhagwanddin v. Dave Bhagwatprasad Prabhuprasad (1963) was overruled by V. Dhanapal Chettiar v. Yesodai Ammal (1979). Note: V. Dhanapal Chettiar v. Yesodai Ammal was itself later overruled by Tara Chand and Another v. Ram Prasad (1990); the current position should be checked.</t>
        </is>
      </c>
      <c r="AE642" s="2" t="n"/>
      <c r="AF642" s="11" t="inlineStr">
        <is>
          <t>created from list 1</t>
        </is>
      </c>
    </row>
    <row r="643">
      <c r="A643" s="11" t="inlineStr">
        <is>
          <t>L1-0642</t>
        </is>
      </c>
      <c r="B643" s="11" t="inlineStr">
        <is>
          <t>List 1 (to ~2015)</t>
        </is>
      </c>
      <c r="C643" s="11" t="inlineStr">
        <is>
          <t>list1</t>
        </is>
      </c>
      <c r="D643" s="11" t="inlineStr">
        <is>
          <t>verified</t>
        </is>
      </c>
      <c r="E643" s="11" t="inlineStr">
        <is>
          <t>overruled</t>
        </is>
      </c>
      <c r="F643" s="2" t="inlineStr">
        <is>
          <t>Bhartu v. Randhir Singh and Others</t>
        </is>
      </c>
      <c r="G643" s="11" t="inlineStr"/>
      <c r="H643" s="11" t="inlineStr">
        <is>
          <t>Supreme Court</t>
        </is>
      </c>
      <c r="I643" s="2" t="inlineStr">
        <is>
          <t>AIR 1985 SC 413; (1985) 1 SCALE 98; (1985) 1 SCC 733; (1985) 2 SCR 638; (1985) 17 UJ 712</t>
        </is>
      </c>
      <c r="J643" s="11" t="n">
        <v>1985</v>
      </c>
      <c r="K643" s="2" t="inlineStr">
        <is>
          <t>Dina v. Financial Commissioner, Punjab, Chandigarh and others</t>
        </is>
      </c>
      <c r="L643" s="11" t="inlineStr">
        <is>
          <t>Supreme Court</t>
        </is>
      </c>
      <c r="M643" s="2" t="inlineStr">
        <is>
          <t>AIR 1996 SC 3128; (1995) 9 JT 244; (1995) 7 SCALE 330; (1996) 1 SCC 531; (1995) 6 SCR 244 Supp</t>
        </is>
      </c>
      <c r="N643" s="11" t="n">
        <v>1996</v>
      </c>
      <c r="O643" s="11" t="n"/>
      <c r="P643" s="11" t="n"/>
      <c r="Q643" s="11" t="n"/>
      <c r="R643" s="2" t="n"/>
      <c r="S643" s="2" t="n"/>
      <c r="T643" s="11" t="inlineStr"/>
      <c r="U643" s="11" t="inlineStr"/>
      <c r="V643" s="11" t="inlineStr">
        <is>
          <t>outside_list</t>
        </is>
      </c>
      <c r="W643" s="11" t="n"/>
      <c r="X643" s="11" t="n"/>
      <c r="Y643" s="11" t="n"/>
      <c r="Z643" s="11" t="inlineStr">
        <is>
          <t>Mr. Advocate</t>
        </is>
      </c>
      <c r="AA643" s="11" t="inlineStr">
        <is>
          <t>2026-10-07</t>
        </is>
      </c>
      <c r="AB643" s="11" t="inlineStr">
        <is>
          <t>name_year</t>
        </is>
      </c>
      <c r="AC643" s="2" t="inlineStr"/>
      <c r="AD643" s="2" t="inlineStr">
        <is>
          <t>Bhartu v. Randhir Singh and Others (1985) was overruled by Dina v. Financial Commissioner, Punjab, Chandigarh and others (1996).</t>
        </is>
      </c>
      <c r="AE643" s="2" t="n"/>
      <c r="AF643" s="11" t="inlineStr">
        <is>
          <t>created from list 1</t>
        </is>
      </c>
    </row>
    <row r="644">
      <c r="A644" s="11" t="inlineStr">
        <is>
          <t>L1-0643</t>
        </is>
      </c>
      <c r="B644" s="11" t="inlineStr">
        <is>
          <t>List 1 (to ~2015)</t>
        </is>
      </c>
      <c r="C644" s="11" t="inlineStr">
        <is>
          <t>list1</t>
        </is>
      </c>
      <c r="D644" s="11" t="inlineStr">
        <is>
          <t>verified</t>
        </is>
      </c>
      <c r="E644" s="11" t="inlineStr">
        <is>
          <t>overruled</t>
        </is>
      </c>
      <c r="F644" s="2" t="inlineStr">
        <is>
          <t>Arnit Das v. State of Bihar</t>
        </is>
      </c>
      <c r="G644" s="11" t="inlineStr"/>
      <c r="H644" s="11" t="inlineStr">
        <is>
          <t>Supreme Court</t>
        </is>
      </c>
      <c r="I644" s="2" t="inlineStr">
        <is>
          <t>AIR 2000 SC 2264; (2000) CriLJ 2971; (2000) 6 JT 320; (2000) 4 SCALE 515; (2000) 5 SCC 488; (2000) 1 SCR 69 Supp; (2000) 2 UJ 1062; (2000) AIRSCW 2037; (2000) 4 Supreme 186</t>
        </is>
      </c>
      <c r="J644" s="11" t="n">
        <v>2000</v>
      </c>
      <c r="K644" s="2" t="inlineStr">
        <is>
          <t>Pratap Singh v. State of Jharkhand and Another</t>
        </is>
      </c>
      <c r="L644" s="11" t="inlineStr">
        <is>
          <t>Supreme Court</t>
        </is>
      </c>
      <c r="M644" s="2" t="inlineStr">
        <is>
          <t>AIR 2005 SC 2731; (2005) CriLJ 3091; (2005) 2 JT 271; (2005) 3 SCC 551; (2005) 1 SCR 1019; (2005) 1 UJ 587; (2005) AIRSCW 3088; (2005) 1 Supreme 775</t>
        </is>
      </c>
      <c r="N644" s="11" t="n">
        <v>2005</v>
      </c>
      <c r="O644" s="11" t="n"/>
      <c r="P644" s="11" t="n"/>
      <c r="Q644" s="11" t="n"/>
      <c r="R644" s="2" t="n"/>
      <c r="S644" s="2" t="n"/>
      <c r="T644" s="11" t="inlineStr"/>
      <c r="U644" s="11" t="inlineStr"/>
      <c r="V644" s="11" t="inlineStr">
        <is>
          <t>outside_list</t>
        </is>
      </c>
      <c r="W644" s="11" t="n"/>
      <c r="X644" s="11" t="n"/>
      <c r="Y644" s="11" t="n"/>
      <c r="Z644" s="11" t="inlineStr">
        <is>
          <t>Mr. Advocate</t>
        </is>
      </c>
      <c r="AA644" s="11" t="inlineStr">
        <is>
          <t>2026-10-07</t>
        </is>
      </c>
      <c r="AB644" s="11" t="inlineStr">
        <is>
          <t>name_year</t>
        </is>
      </c>
      <c r="AC644" s="2" t="inlineStr"/>
      <c r="AD644" s="2" t="inlineStr">
        <is>
          <t>Arnit Das v. State of Bihar (2000) was overruled by Pratap Singh v. State of Jharkhand and Another (2005).</t>
        </is>
      </c>
      <c r="AE644" s="2" t="n"/>
      <c r="AF644" s="11" t="inlineStr">
        <is>
          <t>created from list 1</t>
        </is>
      </c>
    </row>
    <row r="645">
      <c r="A645" s="11" t="inlineStr">
        <is>
          <t>L1-0644</t>
        </is>
      </c>
      <c r="B645" s="11" t="inlineStr">
        <is>
          <t>List 1 (to ~2015)</t>
        </is>
      </c>
      <c r="C645" s="11" t="inlineStr">
        <is>
          <t>list1</t>
        </is>
      </c>
      <c r="D645" s="11" t="inlineStr">
        <is>
          <t>verified</t>
        </is>
      </c>
      <c r="E645" s="11" t="inlineStr">
        <is>
          <t>overruled</t>
        </is>
      </c>
      <c r="F645" s="2" t="inlineStr">
        <is>
          <t>Smt. Atia Mohammadi Begum v. State of U.P. and others</t>
        </is>
      </c>
      <c r="G645" s="11" t="inlineStr"/>
      <c r="H645" s="11" t="inlineStr">
        <is>
          <t>Supreme Court</t>
        </is>
      </c>
      <c r="I645" s="2" t="inlineStr">
        <is>
          <t>AIR 1993 SC 2465; (1993) JT 544 Supp; (1993) 2 SCALE 167; (1993) 2 SCC 546; (1993) 2 SCR 295</t>
        </is>
      </c>
      <c r="J645" s="11" t="n">
        <v>1993</v>
      </c>
      <c r="K645" s="2" t="inlineStr">
        <is>
          <t>The State of A.P. and ors v. N. Audikesava Reddy and ors</t>
        </is>
      </c>
      <c r="L645" s="11" t="inlineStr">
        <is>
          <t>Supreme Court</t>
        </is>
      </c>
      <c r="M645" s="2" t="inlineStr">
        <is>
          <t>AIR 2002 SC 5; (2001) 10 JT 31; (2001) 8 SCALE 79; (2002) 1 SCC 227; (2001) AIRSCW 4498; (2001) 8 Supreme 158</t>
        </is>
      </c>
      <c r="N645" s="11" t="n">
        <v>2002</v>
      </c>
      <c r="O645" s="11" t="n"/>
      <c r="P645" s="11" t="n"/>
      <c r="Q645" s="11" t="n"/>
      <c r="R645" s="2" t="n"/>
      <c r="S645" s="2" t="n"/>
      <c r="T645" s="11" t="inlineStr"/>
      <c r="U645" s="11" t="inlineStr"/>
      <c r="V645" s="11" t="inlineStr">
        <is>
          <t>outside_list</t>
        </is>
      </c>
      <c r="W645" s="11" t="n"/>
      <c r="X645" s="11" t="n"/>
      <c r="Y645" s="11" t="n"/>
      <c r="Z645" s="11" t="inlineStr">
        <is>
          <t>Mr. Advocate</t>
        </is>
      </c>
      <c r="AA645" s="11" t="inlineStr">
        <is>
          <t>2026-10-07</t>
        </is>
      </c>
      <c r="AB645" s="11" t="inlineStr">
        <is>
          <t>name_year</t>
        </is>
      </c>
      <c r="AC645" s="2" t="inlineStr"/>
      <c r="AD645" s="2" t="inlineStr">
        <is>
          <t>Smt. Atia Mohammadi Begum v. State of U.P. and others (1993) was overruled by The State of A.P. and ors v. N. Audikesava Reddy and ors (2002).</t>
        </is>
      </c>
      <c r="AE645" s="2" t="n"/>
      <c r="AF645" s="11" t="inlineStr">
        <is>
          <t>created from list 1</t>
        </is>
      </c>
    </row>
    <row r="646">
      <c r="A646" s="11" t="inlineStr">
        <is>
          <t>L1-0645</t>
        </is>
      </c>
      <c r="B646" s="11" t="inlineStr">
        <is>
          <t>List 1 (to ~2015)</t>
        </is>
      </c>
      <c r="C646" s="11" t="inlineStr">
        <is>
          <t>list1</t>
        </is>
      </c>
      <c r="D646" s="11" t="inlineStr">
        <is>
          <t>verified</t>
        </is>
      </c>
      <c r="E646" s="11" t="inlineStr">
        <is>
          <t>disputed_listing</t>
        </is>
      </c>
      <c r="F646" s="2" t="inlineStr">
        <is>
          <t>Ganpat Roy and Others v. Additional District Magistrate and Others</t>
        </is>
      </c>
      <c r="G646" s="11" t="inlineStr"/>
      <c r="H646" s="11" t="inlineStr">
        <is>
          <t>Supreme Court</t>
        </is>
      </c>
      <c r="I646" s="2" t="inlineStr">
        <is>
          <t>AIR 1985 SC 1635; (1985) 1 SCALE 545; (1985) 2 SCC 307; (1985) 3 SCR 384</t>
        </is>
      </c>
      <c r="J646" s="11" t="n">
        <v>1985</v>
      </c>
      <c r="K646" s="2" t="inlineStr">
        <is>
          <t>Tirlok Singh and Co. v. District Magistrate, Lucknow and Others</t>
        </is>
      </c>
      <c r="L646" s="11" t="inlineStr">
        <is>
          <t>Supreme Court</t>
        </is>
      </c>
      <c r="M646" s="2" t="inlineStr">
        <is>
          <t>AIR 1976 SC 1988; (1976) 3 SCC 726; (1976) 3 SCR 942; (1976) 8 UJ 433</t>
        </is>
      </c>
      <c r="N646" s="11" t="n">
        <v>1976</v>
      </c>
      <c r="O646" s="11" t="n"/>
      <c r="P646" s="11" t="n"/>
      <c r="Q646" s="11" t="n"/>
      <c r="R646" s="2" t="n"/>
      <c r="S646" s="2" t="n"/>
      <c r="T646" s="11" t="inlineStr"/>
      <c r="U646" s="11" t="inlineStr">
        <is>
          <t>list_mutual_pair, year_order_check</t>
        </is>
      </c>
      <c r="V646" s="11" t="inlineStr">
        <is>
          <t>outside_list</t>
        </is>
      </c>
      <c r="W646" s="11" t="n"/>
      <c r="X646" s="11" t="n"/>
      <c r="Y646" s="11" t="n"/>
      <c r="Z646" s="11" t="inlineStr">
        <is>
          <t>Mr. Advocate</t>
        </is>
      </c>
      <c r="AA646" s="11" t="inlineStr">
        <is>
          <t>2026-10-07</t>
        </is>
      </c>
      <c r="AB646" s="11" t="inlineStr">
        <is>
          <t>name_year</t>
        </is>
      </c>
      <c r="AC646" s="2" t="inlineStr">
        <is>
          <t>L1-0446: listed in our reference list as overruled by Ganpat Roy and Others v. Additional District Magistrate and Others (1985), but the list is inconsistent on this entry</t>
        </is>
      </c>
      <c r="AD646" s="2" t="inlineStr">
        <is>
          <t>Ganpat Roy and Others v. Additional District Magistrate and Others (1985) is listed in our reference list as overruled by Tirlok Singh and Co. v. District Magistrate, Lucknow and Others (1976), but the list is inconsistent on this entry. Note: Tirlok Singh and Co. v. District Magistrate, Lucknow and Others was itself later listed in our reference list as overruled by Ganpat Roy and Others v. Additional District Magistrate and Others (1985), but the list is inconsistent on this entry; the current position should be checked.</t>
        </is>
      </c>
      <c r="AE646" s="2" t="n"/>
      <c r="AF646" s="11" t="inlineStr">
        <is>
          <t>created from list 1</t>
        </is>
      </c>
    </row>
    <row r="647">
      <c r="A647" s="11" t="inlineStr">
        <is>
          <t>L1-0646</t>
        </is>
      </c>
      <c r="B647" s="11" t="inlineStr">
        <is>
          <t>List 1 (to ~2015)</t>
        </is>
      </c>
      <c r="C647" s="11" t="inlineStr">
        <is>
          <t>list1</t>
        </is>
      </c>
      <c r="D647" s="11" t="inlineStr">
        <is>
          <t>verified</t>
        </is>
      </c>
      <c r="E647" s="11" t="inlineStr">
        <is>
          <t>overruled</t>
        </is>
      </c>
      <c r="F647" s="2" t="inlineStr">
        <is>
          <t>A.B. Abdul Kadir and Others v. State of Kerala</t>
        </is>
      </c>
      <c r="G647" s="11" t="inlineStr"/>
      <c r="H647" s="11" t="inlineStr">
        <is>
          <t>Supreme Court</t>
        </is>
      </c>
      <c r="I647" s="2" t="inlineStr">
        <is>
          <t>AIR 1976 SC 182; (1976) 3 SCC 219; (1976) 2 SCR 690</t>
        </is>
      </c>
      <c r="J647" s="11" t="n">
        <v>1976</v>
      </c>
      <c r="K647" s="2" t="inlineStr">
        <is>
          <t>Godfrey Phillips India Ltd. and Another v. State of U.P. and Others</t>
        </is>
      </c>
      <c r="L647" s="11" t="inlineStr">
        <is>
          <t>Supreme Court</t>
        </is>
      </c>
      <c r="M647" s="2" t="inlineStr">
        <is>
          <t>(2005) 194 CTR 257; (2005) 5 JT 587; (2005) 2 SCC 515; (2005) 1 SCR 732; (2005) 139 STC 537</t>
        </is>
      </c>
      <c r="N647" s="11" t="n">
        <v>2005</v>
      </c>
      <c r="O647" s="11" t="n"/>
      <c r="P647" s="11" t="n"/>
      <c r="Q647" s="11" t="n"/>
      <c r="R647" s="2" t="n"/>
      <c r="S647" s="2" t="n"/>
      <c r="T647" s="11" t="inlineStr"/>
      <c r="U647" s="11" t="inlineStr"/>
      <c r="V647" s="11" t="inlineStr">
        <is>
          <t>outside_list</t>
        </is>
      </c>
      <c r="W647" s="11" t="n"/>
      <c r="X647" s="11" t="n"/>
      <c r="Y647" s="11" t="n"/>
      <c r="Z647" s="11" t="inlineStr">
        <is>
          <t>Mr. Advocate</t>
        </is>
      </c>
      <c r="AA647" s="11" t="inlineStr">
        <is>
          <t>2026-10-07</t>
        </is>
      </c>
      <c r="AB647" s="11" t="inlineStr">
        <is>
          <t>name_year</t>
        </is>
      </c>
      <c r="AC647" s="2" t="inlineStr"/>
      <c r="AD647" s="2" t="inlineStr">
        <is>
          <t>A.B. Abdul Kadir and Others v. State of Kerala (1976) was overruled by Godfrey Phillips India Ltd. and Another v. State of U.P. and Others (2005).</t>
        </is>
      </c>
      <c r="AE647" s="2" t="n"/>
      <c r="AF647" s="11" t="inlineStr">
        <is>
          <t>created from list 1</t>
        </is>
      </c>
    </row>
    <row r="648">
      <c r="A648" s="11" t="inlineStr">
        <is>
          <t>L1-0647</t>
        </is>
      </c>
      <c r="B648" s="11" t="inlineStr">
        <is>
          <t>List 1 (to ~2015)</t>
        </is>
      </c>
      <c r="C648" s="11" t="inlineStr">
        <is>
          <t>list1</t>
        </is>
      </c>
      <c r="D648" s="11" t="inlineStr">
        <is>
          <t>verified</t>
        </is>
      </c>
      <c r="E648" s="11" t="inlineStr">
        <is>
          <t>overruled</t>
        </is>
      </c>
      <c r="F648" s="2" t="inlineStr">
        <is>
          <t>Mohd. Azeem v. District Judge, Aligarh and Others</t>
        </is>
      </c>
      <c r="G648" s="11" t="inlineStr"/>
      <c r="H648" s="11" t="inlineStr">
        <is>
          <t>Supreme Court</t>
        </is>
      </c>
      <c r="I648" s="2" t="inlineStr">
        <is>
          <t>AIR 1985 SC 1118; (1985) 1 SCALE 1097; (1985) 2 SCC 550; (1985) 3 SCR 906</t>
        </is>
      </c>
      <c r="J648" s="11" t="n">
        <v>1985</v>
      </c>
      <c r="K648" s="2" t="inlineStr">
        <is>
          <t>Harish Tandon v. Addl. District Magistrate, Allahabad, U.P. and others</t>
        </is>
      </c>
      <c r="L648" s="11" t="inlineStr">
        <is>
          <t>Supreme Court</t>
        </is>
      </c>
      <c r="M648" s="2" t="inlineStr">
        <is>
          <t>AIR 1995 SC 676; (1995) 1 JT 290; (1995) 1 SCALE 65; (1995) 1 SCC 537; (1995) 1 SCR 56</t>
        </is>
      </c>
      <c r="N648" s="11" t="n">
        <v>1995</v>
      </c>
      <c r="O648" s="11" t="n"/>
      <c r="P648" s="11" t="n"/>
      <c r="Q648" s="11" t="n"/>
      <c r="R648" s="2" t="n"/>
      <c r="S648" s="2" t="n"/>
      <c r="T648" s="11" t="inlineStr"/>
      <c r="U648" s="11" t="inlineStr"/>
      <c r="V648" s="11" t="inlineStr">
        <is>
          <t>outside_list</t>
        </is>
      </c>
      <c r="W648" s="11" t="n"/>
      <c r="X648" s="11" t="n"/>
      <c r="Y648" s="11" t="n"/>
      <c r="Z648" s="11" t="inlineStr">
        <is>
          <t>Mr. Advocate</t>
        </is>
      </c>
      <c r="AA648" s="11" t="inlineStr">
        <is>
          <t>2026-10-07</t>
        </is>
      </c>
      <c r="AB648" s="11" t="inlineStr">
        <is>
          <t>name_year</t>
        </is>
      </c>
      <c r="AC648" s="2" t="inlineStr"/>
      <c r="AD648" s="2" t="inlineStr">
        <is>
          <t>Mohd. Azeem v. District Judge, Aligarh and Others (1985) was overruled by Harish Tandon v. Addl. District Magistrate, Allahabad, U.P. and others (1995).</t>
        </is>
      </c>
      <c r="AE648" s="2" t="n"/>
      <c r="AF648" s="11" t="inlineStr">
        <is>
          <t>created from list 1</t>
        </is>
      </c>
    </row>
    <row r="649">
      <c r="A649" s="11" t="inlineStr">
        <is>
          <t>L1-0648</t>
        </is>
      </c>
      <c r="B649" s="11" t="inlineStr">
        <is>
          <t>List 1 (to ~2015)</t>
        </is>
      </c>
      <c r="C649" s="11" t="inlineStr">
        <is>
          <t>list1</t>
        </is>
      </c>
      <c r="D649" s="11" t="inlineStr">
        <is>
          <t>verified</t>
        </is>
      </c>
      <c r="E649" s="11" t="inlineStr">
        <is>
          <t>overruled</t>
        </is>
      </c>
      <c r="F649" s="2" t="inlineStr">
        <is>
          <t>Raja Harish Chandra Raj Singh v. The Deputy Land Acquisition Officer and Another</t>
        </is>
      </c>
      <c r="G649" s="11" t="inlineStr"/>
      <c r="H649" s="11" t="inlineStr">
        <is>
          <t>Supreme Court</t>
        </is>
      </c>
      <c r="I649" s="2" t="inlineStr">
        <is>
          <t>AIR 1961 SC 1500; (1962) 1 SCR 676</t>
        </is>
      </c>
      <c r="J649" s="11" t="n">
        <v>1961</v>
      </c>
      <c r="K649" s="2" t="inlineStr">
        <is>
          <t>Mohammed Hasnuddin v. State of Maharashtra</t>
        </is>
      </c>
      <c r="L649" s="11" t="inlineStr">
        <is>
          <t>Supreme Court</t>
        </is>
      </c>
      <c r="M649" s="2" t="inlineStr">
        <is>
          <t>AIR 1979 SC 404; (1979) 2 SCC 572; (1979) 2 SCR 265</t>
        </is>
      </c>
      <c r="N649" s="11" t="n">
        <v>1979</v>
      </c>
      <c r="O649" s="11" t="n"/>
      <c r="P649" s="11" t="n"/>
      <c r="Q649" s="11" t="n"/>
      <c r="R649" s="2" t="n"/>
      <c r="S649" s="2" t="n"/>
      <c r="T649" s="11" t="inlineStr"/>
      <c r="U649" s="11" t="inlineStr"/>
      <c r="V649" s="11" t="inlineStr">
        <is>
          <t>outside_list</t>
        </is>
      </c>
      <c r="W649" s="11" t="n"/>
      <c r="X649" s="11" t="n"/>
      <c r="Y649" s="11" t="n"/>
      <c r="Z649" s="11" t="inlineStr">
        <is>
          <t>Mr. Advocate</t>
        </is>
      </c>
      <c r="AA649" s="11" t="inlineStr">
        <is>
          <t>2026-10-07</t>
        </is>
      </c>
      <c r="AB649" s="11" t="inlineStr">
        <is>
          <t>name_year</t>
        </is>
      </c>
      <c r="AC649" s="2" t="inlineStr"/>
      <c r="AD649" s="2" t="inlineStr">
        <is>
          <t>Raja Harish Chandra Raj Singh v. The Deputy Land Acquisition Officer and Another (1961) was overruled by Mohammed Hasnuddin v. State of Maharashtra (1979).</t>
        </is>
      </c>
      <c r="AE649" s="2" t="n"/>
      <c r="AF649" s="11" t="inlineStr">
        <is>
          <t>created from list 1</t>
        </is>
      </c>
    </row>
    <row r="650">
      <c r="A650" s="11" t="inlineStr">
        <is>
          <t>L1-0649</t>
        </is>
      </c>
      <c r="B650" s="11" t="inlineStr">
        <is>
          <t>List 1 (to ~2015)</t>
        </is>
      </c>
      <c r="C650" s="11" t="inlineStr">
        <is>
          <t>list1</t>
        </is>
      </c>
      <c r="D650" s="11" t="inlineStr">
        <is>
          <t>verified</t>
        </is>
      </c>
      <c r="E650" s="11" t="inlineStr">
        <is>
          <t>overruled</t>
        </is>
      </c>
      <c r="F650" s="2" t="inlineStr">
        <is>
          <t>Isha Valimohamed and Another v. Haji Gulam Mohamad and Haji Dada Trust</t>
        </is>
      </c>
      <c r="G650" s="11" t="inlineStr"/>
      <c r="H650" s="11" t="inlineStr">
        <is>
          <t>Supreme Court</t>
        </is>
      </c>
      <c r="I650" s="2" t="inlineStr">
        <is>
          <t>AIR 1974 SC 2061; (1974) 2 SCC 484; (1975) 1 SCR 720; (1974) 6 UJ 521</t>
        </is>
      </c>
      <c r="J650" s="11" t="n">
        <v>1974</v>
      </c>
      <c r="K650" s="2" t="inlineStr">
        <is>
          <t>V. Dhanapal Chettiar v. Yesodai Ammal</t>
        </is>
      </c>
      <c r="L650" s="11" t="inlineStr">
        <is>
          <t>Supreme Court</t>
        </is>
      </c>
      <c r="M650" s="2" t="inlineStr">
        <is>
          <t>AIR 1979 SC 1745; (1979) 4 SCC 214; (1980) 1 SCR 334</t>
        </is>
      </c>
      <c r="N650" s="11" t="n">
        <v>1979</v>
      </c>
      <c r="O650" s="11" t="n"/>
      <c r="P650" s="11" t="n"/>
      <c r="Q650" s="11" t="n"/>
      <c r="R650" s="2" t="n"/>
      <c r="S650" s="2" t="n"/>
      <c r="T650" s="11" t="inlineStr"/>
      <c r="U650" s="11" t="inlineStr"/>
      <c r="V650" s="11" t="inlineStr">
        <is>
          <t>outside_list</t>
        </is>
      </c>
      <c r="W650" s="11" t="n"/>
      <c r="X650" s="11" t="n"/>
      <c r="Y650" s="11" t="n"/>
      <c r="Z650" s="11" t="inlineStr">
        <is>
          <t>Mr. Advocate</t>
        </is>
      </c>
      <c r="AA650" s="11" t="inlineStr">
        <is>
          <t>2026-10-07</t>
        </is>
      </c>
      <c r="AB650" s="11" t="inlineStr">
        <is>
          <t>name_year</t>
        </is>
      </c>
      <c r="AC650" s="2" t="inlineStr">
        <is>
          <t>L1-0237: overruled by Tara Chand and Another v. Ram Prasad (1990)</t>
        </is>
      </c>
      <c r="AD650" s="2" t="inlineStr">
        <is>
          <t>Isha Valimohamed and Another v. Haji Gulam Mohamad and Haji Dada Trust (1974) was overruled by V. Dhanapal Chettiar v. Yesodai Ammal (1979). Note: V. Dhanapal Chettiar v. Yesodai Ammal was itself later overruled by Tara Chand and Another v. Ram Prasad (1990); the current position should be checked.</t>
        </is>
      </c>
      <c r="AE650" s="2" t="n"/>
      <c r="AF650" s="11" t="inlineStr">
        <is>
          <t>created from list 1</t>
        </is>
      </c>
    </row>
    <row r="651">
      <c r="A651" s="11" t="inlineStr">
        <is>
          <t>L1-0650</t>
        </is>
      </c>
      <c r="B651" s="11" t="inlineStr">
        <is>
          <t>List 1 (to ~2015)</t>
        </is>
      </c>
      <c r="C651" s="11" t="inlineStr">
        <is>
          <t>list1</t>
        </is>
      </c>
      <c r="D651" s="11" t="inlineStr">
        <is>
          <t>verified</t>
        </is>
      </c>
      <c r="E651" s="11" t="inlineStr">
        <is>
          <t>overruled</t>
        </is>
      </c>
      <c r="F651" s="2" t="inlineStr">
        <is>
          <t>P.J. Gupta and Co. v. K. Venkatesan Merchant and Others</t>
        </is>
      </c>
      <c r="G651" s="11" t="inlineStr"/>
      <c r="H651" s="11" t="inlineStr">
        <is>
          <t>Supreme Court</t>
        </is>
      </c>
      <c r="I651" s="2" t="inlineStr">
        <is>
          <t>AIR 1974 SC 2331; (1975) 1 SCC 46; (1975) 2 SCR 401; (1974) 6 UJ 687</t>
        </is>
      </c>
      <c r="J651" s="11" t="n">
        <v>1974</v>
      </c>
      <c r="K651" s="2" t="inlineStr">
        <is>
          <t>V. Dhanapal Chettiar v. Yesodai Ammal</t>
        </is>
      </c>
      <c r="L651" s="11" t="inlineStr">
        <is>
          <t>Supreme Court</t>
        </is>
      </c>
      <c r="M651" s="2" t="inlineStr">
        <is>
          <t>AIR 1979 SC 1745; (1979) 4 SCC 214; (1980) 1 SCR 334</t>
        </is>
      </c>
      <c r="N651" s="11" t="n">
        <v>1979</v>
      </c>
      <c r="O651" s="11" t="n"/>
      <c r="P651" s="11" t="n"/>
      <c r="Q651" s="11" t="n"/>
      <c r="R651" s="2" t="n"/>
      <c r="S651" s="2" t="n"/>
      <c r="T651" s="11" t="inlineStr"/>
      <c r="U651" s="11" t="inlineStr"/>
      <c r="V651" s="11" t="inlineStr">
        <is>
          <t>outside_list</t>
        </is>
      </c>
      <c r="W651" s="11" t="n"/>
      <c r="X651" s="11" t="n"/>
      <c r="Y651" s="11" t="n"/>
      <c r="Z651" s="11" t="inlineStr">
        <is>
          <t>Mr. Advocate</t>
        </is>
      </c>
      <c r="AA651" s="11" t="inlineStr">
        <is>
          <t>2026-10-07</t>
        </is>
      </c>
      <c r="AB651" s="11" t="inlineStr">
        <is>
          <t>name_year</t>
        </is>
      </c>
      <c r="AC651" s="2" t="inlineStr">
        <is>
          <t>L1-0237: overruled by Tara Chand and Another v. Ram Prasad (1990)</t>
        </is>
      </c>
      <c r="AD651" s="2" t="inlineStr">
        <is>
          <t>P.J. Gupta and Co. v. K. Venkatesan Merchant and Others (1974) was overruled by V. Dhanapal Chettiar v. Yesodai Ammal (1979). Note: V. Dhanapal Chettiar v. Yesodai Ammal was itself later overruled by Tara Chand and Another v. Ram Prasad (1990); the current position should be checked.</t>
        </is>
      </c>
      <c r="AE651" s="2" t="n"/>
      <c r="AF651" s="11" t="inlineStr">
        <is>
          <t>created from list 1</t>
        </is>
      </c>
    </row>
    <row r="652">
      <c r="A652" s="11" t="inlineStr">
        <is>
          <t>L1-0651</t>
        </is>
      </c>
      <c r="B652" s="11" t="inlineStr">
        <is>
          <t>List 1 (to ~2015)</t>
        </is>
      </c>
      <c r="C652" s="11" t="inlineStr">
        <is>
          <t>list1</t>
        </is>
      </c>
      <c r="D652" s="11" t="inlineStr">
        <is>
          <t>verified</t>
        </is>
      </c>
      <c r="E652" s="11" t="inlineStr">
        <is>
          <t>overruled</t>
        </is>
      </c>
      <c r="F652" s="2" t="inlineStr">
        <is>
          <t>Dattonpant Gopalvarao Devakate v. Vithalrao Maruthirao Janagaval</t>
        </is>
      </c>
      <c r="G652" s="11" t="inlineStr"/>
      <c r="H652" s="11" t="inlineStr">
        <is>
          <t>Supreme Court</t>
        </is>
      </c>
      <c r="I652" s="2" t="inlineStr">
        <is>
          <t>AIR 1975 SC 1111; (1975) 2 SCC 246; (1975) SCR 67 Supp; (1975) 7 UJ 381</t>
        </is>
      </c>
      <c r="J652" s="11" t="n">
        <v>1975</v>
      </c>
      <c r="K652" s="2" t="inlineStr">
        <is>
          <t>V. Dhanapal Chettiar v. Yesodai Ammal</t>
        </is>
      </c>
      <c r="L652" s="11" t="inlineStr">
        <is>
          <t>Supreme Court</t>
        </is>
      </c>
      <c r="M652" s="2" t="inlineStr">
        <is>
          <t>AIR 1979 SC 1745; (1979) 4 SCC 214; (1980) 1 SCR 334</t>
        </is>
      </c>
      <c r="N652" s="11" t="n">
        <v>1979</v>
      </c>
      <c r="O652" s="11" t="n"/>
      <c r="P652" s="11" t="n"/>
      <c r="Q652" s="11" t="n"/>
      <c r="R652" s="2" t="n"/>
      <c r="S652" s="2" t="n"/>
      <c r="T652" s="11" t="inlineStr"/>
      <c r="U652" s="11" t="inlineStr"/>
      <c r="V652" s="11" t="inlineStr">
        <is>
          <t>outside_list</t>
        </is>
      </c>
      <c r="W652" s="11" t="n"/>
      <c r="X652" s="11" t="n"/>
      <c r="Y652" s="11" t="n"/>
      <c r="Z652" s="11" t="inlineStr">
        <is>
          <t>Mr. Advocate</t>
        </is>
      </c>
      <c r="AA652" s="11" t="inlineStr">
        <is>
          <t>2026-10-07</t>
        </is>
      </c>
      <c r="AB652" s="11" t="inlineStr">
        <is>
          <t>name_year</t>
        </is>
      </c>
      <c r="AC652" s="2" t="inlineStr">
        <is>
          <t>L1-0237: overruled by Tara Chand and Another v. Ram Prasad (1990)</t>
        </is>
      </c>
      <c r="AD652" s="2" t="inlineStr">
        <is>
          <t>Dattonpant Gopalvarao Devakate v. Vithalrao Maruthirao Janagaval (1975) was overruled by V. Dhanapal Chettiar v. Yesodai Ammal (1979). Note: V. Dhanapal Chettiar v. Yesodai Ammal was itself later overruled by Tara Chand and Another v. Ram Prasad (1990); the current position should be checked.</t>
        </is>
      </c>
      <c r="AE652" s="2" t="n"/>
      <c r="AF652" s="11" t="inlineStr">
        <is>
          <t>created from list 1</t>
        </is>
      </c>
    </row>
    <row r="653">
      <c r="A653" s="11" t="inlineStr">
        <is>
          <t>L1-0652</t>
        </is>
      </c>
      <c r="B653" s="11" t="inlineStr">
        <is>
          <t>List 1 (to ~2015)</t>
        </is>
      </c>
      <c r="C653" s="11" t="inlineStr">
        <is>
          <t>list1</t>
        </is>
      </c>
      <c r="D653" s="11" t="inlineStr">
        <is>
          <t>verified</t>
        </is>
      </c>
      <c r="E653" s="11" t="inlineStr">
        <is>
          <t>overruled</t>
        </is>
      </c>
      <c r="F653" s="2" t="inlineStr">
        <is>
          <t>Deputy Commissioner of Sales Tax (Law), Board of Revenue (Taxes), Ernakulam v. Pio Food Packers</t>
        </is>
      </c>
      <c r="G653" s="11" t="inlineStr"/>
      <c r="H653" s="11" t="inlineStr">
        <is>
          <t>Supreme Court</t>
        </is>
      </c>
      <c r="I653" s="2" t="inlineStr">
        <is>
          <t>AIR 1980 SC 1227; (1980) 6 ELT 343; (1980) 3 SCR 1271; (1980) 46 STC 63</t>
        </is>
      </c>
      <c r="J653" s="11" t="n">
        <v>1980</v>
      </c>
      <c r="K653" s="2" t="inlineStr">
        <is>
          <t>Deputy Commissioner of Sales Tax and Others v. A.B. Ismail and Others</t>
        </is>
      </c>
      <c r="L653" s="11" t="inlineStr">
        <is>
          <t>Supreme Court</t>
        </is>
      </c>
      <c r="M653" s="2" t="inlineStr">
        <is>
          <t>AIR 1987 SC 1885; (1986) JT 427; (1986) 1 SCALE 789; (1986) 1 SCC 218 Supp; (1986) SCC 218 Supp; (1986) 2 SCR 522; (1986) 62 STC 394</t>
        </is>
      </c>
      <c r="N653" s="11" t="n">
        <v>1987</v>
      </c>
      <c r="O653" s="11" t="n"/>
      <c r="P653" s="11" t="n"/>
      <c r="Q653" s="11" t="n"/>
      <c r="R653" s="2" t="n"/>
      <c r="S653" s="2" t="n"/>
      <c r="T653" s="11" t="inlineStr"/>
      <c r="U653" s="11" t="inlineStr"/>
      <c r="V653" s="11" t="inlineStr">
        <is>
          <t>outside_list</t>
        </is>
      </c>
      <c r="W653" s="11" t="n"/>
      <c r="X653" s="11" t="n"/>
      <c r="Y653" s="11" t="n"/>
      <c r="Z653" s="11" t="inlineStr">
        <is>
          <t>Mr. Advocate</t>
        </is>
      </c>
      <c r="AA653" s="11" t="inlineStr">
        <is>
          <t>2026-10-07</t>
        </is>
      </c>
      <c r="AB653" s="11" t="inlineStr">
        <is>
          <t>name_year</t>
        </is>
      </c>
      <c r="AC653" s="2" t="inlineStr"/>
      <c r="AD653" s="2" t="inlineStr">
        <is>
          <t>Deputy Commissioner of Sales Tax (Law), Board of Revenue (Taxes), Ernakulam v. Pio Food Packers (1980) was overruled by Deputy Commissioner of Sales Tax and Others v. A.B. Ismail and Others (1987).</t>
        </is>
      </c>
      <c r="AE653" s="2" t="n"/>
      <c r="AF653" s="11" t="inlineStr">
        <is>
          <t>created from list 1</t>
        </is>
      </c>
    </row>
    <row r="654">
      <c r="A654" s="11" t="inlineStr">
        <is>
          <t>L1-0653</t>
        </is>
      </c>
      <c r="B654" s="11" t="inlineStr">
        <is>
          <t>List 1 (to ~2015)</t>
        </is>
      </c>
      <c r="C654" s="11" t="inlineStr">
        <is>
          <t>list1</t>
        </is>
      </c>
      <c r="D654" s="11" t="inlineStr">
        <is>
          <t>verified</t>
        </is>
      </c>
      <c r="E654" s="11" t="inlineStr">
        <is>
          <t>overruled</t>
        </is>
      </c>
      <c r="F654" s="2" t="inlineStr">
        <is>
          <t>Associated Cement Company Limited v. Commercial Tax Officer, Kota and Others</t>
        </is>
      </c>
      <c r="G654" s="11" t="inlineStr"/>
      <c r="H654" s="11" t="inlineStr">
        <is>
          <t>Supreme Court</t>
        </is>
      </c>
      <c r="I654" s="2" t="inlineStr">
        <is>
          <t>AIR 1981 SC 1887; (1981) 3 SCALE 1338; (1981) 4 SCC 578; (1982) 1 SCR 563; (1981) 48 STC 466</t>
        </is>
      </c>
      <c r="J654" s="11" t="n">
        <v>1981</v>
      </c>
      <c r="K654" s="2" t="inlineStr">
        <is>
          <t>Maruti Wire Industries Pvt. Ltd. v. S.T.O., Ist Circle, Mattancherry and Others</t>
        </is>
      </c>
      <c r="L654" s="11" t="inlineStr">
        <is>
          <t>Supreme Court</t>
        </is>
      </c>
      <c r="M654" s="2" t="inlineStr">
        <is>
          <t>AIR 2001 SC 1413; (2001) 4 JT 212; (2001) 3 SCALE 11; (2001) 3 SCC 735; (2001) 2 SCR 829; (2001) 122 STC 410; (2001) AIRSCW 1368; (2001) 3 Supreme 59</t>
        </is>
      </c>
      <c r="N654" s="11" t="n">
        <v>2001</v>
      </c>
      <c r="O654" s="11" t="n"/>
      <c r="P654" s="11" t="n"/>
      <c r="Q654" s="11" t="n"/>
      <c r="R654" s="2" t="n"/>
      <c r="S654" s="2" t="n"/>
      <c r="T654" s="11" t="inlineStr"/>
      <c r="U654" s="11" t="inlineStr"/>
      <c r="V654" s="11" t="inlineStr">
        <is>
          <t>outside_list</t>
        </is>
      </c>
      <c r="W654" s="11" t="n"/>
      <c r="X654" s="11" t="n"/>
      <c r="Y654" s="11" t="n"/>
      <c r="Z654" s="11" t="inlineStr">
        <is>
          <t>Mr. Advocate</t>
        </is>
      </c>
      <c r="AA654" s="11" t="inlineStr">
        <is>
          <t>2026-10-07</t>
        </is>
      </c>
      <c r="AB654" s="11" t="inlineStr">
        <is>
          <t>name_year</t>
        </is>
      </c>
      <c r="AC654" s="2" t="inlineStr"/>
      <c r="AD654" s="2" t="inlineStr">
        <is>
          <t>Associated Cement Company Limited v. Commercial Tax Officer, Kota and Others (1981) was overruled by Maruti Wire Industries Pvt. Ltd. v. S.T.O., Ist Circle, Mattancherry and Others (2001).</t>
        </is>
      </c>
      <c r="AE654" s="2" t="n"/>
      <c r="AF654" s="11" t="inlineStr">
        <is>
          <t>created from list 1</t>
        </is>
      </c>
    </row>
    <row r="655">
      <c r="A655" s="11" t="inlineStr">
        <is>
          <t>L1-0654</t>
        </is>
      </c>
      <c r="B655" s="11" t="inlineStr">
        <is>
          <t>List 1 (to ~2015)</t>
        </is>
      </c>
      <c r="C655" s="11" t="inlineStr">
        <is>
          <t>list1</t>
        </is>
      </c>
      <c r="D655" s="11" t="inlineStr">
        <is>
          <t>verified</t>
        </is>
      </c>
      <c r="E655" s="11" t="inlineStr">
        <is>
          <t>overruled</t>
        </is>
      </c>
      <c r="F655" s="2" t="inlineStr">
        <is>
          <t>The Assam Co-operative Apex Marketing Society Ltd., Assam v. Additional Commissioner of Income Tax, Assam</t>
        </is>
      </c>
      <c r="G655" s="11" t="inlineStr"/>
      <c r="H655" s="11" t="inlineStr">
        <is>
          <t>Supreme Court</t>
        </is>
      </c>
      <c r="I655" s="2" t="inlineStr">
        <is>
          <t>AIR 1993 SC 2575; (1993) 113 CTR 58; (1993) 201 ITR 338; (1993) JT 486 Supp; (1994) 2 SCC 96 Supp; (1993) 69 TAXMAN 449</t>
        </is>
      </c>
      <c r="J655" s="11" t="n">
        <v>1993</v>
      </c>
      <c r="K655" s="2" t="inlineStr">
        <is>
          <t>Kerala State Co-operative Marketing Federation Ltd. and Others v. Commissioner of Income Tax</t>
        </is>
      </c>
      <c r="L655" s="11" t="inlineStr">
        <is>
          <t>Supreme Court</t>
        </is>
      </c>
      <c r="M655" s="2" t="inlineStr">
        <is>
          <t>(1998) 4 AD 479; AIR 1998 SC 2303; (1998) 231 ITR 814; (1998) 4 JT 145; (1998) 3 SCALE 578; (1998) 5 SCC 48; (1998) 3 SCR 443; (1998) 98 TAXMAN 313; (1998) AIRSCW 2206; (1998) 5 Supreme 85</t>
        </is>
      </c>
      <c r="N655" s="11" t="n">
        <v>1998</v>
      </c>
      <c r="O655" s="11" t="n"/>
      <c r="P655" s="11" t="n"/>
      <c r="Q655" s="11" t="n"/>
      <c r="R655" s="2" t="n"/>
      <c r="S655" s="2" t="n"/>
      <c r="T655" s="11" t="inlineStr"/>
      <c r="U655" s="11" t="inlineStr"/>
      <c r="V655" s="11" t="inlineStr">
        <is>
          <t>outside_list</t>
        </is>
      </c>
      <c r="W655" s="11" t="n"/>
      <c r="X655" s="11" t="n"/>
      <c r="Y655" s="11" t="n"/>
      <c r="Z655" s="11" t="inlineStr">
        <is>
          <t>Mr. Advocate</t>
        </is>
      </c>
      <c r="AA655" s="11" t="inlineStr">
        <is>
          <t>2026-10-07</t>
        </is>
      </c>
      <c r="AB655" s="11" t="inlineStr">
        <is>
          <t>name_year</t>
        </is>
      </c>
      <c r="AC655" s="2" t="inlineStr"/>
      <c r="AD655" s="2" t="inlineStr">
        <is>
          <t>The Assam Co-operative Apex Marketing Society Ltd., Assam v. Additional Commissioner of Income Tax, Assam (1993) was overruled by Kerala State Co-operative Marketing Federation Ltd. and Others v. Commissioner of Income Tax (1998).</t>
        </is>
      </c>
      <c r="AE655" s="2" t="n"/>
      <c r="AF655" s="11" t="inlineStr">
        <is>
          <t>created from list 1</t>
        </is>
      </c>
    </row>
    <row r="656">
      <c r="A656" s="11" t="inlineStr">
        <is>
          <t>L1-0655</t>
        </is>
      </c>
      <c r="B656" s="11" t="inlineStr">
        <is>
          <t>List 1 (to ~2015)</t>
        </is>
      </c>
      <c r="C656" s="11" t="inlineStr">
        <is>
          <t>list1</t>
        </is>
      </c>
      <c r="D656" s="11" t="inlineStr">
        <is>
          <t>verified</t>
        </is>
      </c>
      <c r="E656" s="11" t="inlineStr">
        <is>
          <t>overruled</t>
        </is>
      </c>
      <c r="F656" s="2" t="inlineStr">
        <is>
          <t>M/S S. M. Dyechem Ltd. v. M/S Cadbury (India) Ltd.</t>
        </is>
      </c>
      <c r="G656" s="11" t="inlineStr"/>
      <c r="H656" s="11" t="inlineStr">
        <is>
          <t>Supreme Court</t>
        </is>
      </c>
      <c r="I656" s="2" t="inlineStr">
        <is>
          <t>(2000) ECR 1; (2000) 7 JT 151; (2000) 4 SCALE 713; (2000) 5 SCC 573; (2000) 1 SCR 86 Supp; (2001) 1 UJ 181</t>
        </is>
      </c>
      <c r="J656" s="11" t="n">
        <v>2000</v>
      </c>
      <c r="K656" s="2" t="inlineStr">
        <is>
          <t>Cadila Health Care Ltd. v. Cadila Pharmaceuticals Ltd.</t>
        </is>
      </c>
      <c r="L656" s="11" t="inlineStr">
        <is>
          <t>Supreme Court</t>
        </is>
      </c>
      <c r="M656" s="2" t="inlineStr">
        <is>
          <t>AIR 2001 SC 1952; (2001) 4 JT 243; (2001) 3 SCALE 98; (2001) 3 SCALE 392; (2001) 5 SCC 73; (2001) 2 SCR 743; (2001) 1 UJ 669; (2001) AIRSCW 4805; (2001) AIRSCW 1411; (2001) 3 Supreme 1; (2001) 8 Supreme 279</t>
        </is>
      </c>
      <c r="N656" s="11" t="n">
        <v>2001</v>
      </c>
      <c r="O656" s="11" t="n"/>
      <c r="P656" s="11" t="n"/>
      <c r="Q656" s="11" t="n"/>
      <c r="R656" s="2" t="n"/>
      <c r="S656" s="2" t="n"/>
      <c r="T656" s="11" t="inlineStr"/>
      <c r="U656" s="11" t="inlineStr"/>
      <c r="V656" s="11" t="inlineStr">
        <is>
          <t>outside_list</t>
        </is>
      </c>
      <c r="W656" s="11" t="n"/>
      <c r="X656" s="11" t="n"/>
      <c r="Y656" s="11" t="n"/>
      <c r="Z656" s="11" t="inlineStr">
        <is>
          <t>Mr. Advocate</t>
        </is>
      </c>
      <c r="AA656" s="11" t="inlineStr">
        <is>
          <t>2026-10-07</t>
        </is>
      </c>
      <c r="AB656" s="11" t="inlineStr">
        <is>
          <t>name_year</t>
        </is>
      </c>
      <c r="AC656" s="2" t="inlineStr"/>
      <c r="AD656" s="2" t="inlineStr">
        <is>
          <t>M/S S. M. Dyechem Ltd. v. M/S Cadbury (India) Ltd. (2000) was overruled by Cadila Health Care Ltd. v. Cadila Pharmaceuticals Ltd. (2001).</t>
        </is>
      </c>
      <c r="AE656" s="2" t="n"/>
      <c r="AF656" s="11" t="inlineStr">
        <is>
          <t>created from list 1</t>
        </is>
      </c>
    </row>
    <row r="657">
      <c r="A657" s="11" t="inlineStr">
        <is>
          <t>L1-0656</t>
        </is>
      </c>
      <c r="B657" s="11" t="inlineStr">
        <is>
          <t>List 1 (to ~2015)</t>
        </is>
      </c>
      <c r="C657" s="11" t="inlineStr">
        <is>
          <t>list1</t>
        </is>
      </c>
      <c r="D657" s="11" t="inlineStr">
        <is>
          <t>verified</t>
        </is>
      </c>
      <c r="E657" s="11" t="inlineStr">
        <is>
          <t>overruled</t>
        </is>
      </c>
      <c r="F657" s="2" t="inlineStr">
        <is>
          <t>The Commissioner of Income Tax, Andhra Pradesh, Hyderabad v. Jayalakshmi Rice and Oil Mills Contractor Co.</t>
        </is>
      </c>
      <c r="G657" s="11" t="inlineStr"/>
      <c r="H657" s="11" t="inlineStr">
        <is>
          <t>Supreme Court</t>
        </is>
      </c>
      <c r="I657" s="2" t="inlineStr">
        <is>
          <t>AIR 1971 SC 1015; (1971) 79 ITR 549; (1971) 1 SCC 280; (1971) 3 SCR 365; (1971) 3 UJ 185</t>
        </is>
      </c>
      <c r="J657" s="11" t="n">
        <v>1971</v>
      </c>
      <c r="K657" s="2" t="inlineStr">
        <is>
          <t>M/s. Haldiram Bhujiawala and Another v. M/s. Anand Kumar Deepak Kumar and Another</t>
        </is>
      </c>
      <c r="L657" s="11" t="inlineStr">
        <is>
          <t>Supreme Court</t>
        </is>
      </c>
      <c r="M657" s="2" t="inlineStr">
        <is>
          <t>AIR 2000 SC 1287; (2000) 2 JT 596; (2000) 2 SCALE 177; (2000) 3 SCC 250; (2000) 1 SCR 1247; (2000) 1 UJ 603; (2000) AIRSCW 984; (2000) 2 Supreme 145</t>
        </is>
      </c>
      <c r="N657" s="11" t="n">
        <v>2000</v>
      </c>
      <c r="O657" s="11" t="n"/>
      <c r="P657" s="11" t="n"/>
      <c r="Q657" s="11" t="n"/>
      <c r="R657" s="2" t="n"/>
      <c r="S657" s="2" t="n"/>
      <c r="T657" s="11" t="inlineStr"/>
      <c r="U657" s="11" t="inlineStr"/>
      <c r="V657" s="11" t="inlineStr">
        <is>
          <t>outside_list</t>
        </is>
      </c>
      <c r="W657" s="11" t="n"/>
      <c r="X657" s="11" t="n"/>
      <c r="Y657" s="11" t="n"/>
      <c r="Z657" s="11" t="inlineStr">
        <is>
          <t>Mr. Advocate</t>
        </is>
      </c>
      <c r="AA657" s="11" t="inlineStr">
        <is>
          <t>2026-10-07</t>
        </is>
      </c>
      <c r="AB657" s="11" t="inlineStr">
        <is>
          <t>name_year</t>
        </is>
      </c>
      <c r="AC657" s="2" t="inlineStr"/>
      <c r="AD657" s="2" t="inlineStr">
        <is>
          <t>The Commissioner of Income Tax, Andhra Pradesh, Hyderabad v. Jayalakshmi Rice and Oil Mills Contractor Co. (1971) was overruled by M/s. Haldiram Bhujiawala and Another v. M/s. Anand Kumar Deepak Kumar and Another (2000).</t>
        </is>
      </c>
      <c r="AE657" s="2" t="n"/>
      <c r="AF657" s="11" t="inlineStr">
        <is>
          <t>created from list 1</t>
        </is>
      </c>
    </row>
    <row r="658">
      <c r="A658" s="11" t="inlineStr">
        <is>
          <t>L1-0657</t>
        </is>
      </c>
      <c r="B658" s="11" t="inlineStr">
        <is>
          <t>List 1 (to ~2015)</t>
        </is>
      </c>
      <c r="C658" s="11" t="inlineStr">
        <is>
          <t>list1</t>
        </is>
      </c>
      <c r="D658" s="11" t="inlineStr">
        <is>
          <t>verified</t>
        </is>
      </c>
      <c r="E658" s="11" t="inlineStr">
        <is>
          <t>overruled</t>
        </is>
      </c>
      <c r="F658" s="2" t="inlineStr">
        <is>
          <t>Commissioner of Income Tax, Trivandrum v. M/s. Anand Theatres</t>
        </is>
      </c>
      <c r="G658" s="11" t="inlineStr"/>
      <c r="H658" s="11" t="inlineStr">
        <is>
          <t>Supreme Court</t>
        </is>
      </c>
      <c r="I658" s="2" t="inlineStr">
        <is>
          <t>AIR 2000 SC 2356; (2000) 244 ITR 192; (2000) 6 JT 407; (2000) 4 SCALE 741; (2000) 5 SCC 393; (2000) 1 SCR 338 Supp; (2000) AIRSCW 2487; (2000) 4 Supreme 290</t>
        </is>
      </c>
      <c r="J658" s="11" t="n">
        <v>2000</v>
      </c>
      <c r="K658" s="2" t="inlineStr">
        <is>
          <t>Commissioner of Income Tax v. Raiban and Sons</t>
        </is>
      </c>
      <c r="L658" s="11" t="inlineStr">
        <is>
          <t>Supreme Court</t>
        </is>
      </c>
      <c r="M658" s="2" t="inlineStr">
        <is>
          <t>AIR 2002 SC 443; (2001) 171 CTR 191; (2001) 251 ITR 881; (2002) 10 SCC 381; (2001) 119 TAXMAN 1029; (2001) AIRSCW 5054</t>
        </is>
      </c>
      <c r="N658" s="11" t="n">
        <v>2002</v>
      </c>
      <c r="O658" s="11" t="n"/>
      <c r="P658" s="11" t="n"/>
      <c r="Q658" s="11" t="n"/>
      <c r="R658" s="2" t="n"/>
      <c r="S658" s="2" t="n"/>
      <c r="T658" s="11" t="inlineStr"/>
      <c r="U658" s="11" t="inlineStr"/>
      <c r="V658" s="11" t="inlineStr">
        <is>
          <t>outside_list</t>
        </is>
      </c>
      <c r="W658" s="11" t="n"/>
      <c r="X658" s="11" t="n"/>
      <c r="Y658" s="11" t="n"/>
      <c r="Z658" s="11" t="inlineStr">
        <is>
          <t>Mr. Advocate</t>
        </is>
      </c>
      <c r="AA658" s="11" t="inlineStr">
        <is>
          <t>2026-10-07</t>
        </is>
      </c>
      <c r="AB658" s="11" t="inlineStr">
        <is>
          <t>name_year</t>
        </is>
      </c>
      <c r="AC658" s="2" t="inlineStr"/>
      <c r="AD658" s="2" t="inlineStr">
        <is>
          <t>Commissioner of Income Tax, Trivandrum v. M/s. Anand Theatres (2000) was overruled by Commissioner of Income Tax v. Raiban and Sons (2002).</t>
        </is>
      </c>
      <c r="AE658" s="2" t="n"/>
      <c r="AF658" s="11" t="inlineStr">
        <is>
          <t>created from list 1</t>
        </is>
      </c>
    </row>
    <row r="659">
      <c r="A659" s="11" t="inlineStr">
        <is>
          <t>L1-0658</t>
        </is>
      </c>
      <c r="B659" s="11" t="inlineStr">
        <is>
          <t>List 1 (to ~2015)</t>
        </is>
      </c>
      <c r="C659" s="11" t="inlineStr">
        <is>
          <t>list1</t>
        </is>
      </c>
      <c r="D659" s="11" t="inlineStr">
        <is>
          <t>verified</t>
        </is>
      </c>
      <c r="E659" s="11" t="inlineStr">
        <is>
          <t>overruled</t>
        </is>
      </c>
      <c r="F659" s="2" t="inlineStr">
        <is>
          <t>Biram Chand v. State of Uttar Pradesh and Others</t>
        </is>
      </c>
      <c r="G659" s="11" t="inlineStr"/>
      <c r="H659" s="11" t="inlineStr">
        <is>
          <t>Supreme Court</t>
        </is>
      </c>
      <c r="I659" s="2" t="inlineStr">
        <is>
          <t>AIR 1974 SC 1161; (1974) CriLJ 817; (1974) 4 SCC 573; (1974) SCC(Cri) 609; (1974) 3 SCR 813</t>
        </is>
      </c>
      <c r="J659" s="11" t="n">
        <v>1974</v>
      </c>
      <c r="K659" s="2" t="inlineStr">
        <is>
          <t>Haradhan Saha v. The State of West Bengal and Others</t>
        </is>
      </c>
      <c r="L659" s="11" t="inlineStr">
        <is>
          <t>Supreme Court</t>
        </is>
      </c>
      <c r="M659" s="2" t="inlineStr">
        <is>
          <t>AIR 1974 SC 2154; (1974) CriLJ 1479; (1975) 3 SCC 198; (1974) SCC(Cri) 816; (1975) 1 SCR 778</t>
        </is>
      </c>
      <c r="N659" s="11" t="n">
        <v>1974</v>
      </c>
      <c r="O659" s="11" t="n"/>
      <c r="P659" s="11" t="n"/>
      <c r="Q659" s="11" t="n"/>
      <c r="R659" s="2" t="n"/>
      <c r="S659" s="2" t="n"/>
      <c r="T659" s="11" t="inlineStr"/>
      <c r="U659" s="11" t="inlineStr"/>
      <c r="V659" s="11" t="inlineStr">
        <is>
          <t>outside_list</t>
        </is>
      </c>
      <c r="W659" s="11" t="n"/>
      <c r="X659" s="11" t="n"/>
      <c r="Y659" s="11" t="n"/>
      <c r="Z659" s="11" t="inlineStr">
        <is>
          <t>Mr. Advocate</t>
        </is>
      </c>
      <c r="AA659" s="11" t="inlineStr">
        <is>
          <t>2026-10-07</t>
        </is>
      </c>
      <c r="AB659" s="11" t="inlineStr">
        <is>
          <t>name_year</t>
        </is>
      </c>
      <c r="AC659" s="2" t="inlineStr"/>
      <c r="AD659" s="2" t="inlineStr">
        <is>
          <t>Biram Chand v. State of Uttar Pradesh and Others (1974) was overruled by Haradhan Saha v. The State of West Bengal and Others (1974).</t>
        </is>
      </c>
      <c r="AE659" s="2" t="n"/>
      <c r="AF659" s="11" t="inlineStr">
        <is>
          <t>created from list 1</t>
        </is>
      </c>
    </row>
    <row r="660">
      <c r="A660" s="11" t="inlineStr">
        <is>
          <t>L1-0659</t>
        </is>
      </c>
      <c r="B660" s="11" t="inlineStr">
        <is>
          <t>List 1 (to ~2015)</t>
        </is>
      </c>
      <c r="C660" s="11" t="inlineStr">
        <is>
          <t>list1</t>
        </is>
      </c>
      <c r="D660" s="11" t="inlineStr">
        <is>
          <t>verified</t>
        </is>
      </c>
      <c r="E660" s="11" t="inlineStr">
        <is>
          <t>overruled</t>
        </is>
      </c>
      <c r="F660" s="2" t="inlineStr">
        <is>
          <t>Bhatinda Improvement Trust v. Balwant Singh and others</t>
        </is>
      </c>
      <c r="G660" s="11" t="inlineStr"/>
      <c r="H660" s="11" t="inlineStr">
        <is>
          <t>Supreme Court</t>
        </is>
      </c>
      <c r="I660" s="2" t="inlineStr">
        <is>
          <t>AIR 1992 SC 2214; (1991) 6 JT 135; (1992) 101 PLR 181; (1991) 2 SCALE 557; (1991) 4 SCC 368; (1991) 3 SCR 928; (1991) 2 UJ 643</t>
        </is>
      </c>
      <c r="J660" s="11" t="n">
        <v>1992</v>
      </c>
      <c r="K660" s="2" t="inlineStr">
        <is>
          <t>Nagpur Improvement Trust v. Vasantrao and Others and Jaswantibai and Others</t>
        </is>
      </c>
      <c r="L660" s="11" t="inlineStr">
        <is>
          <t>Supreme Court</t>
        </is>
      </c>
      <c r="M660" s="2" t="inlineStr">
        <is>
          <t>AIR 2002 SC 3499; (2002) 7 JT 447; (2002) 7 SCALE 307; (2002) 7 SCC 657; (2002) 2 SCR 636 Supp</t>
        </is>
      </c>
      <c r="N660" s="11" t="n">
        <v>2002</v>
      </c>
      <c r="O660" s="11" t="n"/>
      <c r="P660" s="11" t="n"/>
      <c r="Q660" s="11" t="n"/>
      <c r="R660" s="2" t="n"/>
      <c r="S660" s="2" t="n"/>
      <c r="T660" s="11" t="inlineStr"/>
      <c r="U660" s="11" t="inlineStr"/>
      <c r="V660" s="11" t="inlineStr">
        <is>
          <t>outside_list</t>
        </is>
      </c>
      <c r="W660" s="11" t="n"/>
      <c r="X660" s="11" t="n"/>
      <c r="Y660" s="11" t="n"/>
      <c r="Z660" s="11" t="inlineStr">
        <is>
          <t>Mr. Advocate</t>
        </is>
      </c>
      <c r="AA660" s="11" t="inlineStr">
        <is>
          <t>2026-10-07</t>
        </is>
      </c>
      <c r="AB660" s="11" t="inlineStr">
        <is>
          <t>name_year</t>
        </is>
      </c>
      <c r="AC660" s="2" t="inlineStr"/>
      <c r="AD660" s="2" t="inlineStr">
        <is>
          <t>Bhatinda Improvement Trust v. Balwant Singh and others (1992) was overruled by Nagpur Improvement Trust v. Vasantrao and Others and Jaswantibai and Others (2002).</t>
        </is>
      </c>
      <c r="AE660" s="2" t="n"/>
      <c r="AF660" s="11" t="inlineStr">
        <is>
          <t>created from list 1</t>
        </is>
      </c>
    </row>
    <row r="661">
      <c r="A661" s="11" t="inlineStr">
        <is>
          <t>L1-0660</t>
        </is>
      </c>
      <c r="B661" s="11" t="inlineStr">
        <is>
          <t>List 1 (to ~2015)</t>
        </is>
      </c>
      <c r="C661" s="11" t="inlineStr">
        <is>
          <t>list1</t>
        </is>
      </c>
      <c r="D661" s="11" t="inlineStr">
        <is>
          <t>verified</t>
        </is>
      </c>
      <c r="E661" s="11" t="inlineStr">
        <is>
          <t>overruled</t>
        </is>
      </c>
      <c r="F661" s="2" t="inlineStr">
        <is>
          <t>Ashoka Marketing Ltd. v. State of Bihar and Another</t>
        </is>
      </c>
      <c r="G661" s="11" t="inlineStr"/>
      <c r="H661" s="11" t="inlineStr">
        <is>
          <t>Supreme Court</t>
        </is>
      </c>
      <c r="I661" s="2" t="inlineStr">
        <is>
          <t>AIR 1971 SC 946; AIR 1970 SC 946; (1970) 1 SCC 354; (1970) 3 SCR 455; (1970) 26 STC 254</t>
        </is>
      </c>
      <c r="J661" s="11" t="n">
        <v>1971</v>
      </c>
      <c r="K661" s="2" t="inlineStr">
        <is>
          <t>Kasturi Lal Harilal v. State of U.P. and Others</t>
        </is>
      </c>
      <c r="L661" s="11" t="inlineStr">
        <is>
          <t>Supreme Court</t>
        </is>
      </c>
      <c r="M661" s="2" t="inlineStr">
        <is>
          <t>AIR 1987 SC 27; (1986) 1 JT 749; (1986) 2 SCALE 708; (1986) 4 SCC 704; (1986) 4 SCC 4704; (1987) 1 SCR 86; (1987) 64 STC 1; (1987) 1 UJ 54</t>
        </is>
      </c>
      <c r="N661" s="11" t="n">
        <v>1987</v>
      </c>
      <c r="O661" s="11" t="n"/>
      <c r="P661" s="11" t="n"/>
      <c r="Q661" s="11" t="n"/>
      <c r="R661" s="2" t="n"/>
      <c r="S661" s="2" t="n"/>
      <c r="T661" s="11" t="inlineStr"/>
      <c r="U661" s="11" t="inlineStr"/>
      <c r="V661" s="11" t="inlineStr">
        <is>
          <t>outside_list</t>
        </is>
      </c>
      <c r="W661" s="11" t="n"/>
      <c r="X661" s="11" t="n"/>
      <c r="Y661" s="11" t="n"/>
      <c r="Z661" s="11" t="inlineStr">
        <is>
          <t>Mr. Advocate</t>
        </is>
      </c>
      <c r="AA661" s="11" t="inlineStr">
        <is>
          <t>2026-10-07</t>
        </is>
      </c>
      <c r="AB661" s="11" t="inlineStr">
        <is>
          <t>name_year</t>
        </is>
      </c>
      <c r="AC661" s="2" t="inlineStr"/>
      <c r="AD661" s="2" t="inlineStr">
        <is>
          <t>Ashoka Marketing Ltd. v. State of Bihar and Another (1971) was overruled by Kasturi Lal Harilal v. State of U.P. and Others (1987).</t>
        </is>
      </c>
      <c r="AE661" s="2" t="n"/>
      <c r="AF661" s="11" t="inlineStr">
        <is>
          <t>created from list 1</t>
        </is>
      </c>
    </row>
    <row r="662">
      <c r="A662" s="11" t="inlineStr">
        <is>
          <t>L1-0661</t>
        </is>
      </c>
      <c r="B662" s="11" t="inlineStr">
        <is>
          <t>List 1 (to ~2015)</t>
        </is>
      </c>
      <c r="C662" s="11" t="inlineStr">
        <is>
          <t>list1</t>
        </is>
      </c>
      <c r="D662" s="11" t="inlineStr">
        <is>
          <t>verified</t>
        </is>
      </c>
      <c r="E662" s="11" t="inlineStr">
        <is>
          <t>overruled</t>
        </is>
      </c>
      <c r="F662" s="2" t="inlineStr">
        <is>
          <t>Vania Silk Mills (P) Ltd. v. Commissioner of Income Tax, Ahmedabad</t>
        </is>
      </c>
      <c r="G662" s="11" t="inlineStr"/>
      <c r="H662" s="11" t="inlineStr">
        <is>
          <t>Supreme Court</t>
        </is>
      </c>
      <c r="I662" s="2" t="inlineStr">
        <is>
          <t>AIR 1991 SC 2104; (1991) 3 CompLJ 124; (1991) 98 CTR 153; (1991) 191 ITR 647; (1991) 3 JT 394; (1991) 2 SCALE 327; (1991) 4 SCC 22; (1991) 3 SCR 577; (1991) 59 TAXMAN 3</t>
        </is>
      </c>
      <c r="J662" s="11" t="n">
        <v>1991</v>
      </c>
      <c r="K662" s="2" t="inlineStr">
        <is>
          <t>Commissioner of Income Tax, Cochin v. Mrs. Grace Collis and Others</t>
        </is>
      </c>
      <c r="L662" s="11" t="inlineStr">
        <is>
          <t>Supreme Court</t>
        </is>
      </c>
      <c r="M662" s="2" t="inlineStr">
        <is>
          <t>AIR 2001 SC 1133; (2001) 248 ITR 323; (2001) 3 JT 199; (2001) 2 SCALE 207; (2001) 3 SCC 430; (2001) 2 SCR 98; (2001) AIRSCW 1008; (2001) 3 Supreme 124</t>
        </is>
      </c>
      <c r="N662" s="11" t="n">
        <v>2001</v>
      </c>
      <c r="O662" s="11" t="n"/>
      <c r="P662" s="11" t="n"/>
      <c r="Q662" s="11" t="n"/>
      <c r="R662" s="2" t="n"/>
      <c r="S662" s="2" t="n"/>
      <c r="T662" s="11" t="inlineStr"/>
      <c r="U662" s="11" t="inlineStr"/>
      <c r="V662" s="11" t="inlineStr">
        <is>
          <t>outside_list</t>
        </is>
      </c>
      <c r="W662" s="11" t="n"/>
      <c r="X662" s="11" t="n"/>
      <c r="Y662" s="11" t="n"/>
      <c r="Z662" s="11" t="inlineStr">
        <is>
          <t>Mr. Advocate</t>
        </is>
      </c>
      <c r="AA662" s="11" t="inlineStr">
        <is>
          <t>2026-10-07</t>
        </is>
      </c>
      <c r="AB662" s="11" t="inlineStr">
        <is>
          <t>name_year</t>
        </is>
      </c>
      <c r="AC662" s="2" t="inlineStr"/>
      <c r="AD662" s="2" t="inlineStr">
        <is>
          <t>Vania Silk Mills (P) Ltd. v. Commissioner of Income Tax, Ahmedabad (1991) was overruled by Commissioner of Income Tax, Cochin v. Mrs. Grace Collis and Others (2001).</t>
        </is>
      </c>
      <c r="AE662" s="2" t="n"/>
      <c r="AF662" s="11" t="inlineStr">
        <is>
          <t>created from list 1</t>
        </is>
      </c>
    </row>
    <row r="663">
      <c r="A663" s="11" t="inlineStr">
        <is>
          <t>L1-0662</t>
        </is>
      </c>
      <c r="B663" s="11" t="inlineStr">
        <is>
          <t>List 1 (to ~2015)</t>
        </is>
      </c>
      <c r="C663" s="11" t="inlineStr">
        <is>
          <t>list1</t>
        </is>
      </c>
      <c r="D663" s="11" t="inlineStr">
        <is>
          <t>verified</t>
        </is>
      </c>
      <c r="E663" s="11" t="inlineStr">
        <is>
          <t>overruled</t>
        </is>
      </c>
      <c r="F663" s="2" t="inlineStr">
        <is>
          <t>M/s. Motiram Tolaram and Another v. The Union of India and Another</t>
        </is>
      </c>
      <c r="G663" s="11" t="inlineStr"/>
      <c r="H663" s="11" t="inlineStr">
        <is>
          <t>Supreme Court</t>
        </is>
      </c>
      <c r="I663" s="2" t="inlineStr">
        <is>
          <t>AIR 1999 SC 3121; (1999) 66 ECC 61; (1999) ECR 48; (1999) 112 ELT 749; (1999) 6 JT 48; (1999) 4 SCALE 666; (1999) 6 SCC 375; (1999) 1 SCR 82 Supp; (1999) AIRSCW 3070; (1999) 7 Supreme 235</t>
        </is>
      </c>
      <c r="J663" s="11" t="n">
        <v>1999</v>
      </c>
      <c r="K663" s="2" t="inlineStr">
        <is>
          <t>Collector of Central Excise, Vadodra v. Dhiren Chemical Industries</t>
        </is>
      </c>
      <c r="L663" s="11" t="inlineStr">
        <is>
          <t>Supreme Court</t>
        </is>
      </c>
      <c r="M663" s="2" t="inlineStr">
        <is>
          <t>AIR 2002 SC 453; (2001) 79 ECC 1; (2002) 139 ELT 3; (2002) 254 ITR 554; (2001) 10 JT 456; (2001) 8 SCALE 479; (2002) 2 SCC 127; (2002) 126 STC 122; (2001) AIRSCW 5073; (2001) 8 Supreme 624</t>
        </is>
      </c>
      <c r="N663" s="11" t="n">
        <v>2002</v>
      </c>
      <c r="O663" s="11" t="n"/>
      <c r="P663" s="11" t="n"/>
      <c r="Q663" s="11" t="n"/>
      <c r="R663" s="2" t="n"/>
      <c r="S663" s="2" t="n"/>
      <c r="T663" s="11" t="inlineStr"/>
      <c r="U663" s="11" t="inlineStr"/>
      <c r="V663" s="11" t="inlineStr">
        <is>
          <t>outside_list</t>
        </is>
      </c>
      <c r="W663" s="11" t="n"/>
      <c r="X663" s="11" t="n"/>
      <c r="Y663" s="11" t="n"/>
      <c r="Z663" s="11" t="inlineStr">
        <is>
          <t>Mr. Advocate</t>
        </is>
      </c>
      <c r="AA663" s="11" t="inlineStr">
        <is>
          <t>2026-10-07</t>
        </is>
      </c>
      <c r="AB663" s="11" t="inlineStr">
        <is>
          <t>name_year</t>
        </is>
      </c>
      <c r="AC663" s="2" t="inlineStr"/>
      <c r="AD663" s="2" t="inlineStr">
        <is>
          <t>M/s. Motiram Tolaram and Another v. The Union of India and Another (1999) was overruled by Collector of Central Excise, Vadodra v. Dhiren Chemical Industries (2002).</t>
        </is>
      </c>
      <c r="AE663" s="2" t="n"/>
      <c r="AF663" s="11" t="inlineStr">
        <is>
          <t>created from list 1</t>
        </is>
      </c>
    </row>
    <row r="664">
      <c r="A664" s="11" t="inlineStr">
        <is>
          <t>L1-0663</t>
        </is>
      </c>
      <c r="B664" s="11" t="inlineStr">
        <is>
          <t>List 1 (to ~2015)</t>
        </is>
      </c>
      <c r="C664" s="11" t="inlineStr">
        <is>
          <t>list1</t>
        </is>
      </c>
      <c r="D664" s="11" t="inlineStr">
        <is>
          <t>verified</t>
        </is>
      </c>
      <c r="E664" s="11" t="inlineStr">
        <is>
          <t>overruled</t>
        </is>
      </c>
      <c r="F664" s="2" t="inlineStr">
        <is>
          <t>Damadilal and Others v. Parashram and Others</t>
        </is>
      </c>
      <c r="G664" s="11" t="inlineStr"/>
      <c r="H664" s="11" t="inlineStr">
        <is>
          <t>Supreme Court</t>
        </is>
      </c>
      <c r="I664" s="2" t="inlineStr">
        <is>
          <t>AIR 1976 SC 2229; (1976) 4 SCC 855; (1976) SCR 645 Supp</t>
        </is>
      </c>
      <c r="J664" s="11" t="n">
        <v>1976</v>
      </c>
      <c r="K664" s="2" t="inlineStr">
        <is>
          <t>Tara Chand and Another v. Ram Prasad</t>
        </is>
      </c>
      <c r="L664" s="11" t="inlineStr">
        <is>
          <t>Supreme Court</t>
        </is>
      </c>
      <c r="M664" s="2" t="inlineStr">
        <is>
          <t>(1990) 3 JT 17; (1990) 3 SCC 526; (1990) 3 SCR 7; (1990) 2 UJ 157</t>
        </is>
      </c>
      <c r="N664" s="11" t="n">
        <v>1990</v>
      </c>
      <c r="O664" s="11" t="n"/>
      <c r="P664" s="11" t="n"/>
      <c r="Q664" s="11" t="n"/>
      <c r="R664" s="2" t="n"/>
      <c r="S664" s="2" t="n"/>
      <c r="T664" s="11" t="inlineStr"/>
      <c r="U664" s="11" t="inlineStr"/>
      <c r="V664" s="11" t="inlineStr">
        <is>
          <t>outside_list</t>
        </is>
      </c>
      <c r="W664" s="11" t="n"/>
      <c r="X664" s="11" t="n"/>
      <c r="Y664" s="11" t="n"/>
      <c r="Z664" s="11" t="inlineStr">
        <is>
          <t>Mr. Advocate</t>
        </is>
      </c>
      <c r="AA664" s="11" t="inlineStr">
        <is>
          <t>2026-10-07</t>
        </is>
      </c>
      <c r="AB664" s="11" t="inlineStr">
        <is>
          <t>name_year</t>
        </is>
      </c>
      <c r="AC664" s="2" t="inlineStr"/>
      <c r="AD664" s="2" t="inlineStr">
        <is>
          <t>Damadilal and Others v. Parashram and Others (1976) was overruled by Tara Chand and Another v. Ram Prasad (1990).</t>
        </is>
      </c>
      <c r="AE664" s="2" t="n"/>
      <c r="AF664" s="11" t="inlineStr">
        <is>
          <t>created from list 1</t>
        </is>
      </c>
    </row>
    <row r="665">
      <c r="A665" s="11" t="inlineStr">
        <is>
          <t>L1-0664</t>
        </is>
      </c>
      <c r="B665" s="11" t="inlineStr">
        <is>
          <t>List 1 (to ~2015)</t>
        </is>
      </c>
      <c r="C665" s="11" t="inlineStr">
        <is>
          <t>list1</t>
        </is>
      </c>
      <c r="D665" s="11" t="inlineStr">
        <is>
          <t>verified</t>
        </is>
      </c>
      <c r="E665" s="11" t="inlineStr">
        <is>
          <t>overruled</t>
        </is>
      </c>
      <c r="F665" s="2" t="inlineStr">
        <is>
          <t>Mst. Karmi v. Amru and Others</t>
        </is>
      </c>
      <c r="G665" s="11" t="inlineStr"/>
      <c r="H665" s="11" t="inlineStr">
        <is>
          <t>Supreme Court</t>
        </is>
      </c>
      <c r="I665" s="2" t="inlineStr">
        <is>
          <t>AIR 1971 SC 745; (1972) 4 SCC 86; (1971) 3 UJ 140</t>
        </is>
      </c>
      <c r="J665" s="11" t="n">
        <v>1971</v>
      </c>
      <c r="K665" s="2" t="inlineStr">
        <is>
          <t>Shakuntla Devi v. Kamla and Others</t>
        </is>
      </c>
      <c r="L665" s="11" t="inlineStr">
        <is>
          <t>Supreme Court</t>
        </is>
      </c>
      <c r="M665" s="2" t="inlineStr">
        <is>
          <t>(2005) 100 CLT 568; (2005) 4 CTC 754; (2005) 4 JT 315; (2005) 141 PLR 351; (2005) 5 SCC 390; (2005) 1 UJ 632</t>
        </is>
      </c>
      <c r="N665" s="11" t="n">
        <v>2005</v>
      </c>
      <c r="O665" s="11" t="n"/>
      <c r="P665" s="11" t="n"/>
      <c r="Q665" s="11" t="n"/>
      <c r="R665" s="2" t="n"/>
      <c r="S665" s="2" t="n"/>
      <c r="T665" s="11" t="inlineStr"/>
      <c r="U665" s="11" t="inlineStr"/>
      <c r="V665" s="11" t="inlineStr">
        <is>
          <t>outside_list</t>
        </is>
      </c>
      <c r="W665" s="11" t="n"/>
      <c r="X665" s="11" t="n"/>
      <c r="Y665" s="11" t="n"/>
      <c r="Z665" s="11" t="inlineStr">
        <is>
          <t>Mr. Advocate</t>
        </is>
      </c>
      <c r="AA665" s="11" t="inlineStr">
        <is>
          <t>2026-10-07</t>
        </is>
      </c>
      <c r="AB665" s="11" t="inlineStr">
        <is>
          <t>name_year</t>
        </is>
      </c>
      <c r="AC665" s="2" t="inlineStr"/>
      <c r="AD665" s="2" t="inlineStr">
        <is>
          <t>Mst. Karmi v. Amru and Others (1971) was overruled by Shakuntla Devi v. Kamla and Others (2005).</t>
        </is>
      </c>
      <c r="AE665" s="2" t="n"/>
      <c r="AF665" s="11" t="inlineStr">
        <is>
          <t>created from list 1</t>
        </is>
      </c>
    </row>
    <row r="666">
      <c r="A666" s="11" t="inlineStr">
        <is>
          <t>L1-0665</t>
        </is>
      </c>
      <c r="B666" s="11" t="inlineStr">
        <is>
          <t>List 1 (to ~2015)</t>
        </is>
      </c>
      <c r="C666" s="11" t="inlineStr">
        <is>
          <t>list1</t>
        </is>
      </c>
      <c r="D666" s="11" t="inlineStr">
        <is>
          <t>verified</t>
        </is>
      </c>
      <c r="E666" s="11" t="inlineStr">
        <is>
          <t>overruled</t>
        </is>
      </c>
      <c r="F666" s="2" t="inlineStr">
        <is>
          <t>Punjab State Electricity Board, Patiala and Another v. Ravinder Kumar Sharma and Others</t>
        </is>
      </c>
      <c r="G666" s="11" t="inlineStr"/>
      <c r="H666" s="11" t="inlineStr">
        <is>
          <t>Supreme Court</t>
        </is>
      </c>
      <c r="I666" s="2" t="inlineStr">
        <is>
          <t>(1986) 1 JT 743; (1987) 1 LLJ 115; (1986) 2 SCALE 690; (1986) 4 SCC 617; (1987) 1 SCR 72; (1987) 1 SLJ 128; (1987) 1 UJ 273</t>
        </is>
      </c>
      <c r="J666" s="11" t="n">
        <v>1986</v>
      </c>
      <c r="K666" s="2" t="inlineStr">
        <is>
          <t>Union of India (UOI) and Others v. K. Savitri and Others</t>
        </is>
      </c>
      <c r="L666" s="11" t="inlineStr">
        <is>
          <t>Supreme Court</t>
        </is>
      </c>
      <c r="M666" s="2" t="inlineStr">
        <is>
          <t>(1999) 87 CLT 1; (1998) 2 JT 347; (1998) 2 SCALE 221; (1998) 4 SCC 358; (1998) SCC(L&amp;S) 1134; (1998) 2 SCR 137</t>
        </is>
      </c>
      <c r="N666" s="11" t="n">
        <v>1998</v>
      </c>
      <c r="O666" s="11" t="n"/>
      <c r="P666" s="11" t="n"/>
      <c r="Q666" s="11" t="n"/>
      <c r="R666" s="2" t="n"/>
      <c r="S666" s="2" t="n"/>
      <c r="T666" s="11" t="inlineStr"/>
      <c r="U666" s="11" t="inlineStr"/>
      <c r="V666" s="11" t="inlineStr">
        <is>
          <t>outside_list</t>
        </is>
      </c>
      <c r="W666" s="11" t="n"/>
      <c r="X666" s="11" t="n"/>
      <c r="Y666" s="11" t="n"/>
      <c r="Z666" s="11" t="inlineStr">
        <is>
          <t>Mr. Advocate</t>
        </is>
      </c>
      <c r="AA666" s="11" t="inlineStr">
        <is>
          <t>2026-10-07</t>
        </is>
      </c>
      <c r="AB666" s="11" t="inlineStr">
        <is>
          <t>name_year</t>
        </is>
      </c>
      <c r="AC666" s="2" t="inlineStr"/>
      <c r="AD666" s="2" t="inlineStr">
        <is>
          <t>Punjab State Electricity Board, Patiala and Another v. Ravinder Kumar Sharma and Others (1986) was overruled by Union of India (UOI) and Others v. K. Savitri and Others (1998).</t>
        </is>
      </c>
      <c r="AE666" s="2" t="n"/>
      <c r="AF666" s="11" t="inlineStr">
        <is>
          <t>created from list 1</t>
        </is>
      </c>
    </row>
    <row r="667">
      <c r="A667" s="11" t="inlineStr">
        <is>
          <t>L1-0666</t>
        </is>
      </c>
      <c r="B667" s="11" t="inlineStr">
        <is>
          <t>List 1 (to ~2015)</t>
        </is>
      </c>
      <c r="C667" s="11" t="inlineStr">
        <is>
          <t>list1</t>
        </is>
      </c>
      <c r="D667" s="11" t="inlineStr">
        <is>
          <t>verified</t>
        </is>
      </c>
      <c r="E667" s="11" t="inlineStr">
        <is>
          <t>overruled</t>
        </is>
      </c>
      <c r="F667" s="2" t="inlineStr">
        <is>
          <t>State of Maharashtra and Another v. Sushila Mafatlal Shah and Others</t>
        </is>
      </c>
      <c r="G667" s="11" t="inlineStr"/>
      <c r="H667" s="11" t="inlineStr">
        <is>
          <t>Supreme Court</t>
        </is>
      </c>
      <c r="I667" s="2" t="inlineStr">
        <is>
          <t>AIR 1988 SC 2090; (1989) CriLJ 99; (1988) 18 ECC 322; (1989) 39 ELT 333; (1988) 3 JT 646; (1988) 2 SCALE 774; (1988) 4 SCC 490; (1988) 2 SCR 827 Supp</t>
        </is>
      </c>
      <c r="J667" s="11" t="n">
        <v>1988</v>
      </c>
      <c r="K667" s="2" t="inlineStr">
        <is>
          <t>Kamleshkumar Ishwardas Patel v. Union of India (UOI) and Others</t>
        </is>
      </c>
      <c r="L667" s="11" t="inlineStr">
        <is>
          <t>Supreme Court</t>
        </is>
      </c>
      <c r="M667" s="2" t="inlineStr">
        <is>
          <t>(1996) 53 ECC 123; (1995) 3 JT 639; (1995) 2 SCALE 858; (1995) 2 SCALE 681; (1995) 4 SCC 51; (1995) 3 SCR 279</t>
        </is>
      </c>
      <c r="N667" s="11" t="n">
        <v>1995</v>
      </c>
      <c r="O667" s="11" t="n"/>
      <c r="P667" s="11" t="n"/>
      <c r="Q667" s="11" t="n"/>
      <c r="R667" s="2" t="n"/>
      <c r="S667" s="2" t="n"/>
      <c r="T667" s="11" t="inlineStr"/>
      <c r="U667" s="11" t="inlineStr"/>
      <c r="V667" s="11" t="inlineStr">
        <is>
          <t>outside_list</t>
        </is>
      </c>
      <c r="W667" s="11" t="n"/>
      <c r="X667" s="11" t="n"/>
      <c r="Y667" s="11" t="n"/>
      <c r="Z667" s="11" t="inlineStr">
        <is>
          <t>Mr. Advocate</t>
        </is>
      </c>
      <c r="AA667" s="11" t="inlineStr">
        <is>
          <t>2026-10-07</t>
        </is>
      </c>
      <c r="AB667" s="11" t="inlineStr">
        <is>
          <t>name_year</t>
        </is>
      </c>
      <c r="AC667" s="2" t="inlineStr"/>
      <c r="AD667" s="2" t="inlineStr">
        <is>
          <t>State of Maharashtra and Another v. Sushila Mafatlal Shah and Others (1988) was overruled by Kamleshkumar Ishwardas Patel v. Union of India (UOI) and Others (1995).</t>
        </is>
      </c>
      <c r="AE667" s="2" t="n"/>
      <c r="AF667" s="11" t="inlineStr">
        <is>
          <t>created from list 1</t>
        </is>
      </c>
    </row>
    <row r="668">
      <c r="A668" s="11" t="inlineStr">
        <is>
          <t>L1-0667</t>
        </is>
      </c>
      <c r="B668" s="11" t="inlineStr">
        <is>
          <t>List 1 (to ~2015)</t>
        </is>
      </c>
      <c r="C668" s="11" t="inlineStr">
        <is>
          <t>list1</t>
        </is>
      </c>
      <c r="D668" s="11" t="inlineStr">
        <is>
          <t>verified</t>
        </is>
      </c>
      <c r="E668" s="11" t="inlineStr">
        <is>
          <t>overruled</t>
        </is>
      </c>
      <c r="F668" s="2" t="inlineStr">
        <is>
          <t>Dr. Ram Lal Chaturvedi v. State of Rajasthan and Others</t>
        </is>
      </c>
      <c r="G668" s="11" t="inlineStr"/>
      <c r="H668" s="11" t="inlineStr">
        <is>
          <t>Supreme Court</t>
        </is>
      </c>
      <c r="I668" s="2" t="inlineStr">
        <is>
          <t>(1970) 1 SCC 75; (1970) 2 SCR 559</t>
        </is>
      </c>
      <c r="J668" s="11" t="n">
        <v>1970</v>
      </c>
      <c r="K668" s="2" t="inlineStr">
        <is>
          <t>Vidya Dhar Pande v. Vidyut Grih Siksha Samiti and Others</t>
        </is>
      </c>
      <c r="L668" s="11" t="inlineStr">
        <is>
          <t>Supreme Court</t>
        </is>
      </c>
      <c r="M668" s="2" t="inlineStr">
        <is>
          <t>AIR 1989 SC 341; (1989) 58 FLR 513; (1988) 4 JT 84; (1989) 1 LLJ 81; (1988) 2 SCALE 916; (1988) 4 SCC 734; (1988) 3 SCR 442 Supp; (1989) 1 UJ 275</t>
        </is>
      </c>
      <c r="N668" s="11" t="n">
        <v>1989</v>
      </c>
      <c r="O668" s="11" t="n"/>
      <c r="P668" s="11" t="n"/>
      <c r="Q668" s="11" t="n"/>
      <c r="R668" s="2" t="n"/>
      <c r="S668" s="2" t="n"/>
      <c r="T668" s="11" t="inlineStr"/>
      <c r="U668" s="11" t="inlineStr"/>
      <c r="V668" s="11" t="inlineStr">
        <is>
          <t>outside_list</t>
        </is>
      </c>
      <c r="W668" s="11" t="n"/>
      <c r="X668" s="11" t="n"/>
      <c r="Y668" s="11" t="n"/>
      <c r="Z668" s="11" t="inlineStr">
        <is>
          <t>Mr. Advocate</t>
        </is>
      </c>
      <c r="AA668" s="11" t="inlineStr">
        <is>
          <t>2026-10-07</t>
        </is>
      </c>
      <c r="AB668" s="11" t="inlineStr">
        <is>
          <t>name_year</t>
        </is>
      </c>
      <c r="AC668" s="2" t="inlineStr"/>
      <c r="AD668" s="2" t="inlineStr">
        <is>
          <t>Dr. Ram Lal Chaturvedi v. State of Rajasthan and Others (1970) was overruled by Vidya Dhar Pande v. Vidyut Grih Siksha Samiti and Others (1989).</t>
        </is>
      </c>
      <c r="AE668" s="2" t="n"/>
      <c r="AF668" s="11" t="inlineStr">
        <is>
          <t>created from list 1</t>
        </is>
      </c>
    </row>
    <row r="669">
      <c r="A669" s="11" t="inlineStr">
        <is>
          <t>L1-0668</t>
        </is>
      </c>
      <c r="B669" s="11" t="inlineStr">
        <is>
          <t>List 1 (to ~2015)</t>
        </is>
      </c>
      <c r="C669" s="11" t="inlineStr">
        <is>
          <t>list1</t>
        </is>
      </c>
      <c r="D669" s="11" t="inlineStr">
        <is>
          <t>verified</t>
        </is>
      </c>
      <c r="E669" s="11" t="inlineStr">
        <is>
          <t>overruled</t>
        </is>
      </c>
      <c r="F669" s="2" t="inlineStr">
        <is>
          <t>Smt. Rajinder Kaur v. State of Punjab and Another</t>
        </is>
      </c>
      <c r="G669" s="11" t="inlineStr"/>
      <c r="H669" s="11" t="inlineStr">
        <is>
          <t>Supreme Court</t>
        </is>
      </c>
      <c r="I669" s="2" t="inlineStr">
        <is>
          <t>AIR 1986 SC 1790; (1986) 1 JT 86; (1986) 1 LLJ 93; (1986) 2 SCALE 203; (1986) 4 SCC 141; (1986) 4 SCC 14; (1986) 3 SCR 500; (1987) 1 SLJ 33; (1986) 2 UJ 709</t>
        </is>
      </c>
      <c r="J669" s="11" t="n">
        <v>1986</v>
      </c>
      <c r="K669" s="2" t="inlineStr">
        <is>
          <t>State of Punjab and Others v. Sukhwinder Singh</t>
        </is>
      </c>
      <c r="L669" s="11" t="inlineStr">
        <is>
          <t>Supreme Court</t>
        </is>
      </c>
      <c r="M669" s="2" t="inlineStr">
        <is>
          <t>AIR 2005 SC 2960; (2005) 6 JT 170; (2005) 141 PLR 402; (2005) 5 SCC 569; (2005) SCC(L&amp;S) 705; (2005) 2 SCR 580 Supp; (2005) 3 SLJ 186; (2005) AIRSCW 3477; (2005) 5 Supreme 68</t>
        </is>
      </c>
      <c r="N669" s="11" t="n">
        <v>2005</v>
      </c>
      <c r="O669" s="11" t="n"/>
      <c r="P669" s="11" t="n"/>
      <c r="Q669" s="11" t="n"/>
      <c r="R669" s="2" t="n"/>
      <c r="S669" s="2" t="n"/>
      <c r="T669" s="11" t="inlineStr"/>
      <c r="U669" s="11" t="inlineStr"/>
      <c r="V669" s="11" t="inlineStr">
        <is>
          <t>outside_list</t>
        </is>
      </c>
      <c r="W669" s="11" t="n"/>
      <c r="X669" s="11" t="n"/>
      <c r="Y669" s="11" t="n"/>
      <c r="Z669" s="11" t="inlineStr">
        <is>
          <t>Mr. Advocate</t>
        </is>
      </c>
      <c r="AA669" s="11" t="inlineStr">
        <is>
          <t>2026-10-07</t>
        </is>
      </c>
      <c r="AB669" s="11" t="inlineStr">
        <is>
          <t>name_year</t>
        </is>
      </c>
      <c r="AC669" s="2" t="inlineStr"/>
      <c r="AD669" s="2" t="inlineStr">
        <is>
          <t>Smt. Rajinder Kaur v. State of Punjab and Another (1986) was overruled by State of Punjab and Others v. Sukhwinder Singh (2005).</t>
        </is>
      </c>
      <c r="AE669" s="2" t="n"/>
      <c r="AF669" s="11" t="inlineStr">
        <is>
          <t>created from list 1</t>
        </is>
      </c>
    </row>
    <row r="670">
      <c r="A670" s="11" t="inlineStr">
        <is>
          <t>L1-0669</t>
        </is>
      </c>
      <c r="B670" s="11" t="inlineStr">
        <is>
          <t>List 1 (to ~2015)</t>
        </is>
      </c>
      <c r="C670" s="11" t="inlineStr">
        <is>
          <t>list1</t>
        </is>
      </c>
      <c r="D670" s="11" t="inlineStr">
        <is>
          <t>verified</t>
        </is>
      </c>
      <c r="E670" s="11" t="inlineStr">
        <is>
          <t>overruled</t>
        </is>
      </c>
      <c r="F670" s="2" t="inlineStr">
        <is>
          <t>Kerala Financial Corporation v. Commissioner of Income Tax</t>
        </is>
      </c>
      <c r="G670" s="11" t="inlineStr"/>
      <c r="H670" s="11" t="inlineStr">
        <is>
          <t>Supreme Court</t>
        </is>
      </c>
      <c r="I670" s="2" t="inlineStr">
        <is>
          <t>AIR 1994 SC 2416; (1995) 1 BC 1; (1994) 119 CTR 164; (1994) 210 ITR 129; (1994) 7 JT 15; (1994) 2 SCALE 1026; (1994) 4 SCC 375</t>
        </is>
      </c>
      <c r="J670" s="11" t="n">
        <v>1994</v>
      </c>
      <c r="K670" s="2" t="inlineStr">
        <is>
          <t>UCO Bank, Calcutta v. Commissioner of Income Tax, West Bengal</t>
        </is>
      </c>
      <c r="L670" s="11" t="inlineStr">
        <is>
          <t>Supreme Court</t>
        </is>
      </c>
      <c r="M670" s="2" t="inlineStr">
        <is>
          <t>AIR 1999 SC 2082; (1999) 154 CTR 88; (1999) 111 ELT 673; (1999) 237 ITR 889; (1999) 4 JT 40; (1999) 4 SCALE 1; (1999) 4 SCC 599; (1999) 3 SCR 635; (1999) 104 TAXMAN 547; (1999) AIRSCW 1806; (1999) 5 Supreme 449</t>
        </is>
      </c>
      <c r="N670" s="11" t="n">
        <v>1999</v>
      </c>
      <c r="O670" s="11" t="n"/>
      <c r="P670" s="11" t="n"/>
      <c r="Q670" s="11" t="n"/>
      <c r="R670" s="2" t="n"/>
      <c r="S670" s="2" t="n"/>
      <c r="T670" s="11" t="inlineStr"/>
      <c r="U670" s="11" t="inlineStr"/>
      <c r="V670" s="11" t="inlineStr">
        <is>
          <t>outside_list</t>
        </is>
      </c>
      <c r="W670" s="11" t="n"/>
      <c r="X670" s="11" t="n"/>
      <c r="Y670" s="11" t="n"/>
      <c r="Z670" s="11" t="inlineStr">
        <is>
          <t>Mr. Advocate</t>
        </is>
      </c>
      <c r="AA670" s="11" t="inlineStr">
        <is>
          <t>2026-10-07</t>
        </is>
      </c>
      <c r="AB670" s="11" t="inlineStr">
        <is>
          <t>citation</t>
        </is>
      </c>
      <c r="AC670" s="2" t="inlineStr"/>
      <c r="AD670" s="2" t="inlineStr">
        <is>
          <t>Kerala Financial Corporation v. Commissioner of Income Tax (1994) was overruled by UCO Bank, Calcutta v. Commissioner of Income Tax, West Bengal (1999).</t>
        </is>
      </c>
      <c r="AE670" s="2" t="n"/>
      <c r="AF670" s="11" t="inlineStr">
        <is>
          <t>created from list 1</t>
        </is>
      </c>
    </row>
    <row r="671">
      <c r="A671" s="11" t="inlineStr">
        <is>
          <t>L1-0670</t>
        </is>
      </c>
      <c r="B671" s="11" t="inlineStr">
        <is>
          <t>List 1 (to ~2015)</t>
        </is>
      </c>
      <c r="C671" s="11" t="inlineStr">
        <is>
          <t>list1</t>
        </is>
      </c>
      <c r="D671" s="11" t="inlineStr">
        <is>
          <t>verified</t>
        </is>
      </c>
      <c r="E671" s="11" t="inlineStr">
        <is>
          <t>overruled</t>
        </is>
      </c>
      <c r="F671" s="2" t="inlineStr">
        <is>
          <t>I.T.I. Ltd. v. Siemens Public Communications Network Ltd.</t>
        </is>
      </c>
      <c r="G671" s="11" t="inlineStr"/>
      <c r="H671" s="11" t="inlineStr">
        <is>
          <t>Supreme Court</t>
        </is>
      </c>
      <c r="I671" s="2" t="inlineStr">
        <is>
          <t>AIR 2002 SC 2308; (2002) 2 ARBLR 246; (2002) 4 CompLJ 186; (2002) 1 JT 466 Supp; (2002) 4 SCALE 655; (2002) 5 SCC 510; (2002) 38 SCL 943; (2002) 3 SCR 1122; (2002) 2 UJ 1111; (2002) AIRSCW 2438; (2002) 4 Supreme 444</t>
        </is>
      </c>
      <c r="J671" s="11" t="n">
        <v>2002</v>
      </c>
      <c r="K671" s="2" t="inlineStr">
        <is>
          <t>Nirma Ltd. v. Lurgi Lentjes Energietechnik GMBH and Another</t>
        </is>
      </c>
      <c r="L671" s="11" t="inlineStr">
        <is>
          <t>Supreme Court</t>
        </is>
      </c>
      <c r="M671" s="2" t="inlineStr">
        <is>
          <t>AIR 2002 SC 3695; (2002) 3 ARBLR 30; (2002) 4 CompLJ 184; (2002) 6 JT 117; (2002) 5 SCALE 10; (2002) 5 SCC 520; (2002) 3 SCR 911; (2002) 2 UJ 1245</t>
        </is>
      </c>
      <c r="N671" s="11" t="n">
        <v>2002</v>
      </c>
      <c r="O671" s="11" t="n"/>
      <c r="P671" s="11" t="n"/>
      <c r="Q671" s="11" t="n"/>
      <c r="R671" s="2" t="n"/>
      <c r="S671" s="2" t="n"/>
      <c r="T671" s="11" t="inlineStr"/>
      <c r="U671" s="11" t="inlineStr"/>
      <c r="V671" s="11" t="inlineStr">
        <is>
          <t>outside_list</t>
        </is>
      </c>
      <c r="W671" s="11" t="n"/>
      <c r="X671" s="11" t="n"/>
      <c r="Y671" s="11" t="n"/>
      <c r="Z671" s="11" t="inlineStr">
        <is>
          <t>Mr. Advocate</t>
        </is>
      </c>
      <c r="AA671" s="11" t="inlineStr">
        <is>
          <t>2026-10-07</t>
        </is>
      </c>
      <c r="AB671" s="11" t="inlineStr">
        <is>
          <t>name_year</t>
        </is>
      </c>
      <c r="AC671" s="2" t="inlineStr"/>
      <c r="AD671" s="2" t="inlineStr">
        <is>
          <t>I.T.I. Ltd. v. Siemens Public Communications Network Ltd. (2002) was overruled by Nirma Ltd. v. Lurgi Lentjes Energietechnik GMBH and Another (2002).</t>
        </is>
      </c>
      <c r="AE671" s="2" t="n"/>
      <c r="AF671" s="11" t="inlineStr">
        <is>
          <t>created from list 1</t>
        </is>
      </c>
    </row>
    <row r="672">
      <c r="A672" s="11" t="inlineStr">
        <is>
          <t>L1-0671</t>
        </is>
      </c>
      <c r="B672" s="11" t="inlineStr">
        <is>
          <t>List 1 (to ~2015)</t>
        </is>
      </c>
      <c r="C672" s="11" t="inlineStr">
        <is>
          <t>list1</t>
        </is>
      </c>
      <c r="D672" s="11" t="inlineStr">
        <is>
          <t>verified</t>
        </is>
      </c>
      <c r="E672" s="11" t="inlineStr">
        <is>
          <t>overruled</t>
        </is>
      </c>
      <c r="F672" s="2" t="inlineStr">
        <is>
          <t>Union of India and others v. Brij Lal Thakur</t>
        </is>
      </c>
      <c r="G672" s="11" t="inlineStr"/>
      <c r="H672" s="11" t="inlineStr">
        <is>
          <t>Supreme Court</t>
        </is>
      </c>
      <c r="I672" s="2" t="inlineStr">
        <is>
          <t>AIR 1997 SC 2101; (1997) 4 JT 195; (1997) 3 SCALE 344; (1997) 4 SCC 278; (1997) SCC(L&amp;S) 939; (1997) 2 SCR 1152; (1997) AIRSCW 1937; (1997) 3 Supreme 553</t>
        </is>
      </c>
      <c r="J672" s="11" t="n">
        <v>1997</v>
      </c>
      <c r="K672" s="2" t="inlineStr">
        <is>
          <t>Post Graduate Institute of Medical Education and Research, Chandigarh v. Faculty Association and Others</t>
        </is>
      </c>
      <c r="L672" s="11" t="inlineStr">
        <is>
          <t>Supreme Court</t>
        </is>
      </c>
      <c r="M672" s="2" t="inlineStr">
        <is>
          <t>(1998) 4 AD 70; AIR 1998 SC 1767; (1998) 3 CTC 413; (1998) 3 JT 223; (1998) 2 SCALE 772; (1998) 4 SCC 1; (1998) SCC(L&amp;S) 961; (1998) 2 SCR 845; (1998) AIRSCW 1553; (1998) 4 Supreme 110</t>
        </is>
      </c>
      <c r="N672" s="11" t="n">
        <v>1998</v>
      </c>
      <c r="O672" s="11" t="n"/>
      <c r="P672" s="11" t="n"/>
      <c r="Q672" s="11" t="n"/>
      <c r="R672" s="2" t="n"/>
      <c r="S672" s="2" t="n"/>
      <c r="T672" s="11" t="inlineStr"/>
      <c r="U672" s="11" t="inlineStr"/>
      <c r="V672" s="11" t="inlineStr">
        <is>
          <t>outside_list</t>
        </is>
      </c>
      <c r="W672" s="11" t="n"/>
      <c r="X672" s="11" t="n"/>
      <c r="Y672" s="11" t="n"/>
      <c r="Z672" s="11" t="inlineStr">
        <is>
          <t>Mr. Advocate</t>
        </is>
      </c>
      <c r="AA672" s="11" t="inlineStr">
        <is>
          <t>2026-10-07</t>
        </is>
      </c>
      <c r="AB672" s="11" t="inlineStr">
        <is>
          <t>name_year</t>
        </is>
      </c>
      <c r="AC672" s="2" t="inlineStr"/>
      <c r="AD672" s="2" t="inlineStr">
        <is>
          <t>Union of India and others v. Brij Lal Thakur (1997) was overruled by Post Graduate Institute of Medical Education and Research, Chandigarh v. Faculty Association and Others (1998).</t>
        </is>
      </c>
      <c r="AE672" s="2" t="n"/>
      <c r="AF672" s="11" t="inlineStr">
        <is>
          <t>created from list 1</t>
        </is>
      </c>
    </row>
    <row r="673">
      <c r="A673" s="11" t="inlineStr">
        <is>
          <t>L1-0672</t>
        </is>
      </c>
      <c r="B673" s="11" t="inlineStr">
        <is>
          <t>List 1 (to ~2015)</t>
        </is>
      </c>
      <c r="C673" s="11" t="inlineStr">
        <is>
          <t>list1</t>
        </is>
      </c>
      <c r="D673" s="11" t="inlineStr">
        <is>
          <t>verified</t>
        </is>
      </c>
      <c r="E673" s="11" t="inlineStr">
        <is>
          <t>overruled</t>
        </is>
      </c>
      <c r="F673" s="2" t="inlineStr">
        <is>
          <t>Venkatesh Thimmaiah Gurjalkar v. S.S. Hawaldar</t>
        </is>
      </c>
      <c r="G673" s="11" t="inlineStr"/>
      <c r="H673" s="11" t="inlineStr">
        <is>
          <t>Supreme Court</t>
        </is>
      </c>
      <c r="I673" s="2" t="inlineStr">
        <is>
          <t>(1997) 8 JT 528; (1997) 6 SCALE 487; (1997) 11 SCC 628; (1997) 4 SCR 497 Supp; (1997) 2 UJ 800</t>
        </is>
      </c>
      <c r="J673" s="11" t="n">
        <v>1997</v>
      </c>
      <c r="K673" s="2" t="inlineStr">
        <is>
          <t>Gantusa H. Baddi (Dead) by Lrs. v. Meerabai G. Pai and Others</t>
        </is>
      </c>
      <c r="L673" s="11" t="inlineStr">
        <is>
          <t>Supreme Court</t>
        </is>
      </c>
      <c r="M673" s="2" t="inlineStr">
        <is>
          <t>AIR 2000 SC 1724; (2000) 5 JT 277; (2000) 4 SCALE 74; (2000) 4 SCC 586; (2000) AIRSCW 1564; (2000) 4 Supreme 346</t>
        </is>
      </c>
      <c r="N673" s="11" t="n">
        <v>2000</v>
      </c>
      <c r="O673" s="11" t="n"/>
      <c r="P673" s="11" t="n"/>
      <c r="Q673" s="11" t="n"/>
      <c r="R673" s="2" t="n"/>
      <c r="S673" s="2" t="n"/>
      <c r="T673" s="11" t="inlineStr"/>
      <c r="U673" s="11" t="inlineStr"/>
      <c r="V673" s="11" t="inlineStr">
        <is>
          <t>outside_list</t>
        </is>
      </c>
      <c r="W673" s="11" t="n"/>
      <c r="X673" s="11" t="n"/>
      <c r="Y673" s="11" t="n"/>
      <c r="Z673" s="11" t="inlineStr">
        <is>
          <t>Mr. Advocate</t>
        </is>
      </c>
      <c r="AA673" s="11" t="inlineStr">
        <is>
          <t>2026-10-07</t>
        </is>
      </c>
      <c r="AB673" s="11" t="inlineStr">
        <is>
          <t>name_year</t>
        </is>
      </c>
      <c r="AC673" s="2" t="inlineStr"/>
      <c r="AD673" s="2" t="inlineStr">
        <is>
          <t>Venkatesh Thimmaiah Gurjalkar v. S.S. Hawaldar (1997) was overruled by Gantusa H. Baddi (Dead) by Lrs. v. Meerabai G. Pai and Others (2000).</t>
        </is>
      </c>
      <c r="AE673" s="2" t="n"/>
      <c r="AF673" s="11" t="inlineStr">
        <is>
          <t>created from list 1</t>
        </is>
      </c>
    </row>
    <row r="674">
      <c r="A674" s="11" t="inlineStr">
        <is>
          <t>L1-0673</t>
        </is>
      </c>
      <c r="B674" s="11" t="inlineStr">
        <is>
          <t>List 1 (to ~2015)</t>
        </is>
      </c>
      <c r="C674" s="11" t="inlineStr">
        <is>
          <t>list1</t>
        </is>
      </c>
      <c r="D674" s="11" t="inlineStr">
        <is>
          <t>verified</t>
        </is>
      </c>
      <c r="E674" s="11" t="inlineStr">
        <is>
          <t>overruled</t>
        </is>
      </c>
      <c r="F674" s="2" t="inlineStr">
        <is>
          <t>Inder Singh and Others v. Union of India (UOI) and Others</t>
        </is>
      </c>
      <c r="G674" s="11" t="inlineStr"/>
      <c r="H674" s="11" t="inlineStr">
        <is>
          <t>Supreme Court</t>
        </is>
      </c>
      <c r="I674" s="2" t="inlineStr">
        <is>
          <t>(1993) 3 JT 653; (1993) 2 SCALE 667; (1993) 3 SCC 240; (1993) 3 SCR 371</t>
        </is>
      </c>
      <c r="J674" s="11" t="n">
        <v>1993</v>
      </c>
      <c r="K674" s="2" t="inlineStr">
        <is>
          <t>Cement Corporation of India Ltd. v. Purya and Others</t>
        </is>
      </c>
      <c r="L674" s="11" t="inlineStr">
        <is>
          <t>unknown</t>
        </is>
      </c>
      <c r="M674" s="2" t="inlineStr">
        <is>
          <t>(2004) 8 JT 327; (2004) 8 SCALE 558; (2004) 8 SCC 270; (2004) AIRSCW 5534; (2004) 7 Supreme 711</t>
        </is>
      </c>
      <c r="N674" s="11" t="n">
        <v>2004</v>
      </c>
      <c r="O674" s="11" t="n"/>
      <c r="P674" s="11" t="n"/>
      <c r="Q674" s="11" t="n"/>
      <c r="R674" s="2" t="n"/>
      <c r="S674" s="2" t="n"/>
      <c r="T674" s="11" t="inlineStr"/>
      <c r="U674" s="11" t="inlineStr"/>
      <c r="V674" s="11" t="inlineStr">
        <is>
          <t>outside_list</t>
        </is>
      </c>
      <c r="W674" s="11" t="n"/>
      <c r="X674" s="11" t="n"/>
      <c r="Y674" s="11" t="n"/>
      <c r="Z674" s="11" t="inlineStr">
        <is>
          <t>Mr. Advocate</t>
        </is>
      </c>
      <c r="AA674" s="11" t="inlineStr">
        <is>
          <t>2026-10-07</t>
        </is>
      </c>
      <c r="AB674" s="11" t="inlineStr">
        <is>
          <t>name_year</t>
        </is>
      </c>
      <c r="AC674" s="2" t="inlineStr"/>
      <c r="AD674" s="2" t="inlineStr">
        <is>
          <t>Inder Singh and Others v. Union of India (UOI) and Others (1993) was overruled by Cement Corporation of India Ltd. v. Purya and Others (2004).</t>
        </is>
      </c>
      <c r="AE674" s="2" t="n"/>
      <c r="AF674" s="11" t="inlineStr">
        <is>
          <t>created from list 1</t>
        </is>
      </c>
    </row>
    <row r="675">
      <c r="A675" s="11" t="inlineStr">
        <is>
          <t>L1-0674</t>
        </is>
      </c>
      <c r="B675" s="11" t="inlineStr">
        <is>
          <t>List 1 (to ~2015)</t>
        </is>
      </c>
      <c r="C675" s="11" t="inlineStr">
        <is>
          <t>list1</t>
        </is>
      </c>
      <c r="D675" s="11" t="inlineStr">
        <is>
          <t>verified</t>
        </is>
      </c>
      <c r="E675" s="11" t="inlineStr">
        <is>
          <t>overruled</t>
        </is>
      </c>
      <c r="F675" s="2" t="inlineStr">
        <is>
          <t>D.K. Yadav v. J.M.A. Industries Ltd.</t>
        </is>
      </c>
      <c r="G675" s="11" t="inlineStr"/>
      <c r="H675" s="11" t="inlineStr">
        <is>
          <t>Supreme Court</t>
        </is>
      </c>
      <c r="I675" s="2" t="inlineStr">
        <is>
          <t>(1993) 3 JT 617; (1993) 2 LLJ 696; (1993) 3 SCALE 39; (1993) 3 SCC 259; (1993) 3 SCR 930</t>
        </is>
      </c>
      <c r="J675" s="11" t="n">
        <v>1993</v>
      </c>
      <c r="K675" s="2" t="inlineStr">
        <is>
          <t>State of U.P. and Another v. Abhai Kishore Masta</t>
        </is>
      </c>
      <c r="L675" s="11" t="inlineStr">
        <is>
          <t>Supreme Court</t>
        </is>
      </c>
      <c r="M675" s="2" t="inlineStr">
        <is>
          <t>(1995) 70 FLR 789; (1994) 7 JT 748; (1994) 5 SCALE 57; (1995) 1 SCC 336; (1994) 6 SCR 224 Supp; (1995) 2 SLJ 1; (1995) 1 UJ 213</t>
        </is>
      </c>
      <c r="N675" s="11" t="n">
        <v>1994</v>
      </c>
      <c r="O675" s="11" t="n"/>
      <c r="P675" s="11" t="n"/>
      <c r="Q675" s="11" t="n"/>
      <c r="R675" s="2" t="n"/>
      <c r="S675" s="2" t="n"/>
      <c r="T675" s="11" t="inlineStr"/>
      <c r="U675" s="11" t="inlineStr"/>
      <c r="V675" s="11" t="inlineStr">
        <is>
          <t>outside_list</t>
        </is>
      </c>
      <c r="W675" s="11" t="n"/>
      <c r="X675" s="11" t="n"/>
      <c r="Y675" s="11" t="n"/>
      <c r="Z675" s="11" t="inlineStr">
        <is>
          <t>Mr. Advocate</t>
        </is>
      </c>
      <c r="AA675" s="11" t="inlineStr">
        <is>
          <t>2026-10-07</t>
        </is>
      </c>
      <c r="AB675" s="11" t="inlineStr">
        <is>
          <t>name_year</t>
        </is>
      </c>
      <c r="AC675" s="2" t="inlineStr"/>
      <c r="AD675" s="2" t="inlineStr">
        <is>
          <t>D.K. Yadav v. J.M.A. Industries Ltd. (1993) was overruled by State of U.P. and Another v. Abhai Kishore Masta (1994).</t>
        </is>
      </c>
      <c r="AE675" s="2" t="n"/>
      <c r="AF675" s="11" t="inlineStr">
        <is>
          <t>created from list 1</t>
        </is>
      </c>
    </row>
    <row r="676">
      <c r="A676" s="11" t="inlineStr">
        <is>
          <t>L1-0675</t>
        </is>
      </c>
      <c r="B676" s="11" t="inlineStr">
        <is>
          <t>List 1 (to ~2015)</t>
        </is>
      </c>
      <c r="C676" s="11" t="inlineStr">
        <is>
          <t>list1</t>
        </is>
      </c>
      <c r="D676" s="11" t="inlineStr">
        <is>
          <t>verified</t>
        </is>
      </c>
      <c r="E676" s="11" t="inlineStr">
        <is>
          <t>overruled</t>
        </is>
      </c>
      <c r="F676" s="2" t="inlineStr">
        <is>
          <t>Gujarat State Transport Corporation v. Valji Mulji Soneji and Others</t>
        </is>
      </c>
      <c r="G676" s="11" t="inlineStr"/>
      <c r="H676" s="11" t="inlineStr">
        <is>
          <t>Supreme Court</t>
        </is>
      </c>
      <c r="I676" s="2" t="inlineStr">
        <is>
          <t>AIR 1980 SC 64; (1979) 3 SCC 202; (1979) 3 SCR 905; (1979) 11 UJ 558</t>
        </is>
      </c>
      <c r="J676" s="11" t="n">
        <v>1980</v>
      </c>
      <c r="K676" s="2" t="inlineStr">
        <is>
          <t>State of Gujarat and Anr v. Punjabhai Nathubhai and Ors</t>
        </is>
      </c>
      <c r="L676" s="11" t="inlineStr">
        <is>
          <t>Supreme Court</t>
        </is>
      </c>
      <c r="M676" s="2" t="inlineStr">
        <is>
          <t>(1988) 1 JT 471; (1988) 1 SCALE 335; (1988) 2 SCC 478; (1988) 1 UJ 473</t>
        </is>
      </c>
      <c r="N676" s="11" t="n">
        <v>1988</v>
      </c>
      <c r="O676" s="11" t="n"/>
      <c r="P676" s="11" t="n"/>
      <c r="Q676" s="11" t="n"/>
      <c r="R676" s="2" t="n"/>
      <c r="S676" s="2" t="n"/>
      <c r="T676" s="11" t="inlineStr"/>
      <c r="U676" s="11" t="inlineStr"/>
      <c r="V676" s="11" t="inlineStr">
        <is>
          <t>outside_list</t>
        </is>
      </c>
      <c r="W676" s="11" t="n"/>
      <c r="X676" s="11" t="n"/>
      <c r="Y676" s="11" t="n"/>
      <c r="Z676" s="11" t="inlineStr">
        <is>
          <t>Mr. Advocate</t>
        </is>
      </c>
      <c r="AA676" s="11" t="inlineStr">
        <is>
          <t>2026-10-07</t>
        </is>
      </c>
      <c r="AB676" s="11" t="inlineStr">
        <is>
          <t>name_year</t>
        </is>
      </c>
      <c r="AC676" s="2" t="inlineStr"/>
      <c r="AD676" s="2" t="inlineStr">
        <is>
          <t>Gujarat State Transport Corporation v. Valji Mulji Soneji and Others (1980) was overruled by State of Gujarat and Anr v. Punjabhai Nathubhai and Ors (1988).</t>
        </is>
      </c>
      <c r="AE676" s="2" t="n"/>
      <c r="AF676" s="11" t="inlineStr">
        <is>
          <t>created from list 1</t>
        </is>
      </c>
    </row>
    <row r="677">
      <c r="A677" s="11" t="inlineStr">
        <is>
          <t>L1-0676</t>
        </is>
      </c>
      <c r="B677" s="11" t="inlineStr">
        <is>
          <t>List 1 (to ~2015)</t>
        </is>
      </c>
      <c r="C677" s="11" t="inlineStr">
        <is>
          <t>list1</t>
        </is>
      </c>
      <c r="D677" s="11" t="inlineStr">
        <is>
          <t>verified</t>
        </is>
      </c>
      <c r="E677" s="11" t="inlineStr">
        <is>
          <t>overruled</t>
        </is>
      </c>
      <c r="F677" s="2" t="inlineStr">
        <is>
          <t>Reserve Bank of India v. N.C. Paliwal and Others</t>
        </is>
      </c>
      <c r="G677" s="11" t="inlineStr"/>
      <c r="H677" s="11" t="inlineStr">
        <is>
          <t>Supreme Court</t>
        </is>
      </c>
      <c r="I677" s="2" t="inlineStr">
        <is>
          <t>AIR 1976 SC 2345; (1976) 4 SCC 838; (1977) 1 SCR 377; (1976) 1 SLJ 569</t>
        </is>
      </c>
      <c r="J677" s="11" t="n">
        <v>1976</v>
      </c>
      <c r="K677" s="2" t="inlineStr">
        <is>
          <t>R.D. Gupta and Others v. Lt. Governor, Delhi Admn. and Others</t>
        </is>
      </c>
      <c r="L677" s="11" t="inlineStr">
        <is>
          <t>Supreme Court</t>
        </is>
      </c>
      <c r="M677" s="2" t="inlineStr">
        <is>
          <t>AIR 1987 SC 2086; (1987) 3 JT 259; (1987) 2 SCALE 226; (1987) 4 SCC 505; (1987) 3 SCR 808</t>
        </is>
      </c>
      <c r="N677" s="11" t="n">
        <v>1987</v>
      </c>
      <c r="O677" s="11" t="n"/>
      <c r="P677" s="11" t="n"/>
      <c r="Q677" s="11" t="n"/>
      <c r="R677" s="2" t="n"/>
      <c r="S677" s="2" t="n"/>
      <c r="T677" s="11" t="inlineStr"/>
      <c r="U677" s="11" t="inlineStr"/>
      <c r="V677" s="11" t="inlineStr">
        <is>
          <t>outside_list</t>
        </is>
      </c>
      <c r="W677" s="11" t="n"/>
      <c r="X677" s="11" t="n"/>
      <c r="Y677" s="11" t="n"/>
      <c r="Z677" s="11" t="inlineStr">
        <is>
          <t>Mr. Advocate</t>
        </is>
      </c>
      <c r="AA677" s="11" t="inlineStr">
        <is>
          <t>2026-10-07</t>
        </is>
      </c>
      <c r="AB677" s="11" t="inlineStr">
        <is>
          <t>name_year</t>
        </is>
      </c>
      <c r="AC677" s="2" t="inlineStr"/>
      <c r="AD677" s="2" t="inlineStr">
        <is>
          <t>Reserve Bank of India v. N.C. Paliwal and Others (1976) was overruled by R.D. Gupta and Others v. Lt. Governor, Delhi Admn. and Others (1987).</t>
        </is>
      </c>
      <c r="AE677" s="2" t="n"/>
      <c r="AF677" s="11" t="inlineStr">
        <is>
          <t>created from list 1</t>
        </is>
      </c>
    </row>
    <row r="678">
      <c r="A678" s="11" t="inlineStr">
        <is>
          <t>L1-0677</t>
        </is>
      </c>
      <c r="B678" s="11" t="inlineStr">
        <is>
          <t>List 1 (to ~2015)</t>
        </is>
      </c>
      <c r="C678" s="11" t="inlineStr">
        <is>
          <t>list1</t>
        </is>
      </c>
      <c r="D678" s="11" t="inlineStr">
        <is>
          <t>verified</t>
        </is>
      </c>
      <c r="E678" s="11" t="inlineStr">
        <is>
          <t>overruled</t>
        </is>
      </c>
      <c r="F678" s="2" t="inlineStr">
        <is>
          <t>P.K. Kutty Anuja Raja and another v. State of Kerala and another</t>
        </is>
      </c>
      <c r="G678" s="11" t="inlineStr"/>
      <c r="H678" s="11" t="inlineStr">
        <is>
          <t>Supreme Court</t>
        </is>
      </c>
      <c r="I678" s="2" t="inlineStr">
        <is>
          <t>(1996) 1 AD 1062; AIR 1996 SC 2212; (1996) 63 ECR 521; (1996) 2 JT 167; (1996) 2 SCALE 14; (1996) 2 SCC 496; (1996) 1 SCR 1147; (1996) 1 UJ 753</t>
        </is>
      </c>
      <c r="J678" s="11" t="n">
        <v>1996</v>
      </c>
      <c r="K678" s="2" t="inlineStr">
        <is>
          <t>Union of India (UOI) and Others v. West Coast Paper Mills Ltd. and Another</t>
        </is>
      </c>
      <c r="L678" s="11" t="inlineStr">
        <is>
          <t>Supreme Court</t>
        </is>
      </c>
      <c r="M678" s="2" t="inlineStr">
        <is>
          <t>AIR 2004 SC 1596; (2004) 3 CTC 53; (2004) 164 ELT 375; (2004) 2 JT 183; (2004) 2 SCALE 285; (2004) 2 SCC 747; (2004) 135 STC 265; (2004) AIRSCW 838; (2004) 1 Supreme 1051</t>
        </is>
      </c>
      <c r="N678" s="11" t="n">
        <v>2004</v>
      </c>
      <c r="O678" s="11" t="n"/>
      <c r="P678" s="11" t="n"/>
      <c r="Q678" s="11" t="n"/>
      <c r="R678" s="2" t="n"/>
      <c r="S678" s="2" t="n"/>
      <c r="T678" s="11" t="inlineStr"/>
      <c r="U678" s="11" t="inlineStr"/>
      <c r="V678" s="11" t="inlineStr">
        <is>
          <t>outside_list</t>
        </is>
      </c>
      <c r="W678" s="11" t="n"/>
      <c r="X678" s="11" t="n"/>
      <c r="Y678" s="11" t="n"/>
      <c r="Z678" s="11" t="inlineStr">
        <is>
          <t>Mr. Advocate</t>
        </is>
      </c>
      <c r="AA678" s="11" t="inlineStr">
        <is>
          <t>2026-10-07</t>
        </is>
      </c>
      <c r="AB678" s="11" t="inlineStr">
        <is>
          <t>name_year</t>
        </is>
      </c>
      <c r="AC678" s="2" t="inlineStr"/>
      <c r="AD678" s="2" t="inlineStr">
        <is>
          <t>P.K. Kutty Anuja Raja and another v. State of Kerala and another (1996) was overruled by Union of India (UOI) and Others v. West Coast Paper Mills Ltd. and Another (2004).</t>
        </is>
      </c>
      <c r="AE678" s="2" t="n"/>
      <c r="AF678" s="11" t="inlineStr">
        <is>
          <t>created from list 1</t>
        </is>
      </c>
    </row>
    <row r="679">
      <c r="A679" s="11" t="inlineStr">
        <is>
          <t>L1-0678</t>
        </is>
      </c>
      <c r="B679" s="11" t="inlineStr">
        <is>
          <t>List 1 (to ~2015)</t>
        </is>
      </c>
      <c r="C679" s="11" t="inlineStr">
        <is>
          <t>list1</t>
        </is>
      </c>
      <c r="D679" s="11" t="inlineStr">
        <is>
          <t>verified</t>
        </is>
      </c>
      <c r="E679" s="11" t="inlineStr">
        <is>
          <t>overruled</t>
        </is>
      </c>
      <c r="F679" s="2" t="inlineStr">
        <is>
          <t>Usmanbhai Dawoodbhai Memon and Others v. State of Gujarat</t>
        </is>
      </c>
      <c r="G679" s="11" t="inlineStr"/>
      <c r="H679" s="11" t="inlineStr">
        <is>
          <t>Supreme Court</t>
        </is>
      </c>
      <c r="I679" s="2" t="inlineStr">
        <is>
          <t>AIR 1988 SC 922; (1988) CriLJ 938; (1988) 1 SCALE 494; (1988) 2 SCC 271; (1988) 3 SCR 225</t>
        </is>
      </c>
      <c r="J679" s="11" t="n">
        <v>1988</v>
      </c>
      <c r="K679" s="2" t="inlineStr">
        <is>
          <t>Kartar Singh v. State of Punjab</t>
        </is>
      </c>
      <c r="L679" s="11" t="inlineStr">
        <is>
          <t>Supreme Court</t>
        </is>
      </c>
      <c r="M679" s="2" t="inlineStr">
        <is>
          <t>AIR 1993 SC 341; AIR 1992 SC 341; (1993) CriLJ 183; (1993) 2 SCC 740 Supp</t>
        </is>
      </c>
      <c r="N679" s="11" t="n">
        <v>1993</v>
      </c>
      <c r="O679" s="11" t="n"/>
      <c r="P679" s="11" t="n"/>
      <c r="Q679" s="11" t="n"/>
      <c r="R679" s="2" t="n"/>
      <c r="S679" s="2" t="n"/>
      <c r="T679" s="11" t="inlineStr"/>
      <c r="U679" s="11" t="inlineStr"/>
      <c r="V679" s="11" t="inlineStr">
        <is>
          <t>outside_list</t>
        </is>
      </c>
      <c r="W679" s="11" t="n"/>
      <c r="X679" s="11" t="n"/>
      <c r="Y679" s="11" t="n"/>
      <c r="Z679" s="11" t="inlineStr">
        <is>
          <t>Mr. Advocate</t>
        </is>
      </c>
      <c r="AA679" s="11" t="inlineStr">
        <is>
          <t>2026-10-07</t>
        </is>
      </c>
      <c r="AB679" s="11" t="inlineStr">
        <is>
          <t>name_year</t>
        </is>
      </c>
      <c r="AC679" s="2" t="inlineStr"/>
      <c r="AD679" s="2" t="inlineStr">
        <is>
          <t>Usmanbhai Dawoodbhai Memon and Others v. State of Gujarat (1988) was overruled by Kartar Singh v. State of Punjab (1993).</t>
        </is>
      </c>
      <c r="AE679" s="2" t="n"/>
      <c r="AF679" s="11" t="inlineStr">
        <is>
          <t>created from list 1</t>
        </is>
      </c>
    </row>
    <row r="680">
      <c r="A680" s="11" t="inlineStr">
        <is>
          <t>L1-0679</t>
        </is>
      </c>
      <c r="B680" s="11" t="inlineStr">
        <is>
          <t>List 1 (to ~2015)</t>
        </is>
      </c>
      <c r="C680" s="11" t="inlineStr">
        <is>
          <t>list1</t>
        </is>
      </c>
      <c r="D680" s="11" t="inlineStr">
        <is>
          <t>verified</t>
        </is>
      </c>
      <c r="E680" s="11" t="inlineStr">
        <is>
          <t>overruled</t>
        </is>
      </c>
      <c r="F680" s="2" t="inlineStr">
        <is>
          <t>State of Tamil Nadu etc. v. Cement Distributors Private Ltd. etc.</t>
        </is>
      </c>
      <c r="G680" s="11" t="inlineStr"/>
      <c r="H680" s="11" t="inlineStr">
        <is>
          <t>Supreme Court</t>
        </is>
      </c>
      <c r="I680" s="2" t="inlineStr">
        <is>
          <t>AIR 1973 SC 668; (1973) 3 SCC 342; (1973) 2 SCR 1019; (1973) 31 STC 309</t>
        </is>
      </c>
      <c r="J680" s="11" t="n">
        <v>1973</v>
      </c>
      <c r="K680" s="2" t="inlineStr">
        <is>
          <t>Vishnu Agencies (Pvt.) Ltd. v. Commercial Tax Officer and Others</t>
        </is>
      </c>
      <c r="L680" s="11" t="inlineStr">
        <is>
          <t>Supreme Court</t>
        </is>
      </c>
      <c r="M680" s="2" t="inlineStr">
        <is>
          <t>AIR 1978 SC 449; AIR 1977 SC 449; (1978) 1 SCC 520; (1978) 2 SCR 433; (1978) 42 STC 31</t>
        </is>
      </c>
      <c r="N680" s="11" t="n">
        <v>1978</v>
      </c>
      <c r="O680" s="11" t="n"/>
      <c r="P680" s="11" t="n"/>
      <c r="Q680" s="11" t="n"/>
      <c r="R680" s="2" t="n"/>
      <c r="S680" s="2" t="n"/>
      <c r="T680" s="11" t="inlineStr"/>
      <c r="U680" s="11" t="inlineStr"/>
      <c r="V680" s="11" t="inlineStr">
        <is>
          <t>outside_list</t>
        </is>
      </c>
      <c r="W680" s="11" t="n"/>
      <c r="X680" s="11" t="n"/>
      <c r="Y680" s="11" t="n"/>
      <c r="Z680" s="11" t="inlineStr">
        <is>
          <t>Mr. Advocate</t>
        </is>
      </c>
      <c r="AA680" s="11" t="inlineStr">
        <is>
          <t>2026-10-07</t>
        </is>
      </c>
      <c r="AB680" s="11" t="inlineStr">
        <is>
          <t>name_year</t>
        </is>
      </c>
      <c r="AC680" s="2" t="inlineStr"/>
      <c r="AD680" s="2" t="inlineStr">
        <is>
          <t>State of Tamil Nadu etc. v. Cement Distributors Private Ltd. etc. (1973) was overruled by Vishnu Agencies (Pvt.) Ltd. v. Commercial Tax Officer and Others (1978).</t>
        </is>
      </c>
      <c r="AE680" s="2" t="n"/>
      <c r="AF680" s="11" t="inlineStr">
        <is>
          <t>created from list 1</t>
        </is>
      </c>
    </row>
    <row r="681">
      <c r="A681" s="11" t="inlineStr">
        <is>
          <t>L1-0680</t>
        </is>
      </c>
      <c r="B681" s="11" t="inlineStr">
        <is>
          <t>List 1 (to ~2015)</t>
        </is>
      </c>
      <c r="C681" s="11" t="inlineStr">
        <is>
          <t>list1</t>
        </is>
      </c>
      <c r="D681" s="11" t="inlineStr">
        <is>
          <t>verified</t>
        </is>
      </c>
      <c r="E681" s="11" t="inlineStr">
        <is>
          <t>overruled</t>
        </is>
      </c>
      <c r="F681" s="2" t="inlineStr">
        <is>
          <t>State of Punjab and Others v. Phulan Rani and Another</t>
        </is>
      </c>
      <c r="G681" s="11" t="inlineStr"/>
      <c r="H681" s="11" t="inlineStr">
        <is>
          <t>Supreme Court</t>
        </is>
      </c>
      <c r="I681" s="2" t="inlineStr">
        <is>
          <t>AIR 2004 SC 4105; (2004) 98 CLT 771; (2004) 102 FLR 1040; (2004) 6 JT 214; (2004) 138 PLR 580; (2004) 6 SCALE 425; (2004) 7 SCC 555; (2004) 1 SCR 303 Supp; (2004) 2 UJ 1420; (2004) AIRSCW 4527; (2004) 5 Supreme 702</t>
        </is>
      </c>
      <c r="J681" s="11" t="n">
        <v>2004</v>
      </c>
      <c r="K681" s="2" t="inlineStr">
        <is>
          <t>State of Punjab and Others v. Mohinderjit Kaur</t>
        </is>
      </c>
      <c r="L681" s="11" t="inlineStr">
        <is>
          <t>Supreme Court</t>
        </is>
      </c>
      <c r="M681" s="2" t="inlineStr">
        <is>
          <t>(2005) 1 ESC 82; (2005) 104 FLR 867; (2005) 1 JT 560; (2005) 140 PLR 59; (2005) 2 SCC 743; (2005) 2 SCR 577; (2005) 1 UJ 438</t>
        </is>
      </c>
      <c r="N681" s="11" t="n">
        <v>2005</v>
      </c>
      <c r="O681" s="11" t="n"/>
      <c r="P681" s="11" t="n"/>
      <c r="Q681" s="11" t="n"/>
      <c r="R681" s="2" t="n"/>
      <c r="S681" s="2" t="n"/>
      <c r="T681" s="11" t="inlineStr"/>
      <c r="U681" s="11" t="inlineStr"/>
      <c r="V681" s="11" t="inlineStr">
        <is>
          <t>outside_list</t>
        </is>
      </c>
      <c r="W681" s="11" t="n"/>
      <c r="X681" s="11" t="n"/>
      <c r="Y681" s="11" t="n"/>
      <c r="Z681" s="11" t="inlineStr">
        <is>
          <t>Mr. Advocate</t>
        </is>
      </c>
      <c r="AA681" s="11" t="inlineStr">
        <is>
          <t>2026-10-07</t>
        </is>
      </c>
      <c r="AB681" s="11" t="inlineStr">
        <is>
          <t>name_year</t>
        </is>
      </c>
      <c r="AC681" s="2" t="inlineStr"/>
      <c r="AD681" s="2" t="inlineStr">
        <is>
          <t>State of Punjab and Others v. Phulan Rani and Another (2004) was overruled by State of Punjab and Others v. Mohinderjit Kaur (2005).</t>
        </is>
      </c>
      <c r="AE681" s="2" t="n"/>
      <c r="AF681" s="11" t="inlineStr">
        <is>
          <t>created from list 1</t>
        </is>
      </c>
    </row>
    <row r="682">
      <c r="A682" s="11" t="inlineStr">
        <is>
          <t>L1-0681</t>
        </is>
      </c>
      <c r="B682" s="11" t="inlineStr">
        <is>
          <t>List 1 (to ~2015)</t>
        </is>
      </c>
      <c r="C682" s="11" t="inlineStr">
        <is>
          <t>list1</t>
        </is>
      </c>
      <c r="D682" s="11" t="inlineStr">
        <is>
          <t>verified</t>
        </is>
      </c>
      <c r="E682" s="11" t="inlineStr">
        <is>
          <t>overruled</t>
        </is>
      </c>
      <c r="F682" s="2" t="inlineStr">
        <is>
          <t>Land Acquisition Officer, Eluru and Others v. Jasti Rohini (Smt) and Another</t>
        </is>
      </c>
      <c r="G682" s="11" t="inlineStr"/>
      <c r="H682" s="11" t="inlineStr">
        <is>
          <t>Supreme Court</t>
        </is>
      </c>
      <c r="I682" s="2" t="inlineStr">
        <is>
          <t>(1995) 2 JT 339; (1994) 5 SCALE 75; (1995) 1 SCC 717; (1994) 5 SCR 232 Supp</t>
        </is>
      </c>
      <c r="J682" s="11" t="n">
        <v>1994</v>
      </c>
      <c r="K682" s="2" t="inlineStr">
        <is>
          <t>State of Orissa v. Brij Lal Misra etc.</t>
        </is>
      </c>
      <c r="L682" s="11" t="inlineStr">
        <is>
          <t>Supreme Court</t>
        </is>
      </c>
      <c r="M682" s="2" t="inlineStr">
        <is>
          <t>AIR 1996 SC 221; AIR 1995 SC 221; (1996) 81 CLT 288; (1995) 4 SCALE 592; (1995) 5 SCC 203; (1995) 2 SCR 354 Supp; (1995) 2 UJ 571</t>
        </is>
      </c>
      <c r="N682" s="11" t="n">
        <v>1996</v>
      </c>
      <c r="O682" s="11" t="n"/>
      <c r="P682" s="11" t="n"/>
      <c r="Q682" s="11" t="n"/>
      <c r="R682" s="2" t="n"/>
      <c r="S682" s="2" t="n"/>
      <c r="T682" s="11" t="inlineStr"/>
      <c r="U682" s="11" t="inlineStr"/>
      <c r="V682" s="11" t="inlineStr">
        <is>
          <t>outside_list</t>
        </is>
      </c>
      <c r="W682" s="11" t="n"/>
      <c r="X682" s="11" t="n"/>
      <c r="Y682" s="11" t="n"/>
      <c r="Z682" s="11" t="inlineStr">
        <is>
          <t>Mr. Advocate</t>
        </is>
      </c>
      <c r="AA682" s="11" t="inlineStr">
        <is>
          <t>2026-10-07</t>
        </is>
      </c>
      <c r="AB682" s="11" t="inlineStr">
        <is>
          <t>name_year</t>
        </is>
      </c>
      <c r="AC682" s="2" t="inlineStr"/>
      <c r="AD682" s="2" t="inlineStr">
        <is>
          <t>Land Acquisition Officer, Eluru and Others v. Jasti Rohini (Smt) and Another (1994) was overruled by State of Orissa v. Brij Lal Misra etc. (1996).</t>
        </is>
      </c>
      <c r="AE682" s="2" t="n"/>
      <c r="AF682" s="11" t="inlineStr">
        <is>
          <t>created from list 1</t>
        </is>
      </c>
    </row>
    <row r="683">
      <c r="A683" s="11" t="inlineStr">
        <is>
          <t>L1-0682</t>
        </is>
      </c>
      <c r="B683" s="11" t="inlineStr">
        <is>
          <t>List 1 (to ~2015)</t>
        </is>
      </c>
      <c r="C683" s="11" t="inlineStr">
        <is>
          <t>list1</t>
        </is>
      </c>
      <c r="D683" s="11" t="inlineStr">
        <is>
          <t>verified</t>
        </is>
      </c>
      <c r="E683" s="11" t="inlineStr">
        <is>
          <t>overruled</t>
        </is>
      </c>
      <c r="F683" s="2" t="inlineStr">
        <is>
          <t>Amrit Lal Chum v. Devoprasad Dutta Roy</t>
        </is>
      </c>
      <c r="G683" s="11" t="inlineStr"/>
      <c r="H683" s="11" t="inlineStr">
        <is>
          <t>Supreme Court</t>
        </is>
      </c>
      <c r="I683" s="2" t="inlineStr">
        <is>
          <t>AIR 1988 SC 733; (1988) 1 CompLJ 167; (1988) 1 JT 218; (1988) 1 LLJ 421; (1988) 1 SCALE 213; (1988) 2 SCC 269; (1988) 2 SCR 783</t>
        </is>
      </c>
      <c r="J683" s="11" t="n">
        <v>1988</v>
      </c>
      <c r="K683" s="2" t="inlineStr">
        <is>
          <t>Smt. Abhilash Vinodkumar Jain v. Cox and Kings (India) Ltd. and others</t>
        </is>
      </c>
      <c r="L683" s="11" t="inlineStr">
        <is>
          <t>Supreme Court</t>
        </is>
      </c>
      <c r="M683" s="2" t="inlineStr">
        <is>
          <t>AIR 1995 SC 1592; (1995) 84 CompCas 28; (1995) 2 Crimes 239; (1995) 3 JT 528; (1996) 3 LLJ 354; (1995) 2 SCALE 323; (1995) 3 SCC 732; (1995) 2 SCR 873; (1995) 1 UJ 809</t>
        </is>
      </c>
      <c r="N683" s="11" t="n">
        <v>1995</v>
      </c>
      <c r="O683" s="11" t="n"/>
      <c r="P683" s="11" t="n"/>
      <c r="Q683" s="11" t="n"/>
      <c r="R683" s="2" t="n"/>
      <c r="S683" s="2" t="n"/>
      <c r="T683" s="11" t="inlineStr"/>
      <c r="U683" s="11" t="inlineStr"/>
      <c r="V683" s="11" t="inlineStr">
        <is>
          <t>outside_list</t>
        </is>
      </c>
      <c r="W683" s="11" t="n"/>
      <c r="X683" s="11" t="n"/>
      <c r="Y683" s="11" t="n"/>
      <c r="Z683" s="11" t="inlineStr">
        <is>
          <t>Mr. Advocate</t>
        </is>
      </c>
      <c r="AA683" s="11" t="inlineStr">
        <is>
          <t>2026-10-07</t>
        </is>
      </c>
      <c r="AB683" s="11" t="inlineStr">
        <is>
          <t>name_year</t>
        </is>
      </c>
      <c r="AC683" s="2" t="inlineStr"/>
      <c r="AD683" s="2" t="inlineStr">
        <is>
          <t>Amrit Lal Chum v. Devoprasad Dutta Roy (1988) was overruled by Smt. Abhilash Vinodkumar Jain v. Cox and Kings (India) Ltd. and others (1995).</t>
        </is>
      </c>
      <c r="AE683" s="2" t="n"/>
      <c r="AF683" s="11" t="inlineStr">
        <is>
          <t>created from list 1</t>
        </is>
      </c>
    </row>
    <row r="684">
      <c r="A684" s="11" t="inlineStr">
        <is>
          <t>L1-0683</t>
        </is>
      </c>
      <c r="B684" s="11" t="inlineStr">
        <is>
          <t>List 1 (to ~2015)</t>
        </is>
      </c>
      <c r="C684" s="11" t="inlineStr">
        <is>
          <t>list1</t>
        </is>
      </c>
      <c r="D684" s="11" t="inlineStr">
        <is>
          <t>verified</t>
        </is>
      </c>
      <c r="E684" s="11" t="inlineStr">
        <is>
          <t>overruled</t>
        </is>
      </c>
      <c r="F684" s="2" t="inlineStr">
        <is>
          <t>Jagdish Lal and others v. State of Haryana and others</t>
        </is>
      </c>
      <c r="G684" s="11" t="inlineStr"/>
      <c r="H684" s="11" t="inlineStr">
        <is>
          <t>Supreme Court</t>
        </is>
      </c>
      <c r="I684" s="2" t="inlineStr">
        <is>
          <t>AIR 1997 SC 2366; (1997) 5 JT 387; (1997) 4 SCALE 202; (1997) 6 SCC 538; (1997) SCC(L&amp;S) 1550; (1997) AIRSCW 2257; (1997) 5 Supreme 1</t>
        </is>
      </c>
      <c r="J684" s="11" t="n">
        <v>1997</v>
      </c>
      <c r="K684" s="2" t="inlineStr">
        <is>
          <t>Kondiba Dagadu Kadam v. Savitribai Sopan Gujar and Others</t>
        </is>
      </c>
      <c r="L684" s="11" t="inlineStr">
        <is>
          <t>Supreme Court</t>
        </is>
      </c>
      <c r="M684" s="2" t="inlineStr">
        <is>
          <t>AIR 1999 SC 2213; (1999) 2 CTC 468; (1999) 3 JT 163; (1999) 2 SCALE 633; (1999) 3 SCC 722; (1999) 2 SCR 728; (1999) 2 UJ 820; (1999) AIRSCW 2240; (1999) 4 Supreme 108</t>
        </is>
      </c>
      <c r="N684" s="11" t="n">
        <v>1999</v>
      </c>
      <c r="O684" s="11" t="n"/>
      <c r="P684" s="11" t="n"/>
      <c r="Q684" s="11" t="n"/>
      <c r="R684" s="2" t="n"/>
      <c r="S684" s="2" t="n"/>
      <c r="T684" s="11" t="inlineStr"/>
      <c r="U684" s="11" t="inlineStr"/>
      <c r="V684" s="11" t="inlineStr">
        <is>
          <t>outside_list</t>
        </is>
      </c>
      <c r="W684" s="11" t="n"/>
      <c r="X684" s="11" t="n"/>
      <c r="Y684" s="11" t="n"/>
      <c r="Z684" s="11" t="inlineStr">
        <is>
          <t>Mr. Advocate</t>
        </is>
      </c>
      <c r="AA684" s="11" t="inlineStr">
        <is>
          <t>2026-10-07</t>
        </is>
      </c>
      <c r="AB684" s="11" t="inlineStr">
        <is>
          <t>name_year</t>
        </is>
      </c>
      <c r="AC684" s="2" t="inlineStr"/>
      <c r="AD684" s="2" t="inlineStr">
        <is>
          <t>Jagdish Lal and others v. State of Haryana and others (1997) was overruled by Kondiba Dagadu Kadam v. Savitribai Sopan Gujar and Others (1999).</t>
        </is>
      </c>
      <c r="AE684" s="2" t="n"/>
      <c r="AF684" s="11" t="inlineStr">
        <is>
          <t>created from list 1</t>
        </is>
      </c>
    </row>
    <row r="685">
      <c r="A685" s="11" t="inlineStr">
        <is>
          <t>L1-0684</t>
        </is>
      </c>
      <c r="B685" s="11" t="inlineStr">
        <is>
          <t>List 1 (to ~2015)</t>
        </is>
      </c>
      <c r="C685" s="11" t="inlineStr">
        <is>
          <t>list1</t>
        </is>
      </c>
      <c r="D685" s="11" t="inlineStr">
        <is>
          <t>verified</t>
        </is>
      </c>
      <c r="E685" s="11" t="inlineStr">
        <is>
          <t>overruled</t>
        </is>
      </c>
      <c r="F685" s="2" t="inlineStr">
        <is>
          <t>Jaisingh Morarji and Others v. Sovani Pvt. Ltd. and Others</t>
        </is>
      </c>
      <c r="G685" s="11" t="inlineStr"/>
      <c r="H685" s="11" t="inlineStr">
        <is>
          <t>Supreme Court</t>
        </is>
      </c>
      <c r="I685" s="2" t="inlineStr">
        <is>
          <t>AIR 1973 SC 772; (1973) 1 SCC 197; (1973) 2 SCR 603; (1973) 5 UJ 473</t>
        </is>
      </c>
      <c r="J685" s="11" t="n">
        <v>1973</v>
      </c>
      <c r="K685" s="2" t="inlineStr">
        <is>
          <t>Kalyanji Gangadhar Bhagat v. Virji Bharmal and Another</t>
        </is>
      </c>
      <c r="L685" s="11" t="inlineStr">
        <is>
          <t>Supreme Court</t>
        </is>
      </c>
      <c r="M685" s="2" t="inlineStr">
        <is>
          <t>(1995) 3 SCC 725</t>
        </is>
      </c>
      <c r="N685" s="11" t="n">
        <v>1995</v>
      </c>
      <c r="O685" s="11" t="n"/>
      <c r="P685" s="11" t="n"/>
      <c r="Q685" s="11" t="n"/>
      <c r="R685" s="2" t="n"/>
      <c r="S685" s="2" t="n"/>
      <c r="T685" s="11" t="inlineStr"/>
      <c r="U685" s="11" t="inlineStr"/>
      <c r="V685" s="11" t="inlineStr">
        <is>
          <t>outside_list</t>
        </is>
      </c>
      <c r="W685" s="11" t="n"/>
      <c r="X685" s="11" t="n"/>
      <c r="Y685" s="11" t="n"/>
      <c r="Z685" s="11" t="inlineStr">
        <is>
          <t>Mr. Advocate</t>
        </is>
      </c>
      <c r="AA685" s="11" t="inlineStr">
        <is>
          <t>2026-10-07</t>
        </is>
      </c>
      <c r="AB685" s="11" t="inlineStr">
        <is>
          <t>name_year</t>
        </is>
      </c>
      <c r="AC685" s="2" t="inlineStr"/>
      <c r="AD685" s="2" t="inlineStr">
        <is>
          <t>Jaisingh Morarji and Others v. Sovani Pvt. Ltd. and Others (1973) was overruled by Kalyanji Gangadhar Bhagat v. Virji Bharmal and Another (1995).</t>
        </is>
      </c>
      <c r="AE685" s="2" t="n"/>
      <c r="AF685" s="11" t="inlineStr">
        <is>
          <t>created from list 1</t>
        </is>
      </c>
    </row>
    <row r="686">
      <c r="A686" s="11" t="inlineStr">
        <is>
          <t>L1-0685</t>
        </is>
      </c>
      <c r="B686" s="11" t="inlineStr">
        <is>
          <t>List 1 (to ~2015)</t>
        </is>
      </c>
      <c r="C686" s="11" t="inlineStr">
        <is>
          <t>list1</t>
        </is>
      </c>
      <c r="D686" s="11" t="inlineStr">
        <is>
          <t>verified</t>
        </is>
      </c>
      <c r="E686" s="11" t="inlineStr">
        <is>
          <t>overruled</t>
        </is>
      </c>
      <c r="F686" s="2" t="inlineStr">
        <is>
          <t>Union of India and Others v. Filip Tiago De Gama of Vedem Vasco De Gama</t>
        </is>
      </c>
      <c r="G686" s="11" t="inlineStr"/>
      <c r="H686" s="11" t="inlineStr">
        <is>
          <t>Supreme Court</t>
        </is>
      </c>
      <c r="I686" s="2" t="inlineStr">
        <is>
          <t>(1989) 4 JT 529; (1989) 2 SCALE 1226; (1990) 1 SCC 277; (1989) 2 SCR 336 Supp; (1990) 1 UJ 292</t>
        </is>
      </c>
      <c r="J686" s="11" t="n">
        <v>1989</v>
      </c>
      <c r="K686" s="2" t="inlineStr">
        <is>
          <t>K.S. Paripoornan v. State of Kerala and Others</t>
        </is>
      </c>
      <c r="L686" s="11" t="inlineStr">
        <is>
          <t>Supreme Court</t>
        </is>
      </c>
      <c r="M686" s="2" t="inlineStr">
        <is>
          <t>AIR 1995 SC 1012; (1994) 6 JT 182; (1994) 4 SCALE 192; (1994) 5 SCC 593; (1994) 3 SCR 405 Supp</t>
        </is>
      </c>
      <c r="N686" s="11" t="n">
        <v>1995</v>
      </c>
      <c r="O686" s="11" t="n"/>
      <c r="P686" s="11" t="n"/>
      <c r="Q686" s="11" t="n"/>
      <c r="R686" s="2" t="n"/>
      <c r="S686" s="2" t="n"/>
      <c r="T686" s="11" t="inlineStr"/>
      <c r="U686" s="11" t="inlineStr"/>
      <c r="V686" s="11" t="inlineStr">
        <is>
          <t>outside_list</t>
        </is>
      </c>
      <c r="W686" s="11" t="n"/>
      <c r="X686" s="11" t="n"/>
      <c r="Y686" s="11" t="n"/>
      <c r="Z686" s="11" t="inlineStr">
        <is>
          <t>Mr. Advocate</t>
        </is>
      </c>
      <c r="AA686" s="11" t="inlineStr">
        <is>
          <t>2026-10-07</t>
        </is>
      </c>
      <c r="AB686" s="11" t="inlineStr">
        <is>
          <t>name_year</t>
        </is>
      </c>
      <c r="AC686" s="2" t="inlineStr"/>
      <c r="AD686" s="2" t="inlineStr">
        <is>
          <t>Union of India and Others v. Filip Tiago De Gama of Vedem Vasco De Gama (1989) was overruled by K.S. Paripoornan v. State of Kerala and Others (1995).</t>
        </is>
      </c>
      <c r="AE686" s="2" t="n"/>
      <c r="AF686" s="11" t="inlineStr">
        <is>
          <t>created from list 1</t>
        </is>
      </c>
    </row>
    <row r="687">
      <c r="A687" s="11" t="inlineStr">
        <is>
          <t>L1-0686</t>
        </is>
      </c>
      <c r="B687" s="11" t="inlineStr">
        <is>
          <t>List 1 (to ~2015)</t>
        </is>
      </c>
      <c r="C687" s="11" t="inlineStr">
        <is>
          <t>list1</t>
        </is>
      </c>
      <c r="D687" s="11" t="inlineStr">
        <is>
          <t>verified</t>
        </is>
      </c>
      <c r="E687" s="11" t="inlineStr">
        <is>
          <t>overruled</t>
        </is>
      </c>
      <c r="F687" s="2" t="inlineStr">
        <is>
          <t>K. Bhaskaran v. Sankaran Vaidhyan Balan and Another</t>
        </is>
      </c>
      <c r="G687" s="11" t="inlineStr"/>
      <c r="H687" s="11" t="inlineStr">
        <is>
          <t>Supreme Court</t>
        </is>
      </c>
      <c r="I687" s="2" t="inlineStr">
        <is>
          <t>AIR 1999 SC 3762; (2005) 3 BC 158; (2000) 99 CompCas 268; (1999) CriLJ 4606; (1999) 3 Crimes 212; (1999) 3 CTC 358; (1999) 7 JT 558; (2000) 124 PLR 113; (1999) 6 SCALE 272; (1999) 7 SCC 510; (1999) 3 SCR 271 Supp; (1999) 2 UJ 1529; (1999) AIRSCW 3809; (1999) 8 Supreme 608</t>
        </is>
      </c>
      <c r="J687" s="11" t="n">
        <v>1999</v>
      </c>
      <c r="K687" s="2" t="inlineStr">
        <is>
          <t>Dashrath Rupsingh Rathod v. State of Maharashtra</t>
        </is>
      </c>
      <c r="L687" s="11" t="inlineStr">
        <is>
          <t>unknown</t>
        </is>
      </c>
      <c r="M687" s="2" t="inlineStr">
        <is>
          <t>(2014) AIRSCW 4798; (2014) 3 BC 513; (2014) 9 SCALE 97; (2014) 9 SCC 129</t>
        </is>
      </c>
      <c r="N687" s="11" t="n">
        <v>2014</v>
      </c>
      <c r="O687" s="11" t="n"/>
      <c r="P687" s="11" t="n"/>
      <c r="Q687" s="11" t="n"/>
      <c r="R687" s="2" t="n"/>
      <c r="S687" s="2" t="n"/>
      <c r="T687" s="11" t="inlineStr"/>
      <c r="U687" s="11" t="inlineStr"/>
      <c r="V687" s="11" t="inlineStr">
        <is>
          <t>outside_list</t>
        </is>
      </c>
      <c r="W687" s="11" t="n"/>
      <c r="X687" s="11" t="n"/>
      <c r="Y687" s="11" t="n"/>
      <c r="Z687" s="11" t="inlineStr">
        <is>
          <t>Mr. Advocate</t>
        </is>
      </c>
      <c r="AA687" s="11" t="inlineStr">
        <is>
          <t>2026-10-07</t>
        </is>
      </c>
      <c r="AB687" s="11" t="inlineStr">
        <is>
          <t>name_year</t>
        </is>
      </c>
      <c r="AC687" s="2" t="inlineStr"/>
      <c r="AD687" s="2" t="inlineStr">
        <is>
          <t>K. Bhaskaran v. Sankaran Vaidhyan Balan and Another (1999) was overruled by Dashrath Rupsingh Rathod v. State of Maharashtra (2014).</t>
        </is>
      </c>
      <c r="AE687" s="2" t="n"/>
      <c r="AF687" s="11" t="inlineStr">
        <is>
          <t>created from list 1</t>
        </is>
      </c>
    </row>
    <row r="688">
      <c r="A688" s="11" t="inlineStr">
        <is>
          <t>L1-0687</t>
        </is>
      </c>
      <c r="B688" s="11" t="inlineStr">
        <is>
          <t>List 1 (to ~2015)</t>
        </is>
      </c>
      <c r="C688" s="11" t="inlineStr">
        <is>
          <t>list1</t>
        </is>
      </c>
      <c r="D688" s="11" t="inlineStr">
        <is>
          <t>verified</t>
        </is>
      </c>
      <c r="E688" s="11" t="inlineStr">
        <is>
          <t>overruled</t>
        </is>
      </c>
      <c r="F688" s="2" t="inlineStr">
        <is>
          <t>Ramjilal and others v. Ghisa Ram</t>
        </is>
      </c>
      <c r="G688" s="11" t="inlineStr"/>
      <c r="H688" s="11" t="inlineStr">
        <is>
          <t>Supreme Court</t>
        </is>
      </c>
      <c r="I688" s="2" t="inlineStr">
        <is>
          <t>(1996) 3 AD 45; AIR 1996 SC 3338; (1996) 2 JT 649(1); (1996) 2 SCALE 401; (1996) 7 SCC 507; (1996) 1 SCR 974; (1996) 1 UJ 725</t>
        </is>
      </c>
      <c r="J688" s="11" t="n">
        <v>1996</v>
      </c>
      <c r="K688" s="2" t="inlineStr">
        <is>
          <t>Shyam Sunder and Another v. Ram Kumar and Another</t>
        </is>
      </c>
      <c r="L688" s="11" t="inlineStr">
        <is>
          <t>Supreme Court</t>
        </is>
      </c>
      <c r="M688" s="2" t="inlineStr">
        <is>
          <t>AIR 2001 SC 2472; (2001) 6 JT 94; (2001) 4 SCALE 710; (2001) 8 SCC 24; (2001) AIRSCW 2768; (2001) 5 Supreme 492</t>
        </is>
      </c>
      <c r="N688" s="11" t="n">
        <v>2001</v>
      </c>
      <c r="O688" s="11" t="n"/>
      <c r="P688" s="11" t="n"/>
      <c r="Q688" s="11" t="n"/>
      <c r="R688" s="2" t="n"/>
      <c r="S688" s="2" t="n"/>
      <c r="T688" s="11" t="inlineStr"/>
      <c r="U688" s="11" t="inlineStr"/>
      <c r="V688" s="11" t="inlineStr">
        <is>
          <t>outside_list</t>
        </is>
      </c>
      <c r="W688" s="11" t="n"/>
      <c r="X688" s="11" t="n"/>
      <c r="Y688" s="11" t="n"/>
      <c r="Z688" s="11" t="inlineStr">
        <is>
          <t>Mr. Advocate</t>
        </is>
      </c>
      <c r="AA688" s="11" t="inlineStr">
        <is>
          <t>2026-10-07</t>
        </is>
      </c>
      <c r="AB688" s="11" t="inlineStr">
        <is>
          <t>name_year</t>
        </is>
      </c>
      <c r="AC688" s="2" t="inlineStr"/>
      <c r="AD688" s="2" t="inlineStr">
        <is>
          <t>Ramjilal and others v. Ghisa Ram (1996) was overruled by Shyam Sunder and Another v. Ram Kumar and Another (2001).</t>
        </is>
      </c>
      <c r="AE688" s="2" t="n"/>
      <c r="AF688" s="11" t="inlineStr">
        <is>
          <t>created from list 1</t>
        </is>
      </c>
    </row>
    <row r="689">
      <c r="A689" s="11" t="inlineStr">
        <is>
          <t>L1-0688</t>
        </is>
      </c>
      <c r="B689" s="11" t="inlineStr">
        <is>
          <t>List 1 (to ~2015)</t>
        </is>
      </c>
      <c r="C689" s="11" t="inlineStr">
        <is>
          <t>list1</t>
        </is>
      </c>
      <c r="D689" s="11" t="inlineStr">
        <is>
          <t>verified</t>
        </is>
      </c>
      <c r="E689" s="11" t="inlineStr">
        <is>
          <t>overruled</t>
        </is>
      </c>
      <c r="F689" s="2" t="inlineStr">
        <is>
          <t>Raj Deo Sharma v. The State of Bihar</t>
        </is>
      </c>
      <c r="G689" s="11" t="inlineStr"/>
      <c r="H689" s="11" t="inlineStr">
        <is>
          <t>Supreme Court</t>
        </is>
      </c>
      <c r="I689" s="2" t="inlineStr">
        <is>
          <t>(1998) 7 AD 401; AIR 1998 SC 3281; (1998) CriLJ 4596; (1998) 4 Crimes 53; (1998) 7 JT 1; (1998) 5 SCALE 477; (1998) 7 SCC 507; (1998) 2 SCR 130 Supp; (1999) 1 UJ 136; (1998) AIRSCW 3208; (1999) AIRSCW 2310; (1998) 7 Supreme 556</t>
        </is>
      </c>
      <c r="J689" s="11" t="n">
        <v>1998</v>
      </c>
      <c r="K689" s="2" t="inlineStr">
        <is>
          <t>P. Ramachandra Rao v. State of Karnataka</t>
        </is>
      </c>
      <c r="L689" s="11" t="inlineStr">
        <is>
          <t>Supreme Court</t>
        </is>
      </c>
      <c r="M689" s="2" t="inlineStr">
        <is>
          <t>AIR 2002 SC 1856; (2002) CriLJ 2547; (2002) 2 Crimes 200; (2002) 4 JT 92; (2001) 4 SCALE 226; (2002) 4 SCC 578; (2002) 3 SCR 68; (2002) AIRSCW 1841; (2002) 3 Supreme 260</t>
        </is>
      </c>
      <c r="N689" s="11" t="n">
        <v>2002</v>
      </c>
      <c r="O689" s="11" t="n"/>
      <c r="P689" s="11" t="n"/>
      <c r="Q689" s="11" t="n"/>
      <c r="R689" s="2" t="n"/>
      <c r="S689" s="2" t="n"/>
      <c r="T689" s="11" t="inlineStr"/>
      <c r="U689" s="11" t="inlineStr"/>
      <c r="V689" s="11" t="inlineStr">
        <is>
          <t>outside_list</t>
        </is>
      </c>
      <c r="W689" s="11" t="n"/>
      <c r="X689" s="11" t="n"/>
      <c r="Y689" s="11" t="n"/>
      <c r="Z689" s="11" t="inlineStr">
        <is>
          <t>Mr. Advocate</t>
        </is>
      </c>
      <c r="AA689" s="11" t="inlineStr">
        <is>
          <t>2026-10-07</t>
        </is>
      </c>
      <c r="AB689" s="11" t="inlineStr">
        <is>
          <t>name_year</t>
        </is>
      </c>
      <c r="AC689" s="2" t="inlineStr"/>
      <c r="AD689" s="2" t="inlineStr">
        <is>
          <t>Raj Deo Sharma v. The State of Bihar (1998) was overruled by P. Ramachandra Rao v. State of Karnataka (2002).</t>
        </is>
      </c>
      <c r="AE689" s="2" t="n"/>
      <c r="AF689" s="11" t="inlineStr">
        <is>
          <t>created from list 1</t>
        </is>
      </c>
    </row>
    <row r="690">
      <c r="A690" s="11" t="inlineStr">
        <is>
          <t>L1-0689</t>
        </is>
      </c>
      <c r="B690" s="11" t="inlineStr">
        <is>
          <t>List 1 (to ~2015)</t>
        </is>
      </c>
      <c r="C690" s="11" t="inlineStr">
        <is>
          <t>list1</t>
        </is>
      </c>
      <c r="D690" s="11" t="inlineStr">
        <is>
          <t>verified</t>
        </is>
      </c>
      <c r="E690" s="11" t="inlineStr">
        <is>
          <t>overruled</t>
        </is>
      </c>
      <c r="F690" s="2" t="inlineStr">
        <is>
          <t>Indian Airlines Corporation v. Sukhdeo Rai</t>
        </is>
      </c>
      <c r="G690" s="11" t="inlineStr"/>
      <c r="H690" s="11" t="inlineStr">
        <is>
          <t>Supreme Court</t>
        </is>
      </c>
      <c r="I690" s="2" t="inlineStr">
        <is>
          <t>AIR 1971 SC 1828; (1971) 1 LLJ 496; (1971) 2 SCC 192; (1971) SCR 510 Supp</t>
        </is>
      </c>
      <c r="J690" s="11" t="n">
        <v>1971</v>
      </c>
      <c r="K690" s="2" t="inlineStr">
        <is>
          <t>Sukhdev Singh, Oil and Natural Gas Commission, Life Insurance Corporation, Industrial Finance Corporation Employees Associations v. Bhagat Ram, Association of Clause II. Officers, Shyam Lal, Industrial Finance Corporation</t>
        </is>
      </c>
      <c r="L690" s="11" t="inlineStr">
        <is>
          <t>Supreme Court</t>
        </is>
      </c>
      <c r="M690" s="2" t="inlineStr">
        <is>
          <t>AIR 1975 SC 1331; (1975) 30 FLR 283; (1975) LabIC 881; (1975) 1 LLJ 399; (1975) 1 SCC 421; (1975) 3 SCR 619</t>
        </is>
      </c>
      <c r="N690" s="11" t="n">
        <v>1975</v>
      </c>
      <c r="O690" s="11" t="n"/>
      <c r="P690" s="11" t="n"/>
      <c r="Q690" s="11" t="n"/>
      <c r="R690" s="2" t="n"/>
      <c r="S690" s="2" t="n"/>
      <c r="T690" s="11" t="inlineStr"/>
      <c r="U690" s="11" t="inlineStr"/>
      <c r="V690" s="11" t="inlineStr">
        <is>
          <t>outside_list</t>
        </is>
      </c>
      <c r="W690" s="11" t="n"/>
      <c r="X690" s="11" t="n"/>
      <c r="Y690" s="11" t="n"/>
      <c r="Z690" s="11" t="inlineStr">
        <is>
          <t>Mr. Advocate</t>
        </is>
      </c>
      <c r="AA690" s="11" t="inlineStr">
        <is>
          <t>2026-10-07</t>
        </is>
      </c>
      <c r="AB690" s="11" t="inlineStr">
        <is>
          <t>name_year</t>
        </is>
      </c>
      <c r="AC690" s="2" t="inlineStr"/>
      <c r="AD690" s="2" t="inlineStr">
        <is>
          <t>Indian Airlines Corporation v. Sukhdeo Rai (1971) was overruled by Sukhdev Singh, Oil and Natural Gas Commission, Life Insurance Corporation, Industrial Finance Corporation Employees Associations v. Bhagat Ram, Association of Clause II. Officers, Shyam Lal, Industrial Finance Corporation (1975).</t>
        </is>
      </c>
      <c r="AE690" s="2" t="n"/>
      <c r="AF690" s="11" t="inlineStr">
        <is>
          <t>created from list 1</t>
        </is>
      </c>
    </row>
    <row r="691">
      <c r="A691" s="11" t="inlineStr">
        <is>
          <t>L1-0690</t>
        </is>
      </c>
      <c r="B691" s="11" t="inlineStr">
        <is>
          <t>List 1 (to ~2015)</t>
        </is>
      </c>
      <c r="C691" s="11" t="inlineStr">
        <is>
          <t>list1</t>
        </is>
      </c>
      <c r="D691" s="11" t="inlineStr">
        <is>
          <t>verified</t>
        </is>
      </c>
      <c r="E691" s="11" t="inlineStr">
        <is>
          <t>overruled</t>
        </is>
      </c>
      <c r="F691" s="2" t="inlineStr">
        <is>
          <t>P.K. Dixit and Others v. State of U.P. and Others</t>
        </is>
      </c>
      <c r="G691" s="11" t="inlineStr"/>
      <c r="H691" s="11" t="inlineStr">
        <is>
          <t>Supreme Court</t>
        </is>
      </c>
      <c r="I691" s="2" t="inlineStr">
        <is>
          <t>AIR 1988 SC 260; (1987) 4 JT 55; (1988) LabIC 371; (1987) 2 SCALE 706; (1987) 4 SCC 621; (1988) 1 SCR 398</t>
        </is>
      </c>
      <c r="J691" s="11" t="n">
        <v>1988</v>
      </c>
      <c r="K691" s="2" t="inlineStr">
        <is>
          <t>O.P. Garg and others, v. State U.P. and others</t>
        </is>
      </c>
      <c r="L691" s="11" t="inlineStr">
        <is>
          <t>Supreme Court</t>
        </is>
      </c>
      <c r="M691" s="2" t="inlineStr">
        <is>
          <t>AIR 1991 SC 1202; (1991) 63 FLR 89; (1991) 2 JT 359; (1991) 1 SCALE 768; (1991) 2 SCC 51 Supp; (1991) 2 SCR 424; (1991) 3 SLJ 61; (1991) 2 UJ 571</t>
        </is>
      </c>
      <c r="N691" s="11" t="n">
        <v>1991</v>
      </c>
      <c r="O691" s="11" t="n"/>
      <c r="P691" s="11" t="n"/>
      <c r="Q691" s="11" t="n"/>
      <c r="R691" s="2" t="n"/>
      <c r="S691" s="2" t="n"/>
      <c r="T691" s="11" t="inlineStr"/>
      <c r="U691" s="11" t="inlineStr"/>
      <c r="V691" s="11" t="inlineStr">
        <is>
          <t>outside_list</t>
        </is>
      </c>
      <c r="W691" s="11" t="n"/>
      <c r="X691" s="11" t="n"/>
      <c r="Y691" s="11" t="n"/>
      <c r="Z691" s="11" t="inlineStr">
        <is>
          <t>Mr. Advocate</t>
        </is>
      </c>
      <c r="AA691" s="11" t="inlineStr">
        <is>
          <t>2026-10-07</t>
        </is>
      </c>
      <c r="AB691" s="11" t="inlineStr">
        <is>
          <t>name_year</t>
        </is>
      </c>
      <c r="AC691" s="2" t="inlineStr"/>
      <c r="AD691" s="2" t="inlineStr">
        <is>
          <t>P.K. Dixit and Others v. State of U.P. and Others (1988) was overruled by O.P. Garg and others, v. State U.P. and others (1991).</t>
        </is>
      </c>
      <c r="AE691" s="2" t="n"/>
      <c r="AF691" s="11" t="inlineStr">
        <is>
          <t>created from list 1</t>
        </is>
      </c>
    </row>
    <row r="692">
      <c r="A692" s="11" t="inlineStr">
        <is>
          <t>L1-0691</t>
        </is>
      </c>
      <c r="B692" s="11" t="inlineStr">
        <is>
          <t>List 1 (to ~2015)</t>
        </is>
      </c>
      <c r="C692" s="11" t="inlineStr">
        <is>
          <t>list1</t>
        </is>
      </c>
      <c r="D692" s="11" t="inlineStr">
        <is>
          <t>verified</t>
        </is>
      </c>
      <c r="E692" s="11" t="inlineStr">
        <is>
          <t>overruled</t>
        </is>
      </c>
      <c r="F692" s="2" t="inlineStr">
        <is>
          <t>The Government of India, Ministry of Home Affairs and Others v. Tarak Nath Ghosh</t>
        </is>
      </c>
      <c r="G692" s="11" t="inlineStr"/>
      <c r="H692" s="11" t="inlineStr">
        <is>
          <t>Supreme Court</t>
        </is>
      </c>
      <c r="I692" s="2" t="inlineStr">
        <is>
          <t>AIR 1971 SC 823; (1971) LabIC 487; (1971) 1 LLJ 299; (1971) 1 SCC 734; (1971) 3 SCR 715</t>
        </is>
      </c>
      <c r="J692" s="11" t="n">
        <v>1971</v>
      </c>
      <c r="K692" s="2" t="inlineStr">
        <is>
          <t>State of Orissa v. Bimal Kumar Mohanty</t>
        </is>
      </c>
      <c r="L692" s="11" t="inlineStr">
        <is>
          <t>Supreme Court</t>
        </is>
      </c>
      <c r="M692" s="2" t="inlineStr">
        <is>
          <t>AIR 1994 SC 2296; (1994) 68 FLR 970; (1994) 2 JT 51; (1995) 1 LLJ 568; (1994) 1 SCALE 685; (1994) 4 SCC 126; (1994) 2 SCR 51; (1994) 2 SLJ 72; (1994) 1 UJ 665</t>
        </is>
      </c>
      <c r="N692" s="11" t="n">
        <v>1994</v>
      </c>
      <c r="O692" s="11" t="n"/>
      <c r="P692" s="11" t="n"/>
      <c r="Q692" s="11" t="n"/>
      <c r="R692" s="2" t="n"/>
      <c r="S692" s="2" t="n"/>
      <c r="T692" s="11" t="inlineStr"/>
      <c r="U692" s="11" t="inlineStr"/>
      <c r="V692" s="11" t="inlineStr">
        <is>
          <t>outside_list</t>
        </is>
      </c>
      <c r="W692" s="11" t="n"/>
      <c r="X692" s="11" t="n"/>
      <c r="Y692" s="11" t="n"/>
      <c r="Z692" s="11" t="inlineStr">
        <is>
          <t>Mr. Advocate</t>
        </is>
      </c>
      <c r="AA692" s="11" t="inlineStr">
        <is>
          <t>2026-10-07</t>
        </is>
      </c>
      <c r="AB692" s="11" t="inlineStr">
        <is>
          <t>name_year</t>
        </is>
      </c>
      <c r="AC692" s="2" t="inlineStr"/>
      <c r="AD692" s="2" t="inlineStr">
        <is>
          <t>The Government of India, Ministry of Home Affairs and Others v. Tarak Nath Ghosh (1971) was overruled by State of Orissa v. Bimal Kumar Mohanty (1994).</t>
        </is>
      </c>
      <c r="AE692" s="2" t="n"/>
      <c r="AF692" s="11" t="inlineStr">
        <is>
          <t>created from list 1</t>
        </is>
      </c>
    </row>
    <row r="693">
      <c r="A693" s="11" t="inlineStr">
        <is>
          <t>L1-0692</t>
        </is>
      </c>
      <c r="B693" s="11" t="inlineStr">
        <is>
          <t>List 1 (to ~2015)</t>
        </is>
      </c>
      <c r="C693" s="11" t="inlineStr">
        <is>
          <t>list1</t>
        </is>
      </c>
      <c r="D693" s="11" t="inlineStr">
        <is>
          <t>verified</t>
        </is>
      </c>
      <c r="E693" s="11" t="inlineStr">
        <is>
          <t>overruled</t>
        </is>
      </c>
      <c r="F693" s="2" t="inlineStr">
        <is>
          <t>State of U.P. and Others v. Dr. R.K. Tandon and Others</t>
        </is>
      </c>
      <c r="G693" s="11" t="inlineStr"/>
      <c r="H693" s="11" t="inlineStr">
        <is>
          <t>Supreme Court</t>
        </is>
      </c>
      <c r="I693" s="2" t="inlineStr">
        <is>
          <t>(1995) 71 FLR 961; (1997) 10 JT 455; (1995) 2 SCALE 736; (1995) 3 SCC 616; (1995) 2 UJ 272</t>
        </is>
      </c>
      <c r="J693" s="11" t="n">
        <v>1995</v>
      </c>
      <c r="K693" s="2" t="inlineStr">
        <is>
          <t>Dr. Chandra Prakash and Others v. State of U.P. and Another</t>
        </is>
      </c>
      <c r="L693" s="11" t="inlineStr">
        <is>
          <t>Supreme Court</t>
        </is>
      </c>
      <c r="M693" s="2" t="inlineStr">
        <is>
          <t>AIR 2003 SC 588; (2002) 4 SCC 246; (2003) SCC(L&amp;S) 808; (2002) 2 SCR 913; (2012) AIRSCW 1219; (2002) 8 Supreme 577</t>
        </is>
      </c>
      <c r="N693" s="11" t="n">
        <v>2003</v>
      </c>
      <c r="O693" s="11" t="n"/>
      <c r="P693" s="11" t="n"/>
      <c r="Q693" s="11" t="n"/>
      <c r="R693" s="2" t="n"/>
      <c r="S693" s="2" t="n"/>
      <c r="T693" s="11" t="inlineStr"/>
      <c r="U693" s="11" t="inlineStr"/>
      <c r="V693" s="11" t="inlineStr">
        <is>
          <t>outside_list</t>
        </is>
      </c>
      <c r="W693" s="11" t="n"/>
      <c r="X693" s="11" t="n"/>
      <c r="Y693" s="11" t="n"/>
      <c r="Z693" s="11" t="inlineStr">
        <is>
          <t>Mr. Advocate</t>
        </is>
      </c>
      <c r="AA693" s="11" t="inlineStr">
        <is>
          <t>2026-10-07</t>
        </is>
      </c>
      <c r="AB693" s="11" t="inlineStr">
        <is>
          <t>name_year</t>
        </is>
      </c>
      <c r="AC693" s="2" t="inlineStr"/>
      <c r="AD693" s="2" t="inlineStr">
        <is>
          <t>State of U.P. and Others v. Dr. R.K. Tandon and Others (1995) was overruled by Dr. Chandra Prakash and Others v. State of U.P. and Another (2003).</t>
        </is>
      </c>
      <c r="AE693" s="2" t="n"/>
      <c r="AF693" s="11" t="inlineStr">
        <is>
          <t>created from list 1</t>
        </is>
      </c>
    </row>
    <row r="694">
      <c r="A694" s="11" t="inlineStr">
        <is>
          <t>L1-0693</t>
        </is>
      </c>
      <c r="B694" s="11" t="inlineStr">
        <is>
          <t>List 1 (to ~2015)</t>
        </is>
      </c>
      <c r="C694" s="11" t="inlineStr">
        <is>
          <t>list1</t>
        </is>
      </c>
      <c r="D694" s="11" t="inlineStr">
        <is>
          <t>verified</t>
        </is>
      </c>
      <c r="E694" s="11" t="inlineStr">
        <is>
          <t>overruled</t>
        </is>
      </c>
      <c r="F694" s="2" t="inlineStr">
        <is>
          <t>Meharban and others etc. etc. v. State of U.P. and others</t>
        </is>
      </c>
      <c r="G694" s="11" t="inlineStr"/>
      <c r="H694" s="11" t="inlineStr">
        <is>
          <t>Supreme Court</t>
        </is>
      </c>
      <c r="I694" s="2" t="inlineStr">
        <is>
          <t>AIR 1997 SC 2664; (1997) 5 JT 645; (1997) 4 SCALE 363; (1997) 6 SCC 54; (1997) 3 SCR 1149; (1997) AIRSCW 2628; (1997) 6 Supreme 96</t>
        </is>
      </c>
      <c r="J694" s="11" t="n">
        <v>1997</v>
      </c>
      <c r="K694" s="2" t="inlineStr">
        <is>
          <t>Cement Corporation of India Ltd. v. Purya and Others</t>
        </is>
      </c>
      <c r="L694" s="11" t="inlineStr">
        <is>
          <t>unknown</t>
        </is>
      </c>
      <c r="M694" s="2" t="inlineStr">
        <is>
          <t>(2004) 8 JT 327; (2004) 8 SCALE 558; (2004) 8 SCC 270; (2004) AIRSCW 5534; (2004) 7 Supreme 711</t>
        </is>
      </c>
      <c r="N694" s="11" t="n">
        <v>2004</v>
      </c>
      <c r="O694" s="11" t="n"/>
      <c r="P694" s="11" t="n"/>
      <c r="Q694" s="11" t="n"/>
      <c r="R694" s="2" t="n"/>
      <c r="S694" s="2" t="n"/>
      <c r="T694" s="11" t="inlineStr"/>
      <c r="U694" s="11" t="inlineStr"/>
      <c r="V694" s="11" t="inlineStr">
        <is>
          <t>outside_list</t>
        </is>
      </c>
      <c r="W694" s="11" t="n"/>
      <c r="X694" s="11" t="n"/>
      <c r="Y694" s="11" t="n"/>
      <c r="Z694" s="11" t="inlineStr">
        <is>
          <t>Mr. Advocate</t>
        </is>
      </c>
      <c r="AA694" s="11" t="inlineStr">
        <is>
          <t>2026-10-07</t>
        </is>
      </c>
      <c r="AB694" s="11" t="inlineStr">
        <is>
          <t>citation</t>
        </is>
      </c>
      <c r="AC694" s="2" t="inlineStr"/>
      <c r="AD694" s="2" t="inlineStr">
        <is>
          <t>Meharban and others etc. etc. v. State of U.P. and others (1997) was overruled by Cement Corporation of India Ltd. v. Purya and Others (2004).</t>
        </is>
      </c>
      <c r="AE694" s="2" t="n"/>
      <c r="AF694" s="11" t="inlineStr">
        <is>
          <t>created from list 1</t>
        </is>
      </c>
    </row>
    <row r="695">
      <c r="A695" s="11" t="inlineStr">
        <is>
          <t>L1-0694</t>
        </is>
      </c>
      <c r="B695" s="11" t="inlineStr">
        <is>
          <t>List 1 (to ~2015)</t>
        </is>
      </c>
      <c r="C695" s="11" t="inlineStr">
        <is>
          <t>list1</t>
        </is>
      </c>
      <c r="D695" s="11" t="inlineStr">
        <is>
          <t>verified</t>
        </is>
      </c>
      <c r="E695" s="11" t="inlineStr">
        <is>
          <t>overruled</t>
        </is>
      </c>
      <c r="F695" s="2" t="inlineStr">
        <is>
          <t>Kummari Veeraiah and Others v. State of A.P.</t>
        </is>
      </c>
      <c r="G695" s="11" t="inlineStr"/>
      <c r="H695" s="11" t="inlineStr">
        <is>
          <t>Supreme Court</t>
        </is>
      </c>
      <c r="I695" s="2" t="inlineStr">
        <is>
          <t>(1995) 2 SCALE 278; (1995) 4 SCC 136; (1995) 2 SCR 379; (1995) 1 UJ 737</t>
        </is>
      </c>
      <c r="J695" s="11" t="n">
        <v>1995</v>
      </c>
      <c r="K695" s="2" t="inlineStr">
        <is>
          <t>Cement Corporation of India Ltd. v. Purya and Others</t>
        </is>
      </c>
      <c r="L695" s="11" t="inlineStr">
        <is>
          <t>unknown</t>
        </is>
      </c>
      <c r="M695" s="2" t="inlineStr">
        <is>
          <t>(2004) 8 JT 327; (2004) 8 SCALE 558; (2004) 8 SCC 270; (2004) AIRSCW 5534; (2004) 7 Supreme 711</t>
        </is>
      </c>
      <c r="N695" s="11" t="n">
        <v>2004</v>
      </c>
      <c r="O695" s="11" t="n"/>
      <c r="P695" s="11" t="n"/>
      <c r="Q695" s="11" t="n"/>
      <c r="R695" s="2" t="n"/>
      <c r="S695" s="2" t="n"/>
      <c r="T695" s="11" t="inlineStr"/>
      <c r="U695" s="11" t="inlineStr"/>
      <c r="V695" s="11" t="inlineStr">
        <is>
          <t>outside_list</t>
        </is>
      </c>
      <c r="W695" s="11" t="n"/>
      <c r="X695" s="11" t="n"/>
      <c r="Y695" s="11" t="n"/>
      <c r="Z695" s="11" t="inlineStr">
        <is>
          <t>Mr. Advocate</t>
        </is>
      </c>
      <c r="AA695" s="11" t="inlineStr">
        <is>
          <t>2026-10-07</t>
        </is>
      </c>
      <c r="AB695" s="11" t="inlineStr">
        <is>
          <t>name_year</t>
        </is>
      </c>
      <c r="AC695" s="2" t="inlineStr"/>
      <c r="AD695" s="2" t="inlineStr">
        <is>
          <t>Kummari Veeraiah and Others v. State of A.P. (1995) was overruled by Cement Corporation of India Ltd. v. Purya and Others (2004).</t>
        </is>
      </c>
      <c r="AE695" s="2" t="n"/>
      <c r="AF695" s="11" t="inlineStr">
        <is>
          <t>created from list 1</t>
        </is>
      </c>
    </row>
    <row r="696">
      <c r="A696" s="11" t="inlineStr">
        <is>
          <t>L1-0695</t>
        </is>
      </c>
      <c r="B696" s="11" t="inlineStr">
        <is>
          <t>List 1 (to ~2015)</t>
        </is>
      </c>
      <c r="C696" s="11" t="inlineStr">
        <is>
          <t>list1</t>
        </is>
      </c>
      <c r="D696" s="11" t="inlineStr">
        <is>
          <t>verified</t>
        </is>
      </c>
      <c r="E696" s="11" t="inlineStr">
        <is>
          <t>overruled</t>
        </is>
      </c>
      <c r="F696" s="2" t="inlineStr">
        <is>
          <t>Commissioner of Central Excise, Jaipur v. J.K. Udaipur Udyog Ltd.</t>
        </is>
      </c>
      <c r="G696" s="11" t="inlineStr"/>
      <c r="H696" s="11" t="inlineStr">
        <is>
          <t>unknown</t>
        </is>
      </c>
      <c r="I696" s="2" t="inlineStr">
        <is>
          <t>(2004) 96 ECC 73; (2004) 171 ELT 289; (2004) 7 JT 152; (2004) 7 SCALE 414; (2004) 3 SCALE 6; (2004) 7 SCC 344; (2004) AIRSCW 1528</t>
        </is>
      </c>
      <c r="J696" s="11" t="n">
        <v>2004</v>
      </c>
      <c r="K696" s="2" t="inlineStr">
        <is>
          <t>Vikram Cement v. Commnr. of Central Excise, Indore</t>
        </is>
      </c>
      <c r="L696" s="11" t="inlineStr">
        <is>
          <t>unknown</t>
        </is>
      </c>
      <c r="M696" s="2" t="inlineStr">
        <is>
          <t>(2006) 194 ELT 3; (2006) 1 JT 385; (2006) 1 SCALE 327; (2006) 2 SCC 351; (2006) 1 SCR 465; (2006) AIRSCW 362; (2006) 1 Supreme 288</t>
        </is>
      </c>
      <c r="N696" s="11" t="n">
        <v>2006</v>
      </c>
      <c r="O696" s="11" t="n"/>
      <c r="P696" s="11" t="n"/>
      <c r="Q696" s="11" t="n"/>
      <c r="R696" s="2" t="n"/>
      <c r="S696" s="2" t="n"/>
      <c r="T696" s="11" t="inlineStr"/>
      <c r="U696" s="11" t="inlineStr"/>
      <c r="V696" s="11" t="inlineStr">
        <is>
          <t>outside_list</t>
        </is>
      </c>
      <c r="W696" s="11" t="n"/>
      <c r="X696" s="11" t="n"/>
      <c r="Y696" s="11" t="n"/>
      <c r="Z696" s="11" t="inlineStr">
        <is>
          <t>Mr. Advocate</t>
        </is>
      </c>
      <c r="AA696" s="11" t="inlineStr">
        <is>
          <t>2026-10-07</t>
        </is>
      </c>
      <c r="AB696" s="11" t="inlineStr">
        <is>
          <t>name_year</t>
        </is>
      </c>
      <c r="AC696" s="2" t="inlineStr"/>
      <c r="AD696" s="2" t="inlineStr">
        <is>
          <t>Commissioner of Central Excise, Jaipur v. J.K. Udaipur Udyog Ltd. (2004) was overruled by Vikram Cement v. Commnr. of Central Excise, Indore (2006).</t>
        </is>
      </c>
      <c r="AE696" s="2" t="n"/>
      <c r="AF696" s="11" t="inlineStr">
        <is>
          <t>created from list 1</t>
        </is>
      </c>
    </row>
    <row r="697">
      <c r="A697" s="11" t="inlineStr">
        <is>
          <t>L1-0696</t>
        </is>
      </c>
      <c r="B697" s="11" t="inlineStr">
        <is>
          <t>List 1 (to ~2015)</t>
        </is>
      </c>
      <c r="C697" s="11" t="inlineStr">
        <is>
          <t>list1</t>
        </is>
      </c>
      <c r="D697" s="11" t="inlineStr">
        <is>
          <t>verified</t>
        </is>
      </c>
      <c r="E697" s="11" t="inlineStr">
        <is>
          <t>overruled</t>
        </is>
      </c>
      <c r="F697" s="2" t="inlineStr">
        <is>
          <t>Budhwanti and Another v. Gulab Chand Prasad</t>
        </is>
      </c>
      <c r="G697" s="11" t="inlineStr"/>
      <c r="H697" s="11" t="inlineStr">
        <is>
          <t>Supreme Court</t>
        </is>
      </c>
      <c r="I697" s="2" t="inlineStr">
        <is>
          <t>AIR 1987 SC 1484; (1987) 1 SCALE 501; (1987) 2 SCC 153; (1987) 2 SCR 534; (1987) 2 UJ 22</t>
        </is>
      </c>
      <c r="J697" s="11" t="n">
        <v>1987</v>
      </c>
      <c r="K697" s="2" t="inlineStr">
        <is>
          <t>Kranti Swaroop Machine Tools Pvt. Ltd. and Another v. Smt. Kanta Bai Asawa and Others</t>
        </is>
      </c>
      <c r="L697" s="11" t="inlineStr">
        <is>
          <t>Supreme Court</t>
        </is>
      </c>
      <c r="M697" s="2" t="inlineStr">
        <is>
          <t>AIR 1994 SC 1216; (1994) 1 JT 277; (1994) 107 PLR 333; (1994) 1 SCALE 242; (1994) 2 SCC 289; (1994) 1 SCR 377; (1994) 2 UJ 231</t>
        </is>
      </c>
      <c r="N697" s="11" t="n">
        <v>1994</v>
      </c>
      <c r="O697" s="11" t="n"/>
      <c r="P697" s="11" t="n"/>
      <c r="Q697" s="11" t="n"/>
      <c r="R697" s="2" t="n"/>
      <c r="S697" s="2" t="n"/>
      <c r="T697" s="11" t="inlineStr"/>
      <c r="U697" s="11" t="inlineStr"/>
      <c r="V697" s="11" t="inlineStr">
        <is>
          <t>outside_list</t>
        </is>
      </c>
      <c r="W697" s="11" t="n"/>
      <c r="X697" s="11" t="n"/>
      <c r="Y697" s="11" t="n"/>
      <c r="Z697" s="11" t="inlineStr">
        <is>
          <t>Mr. Advocate</t>
        </is>
      </c>
      <c r="AA697" s="11" t="inlineStr">
        <is>
          <t>2026-10-07</t>
        </is>
      </c>
      <c r="AB697" s="11" t="inlineStr">
        <is>
          <t>name_year</t>
        </is>
      </c>
      <c r="AC697" s="2" t="inlineStr"/>
      <c r="AD697" s="2" t="inlineStr">
        <is>
          <t>Budhwanti and Another v. Gulab Chand Prasad (1987) was overruled by Kranti Swaroop Machine Tools Pvt. Ltd. and Another v. Smt. Kanta Bai Asawa and Others (1994).</t>
        </is>
      </c>
      <c r="AE697" s="2" t="n"/>
      <c r="AF697" s="11" t="inlineStr">
        <is>
          <t>created from list 1</t>
        </is>
      </c>
    </row>
    <row r="698">
      <c r="A698" s="11" t="inlineStr">
        <is>
          <t>L1-0697</t>
        </is>
      </c>
      <c r="B698" s="11" t="inlineStr">
        <is>
          <t>List 1 (to ~2015)</t>
        </is>
      </c>
      <c r="C698" s="11" t="inlineStr">
        <is>
          <t>list1</t>
        </is>
      </c>
      <c r="D698" s="11" t="inlineStr">
        <is>
          <t>verified</t>
        </is>
      </c>
      <c r="E698" s="11" t="inlineStr">
        <is>
          <t>overruled</t>
        </is>
      </c>
      <c r="F698" s="2" t="inlineStr">
        <is>
          <t>New India Assurance Company v. Shri Satpal Singh and Others</t>
        </is>
      </c>
      <c r="G698" s="11" t="inlineStr"/>
      <c r="H698" s="11" t="inlineStr">
        <is>
          <t>Supreme Court</t>
        </is>
      </c>
      <c r="I698" s="2" t="inlineStr">
        <is>
          <t>(2000) 1 ACC 1; (2000) ACJ 1; AIR 2000 SC 235; (2000) 99 CompCas 258; (2000) 1 CTC 370; (1999) 9 JT 416; (2000) 124 PLR 464; (1999) 7 SCALE 300; (2000) 1 SCC 237; (1999) 5 SCR 149 Supp; (1999) AIRSCW 4337; (1999) 10 Supreme 87</t>
        </is>
      </c>
      <c r="J698" s="11" t="n">
        <v>2000</v>
      </c>
      <c r="K698" s="2" t="inlineStr">
        <is>
          <t>Oriental Insurance Company Ltd. v. Devireddy Konda Reddy and Others etc. etc. and Jogi Subbamma and Others etc.</t>
        </is>
      </c>
      <c r="L698" s="11" t="inlineStr">
        <is>
          <t>Supreme Court</t>
        </is>
      </c>
      <c r="M698" s="2" t="inlineStr">
        <is>
          <t>(2003) 1 ACC 214; (2003) ACJ 468; AIR 2003 SC 1009; (2003) 113 CompCas 532; (2003) 1 JT 372; (2003) 1 SCALE 441; (2003) 2 SCC 339; (2003) 1 SCR 537; (2003) 1 UJ 348; (2003) AIRSCW 513; (2003) 1 Supreme 732</t>
        </is>
      </c>
      <c r="N698" s="11" t="n">
        <v>2003</v>
      </c>
      <c r="O698" s="11" t="n"/>
      <c r="P698" s="11" t="n"/>
      <c r="Q698" s="11" t="n"/>
      <c r="R698" s="2" t="n"/>
      <c r="S698" s="2" t="n"/>
      <c r="T698" s="11" t="inlineStr"/>
      <c r="U698" s="11" t="inlineStr"/>
      <c r="V698" s="11" t="inlineStr">
        <is>
          <t>outside_list</t>
        </is>
      </c>
      <c r="W698" s="11" t="n"/>
      <c r="X698" s="11" t="n"/>
      <c r="Y698" s="11" t="n"/>
      <c r="Z698" s="11" t="inlineStr">
        <is>
          <t>Mr. Advocate</t>
        </is>
      </c>
      <c r="AA698" s="11" t="inlineStr">
        <is>
          <t>2026-10-07</t>
        </is>
      </c>
      <c r="AB698" s="11" t="inlineStr">
        <is>
          <t>name_year</t>
        </is>
      </c>
      <c r="AC698" s="2" t="inlineStr"/>
      <c r="AD698" s="2" t="inlineStr">
        <is>
          <t>New India Assurance Company v. Shri Satpal Singh and Others (2000) was overruled by Oriental Insurance Company Ltd. v. Devireddy Konda Reddy and Others etc. etc. and Jogi Subbamma and Others etc. (2003).</t>
        </is>
      </c>
      <c r="AE698" s="2" t="n"/>
      <c r="AF698" s="11" t="inlineStr">
        <is>
          <t>created from list 1</t>
        </is>
      </c>
    </row>
    <row r="699">
      <c r="A699" s="11" t="inlineStr">
        <is>
          <t>L1-0698</t>
        </is>
      </c>
      <c r="B699" s="11" t="inlineStr">
        <is>
          <t>List 1 (to ~2015)</t>
        </is>
      </c>
      <c r="C699" s="11" t="inlineStr">
        <is>
          <t>list1</t>
        </is>
      </c>
      <c r="D699" s="11" t="inlineStr">
        <is>
          <t>verified</t>
        </is>
      </c>
      <c r="E699" s="11" t="inlineStr">
        <is>
          <t>overruled</t>
        </is>
      </c>
      <c r="F699" s="2" t="inlineStr">
        <is>
          <t>Meharaj Singh (L/Nk.) v. State of U.P.</t>
        </is>
      </c>
      <c r="G699" s="11" t="inlineStr"/>
      <c r="H699" s="11" t="inlineStr">
        <is>
          <t>Supreme Court</t>
        </is>
      </c>
      <c r="I699" s="2" t="inlineStr">
        <is>
          <t>(1995) CriLJ 457; (1994) 3 JT 440; (1994) 2 SCALE 632; (1994) 5 SCC 188; (1994) 3 SCR 592</t>
        </is>
      </c>
      <c r="J699" s="11" t="n">
        <v>1994</v>
      </c>
      <c r="K699" s="2" t="inlineStr">
        <is>
          <t>Radha Mohan Singh @ Lal Saheb and Others v. State of U.P.</t>
        </is>
      </c>
      <c r="L699" s="11" t="inlineStr">
        <is>
          <t>Supreme Court</t>
        </is>
      </c>
      <c r="M699" s="2" t="inlineStr">
        <is>
          <t>AIR 2006 SC 951; (2006) CriLJ 1121; (2006) 2 CTC 762; (2006) 1 JT 428; (2006) 1 SCALE 369; (2006) 2 SCC 450; (2006) 1 SCR 519; (2006) 1 UJ 370; (2006) AIRSCW 421; (2006) 1 Supreme 371</t>
        </is>
      </c>
      <c r="N699" s="11" t="n">
        <v>2006</v>
      </c>
      <c r="O699" s="11" t="n"/>
      <c r="P699" s="11" t="n"/>
      <c r="Q699" s="11" t="n"/>
      <c r="R699" s="2" t="n"/>
      <c r="S699" s="2" t="n"/>
      <c r="T699" s="11" t="inlineStr"/>
      <c r="U699" s="11" t="inlineStr"/>
      <c r="V699" s="11" t="inlineStr">
        <is>
          <t>outside_list</t>
        </is>
      </c>
      <c r="W699" s="11" t="n"/>
      <c r="X699" s="11" t="n"/>
      <c r="Y699" s="11" t="n"/>
      <c r="Z699" s="11" t="inlineStr">
        <is>
          <t>Mr. Advocate</t>
        </is>
      </c>
      <c r="AA699" s="11" t="inlineStr">
        <is>
          <t>2026-10-07</t>
        </is>
      </c>
      <c r="AB699" s="11" t="inlineStr">
        <is>
          <t>name_year</t>
        </is>
      </c>
      <c r="AC699" s="2" t="inlineStr"/>
      <c r="AD699" s="2" t="inlineStr">
        <is>
          <t>Meharaj Singh (L/Nk.) v. State of U.P. (1994) was overruled by Radha Mohan Singh @ Lal Saheb and Others v. State of U.P. (2006).</t>
        </is>
      </c>
      <c r="AE699" s="2" t="n"/>
      <c r="AF699" s="11" t="inlineStr">
        <is>
          <t>created from list 1</t>
        </is>
      </c>
    </row>
    <row r="700">
      <c r="A700" s="11" t="inlineStr">
        <is>
          <t>L1-0699</t>
        </is>
      </c>
      <c r="B700" s="11" t="inlineStr">
        <is>
          <t>List 1 (to ~2015)</t>
        </is>
      </c>
      <c r="C700" s="11" t="inlineStr">
        <is>
          <t>list1</t>
        </is>
      </c>
      <c r="D700" s="11" t="inlineStr">
        <is>
          <t>verified</t>
        </is>
      </c>
      <c r="E700" s="11" t="inlineStr">
        <is>
          <t>overruled</t>
        </is>
      </c>
      <c r="F700" s="2" t="inlineStr">
        <is>
          <t>Sangaraboina Sreenu v. State of Andhra Pradesh</t>
        </is>
      </c>
      <c r="G700" s="11" t="inlineStr"/>
      <c r="H700" s="11" t="inlineStr">
        <is>
          <t>Supreme Court</t>
        </is>
      </c>
      <c r="I700" s="2" t="inlineStr">
        <is>
          <t>AIR 1997 SC 3233; (1997) CriLJ 3955; (1997) 2 Crimes 55; (1997) 5 JT 47; (1997) 3 SCALE 611; (1997) 5 SCC 348; (1997) 3 SCR 957; (1997) 2 UJ 48; (1997) AIRSCW 3290; (1997) 4 Supreme 214</t>
        </is>
      </c>
      <c r="J700" s="11" t="n">
        <v>1997</v>
      </c>
      <c r="K700" s="2" t="inlineStr">
        <is>
          <t>Dalbir Singh v. State of U.P.</t>
        </is>
      </c>
      <c r="L700" s="11" t="inlineStr">
        <is>
          <t>Supreme Court</t>
        </is>
      </c>
      <c r="M700" s="2" t="inlineStr">
        <is>
          <t>AIR 2004 SC 1990; (2004) CriLJ 2025; (2004) 1 DMC 680; (2004) 4 JT 455; (2004) 4 SCALE 238; (2004) 5 SCC 334; (2004) 3 SCR 941; (2004) AIRSCW 5377; (2004) AIRSCW 2119; (2004) 3 Supreme 506; (2004) 7 Supreme 200</t>
        </is>
      </c>
      <c r="N700" s="11" t="n">
        <v>2004</v>
      </c>
      <c r="O700" s="11" t="n"/>
      <c r="P700" s="11" t="n"/>
      <c r="Q700" s="11" t="n"/>
      <c r="R700" s="2" t="n"/>
      <c r="S700" s="2" t="n"/>
      <c r="T700" s="11" t="inlineStr"/>
      <c r="U700" s="11" t="inlineStr"/>
      <c r="V700" s="11" t="inlineStr">
        <is>
          <t>outside_list</t>
        </is>
      </c>
      <c r="W700" s="11" t="n"/>
      <c r="X700" s="11" t="n"/>
      <c r="Y700" s="11" t="n"/>
      <c r="Z700" s="11" t="inlineStr">
        <is>
          <t>Mr. Advocate</t>
        </is>
      </c>
      <c r="AA700" s="11" t="inlineStr">
        <is>
          <t>2026-10-07</t>
        </is>
      </c>
      <c r="AB700" s="11" t="inlineStr">
        <is>
          <t>name_year</t>
        </is>
      </c>
      <c r="AC700" s="2" t="inlineStr"/>
      <c r="AD700" s="2" t="inlineStr">
        <is>
          <t>Sangaraboina Sreenu v. State of Andhra Pradesh (1997) was overruled by Dalbir Singh v. State of U.P. (2004).</t>
        </is>
      </c>
      <c r="AE700" s="2" t="n"/>
      <c r="AF700" s="11" t="inlineStr">
        <is>
          <t>created from list 1</t>
        </is>
      </c>
    </row>
    <row r="701">
      <c r="A701" s="11" t="inlineStr">
        <is>
          <t>L1-0700</t>
        </is>
      </c>
      <c r="B701" s="11" t="inlineStr">
        <is>
          <t>List 1 (to ~2015)</t>
        </is>
      </c>
      <c r="C701" s="11" t="inlineStr">
        <is>
          <t>list1</t>
        </is>
      </c>
      <c r="D701" s="11" t="inlineStr">
        <is>
          <t>verified</t>
        </is>
      </c>
      <c r="E701" s="11" t="inlineStr">
        <is>
          <t>overruled</t>
        </is>
      </c>
      <c r="F701" s="2" t="inlineStr">
        <is>
          <t>Vannattankandy Ibrayi v. Kunhabdulla Hajee</t>
        </is>
      </c>
      <c r="G701" s="11" t="inlineStr"/>
      <c r="H701" s="11" t="inlineStr">
        <is>
          <t>Supreme Court</t>
        </is>
      </c>
      <c r="I701" s="2" t="inlineStr">
        <is>
          <t>AIR 2003 SC 4453; (2001) 1 JT 96; (2000) 8 SCALE 396; (2000) 5 SCR 630 Supp; (2000) AIRSCW 4592; (2000) 8 Supreme 553</t>
        </is>
      </c>
      <c r="J701" s="11" t="n">
        <v>2003</v>
      </c>
      <c r="K701" s="2" t="inlineStr">
        <is>
          <t>Shaha Ratansi Khimji and Sons v. Proposed Kumbhar Sons Hotel P. Ltd.</t>
        </is>
      </c>
      <c r="L701" s="11" t="inlineStr">
        <is>
          <t>unknown</t>
        </is>
      </c>
      <c r="M701" s="2" t="inlineStr">
        <is>
          <t>(2014) 5 ABR 364; (2014) AIRSCW 4271; (2014) 8 JT 406; (2014) 2 RCR(Rent) 193; (2014) 8 SCALE 455</t>
        </is>
      </c>
      <c r="N701" s="11" t="n">
        <v>2014</v>
      </c>
      <c r="O701" s="11" t="n"/>
      <c r="P701" s="11" t="n"/>
      <c r="Q701" s="11" t="n"/>
      <c r="R701" s="2" t="n"/>
      <c r="S701" s="2" t="n"/>
      <c r="T701" s="11" t="inlineStr"/>
      <c r="U701" s="11" t="inlineStr"/>
      <c r="V701" s="11" t="inlineStr">
        <is>
          <t>outside_list</t>
        </is>
      </c>
      <c r="W701" s="11" t="n"/>
      <c r="X701" s="11" t="n"/>
      <c r="Y701" s="11" t="n"/>
      <c r="Z701" s="11" t="inlineStr">
        <is>
          <t>Mr. Advocate</t>
        </is>
      </c>
      <c r="AA701" s="11" t="inlineStr">
        <is>
          <t>2026-10-07</t>
        </is>
      </c>
      <c r="AB701" s="11" t="inlineStr">
        <is>
          <t>name_year</t>
        </is>
      </c>
      <c r="AC701" s="2" t="inlineStr"/>
      <c r="AD701" s="2" t="inlineStr">
        <is>
          <t>Vannattankandy Ibrayi v. Kunhabdulla Hajee (2003) was overruled by Shaha Ratansi Khimji and Sons v. Proposed Kumbhar Sons Hotel P. Ltd. (2014).</t>
        </is>
      </c>
      <c r="AE701" s="2" t="n"/>
      <c r="AF701" s="11" t="inlineStr">
        <is>
          <t>created from list 1</t>
        </is>
      </c>
    </row>
    <row r="702">
      <c r="A702" s="11" t="inlineStr">
        <is>
          <t>L1-0701</t>
        </is>
      </c>
      <c r="B702" s="11" t="inlineStr">
        <is>
          <t>List 1 (to ~2015)</t>
        </is>
      </c>
      <c r="C702" s="11" t="inlineStr">
        <is>
          <t>list1</t>
        </is>
      </c>
      <c r="D702" s="11" t="inlineStr">
        <is>
          <t>verified</t>
        </is>
      </c>
      <c r="E702" s="11" t="inlineStr">
        <is>
          <t>overruled</t>
        </is>
      </c>
      <c r="F702" s="2" t="inlineStr">
        <is>
          <t>Dayaram Dayal v. State of M.P. and another</t>
        </is>
      </c>
      <c r="G702" s="11" t="inlineStr"/>
      <c r="H702" s="11" t="inlineStr">
        <is>
          <t>Supreme Court</t>
        </is>
      </c>
      <c r="I702" s="2" t="inlineStr">
        <is>
          <t>AIR 1997 SC 3269; (1997) 7 JT 520; (1997) 5 SCALE 594; (1997) 7 SCC 443; (1997) SCC(L&amp;S) 1797; (1997) 3 SCR 624 Supp; (1998) 1 UJ 317; (1997) AIRSCW 3331; (1997) 8 Supreme 8</t>
        </is>
      </c>
      <c r="J702" s="11" t="n">
        <v>1997</v>
      </c>
      <c r="K702" s="2" t="inlineStr">
        <is>
          <t>High Court of Madhya Pradesh thru. Registrar and Others v. Satya Narayan Jhavar</t>
        </is>
      </c>
      <c r="L702" s="11" t="inlineStr">
        <is>
          <t>Supreme Court</t>
        </is>
      </c>
      <c r="M702" s="2" t="inlineStr">
        <is>
          <t>(2001) 6 AD 179; AIR 2001 SC 3234; (2001) 91 FLR 626; (2001) 6 JT 368; (2001) LabIC 3281; (2001) 5 SCALE 233; (2001) 7 SCC 161; (2001) SCC(L&amp;S) 1087; (2001) 3 SCT 1114; (2001) 2 UJ 1281; (2001) AIRSCW 3112; (2001) AIRSCW 4587; (2001) 6 Supreme 106; (2001) 5 Supreme 240; (2001) 5 Supreme 713</t>
        </is>
      </c>
      <c r="N702" s="11" t="n">
        <v>2001</v>
      </c>
      <c r="O702" s="11" t="n"/>
      <c r="P702" s="11" t="n"/>
      <c r="Q702" s="11" t="n"/>
      <c r="R702" s="2" t="n"/>
      <c r="S702" s="2" t="n"/>
      <c r="T702" s="11" t="inlineStr"/>
      <c r="U702" s="11" t="inlineStr"/>
      <c r="V702" s="11" t="inlineStr">
        <is>
          <t>outside_list</t>
        </is>
      </c>
      <c r="W702" s="11" t="n"/>
      <c r="X702" s="11" t="n"/>
      <c r="Y702" s="11" t="n"/>
      <c r="Z702" s="11" t="inlineStr">
        <is>
          <t>Mr. Advocate</t>
        </is>
      </c>
      <c r="AA702" s="11" t="inlineStr">
        <is>
          <t>2026-10-07</t>
        </is>
      </c>
      <c r="AB702" s="11" t="inlineStr">
        <is>
          <t>name_year</t>
        </is>
      </c>
      <c r="AC702" s="2" t="inlineStr"/>
      <c r="AD702" s="2" t="inlineStr">
        <is>
          <t>Dayaram Dayal v. State of M.P. and another (1997) was overruled by High Court of Madhya Pradesh thru. Registrar and Others v. Satya Narayan Jhavar (2001).</t>
        </is>
      </c>
      <c r="AE702" s="2" t="n"/>
      <c r="AF702" s="11" t="inlineStr">
        <is>
          <t>created from list 1</t>
        </is>
      </c>
    </row>
    <row r="703">
      <c r="A703" s="11" t="inlineStr">
        <is>
          <t>L1-0702</t>
        </is>
      </c>
      <c r="B703" s="11" t="inlineStr">
        <is>
          <t>List 1 (to ~2015)</t>
        </is>
      </c>
      <c r="C703" s="11" t="inlineStr">
        <is>
          <t>list1</t>
        </is>
      </c>
      <c r="D703" s="11" t="inlineStr">
        <is>
          <t>verified</t>
        </is>
      </c>
      <c r="E703" s="11" t="inlineStr">
        <is>
          <t>overruled</t>
        </is>
      </c>
      <c r="F703" s="2" t="inlineStr">
        <is>
          <t>Bilal Ahmed Kaloo v. State of Andhra Pradesh</t>
        </is>
      </c>
      <c r="G703" s="11" t="inlineStr"/>
      <c r="H703" s="11" t="inlineStr">
        <is>
          <t>Supreme Court</t>
        </is>
      </c>
      <c r="I703" s="2" t="inlineStr">
        <is>
          <t>AIR 1997 SC 3483; (1997) CriLJ 4091; (1997) 3 Crimes 130; (1997) 7 JT 272; (1997) 5 SCALE 399; (1997) 7 SCC 431; (1997) 3 SCR 327 Supp; (1997) AIRSCW 3574; (1997) 7 Supreme 122</t>
        </is>
      </c>
      <c r="J703" s="11" t="n">
        <v>1997</v>
      </c>
      <c r="K703" s="2" t="inlineStr">
        <is>
          <t>State through Superintendent of Police, CBI/SIT v. Nalini and Others</t>
        </is>
      </c>
      <c r="L703" s="11" t="inlineStr">
        <is>
          <t>Supreme Court</t>
        </is>
      </c>
      <c r="M703" s="2" t="inlineStr">
        <is>
          <t>AIR 1999 SC 2640; (1999) CriLJ 3124; (1999) 4 JT 106; (1999) 3 SCALE 241; (1999) 5 SCC 253; (1999) 3 SCR 1; (1999) AIRSCW 1889; (1999) 5 Supreme 60</t>
        </is>
      </c>
      <c r="N703" s="11" t="n">
        <v>1999</v>
      </c>
      <c r="O703" s="11" t="n"/>
      <c r="P703" s="11" t="n"/>
      <c r="Q703" s="11" t="n"/>
      <c r="R703" s="2" t="n"/>
      <c r="S703" s="2" t="n"/>
      <c r="T703" s="11" t="inlineStr"/>
      <c r="U703" s="11" t="inlineStr"/>
      <c r="V703" s="11" t="inlineStr">
        <is>
          <t>outside_list</t>
        </is>
      </c>
      <c r="W703" s="11" t="n"/>
      <c r="X703" s="11" t="n"/>
      <c r="Y703" s="11" t="n"/>
      <c r="Z703" s="11" t="inlineStr">
        <is>
          <t>Mr. Advocate</t>
        </is>
      </c>
      <c r="AA703" s="11" t="inlineStr">
        <is>
          <t>2026-10-07</t>
        </is>
      </c>
      <c r="AB703" s="11" t="inlineStr">
        <is>
          <t>name_year</t>
        </is>
      </c>
      <c r="AC703" s="2" t="inlineStr">
        <is>
          <t>L1-0706: overruled by Bilal Ahmed Kaloo v. State of Andhra Pradesh (1997)</t>
        </is>
      </c>
      <c r="AD703" s="2" t="inlineStr">
        <is>
          <t>Bilal Ahmed Kaloo v. State of Andhra Pradesh (1997) was overruled by State through Superintendent of Police, CBI/SIT v. Nalini and Others (1999). Note: State through Superintendent of Police, CBI/SIT v. Nalini and Others was itself later overruled by Bilal Ahmed Kaloo v. State of Andhra Pradesh (1997); the current position should be checked.</t>
        </is>
      </c>
      <c r="AE703" s="2" t="n"/>
      <c r="AF703" s="11" t="inlineStr">
        <is>
          <t>created from list 1</t>
        </is>
      </c>
    </row>
    <row r="704">
      <c r="A704" s="11" t="inlineStr">
        <is>
          <t>L1-0703</t>
        </is>
      </c>
      <c r="B704" s="11" t="inlineStr">
        <is>
          <t>List 1 (to ~2015)</t>
        </is>
      </c>
      <c r="C704" s="11" t="inlineStr">
        <is>
          <t>list1</t>
        </is>
      </c>
      <c r="D704" s="11" t="inlineStr">
        <is>
          <t>verified</t>
        </is>
      </c>
      <c r="E704" s="11" t="inlineStr">
        <is>
          <t>overruled</t>
        </is>
      </c>
      <c r="F704" s="2" t="inlineStr">
        <is>
          <t>Y. Suresh Babu v. State of A.P. and Another</t>
        </is>
      </c>
      <c r="G704" s="11" t="inlineStr"/>
      <c r="H704" s="11" t="inlineStr">
        <is>
          <t>Supreme Court</t>
        </is>
      </c>
      <c r="I704" s="2" t="inlineStr">
        <is>
          <t>(1987) 2 JT 361; (2005) 1 SCC 347</t>
        </is>
      </c>
      <c r="J704" s="11" t="n">
        <v>1987</v>
      </c>
      <c r="K704" s="2" t="inlineStr">
        <is>
          <t>Surendra Nath Mohanty and Anr v. State of Orissa</t>
        </is>
      </c>
      <c r="L704" s="11" t="inlineStr">
        <is>
          <t>Supreme Court</t>
        </is>
      </c>
      <c r="M704" s="2" t="inlineStr">
        <is>
          <t>AIR 1999 SC 2181; (2000) 89 CLT 130; (1999) CriLJ 3496; (1999) 2 CTC 263; (1999) 3 JT 408; (1999) 3 SCALE 103; (1999) 5 SCC 238; (1999) 2 SCR 1005; (1999) 2 UJ 831; (1999) AIRSCW 2199; (1999) 4 Supreme 421</t>
        </is>
      </c>
      <c r="N704" s="11" t="n">
        <v>1999</v>
      </c>
      <c r="O704" s="11" t="n"/>
      <c r="P704" s="11" t="n"/>
      <c r="Q704" s="11" t="n"/>
      <c r="R704" s="2" t="n"/>
      <c r="S704" s="2" t="n"/>
      <c r="T704" s="11" t="inlineStr"/>
      <c r="U704" s="11" t="inlineStr"/>
      <c r="V704" s="11" t="inlineStr">
        <is>
          <t>outside_list</t>
        </is>
      </c>
      <c r="W704" s="11" t="n"/>
      <c r="X704" s="11" t="n"/>
      <c r="Y704" s="11" t="n"/>
      <c r="Z704" s="11" t="inlineStr">
        <is>
          <t>Mr. Advocate</t>
        </is>
      </c>
      <c r="AA704" s="11" t="inlineStr">
        <is>
          <t>2026-10-07</t>
        </is>
      </c>
      <c r="AB704" s="11" t="inlineStr">
        <is>
          <t>name_year</t>
        </is>
      </c>
      <c r="AC704" s="2" t="inlineStr"/>
      <c r="AD704" s="2" t="inlineStr">
        <is>
          <t>Y. Suresh Babu v. State of A.P. and Another (1987) was overruled by Surendra Nath Mohanty and Anr v. State of Orissa (1999).</t>
        </is>
      </c>
      <c r="AE704" s="2" t="n"/>
      <c r="AF704" s="11" t="inlineStr">
        <is>
          <t>created from list 1</t>
        </is>
      </c>
    </row>
    <row r="705">
      <c r="A705" s="11" t="inlineStr">
        <is>
          <t>L1-0704</t>
        </is>
      </c>
      <c r="B705" s="11" t="inlineStr">
        <is>
          <t>List 1 (to ~2015)</t>
        </is>
      </c>
      <c r="C705" s="11" t="inlineStr">
        <is>
          <t>list1</t>
        </is>
      </c>
      <c r="D705" s="11" t="inlineStr">
        <is>
          <t>verified</t>
        </is>
      </c>
      <c r="E705" s="11" t="inlineStr">
        <is>
          <t>overruled</t>
        </is>
      </c>
      <c r="F705" s="2" t="inlineStr">
        <is>
          <t>Post-Graduate Institute of Medical Education and Research etc. v. K.L. Narasimhan and another</t>
        </is>
      </c>
      <c r="G705" s="11" t="inlineStr"/>
      <c r="H705" s="11" t="inlineStr">
        <is>
          <t>Supreme Court</t>
        </is>
      </c>
      <c r="I705" s="2" t="inlineStr">
        <is>
          <t>AIR 1997 SC 3687; (1997) 5 JT 313; (1997) 4 SCALE 75; (1997) 6 SCC 283; (1997) SCC(L&amp;S) 1449; (1997) 2 UJ 74; (1997) AIRSCW 2274; (1997) 5 Supreme 37</t>
        </is>
      </c>
      <c r="J705" s="11" t="n">
        <v>1997</v>
      </c>
      <c r="K705" s="2" t="inlineStr">
        <is>
          <t>Post Graduate Institute of Medical Education and Research, Chandigarh v. Faculty Association and Others</t>
        </is>
      </c>
      <c r="L705" s="11" t="inlineStr">
        <is>
          <t>Supreme Court</t>
        </is>
      </c>
      <c r="M705" s="2" t="inlineStr">
        <is>
          <t>(1998) 4 AD 70; AIR 1998 SC 1767; (1998) 3 CTC 413; (1998) 3 JT 223; (1998) 2 SCALE 772; (1998) 4 SCC 1; (1998) SCC(L&amp;S) 961; (1998) 2 SCR 845; (1998) AIRSCW 1553; (1998) 4 Supreme 110</t>
        </is>
      </c>
      <c r="N705" s="11" t="n">
        <v>1998</v>
      </c>
      <c r="O705" s="11" t="n"/>
      <c r="P705" s="11" t="n"/>
      <c r="Q705" s="11" t="n"/>
      <c r="R705" s="2" t="n"/>
      <c r="S705" s="2" t="n"/>
      <c r="T705" s="11" t="inlineStr"/>
      <c r="U705" s="11" t="inlineStr"/>
      <c r="V705" s="11" t="inlineStr">
        <is>
          <t>outside_list</t>
        </is>
      </c>
      <c r="W705" s="11" t="n"/>
      <c r="X705" s="11" t="n"/>
      <c r="Y705" s="11" t="n"/>
      <c r="Z705" s="11" t="inlineStr">
        <is>
          <t>Mr. Advocate</t>
        </is>
      </c>
      <c r="AA705" s="11" t="inlineStr">
        <is>
          <t>2026-10-07</t>
        </is>
      </c>
      <c r="AB705" s="11" t="inlineStr">
        <is>
          <t>name_year</t>
        </is>
      </c>
      <c r="AC705" s="2" t="inlineStr"/>
      <c r="AD705" s="2" t="inlineStr">
        <is>
          <t>Post-Graduate Institute of Medical Education and Research etc. v. K.L. Narasimhan and another (1997) was overruled by Post Graduate Institute of Medical Education and Research, Chandigarh v. Faculty Association and Others (1998).</t>
        </is>
      </c>
      <c r="AE705" s="2" t="n"/>
      <c r="AF705" s="11" t="inlineStr">
        <is>
          <t>created from list 1</t>
        </is>
      </c>
    </row>
    <row r="706">
      <c r="A706" s="11" t="inlineStr">
        <is>
          <t>L1-0705</t>
        </is>
      </c>
      <c r="B706" s="11" t="inlineStr">
        <is>
          <t>List 1 (to ~2015)</t>
        </is>
      </c>
      <c r="C706" s="11" t="inlineStr">
        <is>
          <t>list1</t>
        </is>
      </c>
      <c r="D706" s="11" t="inlineStr">
        <is>
          <t>verified</t>
        </is>
      </c>
      <c r="E706" s="11" t="inlineStr">
        <is>
          <t>reversed_on_appeal</t>
        </is>
      </c>
      <c r="F706" s="2" t="inlineStr">
        <is>
          <t>Sankar Dastidar v. Smt. Banjula Dastidar and Another</t>
        </is>
      </c>
      <c r="G706" s="11" t="inlineStr"/>
      <c r="H706" s="11" t="inlineStr">
        <is>
          <t>Calcutta</t>
        </is>
      </c>
      <c r="I706" s="2" t="inlineStr">
        <is>
          <t>AIR 2005 Cal 121; (2005) 2 CALLT 360; (2005) 2 CHN 387</t>
        </is>
      </c>
      <c r="J706" s="11" t="n">
        <v>2005</v>
      </c>
      <c r="K706" s="2" t="inlineStr">
        <is>
          <t>Sankar Dastidar v. Shrimati Banjula Dastidar and Another</t>
        </is>
      </c>
      <c r="L706" s="11" t="inlineStr">
        <is>
          <t>Supreme Court</t>
        </is>
      </c>
      <c r="M706" s="2" t="inlineStr">
        <is>
          <t>AIR 2007 SC 514; (2007) 2 CTC 570; (2007) 147 PLR 232; (2006) 13 SCALE 598; (2006) 13 SCC 470; (2006) 10 SCR 101 Supp</t>
        </is>
      </c>
      <c r="N706" s="11" t="n">
        <v>2007</v>
      </c>
      <c r="O706" s="11" t="n"/>
      <c r="P706" s="11" t="n"/>
      <c r="Q706" s="11" t="n"/>
      <c r="R706" s="2" t="n"/>
      <c r="S706" s="2" t="n"/>
      <c r="T706" s="11" t="inlineStr">
        <is>
          <t>yes</t>
        </is>
      </c>
      <c r="U706" s="11" t="inlineStr"/>
      <c r="V706" s="11" t="inlineStr">
        <is>
          <t>outside_list</t>
        </is>
      </c>
      <c r="W706" s="11" t="n"/>
      <c r="X706" s="11" t="n"/>
      <c r="Y706" s="11" t="n"/>
      <c r="Z706" s="11" t="inlineStr">
        <is>
          <t>Mr. Advocate</t>
        </is>
      </c>
      <c r="AA706" s="11" t="inlineStr">
        <is>
          <t>2026-10-07</t>
        </is>
      </c>
      <c r="AB706" s="11" t="inlineStr">
        <is>
          <t>name_year</t>
        </is>
      </c>
      <c r="AC706" s="2" t="inlineStr"/>
      <c r="AD706" s="2" t="inlineStr">
        <is>
          <t>Sankar Dastidar v. Smt. Banjula Dastidar and Another (2005) was reversed on appeal by the Supreme Court in Sankar Dastidar v. Shrimati Banjula Dastidar and Another (2007).</t>
        </is>
      </c>
      <c r="AE706" s="2" t="n"/>
      <c r="AF706" s="11" t="inlineStr">
        <is>
          <t>created from list 1</t>
        </is>
      </c>
    </row>
    <row r="707">
      <c r="A707" s="11" t="inlineStr">
        <is>
          <t>L1-0706</t>
        </is>
      </c>
      <c r="B707" s="11" t="inlineStr">
        <is>
          <t>List 1 (to ~2015)</t>
        </is>
      </c>
      <c r="C707" s="11" t="inlineStr">
        <is>
          <t>list1</t>
        </is>
      </c>
      <c r="D707" s="11" t="inlineStr">
        <is>
          <t>verified</t>
        </is>
      </c>
      <c r="E707" s="11" t="inlineStr">
        <is>
          <t>overruled</t>
        </is>
      </c>
      <c r="F707" s="2" t="inlineStr">
        <is>
          <t>State through Superintendent of Police, CBI/SIT v. Nalini and Others</t>
        </is>
      </c>
      <c r="G707" s="11" t="inlineStr"/>
      <c r="H707" s="11" t="inlineStr">
        <is>
          <t>Supreme Court</t>
        </is>
      </c>
      <c r="I707" s="2" t="inlineStr">
        <is>
          <t>AIR 1999 SC 2640; (1999) CriLJ 3124; (1999) 4 JT 106; (1999) 3 SCALE 241; (1999) 5 SCC 253; (1999) 3 SCR 1; (1999) AIRSCW 1889; (1999) 5 Supreme 60</t>
        </is>
      </c>
      <c r="J707" s="11" t="n">
        <v>1999</v>
      </c>
      <c r="K707" s="2" t="inlineStr">
        <is>
          <t>Bilal Ahmed Kaloo v. State of Andhra Pradesh</t>
        </is>
      </c>
      <c r="L707" s="11" t="inlineStr">
        <is>
          <t>Supreme Court</t>
        </is>
      </c>
      <c r="M707" s="2" t="inlineStr">
        <is>
          <t>AIR 1997 SC 3483; (1997) CriLJ 4091; (1997) 3 Crimes 130; (1997) 7 JT 272; (1997) 5 SCALE 399; (1997) 7 SCC 431; (1997) 3 SCR 327 Supp; (1997) AIRSCW 3574; (1997) 7 Supreme 122</t>
        </is>
      </c>
      <c r="N707" s="11" t="n">
        <v>1997</v>
      </c>
      <c r="O707" s="11" t="n"/>
      <c r="P707" s="11" t="n"/>
      <c r="Q707" s="11" t="n"/>
      <c r="R707" s="2" t="n"/>
      <c r="S707" s="2" t="n"/>
      <c r="T707" s="11" t="inlineStr"/>
      <c r="U707" s="11" t="inlineStr">
        <is>
          <t>year_order_check</t>
        </is>
      </c>
      <c r="V707" s="11" t="inlineStr">
        <is>
          <t>outside_list</t>
        </is>
      </c>
      <c r="W707" s="11" t="n"/>
      <c r="X707" s="11" t="n"/>
      <c r="Y707" s="11" t="n"/>
      <c r="Z707" s="11" t="inlineStr">
        <is>
          <t>Mr. Advocate</t>
        </is>
      </c>
      <c r="AA707" s="11" t="inlineStr">
        <is>
          <t>2026-10-07</t>
        </is>
      </c>
      <c r="AB707" s="11" t="inlineStr">
        <is>
          <t>name_year</t>
        </is>
      </c>
      <c r="AC707" s="2" t="inlineStr">
        <is>
          <t>L1-0702: overruled by State through Superintendent of Police, CBI/SIT v. Nalini and Others (1999)</t>
        </is>
      </c>
      <c r="AD707" s="2" t="inlineStr">
        <is>
          <t>State through Superintendent of Police, CBI/SIT v. Nalini and Others (1999) was overruled by Bilal Ahmed Kaloo v. State of Andhra Pradesh (1997). Note: Bilal Ahmed Kaloo v. State of Andhra Pradesh was itself later overruled by State through Superintendent of Police, CBI/SIT v. Nalini and Others (1999); the current position should be checked.</t>
        </is>
      </c>
      <c r="AE707" s="2" t="n"/>
      <c r="AF707" s="11" t="inlineStr">
        <is>
          <t>created from list 1</t>
        </is>
      </c>
    </row>
    <row r="708">
      <c r="A708" s="11" t="inlineStr">
        <is>
          <t>L1-0707</t>
        </is>
      </c>
      <c r="B708" s="11" t="inlineStr">
        <is>
          <t>List 1 (to ~2015)</t>
        </is>
      </c>
      <c r="C708" s="11" t="inlineStr">
        <is>
          <t>list1</t>
        </is>
      </c>
      <c r="D708" s="11" t="inlineStr">
        <is>
          <t>verified</t>
        </is>
      </c>
      <c r="E708" s="11" t="inlineStr">
        <is>
          <t>overruled</t>
        </is>
      </c>
      <c r="F708" s="2" t="inlineStr">
        <is>
          <t>Shanmugam @ Kulandaivelu v. State of Tamil Nadu</t>
        </is>
      </c>
      <c r="G708" s="11" t="inlineStr"/>
      <c r="H708" s="11" t="inlineStr">
        <is>
          <t>Supreme Court</t>
        </is>
      </c>
      <c r="I708" s="2" t="inlineStr">
        <is>
          <t>AIR 2003 SC 209; (2003) CriLJ 418; (2002) 9 JT 518; (2002) 10 SCC 4</t>
        </is>
      </c>
      <c r="J708" s="11" t="n">
        <v>2003</v>
      </c>
      <c r="K708" s="2" t="inlineStr">
        <is>
          <t>Paparambaka Rosamma and Others v. State of Andhra Pradesh</t>
        </is>
      </c>
      <c r="L708" s="11" t="inlineStr">
        <is>
          <t>Supreme Court</t>
        </is>
      </c>
      <c r="M708" s="2" t="inlineStr">
        <is>
          <t>AIR 1999 SC 3455; (1999) CriLJ 4321; (1999) 3 Crimes 150; (1999) 6 JT 585; (1999) 5 SCALE 451; (1999) 7 SCC 695; (1999) 2 SCR 328 Supp; (1999) 2 UJ 1440; (1999) AIRSCW 3440; (1999) 7 Supreme 640</t>
        </is>
      </c>
      <c r="N708" s="11" t="n">
        <v>1999</v>
      </c>
      <c r="O708" s="11" t="n"/>
      <c r="P708" s="11" t="n"/>
      <c r="Q708" s="11" t="n"/>
      <c r="R708" s="2" t="n"/>
      <c r="S708" s="2" t="n"/>
      <c r="T708" s="11" t="inlineStr"/>
      <c r="U708" s="11" t="inlineStr">
        <is>
          <t>year_order_check</t>
        </is>
      </c>
      <c r="V708" s="11" t="inlineStr">
        <is>
          <t>outside_list</t>
        </is>
      </c>
      <c r="W708" s="11" t="n"/>
      <c r="X708" s="11" t="n"/>
      <c r="Y708" s="11" t="n"/>
      <c r="Z708" s="11" t="inlineStr">
        <is>
          <t>Mr. Advocate</t>
        </is>
      </c>
      <c r="AA708" s="11" t="inlineStr">
        <is>
          <t>2026-10-07</t>
        </is>
      </c>
      <c r="AB708" s="11" t="inlineStr">
        <is>
          <t>name_year</t>
        </is>
      </c>
      <c r="AC708" s="2" t="inlineStr">
        <is>
          <t>L1-0292: overruled by Shanmugam @ Kulandaivelu v. State of Tamil Nadu (2003)</t>
        </is>
      </c>
      <c r="AD708" s="2" t="inlineStr">
        <is>
          <t>Shanmugam @ Kulandaivelu v. State of Tamil Nadu (2003) was overruled by Paparambaka Rosamma and Others v. State of Andhra Pradesh (1999). Note: Paparambaka Rosamma and Others v. State of Andhra Pradesh was itself later overruled by Shanmugam @ Kulandaivelu v. State of Tamil Nadu (2003); the current position should be checked.</t>
        </is>
      </c>
      <c r="AE708" s="2" t="n"/>
      <c r="AF708" s="11" t="inlineStr">
        <is>
          <t>created from list 1</t>
        </is>
      </c>
    </row>
    <row r="709">
      <c r="A709" s="11" t="inlineStr">
        <is>
          <t>L1-0708</t>
        </is>
      </c>
      <c r="B709" s="11" t="inlineStr">
        <is>
          <t>List 1 (to ~2015)</t>
        </is>
      </c>
      <c r="C709" s="11" t="inlineStr">
        <is>
          <t>list1</t>
        </is>
      </c>
      <c r="D709" s="11" t="inlineStr">
        <is>
          <t>verified</t>
        </is>
      </c>
      <c r="E709" s="11" t="inlineStr">
        <is>
          <t>overruled</t>
        </is>
      </c>
      <c r="F709" s="2" t="inlineStr">
        <is>
          <t>Afzal and Another v. State of Haryana and Others</t>
        </is>
      </c>
      <c r="G709" s="11" t="inlineStr"/>
      <c r="H709" s="11" t="inlineStr">
        <is>
          <t>Supreme Court</t>
        </is>
      </c>
      <c r="I709" s="2" t="inlineStr">
        <is>
          <t>(1994) 3 Crimes 593; (1994) 7 JT 167; (1994) 4 SCALE 671; (1995) 2 SCC 388 Supp</t>
        </is>
      </c>
      <c r="J709" s="11" t="n">
        <v>1994</v>
      </c>
      <c r="K709" s="2" t="inlineStr">
        <is>
          <t>M.S. Ahlawat v. State of Haryana and Another</t>
        </is>
      </c>
      <c r="L709" s="11" t="inlineStr">
        <is>
          <t>Supreme Court</t>
        </is>
      </c>
      <c r="M709" s="2" t="inlineStr">
        <is>
          <t>AIR 2000 SC 168; (2000) CriLJ 388; (1999) 4 Crimes 297; (1999) 8 JT 530; (1999) 6 SCALE 648; (2000) 1 SCC 278; (1999) AIRSCW 4255; (1999) 9 Supreme 21</t>
        </is>
      </c>
      <c r="N709" s="11" t="n">
        <v>2000</v>
      </c>
      <c r="O709" s="11" t="n"/>
      <c r="P709" s="11" t="n"/>
      <c r="Q709" s="11" t="n"/>
      <c r="R709" s="2" t="n"/>
      <c r="S709" s="2" t="n"/>
      <c r="T709" s="11" t="inlineStr"/>
      <c r="U709" s="11" t="inlineStr"/>
      <c r="V709" s="11" t="inlineStr">
        <is>
          <t>outside_list</t>
        </is>
      </c>
      <c r="W709" s="11" t="n"/>
      <c r="X709" s="11" t="n"/>
      <c r="Y709" s="11" t="n"/>
      <c r="Z709" s="11" t="inlineStr">
        <is>
          <t>Mr. Advocate</t>
        </is>
      </c>
      <c r="AA709" s="11" t="inlineStr">
        <is>
          <t>2026-10-07</t>
        </is>
      </c>
      <c r="AB709" s="11" t="inlineStr">
        <is>
          <t>name_year</t>
        </is>
      </c>
      <c r="AC709" s="2" t="inlineStr"/>
      <c r="AD709" s="2" t="inlineStr">
        <is>
          <t>Afzal and Another v. State of Haryana and Others (1994) was overruled by M.S. Ahlawat v. State of Haryana and Another (2000).</t>
        </is>
      </c>
      <c r="AE709" s="2" t="n"/>
      <c r="AF709" s="11" t="inlineStr">
        <is>
          <t>created from list 1</t>
        </is>
      </c>
    </row>
    <row r="710">
      <c r="A710" s="11" t="inlineStr">
        <is>
          <t>L1-0709</t>
        </is>
      </c>
      <c r="B710" s="11" t="inlineStr">
        <is>
          <t>List 1 (to ~2015)</t>
        </is>
      </c>
      <c r="C710" s="11" t="inlineStr">
        <is>
          <t>list1</t>
        </is>
      </c>
      <c r="D710" s="11" t="inlineStr">
        <is>
          <t>verified</t>
        </is>
      </c>
      <c r="E710" s="11" t="inlineStr">
        <is>
          <t>overruled</t>
        </is>
      </c>
      <c r="F710" s="2" t="inlineStr">
        <is>
          <t>M.P. Cooperative Bank Ltd., Jabalpur v. Addl. Commissioner of Income Tax, M.P. Bhopal</t>
        </is>
      </c>
      <c r="G710" s="11" t="inlineStr"/>
      <c r="H710" s="11" t="inlineStr">
        <is>
          <t>Supreme Court</t>
        </is>
      </c>
      <c r="I710" s="2" t="inlineStr">
        <is>
          <t>(1996) 218 ITR 438; (1996) 1 JT 487; (1996) 1 SCALE 511; (1996) 2 SCC 541; (1996) 1 SCR 773</t>
        </is>
      </c>
      <c r="J710" s="11" t="n">
        <v>1996</v>
      </c>
      <c r="K710" s="2" t="inlineStr">
        <is>
          <t>Commissioner of Income Tax, Karnataka-III v. Karnataka State Cooperative Apex Bank</t>
        </is>
      </c>
      <c r="L710" s="11" t="inlineStr">
        <is>
          <t>Supreme Court</t>
        </is>
      </c>
      <c r="M710" s="2" t="inlineStr">
        <is>
          <t>(2001) 7 JT 42; (2001) 5 SCALE 411; (2001) 7 SCC 654</t>
        </is>
      </c>
      <c r="N710" s="11" t="n">
        <v>2001</v>
      </c>
      <c r="O710" s="11" t="n"/>
      <c r="P710" s="11" t="n"/>
      <c r="Q710" s="11" t="n"/>
      <c r="R710" s="2" t="n"/>
      <c r="S710" s="2" t="n"/>
      <c r="T710" s="11" t="inlineStr"/>
      <c r="U710" s="11" t="inlineStr"/>
      <c r="V710" s="11" t="inlineStr">
        <is>
          <t>outside_list</t>
        </is>
      </c>
      <c r="W710" s="11" t="n"/>
      <c r="X710" s="11" t="n"/>
      <c r="Y710" s="11" t="n"/>
      <c r="Z710" s="11" t="inlineStr">
        <is>
          <t>Mr. Advocate</t>
        </is>
      </c>
      <c r="AA710" s="11" t="inlineStr">
        <is>
          <t>2026-10-07</t>
        </is>
      </c>
      <c r="AB710" s="11" t="inlineStr">
        <is>
          <t>name_year</t>
        </is>
      </c>
      <c r="AC710" s="2" t="inlineStr"/>
      <c r="AD710" s="2" t="inlineStr">
        <is>
          <t>M.P. Cooperative Bank Ltd., Jabalpur v. Addl. Commissioner of Income Tax, M.P. Bhopal (1996) was overruled by Commissioner of Income Tax, Karnataka-III v. Karnataka State Cooperative Apex Bank (2001).</t>
        </is>
      </c>
      <c r="AE710" s="2" t="n"/>
      <c r="AF710" s="11" t="inlineStr">
        <is>
          <t>created from list 1</t>
        </is>
      </c>
    </row>
    <row r="711">
      <c r="A711" s="11" t="inlineStr">
        <is>
          <t>L1-0710</t>
        </is>
      </c>
      <c r="B711" s="11" t="inlineStr">
        <is>
          <t>List 1 (to ~2015)</t>
        </is>
      </c>
      <c r="C711" s="11" t="inlineStr">
        <is>
          <t>list1</t>
        </is>
      </c>
      <c r="D711" s="11" t="inlineStr">
        <is>
          <t>verified</t>
        </is>
      </c>
      <c r="E711" s="11" t="inlineStr">
        <is>
          <t>overruled</t>
        </is>
      </c>
      <c r="F711" s="2" t="inlineStr">
        <is>
          <t>Yadavrao P. Pathade (Dead) by Lrs. and Others v. State of Maharashtra</t>
        </is>
      </c>
      <c r="G711" s="11" t="inlineStr"/>
      <c r="H711" s="11" t="inlineStr">
        <is>
          <t>Supreme Court</t>
        </is>
      </c>
      <c r="I711" s="2" t="inlineStr">
        <is>
          <t>(1996) 2 JT 240; (1996) 2 SCALE 96; (1996) 2 SCC 570; (1996) 1 SCR 965</t>
        </is>
      </c>
      <c r="J711" s="11" t="n">
        <v>1996</v>
      </c>
      <c r="K711" s="2" t="inlineStr">
        <is>
          <t>Sunder v. Union of India</t>
        </is>
      </c>
      <c r="L711" s="11" t="inlineStr">
        <is>
          <t>Supreme Court</t>
        </is>
      </c>
      <c r="M711" s="2" t="inlineStr">
        <is>
          <t>AIR 2001 SC 3516; (2001) 8 JT 130; (2001) 6 SCALE 405; (2001) 7 SCC 211; (2001) AIRSCW 3692; (2001) 7 Supreme 37</t>
        </is>
      </c>
      <c r="N711" s="11" t="n">
        <v>2001</v>
      </c>
      <c r="O711" s="11" t="n"/>
      <c r="P711" s="11" t="n"/>
      <c r="Q711" s="11" t="n"/>
      <c r="R711" s="2" t="n"/>
      <c r="S711" s="2" t="n"/>
      <c r="T711" s="11" t="inlineStr"/>
      <c r="U711" s="11" t="inlineStr"/>
      <c r="V711" s="11" t="inlineStr">
        <is>
          <t>outside_list</t>
        </is>
      </c>
      <c r="W711" s="11" t="n"/>
      <c r="X711" s="11" t="n"/>
      <c r="Y711" s="11" t="n"/>
      <c r="Z711" s="11" t="inlineStr">
        <is>
          <t>Mr. Advocate</t>
        </is>
      </c>
      <c r="AA711" s="11" t="inlineStr">
        <is>
          <t>2026-10-07</t>
        </is>
      </c>
      <c r="AB711" s="11" t="inlineStr">
        <is>
          <t>name_year</t>
        </is>
      </c>
      <c r="AC711" s="2" t="inlineStr"/>
      <c r="AD711" s="2" t="inlineStr">
        <is>
          <t>Yadavrao P. Pathade (Dead) by Lrs. and Others v. State of Maharashtra (1996) was overruled by Sunder v. Union of India (2001).</t>
        </is>
      </c>
      <c r="AE711" s="2" t="n"/>
      <c r="AF711" s="11" t="inlineStr">
        <is>
          <t>created from list 1</t>
        </is>
      </c>
    </row>
    <row r="712">
      <c r="A712" s="11" t="inlineStr">
        <is>
          <t>L1-0711</t>
        </is>
      </c>
      <c r="B712" s="11" t="inlineStr">
        <is>
          <t>List 1 (to ~2015)</t>
        </is>
      </c>
      <c r="C712" s="11" t="inlineStr">
        <is>
          <t>list1</t>
        </is>
      </c>
      <c r="D712" s="11" t="inlineStr">
        <is>
          <t>verified</t>
        </is>
      </c>
      <c r="E712" s="11" t="inlineStr">
        <is>
          <t>overruled</t>
        </is>
      </c>
      <c r="F712" s="2" t="inlineStr">
        <is>
          <t>N. Narasimhaiah and Others v. State of Karnataka and Others and Union of India (UOI) and Others</t>
        </is>
      </c>
      <c r="G712" s="11" t="inlineStr"/>
      <c r="H712" s="11" t="inlineStr">
        <is>
          <t>Supreme Court</t>
        </is>
      </c>
      <c r="I712" s="2" t="inlineStr">
        <is>
          <t>(1996) 2 AD 177; (1996) 2 JT 269; (1996) 2 SCALE 170; (1996) 3 SCC 88; (1996) 1 SCR 698</t>
        </is>
      </c>
      <c r="J712" s="11" t="n">
        <v>1996</v>
      </c>
      <c r="K712" s="2" t="inlineStr">
        <is>
          <t>Padmasundara Rao and Others v. State of Tamil Nadu and Others</t>
        </is>
      </c>
      <c r="L712" s="11" t="inlineStr">
        <is>
          <t>Supreme Court</t>
        </is>
      </c>
      <c r="M712" s="2" t="inlineStr">
        <is>
          <t>AIR 2002 SC 1334; (2002) 176 CTR 104; (2002) 255 ITR 147; (2002) 3 JT 1; (2002) 2 SCALE 580; (2002) 3 SCC 533; (2002) 37 SCL 425; (2002) 2 SCR 383; (2002) 170 TAXMAN 303; (2002) AIRSCW 1156; (2002) 2 Supreme 359</t>
        </is>
      </c>
      <c r="N712" s="11" t="n">
        <v>2002</v>
      </c>
      <c r="O712" s="11" t="n"/>
      <c r="P712" s="11" t="n"/>
      <c r="Q712" s="11" t="n"/>
      <c r="R712" s="2" t="n"/>
      <c r="S712" s="2" t="n"/>
      <c r="T712" s="11" t="inlineStr"/>
      <c r="U712" s="11" t="inlineStr"/>
      <c r="V712" s="11" t="inlineStr">
        <is>
          <t>outside_list</t>
        </is>
      </c>
      <c r="W712" s="11" t="n"/>
      <c r="X712" s="11" t="n"/>
      <c r="Y712" s="11" t="n"/>
      <c r="Z712" s="11" t="inlineStr">
        <is>
          <t>Mr. Advocate</t>
        </is>
      </c>
      <c r="AA712" s="11" t="inlineStr">
        <is>
          <t>2026-10-07</t>
        </is>
      </c>
      <c r="AB712" s="11" t="inlineStr">
        <is>
          <t>name_year</t>
        </is>
      </c>
      <c r="AC712" s="2" t="inlineStr"/>
      <c r="AD712" s="2" t="inlineStr">
        <is>
          <t>N. Narasimhaiah and Others v. State of Karnataka and Others and Union of India (UOI) and Others (1996) was overruled by Padmasundara Rao and Others v. State of Tamil Nadu and Others (2002).</t>
        </is>
      </c>
      <c r="AE712" s="2" t="n"/>
      <c r="AF712" s="11" t="inlineStr">
        <is>
          <t>created from list 1</t>
        </is>
      </c>
    </row>
    <row r="713">
      <c r="A713" s="11" t="inlineStr">
        <is>
          <t>L1-0712</t>
        </is>
      </c>
      <c r="B713" s="11" t="inlineStr">
        <is>
          <t>List 1 (to ~2015)</t>
        </is>
      </c>
      <c r="C713" s="11" t="inlineStr">
        <is>
          <t>list1</t>
        </is>
      </c>
      <c r="D713" s="11" t="inlineStr">
        <is>
          <t>verified</t>
        </is>
      </c>
      <c r="E713" s="11" t="inlineStr">
        <is>
          <t>overruled</t>
        </is>
      </c>
      <c r="F713" s="2" t="inlineStr">
        <is>
          <t>Garware Nylons Ltd. v. Collector of Customs and Central Excise, Pune</t>
        </is>
      </c>
      <c r="G713" s="11" t="inlineStr"/>
      <c r="H713" s="11" t="inlineStr">
        <is>
          <t>Supreme Court</t>
        </is>
      </c>
      <c r="I713" s="2" t="inlineStr">
        <is>
          <t>AIR 1999 SC 844; (1998) 77 ECR 682; (1998) 100 ELT 321; (1998) 8 SCC 282; (1998) AIRSCW 3928</t>
        </is>
      </c>
      <c r="J713" s="11" t="n">
        <v>1999</v>
      </c>
      <c r="K713" s="2" t="inlineStr">
        <is>
          <t>Union of India and Others v. M/s. Ganesh Das Bhojraj</t>
        </is>
      </c>
      <c r="L713" s="11" t="inlineStr">
        <is>
          <t>Supreme Court</t>
        </is>
      </c>
      <c r="M713" s="2" t="inlineStr">
        <is>
          <t>AIR 2000 SC 1102; (2000) 68 ECC 382; (2000) 116 ELT 431; (2000) 244 ITR 691; (2000) 2 JT 314; (2000) 2 SCALE 17; (2000) 9 SCC 461; (2000) 1 SCR 1081; (2000) 119 STC 293; (2000) 2 UJ 970; (2000) AIRSCW 764; (2000) 2 Supreme 525</t>
        </is>
      </c>
      <c r="N713" s="11" t="n">
        <v>2000</v>
      </c>
      <c r="O713" s="11" t="n"/>
      <c r="P713" s="11" t="n"/>
      <c r="Q713" s="11" t="n"/>
      <c r="R713" s="2" t="n"/>
      <c r="S713" s="2" t="n"/>
      <c r="T713" s="11" t="inlineStr"/>
      <c r="U713" s="11" t="inlineStr"/>
      <c r="V713" s="11" t="inlineStr">
        <is>
          <t>outside_list</t>
        </is>
      </c>
      <c r="W713" s="11" t="n"/>
      <c r="X713" s="11" t="n"/>
      <c r="Y713" s="11" t="n"/>
      <c r="Z713" s="11" t="inlineStr">
        <is>
          <t>Mr. Advocate</t>
        </is>
      </c>
      <c r="AA713" s="11" t="inlineStr">
        <is>
          <t>2026-10-07</t>
        </is>
      </c>
      <c r="AB713" s="11" t="inlineStr">
        <is>
          <t>name_year</t>
        </is>
      </c>
      <c r="AC713" s="2" t="inlineStr"/>
      <c r="AD713" s="2" t="inlineStr">
        <is>
          <t>Garware Nylons Ltd. v. Collector of Customs and Central Excise, Pune (1999) was overruled by Union of India and Others v. M/s. Ganesh Das Bhojraj (2000).</t>
        </is>
      </c>
      <c r="AE713" s="2" t="n"/>
      <c r="AF713" s="11" t="inlineStr">
        <is>
          <t>created from list 1</t>
        </is>
      </c>
    </row>
    <row r="714">
      <c r="A714" s="11" t="inlineStr">
        <is>
          <t>L1-0713</t>
        </is>
      </c>
      <c r="B714" s="11" t="inlineStr">
        <is>
          <t>List 1 (to ~2015)</t>
        </is>
      </c>
      <c r="C714" s="11" t="inlineStr">
        <is>
          <t>list1</t>
        </is>
      </c>
      <c r="D714" s="11" t="inlineStr">
        <is>
          <t>verified</t>
        </is>
      </c>
      <c r="E714" s="11" t="inlineStr">
        <is>
          <t>overruled</t>
        </is>
      </c>
      <c r="F714" s="2" t="inlineStr">
        <is>
          <t>Ashok Kumar Gupta and Another v. State of U.P. and Others</t>
        </is>
      </c>
      <c r="G714" s="11" t="inlineStr"/>
      <c r="H714" s="11" t="inlineStr">
        <is>
          <t>Supreme Court</t>
        </is>
      </c>
      <c r="I714" s="2" t="inlineStr">
        <is>
          <t>(1997) 4 JT 251; (1997) 3 SCALE 289; (1997) 3 SCALE 288; (1997) 5 SCC 201; (1997) SCC(L&amp;S) 1299; (1997) 3 SCR 269</t>
        </is>
      </c>
      <c r="J714" s="11" t="n">
        <v>1997</v>
      </c>
      <c r="K714" s="2" t="inlineStr">
        <is>
          <t>Ajit Singh and Others v. The State of Punjab and Others</t>
        </is>
      </c>
      <c r="L714" s="11" t="inlineStr">
        <is>
          <t>Supreme Court</t>
        </is>
      </c>
      <c r="M714" s="2" t="inlineStr">
        <is>
          <t>AIR 1999 SC 3471; (1999) 7 JT 153; (1999) 5 SCALE 556; (1999) 7 SCC 209; (1999) 2 SCR 521 Supp; (1999) AIRSCW 3460; (1999) 8 Supreme 211</t>
        </is>
      </c>
      <c r="N714" s="11" t="n">
        <v>1999</v>
      </c>
      <c r="O714" s="11" t="n"/>
      <c r="P714" s="11" t="n"/>
      <c r="Q714" s="11" t="n"/>
      <c r="R714" s="2" t="n"/>
      <c r="S714" s="2" t="n"/>
      <c r="T714" s="11" t="inlineStr"/>
      <c r="U714" s="11" t="inlineStr"/>
      <c r="V714" s="11" t="inlineStr">
        <is>
          <t>outside_list</t>
        </is>
      </c>
      <c r="W714" s="11" t="n"/>
      <c r="X714" s="11" t="n"/>
      <c r="Y714" s="11" t="n"/>
      <c r="Z714" s="11" t="inlineStr">
        <is>
          <t>Mr. Advocate</t>
        </is>
      </c>
      <c r="AA714" s="11" t="inlineStr">
        <is>
          <t>2026-10-07</t>
        </is>
      </c>
      <c r="AB714" s="11" t="inlineStr">
        <is>
          <t>name_year</t>
        </is>
      </c>
      <c r="AC714" s="2" t="inlineStr">
        <is>
          <t>L1-0312: overruled by Shiv Nath Prasad v. Saran Pal Jeet Singh Tulsi and Others (2008)</t>
        </is>
      </c>
      <c r="AD714" s="2" t="inlineStr">
        <is>
          <t>Ashok Kumar Gupta and Another v. State of U.P. and Others (1997) was overruled by Ajit Singh and Others v. The State of Punjab and Others (1999). Note: Ajit Singh and Others v. The State of Punjab and Others was itself later overruled by Shiv Nath Prasad v. Saran Pal Jeet Singh Tulsi and Others (2008); the current position should be checked.</t>
        </is>
      </c>
      <c r="AE714" s="2" t="n"/>
      <c r="AF714" s="11" t="inlineStr">
        <is>
          <t>created from list 1</t>
        </is>
      </c>
    </row>
    <row r="715">
      <c r="A715" s="11" t="inlineStr">
        <is>
          <t>L1-0714</t>
        </is>
      </c>
      <c r="B715" s="11" t="inlineStr">
        <is>
          <t>List 1 (to ~2015)</t>
        </is>
      </c>
      <c r="C715" s="11" t="inlineStr">
        <is>
          <t>list1</t>
        </is>
      </c>
      <c r="D715" s="11" t="inlineStr">
        <is>
          <t>verified</t>
        </is>
      </c>
      <c r="E715" s="11" t="inlineStr">
        <is>
          <t>overruled</t>
        </is>
      </c>
      <c r="F715" s="2" t="inlineStr">
        <is>
          <t>I.K. Sukhija and Others v. Union of India (UOI) and Others</t>
        </is>
      </c>
      <c r="G715" s="11" t="inlineStr"/>
      <c r="H715" s="11" t="inlineStr">
        <is>
          <t>Supreme Court</t>
        </is>
      </c>
      <c r="I715" s="2" t="inlineStr">
        <is>
          <t>AIR 1997 SC 2714; (1997) 6 JT 201; (1997) 4 SCALE 640; (1997) 6 SCC 406; (1997) SCC(L&amp;S) 1512; (1997) 1 SCR 627 Supp; (1999) 1 SLJ 88; (1997) 2 UJ 312; (1997) AIRSCW 2684; (1997) 7 Supreme 335</t>
        </is>
      </c>
      <c r="J715" s="11" t="n">
        <v>1997</v>
      </c>
      <c r="K715" s="2" t="inlineStr">
        <is>
          <t>All India Radio v. Shri Santosh Kumar and Another</t>
        </is>
      </c>
      <c r="L715" s="11" t="inlineStr">
        <is>
          <t>Supreme Court</t>
        </is>
      </c>
      <c r="M715" s="2" t="inlineStr">
        <is>
          <t>(1998) 1 AD 657; AIR 1998 SC 941; (1998) 1 JT 662; (1998) 118 PLR 799; (1998) 1 SCALE 538; (1998) 3 SCC 237; (1998) 1 SCR 702; (1998) 1 UJ 431; (1998) AIRSCW 701; (1998) 1 Supreme 503</t>
        </is>
      </c>
      <c r="N715" s="11" t="n">
        <v>1998</v>
      </c>
      <c r="O715" s="11" t="n"/>
      <c r="P715" s="11" t="n"/>
      <c r="Q715" s="11" t="n"/>
      <c r="R715" s="2" t="n"/>
      <c r="S715" s="2" t="n"/>
      <c r="T715" s="11" t="inlineStr"/>
      <c r="U715" s="11" t="inlineStr"/>
      <c r="V715" s="11" t="inlineStr">
        <is>
          <t>outside_list</t>
        </is>
      </c>
      <c r="W715" s="11" t="n"/>
      <c r="X715" s="11" t="n"/>
      <c r="Y715" s="11" t="n"/>
      <c r="Z715" s="11" t="inlineStr">
        <is>
          <t>Mr. Advocate</t>
        </is>
      </c>
      <c r="AA715" s="11" t="inlineStr">
        <is>
          <t>2026-10-07</t>
        </is>
      </c>
      <c r="AB715" s="11" t="inlineStr">
        <is>
          <t>name_year</t>
        </is>
      </c>
      <c r="AC715" s="2" t="inlineStr"/>
      <c r="AD715" s="2" t="inlineStr">
        <is>
          <t>I.K. Sukhija and Others v. Union of India (UOI) and Others (1997) was overruled by All India Radio v. Shri Santosh Kumar and Another (1998).</t>
        </is>
      </c>
      <c r="AE715" s="2" t="n"/>
      <c r="AF715" s="11" t="inlineStr">
        <is>
          <t>created from list 1</t>
        </is>
      </c>
    </row>
    <row r="716">
      <c r="A716" s="11" t="inlineStr">
        <is>
          <t>L1-0715</t>
        </is>
      </c>
      <c r="B716" s="11" t="inlineStr">
        <is>
          <t>List 1 (to ~2015)</t>
        </is>
      </c>
      <c r="C716" s="11" t="inlineStr">
        <is>
          <t>list1</t>
        </is>
      </c>
      <c r="D716" s="11" t="inlineStr">
        <is>
          <t>verified</t>
        </is>
      </c>
      <c r="E716" s="11" t="inlineStr">
        <is>
          <t>overruled</t>
        </is>
      </c>
      <c r="F716" s="2" t="inlineStr">
        <is>
          <t>K.K. Sidharthan v. T.P. Praveena Chandran and Another</t>
        </is>
      </c>
      <c r="G716" s="11" t="inlineStr"/>
      <c r="H716" s="11" t="inlineStr">
        <is>
          <t>Supreme Court</t>
        </is>
      </c>
      <c r="I716" s="2" t="inlineStr">
        <is>
          <t>(1996) 7 AD 337; (1996) 87 CompCas 685; (1996) 4 Crimes 102; (1997) 1 CTC 54; (1996) 9 JT 191; (1997) 115 PLR 233; (1996) 7 SCALE 454; (1996) 6 SCC 369; (1996) 7 SCR 248 Supp</t>
        </is>
      </c>
      <c r="J716" s="11" t="n">
        <v>1996</v>
      </c>
      <c r="K716" s="2" t="inlineStr">
        <is>
          <t>M/S Modi Cements Limited v. Shri Kuchil Kumar Nandi</t>
        </is>
      </c>
      <c r="L716" s="11" t="inlineStr">
        <is>
          <t>Supreme Court</t>
        </is>
      </c>
      <c r="M716" s="2" t="inlineStr">
        <is>
          <t>(1998) 2 AD 117; AIR 1998 SC 1057; (1998) 92 CompCas 88; (1998) CriLJ 1397; (1998) 1 Crimes 268; (1998) 1 CTC 402; (1998) 2 JT 198; (1999) 122 PLR 634; (1998) 2 SCALE 112; (1998) 3 SCC 249; (1998) 1 SCR 1192; (1998) AIRSCW 842; (1998) 2 Supreme 471</t>
        </is>
      </c>
      <c r="N716" s="11" t="n">
        <v>1998</v>
      </c>
      <c r="O716" s="11" t="n"/>
      <c r="P716" s="11" t="n"/>
      <c r="Q716" s="11" t="n"/>
      <c r="R716" s="2" t="n"/>
      <c r="S716" s="2" t="n"/>
      <c r="T716" s="11" t="inlineStr"/>
      <c r="U716" s="11" t="inlineStr"/>
      <c r="V716" s="11" t="inlineStr">
        <is>
          <t>outside_list</t>
        </is>
      </c>
      <c r="W716" s="11" t="n"/>
      <c r="X716" s="11" t="n"/>
      <c r="Y716" s="11" t="n"/>
      <c r="Z716" s="11" t="inlineStr">
        <is>
          <t>Mr. Advocate</t>
        </is>
      </c>
      <c r="AA716" s="11" t="inlineStr">
        <is>
          <t>2026-10-07</t>
        </is>
      </c>
      <c r="AB716" s="11" t="inlineStr">
        <is>
          <t>name_year</t>
        </is>
      </c>
      <c r="AC716" s="2" t="inlineStr"/>
      <c r="AD716" s="2" t="inlineStr">
        <is>
          <t>K.K. Sidharthan v. T.P. Praveena Chandran and Another (1996) was overruled by M/S Modi Cements Limited v. Shri Kuchil Kumar Nandi (1998).</t>
        </is>
      </c>
      <c r="AE716" s="2" t="n"/>
      <c r="AF716" s="11" t="inlineStr">
        <is>
          <t>created from list 1</t>
        </is>
      </c>
    </row>
    <row r="717">
      <c r="A717" s="11" t="inlineStr">
        <is>
          <t>L1-0716</t>
        </is>
      </c>
      <c r="B717" s="11" t="inlineStr">
        <is>
          <t>List 1 (to ~2015)</t>
        </is>
      </c>
      <c r="C717" s="11" t="inlineStr">
        <is>
          <t>list1</t>
        </is>
      </c>
      <c r="D717" s="11" t="inlineStr">
        <is>
          <t>verified</t>
        </is>
      </c>
      <c r="E717" s="11" t="inlineStr">
        <is>
          <t>overruled</t>
        </is>
      </c>
      <c r="F717" s="2" t="inlineStr">
        <is>
          <t>S. Vinod Kumar and Another v. Union of India (UOI) and Others</t>
        </is>
      </c>
      <c r="G717" s="11" t="inlineStr"/>
      <c r="H717" s="11" t="inlineStr">
        <is>
          <t>Supreme Court</t>
        </is>
      </c>
      <c r="I717" s="2" t="inlineStr">
        <is>
          <t>(1996) 7 AD 768; (1996) 8 JT 643; (1996) 7 SCALE 396; (1996) 6 SCC 580; (1996) 7 SCR 142 Supp; (1997) 1 SLJ 121</t>
        </is>
      </c>
      <c r="J717" s="11" t="n">
        <v>1996</v>
      </c>
      <c r="K717" s="2" t="inlineStr">
        <is>
          <t>Rohtas Bhankhar v. Union of India (UOI)</t>
        </is>
      </c>
      <c r="L717" s="11" t="inlineStr">
        <is>
          <t>Supreme Court</t>
        </is>
      </c>
      <c r="M717" s="2" t="inlineStr">
        <is>
          <t>(2014) 8 SCALE 594; (2014) 8 SCC 872</t>
        </is>
      </c>
      <c r="N717" s="11" t="n">
        <v>2014</v>
      </c>
      <c r="O717" s="11" t="n"/>
      <c r="P717" s="11" t="n"/>
      <c r="Q717" s="11" t="n"/>
      <c r="R717" s="2" t="n"/>
      <c r="S717" s="2" t="n"/>
      <c r="T717" s="11" t="inlineStr"/>
      <c r="U717" s="11" t="inlineStr"/>
      <c r="V717" s="11" t="inlineStr">
        <is>
          <t>outside_list</t>
        </is>
      </c>
      <c r="W717" s="11" t="n"/>
      <c r="X717" s="11" t="n"/>
      <c r="Y717" s="11" t="n"/>
      <c r="Z717" s="11" t="inlineStr">
        <is>
          <t>Mr. Advocate</t>
        </is>
      </c>
      <c r="AA717" s="11" t="inlineStr">
        <is>
          <t>2026-10-07</t>
        </is>
      </c>
      <c r="AB717" s="11" t="inlineStr">
        <is>
          <t>name_year</t>
        </is>
      </c>
      <c r="AC717" s="2" t="inlineStr"/>
      <c r="AD717" s="2" t="inlineStr">
        <is>
          <t>S. Vinod Kumar and Another v. Union of India (UOI) and Others (1996) was overruled by Rohtas Bhankhar v. Union of India (UOI) (2014).</t>
        </is>
      </c>
      <c r="AE717" s="2" t="n"/>
      <c r="AF717" s="11" t="inlineStr">
        <is>
          <t>created from list 1</t>
        </is>
      </c>
    </row>
    <row r="718">
      <c r="A718" s="11" t="inlineStr">
        <is>
          <t>L1-0717</t>
        </is>
      </c>
      <c r="B718" s="11" t="inlineStr">
        <is>
          <t>List 1 (to ~2015)</t>
        </is>
      </c>
      <c r="C718" s="11" t="inlineStr">
        <is>
          <t>list1</t>
        </is>
      </c>
      <c r="D718" s="11" t="inlineStr">
        <is>
          <t>verified</t>
        </is>
      </c>
      <c r="E718" s="11" t="inlineStr">
        <is>
          <t>overruled</t>
        </is>
      </c>
      <c r="F718" s="2" t="inlineStr">
        <is>
          <t>Mohd. Yunus v. State of Gujarat</t>
        </is>
      </c>
      <c r="G718" s="11" t="inlineStr"/>
      <c r="H718" s="11" t="inlineStr">
        <is>
          <t>Supreme Court</t>
        </is>
      </c>
      <c r="I718" s="2" t="inlineStr">
        <is>
          <t>AIR 1998 SC 142; (1997) 8 JT 485; (1997) 6 SCALE 423; (1997) 8 SCC 459; (1997) 4 SCR 494 Supp</t>
        </is>
      </c>
      <c r="J718" s="11" t="n">
        <v>1998</v>
      </c>
      <c r="K718" s="2" t="inlineStr">
        <is>
          <t>Ashrafkhan @ Babu Munnekhan Pathan v. State of Gujarat</t>
        </is>
      </c>
      <c r="L718" s="11" t="inlineStr">
        <is>
          <t>Supreme Court</t>
        </is>
      </c>
      <c r="M718" s="2" t="inlineStr">
        <is>
          <t>AIR 2013 SC 217; (2013) CriLJ 226; (2012) 9 JT 661; (2012) 9 SCALE 413; (2012) 11 SCC 606</t>
        </is>
      </c>
      <c r="N718" s="11" t="n">
        <v>2013</v>
      </c>
      <c r="O718" s="11" t="n"/>
      <c r="P718" s="11" t="n"/>
      <c r="Q718" s="11" t="n"/>
      <c r="R718" s="2" t="n"/>
      <c r="S718" s="2" t="n"/>
      <c r="T718" s="11" t="inlineStr"/>
      <c r="U718" s="11" t="inlineStr"/>
      <c r="V718" s="11" t="inlineStr">
        <is>
          <t>outside_list</t>
        </is>
      </c>
      <c r="W718" s="11" t="n"/>
      <c r="X718" s="11" t="n"/>
      <c r="Y718" s="11" t="n"/>
      <c r="Z718" s="11" t="inlineStr">
        <is>
          <t>Mr. Advocate</t>
        </is>
      </c>
      <c r="AA718" s="11" t="inlineStr">
        <is>
          <t>2026-10-07</t>
        </is>
      </c>
      <c r="AB718" s="11" t="inlineStr">
        <is>
          <t>name_year</t>
        </is>
      </c>
      <c r="AC718" s="2" t="inlineStr"/>
      <c r="AD718" s="2" t="inlineStr">
        <is>
          <t>Mohd. Yunus v. State of Gujarat (1998) was overruled by Ashrafkhan @ Babu Munnekhan Pathan v. State of Gujarat (2013).</t>
        </is>
      </c>
      <c r="AE718" s="2" t="n"/>
      <c r="AF718" s="11" t="inlineStr">
        <is>
          <t>created from list 1</t>
        </is>
      </c>
    </row>
    <row r="719">
      <c r="A719" s="11" t="inlineStr">
        <is>
          <t>L1-0718</t>
        </is>
      </c>
      <c r="B719" s="11" t="inlineStr">
        <is>
          <t>List 1 (to ~2015)</t>
        </is>
      </c>
      <c r="C719" s="11" t="inlineStr">
        <is>
          <t>list1</t>
        </is>
      </c>
      <c r="D719" s="11" t="inlineStr">
        <is>
          <t>verified</t>
        </is>
      </c>
      <c r="E719" s="11" t="inlineStr">
        <is>
          <t>overruled</t>
        </is>
      </c>
      <c r="F719" s="2" t="inlineStr">
        <is>
          <t>Ashok Leyland Limited v. Union of India (UOI) and Others</t>
        </is>
      </c>
      <c r="G719" s="11" t="inlineStr"/>
      <c r="H719" s="11" t="inlineStr">
        <is>
          <t>Supreme Court</t>
        </is>
      </c>
      <c r="I719" s="2" t="inlineStr">
        <is>
          <t>(1997) 2 JT 666; (1997) 2 SCALE 242; (1997) 9 SCC 10; (1997) 2 SCR 224; (1997) 105 STC 152</t>
        </is>
      </c>
      <c r="J719" s="11" t="n">
        <v>1997</v>
      </c>
      <c r="K719" s="2" t="inlineStr">
        <is>
          <t>Ashok Leyland Ltd. v. State of Tamil Nadu and Another</t>
        </is>
      </c>
      <c r="L719" s="11" t="inlineStr">
        <is>
          <t>unknown</t>
        </is>
      </c>
      <c r="M719" s="2" t="inlineStr">
        <is>
          <t>(2004) 1 SCALE 224; (2004) 3 SCC 1; (2004) 1 SCR 306; (2004) 134 STC 473; (2004) AIRSCW 5361; (2004) 6 Supreme 407</t>
        </is>
      </c>
      <c r="N719" s="11" t="n">
        <v>2004</v>
      </c>
      <c r="O719" s="11" t="n"/>
      <c r="P719" s="11" t="n"/>
      <c r="Q719" s="11" t="n"/>
      <c r="R719" s="2" t="n"/>
      <c r="S719" s="2" t="n"/>
      <c r="T719" s="11" t="inlineStr"/>
      <c r="U719" s="11" t="inlineStr"/>
      <c r="V719" s="11" t="inlineStr">
        <is>
          <t>outside_list</t>
        </is>
      </c>
      <c r="W719" s="11" t="n"/>
      <c r="X719" s="11" t="n"/>
      <c r="Y719" s="11" t="n"/>
      <c r="Z719" s="11" t="inlineStr">
        <is>
          <t>Mr. Advocate</t>
        </is>
      </c>
      <c r="AA719" s="11" t="inlineStr">
        <is>
          <t>2026-10-07</t>
        </is>
      </c>
      <c r="AB719" s="11" t="inlineStr">
        <is>
          <t>name_year</t>
        </is>
      </c>
      <c r="AC719" s="2" t="inlineStr"/>
      <c r="AD719" s="2" t="inlineStr">
        <is>
          <t>Ashok Leyland Limited v. Union of India (UOI) and Others (1997) was overruled by Ashok Leyland Ltd. v. State of Tamil Nadu and Another (2004).</t>
        </is>
      </c>
      <c r="AE719" s="2" t="n"/>
      <c r="AF719" s="11" t="inlineStr">
        <is>
          <t>created from list 1</t>
        </is>
      </c>
    </row>
    <row r="720">
      <c r="A720" s="11" t="inlineStr">
        <is>
          <t>L1-0719</t>
        </is>
      </c>
      <c r="B720" s="11" t="inlineStr">
        <is>
          <t>List 1 (to ~2015)</t>
        </is>
      </c>
      <c r="C720" s="11" t="inlineStr">
        <is>
          <t>list1</t>
        </is>
      </c>
      <c r="D720" s="11" t="inlineStr">
        <is>
          <t>verified</t>
        </is>
      </c>
      <c r="E720" s="11" t="inlineStr">
        <is>
          <t>overruled</t>
        </is>
      </c>
      <c r="F720" s="2" t="inlineStr">
        <is>
          <t>Authorised Officer (Land Reforms) v. M.M. Krishnamurthy Chetty</t>
        </is>
      </c>
      <c r="G720" s="11" t="inlineStr"/>
      <c r="H720" s="11" t="inlineStr">
        <is>
          <t>Supreme Court</t>
        </is>
      </c>
      <c r="I720" s="2" t="inlineStr">
        <is>
          <t>(1998) 7 JT 503; (1998) 9 SCC 138</t>
        </is>
      </c>
      <c r="J720" s="11" t="n">
        <v>1998</v>
      </c>
      <c r="K720" s="2" t="inlineStr">
        <is>
          <t>Director of Settlements, Andhra Pradesh and Others v. M.R. Apparao and Another</t>
        </is>
      </c>
      <c r="L720" s="11" t="inlineStr">
        <is>
          <t>Supreme Court</t>
        </is>
      </c>
      <c r="M720" s="2" t="inlineStr">
        <is>
          <t>AIR 2002 SC 1598; (2002) 3 JT 304; (2002) 3 SCALE 122; (2002) 4 SCC 638; (2002) 2 SCR 661; (2002) AIRSCW 1504; (2002) 2 Supreme 584</t>
        </is>
      </c>
      <c r="N720" s="11" t="n">
        <v>2002</v>
      </c>
      <c r="O720" s="11" t="n"/>
      <c r="P720" s="11" t="n"/>
      <c r="Q720" s="11" t="n"/>
      <c r="R720" s="2" t="n"/>
      <c r="S720" s="2" t="n"/>
      <c r="T720" s="11" t="inlineStr"/>
      <c r="U720" s="11" t="inlineStr"/>
      <c r="V720" s="11" t="inlineStr">
        <is>
          <t>outside_list</t>
        </is>
      </c>
      <c r="W720" s="11" t="n"/>
      <c r="X720" s="11" t="n"/>
      <c r="Y720" s="11" t="n"/>
      <c r="Z720" s="11" t="inlineStr">
        <is>
          <t>Mr. Advocate</t>
        </is>
      </c>
      <c r="AA720" s="11" t="inlineStr">
        <is>
          <t>2026-10-07</t>
        </is>
      </c>
      <c r="AB720" s="11" t="inlineStr">
        <is>
          <t>name_year</t>
        </is>
      </c>
      <c r="AC720" s="2" t="inlineStr"/>
      <c r="AD720" s="2" t="inlineStr">
        <is>
          <t>Authorised Officer (Land Reforms) v. M.M. Krishnamurthy Chetty (1998) was overruled by Director of Settlements, Andhra Pradesh and Others v. M.R. Apparao and Another (2002).</t>
        </is>
      </c>
      <c r="AE720" s="2" t="n"/>
      <c r="AF720" s="11" t="inlineStr">
        <is>
          <t>created from list 1</t>
        </is>
      </c>
    </row>
    <row r="721">
      <c r="A721" s="11" t="inlineStr">
        <is>
          <t>L1-0720</t>
        </is>
      </c>
      <c r="B721" s="11" t="inlineStr">
        <is>
          <t>List 1 (to ~2015)</t>
        </is>
      </c>
      <c r="C721" s="11" t="inlineStr">
        <is>
          <t>list1</t>
        </is>
      </c>
      <c r="D721" s="11" t="inlineStr">
        <is>
          <t>verified</t>
        </is>
      </c>
      <c r="E721" s="11" t="inlineStr">
        <is>
          <t>overruled</t>
        </is>
      </c>
      <c r="F721" s="2" t="inlineStr">
        <is>
          <t>Cooch-Behar Contractors’ Association and Others v. State of W.B. and Others</t>
        </is>
      </c>
      <c r="G721" s="11" t="inlineStr"/>
      <c r="H721" s="11" t="inlineStr">
        <is>
          <t>Supreme Court</t>
        </is>
      </c>
      <c r="I721" s="2" t="inlineStr">
        <is>
          <t>(1996) 7 AD 154; (1996) 8 JT 343; (1996) 6 SCALE 440; (1996) 10 SCC 380; (1996) 6 SCR 57 Supp; (1996) 103 STC 477</t>
        </is>
      </c>
      <c r="J721" s="11" t="n">
        <v>1996</v>
      </c>
      <c r="K721" s="2" t="inlineStr">
        <is>
          <t>State of H.P. and Others v. Gujarat Ambuja Cement Ltd. and Another</t>
        </is>
      </c>
      <c r="L721" s="11" t="inlineStr">
        <is>
          <t>Supreme Court</t>
        </is>
      </c>
      <c r="M721" s="2" t="inlineStr">
        <is>
          <t>AIR 2005 SC 3936; (2005) 6 JT 298; (2005) 2 SCR 684 Supp; (2005) 142 STC 1; (2005) AIRSCW 3727; (2005) 5 Supreme 161</t>
        </is>
      </c>
      <c r="N721" s="11" t="n">
        <v>2005</v>
      </c>
      <c r="O721" s="11" t="n"/>
      <c r="P721" s="11" t="n"/>
      <c r="Q721" s="11" t="n"/>
      <c r="R721" s="2" t="n"/>
      <c r="S721" s="2" t="n"/>
      <c r="T721" s="11" t="inlineStr"/>
      <c r="U721" s="11" t="inlineStr"/>
      <c r="V721" s="11" t="inlineStr">
        <is>
          <t>outside_list</t>
        </is>
      </c>
      <c r="W721" s="11" t="n"/>
      <c r="X721" s="11" t="n"/>
      <c r="Y721" s="11" t="n"/>
      <c r="Z721" s="11" t="inlineStr">
        <is>
          <t>Mr. Advocate</t>
        </is>
      </c>
      <c r="AA721" s="11" t="inlineStr">
        <is>
          <t>2026-10-07</t>
        </is>
      </c>
      <c r="AB721" s="11" t="inlineStr">
        <is>
          <t>name_year</t>
        </is>
      </c>
      <c r="AC721" s="2" t="inlineStr"/>
      <c r="AD721" s="2" t="inlineStr">
        <is>
          <t>Cooch-Behar Contractors’ Association and Others v. State of W.B. and Others (1996) was overruled by State of H.P. and Others v. Gujarat Ambuja Cement Ltd. and Another (2005).</t>
        </is>
      </c>
      <c r="AE721" s="2" t="n"/>
      <c r="AF721" s="11" t="inlineStr">
        <is>
          <t>created from list 1</t>
        </is>
      </c>
    </row>
    <row r="722">
      <c r="A722" s="11" t="inlineStr">
        <is>
          <t>L1-0721</t>
        </is>
      </c>
      <c r="B722" s="11" t="inlineStr">
        <is>
          <t>List 1 (to ~2015)</t>
        </is>
      </c>
      <c r="C722" s="11" t="inlineStr">
        <is>
          <t>list1</t>
        </is>
      </c>
      <c r="D722" s="11" t="inlineStr">
        <is>
          <t>verified</t>
        </is>
      </c>
      <c r="E722" s="11" t="inlineStr">
        <is>
          <t>overruled</t>
        </is>
      </c>
      <c r="F722" s="2" t="inlineStr">
        <is>
          <t>Harish Makhija v. State of U.P. and Others</t>
        </is>
      </c>
      <c r="G722" s="11" t="inlineStr"/>
      <c r="H722" s="11" t="inlineStr">
        <is>
          <t>Supreme Court</t>
        </is>
      </c>
      <c r="I722" s="2" t="inlineStr">
        <is>
          <t>(1987) 3 SCC 432</t>
        </is>
      </c>
      <c r="J722" s="11" t="n">
        <v>1987</v>
      </c>
      <c r="K722" s="2" t="inlineStr">
        <is>
          <t>Sunil Fulchand Shah v. Union of India and Others</t>
        </is>
      </c>
      <c r="L722" s="11" t="inlineStr">
        <is>
          <t>Supreme Court</t>
        </is>
      </c>
      <c r="M722" s="2" t="inlineStr">
        <is>
          <t>AIR 2000 SC 1023; (2000) CriLJ 1444; (2000) 1 CTC 694; (2000) 68 ECC 209; (2000) 2 JT 230; (2000) 1 SCALE 660; (2000) 3 SCC 409; (2000) 1 SCR 945; (2000) AIRSCW 582; (2000) 4 Supreme 682</t>
        </is>
      </c>
      <c r="N722" s="11" t="n">
        <v>2000</v>
      </c>
      <c r="O722" s="11" t="n"/>
      <c r="P722" s="11" t="n"/>
      <c r="Q722" s="11" t="n"/>
      <c r="R722" s="2" t="n"/>
      <c r="S722" s="2" t="n"/>
      <c r="T722" s="11" t="inlineStr"/>
      <c r="U722" s="11" t="inlineStr"/>
      <c r="V722" s="11" t="inlineStr">
        <is>
          <t>outside_list</t>
        </is>
      </c>
      <c r="W722" s="11" t="n"/>
      <c r="X722" s="11" t="n"/>
      <c r="Y722" s="11" t="n"/>
      <c r="Z722" s="11" t="inlineStr">
        <is>
          <t>Mr. Advocate</t>
        </is>
      </c>
      <c r="AA722" s="11" t="inlineStr">
        <is>
          <t>2026-10-07</t>
        </is>
      </c>
      <c r="AB722" s="11" t="inlineStr">
        <is>
          <t>name_year</t>
        </is>
      </c>
      <c r="AC722" s="2" t="inlineStr"/>
      <c r="AD722" s="2" t="inlineStr">
        <is>
          <t>Harish Makhija v. State of U.P. and Others (1987) was overruled by Sunil Fulchand Shah v. Union of India and Others (2000).</t>
        </is>
      </c>
      <c r="AE722" s="2" t="n"/>
      <c r="AF722" s="11" t="inlineStr">
        <is>
          <t>created from list 1</t>
        </is>
      </c>
    </row>
    <row r="723">
      <c r="A723" s="11" t="inlineStr">
        <is>
          <t>L1-0722</t>
        </is>
      </c>
      <c r="B723" s="11" t="inlineStr">
        <is>
          <t>List 1 (to ~2015)</t>
        </is>
      </c>
      <c r="C723" s="11" t="inlineStr">
        <is>
          <t>list1</t>
        </is>
      </c>
      <c r="D723" s="11" t="inlineStr">
        <is>
          <t>verified</t>
        </is>
      </c>
      <c r="E723" s="11" t="inlineStr">
        <is>
          <t>overruled</t>
        </is>
      </c>
      <c r="F723" s="2" t="inlineStr">
        <is>
          <t>State Bank of India, Bhopal v. S.S. Koshal</t>
        </is>
      </c>
      <c r="G723" s="11" t="inlineStr"/>
      <c r="H723" s="11" t="inlineStr">
        <is>
          <t>Supreme Court</t>
        </is>
      </c>
      <c r="I723" s="2" t="inlineStr">
        <is>
          <t>(1994) 2 SCC 468 Supp</t>
        </is>
      </c>
      <c r="J723" s="11" t="n">
        <v>1994</v>
      </c>
      <c r="K723" s="2" t="inlineStr">
        <is>
          <t>State Bank of India and Others v. K.P. Narayanan Kutty</t>
        </is>
      </c>
      <c r="L723" s="11" t="inlineStr">
        <is>
          <t>Supreme Court</t>
        </is>
      </c>
      <c r="M723" s="2" t="inlineStr">
        <is>
          <t>AIR 2003 SC 1100; (2003) 96 FLR 998; (2003) 1 JT 479; (2003) 2 LLJ 1; (2003) 1 SCALE 383; (2003) 2 SCC 449; (2003) SCC(L&amp;S) 185; (2003) 1 SCR 391; (2003) 2 SLJ 36; (2003) 1 UJ 439; (2003) AIRSCW 634; (2003) 1 Supreme 778</t>
        </is>
      </c>
      <c r="N723" s="11" t="n">
        <v>2003</v>
      </c>
      <c r="O723" s="11" t="n"/>
      <c r="P723" s="11" t="n"/>
      <c r="Q723" s="11" t="n"/>
      <c r="R723" s="2" t="n"/>
      <c r="S723" s="2" t="n"/>
      <c r="T723" s="11" t="inlineStr"/>
      <c r="U723" s="11" t="inlineStr"/>
      <c r="V723" s="11" t="inlineStr">
        <is>
          <t>outside_list</t>
        </is>
      </c>
      <c r="W723" s="11" t="n"/>
      <c r="X723" s="11" t="n"/>
      <c r="Y723" s="11" t="n"/>
      <c r="Z723" s="11" t="inlineStr">
        <is>
          <t>Mr. Advocate</t>
        </is>
      </c>
      <c r="AA723" s="11" t="inlineStr">
        <is>
          <t>2026-10-07</t>
        </is>
      </c>
      <c r="AB723" s="11" t="inlineStr">
        <is>
          <t>name_year</t>
        </is>
      </c>
      <c r="AC723" s="2" t="inlineStr"/>
      <c r="AD723" s="2" t="inlineStr">
        <is>
          <t>State Bank of India, Bhopal v. S.S. Koshal (1994) was overruled by State Bank of India and Others v. K.P. Narayanan Kutty (2003).</t>
        </is>
      </c>
      <c r="AE723" s="2" t="n"/>
      <c r="AF723" s="11" t="inlineStr">
        <is>
          <t>created from list 1</t>
        </is>
      </c>
    </row>
    <row r="724">
      <c r="A724" s="11" t="inlineStr">
        <is>
          <t>L1-0723</t>
        </is>
      </c>
      <c r="B724" s="11" t="inlineStr">
        <is>
          <t>List 1 (to ~2015)</t>
        </is>
      </c>
      <c r="C724" s="11" t="inlineStr">
        <is>
          <t>list1</t>
        </is>
      </c>
      <c r="D724" s="11" t="inlineStr">
        <is>
          <t>verified</t>
        </is>
      </c>
      <c r="E724" s="11" t="inlineStr">
        <is>
          <t>overruled</t>
        </is>
      </c>
      <c r="F724" s="2" t="inlineStr">
        <is>
          <t>Mohan Lal v. Raghunath Singh</t>
        </is>
      </c>
      <c r="G724" s="11" t="inlineStr"/>
      <c r="H724" s="11" t="inlineStr">
        <is>
          <t>Supreme Court</t>
        </is>
      </c>
      <c r="I724" s="2" t="inlineStr">
        <is>
          <t>(1994) 1 SCC 505 Supp</t>
        </is>
      </c>
      <c r="J724" s="11" t="n">
        <v>1994</v>
      </c>
      <c r="K724" s="2" t="inlineStr">
        <is>
          <t>P.R. Deshpande v. Maruti Balaram Haibatti</t>
        </is>
      </c>
      <c r="L724" s="11" t="inlineStr">
        <is>
          <t>Supreme Court</t>
        </is>
      </c>
      <c r="M724" s="2" t="inlineStr">
        <is>
          <t>(1998) 6 AD 325; AIR 1998 SC 2979; (1998) 5 JT 390; (1999) 121 PLR 421; (1998) 4 SCALE 426; (1998) 6 SCC 507; (1998) 3 SCR 1079; (1998) AIRSCW 2830; (1998) 6 Supreme 303</t>
        </is>
      </c>
      <c r="N724" s="11" t="n">
        <v>1998</v>
      </c>
      <c r="O724" s="11" t="n"/>
      <c r="P724" s="11" t="n"/>
      <c r="Q724" s="11" t="n"/>
      <c r="R724" s="2" t="n"/>
      <c r="S724" s="2" t="n"/>
      <c r="T724" s="11" t="inlineStr"/>
      <c r="U724" s="11" t="inlineStr"/>
      <c r="V724" s="11" t="inlineStr">
        <is>
          <t>outside_list</t>
        </is>
      </c>
      <c r="W724" s="11" t="n"/>
      <c r="X724" s="11" t="n"/>
      <c r="Y724" s="11" t="n"/>
      <c r="Z724" s="11" t="inlineStr">
        <is>
          <t>Mr. Advocate</t>
        </is>
      </c>
      <c r="AA724" s="11" t="inlineStr">
        <is>
          <t>2026-10-07</t>
        </is>
      </c>
      <c r="AB724" s="11" t="inlineStr">
        <is>
          <t>name_year</t>
        </is>
      </c>
      <c r="AC724" s="2" t="inlineStr"/>
      <c r="AD724" s="2" t="inlineStr">
        <is>
          <t>Mohan Lal v. Raghunath Singh (1994) was overruled by P.R. Deshpande v. Maruti Balaram Haibatti (1998).</t>
        </is>
      </c>
      <c r="AE724" s="2" t="n"/>
      <c r="AF724" s="11" t="inlineStr">
        <is>
          <t>created from list 1</t>
        </is>
      </c>
    </row>
    <row r="725">
      <c r="A725" s="11" t="inlineStr">
        <is>
          <t>L1-0724</t>
        </is>
      </c>
      <c r="B725" s="11" t="inlineStr">
        <is>
          <t>List 1 (to ~2015)</t>
        </is>
      </c>
      <c r="C725" s="11" t="inlineStr">
        <is>
          <t>list1</t>
        </is>
      </c>
      <c r="D725" s="11" t="inlineStr">
        <is>
          <t>verified</t>
        </is>
      </c>
      <c r="E725" s="11" t="inlineStr">
        <is>
          <t>overruled</t>
        </is>
      </c>
      <c r="F725" s="2" t="inlineStr">
        <is>
          <t>State of U.P. v. Sadhu Saran Shukla</t>
        </is>
      </c>
      <c r="G725" s="11" t="inlineStr"/>
      <c r="H725" s="11" t="inlineStr">
        <is>
          <t>Supreme Court</t>
        </is>
      </c>
      <c r="I725" s="2" t="inlineStr">
        <is>
          <t>(1994) 2 SCC 445</t>
        </is>
      </c>
      <c r="J725" s="11" t="n">
        <v>1994</v>
      </c>
      <c r="K725" s="2" t="inlineStr">
        <is>
          <t>State of Madhya Pradesh and Another v. Bhola @ Bhairon Prasad Raghuvanshi</t>
        </is>
      </c>
      <c r="L725" s="11" t="inlineStr">
        <is>
          <t>Supreme Court</t>
        </is>
      </c>
      <c r="M725" s="2" t="inlineStr">
        <is>
          <t>AIR 2003 SC 1191; (2003) 1 JT 594; (2003) 1 SCALE 689; (2003) 3 SCC 1; (2003) 1 SCR 906; (2003) 2 UJ 828; (2003) AIRSCW 752; (2003) 1 Supreme 882</t>
        </is>
      </c>
      <c r="N725" s="11" t="n">
        <v>2003</v>
      </c>
      <c r="O725" s="11" t="n"/>
      <c r="P725" s="11" t="n"/>
      <c r="Q725" s="11" t="n"/>
      <c r="R725" s="2" t="n"/>
      <c r="S725" s="2" t="n"/>
      <c r="T725" s="11" t="inlineStr"/>
      <c r="U725" s="11" t="inlineStr"/>
      <c r="V725" s="11" t="inlineStr">
        <is>
          <t>outside_list</t>
        </is>
      </c>
      <c r="W725" s="11" t="n"/>
      <c r="X725" s="11" t="n"/>
      <c r="Y725" s="11" t="n"/>
      <c r="Z725" s="11" t="inlineStr">
        <is>
          <t>Mr. Advocate</t>
        </is>
      </c>
      <c r="AA725" s="11" t="inlineStr">
        <is>
          <t>2026-10-07</t>
        </is>
      </c>
      <c r="AB725" s="11" t="inlineStr">
        <is>
          <t>name_year</t>
        </is>
      </c>
      <c r="AC725" s="2" t="inlineStr"/>
      <c r="AD725" s="2" t="inlineStr">
        <is>
          <t>State of U.P. v. Sadhu Saran Shukla (1994) was overruled by State of Madhya Pradesh and Another v. Bhola @ Bhairon Prasad Raghuvanshi (2003).</t>
        </is>
      </c>
      <c r="AE725" s="2" t="n"/>
      <c r="AF725" s="11" t="inlineStr">
        <is>
          <t>created from list 1</t>
        </is>
      </c>
    </row>
    <row r="726">
      <c r="A726" s="11" t="inlineStr">
        <is>
          <t>L1-0725</t>
        </is>
      </c>
      <c r="B726" s="11" t="inlineStr">
        <is>
          <t>List 1 (to ~2015)</t>
        </is>
      </c>
      <c r="C726" s="11" t="inlineStr">
        <is>
          <t>list1</t>
        </is>
      </c>
      <c r="D726" s="11" t="inlineStr">
        <is>
          <t>verified</t>
        </is>
      </c>
      <c r="E726" s="11" t="inlineStr">
        <is>
          <t>overruled</t>
        </is>
      </c>
      <c r="F726" s="2" t="inlineStr">
        <is>
          <t>Vijay Pal Sharma and Others v. Delhi Administration and Others</t>
        </is>
      </c>
      <c r="G726" s="11" t="inlineStr"/>
      <c r="H726" s="11" t="inlineStr">
        <is>
          <t>Supreme Court</t>
        </is>
      </c>
      <c r="I726" s="2" t="inlineStr">
        <is>
          <t>(1992) 4 SCC 114</t>
        </is>
      </c>
      <c r="J726" s="11" t="n">
        <v>1992</v>
      </c>
      <c r="K726" s="2" t="inlineStr">
        <is>
          <t>Delhi Development Horticulture Employees’ Union v. Delhi Administration, Delhi and others</t>
        </is>
      </c>
      <c r="L726" s="11" t="inlineStr">
        <is>
          <t>Supreme Court</t>
        </is>
      </c>
      <c r="M726" s="2" t="inlineStr">
        <is>
          <t>AIR 1992 SC 789; (1992) 1 JT 394; (1992) LabIC 847; (1992) 2 LLJ 452; (1992) 1 SCALE 294; (1992) 4 SCC 99; (1992) 1 SCR 565; (1992) 1 SLJ 201; (1992) 1 UJ 676</t>
        </is>
      </c>
      <c r="N726" s="11" t="n">
        <v>1992</v>
      </c>
      <c r="O726" s="11" t="n"/>
      <c r="P726" s="11" t="n"/>
      <c r="Q726" s="11" t="n"/>
      <c r="R726" s="2" t="n"/>
      <c r="S726" s="2" t="n"/>
      <c r="T726" s="11" t="inlineStr"/>
      <c r="U726" s="11" t="inlineStr"/>
      <c r="V726" s="11" t="inlineStr">
        <is>
          <t>outside_list</t>
        </is>
      </c>
      <c r="W726" s="11" t="n"/>
      <c r="X726" s="11" t="n"/>
      <c r="Y726" s="11" t="n"/>
      <c r="Z726" s="11" t="inlineStr">
        <is>
          <t>Mr. Advocate</t>
        </is>
      </c>
      <c r="AA726" s="11" t="inlineStr">
        <is>
          <t>2026-10-07</t>
        </is>
      </c>
      <c r="AB726" s="11" t="inlineStr">
        <is>
          <t>name_year</t>
        </is>
      </c>
      <c r="AC726" s="2" t="inlineStr"/>
      <c r="AD726" s="2" t="inlineStr">
        <is>
          <t>Vijay Pal Sharma and Others v. Delhi Administration and Others (1992) was overruled by Delhi Development Horticulture Employees’ Union v. Delhi Administration, Delhi and others (1992).</t>
        </is>
      </c>
      <c r="AE726" s="2" t="n"/>
      <c r="AF726" s="11" t="inlineStr">
        <is>
          <t>created from list 1</t>
        </is>
      </c>
    </row>
    <row r="727">
      <c r="A727" s="11" t="inlineStr">
        <is>
          <t>L1-0726</t>
        </is>
      </c>
      <c r="B727" s="11" t="inlineStr">
        <is>
          <t>List 1 (to ~2015)</t>
        </is>
      </c>
      <c r="C727" s="11" t="inlineStr">
        <is>
          <t>list1</t>
        </is>
      </c>
      <c r="D727" s="11" t="inlineStr">
        <is>
          <t>verified</t>
        </is>
      </c>
      <c r="E727" s="11" t="inlineStr">
        <is>
          <t>overruled</t>
        </is>
      </c>
      <c r="F727" s="2" t="inlineStr">
        <is>
          <t>The Municipal Corporation of The City of Ahmedabad v. Chandulal Shamaldas Patel and Others</t>
        </is>
      </c>
      <c r="G727" s="11" t="inlineStr"/>
      <c r="H727" s="11" t="inlineStr">
        <is>
          <t>Supreme Court</t>
        </is>
      </c>
      <c r="I727" s="2" t="inlineStr">
        <is>
          <t>(1971) 3 SCC 821</t>
        </is>
      </c>
      <c r="J727" s="11" t="n">
        <v>1971</v>
      </c>
      <c r="K727" s="2" t="inlineStr">
        <is>
          <t>M/s. Neyvely Lignite Corpn. Ltd. v. Special Tahsildar (Land Acquisition), Neyvely and others</t>
        </is>
      </c>
      <c r="L727" s="11" t="inlineStr">
        <is>
          <t>Supreme Court</t>
        </is>
      </c>
      <c r="M727" s="2" t="inlineStr">
        <is>
          <t>AIR 1995 SC 1004; (1995) 1 JT 281; (1994) 4 SCALE 1129; (1995) 1 SCC 221; (1994) 4 SCR 567 Supp</t>
        </is>
      </c>
      <c r="N727" s="11" t="n">
        <v>1995</v>
      </c>
      <c r="O727" s="11" t="n"/>
      <c r="P727" s="11" t="n"/>
      <c r="Q727" s="11" t="n"/>
      <c r="R727" s="2" t="n"/>
      <c r="S727" s="2" t="n"/>
      <c r="T727" s="11" t="inlineStr"/>
      <c r="U727" s="11" t="inlineStr"/>
      <c r="V727" s="11" t="inlineStr">
        <is>
          <t>outside_list</t>
        </is>
      </c>
      <c r="W727" s="11" t="n"/>
      <c r="X727" s="11" t="n"/>
      <c r="Y727" s="11" t="n"/>
      <c r="Z727" s="11" t="inlineStr">
        <is>
          <t>Mr. Advocate</t>
        </is>
      </c>
      <c r="AA727" s="11" t="inlineStr">
        <is>
          <t>2026-10-07</t>
        </is>
      </c>
      <c r="AB727" s="11" t="inlineStr">
        <is>
          <t>name_year</t>
        </is>
      </c>
      <c r="AC727" s="2" t="inlineStr"/>
      <c r="AD727" s="2" t="inlineStr">
        <is>
          <t>The Municipal Corporation of The City of Ahmedabad v. Chandulal Shamaldas Patel and Others (1971) was overruled by M/s. Neyvely Lignite Corpn. Ltd. v. Special Tahsildar (Land Acquisition), Neyvely and others (1995).</t>
        </is>
      </c>
      <c r="AE727" s="2" t="n"/>
      <c r="AF727" s="11" t="inlineStr">
        <is>
          <t>created from list 1</t>
        </is>
      </c>
    </row>
    <row r="728">
      <c r="A728" s="11" t="inlineStr">
        <is>
          <t>L1-0727</t>
        </is>
      </c>
      <c r="B728" s="11" t="inlineStr">
        <is>
          <t>List 1 (to ~2015)</t>
        </is>
      </c>
      <c r="C728" s="11" t="inlineStr">
        <is>
          <t>list1</t>
        </is>
      </c>
      <c r="D728" s="11" t="inlineStr">
        <is>
          <t>verified</t>
        </is>
      </c>
      <c r="E728" s="11" t="inlineStr">
        <is>
          <t>overruled</t>
        </is>
      </c>
      <c r="F728" s="2" t="inlineStr">
        <is>
          <t>Kalyanji Mavji and Co. v. Commissioner of Income Tax , West Bengal-II</t>
        </is>
      </c>
      <c r="G728" s="11" t="inlineStr"/>
      <c r="H728" s="11" t="inlineStr">
        <is>
          <t>Supreme Court</t>
        </is>
      </c>
      <c r="I728" s="2" t="inlineStr">
        <is>
          <t>AIR 1976 SC 203; (1976) 102 ITR 287; (1976) 1 SCC 985; (1976) 2 SCR 966</t>
        </is>
      </c>
      <c r="J728" s="11" t="n">
        <v>1976</v>
      </c>
      <c r="K728" s="2" t="inlineStr">
        <is>
          <t>A.L.A. Firm v. Commissioner of Income Tax, Madras</t>
        </is>
      </c>
      <c r="L728" s="11" t="inlineStr">
        <is>
          <t>Supreme Court</t>
        </is>
      </c>
      <c r="M728" s="2" t="inlineStr">
        <is>
          <t>(1991) 93 CTR 133; (1991) 189 ITR 285; (1991) 2 JT 7; (1991) 1 SCALE 364; (1991) 2 SCC 558; (1991) 1 SCR 624</t>
        </is>
      </c>
      <c r="N728" s="11" t="n">
        <v>1991</v>
      </c>
      <c r="O728" s="11" t="n"/>
      <c r="P728" s="11" t="n"/>
      <c r="Q728" s="11" t="n"/>
      <c r="R728" s="2" t="n"/>
      <c r="S728" s="2" t="n"/>
      <c r="T728" s="11" t="inlineStr"/>
      <c r="U728" s="11" t="inlineStr"/>
      <c r="V728" s="11" t="inlineStr">
        <is>
          <t>outside_list</t>
        </is>
      </c>
      <c r="W728" s="11" t="n"/>
      <c r="X728" s="11" t="n"/>
      <c r="Y728" s="11" t="n"/>
      <c r="Z728" s="11" t="inlineStr">
        <is>
          <t>Mr. Advocate</t>
        </is>
      </c>
      <c r="AA728" s="11" t="inlineStr">
        <is>
          <t>2026-10-07</t>
        </is>
      </c>
      <c r="AB728" s="11" t="inlineStr">
        <is>
          <t>name_year</t>
        </is>
      </c>
      <c r="AC728" s="2" t="inlineStr"/>
      <c r="AD728" s="2" t="inlineStr">
        <is>
          <t>Kalyanji Mavji and Co. v. Commissioner of Income Tax , West Bengal-II (1976) was overruled by A.L.A. Firm v. Commissioner of Income Tax, Madras (1991).</t>
        </is>
      </c>
      <c r="AE728" s="2" t="n"/>
      <c r="AF728" s="11" t="inlineStr">
        <is>
          <t>created from list 1</t>
        </is>
      </c>
    </row>
    <row r="729">
      <c r="A729" s="11" t="inlineStr">
        <is>
          <t>L1-0728</t>
        </is>
      </c>
      <c r="B729" s="11" t="inlineStr">
        <is>
          <t>List 1 (to ~2015)</t>
        </is>
      </c>
      <c r="C729" s="11" t="inlineStr">
        <is>
          <t>list1</t>
        </is>
      </c>
      <c r="D729" s="11" t="inlineStr">
        <is>
          <t>verified</t>
        </is>
      </c>
      <c r="E729" s="11" t="inlineStr">
        <is>
          <t>overruled</t>
        </is>
      </c>
      <c r="F729" s="2" t="inlineStr">
        <is>
          <t>Niadar and Another v. Delhi Administration and Another</t>
        </is>
      </c>
      <c r="G729" s="11" t="inlineStr"/>
      <c r="H729" s="11" t="inlineStr">
        <is>
          <t>Supreme Court</t>
        </is>
      </c>
      <c r="I729" s="2" t="inlineStr">
        <is>
          <t>(1992) 4 SCC 112</t>
        </is>
      </c>
      <c r="J729" s="11" t="n">
        <v>1992</v>
      </c>
      <c r="K729" s="2" t="inlineStr">
        <is>
          <t>Delhi Development Horticulture Employees’ Union v. Delhi Administration, Delhi and others</t>
        </is>
      </c>
      <c r="L729" s="11" t="inlineStr">
        <is>
          <t>Supreme Court</t>
        </is>
      </c>
      <c r="M729" s="2" t="inlineStr">
        <is>
          <t>AIR 1992 SC 789; (1992) 1 JT 394; (1992) LabIC 847; (1992) 2 LLJ 452; (1992) 1 SCALE 294; (1992) 4 SCC 99; (1992) 1 SCR 565; (1992) 1 SLJ 201; (1992) 1 UJ 676</t>
        </is>
      </c>
      <c r="N729" s="11" t="n">
        <v>1992</v>
      </c>
      <c r="O729" s="11" t="n"/>
      <c r="P729" s="11" t="n"/>
      <c r="Q729" s="11" t="n"/>
      <c r="R729" s="2" t="n"/>
      <c r="S729" s="2" t="n"/>
      <c r="T729" s="11" t="inlineStr"/>
      <c r="U729" s="11" t="inlineStr"/>
      <c r="V729" s="11" t="inlineStr">
        <is>
          <t>outside_list</t>
        </is>
      </c>
      <c r="W729" s="11" t="n"/>
      <c r="X729" s="11" t="n"/>
      <c r="Y729" s="11" t="n"/>
      <c r="Z729" s="11" t="inlineStr">
        <is>
          <t>Mr. Advocate</t>
        </is>
      </c>
      <c r="AA729" s="11" t="inlineStr">
        <is>
          <t>2026-10-07</t>
        </is>
      </c>
      <c r="AB729" s="11" t="inlineStr">
        <is>
          <t>name_year</t>
        </is>
      </c>
      <c r="AC729" s="2" t="inlineStr"/>
      <c r="AD729" s="2" t="inlineStr">
        <is>
          <t>Niadar and Another v. Delhi Administration and Another (1992) was overruled by Delhi Development Horticulture Employees’ Union v. Delhi Administration, Delhi and others (1992).</t>
        </is>
      </c>
      <c r="AE729" s="2" t="n"/>
      <c r="AF729" s="11" t="inlineStr">
        <is>
          <t>created from list 1</t>
        </is>
      </c>
    </row>
    <row r="730">
      <c r="A730" s="11" t="inlineStr">
        <is>
          <t>L1-0729</t>
        </is>
      </c>
      <c r="B730" s="11" t="inlineStr">
        <is>
          <t>List 1 (to ~2015)</t>
        </is>
      </c>
      <c r="C730" s="11" t="inlineStr">
        <is>
          <t>list1</t>
        </is>
      </c>
      <c r="D730" s="11" t="inlineStr">
        <is>
          <t>verified</t>
        </is>
      </c>
      <c r="E730" s="11" t="inlineStr">
        <is>
          <t>overruled</t>
        </is>
      </c>
      <c r="F730" s="2" t="inlineStr">
        <is>
          <t>Rattan Lal and Others v. Lt. Governors and Others</t>
        </is>
      </c>
      <c r="G730" s="11" t="inlineStr"/>
      <c r="H730" s="11" t="inlineStr">
        <is>
          <t>Supreme Court</t>
        </is>
      </c>
      <c r="I730" s="2" t="inlineStr">
        <is>
          <t>(1992) 4 SCC 117</t>
        </is>
      </c>
      <c r="J730" s="11" t="n">
        <v>1992</v>
      </c>
      <c r="K730" s="2" t="inlineStr">
        <is>
          <t>Delhi Development Horticulture Employees’ Union v. Delhi Administration, Delhi and others</t>
        </is>
      </c>
      <c r="L730" s="11" t="inlineStr">
        <is>
          <t>Supreme Court</t>
        </is>
      </c>
      <c r="M730" s="2" t="inlineStr">
        <is>
          <t>AIR 1992 SC 789; (1992) 1 JT 394; (1992) LabIC 847; (1992) 2 LLJ 452; (1992) 1 SCALE 294; (1992) 4 SCC 99; (1992) 1 SCR 565; (1992) 1 SLJ 201; (1992) 1 UJ 676</t>
        </is>
      </c>
      <c r="N730" s="11" t="n">
        <v>1992</v>
      </c>
      <c r="O730" s="11" t="n"/>
      <c r="P730" s="11" t="n"/>
      <c r="Q730" s="11" t="n"/>
      <c r="R730" s="2" t="n"/>
      <c r="S730" s="2" t="n"/>
      <c r="T730" s="11" t="inlineStr"/>
      <c r="U730" s="11" t="inlineStr"/>
      <c r="V730" s="11" t="inlineStr">
        <is>
          <t>outside_list</t>
        </is>
      </c>
      <c r="W730" s="11" t="n"/>
      <c r="X730" s="11" t="n"/>
      <c r="Y730" s="11" t="n"/>
      <c r="Z730" s="11" t="inlineStr">
        <is>
          <t>Mr. Advocate</t>
        </is>
      </c>
      <c r="AA730" s="11" t="inlineStr">
        <is>
          <t>2026-10-07</t>
        </is>
      </c>
      <c r="AB730" s="11" t="inlineStr">
        <is>
          <t>name_year</t>
        </is>
      </c>
      <c r="AC730" s="2" t="inlineStr"/>
      <c r="AD730" s="2" t="inlineStr">
        <is>
          <t>Rattan Lal and Others v. Lt. Governors and Others (1992) was overruled by Delhi Development Horticulture Employees’ Union v. Delhi Administration, Delhi and others (1992).</t>
        </is>
      </c>
      <c r="AE730" s="2" t="n"/>
      <c r="AF730" s="11" t="inlineStr">
        <is>
          <t>created from list 1</t>
        </is>
      </c>
    </row>
    <row r="731">
      <c r="A731" s="11" t="inlineStr">
        <is>
          <t>L1-0730</t>
        </is>
      </c>
      <c r="B731" s="11" t="inlineStr">
        <is>
          <t>List 1 (to ~2015)</t>
        </is>
      </c>
      <c r="C731" s="11" t="inlineStr">
        <is>
          <t>list1</t>
        </is>
      </c>
      <c r="D731" s="11" t="inlineStr">
        <is>
          <t>verified</t>
        </is>
      </c>
      <c r="E731" s="11" t="inlineStr">
        <is>
          <t>overruled</t>
        </is>
      </c>
      <c r="F731" s="2" t="inlineStr">
        <is>
          <t>Vidhi Shanker v. Heera Lal</t>
        </is>
      </c>
      <c r="G731" s="11" t="inlineStr"/>
      <c r="H731" s="11" t="inlineStr">
        <is>
          <t>Supreme Court</t>
        </is>
      </c>
      <c r="I731" s="2" t="inlineStr">
        <is>
          <t>(1987) 1 SCC 200 Supp; (1987) SCC 5200 Supp</t>
        </is>
      </c>
      <c r="J731" s="11" t="n">
        <v>1987</v>
      </c>
      <c r="K731" s="2" t="inlineStr">
        <is>
          <t>Jagdish Lal v. Parma Nand</t>
        </is>
      </c>
      <c r="L731" s="11" t="inlineStr">
        <is>
          <t>Supreme Court</t>
        </is>
      </c>
      <c r="M731" s="2" t="inlineStr">
        <is>
          <t>AIR 2000 SC 1822; (2000) 3 JT 580; (2000) 125 PLR 512; (2000) 2 SCALE 524; (2000) 5 SCC 44; (2000) 2 SCR 526; (2000) 2 UJ 994; (2000) AIRSCW 1307; (2000) 2 Supreme 553</t>
        </is>
      </c>
      <c r="N731" s="11" t="n">
        <v>2000</v>
      </c>
      <c r="O731" s="11" t="n"/>
      <c r="P731" s="11" t="n"/>
      <c r="Q731" s="11" t="n"/>
      <c r="R731" s="2" t="n"/>
      <c r="S731" s="2" t="n"/>
      <c r="T731" s="11" t="inlineStr"/>
      <c r="U731" s="11" t="inlineStr"/>
      <c r="V731" s="11" t="inlineStr">
        <is>
          <t>outside_list</t>
        </is>
      </c>
      <c r="W731" s="11" t="n"/>
      <c r="X731" s="11" t="n"/>
      <c r="Y731" s="11" t="n"/>
      <c r="Z731" s="11" t="inlineStr">
        <is>
          <t>Mr. Advocate</t>
        </is>
      </c>
      <c r="AA731" s="11" t="inlineStr">
        <is>
          <t>2026-10-07</t>
        </is>
      </c>
      <c r="AB731" s="11" t="inlineStr">
        <is>
          <t>name_year</t>
        </is>
      </c>
      <c r="AC731" s="2" t="inlineStr"/>
      <c r="AD731" s="2" t="inlineStr">
        <is>
          <t>Vidhi Shanker v. Heera Lal (1987) was overruled by Jagdish Lal v. Parma Nand (2000).</t>
        </is>
      </c>
      <c r="AE731" s="2" t="n"/>
      <c r="AF731" s="11" t="inlineStr">
        <is>
          <t>created from list 1</t>
        </is>
      </c>
    </row>
    <row r="732">
      <c r="A732" s="11" t="inlineStr">
        <is>
          <t>L1-0731</t>
        </is>
      </c>
      <c r="B732" s="11" t="inlineStr">
        <is>
          <t>List 1 (to ~2015)</t>
        </is>
      </c>
      <c r="C732" s="11" t="inlineStr">
        <is>
          <t>list1</t>
        </is>
      </c>
      <c r="D732" s="11" t="inlineStr">
        <is>
          <t>verified</t>
        </is>
      </c>
      <c r="E732" s="11" t="inlineStr">
        <is>
          <t>overruled</t>
        </is>
      </c>
      <c r="F732" s="2" t="inlineStr">
        <is>
          <t>Dunlop India Limited v. Union of India (UOI)</t>
        </is>
      </c>
      <c r="G732" s="11" t="inlineStr"/>
      <c r="H732" s="11" t="inlineStr">
        <is>
          <t>Supreme Court</t>
        </is>
      </c>
      <c r="I732" s="2" t="inlineStr">
        <is>
          <t>(1994) 2 SCC 335 Supp</t>
        </is>
      </c>
      <c r="J732" s="11" t="n">
        <v>1994</v>
      </c>
      <c r="K732" s="2" t="inlineStr">
        <is>
          <t>Goodyear India Ltd. v. Union of India and others</t>
        </is>
      </c>
      <c r="L732" s="11" t="inlineStr">
        <is>
          <t>Supreme Court</t>
        </is>
      </c>
      <c r="M732" s="2" t="inlineStr">
        <is>
          <t>AIR 1997 SC 2038; (2002) 81 ECC 666; (1997) 92 ELT 14; (1997) 3 JT 63; (1997) 2 SCALE 376; (1997) 5 SCC 752; (1997) 2 SCR 445; (1997) AIRSCW 1839; (1997) 2 Supreme 652</t>
        </is>
      </c>
      <c r="N732" s="11" t="n">
        <v>1997</v>
      </c>
      <c r="O732" s="11" t="n"/>
      <c r="P732" s="11" t="n"/>
      <c r="Q732" s="11" t="n"/>
      <c r="R732" s="2" t="n"/>
      <c r="S732" s="2" t="n"/>
      <c r="T732" s="11" t="inlineStr"/>
      <c r="U732" s="11" t="inlineStr"/>
      <c r="V732" s="11" t="inlineStr">
        <is>
          <t>outside_list</t>
        </is>
      </c>
      <c r="W732" s="11" t="n"/>
      <c r="X732" s="11" t="n"/>
      <c r="Y732" s="11" t="n"/>
      <c r="Z732" s="11" t="inlineStr">
        <is>
          <t>Mr. Advocate</t>
        </is>
      </c>
      <c r="AA732" s="11" t="inlineStr">
        <is>
          <t>2026-10-07</t>
        </is>
      </c>
      <c r="AB732" s="11" t="inlineStr">
        <is>
          <t>citation</t>
        </is>
      </c>
      <c r="AC732" s="2" t="inlineStr">
        <is>
          <t>L1-0323: overruled by Dunlop India Ltd. v. Collector of Central Excise, Calcutta (1997)</t>
        </is>
      </c>
      <c r="AD732" s="2" t="inlineStr">
        <is>
          <t>Dunlop India Limited v. Union of India (UOI) (1994) was overruled by Goodyear India Ltd. v. Union of India and others (1997). Note: Goodyear India Ltd. v. Union of India and others was itself later overruled by Dunlop India Ltd. v. Collector of Central Excise, Calcutta (1997); the current position should be checked.</t>
        </is>
      </c>
      <c r="AE732" s="2" t="n"/>
      <c r="AF732" s="11" t="inlineStr">
        <is>
          <t>created from list 1</t>
        </is>
      </c>
    </row>
    <row r="733">
      <c r="A733" s="11" t="inlineStr">
        <is>
          <t>L1-0732</t>
        </is>
      </c>
      <c r="B733" s="11" t="inlineStr">
        <is>
          <t>List 1 (to ~2015)</t>
        </is>
      </c>
      <c r="C733" s="11" t="inlineStr">
        <is>
          <t>list1</t>
        </is>
      </c>
      <c r="D733" s="11" t="inlineStr">
        <is>
          <t>verified</t>
        </is>
      </c>
      <c r="E733" s="11" t="inlineStr">
        <is>
          <t>overruled</t>
        </is>
      </c>
      <c r="F733" s="2" t="inlineStr">
        <is>
          <t>Raghu Nandan Sharma v. Vijay Kumar and Others</t>
        </is>
      </c>
      <c r="G733" s="11" t="inlineStr"/>
      <c r="H733" s="11" t="inlineStr">
        <is>
          <t>Rajasthan</t>
        </is>
      </c>
      <c r="I733" s="2" t="inlineStr">
        <is>
          <t>AIR 2008 Raj 160; (2008) 3 RLW 2566</t>
        </is>
      </c>
      <c r="J733" s="11" t="n">
        <v>2008</v>
      </c>
      <c r="K733" s="2" t="inlineStr">
        <is>
          <t>Vijay Kumar Sharma @ Manju v. Raghunandan Sharma @ Baburam and Others</t>
        </is>
      </c>
      <c r="L733" s="11" t="inlineStr">
        <is>
          <t>Supreme Court</t>
        </is>
      </c>
      <c r="M733" s="2" t="inlineStr">
        <is>
          <t>(2010) 3 CTC 854; (2010) 2 JT 155; (2010) 1 SCALE 688; (2010) 2 SCC 486; (2010) 2 SCR 582</t>
        </is>
      </c>
      <c r="N733" s="11" t="n">
        <v>2010</v>
      </c>
      <c r="O733" s="11" t="n"/>
      <c r="P733" s="11" t="n"/>
      <c r="Q733" s="11" t="n"/>
      <c r="R733" s="2" t="n"/>
      <c r="S733" s="2" t="n"/>
      <c r="T733" s="11" t="inlineStr"/>
      <c r="U733" s="11" t="inlineStr"/>
      <c r="V733" s="11" t="inlineStr">
        <is>
          <t>outside_list</t>
        </is>
      </c>
      <c r="W733" s="11" t="n"/>
      <c r="X733" s="11" t="n"/>
      <c r="Y733" s="11" t="n"/>
      <c r="Z733" s="11" t="inlineStr">
        <is>
          <t>Mr. Advocate</t>
        </is>
      </c>
      <c r="AA733" s="11" t="inlineStr">
        <is>
          <t>2026-10-07</t>
        </is>
      </c>
      <c r="AB733" s="11" t="inlineStr">
        <is>
          <t>name_year</t>
        </is>
      </c>
      <c r="AC733" s="2" t="inlineStr"/>
      <c r="AD733" s="2" t="inlineStr">
        <is>
          <t>Raghu Nandan Sharma v. Vijay Kumar and Others (2008) was overruled by Vijay Kumar Sharma @ Manju v. Raghunandan Sharma @ Baburam and Others (2010).</t>
        </is>
      </c>
      <c r="AE733" s="2" t="n"/>
      <c r="AF733" s="11" t="inlineStr">
        <is>
          <t>created from list 1</t>
        </is>
      </c>
    </row>
    <row r="734">
      <c r="A734" s="11" t="inlineStr">
        <is>
          <t>L1-0733</t>
        </is>
      </c>
      <c r="B734" s="11" t="inlineStr">
        <is>
          <t>List 1 (to ~2015)</t>
        </is>
      </c>
      <c r="C734" s="11" t="inlineStr">
        <is>
          <t>list1</t>
        </is>
      </c>
      <c r="D734" s="11" t="inlineStr">
        <is>
          <t>verified</t>
        </is>
      </c>
      <c r="E734" s="11" t="inlineStr">
        <is>
          <t>reversed_on_appeal</t>
        </is>
      </c>
      <c r="F734" s="2" t="inlineStr">
        <is>
          <t>Narain @ Naran v. The State of Rajasthan</t>
        </is>
      </c>
      <c r="G734" s="11" t="inlineStr"/>
      <c r="H734" s="11" t="inlineStr">
        <is>
          <t>unknown</t>
        </is>
      </c>
      <c r="I734" s="2" t="inlineStr">
        <is>
          <t>(2006) 3 RLW 2244</t>
        </is>
      </c>
      <c r="J734" s="11" t="n">
        <v>2006</v>
      </c>
      <c r="K734" s="2" t="inlineStr">
        <is>
          <t>Naravan @ Naran v. State of Rajasthan</t>
        </is>
      </c>
      <c r="L734" s="11" t="inlineStr">
        <is>
          <t>Supreme Court</t>
        </is>
      </c>
      <c r="M734" s="2" t="inlineStr">
        <is>
          <t>(2007) CriLJ 2733; (2007) 5 SCALE 534; (2007) 6 SCC 465; (2007) 4 SCR 1096</t>
        </is>
      </c>
      <c r="N734" s="11" t="n">
        <v>2007</v>
      </c>
      <c r="O734" s="11" t="n"/>
      <c r="P734" s="11" t="n"/>
      <c r="Q734" s="11" t="n"/>
      <c r="R734" s="2" t="n"/>
      <c r="S734" s="2" t="n"/>
      <c r="T734" s="11" t="inlineStr">
        <is>
          <t>yes</t>
        </is>
      </c>
      <c r="U734" s="11" t="inlineStr"/>
      <c r="V734" s="11" t="inlineStr">
        <is>
          <t>outside_list</t>
        </is>
      </c>
      <c r="W734" s="11" t="n"/>
      <c r="X734" s="11" t="n"/>
      <c r="Y734" s="11" t="n"/>
      <c r="Z734" s="11" t="inlineStr">
        <is>
          <t>Mr. Advocate</t>
        </is>
      </c>
      <c r="AA734" s="11" t="inlineStr">
        <is>
          <t>2026-10-07</t>
        </is>
      </c>
      <c r="AB734" s="11" t="inlineStr">
        <is>
          <t>name_year</t>
        </is>
      </c>
      <c r="AC734" s="2" t="inlineStr"/>
      <c r="AD734" s="2" t="inlineStr">
        <is>
          <t>Narain @ Naran v. The State of Rajasthan (2006) was reversed on appeal by the Supreme Court in Naravan @ Naran v. State of Rajasthan (2007).</t>
        </is>
      </c>
      <c r="AE734" s="2" t="n"/>
      <c r="AF734" s="11" t="inlineStr">
        <is>
          <t>created from list 1</t>
        </is>
      </c>
    </row>
    <row r="735">
      <c r="A735" s="11" t="inlineStr">
        <is>
          <t>L1-0734</t>
        </is>
      </c>
      <c r="B735" s="11" t="inlineStr">
        <is>
          <t>List 1 (to ~2015)</t>
        </is>
      </c>
      <c r="C735" s="11" t="inlineStr">
        <is>
          <t>list1</t>
        </is>
      </c>
      <c r="D735" s="11" t="inlineStr">
        <is>
          <t>verified</t>
        </is>
      </c>
      <c r="E735" s="11" t="inlineStr">
        <is>
          <t>overruled</t>
        </is>
      </c>
      <c r="F735" s="2" t="inlineStr">
        <is>
          <t>Satya Kinkar Roy v. Nikhil Chandra Jyotishopadhaya</t>
        </is>
      </c>
      <c r="G735" s="11" t="inlineStr"/>
      <c r="H735" s="11" t="inlineStr">
        <is>
          <t>Calcutta</t>
        </is>
      </c>
      <c r="I735" s="2" t="inlineStr">
        <is>
          <t>AIR 1951 Cal 101; 55 CWN 627; (1952) 2 ILR (Cal) 106</t>
        </is>
      </c>
      <c r="J735" s="11" t="n">
        <v>1951</v>
      </c>
      <c r="K735" s="2" t="inlineStr">
        <is>
          <t>Shyamlal Mohanlal v. State of Gujarat</t>
        </is>
      </c>
      <c r="L735" s="11" t="inlineStr">
        <is>
          <t>Supreme Court</t>
        </is>
      </c>
      <c r="M735" s="2" t="inlineStr">
        <is>
          <t>(1965) CriLJ 256; (1965) 2 SCR 457</t>
        </is>
      </c>
      <c r="N735" s="11" t="n">
        <v>1965</v>
      </c>
      <c r="O735" s="11" t="n"/>
      <c r="P735" s="11" t="n"/>
      <c r="Q735" s="11" t="n"/>
      <c r="R735" s="2" t="n"/>
      <c r="S735" s="2" t="n"/>
      <c r="T735" s="11" t="inlineStr"/>
      <c r="U735" s="11" t="inlineStr"/>
      <c r="V735" s="11" t="inlineStr">
        <is>
          <t>outside_list</t>
        </is>
      </c>
      <c r="W735" s="11" t="n"/>
      <c r="X735" s="11" t="n"/>
      <c r="Y735" s="11" t="n"/>
      <c r="Z735" s="11" t="inlineStr">
        <is>
          <t>Mr. Advocate</t>
        </is>
      </c>
      <c r="AA735" s="11" t="inlineStr">
        <is>
          <t>2026-10-07</t>
        </is>
      </c>
      <c r="AB735" s="11" t="inlineStr">
        <is>
          <t>name_year</t>
        </is>
      </c>
      <c r="AC735" s="2" t="inlineStr"/>
      <c r="AD735" s="2" t="inlineStr">
        <is>
          <t>Satya Kinkar Roy v. Nikhil Chandra Jyotishopadhaya (1951) was overruled by Shyamlal Mohanlal v. State of Gujarat (1965).</t>
        </is>
      </c>
      <c r="AE735" s="2" t="n"/>
      <c r="AF735" s="11" t="inlineStr">
        <is>
          <t>created from list 1</t>
        </is>
      </c>
    </row>
    <row r="736">
      <c r="A736" s="11" t="inlineStr">
        <is>
          <t>L1-0735</t>
        </is>
      </c>
      <c r="B736" s="11" t="inlineStr">
        <is>
          <t>List 1 (to ~2015)</t>
        </is>
      </c>
      <c r="C736" s="11" t="inlineStr">
        <is>
          <t>list1</t>
        </is>
      </c>
      <c r="D736" s="11" t="inlineStr">
        <is>
          <t>verified</t>
        </is>
      </c>
      <c r="E736" s="11" t="inlineStr">
        <is>
          <t>overruled</t>
        </is>
      </c>
      <c r="F736" s="2" t="inlineStr">
        <is>
          <t>Pasupati Roy v. State of West Bengal and Others</t>
        </is>
      </c>
      <c r="G736" s="11" t="inlineStr"/>
      <c r="H736" s="11" t="inlineStr">
        <is>
          <t>Calcutta</t>
        </is>
      </c>
      <c r="I736" s="2" t="inlineStr">
        <is>
          <t>AIR 1974 Cal 99; 77 CWN 157</t>
        </is>
      </c>
      <c r="J736" s="11" t="n">
        <v>1974</v>
      </c>
      <c r="K736" s="2" t="inlineStr">
        <is>
          <t>Mrinalini Roy Ratna Prova Mondal and anothers v. State of West Bengal and others</t>
        </is>
      </c>
      <c r="L736" s="11" t="inlineStr">
        <is>
          <t>Supreme Court</t>
        </is>
      </c>
      <c r="M736" s="2" t="inlineStr">
        <is>
          <t>AIR 1997 SC 2244; (1996) 9 SCALE 5; (1997) 9 SCC 113; (1996) 9 SCR 70 Supp; (1997) AIRSCW 2112; (1997) 1 Supreme 118</t>
        </is>
      </c>
      <c r="N736" s="11" t="n">
        <v>1997</v>
      </c>
      <c r="O736" s="11" t="n"/>
      <c r="P736" s="11" t="n"/>
      <c r="Q736" s="11" t="n"/>
      <c r="R736" s="2" t="n"/>
      <c r="S736" s="2" t="n"/>
      <c r="T736" s="11" t="inlineStr"/>
      <c r="U736" s="11" t="inlineStr"/>
      <c r="V736" s="11" t="inlineStr">
        <is>
          <t>outside_list</t>
        </is>
      </c>
      <c r="W736" s="11" t="n"/>
      <c r="X736" s="11" t="n"/>
      <c r="Y736" s="11" t="n"/>
      <c r="Z736" s="11" t="inlineStr">
        <is>
          <t>Mr. Advocate</t>
        </is>
      </c>
      <c r="AA736" s="11" t="inlineStr">
        <is>
          <t>2026-10-07</t>
        </is>
      </c>
      <c r="AB736" s="11" t="inlineStr">
        <is>
          <t>name_year</t>
        </is>
      </c>
      <c r="AC736" s="2" t="inlineStr"/>
      <c r="AD736" s="2" t="inlineStr">
        <is>
          <t>Pasupati Roy v. State of West Bengal and Others (1974) was overruled by Mrinalini Roy Ratna Prova Mondal and anothers v. State of West Bengal and others (1997).</t>
        </is>
      </c>
      <c r="AE736" s="2" t="n"/>
      <c r="AF736" s="11" t="inlineStr">
        <is>
          <t>created from list 1</t>
        </is>
      </c>
    </row>
    <row r="737">
      <c r="A737" s="11" t="inlineStr">
        <is>
          <t>L1-0736</t>
        </is>
      </c>
      <c r="B737" s="11" t="inlineStr">
        <is>
          <t>List 1 (to ~2015)</t>
        </is>
      </c>
      <c r="C737" s="11" t="inlineStr">
        <is>
          <t>list1</t>
        </is>
      </c>
      <c r="D737" s="11" t="inlineStr">
        <is>
          <t>verified</t>
        </is>
      </c>
      <c r="E737" s="11" t="inlineStr">
        <is>
          <t>reversed_on_appeal</t>
        </is>
      </c>
      <c r="F737" s="2" t="inlineStr">
        <is>
          <t>Bhanu Kumari (Smt.) v. Jitendra Singh and Others</t>
        </is>
      </c>
      <c r="G737" s="11" t="inlineStr"/>
      <c r="H737" s="11" t="inlineStr">
        <is>
          <t>unknown</t>
        </is>
      </c>
      <c r="I737" s="2" t="inlineStr">
        <is>
          <t>(2007) 2 RLW 1077</t>
        </is>
      </c>
      <c r="J737" s="11" t="n">
        <v>2007</v>
      </c>
      <c r="K737" s="2" t="inlineStr">
        <is>
          <t>Jitendra Singh v. Bhanu Kumari and Others</t>
        </is>
      </c>
      <c r="L737" s="11" t="inlineStr">
        <is>
          <t>Supreme Court</t>
        </is>
      </c>
      <c r="M737" s="2" t="inlineStr">
        <is>
          <t>AIR 2008 SC 2987; (2008) 5 JT 650; (2008) 6 SCALE 594; (2009) 1 SCC 130; (2008) 1 UJ 663; (2008) AIRSCW 5038; (2008) 2 Supreme 833</t>
        </is>
      </c>
      <c r="N737" s="11" t="n">
        <v>2008</v>
      </c>
      <c r="O737" s="11" t="n"/>
      <c r="P737" s="11" t="n"/>
      <c r="Q737" s="11" t="n"/>
      <c r="R737" s="2" t="n"/>
      <c r="S737" s="2" t="n"/>
      <c r="T737" s="11" t="inlineStr">
        <is>
          <t>yes</t>
        </is>
      </c>
      <c r="U737" s="11" t="inlineStr"/>
      <c r="V737" s="11" t="inlineStr">
        <is>
          <t>outside_list</t>
        </is>
      </c>
      <c r="W737" s="11" t="n"/>
      <c r="X737" s="11" t="n"/>
      <c r="Y737" s="11" t="n"/>
      <c r="Z737" s="11" t="inlineStr">
        <is>
          <t>Mr. Advocate</t>
        </is>
      </c>
      <c r="AA737" s="11" t="inlineStr">
        <is>
          <t>2026-10-07</t>
        </is>
      </c>
      <c r="AB737" s="11" t="inlineStr">
        <is>
          <t>name_year</t>
        </is>
      </c>
      <c r="AC737" s="2" t="inlineStr"/>
      <c r="AD737" s="2" t="inlineStr">
        <is>
          <t>Bhanu Kumari (Smt.) v. Jitendra Singh and Others (2007) was reversed on appeal by the Supreme Court in Jitendra Singh v. Bhanu Kumari and Others (2008).</t>
        </is>
      </c>
      <c r="AE737" s="2" t="n"/>
      <c r="AF737" s="11" t="inlineStr">
        <is>
          <t>created from list 1</t>
        </is>
      </c>
    </row>
    <row r="738">
      <c r="A738" s="11" t="inlineStr">
        <is>
          <t>L1-0737</t>
        </is>
      </c>
      <c r="B738" s="11" t="inlineStr">
        <is>
          <t>List 1 (to ~2015)</t>
        </is>
      </c>
      <c r="C738" s="11" t="inlineStr">
        <is>
          <t>list1</t>
        </is>
      </c>
      <c r="D738" s="11" t="inlineStr">
        <is>
          <t>verified</t>
        </is>
      </c>
      <c r="E738" s="11" t="inlineStr">
        <is>
          <t>reversed_on_appeal</t>
        </is>
      </c>
      <c r="F738" s="2" t="inlineStr">
        <is>
          <t>Union of India (UOI) v. Grasim Industries Ltd. and Another</t>
        </is>
      </c>
      <c r="G738" s="11" t="inlineStr"/>
      <c r="H738" s="11" t="inlineStr">
        <is>
          <t>unknown</t>
        </is>
      </c>
      <c r="I738" s="2" t="inlineStr">
        <is>
          <t>(2008) 133 ECC 96; (2008) 159 ECR 96; (2008) 4 RLW 3657</t>
        </is>
      </c>
      <c r="J738" s="11" t="n">
        <v>2008</v>
      </c>
      <c r="K738" s="2" t="inlineStr">
        <is>
          <t>Grasim Industries Ltd. v. Union of India (UOI)</t>
        </is>
      </c>
      <c r="L738" s="11" t="inlineStr">
        <is>
          <t>Supreme Court</t>
        </is>
      </c>
      <c r="M738" s="2" t="inlineStr">
        <is>
          <t>AIR 2012 SC 161; (2011) 188 ECR 248; (2011) 273 ELT 10; (2011) 12 JT 89; (2011) 11 SCALE 580; (2011) 12 SCR 1013</t>
        </is>
      </c>
      <c r="N738" s="11" t="n">
        <v>2012</v>
      </c>
      <c r="O738" s="11" t="n"/>
      <c r="P738" s="11" t="n"/>
      <c r="Q738" s="11" t="n"/>
      <c r="R738" s="2" t="n"/>
      <c r="S738" s="2" t="n"/>
      <c r="T738" s="11" t="inlineStr">
        <is>
          <t>yes</t>
        </is>
      </c>
      <c r="U738" s="11" t="inlineStr"/>
      <c r="V738" s="11" t="inlineStr">
        <is>
          <t>outside_list</t>
        </is>
      </c>
      <c r="W738" s="11" t="n"/>
      <c r="X738" s="11" t="n"/>
      <c r="Y738" s="11" t="n"/>
      <c r="Z738" s="11" t="inlineStr">
        <is>
          <t>Mr. Advocate</t>
        </is>
      </c>
      <c r="AA738" s="11" t="inlineStr">
        <is>
          <t>2026-10-07</t>
        </is>
      </c>
      <c r="AB738" s="11" t="inlineStr">
        <is>
          <t>name_year</t>
        </is>
      </c>
      <c r="AC738" s="2" t="inlineStr"/>
      <c r="AD738" s="2" t="inlineStr">
        <is>
          <t>Union of India (UOI) v. Grasim Industries Ltd. and Another (2008) was reversed on appeal by the Supreme Court in Grasim Industries Ltd. v. Union of India (UOI) (2012).</t>
        </is>
      </c>
      <c r="AE738" s="2" t="n"/>
      <c r="AF738" s="11" t="inlineStr">
        <is>
          <t>created from list 1</t>
        </is>
      </c>
    </row>
    <row r="739">
      <c r="A739" s="11" t="inlineStr">
        <is>
          <t>L1-0738</t>
        </is>
      </c>
      <c r="B739" s="11" t="inlineStr">
        <is>
          <t>List 1 (to ~2015)</t>
        </is>
      </c>
      <c r="C739" s="11" t="inlineStr">
        <is>
          <t>list1</t>
        </is>
      </c>
      <c r="D739" s="11" t="inlineStr">
        <is>
          <t>verified</t>
        </is>
      </c>
      <c r="E739" s="11" t="inlineStr">
        <is>
          <t>overruled</t>
        </is>
      </c>
      <c r="F739" s="2" t="inlineStr">
        <is>
          <t>Syed Inamul Haq Shah v. State of Rajasthan and Another</t>
        </is>
      </c>
      <c r="G739" s="11" t="inlineStr"/>
      <c r="H739" s="11" t="inlineStr">
        <is>
          <t>Rajasthan</t>
        </is>
      </c>
      <c r="I739" s="2" t="inlineStr">
        <is>
          <t>AIR 2001 Raj 19; (2000) 4 WLC 528</t>
        </is>
      </c>
      <c r="J739" s="11" t="n">
        <v>2001</v>
      </c>
      <c r="K739" s="2" t="inlineStr">
        <is>
          <t>Sardar Khan and Others v. Syed Najmul Hasan (Seth) and Others</t>
        </is>
      </c>
      <c r="L739" s="11" t="inlineStr">
        <is>
          <t>Supreme Court</t>
        </is>
      </c>
      <c r="M739" s="2" t="inlineStr">
        <is>
          <t>AIR 2007 SC 1447; (2007) 2 CTC 508; (2007) 4 SCALE 81; (2007) 10 SCC 727; (2007) 3 SCR 436; (2007) AIRSCW 1892</t>
        </is>
      </c>
      <c r="N739" s="11" t="n">
        <v>2007</v>
      </c>
      <c r="O739" s="11" t="n"/>
      <c r="P739" s="11" t="n"/>
      <c r="Q739" s="11" t="n"/>
      <c r="R739" s="2" t="n"/>
      <c r="S739" s="2" t="n"/>
      <c r="T739" s="11" t="inlineStr"/>
      <c r="U739" s="11" t="inlineStr"/>
      <c r="V739" s="11" t="inlineStr">
        <is>
          <t>outside_list</t>
        </is>
      </c>
      <c r="W739" s="11" t="n"/>
      <c r="X739" s="11" t="n"/>
      <c r="Y739" s="11" t="n"/>
      <c r="Z739" s="11" t="inlineStr">
        <is>
          <t>Mr. Advocate</t>
        </is>
      </c>
      <c r="AA739" s="11" t="inlineStr">
        <is>
          <t>2026-10-07</t>
        </is>
      </c>
      <c r="AB739" s="11" t="inlineStr">
        <is>
          <t>name_year</t>
        </is>
      </c>
      <c r="AC739" s="2" t="inlineStr"/>
      <c r="AD739" s="2" t="inlineStr">
        <is>
          <t>Syed Inamul Haq Shah v. State of Rajasthan and Another (2001) was overruled by Sardar Khan and Others v. Syed Najmul Hasan (Seth) and Others (2007).</t>
        </is>
      </c>
      <c r="AE739" s="2" t="n"/>
      <c r="AF739" s="11" t="inlineStr">
        <is>
          <t>created from list 1</t>
        </is>
      </c>
    </row>
    <row r="740">
      <c r="A740" s="11" t="inlineStr">
        <is>
          <t>L1-0739</t>
        </is>
      </c>
      <c r="B740" s="11" t="inlineStr">
        <is>
          <t>List 1 (to ~2015)</t>
        </is>
      </c>
      <c r="C740" s="11" t="inlineStr">
        <is>
          <t>list1</t>
        </is>
      </c>
      <c r="D740" s="11" t="inlineStr">
        <is>
          <t>verified</t>
        </is>
      </c>
      <c r="E740" s="11" t="inlineStr">
        <is>
          <t>reversed_on_appeal</t>
        </is>
      </c>
      <c r="F740" s="2" t="inlineStr">
        <is>
          <t>D.P. Metals v. State of Rajasthan</t>
        </is>
      </c>
      <c r="G740" s="11" t="inlineStr"/>
      <c r="H740" s="11" t="inlineStr">
        <is>
          <t>unknown</t>
        </is>
      </c>
      <c r="I740" s="2" t="inlineStr">
        <is>
          <t>(2001) 121 STC 311; (2001) 4 WLC 115; (2000) 3 WLN 445</t>
        </is>
      </c>
      <c r="J740" s="11" t="n">
        <v>2000</v>
      </c>
      <c r="K740" s="2" t="inlineStr">
        <is>
          <t>State of Rajasthan and Another v. M/s D.P. Metals</t>
        </is>
      </c>
      <c r="L740" s="11" t="inlineStr">
        <is>
          <t>Supreme Court</t>
        </is>
      </c>
      <c r="M740" s="2" t="inlineStr">
        <is>
          <t>AIR 2001 SC 3076; (2001) 8 JT 328; (2001) 7 SCALE 14; (2002) 1 SCC 279; (2001) 124 STC 611; (2001) AIRSCW 4091; (2001) 7 Supreme 667</t>
        </is>
      </c>
      <c r="N740" s="11" t="n">
        <v>2001</v>
      </c>
      <c r="O740" s="11" t="n"/>
      <c r="P740" s="11" t="n"/>
      <c r="Q740" s="11" t="n"/>
      <c r="R740" s="2" t="n"/>
      <c r="S740" s="2" t="n"/>
      <c r="T740" s="11" t="inlineStr">
        <is>
          <t>yes</t>
        </is>
      </c>
      <c r="U740" s="11" t="inlineStr"/>
      <c r="V740" s="11" t="inlineStr">
        <is>
          <t>outside_list</t>
        </is>
      </c>
      <c r="W740" s="11" t="n"/>
      <c r="X740" s="11" t="n"/>
      <c r="Y740" s="11" t="n"/>
      <c r="Z740" s="11" t="inlineStr">
        <is>
          <t>Mr. Advocate</t>
        </is>
      </c>
      <c r="AA740" s="11" t="inlineStr">
        <is>
          <t>2026-10-07</t>
        </is>
      </c>
      <c r="AB740" s="11" t="inlineStr">
        <is>
          <t>name_year</t>
        </is>
      </c>
      <c r="AC740" s="2" t="inlineStr"/>
      <c r="AD740" s="2" t="inlineStr">
        <is>
          <t>D.P. Metals v. State of Rajasthan (2000) was reversed on appeal by the Supreme Court in State of Rajasthan and Another v. M/s D.P. Metals (2001).</t>
        </is>
      </c>
      <c r="AE740" s="2" t="n"/>
      <c r="AF740" s="11" t="inlineStr">
        <is>
          <t>created from list 1</t>
        </is>
      </c>
    </row>
    <row r="741">
      <c r="A741" s="11" t="inlineStr">
        <is>
          <t>L1-0740</t>
        </is>
      </c>
      <c r="B741" s="11" t="inlineStr">
        <is>
          <t>List 1 (to ~2015)</t>
        </is>
      </c>
      <c r="C741" s="11" t="inlineStr">
        <is>
          <t>list1</t>
        </is>
      </c>
      <c r="D741" s="11" t="inlineStr">
        <is>
          <t>verified</t>
        </is>
      </c>
      <c r="E741" s="11" t="inlineStr">
        <is>
          <t>reversed_on_appeal</t>
        </is>
      </c>
      <c r="F741" s="2" t="inlineStr">
        <is>
          <t>Sutlej Cotton Mills Ltd. v. Commissioner of Income Tax</t>
        </is>
      </c>
      <c r="G741" s="11" t="inlineStr"/>
      <c r="H741" s="11" t="inlineStr">
        <is>
          <t>unknown</t>
        </is>
      </c>
      <c r="I741" s="2" t="inlineStr">
        <is>
          <t>(1971) 81 ITR 641</t>
        </is>
      </c>
      <c r="J741" s="11" t="n">
        <v>1971</v>
      </c>
      <c r="K741" s="2" t="inlineStr">
        <is>
          <t>Sutlej Cotton Mills Limited v. Commissioner of Income Tax, Calcutta</t>
        </is>
      </c>
      <c r="L741" s="11" t="inlineStr">
        <is>
          <t>Supreme Court</t>
        </is>
      </c>
      <c r="M741" s="2" t="inlineStr">
        <is>
          <t>AIR 1979 SC 5; (1979) 116 ITR 1; (1978) 4 SCC 358; (1979) 1 SCR 976</t>
        </is>
      </c>
      <c r="N741" s="11" t="n">
        <v>1979</v>
      </c>
      <c r="O741" s="11" t="n"/>
      <c r="P741" s="11" t="n"/>
      <c r="Q741" s="11" t="n"/>
      <c r="R741" s="2" t="n"/>
      <c r="S741" s="2" t="n"/>
      <c r="T741" s="11" t="inlineStr">
        <is>
          <t>yes</t>
        </is>
      </c>
      <c r="U741" s="11" t="inlineStr"/>
      <c r="V741" s="11" t="inlineStr">
        <is>
          <t>outside_list</t>
        </is>
      </c>
      <c r="W741" s="11" t="n"/>
      <c r="X741" s="11" t="n"/>
      <c r="Y741" s="11" t="n"/>
      <c r="Z741" s="11" t="inlineStr">
        <is>
          <t>Mr. Advocate</t>
        </is>
      </c>
      <c r="AA741" s="11" t="inlineStr">
        <is>
          <t>2026-10-07</t>
        </is>
      </c>
      <c r="AB741" s="11" t="inlineStr">
        <is>
          <t>name_year</t>
        </is>
      </c>
      <c r="AC741" s="2" t="inlineStr"/>
      <c r="AD741" s="2" t="inlineStr">
        <is>
          <t>Sutlej Cotton Mills Ltd. v. Commissioner of Income Tax (1971) was reversed on appeal by the Supreme Court in Sutlej Cotton Mills Limited v. Commissioner of Income Tax, Calcutta (1979).</t>
        </is>
      </c>
      <c r="AE741" s="2" t="n"/>
      <c r="AF741" s="11" t="inlineStr">
        <is>
          <t>created from list 1</t>
        </is>
      </c>
    </row>
    <row r="742">
      <c r="A742" s="11" t="inlineStr">
        <is>
          <t>L1-0741</t>
        </is>
      </c>
      <c r="B742" s="11" t="inlineStr">
        <is>
          <t>List 1 (to ~2015)</t>
        </is>
      </c>
      <c r="C742" s="11" t="inlineStr">
        <is>
          <t>list1</t>
        </is>
      </c>
      <c r="D742" s="11" t="inlineStr">
        <is>
          <t>verified</t>
        </is>
      </c>
      <c r="E742" s="11" t="inlineStr">
        <is>
          <t>overruled</t>
        </is>
      </c>
      <c r="F742" s="2" t="inlineStr">
        <is>
          <t>Punjab National Bank Ltd., Delhi v. Firm Isardas Kaluram</t>
        </is>
      </c>
      <c r="G742" s="11" t="inlineStr"/>
      <c r="H742" s="11" t="inlineStr">
        <is>
          <t>Rajasthan</t>
        </is>
      </c>
      <c r="I742" s="2" t="inlineStr">
        <is>
          <t>AIR 1957 Raj 146</t>
        </is>
      </c>
      <c r="J742" s="11" t="n">
        <v>1957</v>
      </c>
      <c r="K742" s="2" t="inlineStr">
        <is>
          <t>Diwan Bros. v. Central Bank of India, Bombay and Others</t>
        </is>
      </c>
      <c r="L742" s="11" t="inlineStr">
        <is>
          <t>Supreme Court</t>
        </is>
      </c>
      <c r="M742" s="2" t="inlineStr">
        <is>
          <t>AIR 1976 SC 1503; (1976) 3 SCC 800; (1976) SCR 664 Supp</t>
        </is>
      </c>
      <c r="N742" s="11" t="n">
        <v>1976</v>
      </c>
      <c r="O742" s="11" t="n"/>
      <c r="P742" s="11" t="n"/>
      <c r="Q742" s="11" t="n"/>
      <c r="R742" s="2" t="n"/>
      <c r="S742" s="2" t="n"/>
      <c r="T742" s="11" t="inlineStr"/>
      <c r="U742" s="11" t="inlineStr"/>
      <c r="V742" s="11" t="inlineStr">
        <is>
          <t>outside_list</t>
        </is>
      </c>
      <c r="W742" s="11" t="n"/>
      <c r="X742" s="11" t="n"/>
      <c r="Y742" s="11" t="n"/>
      <c r="Z742" s="11" t="inlineStr">
        <is>
          <t>Mr. Advocate</t>
        </is>
      </c>
      <c r="AA742" s="11" t="inlineStr">
        <is>
          <t>2026-10-07</t>
        </is>
      </c>
      <c r="AB742" s="11" t="inlineStr">
        <is>
          <t>name_year</t>
        </is>
      </c>
      <c r="AC742" s="2" t="inlineStr"/>
      <c r="AD742" s="2" t="inlineStr">
        <is>
          <t>Punjab National Bank Ltd., Delhi v. Firm Isardas Kaluram (1957) was overruled by Diwan Bros. v. Central Bank of India, Bombay and Others (1976).</t>
        </is>
      </c>
      <c r="AE742" s="2" t="n"/>
      <c r="AF742" s="11" t="inlineStr">
        <is>
          <t>created from list 1</t>
        </is>
      </c>
    </row>
    <row r="743">
      <c r="A743" s="11" t="inlineStr">
        <is>
          <t>L1-0742</t>
        </is>
      </c>
      <c r="B743" s="11" t="inlineStr">
        <is>
          <t>List 1 (to ~2015)</t>
        </is>
      </c>
      <c r="C743" s="11" t="inlineStr">
        <is>
          <t>list1</t>
        </is>
      </c>
      <c r="D743" s="11" t="inlineStr">
        <is>
          <t>verified</t>
        </is>
      </c>
      <c r="E743" s="11" t="inlineStr">
        <is>
          <t>overruled</t>
        </is>
      </c>
      <c r="F743" s="2" t="inlineStr">
        <is>
          <t>Mohanlal and Others v. The Jaipur Hosiery Mills Private Limited</t>
        </is>
      </c>
      <c r="G743" s="11" t="inlineStr"/>
      <c r="H743" s="11" t="inlineStr">
        <is>
          <t>unknown</t>
        </is>
      </c>
      <c r="I743" s="2" t="inlineStr">
        <is>
          <t>(1973) 6 WLN 832</t>
        </is>
      </c>
      <c r="J743" s="11" t="n">
        <v>1973</v>
      </c>
      <c r="K743" s="2" t="inlineStr">
        <is>
          <t>Tara Chand and Another v. Ram Prasad</t>
        </is>
      </c>
      <c r="L743" s="11" t="inlineStr">
        <is>
          <t>Supreme Court</t>
        </is>
      </c>
      <c r="M743" s="2" t="inlineStr">
        <is>
          <t>(1990) 3 JT 17; (1990) 3 SCC 526; (1990) 3 SCR 7; (1990) 2 UJ 157</t>
        </is>
      </c>
      <c r="N743" s="11" t="n">
        <v>1990</v>
      </c>
      <c r="O743" s="11" t="n"/>
      <c r="P743" s="11" t="n"/>
      <c r="Q743" s="11" t="n"/>
      <c r="R743" s="2" t="n"/>
      <c r="S743" s="2" t="n"/>
      <c r="T743" s="11" t="inlineStr"/>
      <c r="U743" s="11" t="inlineStr"/>
      <c r="V743" s="11" t="inlineStr">
        <is>
          <t>outside_list</t>
        </is>
      </c>
      <c r="W743" s="11" t="n"/>
      <c r="X743" s="11" t="n"/>
      <c r="Y743" s="11" t="n"/>
      <c r="Z743" s="11" t="inlineStr">
        <is>
          <t>Mr. Advocate</t>
        </is>
      </c>
      <c r="AA743" s="11" t="inlineStr">
        <is>
          <t>2026-10-07</t>
        </is>
      </c>
      <c r="AB743" s="11" t="inlineStr">
        <is>
          <t>name_year</t>
        </is>
      </c>
      <c r="AC743" s="2" t="inlineStr"/>
      <c r="AD743" s="2" t="inlineStr">
        <is>
          <t>Mohanlal and Others v. The Jaipur Hosiery Mills Private Limited (1973) was overruled by Tara Chand and Another v. Ram Prasad (1990).</t>
        </is>
      </c>
      <c r="AE743" s="2" t="n"/>
      <c r="AF743" s="11" t="inlineStr">
        <is>
          <t>created from list 1</t>
        </is>
      </c>
    </row>
    <row r="744">
      <c r="A744" s="11" t="inlineStr">
        <is>
          <t>L1-0743</t>
        </is>
      </c>
      <c r="B744" s="11" t="inlineStr">
        <is>
          <t>List 1 (to ~2015)</t>
        </is>
      </c>
      <c r="C744" s="11" t="inlineStr">
        <is>
          <t>list1</t>
        </is>
      </c>
      <c r="D744" s="11" t="inlineStr">
        <is>
          <t>verified</t>
        </is>
      </c>
      <c r="E744" s="11" t="inlineStr">
        <is>
          <t>reversed_on_appeal</t>
        </is>
      </c>
      <c r="F744" s="2" t="inlineStr">
        <is>
          <t>Man Industrial Corporation Ltd. v. Rajasthan Financial Corporation</t>
        </is>
      </c>
      <c r="G744" s="11" t="inlineStr"/>
      <c r="H744" s="11" t="inlineStr">
        <is>
          <t>Rajasthan</t>
        </is>
      </c>
      <c r="I744" s="2" t="inlineStr">
        <is>
          <t>AIR 1997 Raj 108; (1997) 1 WLC 140; (1997) 2 WLN 471</t>
        </is>
      </c>
      <c r="J744" s="11" t="n">
        <v>1997</v>
      </c>
      <c r="K744" s="2" t="inlineStr">
        <is>
          <t>Rajasthan Financial Corporation v. Man Industrial Corporation Ltd.</t>
        </is>
      </c>
      <c r="L744" s="11" t="inlineStr">
        <is>
          <t>Supreme Court</t>
        </is>
      </c>
      <c r="M744" s="2" t="inlineStr">
        <is>
          <t>AIR 2003 SC 4273; (2003) 117 CompCas 110; (2003) 7 JT 486; (2003) 6 SCALE 825; (2003) 7 SCC 522; (2004) 49 SCL 35; (2004) 1 UJ 110; (2003) AIRSCW 4920; (2003) 6 Supreme 558</t>
        </is>
      </c>
      <c r="N744" s="11" t="n">
        <v>2003</v>
      </c>
      <c r="O744" s="11" t="n"/>
      <c r="P744" s="11" t="n"/>
      <c r="Q744" s="11" t="n"/>
      <c r="R744" s="2" t="n"/>
      <c r="S744" s="2" t="n"/>
      <c r="T744" s="11" t="inlineStr">
        <is>
          <t>yes</t>
        </is>
      </c>
      <c r="U744" s="11" t="inlineStr"/>
      <c r="V744" s="11" t="inlineStr">
        <is>
          <t>outside_list</t>
        </is>
      </c>
      <c r="W744" s="11" t="n"/>
      <c r="X744" s="11" t="n"/>
      <c r="Y744" s="11" t="n"/>
      <c r="Z744" s="11" t="inlineStr">
        <is>
          <t>Mr. Advocate</t>
        </is>
      </c>
      <c r="AA744" s="11" t="inlineStr">
        <is>
          <t>2026-10-07</t>
        </is>
      </c>
      <c r="AB744" s="11" t="inlineStr">
        <is>
          <t>name_year</t>
        </is>
      </c>
      <c r="AC744" s="2" t="inlineStr"/>
      <c r="AD744" s="2" t="inlineStr">
        <is>
          <t>Man Industrial Corporation Ltd. v. Rajasthan Financial Corporation (1997) was reversed on appeal by the Supreme Court in Rajasthan Financial Corporation v. Man Industrial Corporation Ltd. (2003).</t>
        </is>
      </c>
      <c r="AE744" s="2" t="n"/>
      <c r="AF744" s="11" t="inlineStr">
        <is>
          <t>created from list 1</t>
        </is>
      </c>
    </row>
    <row r="745">
      <c r="A745" s="11" t="inlineStr">
        <is>
          <t>L1-0744</t>
        </is>
      </c>
      <c r="B745" s="11" t="inlineStr">
        <is>
          <t>List 1 (to ~2015)</t>
        </is>
      </c>
      <c r="C745" s="11" t="inlineStr">
        <is>
          <t>list1</t>
        </is>
      </c>
      <c r="D745" s="11" t="inlineStr">
        <is>
          <t>verified</t>
        </is>
      </c>
      <c r="E745" s="11" t="inlineStr">
        <is>
          <t>overruled</t>
        </is>
      </c>
      <c r="F745" s="2" t="inlineStr">
        <is>
          <t>Sewa Ram v. Misrimal and Others</t>
        </is>
      </c>
      <c r="G745" s="11" t="inlineStr"/>
      <c r="H745" s="11" t="inlineStr">
        <is>
          <t>Rajasthan</t>
        </is>
      </c>
      <c r="I745" s="2" t="inlineStr">
        <is>
          <t>AIR 1952 Raj 12</t>
        </is>
      </c>
      <c r="J745" s="11" t="n">
        <v>1952</v>
      </c>
      <c r="K745" s="2" t="inlineStr">
        <is>
          <t>Sangram Singh v. Election Tribunal, Kotah, Bhurey Lal Baya</t>
        </is>
      </c>
      <c r="L745" s="11" t="inlineStr">
        <is>
          <t>Supreme Court</t>
        </is>
      </c>
      <c r="M745" s="2" t="inlineStr">
        <is>
          <t>AIR 1955 SC 425; (1955) 2 SCR 1</t>
        </is>
      </c>
      <c r="N745" s="11" t="n">
        <v>1955</v>
      </c>
      <c r="O745" s="11" t="n"/>
      <c r="P745" s="11" t="n"/>
      <c r="Q745" s="11" t="n"/>
      <c r="R745" s="2" t="n"/>
      <c r="S745" s="2" t="n"/>
      <c r="T745" s="11" t="inlineStr"/>
      <c r="U745" s="11" t="inlineStr"/>
      <c r="V745" s="11" t="inlineStr">
        <is>
          <t>outside_list</t>
        </is>
      </c>
      <c r="W745" s="11" t="n"/>
      <c r="X745" s="11" t="n"/>
      <c r="Y745" s="11" t="n"/>
      <c r="Z745" s="11" t="inlineStr">
        <is>
          <t>Mr. Advocate</t>
        </is>
      </c>
      <c r="AA745" s="11" t="inlineStr">
        <is>
          <t>2026-10-07</t>
        </is>
      </c>
      <c r="AB745" s="11" t="inlineStr">
        <is>
          <t>name_year</t>
        </is>
      </c>
      <c r="AC745" s="2" t="inlineStr"/>
      <c r="AD745" s="2" t="inlineStr">
        <is>
          <t>Sewa Ram v. Misrimal and Others (1952) was overruled by Sangram Singh v. Election Tribunal, Kotah, Bhurey Lal Baya (1955).</t>
        </is>
      </c>
      <c r="AE745" s="2" t="n"/>
      <c r="AF745" s="11" t="inlineStr">
        <is>
          <t>created from list 1</t>
        </is>
      </c>
    </row>
    <row r="746">
      <c r="A746" s="11" t="inlineStr">
        <is>
          <t>L1-0745</t>
        </is>
      </c>
      <c r="B746" s="11" t="inlineStr">
        <is>
          <t>List 1 (to ~2015)</t>
        </is>
      </c>
      <c r="C746" s="11" t="inlineStr">
        <is>
          <t>list1</t>
        </is>
      </c>
      <c r="D746" s="11" t="inlineStr">
        <is>
          <t>verified</t>
        </is>
      </c>
      <c r="E746" s="11" t="inlineStr">
        <is>
          <t>overruled</t>
        </is>
      </c>
      <c r="F746" s="2" t="inlineStr">
        <is>
          <t>Kewal Ram v. Mangu Mal</t>
        </is>
      </c>
      <c r="G746" s="11" t="inlineStr"/>
      <c r="H746" s="11" t="inlineStr">
        <is>
          <t>Rajasthan</t>
        </is>
      </c>
      <c r="I746" s="2" t="inlineStr">
        <is>
          <t>AIR 1974 Raj 201; (1974) 7 WLN 241</t>
        </is>
      </c>
      <c r="J746" s="11" t="n">
        <v>1974</v>
      </c>
      <c r="K746" s="2" t="inlineStr">
        <is>
          <t>Vashu Deo v. Bal Kishan</t>
        </is>
      </c>
      <c r="L746" s="11" t="inlineStr">
        <is>
          <t>Supreme Court</t>
        </is>
      </c>
      <c r="M746" s="2" t="inlineStr">
        <is>
          <t>AIR 2002 SC 569; (2002) 1 JT 97; (2002) 1 SCALE 123; (2002) 2 SCC 50; (2002) 1 SCR 171; (2002) 1 UJ 367; (2002) AIRSCW 152; (2002) 1 Supreme 102</t>
        </is>
      </c>
      <c r="N746" s="11" t="n">
        <v>2002</v>
      </c>
      <c r="O746" s="11" t="n"/>
      <c r="P746" s="11" t="n"/>
      <c r="Q746" s="11" t="n"/>
      <c r="R746" s="2" t="n"/>
      <c r="S746" s="2" t="n"/>
      <c r="T746" s="11" t="inlineStr"/>
      <c r="U746" s="11" t="inlineStr"/>
      <c r="V746" s="11" t="inlineStr">
        <is>
          <t>outside_list</t>
        </is>
      </c>
      <c r="W746" s="11" t="n"/>
      <c r="X746" s="11" t="n"/>
      <c r="Y746" s="11" t="n"/>
      <c r="Z746" s="11" t="inlineStr">
        <is>
          <t>Mr. Advocate</t>
        </is>
      </c>
      <c r="AA746" s="11" t="inlineStr">
        <is>
          <t>2026-10-07</t>
        </is>
      </c>
      <c r="AB746" s="11" t="inlineStr">
        <is>
          <t>name_year</t>
        </is>
      </c>
      <c r="AC746" s="2" t="inlineStr"/>
      <c r="AD746" s="2" t="inlineStr">
        <is>
          <t>Kewal Ram v. Mangu Mal (1974) was overruled by Vashu Deo v. Bal Kishan (2002).</t>
        </is>
      </c>
      <c r="AE746" s="2" t="n"/>
      <c r="AF746" s="11" t="inlineStr">
        <is>
          <t>created from list 1</t>
        </is>
      </c>
    </row>
    <row r="747">
      <c r="A747" s="11" t="inlineStr">
        <is>
          <t>L1-0746</t>
        </is>
      </c>
      <c r="B747" s="11" t="inlineStr">
        <is>
          <t>List 1 (to ~2015)</t>
        </is>
      </c>
      <c r="C747" s="11" t="inlineStr">
        <is>
          <t>list1</t>
        </is>
      </c>
      <c r="D747" s="11" t="inlineStr">
        <is>
          <t>verified</t>
        </is>
      </c>
      <c r="E747" s="11" t="inlineStr">
        <is>
          <t>reversed_on_appeal</t>
        </is>
      </c>
      <c r="F747" s="2" t="inlineStr">
        <is>
          <t>Controller of Estate Duty v. N.K. Sanghi</t>
        </is>
      </c>
      <c r="G747" s="11" t="inlineStr"/>
      <c r="H747" s="11" t="inlineStr">
        <is>
          <t>unknown</t>
        </is>
      </c>
      <c r="I747" s="2" t="inlineStr">
        <is>
          <t>(1974) 97 ITR 119; (1973) WLN 372</t>
        </is>
      </c>
      <c r="J747" s="11" t="n">
        <v>1973</v>
      </c>
      <c r="K747" s="2" t="inlineStr">
        <is>
          <t>N.K. Sanghi, Partner of Sanghi Brothers v. Controller of Estate Duty, Rajasthan</t>
        </is>
      </c>
      <c r="L747" s="11" t="inlineStr">
        <is>
          <t>Supreme Court</t>
        </is>
      </c>
      <c r="M747" s="2" t="inlineStr">
        <is>
          <t>(1988) 70 CTR 120; (1988) 172 ITR 413; (1988) 2 JT 481(1); (1988) 1 SCR 210 Supp; (1988) 2 UJ 210</t>
        </is>
      </c>
      <c r="N747" s="11" t="n">
        <v>1988</v>
      </c>
      <c r="O747" s="11" t="n"/>
      <c r="P747" s="11" t="n"/>
      <c r="Q747" s="11" t="n"/>
      <c r="R747" s="2" t="n"/>
      <c r="S747" s="2" t="n"/>
      <c r="T747" s="11" t="inlineStr">
        <is>
          <t>yes</t>
        </is>
      </c>
      <c r="U747" s="11" t="inlineStr"/>
      <c r="V747" s="11" t="inlineStr">
        <is>
          <t>outside_list</t>
        </is>
      </c>
      <c r="W747" s="11" t="n"/>
      <c r="X747" s="11" t="n"/>
      <c r="Y747" s="11" t="n"/>
      <c r="Z747" s="11" t="inlineStr">
        <is>
          <t>Mr. Advocate</t>
        </is>
      </c>
      <c r="AA747" s="11" t="inlineStr">
        <is>
          <t>2026-10-07</t>
        </is>
      </c>
      <c r="AB747" s="11" t="inlineStr">
        <is>
          <t>name_year</t>
        </is>
      </c>
      <c r="AC747" s="2" t="inlineStr"/>
      <c r="AD747" s="2" t="inlineStr">
        <is>
          <t>Controller of Estate Duty v. N.K. Sanghi (1973) was reversed on appeal by the Supreme Court in N.K. Sanghi, Partner of Sanghi Brothers v. Controller of Estate Duty, Rajasthan (1988).</t>
        </is>
      </c>
      <c r="AE747" s="2" t="n"/>
      <c r="AF747" s="11" t="inlineStr">
        <is>
          <t>created from list 1</t>
        </is>
      </c>
    </row>
    <row r="748">
      <c r="A748" s="11" t="inlineStr">
        <is>
          <t>L1-0747</t>
        </is>
      </c>
      <c r="B748" s="11" t="inlineStr">
        <is>
          <t>List 1 (to ~2015)</t>
        </is>
      </c>
      <c r="C748" s="11" t="inlineStr">
        <is>
          <t>list1</t>
        </is>
      </c>
      <c r="D748" s="11" t="inlineStr">
        <is>
          <t>verified</t>
        </is>
      </c>
      <c r="E748" s="11" t="inlineStr">
        <is>
          <t>overruled</t>
        </is>
      </c>
      <c r="F748" s="2" t="inlineStr">
        <is>
          <t>Sumitra Manna v. Gobinda Chandra Manna</t>
        </is>
      </c>
      <c r="G748" s="11" t="inlineStr"/>
      <c r="H748" s="11" t="inlineStr">
        <is>
          <t>Calcutta</t>
        </is>
      </c>
      <c r="I748" s="2" t="inlineStr">
        <is>
          <t>AIR 1988 Cal 192; 92 CWN 254</t>
        </is>
      </c>
      <c r="J748" s="11" t="n">
        <v>1988</v>
      </c>
      <c r="K748" s="2" t="inlineStr">
        <is>
          <t>Hirachand Srinivas Managaonkar v. Sunanda</t>
        </is>
      </c>
      <c r="L748" s="11" t="inlineStr">
        <is>
          <t>Supreme Court</t>
        </is>
      </c>
      <c r="M748" s="2" t="inlineStr">
        <is>
          <t>AIR 2001 SC 1285; (2001) 1 DMC 616; (2001) 3 JT 620; (2001) 2 SCALE 514; (2001) 4 SCC 125; (2001) 2 SCR 491; (2001) 2 UJ 801; (2001) AIRSCW 1196; (2001) 2 Supreme 435</t>
        </is>
      </c>
      <c r="N748" s="11" t="n">
        <v>2001</v>
      </c>
      <c r="O748" s="11" t="n"/>
      <c r="P748" s="11" t="n"/>
      <c r="Q748" s="11" t="n"/>
      <c r="R748" s="2" t="n"/>
      <c r="S748" s="2" t="n"/>
      <c r="T748" s="11" t="inlineStr"/>
      <c r="U748" s="11" t="inlineStr"/>
      <c r="V748" s="11" t="inlineStr">
        <is>
          <t>outside_list</t>
        </is>
      </c>
      <c r="W748" s="11" t="n"/>
      <c r="X748" s="11" t="n"/>
      <c r="Y748" s="11" t="n"/>
      <c r="Z748" s="11" t="inlineStr">
        <is>
          <t>Mr. Advocate</t>
        </is>
      </c>
      <c r="AA748" s="11" t="inlineStr">
        <is>
          <t>2026-10-07</t>
        </is>
      </c>
      <c r="AB748" s="11" t="inlineStr">
        <is>
          <t>name_year</t>
        </is>
      </c>
      <c r="AC748" s="2" t="inlineStr"/>
      <c r="AD748" s="2" t="inlineStr">
        <is>
          <t>Sumitra Manna v. Gobinda Chandra Manna (1988) was overruled by Hirachand Srinivas Managaonkar v. Sunanda (2001).</t>
        </is>
      </c>
      <c r="AE748" s="2" t="n"/>
      <c r="AF748" s="11" t="inlineStr">
        <is>
          <t>created from list 1</t>
        </is>
      </c>
    </row>
    <row r="749">
      <c r="A749" s="11" t="inlineStr">
        <is>
          <t>L1-0748</t>
        </is>
      </c>
      <c r="B749" s="11" t="inlineStr">
        <is>
          <t>List 1 (to ~2015)</t>
        </is>
      </c>
      <c r="C749" s="11" t="inlineStr">
        <is>
          <t>list1</t>
        </is>
      </c>
      <c r="D749" s="11" t="inlineStr">
        <is>
          <t>verified</t>
        </is>
      </c>
      <c r="E749" s="11" t="inlineStr">
        <is>
          <t>reversed_on_appeal</t>
        </is>
      </c>
      <c r="F749" s="2" t="inlineStr">
        <is>
          <t>Rajasthan State Warehousing Corporation v. Commissioner of Income Tax</t>
        </is>
      </c>
      <c r="G749" s="11" t="inlineStr"/>
      <c r="H749" s="11" t="inlineStr">
        <is>
          <t>unknown</t>
        </is>
      </c>
      <c r="I749" s="2" t="inlineStr">
        <is>
          <t>(1994) 119 CTR 369; (1994) 209 ITR 271</t>
        </is>
      </c>
      <c r="J749" s="11" t="n">
        <v>1994</v>
      </c>
      <c r="K749" s="2" t="inlineStr">
        <is>
          <t>Rajasthan State Warehousing Corporation v. Commissioner of Income Tax</t>
        </is>
      </c>
      <c r="L749" s="11" t="inlineStr">
        <is>
          <t>Supreme Court</t>
        </is>
      </c>
      <c r="M749" s="2" t="inlineStr">
        <is>
          <t>AIR 2000 SC 972; (2000) 159 CTR 132; (2000) 242 ITR 450; (2000) 2 JT 373; (2000) 2 SCALE 44; (2000) 3 SCC 126; (2000) 1 SCR 1113; (2000) AIRSCW 629; (2000) 1 Supreme 601</t>
        </is>
      </c>
      <c r="N749" s="11" t="n">
        <v>2000</v>
      </c>
      <c r="O749" s="11" t="n"/>
      <c r="P749" s="11" t="n"/>
      <c r="Q749" s="11" t="n"/>
      <c r="R749" s="2" t="n"/>
      <c r="S749" s="2" t="n"/>
      <c r="T749" s="11" t="inlineStr">
        <is>
          <t>yes</t>
        </is>
      </c>
      <c r="U749" s="11" t="inlineStr">
        <is>
          <t>needs_citation_or_year</t>
        </is>
      </c>
      <c r="V749" s="11" t="inlineStr">
        <is>
          <t>outside_list</t>
        </is>
      </c>
      <c r="W749" s="11" t="n"/>
      <c r="X749" s="11" t="n"/>
      <c r="Y749" s="11" t="n"/>
      <c r="Z749" s="11" t="inlineStr">
        <is>
          <t>Mr. Advocate</t>
        </is>
      </c>
      <c r="AA749" s="11" t="inlineStr">
        <is>
          <t>2026-10-07</t>
        </is>
      </c>
      <c r="AB749" s="11" t="inlineStr">
        <is>
          <t>none</t>
        </is>
      </c>
      <c r="AC749" s="2" t="inlineStr"/>
      <c r="AD749" s="2" t="inlineStr">
        <is>
          <t>Rajasthan State Warehousing Corporation v. Commissioner of Income Tax (1994) was reversed on appeal by the Supreme Court in Rajasthan State Warehousing Corporation v. Commissioner of Income Tax (2000).</t>
        </is>
      </c>
      <c r="AE749" s="2" t="n"/>
      <c r="AF749" s="11" t="inlineStr">
        <is>
          <t>created from list 1</t>
        </is>
      </c>
    </row>
    <row r="750">
      <c r="A750" s="11" t="inlineStr">
        <is>
          <t>L1-0749</t>
        </is>
      </c>
      <c r="B750" s="11" t="inlineStr">
        <is>
          <t>List 1 (to ~2015)</t>
        </is>
      </c>
      <c r="C750" s="11" t="inlineStr">
        <is>
          <t>list1</t>
        </is>
      </c>
      <c r="D750" s="11" t="inlineStr">
        <is>
          <t>verified</t>
        </is>
      </c>
      <c r="E750" s="11" t="inlineStr">
        <is>
          <t>overruled</t>
        </is>
      </c>
      <c r="F750" s="2" t="inlineStr">
        <is>
          <t>Gopal Dass and Others v. Nathulal Baraya</t>
        </is>
      </c>
      <c r="G750" s="11" t="inlineStr"/>
      <c r="H750" s="11" t="inlineStr">
        <is>
          <t>Rajasthan</t>
        </is>
      </c>
      <c r="I750" s="2" t="inlineStr">
        <is>
          <t>AIR 1983 Raj 222</t>
        </is>
      </c>
      <c r="J750" s="11" t="n">
        <v>1983</v>
      </c>
      <c r="K750" s="2" t="inlineStr">
        <is>
          <t>Nasiruddin and Others v. Sita Ram Agarwal</t>
        </is>
      </c>
      <c r="L750" s="11" t="inlineStr">
        <is>
          <t>Supreme Court</t>
        </is>
      </c>
      <c r="M750" s="2" t="inlineStr">
        <is>
          <t>AIR 2003 SC 1543; (2003) 4 CTC 284; (2003) 2 JT 56; (2003) 1 SCALE 658; (2003) 2 SCC 577; (2003) 1 SCR 634; (2003) 2 UJ 781; (2003) AIRSCW 1474; (2003) AIRSCW 908; (2003) 2 Supreme 472; (2003) 2 Supreme 50</t>
        </is>
      </c>
      <c r="N750" s="11" t="n">
        <v>2003</v>
      </c>
      <c r="O750" s="11" t="n"/>
      <c r="P750" s="11" t="n"/>
      <c r="Q750" s="11" t="n"/>
      <c r="R750" s="2" t="n"/>
      <c r="S750" s="2" t="n"/>
      <c r="T750" s="11" t="inlineStr"/>
      <c r="U750" s="11" t="inlineStr"/>
      <c r="V750" s="11" t="inlineStr">
        <is>
          <t>outside_list</t>
        </is>
      </c>
      <c r="W750" s="11" t="n"/>
      <c r="X750" s="11" t="n"/>
      <c r="Y750" s="11" t="n"/>
      <c r="Z750" s="11" t="inlineStr">
        <is>
          <t>Mr. Advocate</t>
        </is>
      </c>
      <c r="AA750" s="11" t="inlineStr">
        <is>
          <t>2026-10-07</t>
        </is>
      </c>
      <c r="AB750" s="11" t="inlineStr">
        <is>
          <t>name_year</t>
        </is>
      </c>
      <c r="AC750" s="2" t="inlineStr"/>
      <c r="AD750" s="2" t="inlineStr">
        <is>
          <t>Gopal Dass and Others v. Nathulal Baraya (1983) was overruled by Nasiruddin and Others v. Sita Ram Agarwal (2003).</t>
        </is>
      </c>
      <c r="AE750" s="2" t="n"/>
      <c r="AF750" s="11" t="inlineStr">
        <is>
          <t>created from list 1</t>
        </is>
      </c>
    </row>
    <row r="751">
      <c r="A751" s="11" t="inlineStr">
        <is>
          <t>L1-0750</t>
        </is>
      </c>
      <c r="B751" s="11" t="inlineStr">
        <is>
          <t>List 1 (to ~2015)</t>
        </is>
      </c>
      <c r="C751" s="11" t="inlineStr">
        <is>
          <t>list1</t>
        </is>
      </c>
      <c r="D751" s="11" t="inlineStr">
        <is>
          <t>verified</t>
        </is>
      </c>
      <c r="E751" s="11" t="inlineStr">
        <is>
          <t>overruled</t>
        </is>
      </c>
      <c r="F751" s="2" t="inlineStr">
        <is>
          <t>Sadhuram and Another v. State of Rajasthan</t>
        </is>
      </c>
      <c r="G751" s="11" t="inlineStr"/>
      <c r="H751" s="11" t="inlineStr">
        <is>
          <t>unknown</t>
        </is>
      </c>
      <c r="I751" s="2" t="inlineStr">
        <is>
          <t>(2001) 3 WLC 633; (2002) 1 WLN 77</t>
        </is>
      </c>
      <c r="J751" s="11" t="n">
        <v>2001</v>
      </c>
      <c r="K751" s="2" t="inlineStr">
        <is>
          <t>Sadhu Ram and Another v. The State of Rajasthan</t>
        </is>
      </c>
      <c r="L751" s="11" t="inlineStr">
        <is>
          <t>Supreme Court</t>
        </is>
      </c>
      <c r="M751" s="2" t="inlineStr">
        <is>
          <t>AIR 2003 SC 3530; (2003) CriLJ 2331; (2003) 1 DMC 712; (2003) 4 JT 13; (2003) 3 SCALE 751; (2003) 11 SCC 231; (2003) 2 UJ 938</t>
        </is>
      </c>
      <c r="N751" s="11" t="n">
        <v>2003</v>
      </c>
      <c r="O751" s="11" t="n"/>
      <c r="P751" s="11" t="n"/>
      <c r="Q751" s="11" t="n"/>
      <c r="R751" s="2" t="n"/>
      <c r="S751" s="2" t="n"/>
      <c r="T751" s="11" t="inlineStr"/>
      <c r="U751" s="11" t="inlineStr">
        <is>
          <t>needs_citation_or_year</t>
        </is>
      </c>
      <c r="V751" s="11" t="inlineStr">
        <is>
          <t>outside_list</t>
        </is>
      </c>
      <c r="W751" s="11" t="n"/>
      <c r="X751" s="11" t="n"/>
      <c r="Y751" s="11" t="n"/>
      <c r="Z751" s="11" t="inlineStr">
        <is>
          <t>Mr. Advocate</t>
        </is>
      </c>
      <c r="AA751" s="11" t="inlineStr">
        <is>
          <t>2026-10-07</t>
        </is>
      </c>
      <c r="AB751" s="11" t="inlineStr">
        <is>
          <t>none</t>
        </is>
      </c>
      <c r="AC751" s="2" t="inlineStr"/>
      <c r="AD751" s="2" t="inlineStr">
        <is>
          <t>Sadhuram and Another v. State of Rajasthan (2001) was overruled by Sadhu Ram and Another v. The State of Rajasthan (2003).</t>
        </is>
      </c>
      <c r="AE751" s="2" t="n"/>
      <c r="AF751" s="11" t="inlineStr">
        <is>
          <t>created from list 1</t>
        </is>
      </c>
    </row>
    <row r="752">
      <c r="A752" s="11" t="inlineStr">
        <is>
          <t>L1-0751</t>
        </is>
      </c>
      <c r="B752" s="11" t="inlineStr">
        <is>
          <t>List 1 (to ~2015)</t>
        </is>
      </c>
      <c r="C752" s="11" t="inlineStr">
        <is>
          <t>list1</t>
        </is>
      </c>
      <c r="D752" s="11" t="inlineStr">
        <is>
          <t>verified</t>
        </is>
      </c>
      <c r="E752" s="11" t="inlineStr">
        <is>
          <t>reversed_on_appeal</t>
        </is>
      </c>
      <c r="F752" s="2" t="inlineStr">
        <is>
          <t>Commissioner of Wealth Tax, Delhi and Rajasthan v. Her Highness Maharani Gayatri Devi of Jaipur</t>
        </is>
      </c>
      <c r="G752" s="11" t="inlineStr"/>
      <c r="H752" s="11" t="inlineStr">
        <is>
          <t>Rajasthan</t>
        </is>
      </c>
      <c r="I752" s="2" t="inlineStr">
        <is>
          <t>AIR 1968 Raj 129; (1967) 66 ITR 1</t>
        </is>
      </c>
      <c r="J752" s="11" t="n">
        <v>1968</v>
      </c>
      <c r="K752" s="2" t="inlineStr">
        <is>
          <t>The Commissioner of Wealth Tax, Rajasthan v. Her Highness Maharani Gayatri Devi of Jaipur</t>
        </is>
      </c>
      <c r="L752" s="11" t="inlineStr">
        <is>
          <t>Supreme Court</t>
        </is>
      </c>
      <c r="M752" s="2" t="inlineStr">
        <is>
          <t>(1971) 82 ITR 699; (1972) 4 SCC 331; (1972) 1 SCR 707; (1972) 4 UJ 151</t>
        </is>
      </c>
      <c r="N752" s="11" t="n">
        <v>1971</v>
      </c>
      <c r="O752" s="11" t="n"/>
      <c r="P752" s="11" t="n"/>
      <c r="Q752" s="11" t="n"/>
      <c r="R752" s="2" t="n"/>
      <c r="S752" s="2" t="n"/>
      <c r="T752" s="11" t="inlineStr">
        <is>
          <t>yes</t>
        </is>
      </c>
      <c r="U752" s="11" t="inlineStr"/>
      <c r="V752" s="11" t="inlineStr">
        <is>
          <t>outside_list</t>
        </is>
      </c>
      <c r="W752" s="11" t="n"/>
      <c r="X752" s="11" t="n"/>
      <c r="Y752" s="11" t="n"/>
      <c r="Z752" s="11" t="inlineStr">
        <is>
          <t>Mr. Advocate</t>
        </is>
      </c>
      <c r="AA752" s="11" t="inlineStr">
        <is>
          <t>2026-10-07</t>
        </is>
      </c>
      <c r="AB752" s="11" t="inlineStr">
        <is>
          <t>name_year</t>
        </is>
      </c>
      <c r="AC752" s="2" t="inlineStr"/>
      <c r="AD752" s="2" t="inlineStr">
        <is>
          <t>Commissioner of Wealth Tax, Delhi and Rajasthan v. Her Highness Maharani Gayatri Devi of Jaipur (1968) was reversed on appeal by the Supreme Court in The Commissioner of Wealth Tax, Rajasthan v. Her Highness Maharani Gayatri Devi of Jaipur (1971).</t>
        </is>
      </c>
      <c r="AE752" s="2" t="n"/>
      <c r="AF752" s="11" t="inlineStr">
        <is>
          <t>created from list 1</t>
        </is>
      </c>
    </row>
    <row r="753">
      <c r="A753" s="11" t="inlineStr">
        <is>
          <t>L1-0752</t>
        </is>
      </c>
      <c r="B753" s="11" t="inlineStr">
        <is>
          <t>List 1 (to ~2015)</t>
        </is>
      </c>
      <c r="C753" s="11" t="inlineStr">
        <is>
          <t>list1</t>
        </is>
      </c>
      <c r="D753" s="11" t="inlineStr">
        <is>
          <t>verified</t>
        </is>
      </c>
      <c r="E753" s="11" t="inlineStr">
        <is>
          <t>overruled</t>
        </is>
      </c>
      <c r="F753" s="2" t="inlineStr">
        <is>
          <t>Rajasthan State Electricity Board v. Labour Court Rajasthan and Others</t>
        </is>
      </c>
      <c r="G753" s="11" t="inlineStr"/>
      <c r="H753" s="11" t="inlineStr">
        <is>
          <t>unknown</t>
        </is>
      </c>
      <c r="I753" s="2" t="inlineStr">
        <is>
          <t>(1966) 1 LLJ 381</t>
        </is>
      </c>
      <c r="J753" s="11" t="n">
        <v>1966</v>
      </c>
      <c r="K753" s="2" t="inlineStr">
        <is>
          <t>Punjab Land Development and Reclamation Corporation Ltd., Chandigarh v. Presiding Officer, Labour Court, Chandigarh and Others</t>
        </is>
      </c>
      <c r="L753" s="11" t="inlineStr">
        <is>
          <t>Supreme Court</t>
        </is>
      </c>
      <c r="M753" s="2" t="inlineStr">
        <is>
          <t>(1991) 61 FLR 73; (1990) 2 JT 490; (1990) 2 LLJ 70; (1990) 1 SCALE 878; (1990) 3 SCC 682; (1990) 3 SCR 111; (1990) 2 UJ 293</t>
        </is>
      </c>
      <c r="N753" s="11" t="n">
        <v>1990</v>
      </c>
      <c r="O753" s="11" t="n"/>
      <c r="P753" s="11" t="n"/>
      <c r="Q753" s="11" t="n"/>
      <c r="R753" s="2" t="n"/>
      <c r="S753" s="2" t="n"/>
      <c r="T753" s="11" t="inlineStr"/>
      <c r="U753" s="11" t="inlineStr"/>
      <c r="V753" s="11" t="inlineStr">
        <is>
          <t>outside_list</t>
        </is>
      </c>
      <c r="W753" s="11" t="n"/>
      <c r="X753" s="11" t="n"/>
      <c r="Y753" s="11" t="n"/>
      <c r="Z753" s="11" t="inlineStr">
        <is>
          <t>Mr. Advocate</t>
        </is>
      </c>
      <c r="AA753" s="11" t="inlineStr">
        <is>
          <t>2026-10-07</t>
        </is>
      </c>
      <c r="AB753" s="11" t="inlineStr">
        <is>
          <t>name_year</t>
        </is>
      </c>
      <c r="AC753" s="2" t="inlineStr"/>
      <c r="AD753" s="2" t="inlineStr">
        <is>
          <t>Rajasthan State Electricity Board v. Labour Court Rajasthan and Others (1966) was overruled by Punjab Land Development and Reclamation Corporation Ltd., Chandigarh v. Presiding Officer, Labour Court, Chandigarh and Others (1990).</t>
        </is>
      </c>
      <c r="AE753" s="2" t="n"/>
      <c r="AF753" s="11" t="inlineStr">
        <is>
          <t>created from list 1</t>
        </is>
      </c>
    </row>
    <row r="754">
      <c r="A754" s="11" t="inlineStr">
        <is>
          <t>L1-0753</t>
        </is>
      </c>
      <c r="B754" s="11" t="inlineStr">
        <is>
          <t>List 1 (to ~2015)</t>
        </is>
      </c>
      <c r="C754" s="11" t="inlineStr">
        <is>
          <t>list1</t>
        </is>
      </c>
      <c r="D754" s="11" t="inlineStr">
        <is>
          <t>verified</t>
        </is>
      </c>
      <c r="E754" s="11" t="inlineStr">
        <is>
          <t>reversed_on_appeal</t>
        </is>
      </c>
      <c r="F754" s="2" t="inlineStr">
        <is>
          <t>Smt. Bhanwari Bai v. Joharilal Soni</t>
        </is>
      </c>
      <c r="G754" s="11" t="inlineStr"/>
      <c r="H754" s="11" t="inlineStr">
        <is>
          <t>unknown</t>
        </is>
      </c>
      <c r="I754" s="2" t="inlineStr">
        <is>
          <t>(1973) WLN 703</t>
        </is>
      </c>
      <c r="J754" s="11" t="n">
        <v>1973</v>
      </c>
      <c r="K754" s="2" t="inlineStr">
        <is>
          <t>Johri Lal Soni v. Smt. Bhanwari Bai</t>
        </is>
      </c>
      <c r="L754" s="11" t="inlineStr">
        <is>
          <t>Supreme Court</t>
        </is>
      </c>
      <c r="M754" s="2" t="inlineStr">
        <is>
          <t>AIR 1977 SC 2202; (1977) 4 SCC 59; (1978) 1 SCR 231; (1977) 9 UJ 542</t>
        </is>
      </c>
      <c r="N754" s="11" t="n">
        <v>1977</v>
      </c>
      <c r="O754" s="11" t="n"/>
      <c r="P754" s="11" t="n"/>
      <c r="Q754" s="11" t="n"/>
      <c r="R754" s="2" t="n"/>
      <c r="S754" s="2" t="n"/>
      <c r="T754" s="11" t="inlineStr">
        <is>
          <t>yes</t>
        </is>
      </c>
      <c r="U754" s="11" t="inlineStr"/>
      <c r="V754" s="11" t="inlineStr">
        <is>
          <t>outside_list</t>
        </is>
      </c>
      <c r="W754" s="11" t="n"/>
      <c r="X754" s="11" t="n"/>
      <c r="Y754" s="11" t="n"/>
      <c r="Z754" s="11" t="inlineStr">
        <is>
          <t>Mr. Advocate</t>
        </is>
      </c>
      <c r="AA754" s="11" t="inlineStr">
        <is>
          <t>2026-10-07</t>
        </is>
      </c>
      <c r="AB754" s="11" t="inlineStr">
        <is>
          <t>name_year</t>
        </is>
      </c>
      <c r="AC754" s="2" t="inlineStr"/>
      <c r="AD754" s="2" t="inlineStr">
        <is>
          <t>Smt. Bhanwari Bai v. Joharilal Soni (1973) was reversed on appeal by the Supreme Court in Johri Lal Soni v. Smt. Bhanwari Bai (1977).</t>
        </is>
      </c>
      <c r="AE754" s="2" t="n"/>
      <c r="AF754" s="11" t="inlineStr">
        <is>
          <t>created from list 1</t>
        </is>
      </c>
    </row>
    <row r="755">
      <c r="A755" s="11" t="inlineStr">
        <is>
          <t>L1-0754</t>
        </is>
      </c>
      <c r="B755" s="11" t="inlineStr">
        <is>
          <t>List 1 (to ~2015)</t>
        </is>
      </c>
      <c r="C755" s="11" t="inlineStr">
        <is>
          <t>list1</t>
        </is>
      </c>
      <c r="D755" s="11" t="inlineStr">
        <is>
          <t>verified</t>
        </is>
      </c>
      <c r="E755" s="11" t="inlineStr">
        <is>
          <t>overruled</t>
        </is>
      </c>
      <c r="F755" s="2" t="inlineStr">
        <is>
          <t>Matilall Kalwar v. Emperor</t>
        </is>
      </c>
      <c r="G755" s="11" t="inlineStr"/>
      <c r="H755" s="11" t="inlineStr">
        <is>
          <t>Calcutta</t>
        </is>
      </c>
      <c r="I755" s="2" t="inlineStr">
        <is>
          <t>AIR 1932 Cal 122; 140 Ind. Cas. 257</t>
        </is>
      </c>
      <c r="J755" s="11" t="n">
        <v>1932</v>
      </c>
      <c r="K755" s="2" t="inlineStr">
        <is>
          <t>Raja Ram Jaiswal v. State of Bihar</t>
        </is>
      </c>
      <c r="L755" s="11" t="inlineStr">
        <is>
          <t>Supreme Court</t>
        </is>
      </c>
      <c r="M755" s="2" t="inlineStr">
        <is>
          <t>AIR 1964 SC 828; (1964) CriLJ 705; (1964) 2 SCR 752</t>
        </is>
      </c>
      <c r="N755" s="11" t="n">
        <v>1964</v>
      </c>
      <c r="O755" s="11" t="n"/>
      <c r="P755" s="11" t="n"/>
      <c r="Q755" s="11" t="n"/>
      <c r="R755" s="2" t="n"/>
      <c r="S755" s="2" t="n"/>
      <c r="T755" s="11" t="inlineStr"/>
      <c r="U755" s="11" t="inlineStr"/>
      <c r="V755" s="11" t="inlineStr">
        <is>
          <t>outside_list</t>
        </is>
      </c>
      <c r="W755" s="11" t="n"/>
      <c r="X755" s="11" t="n"/>
      <c r="Y755" s="11" t="n"/>
      <c r="Z755" s="11" t="inlineStr">
        <is>
          <t>Mr. Advocate</t>
        </is>
      </c>
      <c r="AA755" s="11" t="inlineStr">
        <is>
          <t>2026-10-07</t>
        </is>
      </c>
      <c r="AB755" s="11" t="inlineStr">
        <is>
          <t>name_year</t>
        </is>
      </c>
      <c r="AC755" s="2" t="inlineStr"/>
      <c r="AD755" s="2" t="inlineStr">
        <is>
          <t>Matilall Kalwar v. Emperor (1932) was overruled by Raja Ram Jaiswal v. State of Bihar (1964).</t>
        </is>
      </c>
      <c r="AE755" s="2" t="n"/>
      <c r="AF755" s="11" t="inlineStr">
        <is>
          <t>created from list 1</t>
        </is>
      </c>
    </row>
    <row r="756">
      <c r="A756" s="11" t="inlineStr">
        <is>
          <t>L1-0755</t>
        </is>
      </c>
      <c r="B756" s="11" t="inlineStr">
        <is>
          <t>List 1 (to ~2015)</t>
        </is>
      </c>
      <c r="C756" s="11" t="inlineStr">
        <is>
          <t>list1</t>
        </is>
      </c>
      <c r="D756" s="11" t="inlineStr">
        <is>
          <t>verified</t>
        </is>
      </c>
      <c r="E756" s="11" t="inlineStr">
        <is>
          <t>reversed_on_appeal</t>
        </is>
      </c>
      <c r="F756" s="2" t="inlineStr">
        <is>
          <t>Javed Masood and Another v. State of Rajasthan</t>
        </is>
      </c>
      <c r="G756" s="11" t="inlineStr"/>
      <c r="H756" s="11" t="inlineStr">
        <is>
          <t>unknown</t>
        </is>
      </c>
      <c r="I756" s="2" t="inlineStr">
        <is>
          <t>(2008) 2 RLW 1643</t>
        </is>
      </c>
      <c r="J756" s="11" t="n">
        <v>2008</v>
      </c>
      <c r="K756" s="2" t="inlineStr">
        <is>
          <t>Javed Masood and Another v. State of Rajasthan</t>
        </is>
      </c>
      <c r="L756" s="11" t="inlineStr">
        <is>
          <t>Supreme Court</t>
        </is>
      </c>
      <c r="M756" s="2" t="inlineStr">
        <is>
          <t>AIR 2010 SC 979; (2010) CLT 641; (2010) CriLJ 2020; (2010) 2 Crimes 20; (2010) 2 JT 473; (2010) 2 SCALE 717; (2010) 3 SCC 538; (2010) 3 SCR 236</t>
        </is>
      </c>
      <c r="N756" s="11" t="n">
        <v>2010</v>
      </c>
      <c r="O756" s="11" t="n"/>
      <c r="P756" s="11" t="n"/>
      <c r="Q756" s="11" t="n"/>
      <c r="R756" s="2" t="n"/>
      <c r="S756" s="2" t="n"/>
      <c r="T756" s="11" t="inlineStr">
        <is>
          <t>yes</t>
        </is>
      </c>
      <c r="U756" s="11" t="inlineStr"/>
      <c r="V756" s="11" t="inlineStr">
        <is>
          <t>outside_list</t>
        </is>
      </c>
      <c r="W756" s="11" t="n"/>
      <c r="X756" s="11" t="n"/>
      <c r="Y756" s="11" t="n"/>
      <c r="Z756" s="11" t="inlineStr">
        <is>
          <t>Mr. Advocate</t>
        </is>
      </c>
      <c r="AA756" s="11" t="inlineStr">
        <is>
          <t>2026-10-07</t>
        </is>
      </c>
      <c r="AB756" s="11" t="inlineStr">
        <is>
          <t>name_year</t>
        </is>
      </c>
      <c r="AC756" s="2" t="inlineStr"/>
      <c r="AD756" s="2" t="inlineStr">
        <is>
          <t>Javed Masood and Another v. State of Rajasthan (2008) was reversed on appeal by the Supreme Court in Javed Masood and Another v. State of Rajasthan (2010).</t>
        </is>
      </c>
      <c r="AE756" s="2" t="n"/>
      <c r="AF756" s="11" t="inlineStr">
        <is>
          <t>created from list 1</t>
        </is>
      </c>
    </row>
    <row r="757">
      <c r="A757" s="11" t="inlineStr">
        <is>
          <t>L1-0756</t>
        </is>
      </c>
      <c r="B757" s="11" t="inlineStr">
        <is>
          <t>List 1 (to ~2015)</t>
        </is>
      </c>
      <c r="C757" s="11" t="inlineStr">
        <is>
          <t>list1</t>
        </is>
      </c>
      <c r="D757" s="11" t="inlineStr">
        <is>
          <t>verified</t>
        </is>
      </c>
      <c r="E757" s="11" t="inlineStr">
        <is>
          <t>reversed_on_appeal</t>
        </is>
      </c>
      <c r="F757" s="2" t="inlineStr">
        <is>
          <t>Mansa Ram Zade v. Hindusthan Steel Ltd. and Others</t>
        </is>
      </c>
      <c r="G757" s="11" t="inlineStr"/>
      <c r="H757" s="11" t="inlineStr">
        <is>
          <t>Calcutta</t>
        </is>
      </c>
      <c r="I757" s="2" t="inlineStr">
        <is>
          <t>AIR 1971 Cal 178; (1971) 1 CALLT 301; (1971) CriLJ 699; 74 CWN 114</t>
        </is>
      </c>
      <c r="J757" s="11" t="n">
        <v>1971</v>
      </c>
      <c r="K757" s="2" t="inlineStr">
        <is>
          <t>K.T. Chandy v. Mansa Ram Zade</t>
        </is>
      </c>
      <c r="L757" s="11" t="inlineStr">
        <is>
          <t>Supreme Court</t>
        </is>
      </c>
      <c r="M757" s="2" t="inlineStr">
        <is>
          <t>AIR 1974 SC 642; (1974) CriLJ 594; (1974) 29 FLR 132; (1974) 1 LLJ 278; (1974) 1 SCC 414; (1974) SCC(Cri) 210; (1974) 2 SCR 650</t>
        </is>
      </c>
      <c r="N757" s="11" t="n">
        <v>1974</v>
      </c>
      <c r="O757" s="11" t="n"/>
      <c r="P757" s="11" t="n"/>
      <c r="Q757" s="11" t="n"/>
      <c r="R757" s="2" t="n"/>
      <c r="S757" s="2" t="n"/>
      <c r="T757" s="11" t="inlineStr">
        <is>
          <t>yes</t>
        </is>
      </c>
      <c r="U757" s="11" t="inlineStr"/>
      <c r="V757" s="11" t="inlineStr">
        <is>
          <t>outside_list</t>
        </is>
      </c>
      <c r="W757" s="11" t="n"/>
      <c r="X757" s="11" t="n"/>
      <c r="Y757" s="11" t="n"/>
      <c r="Z757" s="11" t="inlineStr">
        <is>
          <t>Mr. Advocate</t>
        </is>
      </c>
      <c r="AA757" s="11" t="inlineStr">
        <is>
          <t>2026-10-07</t>
        </is>
      </c>
      <c r="AB757" s="11" t="inlineStr">
        <is>
          <t>name_year</t>
        </is>
      </c>
      <c r="AC757" s="2" t="inlineStr"/>
      <c r="AD757" s="2" t="inlineStr">
        <is>
          <t>Mansa Ram Zade v. Hindusthan Steel Ltd. and Others (1971) was reversed on appeal by the Supreme Court in K.T. Chandy v. Mansa Ram Zade (1974).</t>
        </is>
      </c>
      <c r="AE757" s="2" t="n"/>
      <c r="AF757" s="11" t="inlineStr">
        <is>
          <t>created from list 1</t>
        </is>
      </c>
    </row>
    <row r="758">
      <c r="A758" s="11" t="inlineStr">
        <is>
          <t>L1-0757</t>
        </is>
      </c>
      <c r="B758" s="11" t="inlineStr">
        <is>
          <t>List 1 (to ~2015)</t>
        </is>
      </c>
      <c r="C758" s="11" t="inlineStr">
        <is>
          <t>list1</t>
        </is>
      </c>
      <c r="D758" s="11" t="inlineStr">
        <is>
          <t>verified</t>
        </is>
      </c>
      <c r="E758" s="11" t="inlineStr">
        <is>
          <t>reversed_on_appeal</t>
        </is>
      </c>
      <c r="F758" s="2" t="inlineStr">
        <is>
          <t>Balai Chandra Hazra v. Shewdhari Jadav</t>
        </is>
      </c>
      <c r="G758" s="11" t="inlineStr"/>
      <c r="H758" s="11" t="inlineStr">
        <is>
          <t>Calcutta</t>
        </is>
      </c>
      <c r="I758" s="2" t="inlineStr">
        <is>
          <t>AIR 1977 Cal 136; (1977) 1 ILR (Cal) 370</t>
        </is>
      </c>
      <c r="J758" s="11" t="n">
        <v>1977</v>
      </c>
      <c r="K758" s="2" t="inlineStr">
        <is>
          <t>Balai Chandra Hazra v. Shewdhari Jadav</t>
        </is>
      </c>
      <c r="L758" s="11" t="inlineStr">
        <is>
          <t>Supreme Court</t>
        </is>
      </c>
      <c r="M758" s="2" t="inlineStr">
        <is>
          <t>AIR 1978 SC 1062; (1978) 2 SCC 559; (1978) 3 SCR 147; (1978) 10 UJ 224</t>
        </is>
      </c>
      <c r="N758" s="11" t="n">
        <v>1978</v>
      </c>
      <c r="O758" s="11" t="n"/>
      <c r="P758" s="11" t="n"/>
      <c r="Q758" s="11" t="n"/>
      <c r="R758" s="2" t="n"/>
      <c r="S758" s="2" t="n"/>
      <c r="T758" s="11" t="inlineStr">
        <is>
          <t>yes</t>
        </is>
      </c>
      <c r="U758" s="11" t="inlineStr"/>
      <c r="V758" s="11" t="inlineStr">
        <is>
          <t>outside_list</t>
        </is>
      </c>
      <c r="W758" s="11" t="n"/>
      <c r="X758" s="11" t="n"/>
      <c r="Y758" s="11" t="n"/>
      <c r="Z758" s="11" t="inlineStr">
        <is>
          <t>Mr. Advocate</t>
        </is>
      </c>
      <c r="AA758" s="11" t="inlineStr">
        <is>
          <t>2026-10-07</t>
        </is>
      </c>
      <c r="AB758" s="11" t="inlineStr">
        <is>
          <t>name_year</t>
        </is>
      </c>
      <c r="AC758" s="2" t="inlineStr"/>
      <c r="AD758" s="2" t="inlineStr">
        <is>
          <t>Balai Chandra Hazra v. Shewdhari Jadav (1977) was reversed on appeal by the Supreme Court in Balai Chandra Hazra v. Shewdhari Jadav (1978).</t>
        </is>
      </c>
      <c r="AE758" s="2" t="n"/>
      <c r="AF758" s="11" t="inlineStr">
        <is>
          <t>created from list 1</t>
        </is>
      </c>
    </row>
    <row r="759">
      <c r="A759" s="11" t="inlineStr">
        <is>
          <t>L1-0758</t>
        </is>
      </c>
      <c r="B759" s="11" t="inlineStr">
        <is>
          <t>List 1 (to ~2015)</t>
        </is>
      </c>
      <c r="C759" s="11" t="inlineStr">
        <is>
          <t>list1</t>
        </is>
      </c>
      <c r="D759" s="11" t="inlineStr">
        <is>
          <t>verified</t>
        </is>
      </c>
      <c r="E759" s="11" t="inlineStr">
        <is>
          <t>reversed_on_appeal</t>
        </is>
      </c>
      <c r="F759" s="2" t="inlineStr">
        <is>
          <t>Rajasthan Trade Union Kendra v. J.K. Synthetics Ltd. and Others</t>
        </is>
      </c>
      <c r="G759" s="11" t="inlineStr"/>
      <c r="H759" s="11" t="inlineStr">
        <is>
          <t>unknown</t>
        </is>
      </c>
      <c r="I759" s="2" t="inlineStr">
        <is>
          <t>(1996) 2 LLJ 347; (1996) 1 WLC 418</t>
        </is>
      </c>
      <c r="J759" s="11" t="n">
        <v>1996</v>
      </c>
      <c r="K759" s="2" t="inlineStr">
        <is>
          <t>J.K. Synthetics v. Rajasthan Trade Union Kendra and Others</t>
        </is>
      </c>
      <c r="L759" s="11" t="inlineStr">
        <is>
          <t>Supreme Court</t>
        </is>
      </c>
      <c r="M759" s="2" t="inlineStr">
        <is>
          <t>AIR 2001 SC 531; (2001) 88 FLR 682; (2001) 1 JT 363; (2001) 1 LLJ 561; (2000) 8 SCALE 329; (2001) 2 SCC 87; (2001) SCC(L&amp;S) 329; (2000) 5 SCR 552 Supp; (2001) 1 UJ 520; (2001) AIRSCW 140; (2000) 8 Supreme 482</t>
        </is>
      </c>
      <c r="N759" s="11" t="n">
        <v>2001</v>
      </c>
      <c r="O759" s="11" t="n"/>
      <c r="P759" s="11" t="n"/>
      <c r="Q759" s="11" t="n"/>
      <c r="R759" s="2" t="n"/>
      <c r="S759" s="2" t="n"/>
      <c r="T759" s="11" t="inlineStr">
        <is>
          <t>yes</t>
        </is>
      </c>
      <c r="U759" s="11" t="inlineStr"/>
      <c r="V759" s="11" t="inlineStr">
        <is>
          <t>outside_list</t>
        </is>
      </c>
      <c r="W759" s="11" t="n"/>
      <c r="X759" s="11" t="n"/>
      <c r="Y759" s="11" t="n"/>
      <c r="Z759" s="11" t="inlineStr">
        <is>
          <t>Mr. Advocate</t>
        </is>
      </c>
      <c r="AA759" s="11" t="inlineStr">
        <is>
          <t>2026-10-07</t>
        </is>
      </c>
      <c r="AB759" s="11" t="inlineStr">
        <is>
          <t>name_year</t>
        </is>
      </c>
      <c r="AC759" s="2" t="inlineStr"/>
      <c r="AD759" s="2" t="inlineStr">
        <is>
          <t>Rajasthan Trade Union Kendra v. J.K. Synthetics Ltd. and Others (1996) was reversed on appeal by the Supreme Court in J.K. Synthetics v. Rajasthan Trade Union Kendra and Others (2001).</t>
        </is>
      </c>
      <c r="AE759" s="2" t="n"/>
      <c r="AF759" s="11" t="inlineStr">
        <is>
          <t>created from list 1</t>
        </is>
      </c>
    </row>
    <row r="760">
      <c r="A760" s="11" t="inlineStr">
        <is>
          <t>L1-0759</t>
        </is>
      </c>
      <c r="B760" s="11" t="inlineStr">
        <is>
          <t>List 1 (to ~2015)</t>
        </is>
      </c>
      <c r="C760" s="11" t="inlineStr">
        <is>
          <t>list1</t>
        </is>
      </c>
      <c r="D760" s="11" t="inlineStr">
        <is>
          <t>verified</t>
        </is>
      </c>
      <c r="E760" s="11" t="inlineStr">
        <is>
          <t>overruled</t>
        </is>
      </c>
      <c r="F760" s="2" t="inlineStr">
        <is>
          <t>Railway Employees Co- operative Banking Society Ltd. v. Authority Under Shops and Commercial Establishments Act and Others</t>
        </is>
      </c>
      <c r="G760" s="11" t="inlineStr"/>
      <c r="H760" s="11" t="inlineStr">
        <is>
          <t>unknown</t>
        </is>
      </c>
      <c r="I760" s="2" t="inlineStr">
        <is>
          <t>(2000) 84 FLR 1008; (2000) 3 LLJ 898; (2000) 1 WLC 159; (2000) 3 WLN 344</t>
        </is>
      </c>
      <c r="J760" s="11" t="n">
        <v>2000</v>
      </c>
      <c r="K760" s="2" t="inlineStr">
        <is>
          <t>Daulat Singh and Others v. The Railway Employees Cooperative Banking Society Ltd. and Another</t>
        </is>
      </c>
      <c r="L760" s="11" t="inlineStr">
        <is>
          <t>Supreme Court</t>
        </is>
      </c>
      <c r="M760" s="2" t="inlineStr">
        <is>
          <t>(2004) 3 JT 78; (2004) 2 LLJ 352; (2004) 2 SCALE 667; (2004) 12 SCC 478; (2005) SCC(L&amp;S) 353</t>
        </is>
      </c>
      <c r="N760" s="11" t="n">
        <v>2004</v>
      </c>
      <c r="O760" s="11" t="n"/>
      <c r="P760" s="11" t="n"/>
      <c r="Q760" s="11" t="n"/>
      <c r="R760" s="2" t="n"/>
      <c r="S760" s="2" t="n"/>
      <c r="T760" s="11" t="inlineStr"/>
      <c r="U760" s="11" t="inlineStr"/>
      <c r="V760" s="11" t="inlineStr">
        <is>
          <t>outside_list</t>
        </is>
      </c>
      <c r="W760" s="11" t="n"/>
      <c r="X760" s="11" t="n"/>
      <c r="Y760" s="11" t="n"/>
      <c r="Z760" s="11" t="inlineStr">
        <is>
          <t>Mr. Advocate</t>
        </is>
      </c>
      <c r="AA760" s="11" t="inlineStr">
        <is>
          <t>2026-10-07</t>
        </is>
      </c>
      <c r="AB760" s="11" t="inlineStr">
        <is>
          <t>name_year</t>
        </is>
      </c>
      <c r="AC760" s="2" t="inlineStr"/>
      <c r="AD760" s="2" t="inlineStr">
        <is>
          <t>Railway Employees Co- operative Banking Society Ltd. v. Authority Under Shops and Commercial Establishments Act and Others (2000) was overruled by Daulat Singh and Others v. The Railway Employees Cooperative Banking Society Ltd. and Another (2004).</t>
        </is>
      </c>
      <c r="AE760" s="2" t="n"/>
      <c r="AF760" s="11" t="inlineStr">
        <is>
          <t>created from list 1</t>
        </is>
      </c>
    </row>
    <row r="761">
      <c r="A761" s="11" t="inlineStr">
        <is>
          <t>L1-0760</t>
        </is>
      </c>
      <c r="B761" s="11" t="inlineStr">
        <is>
          <t>List 1 (to ~2015)</t>
        </is>
      </c>
      <c r="C761" s="11" t="inlineStr">
        <is>
          <t>list1</t>
        </is>
      </c>
      <c r="D761" s="11" t="inlineStr">
        <is>
          <t>verified</t>
        </is>
      </c>
      <c r="E761" s="11" t="inlineStr">
        <is>
          <t>reversed_on_appeal</t>
        </is>
      </c>
      <c r="F761" s="2" t="inlineStr">
        <is>
          <t>Tapan Ranjan Das v. Smt. Jolly Das</t>
        </is>
      </c>
      <c r="G761" s="11" t="inlineStr"/>
      <c r="H761" s="11" t="inlineStr">
        <is>
          <t>Calcutta</t>
        </is>
      </c>
      <c r="I761" s="2" t="inlineStr">
        <is>
          <t>AIR 1990 Cal 353; 94 CWN 812; (1991) 1 DMC 60</t>
        </is>
      </c>
      <c r="J761" s="11" t="n">
        <v>1990</v>
      </c>
      <c r="K761" s="2" t="inlineStr">
        <is>
          <t>Jolly Das (Smt) alias Moulick v. Tapan Ranjan Das</t>
        </is>
      </c>
      <c r="L761" s="11" t="inlineStr">
        <is>
          <t>Supreme Court</t>
        </is>
      </c>
      <c r="M761" s="2" t="inlineStr">
        <is>
          <t>(1994) 2 DMC 150; (1994) 3 JT 529; (1994) 2 SCALE 832; (1994) 4 SCC 363; (1994) 1 UJ 715</t>
        </is>
      </c>
      <c r="N761" s="11" t="n">
        <v>1994</v>
      </c>
      <c r="O761" s="11" t="n"/>
      <c r="P761" s="11" t="n"/>
      <c r="Q761" s="11" t="n"/>
      <c r="R761" s="2" t="n"/>
      <c r="S761" s="2" t="n"/>
      <c r="T761" s="11" t="inlineStr">
        <is>
          <t>yes</t>
        </is>
      </c>
      <c r="U761" s="11" t="inlineStr"/>
      <c r="V761" s="11" t="inlineStr">
        <is>
          <t>outside_list</t>
        </is>
      </c>
      <c r="W761" s="11" t="n"/>
      <c r="X761" s="11" t="n"/>
      <c r="Y761" s="11" t="n"/>
      <c r="Z761" s="11" t="inlineStr">
        <is>
          <t>Mr. Advocate</t>
        </is>
      </c>
      <c r="AA761" s="11" t="inlineStr">
        <is>
          <t>2026-10-07</t>
        </is>
      </c>
      <c r="AB761" s="11" t="inlineStr">
        <is>
          <t>name_year</t>
        </is>
      </c>
      <c r="AC761" s="2" t="inlineStr"/>
      <c r="AD761" s="2" t="inlineStr">
        <is>
          <t>Tapan Ranjan Das v. Smt. Jolly Das (1990) was reversed on appeal by the Supreme Court in Jolly Das (Smt) alias Moulick v. Tapan Ranjan Das (1994).</t>
        </is>
      </c>
      <c r="AE761" s="2" t="n"/>
      <c r="AF761" s="11" t="inlineStr">
        <is>
          <t>created from list 1</t>
        </is>
      </c>
    </row>
    <row r="762">
      <c r="A762" s="11" t="inlineStr">
        <is>
          <t>L1-0761</t>
        </is>
      </c>
      <c r="B762" s="11" t="inlineStr">
        <is>
          <t>List 1 (to ~2015)</t>
        </is>
      </c>
      <c r="C762" s="11" t="inlineStr">
        <is>
          <t>list1</t>
        </is>
      </c>
      <c r="D762" s="11" t="inlineStr">
        <is>
          <t>verified</t>
        </is>
      </c>
      <c r="E762" s="11" t="inlineStr">
        <is>
          <t>reversed_on_appeal</t>
        </is>
      </c>
      <c r="F762" s="2" t="inlineStr">
        <is>
          <t>State v. Gopal</t>
        </is>
      </c>
      <c r="G762" s="11" t="inlineStr"/>
      <c r="H762" s="11" t="inlineStr">
        <is>
          <t>unknown</t>
        </is>
      </c>
      <c r="I762" s="2" t="inlineStr">
        <is>
          <t>(2001) CriLJ 3873; (2002) 1 DMC 293; (2002) 1 WLN 185</t>
        </is>
      </c>
      <c r="J762" s="11" t="n">
        <v>2001</v>
      </c>
      <c r="K762" s="2" t="inlineStr">
        <is>
          <t>Gopal v. State of Rajasthan</t>
        </is>
      </c>
      <c r="L762" s="11" t="inlineStr">
        <is>
          <t>Supreme Court</t>
        </is>
      </c>
      <c r="M762" s="2" t="inlineStr">
        <is>
          <t>AIR 2009 SC 1928; (2009) CLT 763; (2009) 2 JT 419; (2009) 2 SCALE 704; (2009) 11 SCC 314; (2009) 2 SCR 423; (2009) AIRSCW 1538</t>
        </is>
      </c>
      <c r="N762" s="11" t="n">
        <v>2009</v>
      </c>
      <c r="O762" s="11" t="n"/>
      <c r="P762" s="11" t="n"/>
      <c r="Q762" s="11" t="n"/>
      <c r="R762" s="2" t="n"/>
      <c r="S762" s="2" t="n"/>
      <c r="T762" s="11" t="inlineStr">
        <is>
          <t>yes</t>
        </is>
      </c>
      <c r="U762" s="11" t="inlineStr">
        <is>
          <t>needs_citation_or_year</t>
        </is>
      </c>
      <c r="V762" s="11" t="inlineStr">
        <is>
          <t>outside_list</t>
        </is>
      </c>
      <c r="W762" s="11" t="n"/>
      <c r="X762" s="11" t="n"/>
      <c r="Y762" s="11" t="n"/>
      <c r="Z762" s="11" t="inlineStr">
        <is>
          <t>Mr. Advocate</t>
        </is>
      </c>
      <c r="AA762" s="11" t="inlineStr">
        <is>
          <t>2026-10-07</t>
        </is>
      </c>
      <c r="AB762" s="11" t="inlineStr">
        <is>
          <t>none</t>
        </is>
      </c>
      <c r="AC762" s="2" t="inlineStr"/>
      <c r="AD762" s="2" t="inlineStr">
        <is>
          <t>State v. Gopal (2001) was reversed on appeal by the Supreme Court in Gopal v. State of Rajasthan (2009).</t>
        </is>
      </c>
      <c r="AE762" s="2" t="n"/>
      <c r="AF762" s="11" t="inlineStr">
        <is>
          <t>created from list 1</t>
        </is>
      </c>
    </row>
    <row r="763">
      <c r="A763" s="11" t="inlineStr">
        <is>
          <t>L1-0762</t>
        </is>
      </c>
      <c r="B763" s="11" t="inlineStr">
        <is>
          <t>List 1 (to ~2015)</t>
        </is>
      </c>
      <c r="C763" s="11" t="inlineStr">
        <is>
          <t>list1</t>
        </is>
      </c>
      <c r="D763" s="11" t="inlineStr">
        <is>
          <t>verified</t>
        </is>
      </c>
      <c r="E763" s="11" t="inlineStr">
        <is>
          <t>overruled</t>
        </is>
      </c>
      <c r="F763" s="2" t="inlineStr">
        <is>
          <t>Krishna Das Nandy v. Bidhan Chandra Roy</t>
        </is>
      </c>
      <c r="G763" s="11" t="inlineStr"/>
      <c r="H763" s="11" t="inlineStr">
        <is>
          <t>Calcutta</t>
        </is>
      </c>
      <c r="I763" s="2" t="inlineStr">
        <is>
          <t>AIR 1959 Cal 181; 63 CWN 29; (1959) 1 ILR (Cal) 671; (1959) 1 ILR (Cal) 639</t>
        </is>
      </c>
      <c r="J763" s="11" t="n">
        <v>1959</v>
      </c>
      <c r="K763" s="2" t="inlineStr">
        <is>
          <t>Samir Mukherjee v. Davinder K. Bajaj and Others</t>
        </is>
      </c>
      <c r="L763" s="11" t="inlineStr">
        <is>
          <t>Supreme Court</t>
        </is>
      </c>
      <c r="M763" s="2" t="inlineStr">
        <is>
          <t>AIR 2001 SC 1696; (2001) 5 JT 75; (2001) 3 SCALE 431; (2001) 5 SCC 259; (2001) 3 SCR 88; (2001) 2 UJ 1171; (2001) AIRSCW 1740; (2001) 3 Supreme 482</t>
        </is>
      </c>
      <c r="N763" s="11" t="n">
        <v>2001</v>
      </c>
      <c r="O763" s="11" t="n"/>
      <c r="P763" s="11" t="n"/>
      <c r="Q763" s="11" t="n"/>
      <c r="R763" s="2" t="n"/>
      <c r="S763" s="2" t="n"/>
      <c r="T763" s="11" t="inlineStr"/>
      <c r="U763" s="11" t="inlineStr"/>
      <c r="V763" s="11" t="inlineStr">
        <is>
          <t>outside_list</t>
        </is>
      </c>
      <c r="W763" s="11" t="n"/>
      <c r="X763" s="11" t="n"/>
      <c r="Y763" s="11" t="n"/>
      <c r="Z763" s="11" t="inlineStr">
        <is>
          <t>Mr. Advocate</t>
        </is>
      </c>
      <c r="AA763" s="11" t="inlineStr">
        <is>
          <t>2026-10-07</t>
        </is>
      </c>
      <c r="AB763" s="11" t="inlineStr">
        <is>
          <t>name_year</t>
        </is>
      </c>
      <c r="AC763" s="2" t="inlineStr"/>
      <c r="AD763" s="2" t="inlineStr">
        <is>
          <t>Krishna Das Nandy v. Bidhan Chandra Roy (1959) was overruled by Samir Mukherjee v. Davinder K. Bajaj and Others (2001).</t>
        </is>
      </c>
      <c r="AE763" s="2" t="n"/>
      <c r="AF763" s="11" t="inlineStr">
        <is>
          <t>created from list 1</t>
        </is>
      </c>
    </row>
    <row r="764">
      <c r="A764" s="11" t="inlineStr">
        <is>
          <t>L1-0763</t>
        </is>
      </c>
      <c r="B764" s="11" t="inlineStr">
        <is>
          <t>List 1 (to ~2015)</t>
        </is>
      </c>
      <c r="C764" s="11" t="inlineStr">
        <is>
          <t>list1</t>
        </is>
      </c>
      <c r="D764" s="11" t="inlineStr">
        <is>
          <t>verified</t>
        </is>
      </c>
      <c r="E764" s="11" t="inlineStr">
        <is>
          <t>overruled</t>
        </is>
      </c>
      <c r="F764" s="2" t="inlineStr">
        <is>
          <t>Jalani Enterprises v. C.T.O.</t>
        </is>
      </c>
      <c r="G764" s="11" t="inlineStr"/>
      <c r="H764" s="11" t="inlineStr">
        <is>
          <t>unknown</t>
        </is>
      </c>
      <c r="I764" s="2" t="inlineStr">
        <is>
          <t>(2008) 15 VST 389</t>
        </is>
      </c>
      <c r="J764" s="11" t="n">
        <v>2008</v>
      </c>
      <c r="K764" s="2" t="inlineStr">
        <is>
          <t>Commercial Taxes Officer v. Jalani Enterprises</t>
        </is>
      </c>
      <c r="L764" s="11" t="inlineStr">
        <is>
          <t>unknown</t>
        </is>
      </c>
      <c r="M764" s="2" t="inlineStr">
        <is>
          <t>(2011) 186 ECR 130; (2011) 266 ELT 289; (2011) 4 JT 507; (2011) 3 SCALE 609; (2011) 4 SCC 386; (2011) 39 VST 421; (2012) AIRSCW 536</t>
        </is>
      </c>
      <c r="N764" s="11" t="n">
        <v>2011</v>
      </c>
      <c r="O764" s="11" t="n"/>
      <c r="P764" s="11" t="n"/>
      <c r="Q764" s="11" t="n"/>
      <c r="R764" s="2" t="n"/>
      <c r="S764" s="2" t="n"/>
      <c r="T764" s="11" t="inlineStr"/>
      <c r="U764" s="11" t="inlineStr"/>
      <c r="V764" s="11" t="inlineStr">
        <is>
          <t>outside_list</t>
        </is>
      </c>
      <c r="W764" s="11" t="n"/>
      <c r="X764" s="11" t="n"/>
      <c r="Y764" s="11" t="n"/>
      <c r="Z764" s="11" t="inlineStr">
        <is>
          <t>Mr. Advocate</t>
        </is>
      </c>
      <c r="AA764" s="11" t="inlineStr">
        <is>
          <t>2026-10-07</t>
        </is>
      </c>
      <c r="AB764" s="11" t="inlineStr">
        <is>
          <t>name_year</t>
        </is>
      </c>
      <c r="AC764" s="2" t="inlineStr"/>
      <c r="AD764" s="2" t="inlineStr">
        <is>
          <t>Jalani Enterprises v. C.T.O. (2008) was overruled by Commercial Taxes Officer v. Jalani Enterprises (2011).</t>
        </is>
      </c>
      <c r="AE764" s="2" t="n"/>
      <c r="AF764" s="11" t="inlineStr">
        <is>
          <t>created from list 1</t>
        </is>
      </c>
    </row>
    <row r="765">
      <c r="A765" s="11" t="inlineStr">
        <is>
          <t>L1-0764</t>
        </is>
      </c>
      <c r="B765" s="11" t="inlineStr">
        <is>
          <t>List 1 (to ~2015)</t>
        </is>
      </c>
      <c r="C765" s="11" t="inlineStr">
        <is>
          <t>list1</t>
        </is>
      </c>
      <c r="D765" s="11" t="inlineStr">
        <is>
          <t>verified</t>
        </is>
      </c>
      <c r="E765" s="11" t="inlineStr">
        <is>
          <t>overruled</t>
        </is>
      </c>
      <c r="F765" s="2" t="inlineStr">
        <is>
          <t>K.J. Khosla v. Smt. Rajlakshmi N. Khosla v. Rajlakshmi (dead) and</t>
        </is>
      </c>
      <c r="G765" s="11" t="inlineStr"/>
      <c r="H765" s="11" t="inlineStr">
        <is>
          <t>unknown</t>
        </is>
      </c>
      <c r="I765" s="2" t="inlineStr"/>
      <c r="J765" s="11" t="n"/>
      <c r="K765" s="2" t="inlineStr">
        <is>
          <t>Others</t>
        </is>
      </c>
      <c r="L765" s="11" t="inlineStr">
        <is>
          <t>Supreme Court</t>
        </is>
      </c>
      <c r="M765" s="2" t="inlineStr">
        <is>
          <t>AIR 2006 SC 1249; (2006) 2 ARBLR 57; (2006) 102 CLT 76; (2006) 3 JT 200; (2006) 144 PLR 651; (2006) 3 SCALE 95; (2006) 3 SCC 605; (2006) AIRSCW 1219; (2006) AIRSCW 1529; (2006) 2 Supreme 498</t>
        </is>
      </c>
      <c r="N765" s="11" t="n">
        <v>2006</v>
      </c>
      <c r="O765" s="11" t="n"/>
      <c r="P765" s="11" t="n"/>
      <c r="Q765" s="11" t="n"/>
      <c r="R765" s="2" t="n"/>
      <c r="S765" s="2" t="n"/>
      <c r="T765" s="11" t="inlineStr"/>
      <c r="U765" s="11" t="inlineStr">
        <is>
          <t>no_citation_or_year_for_overruled, needs_citation_or_year</t>
        </is>
      </c>
      <c r="V765" s="11" t="inlineStr">
        <is>
          <t>outside_list</t>
        </is>
      </c>
      <c r="W765" s="11" t="n"/>
      <c r="X765" s="11" t="n"/>
      <c r="Y765" s="11" t="n"/>
      <c r="Z765" s="11" t="inlineStr">
        <is>
          <t>Mr. Advocate</t>
        </is>
      </c>
      <c r="AA765" s="11" t="inlineStr">
        <is>
          <t>2026-10-07</t>
        </is>
      </c>
      <c r="AB765" s="11" t="inlineStr">
        <is>
          <t>weak</t>
        </is>
      </c>
      <c r="AC765" s="2" t="inlineStr"/>
      <c r="AD765" s="2" t="inlineStr">
        <is>
          <t>K.J. Khosla v. Smt. Rajlakshmi N. Khosla v. Rajlakshmi (dead) and was overruled by Others (2006).</t>
        </is>
      </c>
      <c r="AE765" s="2" t="n"/>
      <c r="AF765" s="11" t="inlineStr">
        <is>
          <t>created from list 1</t>
        </is>
      </c>
    </row>
    <row r="766">
      <c r="A766" s="11" t="inlineStr">
        <is>
          <t>L1-0765</t>
        </is>
      </c>
      <c r="B766" s="11" t="inlineStr">
        <is>
          <t>List 1 (to ~2015)</t>
        </is>
      </c>
      <c r="C766" s="11" t="inlineStr">
        <is>
          <t>list1</t>
        </is>
      </c>
      <c r="D766" s="11" t="inlineStr">
        <is>
          <t>verified</t>
        </is>
      </c>
      <c r="E766" s="11" t="inlineStr">
        <is>
          <t>overruled</t>
        </is>
      </c>
      <c r="F766" s="2" t="inlineStr">
        <is>
          <t>Commissioner of Wealth Tax (Central) v. Mohan Lal Nopany</t>
        </is>
      </c>
      <c r="G766" s="11" t="inlineStr"/>
      <c r="H766" s="11" t="inlineStr">
        <is>
          <t>unknown</t>
        </is>
      </c>
      <c r="I766" s="2" t="inlineStr">
        <is>
          <t>(1970) 78 ITR 435</t>
        </is>
      </c>
      <c r="J766" s="11" t="n">
        <v>1970</v>
      </c>
      <c r="K766" s="2" t="inlineStr">
        <is>
          <t>Commissioner of Wealth Tax, Calcutta v. Hindustan Motors Ltd.</t>
        </is>
      </c>
      <c r="L766" s="11" t="inlineStr">
        <is>
          <t>Supreme Court</t>
        </is>
      </c>
      <c r="M766" s="2" t="inlineStr">
        <is>
          <t>AIR 1977 SC 142; (1976) 104 ITR 430; (1977) 3 SCC 356; (1977) SCC 491; (1976) 3 SCR 579</t>
        </is>
      </c>
      <c r="N766" s="11" t="n">
        <v>1977</v>
      </c>
      <c r="O766" s="11" t="n"/>
      <c r="P766" s="11" t="n"/>
      <c r="Q766" s="11" t="n"/>
      <c r="R766" s="2" t="n"/>
      <c r="S766" s="2" t="n"/>
      <c r="T766" s="11" t="inlineStr"/>
      <c r="U766" s="11" t="inlineStr"/>
      <c r="V766" s="11" t="inlineStr">
        <is>
          <t>outside_list</t>
        </is>
      </c>
      <c r="W766" s="11" t="n"/>
      <c r="X766" s="11" t="n"/>
      <c r="Y766" s="11" t="n"/>
      <c r="Z766" s="11" t="inlineStr">
        <is>
          <t>Mr. Advocate</t>
        </is>
      </c>
      <c r="AA766" s="11" t="inlineStr">
        <is>
          <t>2026-10-07</t>
        </is>
      </c>
      <c r="AB766" s="11" t="inlineStr">
        <is>
          <t>name_year</t>
        </is>
      </c>
      <c r="AC766" s="2" t="inlineStr"/>
      <c r="AD766" s="2" t="inlineStr">
        <is>
          <t>Commissioner of Wealth Tax (Central) v. Mohan Lal Nopany (1970) was overruled by Commissioner of Wealth Tax, Calcutta v. Hindustan Motors Ltd. (1977).</t>
        </is>
      </c>
      <c r="AE766" s="2" t="n"/>
      <c r="AF766" s="11" t="inlineStr">
        <is>
          <t>created from list 1</t>
        </is>
      </c>
    </row>
    <row r="767">
      <c r="A767" s="11" t="inlineStr">
        <is>
          <t>L1-0766</t>
        </is>
      </c>
      <c r="B767" s="11" t="inlineStr">
        <is>
          <t>List 1 (to ~2015)</t>
        </is>
      </c>
      <c r="C767" s="11" t="inlineStr">
        <is>
          <t>list1</t>
        </is>
      </c>
      <c r="D767" s="11" t="inlineStr">
        <is>
          <t>verified</t>
        </is>
      </c>
      <c r="E767" s="11" t="inlineStr">
        <is>
          <t>overruled</t>
        </is>
      </c>
      <c r="F767" s="2" t="inlineStr">
        <is>
          <t>Sasthi Charan Biswas Banik and Others v. Gopal Chandra Saha and Others</t>
        </is>
      </c>
      <c r="G767" s="11" t="inlineStr"/>
      <c r="H767" s="11" t="inlineStr">
        <is>
          <t>Calcutta</t>
        </is>
      </c>
      <c r="I767" s="2" t="inlineStr">
        <is>
          <t>AIR 1937 Cal 390</t>
        </is>
      </c>
      <c r="J767" s="11" t="n">
        <v>1937</v>
      </c>
      <c r="K767" s="2" t="inlineStr">
        <is>
          <t>Kancherla Lakshminarayana v. Mattaparthi Syamala and Others</t>
        </is>
      </c>
      <c r="L767" s="11" t="inlineStr">
        <is>
          <t>Supreme Court</t>
        </is>
      </c>
      <c r="M767" s="2" t="inlineStr">
        <is>
          <t>AIR 2008 SC 2069; (2008) 2 CTC 774; (2008) 3 SCALE 641; (2008) 14 SCC 258; (2008) 1 UJ 570; (2008) AIRSCW 2800</t>
        </is>
      </c>
      <c r="N767" s="11" t="n">
        <v>2008</v>
      </c>
      <c r="O767" s="11" t="n"/>
      <c r="P767" s="11" t="n"/>
      <c r="Q767" s="11" t="n"/>
      <c r="R767" s="2" t="n"/>
      <c r="S767" s="2" t="n"/>
      <c r="T767" s="11" t="inlineStr"/>
      <c r="U767" s="11" t="inlineStr"/>
      <c r="V767" s="11" t="inlineStr">
        <is>
          <t>outside_list</t>
        </is>
      </c>
      <c r="W767" s="11" t="n"/>
      <c r="X767" s="11" t="n"/>
      <c r="Y767" s="11" t="n"/>
      <c r="Z767" s="11" t="inlineStr">
        <is>
          <t>Mr. Advocate</t>
        </is>
      </c>
      <c r="AA767" s="11" t="inlineStr">
        <is>
          <t>2026-10-07</t>
        </is>
      </c>
      <c r="AB767" s="11" t="inlineStr">
        <is>
          <t>name_year</t>
        </is>
      </c>
      <c r="AC767" s="2" t="inlineStr"/>
      <c r="AD767" s="2" t="inlineStr">
        <is>
          <t>Sasthi Charan Biswas Banik and Others v. Gopal Chandra Saha and Others (1937) was overruled by Kancherla Lakshminarayana v. Mattaparthi Syamala and Others (2008).</t>
        </is>
      </c>
      <c r="AE767" s="2" t="n"/>
      <c r="AF767" s="11" t="inlineStr">
        <is>
          <t>created from list 1</t>
        </is>
      </c>
    </row>
    <row r="768">
      <c r="A768" s="11" t="inlineStr">
        <is>
          <t>L1-0767</t>
        </is>
      </c>
      <c r="B768" s="11" t="inlineStr">
        <is>
          <t>List 1 (to ~2015)</t>
        </is>
      </c>
      <c r="C768" s="11" t="inlineStr">
        <is>
          <t>list1</t>
        </is>
      </c>
      <c r="D768" s="11" t="inlineStr">
        <is>
          <t>verified</t>
        </is>
      </c>
      <c r="E768" s="11" t="inlineStr">
        <is>
          <t>reversed_on_appeal</t>
        </is>
      </c>
      <c r="F768" s="2" t="inlineStr">
        <is>
          <t>Babu Singh and Others v. Ram Sahai @ Ram Singh</t>
        </is>
      </c>
      <c r="G768" s="11" t="inlineStr"/>
      <c r="H768" s="11" t="inlineStr">
        <is>
          <t>unknown</t>
        </is>
      </c>
      <c r="I768" s="2" t="inlineStr">
        <is>
          <t>(2006) 142 PLR 592</t>
        </is>
      </c>
      <c r="J768" s="11" t="n">
        <v>2006</v>
      </c>
      <c r="K768" s="2" t="inlineStr">
        <is>
          <t>Babu Singh and Others v. Ram Sahai @ Ram Singh</t>
        </is>
      </c>
      <c r="L768" s="11" t="inlineStr">
        <is>
          <t>Supreme Court</t>
        </is>
      </c>
      <c r="M768" s="2" t="inlineStr">
        <is>
          <t>AIR 2008 SC 2485; (2008) 7 SCALE 743; (2008) AIRSCW 3429</t>
        </is>
      </c>
      <c r="N768" s="11" t="n">
        <v>2008</v>
      </c>
      <c r="O768" s="11" t="n"/>
      <c r="P768" s="11" t="n"/>
      <c r="Q768" s="11" t="n"/>
      <c r="R768" s="2" t="n"/>
      <c r="S768" s="2" t="n"/>
      <c r="T768" s="11" t="inlineStr">
        <is>
          <t>yes</t>
        </is>
      </c>
      <c r="U768" s="11" t="inlineStr"/>
      <c r="V768" s="11" t="inlineStr">
        <is>
          <t>outside_list</t>
        </is>
      </c>
      <c r="W768" s="11" t="n"/>
      <c r="X768" s="11" t="n"/>
      <c r="Y768" s="11" t="n"/>
      <c r="Z768" s="11" t="inlineStr">
        <is>
          <t>Mr. Advocate</t>
        </is>
      </c>
      <c r="AA768" s="11" t="inlineStr">
        <is>
          <t>2026-10-07</t>
        </is>
      </c>
      <c r="AB768" s="11" t="inlineStr">
        <is>
          <t>name_year</t>
        </is>
      </c>
      <c r="AC768" s="2" t="inlineStr"/>
      <c r="AD768" s="2" t="inlineStr">
        <is>
          <t>Babu Singh and Others v. Ram Sahai @ Ram Singh (2006) was reversed on appeal by the Supreme Court in Babu Singh and Others v. Ram Sahai @ Ram Singh (2008).</t>
        </is>
      </c>
      <c r="AE768" s="2" t="n"/>
      <c r="AF768" s="11" t="inlineStr">
        <is>
          <t>created from list 1</t>
        </is>
      </c>
    </row>
    <row r="769">
      <c r="A769" s="11" t="inlineStr">
        <is>
          <t>L1-0768</t>
        </is>
      </c>
      <c r="B769" s="11" t="inlineStr">
        <is>
          <t>List 1 (to ~2015)</t>
        </is>
      </c>
      <c r="C769" s="11" t="inlineStr">
        <is>
          <t>list1</t>
        </is>
      </c>
      <c r="D769" s="11" t="inlineStr">
        <is>
          <t>verified</t>
        </is>
      </c>
      <c r="E769" s="11" t="inlineStr">
        <is>
          <t>reversed_on_appeal</t>
        </is>
      </c>
      <c r="F769" s="2" t="inlineStr">
        <is>
          <t>Dulal Ranjan Ghosh Dastidar v. Rajani Tandon and Another</t>
        </is>
      </c>
      <c r="G769" s="11" t="inlineStr"/>
      <c r="H769" s="11" t="inlineStr">
        <is>
          <t>unknown</t>
        </is>
      </c>
      <c r="I769" s="2" t="inlineStr">
        <is>
          <t>(2004) 1 CHN 517; (2003) 2 ILR (Cal) 203</t>
        </is>
      </c>
      <c r="J769" s="11" t="n">
        <v>2003</v>
      </c>
      <c r="K769" s="2" t="inlineStr">
        <is>
          <t>Rajni Tandon v. Dulal Ranjan Ghosh Dastidar and Another</t>
        </is>
      </c>
      <c r="L769" s="11" t="inlineStr">
        <is>
          <t>Supreme Court</t>
        </is>
      </c>
      <c r="M769" s="2" t="inlineStr">
        <is>
          <t>(2009) 11 JT 666; (2009) 10 SCALE 402; (2009) 14 SCC 782; (2009) 12 SCR 686</t>
        </is>
      </c>
      <c r="N769" s="11" t="n">
        <v>2009</v>
      </c>
      <c r="O769" s="11" t="n"/>
      <c r="P769" s="11" t="n"/>
      <c r="Q769" s="11" t="n"/>
      <c r="R769" s="2" t="n"/>
      <c r="S769" s="2" t="n"/>
      <c r="T769" s="11" t="inlineStr">
        <is>
          <t>yes</t>
        </is>
      </c>
      <c r="U769" s="11" t="inlineStr"/>
      <c r="V769" s="11" t="inlineStr">
        <is>
          <t>outside_list</t>
        </is>
      </c>
      <c r="W769" s="11" t="n"/>
      <c r="X769" s="11" t="n"/>
      <c r="Y769" s="11" t="n"/>
      <c r="Z769" s="11" t="inlineStr">
        <is>
          <t>Mr. Advocate</t>
        </is>
      </c>
      <c r="AA769" s="11" t="inlineStr">
        <is>
          <t>2026-10-07</t>
        </is>
      </c>
      <c r="AB769" s="11" t="inlineStr">
        <is>
          <t>name_year</t>
        </is>
      </c>
      <c r="AC769" s="2" t="inlineStr"/>
      <c r="AD769" s="2" t="inlineStr">
        <is>
          <t>Dulal Ranjan Ghosh Dastidar v. Rajani Tandon and Another (2003) was reversed on appeal by the Supreme Court in Rajni Tandon v. Dulal Ranjan Ghosh Dastidar and Another (2009).</t>
        </is>
      </c>
      <c r="AE769" s="2" t="n"/>
      <c r="AF769" s="11" t="inlineStr">
        <is>
          <t>created from list 1</t>
        </is>
      </c>
    </row>
    <row r="770">
      <c r="A770" s="11" t="inlineStr">
        <is>
          <t>L1-0769</t>
        </is>
      </c>
      <c r="B770" s="11" t="inlineStr">
        <is>
          <t>List 1 (to ~2015)</t>
        </is>
      </c>
      <c r="C770" s="11" t="inlineStr">
        <is>
          <t>list1</t>
        </is>
      </c>
      <c r="D770" s="11" t="inlineStr">
        <is>
          <t>verified</t>
        </is>
      </c>
      <c r="E770" s="11" t="inlineStr">
        <is>
          <t>reversed_on_appeal</t>
        </is>
      </c>
      <c r="F770" s="2" t="inlineStr">
        <is>
          <t>Devinder v. Ram Dass</t>
        </is>
      </c>
      <c r="G770" s="11" t="inlineStr"/>
      <c r="H770" s="11" t="inlineStr">
        <is>
          <t>unknown</t>
        </is>
      </c>
      <c r="I770" s="2" t="inlineStr">
        <is>
          <t>(1998) 120 PLR 734</t>
        </is>
      </c>
      <c r="J770" s="11" t="n">
        <v>1998</v>
      </c>
      <c r="K770" s="2" t="inlineStr">
        <is>
          <t>Ram Dass v. Davinder</t>
        </is>
      </c>
      <c r="L770" s="11" t="inlineStr">
        <is>
          <t>Supreme Court</t>
        </is>
      </c>
      <c r="M770" s="2" t="inlineStr">
        <is>
          <t>AIR 2004 SC 2162; (2004) 4 JT 9; (2004) 3 SCALE 659; (2004) 3 SCC 684; (2004) 3 SCR 518; (2004) AIRSCW 2078</t>
        </is>
      </c>
      <c r="N770" s="11" t="n">
        <v>2004</v>
      </c>
      <c r="O770" s="11" t="n"/>
      <c r="P770" s="11" t="n"/>
      <c r="Q770" s="11" t="n"/>
      <c r="R770" s="2" t="n"/>
      <c r="S770" s="2" t="n"/>
      <c r="T770" s="11" t="inlineStr">
        <is>
          <t>yes</t>
        </is>
      </c>
      <c r="U770" s="11" t="inlineStr"/>
      <c r="V770" s="11" t="inlineStr">
        <is>
          <t>outside_list</t>
        </is>
      </c>
      <c r="W770" s="11" t="n"/>
      <c r="X770" s="11" t="n"/>
      <c r="Y770" s="11" t="n"/>
      <c r="Z770" s="11" t="inlineStr">
        <is>
          <t>Mr. Advocate</t>
        </is>
      </c>
      <c r="AA770" s="11" t="inlineStr">
        <is>
          <t>2026-10-07</t>
        </is>
      </c>
      <c r="AB770" s="11" t="inlineStr">
        <is>
          <t>name_year</t>
        </is>
      </c>
      <c r="AC770" s="2" t="inlineStr"/>
      <c r="AD770" s="2" t="inlineStr">
        <is>
          <t>Devinder v. Ram Dass (1998) was reversed on appeal by the Supreme Court in Ram Dass v. Davinder (2004).</t>
        </is>
      </c>
      <c r="AE770" s="2" t="n"/>
      <c r="AF770" s="11" t="inlineStr">
        <is>
          <t>created from list 1</t>
        </is>
      </c>
    </row>
    <row r="771">
      <c r="A771" s="11" t="inlineStr">
        <is>
          <t>L1-0770</t>
        </is>
      </c>
      <c r="B771" s="11" t="inlineStr">
        <is>
          <t>List 1 (to ~2015)</t>
        </is>
      </c>
      <c r="C771" s="11" t="inlineStr">
        <is>
          <t>list1</t>
        </is>
      </c>
      <c r="D771" s="11" t="inlineStr">
        <is>
          <t>verified</t>
        </is>
      </c>
      <c r="E771" s="11" t="inlineStr">
        <is>
          <t>reversed_on_appeal</t>
        </is>
      </c>
      <c r="F771" s="2" t="inlineStr">
        <is>
          <t>Ram Kishan v. Bhagwan-Sarup Nagar</t>
        </is>
      </c>
      <c r="G771" s="11" t="inlineStr"/>
      <c r="H771" s="11" t="inlineStr">
        <is>
          <t>unknown</t>
        </is>
      </c>
      <c r="I771" s="2" t="inlineStr">
        <is>
          <t>(2006) 142 PLR 754</t>
        </is>
      </c>
      <c r="J771" s="11" t="n">
        <v>2006</v>
      </c>
      <c r="K771" s="2" t="inlineStr">
        <is>
          <t>Bhagwan Sarup Nagar (D) by Lrs. v. Ram Kishan</t>
        </is>
      </c>
      <c r="L771" s="11" t="inlineStr">
        <is>
          <t>unknown</t>
        </is>
      </c>
      <c r="M771" s="2" t="inlineStr">
        <is>
          <t>(2009) 1 CTC 653; (2009) 1 JT 374; (2009) 1 SCALE 710; (2009) 2 SCC 219; (2009) 1 SCR 331; (2009) AIRSCW 5335; (2009) 4 Supreme 418</t>
        </is>
      </c>
      <c r="N771" s="11" t="n">
        <v>2009</v>
      </c>
      <c r="O771" s="11" t="n"/>
      <c r="P771" s="11" t="n"/>
      <c r="Q771" s="11" t="n"/>
      <c r="R771" s="2" t="n"/>
      <c r="S771" s="2" t="n"/>
      <c r="T771" s="11" t="inlineStr">
        <is>
          <t>yes</t>
        </is>
      </c>
      <c r="U771" s="11" t="inlineStr"/>
      <c r="V771" s="11" t="inlineStr">
        <is>
          <t>outside_list</t>
        </is>
      </c>
      <c r="W771" s="11" t="n"/>
      <c r="X771" s="11" t="n"/>
      <c r="Y771" s="11" t="n"/>
      <c r="Z771" s="11" t="inlineStr">
        <is>
          <t>Mr. Advocate</t>
        </is>
      </c>
      <c r="AA771" s="11" t="inlineStr">
        <is>
          <t>2026-10-07</t>
        </is>
      </c>
      <c r="AB771" s="11" t="inlineStr">
        <is>
          <t>name_year</t>
        </is>
      </c>
      <c r="AC771" s="2" t="inlineStr"/>
      <c r="AD771" s="2" t="inlineStr">
        <is>
          <t>Ram Kishan v. Bhagwan-Sarup Nagar (2006) was reversed on appeal by the Supreme Court in Bhagwan Sarup Nagar (D) by Lrs. v. Ram Kishan (2009).</t>
        </is>
      </c>
      <c r="AE771" s="2" t="n"/>
      <c r="AF771" s="11" t="inlineStr">
        <is>
          <t>created from list 1</t>
        </is>
      </c>
    </row>
    <row r="772">
      <c r="A772" s="11" t="inlineStr">
        <is>
          <t>L1-0771</t>
        </is>
      </c>
      <c r="B772" s="11" t="inlineStr">
        <is>
          <t>List 1 (to ~2015)</t>
        </is>
      </c>
      <c r="C772" s="11" t="inlineStr">
        <is>
          <t>list1</t>
        </is>
      </c>
      <c r="D772" s="11" t="inlineStr">
        <is>
          <t>verified</t>
        </is>
      </c>
      <c r="E772" s="11" t="inlineStr">
        <is>
          <t>reversed_on_appeal</t>
        </is>
      </c>
      <c r="F772" s="2" t="inlineStr">
        <is>
          <t>Commissioner of Income Tax v. Hero Exports</t>
        </is>
      </c>
      <c r="G772" s="11" t="inlineStr"/>
      <c r="H772" s="11" t="inlineStr">
        <is>
          <t>unknown</t>
        </is>
      </c>
      <c r="I772" s="2" t="inlineStr">
        <is>
          <t>(2007) 292 ITR 571</t>
        </is>
      </c>
      <c r="J772" s="11" t="n">
        <v>2007</v>
      </c>
      <c r="K772" s="2" t="inlineStr">
        <is>
          <t>Hero Exports, G.T. Road, Ludhiana v. Commissioner of Income Tax (Central), Ludhiana</t>
        </is>
      </c>
      <c r="L772" s="11" t="inlineStr">
        <is>
          <t>Supreme Court</t>
        </is>
      </c>
      <c r="M772" s="2" t="inlineStr">
        <is>
          <t>(2007) 213 CTR 291; (2007) 295 ITR 454; (2007) 13 SCALE 346; (2007) 13 SCC 1; (2007) 12 SCR 337; (2007) 165 TAXMAN 445</t>
        </is>
      </c>
      <c r="N772" s="11" t="n">
        <v>2007</v>
      </c>
      <c r="O772" s="11" t="n"/>
      <c r="P772" s="11" t="n"/>
      <c r="Q772" s="11" t="n"/>
      <c r="R772" s="2" t="n"/>
      <c r="S772" s="2" t="n"/>
      <c r="T772" s="11" t="inlineStr">
        <is>
          <t>yes</t>
        </is>
      </c>
      <c r="U772" s="11" t="inlineStr"/>
      <c r="V772" s="11" t="inlineStr">
        <is>
          <t>outside_list</t>
        </is>
      </c>
      <c r="W772" s="11" t="n"/>
      <c r="X772" s="11" t="n"/>
      <c r="Y772" s="11" t="n"/>
      <c r="Z772" s="11" t="inlineStr">
        <is>
          <t>Mr. Advocate</t>
        </is>
      </c>
      <c r="AA772" s="11" t="inlineStr">
        <is>
          <t>2026-10-07</t>
        </is>
      </c>
      <c r="AB772" s="11" t="inlineStr">
        <is>
          <t>name_year</t>
        </is>
      </c>
      <c r="AC772" s="2" t="inlineStr"/>
      <c r="AD772" s="2" t="inlineStr">
        <is>
          <t>Commissioner of Income Tax v. Hero Exports (2007) was reversed on appeal by the Supreme Court in Hero Exports, G.T. Road, Ludhiana v. Commissioner of Income Tax (Central), Ludhiana (2007).</t>
        </is>
      </c>
      <c r="AE772" s="2" t="n"/>
      <c r="AF772" s="11" t="inlineStr">
        <is>
          <t>created from list 1</t>
        </is>
      </c>
    </row>
    <row r="773">
      <c r="A773" s="11" t="inlineStr">
        <is>
          <t>L1-0772</t>
        </is>
      </c>
      <c r="B773" s="11" t="inlineStr">
        <is>
          <t>List 1 (to ~2015)</t>
        </is>
      </c>
      <c r="C773" s="11" t="inlineStr">
        <is>
          <t>list1</t>
        </is>
      </c>
      <c r="D773" s="11" t="inlineStr">
        <is>
          <t>verified</t>
        </is>
      </c>
      <c r="E773" s="11" t="inlineStr">
        <is>
          <t>overruled</t>
        </is>
      </c>
      <c r="F773" s="2" t="inlineStr">
        <is>
          <t>Sarwan Singh v. Kankar Singh</t>
        </is>
      </c>
      <c r="G773" s="11" t="inlineStr"/>
      <c r="H773" s="11" t="inlineStr">
        <is>
          <t>unknown</t>
        </is>
      </c>
      <c r="I773" s="2" t="inlineStr">
        <is>
          <t>(2001) 1 ILR (P&amp;H) 397</t>
        </is>
      </c>
      <c r="J773" s="11" t="n">
        <v>2001</v>
      </c>
      <c r="K773" s="2" t="inlineStr">
        <is>
          <t>Zorawar Singh and Another v. Sarwan Singh (Dead) by Lrs. and Another</t>
        </is>
      </c>
      <c r="L773" s="11" t="inlineStr">
        <is>
          <t>Supreme Court</t>
        </is>
      </c>
      <c r="M773" s="2" t="inlineStr">
        <is>
          <t>AIR 2002 SC 1711; (2002) 1 JT 561 Supp; (2002) 2 PLR 580; (2002) 3 SCALE 280; (2002) 4 SCC 460; (2002) AIRSCW 1653; (2002) 3 Supreme 98</t>
        </is>
      </c>
      <c r="N773" s="11" t="n">
        <v>2002</v>
      </c>
      <c r="O773" s="11" t="n"/>
      <c r="P773" s="11" t="n"/>
      <c r="Q773" s="11" t="n"/>
      <c r="R773" s="2" t="n"/>
      <c r="S773" s="2" t="n"/>
      <c r="T773" s="11" t="inlineStr"/>
      <c r="U773" s="11" t="inlineStr"/>
      <c r="V773" s="11" t="inlineStr">
        <is>
          <t>outside_list</t>
        </is>
      </c>
      <c r="W773" s="11" t="n"/>
      <c r="X773" s="11" t="n"/>
      <c r="Y773" s="11" t="n"/>
      <c r="Z773" s="11" t="inlineStr">
        <is>
          <t>Mr. Advocate</t>
        </is>
      </c>
      <c r="AA773" s="11" t="inlineStr">
        <is>
          <t>2026-10-07</t>
        </is>
      </c>
      <c r="AB773" s="11" t="inlineStr">
        <is>
          <t>name_year</t>
        </is>
      </c>
      <c r="AC773" s="2" t="inlineStr"/>
      <c r="AD773" s="2" t="inlineStr">
        <is>
          <t>Sarwan Singh v. Kankar Singh (2001) was overruled by Zorawar Singh and Another v. Sarwan Singh (Dead) by Lrs. and Another (2002).</t>
        </is>
      </c>
      <c r="AE773" s="2" t="n"/>
      <c r="AF773" s="11" t="inlineStr">
        <is>
          <t>created from list 1</t>
        </is>
      </c>
    </row>
    <row r="774">
      <c r="A774" s="11" t="inlineStr">
        <is>
          <t>L1-0773</t>
        </is>
      </c>
      <c r="B774" s="11" t="inlineStr">
        <is>
          <t>List 1 (to ~2015)</t>
        </is>
      </c>
      <c r="C774" s="11" t="inlineStr">
        <is>
          <t>list1</t>
        </is>
      </c>
      <c r="D774" s="11" t="inlineStr">
        <is>
          <t>verified</t>
        </is>
      </c>
      <c r="E774" s="11" t="inlineStr">
        <is>
          <t>reversed_on_appeal</t>
        </is>
      </c>
      <c r="F774" s="2" t="inlineStr">
        <is>
          <t>Mahabir Vegetable Oils Pvt. Ltd. v. State of Haryana and Others</t>
        </is>
      </c>
      <c r="G774" s="11" t="inlineStr"/>
      <c r="H774" s="11" t="inlineStr">
        <is>
          <t>unknown</t>
        </is>
      </c>
      <c r="I774" s="2" t="inlineStr">
        <is>
          <t>(2009) 24 VST 99</t>
        </is>
      </c>
      <c r="J774" s="11" t="n">
        <v>2009</v>
      </c>
      <c r="K774" s="2" t="inlineStr">
        <is>
          <t>State of Haryana and Others v. Mahabir Vegetable Oils Pvt. Ltd.</t>
        </is>
      </c>
      <c r="L774" s="11" t="inlineStr">
        <is>
          <t>unknown</t>
        </is>
      </c>
      <c r="M774" s="2" t="inlineStr">
        <is>
          <t>(2011) 184 ECR 288; (2011) 2 JT 429; (2011) 2 RCR(Civil) 933; (2011) 2 SCALE 577; (2011) 3 SCC 778; (2011) 4 SCR 944; (2011) 2 UJ 858; (2011) 38 VST 514; (2011) AIRSCW 2262; (2011) AIRSCW 1540; (2011) AIRSCW 1617; (2011) 2 Supreme 135</t>
        </is>
      </c>
      <c r="N774" s="11" t="n">
        <v>2011</v>
      </c>
      <c r="O774" s="11" t="n"/>
      <c r="P774" s="11" t="n"/>
      <c r="Q774" s="11" t="n"/>
      <c r="R774" s="2" t="n"/>
      <c r="S774" s="2" t="n"/>
      <c r="T774" s="11" t="inlineStr">
        <is>
          <t>yes</t>
        </is>
      </c>
      <c r="U774" s="11" t="inlineStr"/>
      <c r="V774" s="11" t="inlineStr">
        <is>
          <t>outside_list</t>
        </is>
      </c>
      <c r="W774" s="11" t="n"/>
      <c r="X774" s="11" t="n"/>
      <c r="Y774" s="11" t="n"/>
      <c r="Z774" s="11" t="inlineStr">
        <is>
          <t>Mr. Advocate</t>
        </is>
      </c>
      <c r="AA774" s="11" t="inlineStr">
        <is>
          <t>2026-10-07</t>
        </is>
      </c>
      <c r="AB774" s="11" t="inlineStr">
        <is>
          <t>name_year</t>
        </is>
      </c>
      <c r="AC774" s="2" t="inlineStr"/>
      <c r="AD774" s="2" t="inlineStr">
        <is>
          <t>Mahabir Vegetable Oils Pvt. Ltd. v. State of Haryana and Others (2009) was reversed on appeal by the Supreme Court in State of Haryana and Others v. Mahabir Vegetable Oils Pvt. Ltd. (2011).</t>
        </is>
      </c>
      <c r="AE774" s="2" t="n"/>
      <c r="AF774" s="11" t="inlineStr">
        <is>
          <t>created from list 1</t>
        </is>
      </c>
    </row>
    <row r="775">
      <c r="A775" s="11" t="inlineStr">
        <is>
          <t>L1-0774</t>
        </is>
      </c>
      <c r="B775" s="11" t="inlineStr">
        <is>
          <t>List 1 (to ~2015)</t>
        </is>
      </c>
      <c r="C775" s="11" t="inlineStr">
        <is>
          <t>list1</t>
        </is>
      </c>
      <c r="D775" s="11" t="inlineStr">
        <is>
          <t>verified</t>
        </is>
      </c>
      <c r="E775" s="11" t="inlineStr">
        <is>
          <t>reversed_on_appeal</t>
        </is>
      </c>
      <c r="F775" s="2" t="inlineStr">
        <is>
          <t>Vikram Singh v. State of Haryana</t>
        </is>
      </c>
      <c r="G775" s="11" t="inlineStr"/>
      <c r="H775" s="11" t="inlineStr">
        <is>
          <t>unknown</t>
        </is>
      </c>
      <c r="I775" s="2" t="inlineStr">
        <is>
          <t>(2007) CriLJ 1077</t>
        </is>
      </c>
      <c r="J775" s="11" t="n">
        <v>2007</v>
      </c>
      <c r="K775" s="2" t="inlineStr">
        <is>
          <t>Vikram Singh v. State of Haryana</t>
        </is>
      </c>
      <c r="L775" s="11" t="inlineStr">
        <is>
          <t>Supreme Court</t>
        </is>
      </c>
      <c r="M775" s="2" t="inlineStr">
        <is>
          <t>(2009) 12 JT 92; (2009) 6 SCALE 726; (2009) 13 SCC 645; (2009) 8 SCR 361</t>
        </is>
      </c>
      <c r="N775" s="11" t="n">
        <v>2009</v>
      </c>
      <c r="O775" s="11" t="n"/>
      <c r="P775" s="11" t="n"/>
      <c r="Q775" s="11" t="n"/>
      <c r="R775" s="2" t="n"/>
      <c r="S775" s="2" t="n"/>
      <c r="T775" s="11" t="inlineStr">
        <is>
          <t>yes</t>
        </is>
      </c>
      <c r="U775" s="11" t="inlineStr"/>
      <c r="V775" s="11" t="inlineStr">
        <is>
          <t>outside_list</t>
        </is>
      </c>
      <c r="W775" s="11" t="n"/>
      <c r="X775" s="11" t="n"/>
      <c r="Y775" s="11" t="n"/>
      <c r="Z775" s="11" t="inlineStr">
        <is>
          <t>Mr. Advocate</t>
        </is>
      </c>
      <c r="AA775" s="11" t="inlineStr">
        <is>
          <t>2026-10-07</t>
        </is>
      </c>
      <c r="AB775" s="11" t="inlineStr">
        <is>
          <t>name_year</t>
        </is>
      </c>
      <c r="AC775" s="2" t="inlineStr"/>
      <c r="AD775" s="2" t="inlineStr">
        <is>
          <t>Vikram Singh v. State of Haryana (2007) was reversed on appeal by the Supreme Court in Vikram Singh v. State of Haryana (2009).</t>
        </is>
      </c>
      <c r="AE775" s="2" t="n"/>
      <c r="AF775" s="11" t="inlineStr">
        <is>
          <t>created from list 1</t>
        </is>
      </c>
    </row>
    <row r="776">
      <c r="A776" s="11" t="inlineStr">
        <is>
          <t>L1-0775</t>
        </is>
      </c>
      <c r="B776" s="11" t="inlineStr">
        <is>
          <t>List 1 (to ~2015)</t>
        </is>
      </c>
      <c r="C776" s="11" t="inlineStr">
        <is>
          <t>list1</t>
        </is>
      </c>
      <c r="D776" s="11" t="inlineStr">
        <is>
          <t>verified</t>
        </is>
      </c>
      <c r="E776" s="11" t="inlineStr">
        <is>
          <t>overruled</t>
        </is>
      </c>
      <c r="F776" s="2" t="inlineStr">
        <is>
          <t>Ramendra Singh v. Mohit Choudhary and Others</t>
        </is>
      </c>
      <c r="G776" s="11" t="inlineStr"/>
      <c r="H776" s="11" t="inlineStr">
        <is>
          <t>Calcutta</t>
        </is>
      </c>
      <c r="I776" s="2" t="inlineStr">
        <is>
          <t>AIR 1969 Cal 535; (1969) CriLJ 1361</t>
        </is>
      </c>
      <c r="J776" s="11" t="n">
        <v>1969</v>
      </c>
      <c r="K776" s="2" t="inlineStr">
        <is>
          <t>Superintendent and Remembrancer of Legal Affairs, West Bengal v. Satyen Bhowmick and Others</t>
        </is>
      </c>
      <c r="L776" s="11" t="inlineStr">
        <is>
          <t>Supreme Court</t>
        </is>
      </c>
      <c r="M776" s="2" t="inlineStr">
        <is>
          <t>AIR 1981 SC 917; (1981) CriLJ 341; (1981) 1 SCALE 179; (1981) 2 SCC 109; (1981) SCC(Cri) 342; (1981) 2 SCR 661</t>
        </is>
      </c>
      <c r="N776" s="11" t="n">
        <v>1981</v>
      </c>
      <c r="O776" s="11" t="n"/>
      <c r="P776" s="11" t="n"/>
      <c r="Q776" s="11" t="n"/>
      <c r="R776" s="2" t="n"/>
      <c r="S776" s="2" t="n"/>
      <c r="T776" s="11" t="inlineStr"/>
      <c r="U776" s="11" t="inlineStr"/>
      <c r="V776" s="11" t="inlineStr">
        <is>
          <t>outside_list</t>
        </is>
      </c>
      <c r="W776" s="11" t="n"/>
      <c r="X776" s="11" t="n"/>
      <c r="Y776" s="11" t="n"/>
      <c r="Z776" s="11" t="inlineStr">
        <is>
          <t>Mr. Advocate</t>
        </is>
      </c>
      <c r="AA776" s="11" t="inlineStr">
        <is>
          <t>2026-10-07</t>
        </is>
      </c>
      <c r="AB776" s="11" t="inlineStr">
        <is>
          <t>name_year</t>
        </is>
      </c>
      <c r="AC776" s="2" t="inlineStr"/>
      <c r="AD776" s="2" t="inlineStr">
        <is>
          <t>Ramendra Singh v. Mohit Choudhary and Others (1969) was overruled by Superintendent and Remembrancer of Legal Affairs, West Bengal v. Satyen Bhowmick and Others (1981).</t>
        </is>
      </c>
      <c r="AE776" s="2" t="n"/>
      <c r="AF776" s="11" t="inlineStr">
        <is>
          <t>created from list 1</t>
        </is>
      </c>
    </row>
    <row r="777">
      <c r="A777" s="11" t="inlineStr">
        <is>
          <t>L1-0776</t>
        </is>
      </c>
      <c r="B777" s="11" t="inlineStr">
        <is>
          <t>List 1 (to ~2015)</t>
        </is>
      </c>
      <c r="C777" s="11" t="inlineStr">
        <is>
          <t>list1</t>
        </is>
      </c>
      <c r="D777" s="11" t="inlineStr">
        <is>
          <t>verified</t>
        </is>
      </c>
      <c r="E777" s="11" t="inlineStr">
        <is>
          <t>reversed_on_appeal</t>
        </is>
      </c>
      <c r="F777" s="2" t="inlineStr">
        <is>
          <t>Harmesh Chand v. The Food Corporation of India and Others</t>
        </is>
      </c>
      <c r="G777" s="11" t="inlineStr"/>
      <c r="H777" s="11" t="inlineStr">
        <is>
          <t>unknown</t>
        </is>
      </c>
      <c r="I777" s="2" t="inlineStr">
        <is>
          <t>(2004) 1 ILR (P&amp;H) 480; (2004) 137 PLR 37</t>
        </is>
      </c>
      <c r="J777" s="11" t="n">
        <v>2004</v>
      </c>
      <c r="K777" s="2" t="inlineStr">
        <is>
          <t>Food Corporation of India and Others v. Harmesh Chand</t>
        </is>
      </c>
      <c r="L777" s="11" t="inlineStr">
        <is>
          <t>Supreme Court</t>
        </is>
      </c>
      <c r="M777" s="2" t="inlineStr">
        <is>
          <t>(2006) 9 SCALE 78; (2006) 7 SCC 654</t>
        </is>
      </c>
      <c r="N777" s="11" t="n">
        <v>2006</v>
      </c>
      <c r="O777" s="11" t="n"/>
      <c r="P777" s="11" t="n"/>
      <c r="Q777" s="11" t="n"/>
      <c r="R777" s="2" t="n"/>
      <c r="S777" s="2" t="n"/>
      <c r="T777" s="11" t="inlineStr">
        <is>
          <t>yes</t>
        </is>
      </c>
      <c r="U777" s="11" t="inlineStr"/>
      <c r="V777" s="11" t="inlineStr">
        <is>
          <t>outside_list</t>
        </is>
      </c>
      <c r="W777" s="11" t="n"/>
      <c r="X777" s="11" t="n"/>
      <c r="Y777" s="11" t="n"/>
      <c r="Z777" s="11" t="inlineStr">
        <is>
          <t>Mr. Advocate</t>
        </is>
      </c>
      <c r="AA777" s="11" t="inlineStr">
        <is>
          <t>2026-10-07</t>
        </is>
      </c>
      <c r="AB777" s="11" t="inlineStr">
        <is>
          <t>name_year</t>
        </is>
      </c>
      <c r="AC777" s="2" t="inlineStr"/>
      <c r="AD777" s="2" t="inlineStr">
        <is>
          <t>Harmesh Chand v. The Food Corporation of India and Others (2004) was reversed on appeal by the Supreme Court in Food Corporation of India and Others v. Harmesh Chand (2006).</t>
        </is>
      </c>
      <c r="AE777" s="2" t="n"/>
      <c r="AF777" s="11" t="inlineStr">
        <is>
          <t>created from list 1</t>
        </is>
      </c>
    </row>
    <row r="778">
      <c r="A778" s="11" t="inlineStr">
        <is>
          <t>L1-0777</t>
        </is>
      </c>
      <c r="B778" s="11" t="inlineStr">
        <is>
          <t>List 1 (to ~2015)</t>
        </is>
      </c>
      <c r="C778" s="11" t="inlineStr">
        <is>
          <t>list1</t>
        </is>
      </c>
      <c r="D778" s="11" t="inlineStr">
        <is>
          <t>verified</t>
        </is>
      </c>
      <c r="E778" s="11" t="inlineStr">
        <is>
          <t>overruled</t>
        </is>
      </c>
      <c r="F778" s="2" t="inlineStr">
        <is>
          <t>National Insurance Co. Ltd. v. Sucha Singh and Others</t>
        </is>
      </c>
      <c r="G778" s="11" t="inlineStr"/>
      <c r="H778" s="11" t="inlineStr">
        <is>
          <t>unknown</t>
        </is>
      </c>
      <c r="I778" s="2" t="inlineStr">
        <is>
          <t>(1994) 1 ACC 215; (1994) ACJ 374; (1994) 106 PLR 140</t>
        </is>
      </c>
      <c r="J778" s="11" t="n">
        <v>1994</v>
      </c>
      <c r="K778" s="2" t="inlineStr">
        <is>
          <t>New India Assurance Co., Shimla v. Kamla and Others etc.</t>
        </is>
      </c>
      <c r="L778" s="11" t="inlineStr">
        <is>
          <t>Supreme Court</t>
        </is>
      </c>
      <c r="M778" s="2" t="inlineStr">
        <is>
          <t>(2001) ACJ 843; AIR 2001 SC 1419; (2001) 105 CompCas 398; (2011) 1 CPJ 10; (2001) 4 JT 235; (2001) 3 SCALE 18; (2001) 4 SCC 342; (2001) 2 SCR 797; (2001) 2 UJ 1121; (2001) AIRSCW 1340; (2001) 3 Supreme 84</t>
        </is>
      </c>
      <c r="N778" s="11" t="n">
        <v>2001</v>
      </c>
      <c r="O778" s="11" t="n"/>
      <c r="P778" s="11" t="n"/>
      <c r="Q778" s="11" t="n"/>
      <c r="R778" s="2" t="n"/>
      <c r="S778" s="2" t="n"/>
      <c r="T778" s="11" t="inlineStr"/>
      <c r="U778" s="11" t="inlineStr"/>
      <c r="V778" s="11" t="inlineStr">
        <is>
          <t>outside_list</t>
        </is>
      </c>
      <c r="W778" s="11" t="n"/>
      <c r="X778" s="11" t="n"/>
      <c r="Y778" s="11" t="n"/>
      <c r="Z778" s="11" t="inlineStr">
        <is>
          <t>Mr. Advocate</t>
        </is>
      </c>
      <c r="AA778" s="11" t="inlineStr">
        <is>
          <t>2026-10-07</t>
        </is>
      </c>
      <c r="AB778" s="11" t="inlineStr">
        <is>
          <t>name_year</t>
        </is>
      </c>
      <c r="AC778" s="2" t="inlineStr"/>
      <c r="AD778" s="2" t="inlineStr">
        <is>
          <t>National Insurance Co. Ltd. v. Sucha Singh and Others (1994) was overruled by New India Assurance Co., Shimla v. Kamla and Others etc. (2001).</t>
        </is>
      </c>
      <c r="AE778" s="2" t="n"/>
      <c r="AF778" s="11" t="inlineStr">
        <is>
          <t>created from list 1</t>
        </is>
      </c>
    </row>
    <row r="779">
      <c r="A779" s="11" t="inlineStr">
        <is>
          <t>L1-0778</t>
        </is>
      </c>
      <c r="B779" s="11" t="inlineStr">
        <is>
          <t>List 1 (to ~2015)</t>
        </is>
      </c>
      <c r="C779" s="11" t="inlineStr">
        <is>
          <t>list1</t>
        </is>
      </c>
      <c r="D779" s="11" t="inlineStr">
        <is>
          <t>verified</t>
        </is>
      </c>
      <c r="E779" s="11" t="inlineStr">
        <is>
          <t>reversed_on_appeal</t>
        </is>
      </c>
      <c r="F779" s="2" t="inlineStr">
        <is>
          <t>State of Punjab v. Sukhwinder Singh</t>
        </is>
      </c>
      <c r="G779" s="11" t="inlineStr"/>
      <c r="H779" s="11" t="inlineStr">
        <is>
          <t>unknown</t>
        </is>
      </c>
      <c r="I779" s="2" t="inlineStr"/>
      <c r="J779" s="11" t="n"/>
      <c r="K779" s="2" t="inlineStr">
        <is>
          <t>State of Punjab and Others v. Sukhwinder Singh</t>
        </is>
      </c>
      <c r="L779" s="11" t="inlineStr">
        <is>
          <t>Supreme Court</t>
        </is>
      </c>
      <c r="M779" s="2" t="inlineStr">
        <is>
          <t>AIR 2005 SC 2960; (2005) 6 JT 170; (2005) 141 PLR 402; (2005) 5 SCC 569; (2005) SCC(L&amp;S) 705; (2005) 2 SCR 580 Supp; (2005) 3 SLJ 186; (2005) AIRSCW 3477; (2005) 5 Supreme 68</t>
        </is>
      </c>
      <c r="N779" s="11" t="n">
        <v>2005</v>
      </c>
      <c r="O779" s="11" t="n"/>
      <c r="P779" s="11" t="n"/>
      <c r="Q779" s="11" t="n"/>
      <c r="R779" s="2" t="n"/>
      <c r="S779" s="2" t="n"/>
      <c r="T779" s="11" t="inlineStr">
        <is>
          <t>yes</t>
        </is>
      </c>
      <c r="U779" s="11" t="inlineStr">
        <is>
          <t>no_citation_or_year_for_overruled, needs_citation_or_year</t>
        </is>
      </c>
      <c r="V779" s="11" t="inlineStr">
        <is>
          <t>outside_list</t>
        </is>
      </c>
      <c r="W779" s="11" t="n"/>
      <c r="X779" s="11" t="n"/>
      <c r="Y779" s="11" t="n"/>
      <c r="Z779" s="11" t="inlineStr">
        <is>
          <t>Mr. Advocate</t>
        </is>
      </c>
      <c r="AA779" s="11" t="inlineStr">
        <is>
          <t>2026-10-07</t>
        </is>
      </c>
      <c r="AB779" s="11" t="inlineStr">
        <is>
          <t>weak</t>
        </is>
      </c>
      <c r="AC779" s="2" t="inlineStr"/>
      <c r="AD779" s="2" t="inlineStr">
        <is>
          <t>State of Punjab v. Sukhwinder Singh was reversed on appeal by the Supreme Court in State of Punjab and Others v. Sukhwinder Singh (2005).</t>
        </is>
      </c>
      <c r="AE779" s="2" t="n"/>
      <c r="AF779" s="11" t="inlineStr">
        <is>
          <t>created from list 1</t>
        </is>
      </c>
    </row>
    <row r="780">
      <c r="A780" s="11" t="inlineStr">
        <is>
          <t>L1-0779</t>
        </is>
      </c>
      <c r="B780" s="11" t="inlineStr">
        <is>
          <t>List 1 (to ~2015)</t>
        </is>
      </c>
      <c r="C780" s="11" t="inlineStr">
        <is>
          <t>list1</t>
        </is>
      </c>
      <c r="D780" s="11" t="inlineStr">
        <is>
          <t>verified</t>
        </is>
      </c>
      <c r="E780" s="11" t="inlineStr">
        <is>
          <t>reversed_on_appeal</t>
        </is>
      </c>
      <c r="F780" s="2" t="inlineStr">
        <is>
          <t>Baldev Spinners Pvt. Ltd. v. State of Haryana and Others</t>
        </is>
      </c>
      <c r="G780" s="11" t="inlineStr"/>
      <c r="H780" s="11" t="inlineStr">
        <is>
          <t>unknown</t>
        </is>
      </c>
      <c r="I780" s="2" t="inlineStr">
        <is>
          <t>(2003) 132 STC 594</t>
        </is>
      </c>
      <c r="J780" s="11" t="n">
        <v>2003</v>
      </c>
      <c r="K780" s="2" t="inlineStr">
        <is>
          <t>State of Haryana and Others v. Baldev Spinners Pvt. Ltd. and Others</t>
        </is>
      </c>
      <c r="L780" s="11" t="inlineStr">
        <is>
          <t>unknown</t>
        </is>
      </c>
      <c r="M780" s="2" t="inlineStr">
        <is>
          <t>(2009) 5 JT 237; (2009) 4 SCALE 79; (2009) 13 SCC 319; (2009) 2 SCR 1156; (2009) 3 UJ 1298; (2009) 11 Vat Reporter 90; (2009) 21 VST 463; (2009) AIRSCW 5385</t>
        </is>
      </c>
      <c r="N780" s="11" t="n">
        <v>2009</v>
      </c>
      <c r="O780" s="11" t="n"/>
      <c r="P780" s="11" t="n"/>
      <c r="Q780" s="11" t="n"/>
      <c r="R780" s="2" t="n"/>
      <c r="S780" s="2" t="n"/>
      <c r="T780" s="11" t="inlineStr">
        <is>
          <t>yes</t>
        </is>
      </c>
      <c r="U780" s="11" t="inlineStr"/>
      <c r="V780" s="11" t="inlineStr">
        <is>
          <t>outside_list</t>
        </is>
      </c>
      <c r="W780" s="11" t="n"/>
      <c r="X780" s="11" t="n"/>
      <c r="Y780" s="11" t="n"/>
      <c r="Z780" s="11" t="inlineStr">
        <is>
          <t>Mr. Advocate</t>
        </is>
      </c>
      <c r="AA780" s="11" t="inlineStr">
        <is>
          <t>2026-10-07</t>
        </is>
      </c>
      <c r="AB780" s="11" t="inlineStr">
        <is>
          <t>name_year</t>
        </is>
      </c>
      <c r="AC780" s="2" t="inlineStr"/>
      <c r="AD780" s="2" t="inlineStr">
        <is>
          <t>Baldev Spinners Pvt. Ltd. v. State of Haryana and Others (2003) was reversed on appeal by the Supreme Court in State of Haryana and Others v. Baldev Spinners Pvt. Ltd. and Others (2009).</t>
        </is>
      </c>
      <c r="AE780" s="2" t="n"/>
      <c r="AF780" s="11" t="inlineStr">
        <is>
          <t>created from list 1</t>
        </is>
      </c>
    </row>
    <row r="781">
      <c r="A781" s="11" t="inlineStr">
        <is>
          <t>L1-0780</t>
        </is>
      </c>
      <c r="B781" s="11" t="inlineStr">
        <is>
          <t>List 1 (to ~2015)</t>
        </is>
      </c>
      <c r="C781" s="11" t="inlineStr">
        <is>
          <t>list1</t>
        </is>
      </c>
      <c r="D781" s="11" t="inlineStr">
        <is>
          <t>verified</t>
        </is>
      </c>
      <c r="E781" s="11" t="inlineStr">
        <is>
          <t>reversed_on_appeal</t>
        </is>
      </c>
      <c r="F781" s="2" t="inlineStr">
        <is>
          <t>Manisha Tyagi v. Capt. Deepak Kumar</t>
        </is>
      </c>
      <c r="G781" s="11" t="inlineStr"/>
      <c r="H781" s="11" t="inlineStr">
        <is>
          <t>unknown</t>
        </is>
      </c>
      <c r="I781" s="2" t="inlineStr"/>
      <c r="J781" s="11" t="n"/>
      <c r="K781" s="2" t="inlineStr">
        <is>
          <t>Manisha Tyagi v. Deepak Kumar</t>
        </is>
      </c>
      <c r="L781" s="11" t="inlineStr">
        <is>
          <t>Supreme Court</t>
        </is>
      </c>
      <c r="M781" s="2" t="inlineStr">
        <is>
          <t>AIR 2010 SC 1042; (2010) 1 DMC 451; (2010) 2 JT 82; (2010) 2 SCALE 294; (2010) 4 SCC 339; (2010) 2 SCR 554; (2010) 2 UJ 991</t>
        </is>
      </c>
      <c r="N781" s="11" t="n">
        <v>2010</v>
      </c>
      <c r="O781" s="11" t="n"/>
      <c r="P781" s="11" t="n"/>
      <c r="Q781" s="11" t="n"/>
      <c r="R781" s="2" t="n"/>
      <c r="S781" s="2" t="n"/>
      <c r="T781" s="11" t="inlineStr">
        <is>
          <t>yes</t>
        </is>
      </c>
      <c r="U781" s="11" t="inlineStr">
        <is>
          <t>no_citation_or_year_for_overruled, needs_citation_or_year</t>
        </is>
      </c>
      <c r="V781" s="11" t="inlineStr">
        <is>
          <t>outside_list</t>
        </is>
      </c>
      <c r="W781" s="11" t="n"/>
      <c r="X781" s="11" t="n"/>
      <c r="Y781" s="11" t="n"/>
      <c r="Z781" s="11" t="inlineStr">
        <is>
          <t>Mr. Advocate</t>
        </is>
      </c>
      <c r="AA781" s="11" t="inlineStr">
        <is>
          <t>2026-10-07</t>
        </is>
      </c>
      <c r="AB781" s="11" t="inlineStr">
        <is>
          <t>weak</t>
        </is>
      </c>
      <c r="AC781" s="2" t="inlineStr"/>
      <c r="AD781" s="2" t="inlineStr">
        <is>
          <t>Manisha Tyagi v. Capt. Deepak Kumar was reversed on appeal by the Supreme Court in Manisha Tyagi v. Deepak Kumar (2010).</t>
        </is>
      </c>
      <c r="AE781" s="2" t="n"/>
      <c r="AF781" s="11" t="inlineStr">
        <is>
          <t>created from list 1</t>
        </is>
      </c>
    </row>
    <row r="782">
      <c r="A782" s="11" t="inlineStr">
        <is>
          <t>L1-0781</t>
        </is>
      </c>
      <c r="B782" s="11" t="inlineStr">
        <is>
          <t>List 1 (to ~2015)</t>
        </is>
      </c>
      <c r="C782" s="11" t="inlineStr">
        <is>
          <t>list1</t>
        </is>
      </c>
      <c r="D782" s="11" t="inlineStr">
        <is>
          <t>verified</t>
        </is>
      </c>
      <c r="E782" s="11" t="inlineStr">
        <is>
          <t>reversed_on_appeal</t>
        </is>
      </c>
      <c r="F782" s="2" t="inlineStr">
        <is>
          <t>Daya Nand (Through Jail) v. State of Haryana</t>
        </is>
      </c>
      <c r="G782" s="11" t="inlineStr"/>
      <c r="H782" s="11" t="inlineStr">
        <is>
          <t>unknown</t>
        </is>
      </c>
      <c r="I782" s="2" t="inlineStr"/>
      <c r="J782" s="11" t="n"/>
      <c r="K782" s="2" t="inlineStr">
        <is>
          <t>Daya Nand v. State of Haryana</t>
        </is>
      </c>
      <c r="L782" s="11" t="inlineStr">
        <is>
          <t>Supreme Court</t>
        </is>
      </c>
      <c r="M782" s="2" t="inlineStr">
        <is>
          <t>AIR 2008 SC 1823; (2008) CriLJ 2975; (2008) 5 JT 336; (2008) 6 SCALE 62; (2008) 15 SCC 717; (2008) AIRSCW 1034; (2008) AIRSCW 2515; (2008) AIRSCW 4462; (2008) 1 Supreme 450</t>
        </is>
      </c>
      <c r="N782" s="11" t="n">
        <v>2008</v>
      </c>
      <c r="O782" s="11" t="n"/>
      <c r="P782" s="11" t="n"/>
      <c r="Q782" s="11" t="n"/>
      <c r="R782" s="2" t="n"/>
      <c r="S782" s="2" t="n"/>
      <c r="T782" s="11" t="inlineStr">
        <is>
          <t>yes</t>
        </is>
      </c>
      <c r="U782" s="11" t="inlineStr">
        <is>
          <t>no_citation_or_year_for_overruled, needs_citation_or_year</t>
        </is>
      </c>
      <c r="V782" s="11" t="inlineStr">
        <is>
          <t>outside_list</t>
        </is>
      </c>
      <c r="W782" s="11" t="n"/>
      <c r="X782" s="11" t="n"/>
      <c r="Y782" s="11" t="n"/>
      <c r="Z782" s="11" t="inlineStr">
        <is>
          <t>Mr. Advocate</t>
        </is>
      </c>
      <c r="AA782" s="11" t="inlineStr">
        <is>
          <t>2026-10-07</t>
        </is>
      </c>
      <c r="AB782" s="11" t="inlineStr">
        <is>
          <t>weak</t>
        </is>
      </c>
      <c r="AC782" s="2" t="inlineStr"/>
      <c r="AD782" s="2" t="inlineStr">
        <is>
          <t>Daya Nand (Through Jail) v. State of Haryana was reversed on appeal by the Supreme Court in Daya Nand v. State of Haryana (2008).</t>
        </is>
      </c>
      <c r="AE782" s="2" t="n"/>
      <c r="AF782" s="11" t="inlineStr">
        <is>
          <t>created from list 1</t>
        </is>
      </c>
    </row>
    <row r="783">
      <c r="A783" s="11" t="inlineStr">
        <is>
          <t>L1-0782</t>
        </is>
      </c>
      <c r="B783" s="11" t="inlineStr">
        <is>
          <t>List 1 (to ~2015)</t>
        </is>
      </c>
      <c r="C783" s="11" t="inlineStr">
        <is>
          <t>list1</t>
        </is>
      </c>
      <c r="D783" s="11" t="inlineStr">
        <is>
          <t>verified</t>
        </is>
      </c>
      <c r="E783" s="11" t="inlineStr">
        <is>
          <t>reversed_on_appeal</t>
        </is>
      </c>
      <c r="F783" s="2" t="inlineStr">
        <is>
          <t>Bachan Singh (Dead) through LRs v. Labh Singh and Others</t>
        </is>
      </c>
      <c r="G783" s="11" t="inlineStr"/>
      <c r="H783" s="11" t="inlineStr">
        <is>
          <t>unknown</t>
        </is>
      </c>
      <c r="I783" s="2" t="inlineStr">
        <is>
          <t>(2005) 141 PLR 39</t>
        </is>
      </c>
      <c r="J783" s="11" t="n">
        <v>2005</v>
      </c>
      <c r="K783" s="2" t="inlineStr">
        <is>
          <t>Labh Singh and Others v. Bachan Singh</t>
        </is>
      </c>
      <c r="L783" s="11" t="inlineStr">
        <is>
          <t>Supreme Court</t>
        </is>
      </c>
      <c r="M783" s="2" t="inlineStr">
        <is>
          <t>AIR 2008 SC 1432; (2008) 2 CLT 331; (2008) 1 JT 584; (2008) 149 PLR 238; (2008) 1 SCALE 369; (2008) 4 SCC 140; (2008) AIRSCW 1450; (2008) 1 Supreme 335</t>
        </is>
      </c>
      <c r="N783" s="11" t="n">
        <v>2008</v>
      </c>
      <c r="O783" s="11" t="n"/>
      <c r="P783" s="11" t="n"/>
      <c r="Q783" s="11" t="n"/>
      <c r="R783" s="2" t="n"/>
      <c r="S783" s="2" t="n"/>
      <c r="T783" s="11" t="inlineStr">
        <is>
          <t>yes</t>
        </is>
      </c>
      <c r="U783" s="11" t="inlineStr"/>
      <c r="V783" s="11" t="inlineStr">
        <is>
          <t>outside_list</t>
        </is>
      </c>
      <c r="W783" s="11" t="n"/>
      <c r="X783" s="11" t="n"/>
      <c r="Y783" s="11" t="n"/>
      <c r="Z783" s="11" t="inlineStr">
        <is>
          <t>Mr. Advocate</t>
        </is>
      </c>
      <c r="AA783" s="11" t="inlineStr">
        <is>
          <t>2026-10-07</t>
        </is>
      </c>
      <c r="AB783" s="11" t="inlineStr">
        <is>
          <t>name_year</t>
        </is>
      </c>
      <c r="AC783" s="2" t="inlineStr"/>
      <c r="AD783" s="2" t="inlineStr">
        <is>
          <t>Bachan Singh (Dead) through LRs v. Labh Singh and Others (2005) was reversed on appeal by the Supreme Court in Labh Singh and Others v. Bachan Singh (2008).</t>
        </is>
      </c>
      <c r="AE783" s="2" t="n"/>
      <c r="AF783" s="11" t="inlineStr">
        <is>
          <t>created from list 1</t>
        </is>
      </c>
    </row>
    <row r="784">
      <c r="A784" s="11" t="inlineStr">
        <is>
          <t>L1-0783</t>
        </is>
      </c>
      <c r="B784" s="11" t="inlineStr">
        <is>
          <t>List 1 (to ~2015)</t>
        </is>
      </c>
      <c r="C784" s="11" t="inlineStr">
        <is>
          <t>list1</t>
        </is>
      </c>
      <c r="D784" s="11" t="inlineStr">
        <is>
          <t>verified</t>
        </is>
      </c>
      <c r="E784" s="11" t="inlineStr">
        <is>
          <t>reversed_on_appeal</t>
        </is>
      </c>
      <c r="F784" s="2" t="inlineStr">
        <is>
          <t>Commissioner of Income Tax v. Rattan Trust</t>
        </is>
      </c>
      <c r="G784" s="11" t="inlineStr"/>
      <c r="H784" s="11" t="inlineStr">
        <is>
          <t>unknown</t>
        </is>
      </c>
      <c r="I784" s="2" t="inlineStr">
        <is>
          <t>(1980) 16 CTR 38; (1980) 123 ITR 562</t>
        </is>
      </c>
      <c r="J784" s="11" t="n">
        <v>1980</v>
      </c>
      <c r="K784" s="2" t="inlineStr">
        <is>
          <t>Commissioner of Income Tax, Amritsar v. Rattan Trust, Amritsar</t>
        </is>
      </c>
      <c r="L784" s="11" t="inlineStr">
        <is>
          <t>Supreme Court</t>
        </is>
      </c>
      <c r="M784" s="2" t="inlineStr">
        <is>
          <t>AIR 1997 SC 2831; (1997) 227 ITR 356; (1997) 6 JT 45; (1997) 4 SCALE 469; (1997) 11 SCC 56; (1997) 1 SCR 555 Supp; (1997) AIRSCW 2834; (1997) 6 Supreme 348</t>
        </is>
      </c>
      <c r="N784" s="11" t="n">
        <v>1997</v>
      </c>
      <c r="O784" s="11" t="n"/>
      <c r="P784" s="11" t="n"/>
      <c r="Q784" s="11" t="n"/>
      <c r="R784" s="2" t="n"/>
      <c r="S784" s="2" t="n"/>
      <c r="T784" s="11" t="inlineStr">
        <is>
          <t>yes</t>
        </is>
      </c>
      <c r="U784" s="11" t="inlineStr"/>
      <c r="V784" s="11" t="inlineStr">
        <is>
          <t>outside_list</t>
        </is>
      </c>
      <c r="W784" s="11" t="n"/>
      <c r="X784" s="11" t="n"/>
      <c r="Y784" s="11" t="n"/>
      <c r="Z784" s="11" t="inlineStr">
        <is>
          <t>Mr. Advocate</t>
        </is>
      </c>
      <c r="AA784" s="11" t="inlineStr">
        <is>
          <t>2026-10-07</t>
        </is>
      </c>
      <c r="AB784" s="11" t="inlineStr">
        <is>
          <t>name_year</t>
        </is>
      </c>
      <c r="AC784" s="2" t="inlineStr"/>
      <c r="AD784" s="2" t="inlineStr">
        <is>
          <t>Commissioner of Income Tax v. Rattan Trust (1980) was reversed on appeal by the Supreme Court in Commissioner of Income Tax, Amritsar v. Rattan Trust, Amritsar (1997).</t>
        </is>
      </c>
      <c r="AE784" s="2" t="n"/>
      <c r="AF784" s="11" t="inlineStr">
        <is>
          <t>created from list 1</t>
        </is>
      </c>
    </row>
    <row r="785">
      <c r="A785" s="11" t="inlineStr">
        <is>
          <t>L1-0784</t>
        </is>
      </c>
      <c r="B785" s="11" t="inlineStr">
        <is>
          <t>List 1 (to ~2015)</t>
        </is>
      </c>
      <c r="C785" s="11" t="inlineStr">
        <is>
          <t>list1</t>
        </is>
      </c>
      <c r="D785" s="11" t="inlineStr">
        <is>
          <t>verified</t>
        </is>
      </c>
      <c r="E785" s="11" t="inlineStr">
        <is>
          <t>reversed_on_appeal</t>
        </is>
      </c>
      <c r="F785" s="2" t="inlineStr">
        <is>
          <t>Heinz Italia S.R.I. Via Cadolini and Another v. Dabur India Ltd.</t>
        </is>
      </c>
      <c r="G785" s="11" t="inlineStr"/>
      <c r="H785" s="11" t="inlineStr">
        <is>
          <t>unknown</t>
        </is>
      </c>
      <c r="I785" s="2" t="inlineStr">
        <is>
          <t>(2006) 143 PLR 223; (2006) 32 PTC 238</t>
        </is>
      </c>
      <c r="J785" s="11" t="n">
        <v>2006</v>
      </c>
      <c r="K785" s="2" t="inlineStr">
        <is>
          <t>Heinz Italia and Another v. Dabur India Ltd.</t>
        </is>
      </c>
      <c r="L785" s="11" t="inlineStr">
        <is>
          <t>Supreme Court</t>
        </is>
      </c>
      <c r="M785" s="2" t="inlineStr">
        <is>
          <t>(2007) 104 CLT 719; (2007) 4 CTC 810; (2007) 35 PTC 1; (2007) 7 SCALE 608; (2007) 6 SCC 1</t>
        </is>
      </c>
      <c r="N785" s="11" t="n">
        <v>2007</v>
      </c>
      <c r="O785" s="11" t="n"/>
      <c r="P785" s="11" t="n"/>
      <c r="Q785" s="11" t="n"/>
      <c r="R785" s="2" t="n"/>
      <c r="S785" s="2" t="n"/>
      <c r="T785" s="11" t="inlineStr">
        <is>
          <t>yes</t>
        </is>
      </c>
      <c r="U785" s="11" t="inlineStr"/>
      <c r="V785" s="11" t="inlineStr">
        <is>
          <t>outside_list</t>
        </is>
      </c>
      <c r="W785" s="11" t="n"/>
      <c r="X785" s="11" t="n"/>
      <c r="Y785" s="11" t="n"/>
      <c r="Z785" s="11" t="inlineStr">
        <is>
          <t>Mr. Advocate</t>
        </is>
      </c>
      <c r="AA785" s="11" t="inlineStr">
        <is>
          <t>2026-10-07</t>
        </is>
      </c>
      <c r="AB785" s="11" t="inlineStr">
        <is>
          <t>name_year</t>
        </is>
      </c>
      <c r="AC785" s="2" t="inlineStr"/>
      <c r="AD785" s="2" t="inlineStr">
        <is>
          <t>Heinz Italia S.R.I. Via Cadolini and Another v. Dabur India Ltd. (2006) was reversed on appeal by the Supreme Court in Heinz Italia and Another v. Dabur India Ltd. (2007).</t>
        </is>
      </c>
      <c r="AE785" s="2" t="n"/>
      <c r="AF785" s="11" t="inlineStr">
        <is>
          <t>created from list 1</t>
        </is>
      </c>
    </row>
    <row r="786">
      <c r="A786" s="11" t="inlineStr">
        <is>
          <t>L1-0785</t>
        </is>
      </c>
      <c r="B786" s="11" t="inlineStr">
        <is>
          <t>List 1 (to ~2015)</t>
        </is>
      </c>
      <c r="C786" s="11" t="inlineStr">
        <is>
          <t>list1</t>
        </is>
      </c>
      <c r="D786" s="11" t="inlineStr">
        <is>
          <t>verified</t>
        </is>
      </c>
      <c r="E786" s="11" t="inlineStr">
        <is>
          <t>reversed_on_appeal</t>
        </is>
      </c>
      <c r="F786" s="2" t="inlineStr">
        <is>
          <t>Sheela Devi and Others v. Lal Chand and Another</t>
        </is>
      </c>
      <c r="G786" s="11" t="inlineStr"/>
      <c r="H786" s="11" t="inlineStr">
        <is>
          <t>unknown</t>
        </is>
      </c>
      <c r="I786" s="2" t="inlineStr">
        <is>
          <t>(2006) 142 PLR 379</t>
        </is>
      </c>
      <c r="J786" s="11" t="n">
        <v>2006</v>
      </c>
      <c r="K786" s="2" t="inlineStr">
        <is>
          <t>Sheela Devi and Others v. Lal Chand and Another</t>
        </is>
      </c>
      <c r="L786" s="11" t="inlineStr">
        <is>
          <t>Supreme Court</t>
        </is>
      </c>
      <c r="M786" s="2" t="inlineStr">
        <is>
          <t>(2006) 206 CTR 149; (2006) 12 JT 610; (2006) 10 SCALE 75; (2006) 8 SCC 581; (2006) 6 SCR 874 Supp; (2006) 157 TAXMAN 527; (2007) 2 UJ 1307</t>
        </is>
      </c>
      <c r="N786" s="11" t="n">
        <v>2006</v>
      </c>
      <c r="O786" s="11" t="n"/>
      <c r="P786" s="11" t="n"/>
      <c r="Q786" s="11" t="n"/>
      <c r="R786" s="2" t="n"/>
      <c r="S786" s="2" t="n"/>
      <c r="T786" s="11" t="inlineStr">
        <is>
          <t>yes</t>
        </is>
      </c>
      <c r="U786" s="11" t="inlineStr"/>
      <c r="V786" s="11" t="inlineStr">
        <is>
          <t>outside_list</t>
        </is>
      </c>
      <c r="W786" s="11" t="n"/>
      <c r="X786" s="11" t="n"/>
      <c r="Y786" s="11" t="n"/>
      <c r="Z786" s="11" t="inlineStr">
        <is>
          <t>Mr. Advocate</t>
        </is>
      </c>
      <c r="AA786" s="11" t="inlineStr">
        <is>
          <t>2026-10-07</t>
        </is>
      </c>
      <c r="AB786" s="11" t="inlineStr">
        <is>
          <t>name_year</t>
        </is>
      </c>
      <c r="AC786" s="2" t="inlineStr"/>
      <c r="AD786" s="2" t="inlineStr">
        <is>
          <t>Sheela Devi and Others v. Lal Chand and Another (2006) was reversed on appeal by the Supreme Court in Sheela Devi and Others v. Lal Chand and Another (2006).</t>
        </is>
      </c>
      <c r="AE786" s="2" t="n"/>
      <c r="AF786" s="11" t="inlineStr">
        <is>
          <t>created from list 1</t>
        </is>
      </c>
    </row>
    <row r="787">
      <c r="A787" s="11" t="inlineStr">
        <is>
          <t>L1-0786</t>
        </is>
      </c>
      <c r="B787" s="11" t="inlineStr">
        <is>
          <t>List 1 (to ~2015)</t>
        </is>
      </c>
      <c r="C787" s="11" t="inlineStr">
        <is>
          <t>list1</t>
        </is>
      </c>
      <c r="D787" s="11" t="inlineStr">
        <is>
          <t>verified</t>
        </is>
      </c>
      <c r="E787" s="11" t="inlineStr">
        <is>
          <t>reversed_on_appeal</t>
        </is>
      </c>
      <c r="F787" s="2" t="inlineStr">
        <is>
          <t>Adishwar Jain v. Union of India (UOI) and Another</t>
        </is>
      </c>
      <c r="G787" s="11" t="inlineStr"/>
      <c r="H787" s="11" t="inlineStr">
        <is>
          <t>unknown</t>
        </is>
      </c>
      <c r="I787" s="2" t="inlineStr">
        <is>
          <t>(2006) CriLJ 3193; (2006) 2 RCR(Criminal) 561</t>
        </is>
      </c>
      <c r="J787" s="11" t="n">
        <v>2006</v>
      </c>
      <c r="K787" s="2" t="inlineStr">
        <is>
          <t>Adishwar Jain v. Union of India (UOI) and Another</t>
        </is>
      </c>
      <c r="L787" s="11" t="inlineStr">
        <is>
          <t>Supreme Court</t>
        </is>
      </c>
      <c r="M787" s="2" t="inlineStr">
        <is>
          <t>(2006) 112 ECC 328; (2006) ECR 328; (2006) 9 JT 432; (2006) 10 SCALE 553; (2006) 11 SCC 339; (2006) 7 SCR 801 Supp; (2006) 2 UJ 1353</t>
        </is>
      </c>
      <c r="N787" s="11" t="n">
        <v>2006</v>
      </c>
      <c r="O787" s="11" t="n"/>
      <c r="P787" s="11" t="n"/>
      <c r="Q787" s="11" t="n"/>
      <c r="R787" s="2" t="n"/>
      <c r="S787" s="2" t="n"/>
      <c r="T787" s="11" t="inlineStr">
        <is>
          <t>yes</t>
        </is>
      </c>
      <c r="U787" s="11" t="inlineStr"/>
      <c r="V787" s="11" t="inlineStr">
        <is>
          <t>outside_list</t>
        </is>
      </c>
      <c r="W787" s="11" t="n"/>
      <c r="X787" s="11" t="n"/>
      <c r="Y787" s="11" t="n"/>
      <c r="Z787" s="11" t="inlineStr">
        <is>
          <t>Mr. Advocate</t>
        </is>
      </c>
      <c r="AA787" s="11" t="inlineStr">
        <is>
          <t>2026-10-07</t>
        </is>
      </c>
      <c r="AB787" s="11" t="inlineStr">
        <is>
          <t>name_year</t>
        </is>
      </c>
      <c r="AC787" s="2" t="inlineStr"/>
      <c r="AD787" s="2" t="inlineStr">
        <is>
          <t>Adishwar Jain v. Union of India (UOI) and Another (2006) was reversed on appeal by the Supreme Court in Adishwar Jain v. Union of India (UOI) and Another (2006).</t>
        </is>
      </c>
      <c r="AE787" s="2" t="n"/>
      <c r="AF787" s="11" t="inlineStr">
        <is>
          <t>created from list 1</t>
        </is>
      </c>
    </row>
    <row r="788">
      <c r="A788" s="11" t="inlineStr">
        <is>
          <t>L1-0787</t>
        </is>
      </c>
      <c r="B788" s="11" t="inlineStr">
        <is>
          <t>List 1 (to ~2015)</t>
        </is>
      </c>
      <c r="C788" s="11" t="inlineStr">
        <is>
          <t>list1</t>
        </is>
      </c>
      <c r="D788" s="11" t="inlineStr">
        <is>
          <t>verified</t>
        </is>
      </c>
      <c r="E788" s="11" t="inlineStr">
        <is>
          <t>reversed_on_appeal</t>
        </is>
      </c>
      <c r="F788" s="2" t="inlineStr">
        <is>
          <t>Punjab State Co-operative Supply and Marketing Federation Ltd. v. Shri B.S. Aulak and Others</t>
        </is>
      </c>
      <c r="G788" s="11" t="inlineStr"/>
      <c r="H788" s="11" t="inlineStr">
        <is>
          <t>unknown</t>
        </is>
      </c>
      <c r="I788" s="2" t="inlineStr">
        <is>
          <t>(1994) 108 PLR 165</t>
        </is>
      </c>
      <c r="J788" s="11" t="n">
        <v>1994</v>
      </c>
      <c r="K788" s="2" t="inlineStr">
        <is>
          <t>Punjab State Co-operative Supply and Marketing Federation Ltd. v. B.S. Aulakh and others</t>
        </is>
      </c>
      <c r="L788" s="11" t="inlineStr">
        <is>
          <t>Supreme Court</t>
        </is>
      </c>
      <c r="M788" s="2" t="inlineStr">
        <is>
          <t>AIR 1997 SC 2001; (1997) 4 JT 597; (1997) 3 SCALE 515; (1997) 4 SCC 756; (1997) 3 SCR 747; (1997) AIRSCW 1787; (1997) 4 Supreme 7; (1997) 4 Supreme 702</t>
        </is>
      </c>
      <c r="N788" s="11" t="n">
        <v>1997</v>
      </c>
      <c r="O788" s="11" t="n"/>
      <c r="P788" s="11" t="n"/>
      <c r="Q788" s="11" t="n"/>
      <c r="R788" s="2" t="n"/>
      <c r="S788" s="2" t="n"/>
      <c r="T788" s="11" t="inlineStr">
        <is>
          <t>yes</t>
        </is>
      </c>
      <c r="U788" s="11" t="inlineStr"/>
      <c r="V788" s="11" t="inlineStr">
        <is>
          <t>outside_list</t>
        </is>
      </c>
      <c r="W788" s="11" t="n"/>
      <c r="X788" s="11" t="n"/>
      <c r="Y788" s="11" t="n"/>
      <c r="Z788" s="11" t="inlineStr">
        <is>
          <t>Mr. Advocate</t>
        </is>
      </c>
      <c r="AA788" s="11" t="inlineStr">
        <is>
          <t>2026-10-07</t>
        </is>
      </c>
      <c r="AB788" s="11" t="inlineStr">
        <is>
          <t>name_year</t>
        </is>
      </c>
      <c r="AC788" s="2" t="inlineStr"/>
      <c r="AD788" s="2" t="inlineStr">
        <is>
          <t>Punjab State Co-operative Supply and Marketing Federation Ltd. v. Shri B.S. Aulak and Others (1994) was reversed on appeal by the Supreme Court in Punjab State Co-operative Supply and Marketing Federation Ltd. v. B.S. Aulakh and others (1997).</t>
        </is>
      </c>
      <c r="AE788" s="2" t="n"/>
      <c r="AF788" s="11" t="inlineStr">
        <is>
          <t>created from list 1</t>
        </is>
      </c>
    </row>
    <row r="789">
      <c r="A789" s="11" t="inlineStr">
        <is>
          <t>L1-0788</t>
        </is>
      </c>
      <c r="B789" s="11" t="inlineStr">
        <is>
          <t>List 1 (to ~2015)</t>
        </is>
      </c>
      <c r="C789" s="11" t="inlineStr">
        <is>
          <t>list1</t>
        </is>
      </c>
      <c r="D789" s="11" t="inlineStr">
        <is>
          <t>verified</t>
        </is>
      </c>
      <c r="E789" s="11" t="inlineStr">
        <is>
          <t>reversed_on_appeal</t>
        </is>
      </c>
      <c r="F789" s="2" t="inlineStr">
        <is>
          <t>Piara Singh v. State of Haryana</t>
        </is>
      </c>
      <c r="G789" s="11" t="inlineStr"/>
      <c r="H789" s="11" t="inlineStr">
        <is>
          <t>unknown</t>
        </is>
      </c>
      <c r="I789" s="2" t="inlineStr">
        <is>
          <t>(1990) 97 PLR 220</t>
        </is>
      </c>
      <c r="J789" s="11" t="n">
        <v>1990</v>
      </c>
      <c r="K789" s="2" t="inlineStr">
        <is>
          <t>State of Haryana and others v. Piara Singh and others etc.</t>
        </is>
      </c>
      <c r="L789" s="11" t="inlineStr">
        <is>
          <t>Supreme Court</t>
        </is>
      </c>
      <c r="M789" s="2" t="inlineStr">
        <is>
          <t>AIR 1992 SC 2130; (1992) 5 JT 179; (1993) 2 LLJ 937; (1992) 102 PLR 547; (1992) 2 SCALE 384; (1992) 4 SCC 118; (1992) 3 SCR 826; (1992) 3 SLJ 34; (1992) 2 UJ 692</t>
        </is>
      </c>
      <c r="N789" s="11" t="n">
        <v>1992</v>
      </c>
      <c r="O789" s="11" t="n"/>
      <c r="P789" s="11" t="n"/>
      <c r="Q789" s="11" t="n"/>
      <c r="R789" s="2" t="n"/>
      <c r="S789" s="2" t="n"/>
      <c r="T789" s="11" t="inlineStr">
        <is>
          <t>yes</t>
        </is>
      </c>
      <c r="U789" s="11" t="inlineStr"/>
      <c r="V789" s="11" t="inlineStr">
        <is>
          <t>outside_list</t>
        </is>
      </c>
      <c r="W789" s="11" t="n"/>
      <c r="X789" s="11" t="n"/>
      <c r="Y789" s="11" t="n"/>
      <c r="Z789" s="11" t="inlineStr">
        <is>
          <t>Mr. Advocate</t>
        </is>
      </c>
      <c r="AA789" s="11" t="inlineStr">
        <is>
          <t>2026-10-07</t>
        </is>
      </c>
      <c r="AB789" s="11" t="inlineStr">
        <is>
          <t>name_year</t>
        </is>
      </c>
      <c r="AC789" s="2" t="inlineStr"/>
      <c r="AD789" s="2" t="inlineStr">
        <is>
          <t>Piara Singh v. State of Haryana (1990) was reversed on appeal by the Supreme Court in State of Haryana and others v. Piara Singh and others etc. (1992).</t>
        </is>
      </c>
      <c r="AE789" s="2" t="n"/>
      <c r="AF789" s="11" t="inlineStr">
        <is>
          <t>created from list 1</t>
        </is>
      </c>
    </row>
    <row r="790">
      <c r="A790" s="11" t="inlineStr">
        <is>
          <t>L1-0789</t>
        </is>
      </c>
      <c r="B790" s="11" t="inlineStr">
        <is>
          <t>List 1 (to ~2015)</t>
        </is>
      </c>
      <c r="C790" s="11" t="inlineStr">
        <is>
          <t>list1</t>
        </is>
      </c>
      <c r="D790" s="11" t="inlineStr">
        <is>
          <t>verified</t>
        </is>
      </c>
      <c r="E790" s="11" t="inlineStr">
        <is>
          <t>reversed_on_appeal</t>
        </is>
      </c>
      <c r="F790" s="2" t="inlineStr">
        <is>
          <t>Mohan Lal and Others v. State of Haryana</t>
        </is>
      </c>
      <c r="G790" s="11" t="inlineStr"/>
      <c r="H790" s="11" t="inlineStr">
        <is>
          <t>unknown</t>
        </is>
      </c>
      <c r="I790" s="2" t="inlineStr">
        <is>
          <t>(2006) CriLJ 4749</t>
        </is>
      </c>
      <c r="J790" s="11" t="n">
        <v>2006</v>
      </c>
      <c r="K790" s="2" t="inlineStr">
        <is>
          <t>Mohan Lal and Others v. State of Haryana</t>
        </is>
      </c>
      <c r="L790" s="11" t="inlineStr">
        <is>
          <t>Supreme Court</t>
        </is>
      </c>
      <c r="M790" s="2" t="inlineStr">
        <is>
          <t>(2007) 1 DMC 402; (2007) 3 JT 602; (2007) 9 SCC 151; (2007) 2 SCR 1030</t>
        </is>
      </c>
      <c r="N790" s="11" t="n">
        <v>2007</v>
      </c>
      <c r="O790" s="11" t="n"/>
      <c r="P790" s="11" t="n"/>
      <c r="Q790" s="11" t="n"/>
      <c r="R790" s="2" t="n"/>
      <c r="S790" s="2" t="n"/>
      <c r="T790" s="11" t="inlineStr">
        <is>
          <t>yes</t>
        </is>
      </c>
      <c r="U790" s="11" t="inlineStr"/>
      <c r="V790" s="11" t="inlineStr">
        <is>
          <t>outside_list</t>
        </is>
      </c>
      <c r="W790" s="11" t="n"/>
      <c r="X790" s="11" t="n"/>
      <c r="Y790" s="11" t="n"/>
      <c r="Z790" s="11" t="inlineStr">
        <is>
          <t>Mr. Advocate</t>
        </is>
      </c>
      <c r="AA790" s="11" t="inlineStr">
        <is>
          <t>2026-10-07</t>
        </is>
      </c>
      <c r="AB790" s="11" t="inlineStr">
        <is>
          <t>name_year</t>
        </is>
      </c>
      <c r="AC790" s="2" t="inlineStr"/>
      <c r="AD790" s="2" t="inlineStr">
        <is>
          <t>Mohan Lal and Others v. State of Haryana (2006) was reversed on appeal by the Supreme Court in Mohan Lal and Others v. State of Haryana (2007).</t>
        </is>
      </c>
      <c r="AE790" s="2" t="n"/>
      <c r="AF790" s="11" t="inlineStr">
        <is>
          <t>created from list 1</t>
        </is>
      </c>
    </row>
    <row r="791">
      <c r="A791" s="11" t="inlineStr">
        <is>
          <t>L1-0790</t>
        </is>
      </c>
      <c r="B791" s="11" t="inlineStr">
        <is>
          <t>List 1 (to ~2015)</t>
        </is>
      </c>
      <c r="C791" s="11" t="inlineStr">
        <is>
          <t>list1</t>
        </is>
      </c>
      <c r="D791" s="11" t="inlineStr">
        <is>
          <t>verified</t>
        </is>
      </c>
      <c r="E791" s="11" t="inlineStr">
        <is>
          <t>reversed_on_appeal</t>
        </is>
      </c>
      <c r="F791" s="2" t="inlineStr">
        <is>
          <t>Punjab National Bank v. Bareja Knipping Fasteners Ltd.</t>
        </is>
      </c>
      <c r="G791" s="11" t="inlineStr"/>
      <c r="H791" s="11" t="inlineStr">
        <is>
          <t>unknown</t>
        </is>
      </c>
      <c r="I791" s="2" t="inlineStr">
        <is>
          <t>(2006) 3 BC 25; (2005) 128 CompCas 231; (2006) 142 PLR 688</t>
        </is>
      </c>
      <c r="J791" s="11" t="n">
        <v>2005</v>
      </c>
      <c r="K791" s="2" t="inlineStr">
        <is>
          <t>Raghunath Rai Bareja and Another v. Punjab National Bank and Others</t>
        </is>
      </c>
      <c r="L791" s="11" t="inlineStr">
        <is>
          <t>Supreme Court</t>
        </is>
      </c>
      <c r="M791" s="2" t="inlineStr">
        <is>
          <t>(2007) 135 CompCas 163; (2007) 1 CompLJ 108; (2007) 5 CTC 642; (2007) 1 JT 542; (2006) 13 SCALE 511; (2007) 2 SCC 230; (2006) 10 SCR 287 Supp</t>
        </is>
      </c>
      <c r="N791" s="11" t="n">
        <v>2006</v>
      </c>
      <c r="O791" s="11" t="n"/>
      <c r="P791" s="11" t="n"/>
      <c r="Q791" s="11" t="n"/>
      <c r="R791" s="2" t="n"/>
      <c r="S791" s="2" t="n"/>
      <c r="T791" s="11" t="inlineStr">
        <is>
          <t>yes</t>
        </is>
      </c>
      <c r="U791" s="11" t="inlineStr"/>
      <c r="V791" s="11" t="inlineStr">
        <is>
          <t>outside_list</t>
        </is>
      </c>
      <c r="W791" s="11" t="n"/>
      <c r="X791" s="11" t="n"/>
      <c r="Y791" s="11" t="n"/>
      <c r="Z791" s="11" t="inlineStr">
        <is>
          <t>Mr. Advocate</t>
        </is>
      </c>
      <c r="AA791" s="11" t="inlineStr">
        <is>
          <t>2026-10-07</t>
        </is>
      </c>
      <c r="AB791" s="11" t="inlineStr">
        <is>
          <t>name_year</t>
        </is>
      </c>
      <c r="AC791" s="2" t="inlineStr"/>
      <c r="AD791" s="2" t="inlineStr">
        <is>
          <t>Punjab National Bank v. Bareja Knipping Fasteners Ltd. (2005) was reversed on appeal by the Supreme Court in Raghunath Rai Bareja and Another v. Punjab National Bank and Others (2006).</t>
        </is>
      </c>
      <c r="AE791" s="2" t="n"/>
      <c r="AF791" s="11" t="inlineStr">
        <is>
          <t>created from list 1</t>
        </is>
      </c>
    </row>
    <row r="792">
      <c r="A792" s="11" t="inlineStr">
        <is>
          <t>L1-0791</t>
        </is>
      </c>
      <c r="B792" s="11" t="inlineStr">
        <is>
          <t>List 1 (to ~2015)</t>
        </is>
      </c>
      <c r="C792" s="11" t="inlineStr">
        <is>
          <t>list1</t>
        </is>
      </c>
      <c r="D792" s="11" t="inlineStr">
        <is>
          <t>verified</t>
        </is>
      </c>
      <c r="E792" s="11" t="inlineStr">
        <is>
          <t>overruled</t>
        </is>
      </c>
      <c r="F792" s="2" t="inlineStr">
        <is>
          <t>Bimal Kaur Khalsa v. Union of India and Others</t>
        </is>
      </c>
      <c r="G792" s="11" t="inlineStr"/>
      <c r="H792" s="11" t="inlineStr">
        <is>
          <t>Punjab &amp; Haryana</t>
        </is>
      </c>
      <c r="I792" s="2" t="inlineStr">
        <is>
          <t>AIR 1988 P&amp;H 95; (1988) 1 ILR (P&amp;H) 13</t>
        </is>
      </c>
      <c r="J792" s="11" t="n">
        <v>1988</v>
      </c>
      <c r="K792" s="2" t="inlineStr">
        <is>
          <t>Kartar Singh v. State of Punjab</t>
        </is>
      </c>
      <c r="L792" s="11" t="inlineStr">
        <is>
          <t>Supreme Court</t>
        </is>
      </c>
      <c r="M792" s="2" t="inlineStr">
        <is>
          <t>AIR 1993 SC 341; AIR 1992 SC 341; (1993) CriLJ 183; (1993) 2 SCC 740 Supp</t>
        </is>
      </c>
      <c r="N792" s="11" t="n">
        <v>1993</v>
      </c>
      <c r="O792" s="11" t="n"/>
      <c r="P792" s="11" t="n"/>
      <c r="Q792" s="11" t="n"/>
      <c r="R792" s="2" t="n"/>
      <c r="S792" s="2" t="n"/>
      <c r="T792" s="11" t="inlineStr"/>
      <c r="U792" s="11" t="inlineStr"/>
      <c r="V792" s="11" t="inlineStr">
        <is>
          <t>outside_list</t>
        </is>
      </c>
      <c r="W792" s="11" t="n"/>
      <c r="X792" s="11" t="n"/>
      <c r="Y792" s="11" t="n"/>
      <c r="Z792" s="11" t="inlineStr">
        <is>
          <t>Mr. Advocate</t>
        </is>
      </c>
      <c r="AA792" s="11" t="inlineStr">
        <is>
          <t>2026-10-07</t>
        </is>
      </c>
      <c r="AB792" s="11" t="inlineStr">
        <is>
          <t>name_year</t>
        </is>
      </c>
      <c r="AC792" s="2" t="inlineStr"/>
      <c r="AD792" s="2" t="inlineStr">
        <is>
          <t>Bimal Kaur Khalsa v. Union of India and Others (1988) was overruled by Kartar Singh v. State of Punjab (1993).</t>
        </is>
      </c>
      <c r="AE792" s="2" t="n"/>
      <c r="AF792" s="11" t="inlineStr">
        <is>
          <t>created from list 1</t>
        </is>
      </c>
    </row>
    <row r="793">
      <c r="A793" s="11" t="inlineStr">
        <is>
          <t>L1-0792</t>
        </is>
      </c>
      <c r="B793" s="11" t="inlineStr">
        <is>
          <t>List 1 (to ~2015)</t>
        </is>
      </c>
      <c r="C793" s="11" t="inlineStr">
        <is>
          <t>list1</t>
        </is>
      </c>
      <c r="D793" s="11" t="inlineStr">
        <is>
          <t>verified</t>
        </is>
      </c>
      <c r="E793" s="11" t="inlineStr">
        <is>
          <t>overruled</t>
        </is>
      </c>
      <c r="F793" s="2" t="inlineStr">
        <is>
          <t>Anu Lumba v. Union of India</t>
        </is>
      </c>
      <c r="G793" s="11" t="inlineStr"/>
      <c r="H793" s="11" t="inlineStr">
        <is>
          <t>unknown</t>
        </is>
      </c>
      <c r="I793" s="2" t="inlineStr">
        <is>
          <t>(2001) 2 ILR (P&amp;H) 214</t>
        </is>
      </c>
      <c r="J793" s="11" t="n">
        <v>2001</v>
      </c>
      <c r="K793" s="2" t="inlineStr">
        <is>
          <t>Principal, Mehar Chand Polytechnic, Jalandhar City and Another v. Anu Lumba and Others</t>
        </is>
      </c>
      <c r="L793" s="11" t="inlineStr">
        <is>
          <t>Supreme Court</t>
        </is>
      </c>
      <c r="M793" s="2" t="inlineStr">
        <is>
          <t>AIR 2006 SC 3074; (2006) 111 FLR 630; (2006) 7 JT 322; (2006) 7 SCALE 648; (2006) 7 SCC 161; (2006) SCC(L&amp;S) 1580; (2006) 4 SCR 436 Supp; (2007) 2 SLJ 85; (2006) AIRSCW 4373; (2006) 6 Supreme 313</t>
        </is>
      </c>
      <c r="N793" s="11" t="n">
        <v>2006</v>
      </c>
      <c r="O793" s="11" t="n"/>
      <c r="P793" s="11" t="n"/>
      <c r="Q793" s="11" t="n"/>
      <c r="R793" s="2" t="n"/>
      <c r="S793" s="2" t="n"/>
      <c r="T793" s="11" t="inlineStr"/>
      <c r="U793" s="11" t="inlineStr"/>
      <c r="V793" s="11" t="inlineStr">
        <is>
          <t>outside_list</t>
        </is>
      </c>
      <c r="W793" s="11" t="n"/>
      <c r="X793" s="11" t="n"/>
      <c r="Y793" s="11" t="n"/>
      <c r="Z793" s="11" t="inlineStr">
        <is>
          <t>Mr. Advocate</t>
        </is>
      </c>
      <c r="AA793" s="11" t="inlineStr">
        <is>
          <t>2026-10-07</t>
        </is>
      </c>
      <c r="AB793" s="11" t="inlineStr">
        <is>
          <t>name_year</t>
        </is>
      </c>
      <c r="AC793" s="2" t="inlineStr"/>
      <c r="AD793" s="2" t="inlineStr">
        <is>
          <t>Anu Lumba v. Union of India (2001) was overruled by Principal, Mehar Chand Polytechnic, Jalandhar City and Another v. Anu Lumba and Others (2006).</t>
        </is>
      </c>
      <c r="AE793" s="2" t="n"/>
      <c r="AF793" s="11" t="inlineStr">
        <is>
          <t>created from list 1</t>
        </is>
      </c>
    </row>
    <row r="794">
      <c r="A794" s="11" t="inlineStr">
        <is>
          <t>L1-0793</t>
        </is>
      </c>
      <c r="B794" s="11" t="inlineStr">
        <is>
          <t>List 1 (to ~2015)</t>
        </is>
      </c>
      <c r="C794" s="11" t="inlineStr">
        <is>
          <t>list1</t>
        </is>
      </c>
      <c r="D794" s="11" t="inlineStr">
        <is>
          <t>verified</t>
        </is>
      </c>
      <c r="E794" s="11" t="inlineStr">
        <is>
          <t>reversed_on_appeal</t>
        </is>
      </c>
      <c r="F794" s="2" t="inlineStr">
        <is>
          <t>Commissioner of Income Tax v. Ludhiana Steel Rolling Mills</t>
        </is>
      </c>
      <c r="G794" s="11" t="inlineStr"/>
      <c r="H794" s="11" t="inlineStr">
        <is>
          <t>unknown</t>
        </is>
      </c>
      <c r="I794" s="2" t="inlineStr">
        <is>
          <t>(1990) 2 ILR (P&amp;H) 91; (1989) 180 ITR 155</t>
        </is>
      </c>
      <c r="J794" s="11" t="n">
        <v>1989</v>
      </c>
      <c r="K794" s="2" t="inlineStr">
        <is>
          <t>Commissioner of Income Tax, Haryana v. M/s. Krishna Copper Steel Rolling Mills, Jagadhri etc.</t>
        </is>
      </c>
      <c r="L794" s="11" t="inlineStr">
        <is>
          <t>Supreme Court</t>
        </is>
      </c>
      <c r="M794" s="2" t="inlineStr">
        <is>
          <t>AIR 1992 SC 422; (1991) 3 CompLJ 367; (1991) 100 CTR 114; (1992) 193 ITR 281; (1991) 4 JT 350; (1991) 2 SCALE 1014; (1992) 1 SCC 732 Supp; (1991) 2 SCR 187 Supp; (1992) 60 TAXMAN 93</t>
        </is>
      </c>
      <c r="N794" s="11" t="n">
        <v>1992</v>
      </c>
      <c r="O794" s="11" t="n"/>
      <c r="P794" s="11" t="n"/>
      <c r="Q794" s="11" t="n"/>
      <c r="R794" s="2" t="n"/>
      <c r="S794" s="2" t="n"/>
      <c r="T794" s="11" t="inlineStr">
        <is>
          <t>yes</t>
        </is>
      </c>
      <c r="U794" s="11" t="inlineStr"/>
      <c r="V794" s="11" t="inlineStr">
        <is>
          <t>outside_list</t>
        </is>
      </c>
      <c r="W794" s="11" t="n"/>
      <c r="X794" s="11" t="n"/>
      <c r="Y794" s="11" t="n"/>
      <c r="Z794" s="11" t="inlineStr">
        <is>
          <t>Mr. Advocate</t>
        </is>
      </c>
      <c r="AA794" s="11" t="inlineStr">
        <is>
          <t>2026-10-07</t>
        </is>
      </c>
      <c r="AB794" s="11" t="inlineStr">
        <is>
          <t>name_year</t>
        </is>
      </c>
      <c r="AC794" s="2" t="inlineStr"/>
      <c r="AD794" s="2" t="inlineStr">
        <is>
          <t>Commissioner of Income Tax v. Ludhiana Steel Rolling Mills (1989) was reversed on appeal by the Supreme Court in Commissioner of Income Tax, Haryana v. M/s. Krishna Copper Steel Rolling Mills, Jagadhri etc. (1992).</t>
        </is>
      </c>
      <c r="AE794" s="2" t="n"/>
      <c r="AF794" s="11" t="inlineStr">
        <is>
          <t>created from list 1</t>
        </is>
      </c>
    </row>
    <row r="795">
      <c r="A795" s="11" t="inlineStr">
        <is>
          <t>L1-0794</t>
        </is>
      </c>
      <c r="B795" s="11" t="inlineStr">
        <is>
          <t>List 1 (to ~2015)</t>
        </is>
      </c>
      <c r="C795" s="11" t="inlineStr">
        <is>
          <t>list1</t>
        </is>
      </c>
      <c r="D795" s="11" t="inlineStr">
        <is>
          <t>verified</t>
        </is>
      </c>
      <c r="E795" s="11" t="inlineStr">
        <is>
          <t>overruled</t>
        </is>
      </c>
      <c r="F795" s="2" t="inlineStr">
        <is>
          <t>Rajendra Nath Chandra and Another v. Dinu Prodhan and Others</t>
        </is>
      </c>
      <c r="G795" s="11" t="inlineStr"/>
      <c r="H795" s="11" t="inlineStr">
        <is>
          <t>Calcutta</t>
        </is>
      </c>
      <c r="I795" s="2" t="inlineStr">
        <is>
          <t>AIR 1930 Cal 738</t>
        </is>
      </c>
      <c r="J795" s="11" t="n">
        <v>1930</v>
      </c>
      <c r="K795" s="2" t="inlineStr">
        <is>
          <t>Harihar Prasad Singh and Another v. Must. of Munshi Nath Prasad and Others</t>
        </is>
      </c>
      <c r="L795" s="11" t="inlineStr">
        <is>
          <t>Supreme Court</t>
        </is>
      </c>
      <c r="M795" s="2" t="inlineStr">
        <is>
          <t>(1956) 1 SCR 1</t>
        </is>
      </c>
      <c r="N795" s="11" t="n">
        <v>1956</v>
      </c>
      <c r="O795" s="11" t="n"/>
      <c r="P795" s="11" t="n"/>
      <c r="Q795" s="11" t="n"/>
      <c r="R795" s="2" t="n"/>
      <c r="S795" s="2" t="n"/>
      <c r="T795" s="11" t="inlineStr"/>
      <c r="U795" s="11" t="inlineStr"/>
      <c r="V795" s="11" t="inlineStr">
        <is>
          <t>outside_list</t>
        </is>
      </c>
      <c r="W795" s="11" t="n"/>
      <c r="X795" s="11" t="n"/>
      <c r="Y795" s="11" t="n"/>
      <c r="Z795" s="11" t="inlineStr">
        <is>
          <t>Mr. Advocate</t>
        </is>
      </c>
      <c r="AA795" s="11" t="inlineStr">
        <is>
          <t>2026-10-07</t>
        </is>
      </c>
      <c r="AB795" s="11" t="inlineStr">
        <is>
          <t>name_year</t>
        </is>
      </c>
      <c r="AC795" s="2" t="inlineStr"/>
      <c r="AD795" s="2" t="inlineStr">
        <is>
          <t>Rajendra Nath Chandra and Another v. Dinu Prodhan and Others (1930) was overruled by Harihar Prasad Singh and Another v. Must. of Munshi Nath Prasad and Others (1956).</t>
        </is>
      </c>
      <c r="AE795" s="2" t="n"/>
      <c r="AF795" s="11" t="inlineStr">
        <is>
          <t>created from list 1</t>
        </is>
      </c>
    </row>
    <row r="796">
      <c r="A796" s="11" t="inlineStr">
        <is>
          <t>L1-0795</t>
        </is>
      </c>
      <c r="B796" s="11" t="inlineStr">
        <is>
          <t>List 1 (to ~2015)</t>
        </is>
      </c>
      <c r="C796" s="11" t="inlineStr">
        <is>
          <t>list1</t>
        </is>
      </c>
      <c r="D796" s="11" t="inlineStr">
        <is>
          <t>verified</t>
        </is>
      </c>
      <c r="E796" s="11" t="inlineStr">
        <is>
          <t>reversed_on_appeal</t>
        </is>
      </c>
      <c r="F796" s="2" t="inlineStr">
        <is>
          <t>Hindsons (P.) Ltd. v. The State of Punjab</t>
        </is>
      </c>
      <c r="G796" s="11" t="inlineStr"/>
      <c r="H796" s="11" t="inlineStr">
        <is>
          <t>unknown</t>
        </is>
      </c>
      <c r="I796" s="2" t="inlineStr">
        <is>
          <t>(1982) 49 STC 136</t>
        </is>
      </c>
      <c r="J796" s="11" t="n">
        <v>1982</v>
      </c>
      <c r="K796" s="2" t="inlineStr">
        <is>
          <t>State of Punjab v. Hindsons (P) Ltd.</t>
        </is>
      </c>
      <c r="L796" s="11" t="inlineStr">
        <is>
          <t>Supreme Court</t>
        </is>
      </c>
      <c r="M796" s="2" t="inlineStr">
        <is>
          <t>AIR 1984 SC 1803; (1985) 19 ELT 19; (1984) 2 SCALE 399; (1984) 1 SCC 415 Supp; (1984) SCC 415 Supp; (1985) 1 SCR 771; (1985) 58 STC 20; (1985) 17 UJ 126</t>
        </is>
      </c>
      <c r="N796" s="11" t="n">
        <v>1984</v>
      </c>
      <c r="O796" s="11" t="n"/>
      <c r="P796" s="11" t="n"/>
      <c r="Q796" s="11" t="n"/>
      <c r="R796" s="2" t="n"/>
      <c r="S796" s="2" t="n"/>
      <c r="T796" s="11" t="inlineStr">
        <is>
          <t>yes</t>
        </is>
      </c>
      <c r="U796" s="11" t="inlineStr">
        <is>
          <t>needs_citation_or_year</t>
        </is>
      </c>
      <c r="V796" s="11" t="inlineStr">
        <is>
          <t>outside_list</t>
        </is>
      </c>
      <c r="W796" s="11" t="n"/>
      <c r="X796" s="11" t="n"/>
      <c r="Y796" s="11" t="n"/>
      <c r="Z796" s="11" t="inlineStr">
        <is>
          <t>Mr. Advocate</t>
        </is>
      </c>
      <c r="AA796" s="11" t="inlineStr">
        <is>
          <t>2026-10-07</t>
        </is>
      </c>
      <c r="AB796" s="11" t="inlineStr">
        <is>
          <t>none</t>
        </is>
      </c>
      <c r="AC796" s="2" t="inlineStr"/>
      <c r="AD796" s="2" t="inlineStr">
        <is>
          <t>Hindsons (P.) Ltd. v. The State of Punjab (1982) was reversed on appeal by the Supreme Court in State of Punjab v. Hindsons (P) Ltd. (1984).</t>
        </is>
      </c>
      <c r="AE796" s="2" t="n"/>
      <c r="AF796" s="11" t="inlineStr">
        <is>
          <t>created from list 1</t>
        </is>
      </c>
    </row>
    <row r="797">
      <c r="A797" s="11" t="inlineStr">
        <is>
          <t>L1-0796</t>
        </is>
      </c>
      <c r="B797" s="11" t="inlineStr">
        <is>
          <t>List 1 (to ~2015)</t>
        </is>
      </c>
      <c r="C797" s="11" t="inlineStr">
        <is>
          <t>list1</t>
        </is>
      </c>
      <c r="D797" s="11" t="inlineStr">
        <is>
          <t>verified</t>
        </is>
      </c>
      <c r="E797" s="11" t="inlineStr">
        <is>
          <t>reversed_on_appeal</t>
        </is>
      </c>
      <c r="F797" s="2" t="inlineStr">
        <is>
          <t>Manoj Kumar v. State of Haryana and Others</t>
        </is>
      </c>
      <c r="G797" s="11" t="inlineStr"/>
      <c r="H797" s="11" t="inlineStr">
        <is>
          <t>unknown</t>
        </is>
      </c>
      <c r="I797" s="2" t="inlineStr">
        <is>
          <t>(2008) 2 PLR 84; (2009) 106 RD 281; (2009) 1 SLR 420</t>
        </is>
      </c>
      <c r="J797" s="11" t="n">
        <v>2008</v>
      </c>
      <c r="K797" s="2" t="inlineStr">
        <is>
          <t>State of Haryana and Others v. Manoj Kumar</t>
        </is>
      </c>
      <c r="L797" s="11" t="inlineStr">
        <is>
          <t>Supreme Court</t>
        </is>
      </c>
      <c r="M797" s="2" t="inlineStr">
        <is>
          <t>AIR 2010 SC 1779; (2010) 2 JT 577; (2010) 2 SCALE 783; (2010) 4 SCC 350; (2010) 4 SCR 175; (2010) 3 UJ 1386</t>
        </is>
      </c>
      <c r="N797" s="11" t="n">
        <v>2010</v>
      </c>
      <c r="O797" s="11" t="n"/>
      <c r="P797" s="11" t="n"/>
      <c r="Q797" s="11" t="n"/>
      <c r="R797" s="2" t="n"/>
      <c r="S797" s="2" t="n"/>
      <c r="T797" s="11" t="inlineStr">
        <is>
          <t>yes</t>
        </is>
      </c>
      <c r="U797" s="11" t="inlineStr"/>
      <c r="V797" s="11" t="inlineStr">
        <is>
          <t>outside_list</t>
        </is>
      </c>
      <c r="W797" s="11" t="n"/>
      <c r="X797" s="11" t="n"/>
      <c r="Y797" s="11" t="n"/>
      <c r="Z797" s="11" t="inlineStr">
        <is>
          <t>Mr. Advocate</t>
        </is>
      </c>
      <c r="AA797" s="11" t="inlineStr">
        <is>
          <t>2026-10-07</t>
        </is>
      </c>
      <c r="AB797" s="11" t="inlineStr">
        <is>
          <t>name_year</t>
        </is>
      </c>
      <c r="AC797" s="2" t="inlineStr"/>
      <c r="AD797" s="2" t="inlineStr">
        <is>
          <t>Manoj Kumar v. State of Haryana and Others (2008) was reversed on appeal by the Supreme Court in State of Haryana and Others v. Manoj Kumar (2010).</t>
        </is>
      </c>
      <c r="AE797" s="2" t="n"/>
      <c r="AF797" s="11" t="inlineStr">
        <is>
          <t>created from list 1</t>
        </is>
      </c>
    </row>
    <row r="798">
      <c r="A798" s="11" t="inlineStr">
        <is>
          <t>L1-0797</t>
        </is>
      </c>
      <c r="B798" s="11" t="inlineStr">
        <is>
          <t>List 1 (to ~2015)</t>
        </is>
      </c>
      <c r="C798" s="11" t="inlineStr">
        <is>
          <t>list1</t>
        </is>
      </c>
      <c r="D798" s="11" t="inlineStr">
        <is>
          <t>verified</t>
        </is>
      </c>
      <c r="E798" s="11" t="inlineStr">
        <is>
          <t>reversed_on_appeal</t>
        </is>
      </c>
      <c r="F798" s="2" t="inlineStr">
        <is>
          <t>Commissioner of Income Tax v. Arun Spinning Mills</t>
        </is>
      </c>
      <c r="G798" s="11" t="inlineStr"/>
      <c r="H798" s="11" t="inlineStr">
        <is>
          <t>unknown</t>
        </is>
      </c>
      <c r="I798" s="2" t="inlineStr">
        <is>
          <t>(1981) 21 CTR 128; (1982) 133 ITR 382</t>
        </is>
      </c>
      <c r="J798" s="11" t="n">
        <v>1981</v>
      </c>
      <c r="K798" s="2" t="inlineStr">
        <is>
          <t>Commissioner of Income Tax, Gujarat v. Arvind Mills Ltd.</t>
        </is>
      </c>
      <c r="L798" s="11" t="inlineStr">
        <is>
          <t>Supreme Court</t>
        </is>
      </c>
      <c r="M798" s="2" t="inlineStr">
        <is>
          <t>AIR 1992 SC 718; (1992) 101 CTR 91; (1992) 193 ITR 255; (1991) 5 JT 341; (1991) 2 SCALE 1320; (1992) 2 SCC 190 Supp; (1991) 3 SCR 303 Supp; (1992) 60 TAXMAN 192</t>
        </is>
      </c>
      <c r="N798" s="11" t="n">
        <v>1992</v>
      </c>
      <c r="O798" s="11" t="n"/>
      <c r="P798" s="11" t="n"/>
      <c r="Q798" s="11" t="n"/>
      <c r="R798" s="2" t="n"/>
      <c r="S798" s="2" t="n"/>
      <c r="T798" s="11" t="inlineStr">
        <is>
          <t>yes</t>
        </is>
      </c>
      <c r="U798" s="11" t="inlineStr"/>
      <c r="V798" s="11" t="inlineStr">
        <is>
          <t>outside_list</t>
        </is>
      </c>
      <c r="W798" s="11" t="n"/>
      <c r="X798" s="11" t="n"/>
      <c r="Y798" s="11" t="n"/>
      <c r="Z798" s="11" t="inlineStr">
        <is>
          <t>Mr. Advocate</t>
        </is>
      </c>
      <c r="AA798" s="11" t="inlineStr">
        <is>
          <t>2026-10-07</t>
        </is>
      </c>
      <c r="AB798" s="11" t="inlineStr">
        <is>
          <t>name_year</t>
        </is>
      </c>
      <c r="AC798" s="2" t="inlineStr"/>
      <c r="AD798" s="2" t="inlineStr">
        <is>
          <t>Commissioner of Income Tax v. Arun Spinning Mills (1981) was reversed on appeal by the Supreme Court in Commissioner of Income Tax, Gujarat v. Arvind Mills Ltd. (1992).</t>
        </is>
      </c>
      <c r="AE798" s="2" t="n"/>
      <c r="AF798" s="11" t="inlineStr">
        <is>
          <t>created from list 1</t>
        </is>
      </c>
    </row>
    <row r="799">
      <c r="A799" s="11" t="inlineStr">
        <is>
          <t>L1-0798</t>
        </is>
      </c>
      <c r="B799" s="11" t="inlineStr">
        <is>
          <t>List 1 (to ~2015)</t>
        </is>
      </c>
      <c r="C799" s="11" t="inlineStr">
        <is>
          <t>list1</t>
        </is>
      </c>
      <c r="D799" s="11" t="inlineStr">
        <is>
          <t>verified</t>
        </is>
      </c>
      <c r="E799" s="11" t="inlineStr">
        <is>
          <t>reversed_on_appeal</t>
        </is>
      </c>
      <c r="F799" s="2" t="inlineStr">
        <is>
          <t>Ashok and Others v. Ganeshi and Others</t>
        </is>
      </c>
      <c r="G799" s="11" t="inlineStr"/>
      <c r="H799" s="11" t="inlineStr">
        <is>
          <t>unknown</t>
        </is>
      </c>
      <c r="I799" s="2" t="inlineStr">
        <is>
          <t>(2005) 140 PLR 792</t>
        </is>
      </c>
      <c r="J799" s="11" t="n">
        <v>2005</v>
      </c>
      <c r="K799" s="2" t="inlineStr">
        <is>
          <t>Ganeshi (D) through L.Rs. and Others v. Ashok and Another</t>
        </is>
      </c>
      <c r="L799" s="11" t="inlineStr">
        <is>
          <t>Supreme Court</t>
        </is>
      </c>
      <c r="M799" s="2" t="inlineStr">
        <is>
          <t>AIR 2011 SC 1340; (2011) 4 JT 209; (2011) 164 PLR 636; (2011) 2 RCR(Civil) 892; (2011) 4 SCALE 226; (2011) 4 SCR 215</t>
        </is>
      </c>
      <c r="N799" s="11" t="n">
        <v>2011</v>
      </c>
      <c r="O799" s="11" t="n"/>
      <c r="P799" s="11" t="n"/>
      <c r="Q799" s="11" t="n"/>
      <c r="R799" s="2" t="n"/>
      <c r="S799" s="2" t="n"/>
      <c r="T799" s="11" t="inlineStr">
        <is>
          <t>yes</t>
        </is>
      </c>
      <c r="U799" s="11" t="inlineStr"/>
      <c r="V799" s="11" t="inlineStr">
        <is>
          <t>outside_list</t>
        </is>
      </c>
      <c r="W799" s="11" t="n"/>
      <c r="X799" s="11" t="n"/>
      <c r="Y799" s="11" t="n"/>
      <c r="Z799" s="11" t="inlineStr">
        <is>
          <t>Mr. Advocate</t>
        </is>
      </c>
      <c r="AA799" s="11" t="inlineStr">
        <is>
          <t>2026-10-07</t>
        </is>
      </c>
      <c r="AB799" s="11" t="inlineStr">
        <is>
          <t>name_year</t>
        </is>
      </c>
      <c r="AC799" s="2" t="inlineStr"/>
      <c r="AD799" s="2" t="inlineStr">
        <is>
          <t>Ashok and Others v. Ganeshi and Others (2005) was reversed on appeal by the Supreme Court in Ganeshi (D) through L.Rs. and Others v. Ashok and Another (2011).</t>
        </is>
      </c>
      <c r="AE799" s="2" t="n"/>
      <c r="AF799" s="11" t="inlineStr">
        <is>
          <t>created from list 1</t>
        </is>
      </c>
    </row>
    <row r="800">
      <c r="A800" s="11" t="inlineStr">
        <is>
          <t>L1-0799</t>
        </is>
      </c>
      <c r="B800" s="11" t="inlineStr">
        <is>
          <t>List 1 (to ~2015)</t>
        </is>
      </c>
      <c r="C800" s="11" t="inlineStr">
        <is>
          <t>list1</t>
        </is>
      </c>
      <c r="D800" s="11" t="inlineStr">
        <is>
          <t>verified</t>
        </is>
      </c>
      <c r="E800" s="11" t="inlineStr">
        <is>
          <t>reversed_on_appeal</t>
        </is>
      </c>
      <c r="F800" s="2" t="inlineStr">
        <is>
          <t>Kelvinator of India Limited v. The State of Haryana</t>
        </is>
      </c>
      <c r="G800" s="11" t="inlineStr"/>
      <c r="H800" s="11" t="inlineStr">
        <is>
          <t>unknown</t>
        </is>
      </c>
      <c r="I800" s="2" t="inlineStr">
        <is>
          <t>(1973) 32 STC 283</t>
        </is>
      </c>
      <c r="J800" s="11" t="n">
        <v>1973</v>
      </c>
      <c r="K800" s="2" t="inlineStr">
        <is>
          <t>Kelvinator of India Ltd. v. The State of Haryana</t>
        </is>
      </c>
      <c r="L800" s="11" t="inlineStr">
        <is>
          <t>Supreme Court</t>
        </is>
      </c>
      <c r="M800" s="2" t="inlineStr">
        <is>
          <t>AIR 1973 SC 2526; (1973) 2 SCC 551; (1974) 1 SCR 463; (1973) 32 STC 629</t>
        </is>
      </c>
      <c r="N800" s="11" t="n">
        <v>1973</v>
      </c>
      <c r="O800" s="11" t="n"/>
      <c r="P800" s="11" t="n"/>
      <c r="Q800" s="11" t="n"/>
      <c r="R800" s="2" t="n"/>
      <c r="S800" s="2" t="n"/>
      <c r="T800" s="11" t="inlineStr">
        <is>
          <t>yes</t>
        </is>
      </c>
      <c r="U800" s="11" t="inlineStr"/>
      <c r="V800" s="11" t="inlineStr">
        <is>
          <t>outside_list</t>
        </is>
      </c>
      <c r="W800" s="11" t="n"/>
      <c r="X800" s="11" t="n"/>
      <c r="Y800" s="11" t="n"/>
      <c r="Z800" s="11" t="inlineStr">
        <is>
          <t>Mr. Advocate</t>
        </is>
      </c>
      <c r="AA800" s="11" t="inlineStr">
        <is>
          <t>2026-10-07</t>
        </is>
      </c>
      <c r="AB800" s="11" t="inlineStr">
        <is>
          <t>name_year</t>
        </is>
      </c>
      <c r="AC800" s="2" t="inlineStr"/>
      <c r="AD800" s="2" t="inlineStr">
        <is>
          <t>Kelvinator of India Limited v. The State of Haryana (1973) was reversed on appeal by the Supreme Court in Kelvinator of India Ltd. v. The State of Haryana (1973).</t>
        </is>
      </c>
      <c r="AE800" s="2" t="n"/>
      <c r="AF800" s="11" t="inlineStr">
        <is>
          <t>created from list 1</t>
        </is>
      </c>
    </row>
    <row r="801">
      <c r="A801" s="11" t="inlineStr">
        <is>
          <t>L1-0800</t>
        </is>
      </c>
      <c r="B801" s="11" t="inlineStr">
        <is>
          <t>List 1 (to ~2015)</t>
        </is>
      </c>
      <c r="C801" s="11" t="inlineStr">
        <is>
          <t>list1</t>
        </is>
      </c>
      <c r="D801" s="11" t="inlineStr">
        <is>
          <t>verified</t>
        </is>
      </c>
      <c r="E801" s="11" t="inlineStr">
        <is>
          <t>overruled</t>
        </is>
      </c>
      <c r="F801" s="2" t="inlineStr">
        <is>
          <t>Amar Kaur v. Raman Kumari and Others</t>
        </is>
      </c>
      <c r="G801" s="11" t="inlineStr"/>
      <c r="H801" s="11" t="inlineStr">
        <is>
          <t>Punjab &amp; Haryana</t>
        </is>
      </c>
      <c r="I801" s="2" t="inlineStr">
        <is>
          <t>AIR 1985 P&amp;H 86</t>
        </is>
      </c>
      <c r="J801" s="11" t="n">
        <v>1985</v>
      </c>
      <c r="K801" s="2" t="inlineStr">
        <is>
          <t>Bhagat Ram (D) by Lrs. v. Teja Singh (D) by Lrs.</t>
        </is>
      </c>
      <c r="L801" s="11" t="inlineStr">
        <is>
          <t>Supreme Court</t>
        </is>
      </c>
      <c r="M801" s="2" t="inlineStr">
        <is>
          <t>AIR 2002 SC 1; (2001) 252 ITR 324; (2001) 10 JT 270; (2001) 8 SCALE 93; (2002) 1 SCC 210; (2001) AIRSCW 4507; (2001) 8 Supreme 130</t>
        </is>
      </c>
      <c r="N801" s="11" t="n">
        <v>2002</v>
      </c>
      <c r="O801" s="11" t="n"/>
      <c r="P801" s="11" t="n"/>
      <c r="Q801" s="11" t="n"/>
      <c r="R801" s="2" t="n"/>
      <c r="S801" s="2" t="n"/>
      <c r="T801" s="11" t="inlineStr"/>
      <c r="U801" s="11" t="inlineStr"/>
      <c r="V801" s="11" t="inlineStr">
        <is>
          <t>outside_list</t>
        </is>
      </c>
      <c r="W801" s="11" t="n"/>
      <c r="X801" s="11" t="n"/>
      <c r="Y801" s="11" t="n"/>
      <c r="Z801" s="11" t="inlineStr">
        <is>
          <t>Mr. Advocate</t>
        </is>
      </c>
      <c r="AA801" s="11" t="inlineStr">
        <is>
          <t>2026-10-07</t>
        </is>
      </c>
      <c r="AB801" s="11" t="inlineStr">
        <is>
          <t>name_year</t>
        </is>
      </c>
      <c r="AC801" s="2" t="inlineStr"/>
      <c r="AD801" s="2" t="inlineStr">
        <is>
          <t>Amar Kaur v. Raman Kumari and Others (1985) was overruled by Bhagat Ram (D) by Lrs. v. Teja Singh (D) by Lrs. (2002).</t>
        </is>
      </c>
      <c r="AE801" s="2" t="n"/>
      <c r="AF801" s="11" t="inlineStr">
        <is>
          <t>created from list 1</t>
        </is>
      </c>
    </row>
    <row r="802">
      <c r="A802" s="11" t="inlineStr">
        <is>
          <t>L1-0801</t>
        </is>
      </c>
      <c r="B802" s="11" t="inlineStr">
        <is>
          <t>List 1 (to ~2015)</t>
        </is>
      </c>
      <c r="C802" s="11" t="inlineStr">
        <is>
          <t>list1</t>
        </is>
      </c>
      <c r="D802" s="11" t="inlineStr">
        <is>
          <t>verified</t>
        </is>
      </c>
      <c r="E802" s="11" t="inlineStr">
        <is>
          <t>overruled</t>
        </is>
      </c>
      <c r="F802" s="2" t="inlineStr">
        <is>
          <t>Commissioner of Income Tax v. Patiala Flour Mills Co. P. Ltd.</t>
        </is>
      </c>
      <c r="G802" s="11" t="inlineStr"/>
      <c r="H802" s="11" t="inlineStr">
        <is>
          <t>unknown</t>
        </is>
      </c>
      <c r="I802" s="2" t="inlineStr">
        <is>
          <t>(1980) 14 CTR 102; (1981) 127 ITR 301</t>
        </is>
      </c>
      <c r="J802" s="11" t="n">
        <v>1980</v>
      </c>
      <c r="K802" s="2" t="inlineStr">
        <is>
          <t>Mettur Chemical and Industrial Corporation Limited v. Commissioner of Income Tax, Madras-1</t>
        </is>
      </c>
      <c r="L802" s="11" t="inlineStr">
        <is>
          <t>Supreme Court</t>
        </is>
      </c>
      <c r="M802" s="2" t="inlineStr">
        <is>
          <t>(1996) 132 CTR 389; (1996) 217 ITR 768; (1995) 6 SCALE 468; (1995) 4 SCC 732 Supp; (1995) 4 SCC 732</t>
        </is>
      </c>
      <c r="N802" s="11" t="n">
        <v>1995</v>
      </c>
      <c r="O802" s="11" t="n"/>
      <c r="P802" s="11" t="n"/>
      <c r="Q802" s="11" t="n"/>
      <c r="R802" s="2" t="n"/>
      <c r="S802" s="2" t="n"/>
      <c r="T802" s="11" t="inlineStr"/>
      <c r="U802" s="11" t="inlineStr"/>
      <c r="V802" s="11" t="inlineStr">
        <is>
          <t>outside_list</t>
        </is>
      </c>
      <c r="W802" s="11" t="n"/>
      <c r="X802" s="11" t="n"/>
      <c r="Y802" s="11" t="n"/>
      <c r="Z802" s="11" t="inlineStr">
        <is>
          <t>Mr. Advocate</t>
        </is>
      </c>
      <c r="AA802" s="11" t="inlineStr">
        <is>
          <t>2026-10-07</t>
        </is>
      </c>
      <c r="AB802" s="11" t="inlineStr">
        <is>
          <t>name_year</t>
        </is>
      </c>
      <c r="AC802" s="2" t="inlineStr"/>
      <c r="AD802" s="2" t="inlineStr">
        <is>
          <t>Commissioner of Income Tax v. Patiala Flour Mills Co. P. Ltd. (1980) was overruled by Mettur Chemical and Industrial Corporation Limited v. Commissioner of Income Tax, Madras-1 (1995).</t>
        </is>
      </c>
      <c r="AE802" s="2" t="n"/>
      <c r="AF802" s="11" t="inlineStr">
        <is>
          <t>created from list 1</t>
        </is>
      </c>
    </row>
    <row r="803">
      <c r="A803" s="11" t="inlineStr">
        <is>
          <t>L1-0802</t>
        </is>
      </c>
      <c r="B803" s="11" t="inlineStr">
        <is>
          <t>List 1 (to ~2015)</t>
        </is>
      </c>
      <c r="C803" s="11" t="inlineStr">
        <is>
          <t>list1</t>
        </is>
      </c>
      <c r="D803" s="11" t="inlineStr">
        <is>
          <t>verified</t>
        </is>
      </c>
      <c r="E803" s="11" t="inlineStr">
        <is>
          <t>reversed_on_appeal</t>
        </is>
      </c>
      <c r="F803" s="2" t="inlineStr">
        <is>
          <t>Tuhi Ram Sharma v. Prithvi Singh and Another</t>
        </is>
      </c>
      <c r="G803" s="11" t="inlineStr"/>
      <c r="H803" s="11" t="inlineStr">
        <is>
          <t>Punjab &amp; Haryana</t>
        </is>
      </c>
      <c r="I803" s="2" t="inlineStr">
        <is>
          <t>AIR 1971 P&amp;H 297; (1971) 1 ILR (P&amp;H) 353</t>
        </is>
      </c>
      <c r="J803" s="11" t="n">
        <v>1971</v>
      </c>
      <c r="K803" s="2" t="inlineStr">
        <is>
          <t>T.R. Sharma v. Prithvi Singh and Others</t>
        </is>
      </c>
      <c r="L803" s="11" t="inlineStr">
        <is>
          <t>Supreme Court</t>
        </is>
      </c>
      <c r="M803" s="2" t="inlineStr">
        <is>
          <t>AIR 1976 SC 367; (1976) LabIC 294; (1976) 1 SCC 226; (1976) 2 SCR 716; (1976) 8 UJ 11</t>
        </is>
      </c>
      <c r="N803" s="11" t="n">
        <v>1976</v>
      </c>
      <c r="O803" s="11" t="n"/>
      <c r="P803" s="11" t="n"/>
      <c r="Q803" s="11" t="n"/>
      <c r="R803" s="2" t="n"/>
      <c r="S803" s="2" t="n"/>
      <c r="T803" s="11" t="inlineStr">
        <is>
          <t>yes</t>
        </is>
      </c>
      <c r="U803" s="11" t="inlineStr"/>
      <c r="V803" s="11" t="inlineStr">
        <is>
          <t>outside_list</t>
        </is>
      </c>
      <c r="W803" s="11" t="n"/>
      <c r="X803" s="11" t="n"/>
      <c r="Y803" s="11" t="n"/>
      <c r="Z803" s="11" t="inlineStr">
        <is>
          <t>Mr. Advocate</t>
        </is>
      </c>
      <c r="AA803" s="11" t="inlineStr">
        <is>
          <t>2026-10-07</t>
        </is>
      </c>
      <c r="AB803" s="11" t="inlineStr">
        <is>
          <t>name_year</t>
        </is>
      </c>
      <c r="AC803" s="2" t="inlineStr"/>
      <c r="AD803" s="2" t="inlineStr">
        <is>
          <t>Tuhi Ram Sharma v. Prithvi Singh and Another (1971) was reversed on appeal by the Supreme Court in T.R. Sharma v. Prithvi Singh and Others (1976).</t>
        </is>
      </c>
      <c r="AE803" s="2" t="n"/>
      <c r="AF803" s="11" t="inlineStr">
        <is>
          <t>created from list 1</t>
        </is>
      </c>
    </row>
    <row r="804">
      <c r="A804" s="11" t="inlineStr">
        <is>
          <t>L1-0803</t>
        </is>
      </c>
      <c r="B804" s="11" t="inlineStr">
        <is>
          <t>List 1 (to ~2015)</t>
        </is>
      </c>
      <c r="C804" s="11" t="inlineStr">
        <is>
          <t>list1</t>
        </is>
      </c>
      <c r="D804" s="11" t="inlineStr">
        <is>
          <t>verified</t>
        </is>
      </c>
      <c r="E804" s="11" t="inlineStr">
        <is>
          <t>overruled</t>
        </is>
      </c>
      <c r="F804" s="2" t="inlineStr">
        <is>
          <t>Union of India (UOI) and Another v. State of Haryana and Another</t>
        </is>
      </c>
      <c r="G804" s="11" t="inlineStr"/>
      <c r="H804" s="11" t="inlineStr">
        <is>
          <t>unknown</t>
        </is>
      </c>
      <c r="I804" s="2" t="inlineStr">
        <is>
          <t>(2001) 123 STC 539</t>
        </is>
      </c>
      <c r="J804" s="11" t="n">
        <v>2001</v>
      </c>
      <c r="K804" s="2" t="inlineStr">
        <is>
          <t>State of Uttar Pradesh and Another v. Union of India (UOI) and Another</t>
        </is>
      </c>
      <c r="L804" s="11" t="inlineStr">
        <is>
          <t>Supreme Court</t>
        </is>
      </c>
      <c r="M804" s="2" t="inlineStr">
        <is>
          <t>AIR 2003 SC 1147; (2006) 4 CompLJ 309; (2004) 190 CTR 569; (2004) 170 ELT 385; (2003) 1 JT 574; (2003) 1 SCALE 615; (2003) 3 SCC 239; (2003) 1 SCR 785; (2003) 130 STC 1; (2006) 3 STR 98; (2003) AIRSCW 695; (2003) 1 Supreme 819</t>
        </is>
      </c>
      <c r="N804" s="11" t="n">
        <v>2003</v>
      </c>
      <c r="O804" s="11" t="n"/>
      <c r="P804" s="11" t="n"/>
      <c r="Q804" s="11" t="n"/>
      <c r="R804" s="2" t="n"/>
      <c r="S804" s="2" t="n"/>
      <c r="T804" s="11" t="inlineStr"/>
      <c r="U804" s="11" t="inlineStr">
        <is>
          <t>needs_citation_or_year</t>
        </is>
      </c>
      <c r="V804" s="11" t="inlineStr">
        <is>
          <t>outside_list</t>
        </is>
      </c>
      <c r="W804" s="11" t="n"/>
      <c r="X804" s="11" t="n"/>
      <c r="Y804" s="11" t="n"/>
      <c r="Z804" s="11" t="inlineStr">
        <is>
          <t>Mr. Advocate</t>
        </is>
      </c>
      <c r="AA804" s="11" t="inlineStr">
        <is>
          <t>2026-10-07</t>
        </is>
      </c>
      <c r="AB804" s="11" t="inlineStr">
        <is>
          <t>none</t>
        </is>
      </c>
      <c r="AC804" s="2" t="inlineStr"/>
      <c r="AD804" s="2" t="inlineStr">
        <is>
          <t>Union of India (UOI) and Another v. State of Haryana and Another (2001) was overruled by State of Uttar Pradesh and Another v. Union of India (UOI) and Another (2003).</t>
        </is>
      </c>
      <c r="AE804" s="2" t="n"/>
      <c r="AF804" s="11" t="inlineStr">
        <is>
          <t>created from list 1</t>
        </is>
      </c>
    </row>
    <row r="805">
      <c r="A805" s="11" t="inlineStr">
        <is>
          <t>L1-0804</t>
        </is>
      </c>
      <c r="B805" s="11" t="inlineStr">
        <is>
          <t>List 1 (to ~2015)</t>
        </is>
      </c>
      <c r="C805" s="11" t="inlineStr">
        <is>
          <t>list1</t>
        </is>
      </c>
      <c r="D805" s="11" t="inlineStr">
        <is>
          <t>verified</t>
        </is>
      </c>
      <c r="E805" s="11" t="inlineStr">
        <is>
          <t>overruled</t>
        </is>
      </c>
      <c r="F805" s="2" t="inlineStr">
        <is>
          <t>Goodlass Nerolac Paints (Private), Ltd. v. Chief Commissioner and Others</t>
        </is>
      </c>
      <c r="G805" s="11" t="inlineStr"/>
      <c r="H805" s="11" t="inlineStr">
        <is>
          <t>unknown</t>
        </is>
      </c>
      <c r="I805" s="2" t="inlineStr">
        <is>
          <t>(1967) 1 LLJ 545</t>
        </is>
      </c>
      <c r="J805" s="11" t="n">
        <v>1967</v>
      </c>
      <c r="K805" s="2" t="inlineStr">
        <is>
          <t>Punjab Land Development and Reclamation Corporation Ltd., Chandigarh v. Presiding Officer, Labour Court, Chandigarh and Others</t>
        </is>
      </c>
      <c r="L805" s="11" t="inlineStr">
        <is>
          <t>Supreme Court</t>
        </is>
      </c>
      <c r="M805" s="2" t="inlineStr">
        <is>
          <t>(1991) 61 FLR 73; (1990) 2 JT 490; (1990) 2 LLJ 70; (1990) 1 SCALE 878; (1990) 3 SCC 682; (1990) 3 SCR 111; (1990) 2 UJ 293</t>
        </is>
      </c>
      <c r="N805" s="11" t="n">
        <v>1990</v>
      </c>
      <c r="O805" s="11" t="n"/>
      <c r="P805" s="11" t="n"/>
      <c r="Q805" s="11" t="n"/>
      <c r="R805" s="2" t="n"/>
      <c r="S805" s="2" t="n"/>
      <c r="T805" s="11" t="inlineStr"/>
      <c r="U805" s="11" t="inlineStr"/>
      <c r="V805" s="11" t="inlineStr">
        <is>
          <t>outside_list</t>
        </is>
      </c>
      <c r="W805" s="11" t="n"/>
      <c r="X805" s="11" t="n"/>
      <c r="Y805" s="11" t="n"/>
      <c r="Z805" s="11" t="inlineStr">
        <is>
          <t>Mr. Advocate</t>
        </is>
      </c>
      <c r="AA805" s="11" t="inlineStr">
        <is>
          <t>2026-10-07</t>
        </is>
      </c>
      <c r="AB805" s="11" t="inlineStr">
        <is>
          <t>name_year</t>
        </is>
      </c>
      <c r="AC805" s="2" t="inlineStr"/>
      <c r="AD805" s="2" t="inlineStr">
        <is>
          <t>Goodlass Nerolac Paints (Private), Ltd. v. Chief Commissioner and Others (1967) was overruled by Punjab Land Development and Reclamation Corporation Ltd., Chandigarh v. Presiding Officer, Labour Court, Chandigarh and Others (1990).</t>
        </is>
      </c>
      <c r="AE805" s="2" t="n"/>
      <c r="AF805" s="11" t="inlineStr">
        <is>
          <t>created from list 1</t>
        </is>
      </c>
    </row>
    <row r="806">
      <c r="A806" s="11" t="inlineStr">
        <is>
          <t>L1-0805</t>
        </is>
      </c>
      <c r="B806" s="11" t="inlineStr">
        <is>
          <t>List 1 (to ~2015)</t>
        </is>
      </c>
      <c r="C806" s="11" t="inlineStr">
        <is>
          <t>list1</t>
        </is>
      </c>
      <c r="D806" s="11" t="inlineStr">
        <is>
          <t>verified</t>
        </is>
      </c>
      <c r="E806" s="11" t="inlineStr">
        <is>
          <t>overruled</t>
        </is>
      </c>
      <c r="F806" s="2" t="inlineStr">
        <is>
          <t>Ganpat v. Ram Devi and Others</t>
        </is>
      </c>
      <c r="G806" s="11" t="inlineStr"/>
      <c r="H806" s="11" t="inlineStr">
        <is>
          <t>Punjab &amp; Haryana</t>
        </is>
      </c>
      <c r="I806" s="2" t="inlineStr">
        <is>
          <t>AIR 1978 P&amp;H 137; (1978) 1 ILR (P&amp;H) 151</t>
        </is>
      </c>
      <c r="J806" s="11" t="n">
        <v>1978</v>
      </c>
      <c r="K806" s="2" t="inlineStr">
        <is>
          <t>Kulwant Kaur and Others v. Gurdial Singh Mann (dead) by Lrs. and Others</t>
        </is>
      </c>
      <c r="L806" s="11" t="inlineStr">
        <is>
          <t>Supreme Court</t>
        </is>
      </c>
      <c r="M806" s="2" t="inlineStr">
        <is>
          <t>AIR 2001 SC 1273; (2001) 4 JT 158; (2001) 2 SCALE 634; (2001) 4 SCC 262; (2001) 2 SCR 525; (2001) AIRSCW 1184; (2001) 2 Supreme 556</t>
        </is>
      </c>
      <c r="N806" s="11" t="n">
        <v>2001</v>
      </c>
      <c r="O806" s="11" t="n"/>
      <c r="P806" s="11" t="n"/>
      <c r="Q806" s="11" t="n"/>
      <c r="R806" s="2" t="n"/>
      <c r="S806" s="2" t="n"/>
      <c r="T806" s="11" t="inlineStr"/>
      <c r="U806" s="11" t="inlineStr"/>
      <c r="V806" s="11" t="inlineStr">
        <is>
          <t>outside_list</t>
        </is>
      </c>
      <c r="W806" s="11" t="n"/>
      <c r="X806" s="11" t="n"/>
      <c r="Y806" s="11" t="n"/>
      <c r="Z806" s="11" t="inlineStr">
        <is>
          <t>Mr. Advocate</t>
        </is>
      </c>
      <c r="AA806" s="11" t="inlineStr">
        <is>
          <t>2026-10-07</t>
        </is>
      </c>
      <c r="AB806" s="11" t="inlineStr">
        <is>
          <t>name_year</t>
        </is>
      </c>
      <c r="AC806" s="2" t="inlineStr"/>
      <c r="AD806" s="2" t="inlineStr">
        <is>
          <t>Ganpat v. Ram Devi and Others (1978) was overruled by Kulwant Kaur and Others v. Gurdial Singh Mann (dead) by Lrs. and Others (2001).</t>
        </is>
      </c>
      <c r="AE806" s="2" t="n"/>
      <c r="AF806" s="11" t="inlineStr">
        <is>
          <t>created from list 1</t>
        </is>
      </c>
    </row>
    <row r="807">
      <c r="A807" s="11" t="inlineStr">
        <is>
          <t>L1-0806</t>
        </is>
      </c>
      <c r="B807" s="11" t="inlineStr">
        <is>
          <t>List 1 (to ~2015)</t>
        </is>
      </c>
      <c r="C807" s="11" t="inlineStr">
        <is>
          <t>list1</t>
        </is>
      </c>
      <c r="D807" s="11" t="inlineStr">
        <is>
          <t>verified</t>
        </is>
      </c>
      <c r="E807" s="11" t="inlineStr">
        <is>
          <t>overruled</t>
        </is>
      </c>
      <c r="F807" s="2" t="inlineStr">
        <is>
          <t>Satish Kapur and Another v. State of Haryana and Another</t>
        </is>
      </c>
      <c r="G807" s="11" t="inlineStr"/>
      <c r="H807" s="11" t="inlineStr">
        <is>
          <t>Punjab &amp; Haryana</t>
        </is>
      </c>
      <c r="I807" s="2" t="inlineStr">
        <is>
          <t>AIR 1982 P&amp;H 276</t>
        </is>
      </c>
      <c r="J807" s="11" t="n">
        <v>1982</v>
      </c>
      <c r="K807" s="2" t="inlineStr">
        <is>
          <t>Deepak Pahwa and Others v. Lt. Governor of Delhi and Others</t>
        </is>
      </c>
      <c r="L807" s="11" t="inlineStr">
        <is>
          <t>Supreme Court</t>
        </is>
      </c>
      <c r="M807" s="2" t="inlineStr">
        <is>
          <t>AIR 1984 SC 1721; (1984) 2 SCALE 239; (1984) 4 SCC 308; (1985) 1 SCR 588; (1985) 17 UJ 237</t>
        </is>
      </c>
      <c r="N807" s="11" t="n">
        <v>1984</v>
      </c>
      <c r="O807" s="11" t="n"/>
      <c r="P807" s="11" t="n"/>
      <c r="Q807" s="11" t="n"/>
      <c r="R807" s="2" t="n"/>
      <c r="S807" s="2" t="n"/>
      <c r="T807" s="11" t="inlineStr"/>
      <c r="U807" s="11" t="inlineStr"/>
      <c r="V807" s="11" t="inlineStr">
        <is>
          <t>outside_list</t>
        </is>
      </c>
      <c r="W807" s="11" t="n"/>
      <c r="X807" s="11" t="n"/>
      <c r="Y807" s="11" t="n"/>
      <c r="Z807" s="11" t="inlineStr">
        <is>
          <t>Mr. Advocate</t>
        </is>
      </c>
      <c r="AA807" s="11" t="inlineStr">
        <is>
          <t>2026-10-07</t>
        </is>
      </c>
      <c r="AB807" s="11" t="inlineStr">
        <is>
          <t>name_year</t>
        </is>
      </c>
      <c r="AC807" s="2" t="inlineStr"/>
      <c r="AD807" s="2" t="inlineStr">
        <is>
          <t>Satish Kapur and Another v. State of Haryana and Another (1982) was overruled by Deepak Pahwa and Others v. Lt. Governor of Delhi and Others (1984).</t>
        </is>
      </c>
      <c r="AE807" s="2" t="n"/>
      <c r="AF807" s="11" t="inlineStr">
        <is>
          <t>created from list 1</t>
        </is>
      </c>
    </row>
    <row r="808">
      <c r="A808" s="11" t="inlineStr">
        <is>
          <t>L1-0807</t>
        </is>
      </c>
      <c r="B808" s="11" t="inlineStr">
        <is>
          <t>List 1 (to ~2015)</t>
        </is>
      </c>
      <c r="C808" s="11" t="inlineStr">
        <is>
          <t>list1</t>
        </is>
      </c>
      <c r="D808" s="11" t="inlineStr">
        <is>
          <t>verified</t>
        </is>
      </c>
      <c r="E808" s="11" t="inlineStr">
        <is>
          <t>reversed_on_appeal</t>
        </is>
      </c>
      <c r="F808" s="2" t="inlineStr">
        <is>
          <t>Amrik Singh v. Punjab and Haryana High Court</t>
        </is>
      </c>
      <c r="G808" s="11" t="inlineStr"/>
      <c r="H808" s="11" t="inlineStr">
        <is>
          <t>unknown</t>
        </is>
      </c>
      <c r="I808" s="2" t="inlineStr">
        <is>
          <t>(1994) 2 LLJ 196</t>
        </is>
      </c>
      <c r="J808" s="11" t="n">
        <v>1994</v>
      </c>
      <c r="K808" s="2" t="inlineStr">
        <is>
          <t>High Court of Punjab and Haryana v. Amrik Singh</t>
        </is>
      </c>
      <c r="L808" s="11" t="inlineStr">
        <is>
          <t>Supreme Court</t>
        </is>
      </c>
      <c r="M808" s="2" t="inlineStr">
        <is>
          <t>(1995) 2 LLJ 656; (1994) 5 SCALE 39; (1995) 1 SCC 321 Supp; (1995) 1 SCC 321; (1994) 6 SCR 6 Supp; (1995) 2 SLJ 61</t>
        </is>
      </c>
      <c r="N808" s="11" t="n">
        <v>1994</v>
      </c>
      <c r="O808" s="11" t="n"/>
      <c r="P808" s="11" t="n"/>
      <c r="Q808" s="11" t="n"/>
      <c r="R808" s="2" t="n"/>
      <c r="S808" s="2" t="n"/>
      <c r="T808" s="11" t="inlineStr">
        <is>
          <t>yes</t>
        </is>
      </c>
      <c r="U808" s="11" t="inlineStr"/>
      <c r="V808" s="11" t="inlineStr">
        <is>
          <t>outside_list</t>
        </is>
      </c>
      <c r="W808" s="11" t="n"/>
      <c r="X808" s="11" t="n"/>
      <c r="Y808" s="11" t="n"/>
      <c r="Z808" s="11" t="inlineStr">
        <is>
          <t>Mr. Advocate</t>
        </is>
      </c>
      <c r="AA808" s="11" t="inlineStr">
        <is>
          <t>2026-10-07</t>
        </is>
      </c>
      <c r="AB808" s="11" t="inlineStr">
        <is>
          <t>name_year</t>
        </is>
      </c>
      <c r="AC808" s="2" t="inlineStr"/>
      <c r="AD808" s="2" t="inlineStr">
        <is>
          <t>Amrik Singh v. Punjab and Haryana High Court (1994) was reversed on appeal by the Supreme Court in High Court of Punjab and Haryana v. Amrik Singh (1994).</t>
        </is>
      </c>
      <c r="AE808" s="2" t="n"/>
      <c r="AF808" s="11" t="inlineStr">
        <is>
          <t>created from list 1</t>
        </is>
      </c>
    </row>
    <row r="809">
      <c r="A809" s="11" t="inlineStr">
        <is>
          <t>L1-0808</t>
        </is>
      </c>
      <c r="B809" s="11" t="inlineStr">
        <is>
          <t>List 1 (to ~2015)</t>
        </is>
      </c>
      <c r="C809" s="11" t="inlineStr">
        <is>
          <t>list1</t>
        </is>
      </c>
      <c r="D809" s="11" t="inlineStr">
        <is>
          <t>verified</t>
        </is>
      </c>
      <c r="E809" s="11" t="inlineStr">
        <is>
          <t>overruled</t>
        </is>
      </c>
      <c r="F809" s="2" t="inlineStr">
        <is>
          <t>Mohinder Singh and Another v. Nanak Singh and Another</t>
        </is>
      </c>
      <c r="G809" s="11" t="inlineStr"/>
      <c r="H809" s="11" t="inlineStr">
        <is>
          <t>Punjab &amp; Haryana</t>
        </is>
      </c>
      <c r="I809" s="2" t="inlineStr">
        <is>
          <t>AIR 1971 P&amp;H 381</t>
        </is>
      </c>
      <c r="J809" s="11" t="n">
        <v>1971</v>
      </c>
      <c r="K809" s="2" t="inlineStr">
        <is>
          <t>Vannarakkal Kallalathil Sreedharan v. Chandramaath Balakrishnan and Another</t>
        </is>
      </c>
      <c r="L809" s="11" t="inlineStr">
        <is>
          <t>Supreme Court</t>
        </is>
      </c>
      <c r="M809" s="2" t="inlineStr">
        <is>
          <t>(1990) 1 JT 390; (1990) 97 PLR 623; (1990) 1 SCALE 519; (1990) 3 SCC 291; (1990) 1 SCR 832</t>
        </is>
      </c>
      <c r="N809" s="11" t="n">
        <v>1990</v>
      </c>
      <c r="O809" s="11" t="n"/>
      <c r="P809" s="11" t="n"/>
      <c r="Q809" s="11" t="n"/>
      <c r="R809" s="2" t="n"/>
      <c r="S809" s="2" t="n"/>
      <c r="T809" s="11" t="inlineStr"/>
      <c r="U809" s="11" t="inlineStr"/>
      <c r="V809" s="11" t="inlineStr">
        <is>
          <t>outside_list</t>
        </is>
      </c>
      <c r="W809" s="11" t="n"/>
      <c r="X809" s="11" t="n"/>
      <c r="Y809" s="11" t="n"/>
      <c r="Z809" s="11" t="inlineStr">
        <is>
          <t>Mr. Advocate</t>
        </is>
      </c>
      <c r="AA809" s="11" t="inlineStr">
        <is>
          <t>2026-10-07</t>
        </is>
      </c>
      <c r="AB809" s="11" t="inlineStr">
        <is>
          <t>name_year</t>
        </is>
      </c>
      <c r="AC809" s="2" t="inlineStr"/>
      <c r="AD809" s="2" t="inlineStr">
        <is>
          <t>Mohinder Singh and Another v. Nanak Singh and Another (1971) was overruled by Vannarakkal Kallalathil Sreedharan v. Chandramaath Balakrishnan and Another (1990).</t>
        </is>
      </c>
      <c r="AE809" s="2" t="n"/>
      <c r="AF809" s="11" t="inlineStr">
        <is>
          <t>created from list 1</t>
        </is>
      </c>
    </row>
    <row r="810">
      <c r="A810" s="11" t="inlineStr">
        <is>
          <t>L1-0809</t>
        </is>
      </c>
      <c r="B810" s="11" t="inlineStr">
        <is>
          <t>List 1 (to ~2015)</t>
        </is>
      </c>
      <c r="C810" s="11" t="inlineStr">
        <is>
          <t>list1</t>
        </is>
      </c>
      <c r="D810" s="11" t="inlineStr">
        <is>
          <t>verified</t>
        </is>
      </c>
      <c r="E810" s="11" t="inlineStr">
        <is>
          <t>overruled</t>
        </is>
      </c>
      <c r="F810" s="2" t="inlineStr">
        <is>
          <t>Ravinder Kumar Pujara v. Gian Chand</t>
        </is>
      </c>
      <c r="G810" s="11" t="inlineStr"/>
      <c r="H810" s="11" t="inlineStr">
        <is>
          <t>Punjab &amp; Haryana</t>
        </is>
      </c>
      <c r="I810" s="2" t="inlineStr">
        <is>
          <t>AIR 1987 P&amp;H 31; (1987) 1 ILR (P&amp;H) 265</t>
        </is>
      </c>
      <c r="J810" s="11" t="n">
        <v>1987</v>
      </c>
      <c r="K810" s="2" t="inlineStr">
        <is>
          <t>Joginder Pal v. Naval Kishore Behal</t>
        </is>
      </c>
      <c r="L810" s="11" t="inlineStr">
        <is>
          <t>Supreme Court</t>
        </is>
      </c>
      <c r="M810" s="2" t="inlineStr">
        <is>
          <t>AIR 2002 SC 2256; (2002) 1 JT 219 Supp; (2002) 2 PLR 625; (2002) 4 SCALE 560; (2002) 5 SCC 397; (2002) 3 SCR 1078; (2002) AIRSCW 2374; (2002) 4 Supreme 280</t>
        </is>
      </c>
      <c r="N810" s="11" t="n">
        <v>2002</v>
      </c>
      <c r="O810" s="11" t="n"/>
      <c r="P810" s="11" t="n"/>
      <c r="Q810" s="11" t="n"/>
      <c r="R810" s="2" t="n"/>
      <c r="S810" s="2" t="n"/>
      <c r="T810" s="11" t="inlineStr"/>
      <c r="U810" s="11" t="inlineStr"/>
      <c r="V810" s="11" t="inlineStr">
        <is>
          <t>outside_list</t>
        </is>
      </c>
      <c r="W810" s="11" t="n"/>
      <c r="X810" s="11" t="n"/>
      <c r="Y810" s="11" t="n"/>
      <c r="Z810" s="11" t="inlineStr">
        <is>
          <t>Mr. Advocate</t>
        </is>
      </c>
      <c r="AA810" s="11" t="inlineStr">
        <is>
          <t>2026-10-07</t>
        </is>
      </c>
      <c r="AB810" s="11" t="inlineStr">
        <is>
          <t>name_year</t>
        </is>
      </c>
      <c r="AC810" s="2" t="inlineStr"/>
      <c r="AD810" s="2" t="inlineStr">
        <is>
          <t>Ravinder Kumar Pujara v. Gian Chand (1987) was overruled by Joginder Pal v. Naval Kishore Behal (2002).</t>
        </is>
      </c>
      <c r="AE810" s="2" t="n"/>
      <c r="AF810" s="11" t="inlineStr">
        <is>
          <t>created from list 1</t>
        </is>
      </c>
    </row>
    <row r="811">
      <c r="A811" s="11" t="inlineStr">
        <is>
          <t>L1-0810</t>
        </is>
      </c>
      <c r="B811" s="11" t="inlineStr">
        <is>
          <t>List 1 (to ~2015)</t>
        </is>
      </c>
      <c r="C811" s="11" t="inlineStr">
        <is>
          <t>list1</t>
        </is>
      </c>
      <c r="D811" s="11" t="inlineStr">
        <is>
          <t>verified</t>
        </is>
      </c>
      <c r="E811" s="11" t="inlineStr">
        <is>
          <t>overruled</t>
        </is>
      </c>
      <c r="F811" s="2" t="inlineStr">
        <is>
          <t>Phagoo Mal Sant Ram v. Commissioner of Income Tax</t>
        </is>
      </c>
      <c r="G811" s="11" t="inlineStr"/>
      <c r="H811" s="11" t="inlineStr">
        <is>
          <t>unknown</t>
        </is>
      </c>
      <c r="I811" s="2" t="inlineStr">
        <is>
          <t>(1969) 74 ITR 734</t>
        </is>
      </c>
      <c r="J811" s="11" t="n">
        <v>1969</v>
      </c>
      <c r="K811" s="2" t="inlineStr">
        <is>
          <t>Bajaj Tempo Ltd., Bombay v. Commissioner of Income Tax, Bombay City-II, Bombay</t>
        </is>
      </c>
      <c r="L811" s="11" t="inlineStr">
        <is>
          <t>Supreme Court</t>
        </is>
      </c>
      <c r="M811" s="2" t="inlineStr">
        <is>
          <t>AIR 1992 SC 1622; (1992) 104 CTR 116; (1992) 196 ITR 188; (1992) 3 JT 185; (1993) 4 SCALE 367; (1992) 1 SCALE 912; (1992) 3 SCC 78; (1992) 2 SCR 765; (1992) 62 TAXMAN 480</t>
        </is>
      </c>
      <c r="N811" s="11" t="n">
        <v>1992</v>
      </c>
      <c r="O811" s="11" t="n"/>
      <c r="P811" s="11" t="n"/>
      <c r="Q811" s="11" t="n"/>
      <c r="R811" s="2" t="n"/>
      <c r="S811" s="2" t="n"/>
      <c r="T811" s="11" t="inlineStr"/>
      <c r="U811" s="11" t="inlineStr"/>
      <c r="V811" s="11" t="inlineStr">
        <is>
          <t>outside_list</t>
        </is>
      </c>
      <c r="W811" s="11" t="n"/>
      <c r="X811" s="11" t="n"/>
      <c r="Y811" s="11" t="n"/>
      <c r="Z811" s="11" t="inlineStr">
        <is>
          <t>Mr. Advocate</t>
        </is>
      </c>
      <c r="AA811" s="11" t="inlineStr">
        <is>
          <t>2026-10-07</t>
        </is>
      </c>
      <c r="AB811" s="11" t="inlineStr">
        <is>
          <t>name_year</t>
        </is>
      </c>
      <c r="AC811" s="2" t="inlineStr"/>
      <c r="AD811" s="2" t="inlineStr">
        <is>
          <t>Phagoo Mal Sant Ram v. Commissioner of Income Tax (1969) was overruled by Bajaj Tempo Ltd., Bombay v. Commissioner of Income Tax, Bombay City-II, Bombay (1992).</t>
        </is>
      </c>
      <c r="AE811" s="2" t="n"/>
      <c r="AF811" s="11" t="inlineStr">
        <is>
          <t>created from list 1</t>
        </is>
      </c>
    </row>
    <row r="812">
      <c r="A812" s="11" t="inlineStr">
        <is>
          <t>L1-0811</t>
        </is>
      </c>
      <c r="B812" s="11" t="inlineStr">
        <is>
          <t>List 1 (to ~2015)</t>
        </is>
      </c>
      <c r="C812" s="11" t="inlineStr">
        <is>
          <t>list1</t>
        </is>
      </c>
      <c r="D812" s="11" t="inlineStr">
        <is>
          <t>verified</t>
        </is>
      </c>
      <c r="E812" s="11" t="inlineStr">
        <is>
          <t>overruled</t>
        </is>
      </c>
      <c r="F812" s="2" t="inlineStr">
        <is>
          <t>Commissioner of Income Tax v. Kailasho Devi Burman and Others</t>
        </is>
      </c>
      <c r="G812" s="11" t="inlineStr"/>
      <c r="H812" s="11" t="inlineStr">
        <is>
          <t>unknown</t>
        </is>
      </c>
      <c r="I812" s="2" t="inlineStr">
        <is>
          <t>(1978) 115 ITR 732</t>
        </is>
      </c>
      <c r="J812" s="11" t="n">
        <v>1978</v>
      </c>
      <c r="K812" s="2" t="inlineStr">
        <is>
          <t>Smt. Kilasho Devi Burman and anothers v. Commr. of Income Tax, West Bengal, Calcutta</t>
        </is>
      </c>
      <c r="L812" s="11" t="inlineStr">
        <is>
          <t>Supreme Court</t>
        </is>
      </c>
      <c r="M812" s="2" t="inlineStr">
        <is>
          <t>(1996) 2 AD 337; AIR 1996 SC 3114; (1996) 132 CTR 173; (1996) 219 ITR 214; (1996) 2 JT 555; (1996) 1 SCALE 801; (1996) 7 SCC 613; (1996) 2 SCR 301; (1996) 85 TAXMAN 346</t>
        </is>
      </c>
      <c r="N812" s="11" t="n">
        <v>1996</v>
      </c>
      <c r="O812" s="11" t="n"/>
      <c r="P812" s="11" t="n"/>
      <c r="Q812" s="11" t="n"/>
      <c r="R812" s="2" t="n"/>
      <c r="S812" s="2" t="n"/>
      <c r="T812" s="11" t="inlineStr"/>
      <c r="U812" s="11" t="inlineStr"/>
      <c r="V812" s="11" t="inlineStr">
        <is>
          <t>outside_list</t>
        </is>
      </c>
      <c r="W812" s="11" t="n"/>
      <c r="X812" s="11" t="n"/>
      <c r="Y812" s="11" t="n"/>
      <c r="Z812" s="11" t="inlineStr">
        <is>
          <t>Mr. Advocate</t>
        </is>
      </c>
      <c r="AA812" s="11" t="inlineStr">
        <is>
          <t>2026-10-07</t>
        </is>
      </c>
      <c r="AB812" s="11" t="inlineStr">
        <is>
          <t>name_year</t>
        </is>
      </c>
      <c r="AC812" s="2" t="inlineStr"/>
      <c r="AD812" s="2" t="inlineStr">
        <is>
          <t>Commissioner of Income Tax v. Kailasho Devi Burman and Others (1978) was overruled by Smt. Kilasho Devi Burman and anothers v. Commr. of Income Tax, West Bengal, Calcutta (1996).</t>
        </is>
      </c>
      <c r="AE812" s="2" t="n"/>
      <c r="AF812" s="11" t="inlineStr">
        <is>
          <t>created from list 1</t>
        </is>
      </c>
    </row>
    <row r="813">
      <c r="A813" s="11" t="inlineStr">
        <is>
          <t>L1-0812</t>
        </is>
      </c>
      <c r="B813" s="11" t="inlineStr">
        <is>
          <t>List 1 (to ~2015)</t>
        </is>
      </c>
      <c r="C813" s="11" t="inlineStr">
        <is>
          <t>list1</t>
        </is>
      </c>
      <c r="D813" s="11" t="inlineStr">
        <is>
          <t>verified</t>
        </is>
      </c>
      <c r="E813" s="11" t="inlineStr">
        <is>
          <t>overruled</t>
        </is>
      </c>
      <c r="F813" s="2" t="inlineStr">
        <is>
          <t>The Indian Trade and General Insurance Co. Ltd. v. Raj Mal Pahar Chand and Another</t>
        </is>
      </c>
      <c r="G813" s="11" t="inlineStr"/>
      <c r="H813" s="11" t="inlineStr">
        <is>
          <t>Punjab &amp; Haryana</t>
        </is>
      </c>
      <c r="I813" s="2" t="inlineStr">
        <is>
          <t>AIR 1956 P&amp;H 228</t>
        </is>
      </c>
      <c r="J813" s="11" t="n">
        <v>1956</v>
      </c>
      <c r="K813" s="2" t="inlineStr">
        <is>
          <t>Garikapatti Veeraya v. N. Subbiah Choudhury</t>
        </is>
      </c>
      <c r="L813" s="11" t="inlineStr">
        <is>
          <t>Supreme Court</t>
        </is>
      </c>
      <c r="M813" s="2" t="inlineStr">
        <is>
          <t>AIR 1957 SC 540; (1957) 1 SCR 488</t>
        </is>
      </c>
      <c r="N813" s="11" t="n">
        <v>1957</v>
      </c>
      <c r="O813" s="11" t="n"/>
      <c r="P813" s="11" t="n"/>
      <c r="Q813" s="11" t="n"/>
      <c r="R813" s="2" t="n"/>
      <c r="S813" s="2" t="n"/>
      <c r="T813" s="11" t="inlineStr"/>
      <c r="U813" s="11" t="inlineStr"/>
      <c r="V813" s="11" t="inlineStr">
        <is>
          <t>outside_list</t>
        </is>
      </c>
      <c r="W813" s="11" t="n"/>
      <c r="X813" s="11" t="n"/>
      <c r="Y813" s="11" t="n"/>
      <c r="Z813" s="11" t="inlineStr">
        <is>
          <t>Mr. Advocate</t>
        </is>
      </c>
      <c r="AA813" s="11" t="inlineStr">
        <is>
          <t>2026-10-07</t>
        </is>
      </c>
      <c r="AB813" s="11" t="inlineStr">
        <is>
          <t>name_year</t>
        </is>
      </c>
      <c r="AC813" s="2" t="inlineStr"/>
      <c r="AD813" s="2" t="inlineStr">
        <is>
          <t>The Indian Trade and General Insurance Co. Ltd. v. Raj Mal Pahar Chand and Another (1956) was overruled by Garikapatti Veeraya v. N. Subbiah Choudhury (1957).</t>
        </is>
      </c>
      <c r="AE813" s="2" t="n"/>
      <c r="AF813" s="11" t="inlineStr">
        <is>
          <t>created from list 1</t>
        </is>
      </c>
    </row>
    <row r="814">
      <c r="A814" s="11" t="inlineStr">
        <is>
          <t>L1-0813</t>
        </is>
      </c>
      <c r="B814" s="11" t="inlineStr">
        <is>
          <t>List 1 (to ~2015)</t>
        </is>
      </c>
      <c r="C814" s="11" t="inlineStr">
        <is>
          <t>list1</t>
        </is>
      </c>
      <c r="D814" s="11" t="inlineStr">
        <is>
          <t>verified</t>
        </is>
      </c>
      <c r="E814" s="11" t="inlineStr">
        <is>
          <t>reversed_on_appeal</t>
        </is>
      </c>
      <c r="F814" s="2" t="inlineStr">
        <is>
          <t>Porritts and Spencer (Asia) Ltd. v. State of Haryana</t>
        </is>
      </c>
      <c r="G814" s="11" t="inlineStr"/>
      <c r="H814" s="11" t="inlineStr">
        <is>
          <t>unknown</t>
        </is>
      </c>
      <c r="I814" s="2" t="inlineStr">
        <is>
          <t>(1977) 40 STC 333</t>
        </is>
      </c>
      <c r="J814" s="11" t="n">
        <v>1977</v>
      </c>
      <c r="K814" s="2" t="inlineStr">
        <is>
          <t>Porritts and Spencer (Asia) Ltd. v. State of Haryana</t>
        </is>
      </c>
      <c r="L814" s="11" t="inlineStr">
        <is>
          <t>Supreme Court</t>
        </is>
      </c>
      <c r="M814" s="2" t="inlineStr">
        <is>
          <t>AIR 1979 SC 300; (1980) CENCUS 397; (1989) 25 ECR 443; (1983) 13 ELT 1607; (1979) 1 SCC 82; (1979) 1 SCR 545; (1978) 42 STC 433; (1978) 10 UJ 697</t>
        </is>
      </c>
      <c r="N814" s="11" t="n">
        <v>1979</v>
      </c>
      <c r="O814" s="11" t="n"/>
      <c r="P814" s="11" t="n"/>
      <c r="Q814" s="11" t="n"/>
      <c r="R814" s="2" t="n"/>
      <c r="S814" s="2" t="n"/>
      <c r="T814" s="11" t="inlineStr">
        <is>
          <t>yes</t>
        </is>
      </c>
      <c r="U814" s="11" t="inlineStr"/>
      <c r="V814" s="11" t="inlineStr">
        <is>
          <t>outside_list</t>
        </is>
      </c>
      <c r="W814" s="11" t="n"/>
      <c r="X814" s="11" t="n"/>
      <c r="Y814" s="11" t="n"/>
      <c r="Z814" s="11" t="inlineStr">
        <is>
          <t>Mr. Advocate</t>
        </is>
      </c>
      <c r="AA814" s="11" t="inlineStr">
        <is>
          <t>2026-10-07</t>
        </is>
      </c>
      <c r="AB814" s="11" t="inlineStr">
        <is>
          <t>name_year</t>
        </is>
      </c>
      <c r="AC814" s="2" t="inlineStr"/>
      <c r="AD814" s="2" t="inlineStr">
        <is>
          <t>Porritts and Spencer (Asia) Ltd. v. State of Haryana (1977) was reversed on appeal by the Supreme Court in Porritts and Spencer (Asia) Ltd. v. State of Haryana (1979).</t>
        </is>
      </c>
      <c r="AE814" s="2" t="n"/>
      <c r="AF814" s="11" t="inlineStr">
        <is>
          <t>created from list 1</t>
        </is>
      </c>
    </row>
    <row r="815">
      <c r="A815" s="11" t="inlineStr">
        <is>
          <t>L1-0814</t>
        </is>
      </c>
      <c r="B815" s="11" t="inlineStr">
        <is>
          <t>List 1 (to ~2015)</t>
        </is>
      </c>
      <c r="C815" s="11" t="inlineStr">
        <is>
          <t>list1</t>
        </is>
      </c>
      <c r="D815" s="11" t="inlineStr">
        <is>
          <t>verified</t>
        </is>
      </c>
      <c r="E815" s="11" t="inlineStr">
        <is>
          <t>reversed_on_appeal</t>
        </is>
      </c>
      <c r="F815" s="2" t="inlineStr">
        <is>
          <t>Mulkh Raj Krishan Kumar and Co. v. The State of Punjab and Others</t>
        </is>
      </c>
      <c r="G815" s="11" t="inlineStr"/>
      <c r="H815" s="11" t="inlineStr">
        <is>
          <t>Punjab &amp; Haryana</t>
        </is>
      </c>
      <c r="I815" s="2" t="inlineStr">
        <is>
          <t>AIR 1973 P&amp;H 62; (1972) 2 ILR (P&amp;H) 161</t>
        </is>
      </c>
      <c r="J815" s="11" t="n">
        <v>1973</v>
      </c>
      <c r="K815" s="2" t="inlineStr">
        <is>
          <t>State of Punjab and Others v. Mulkh Raj and Co. and Others</t>
        </is>
      </c>
      <c r="L815" s="11" t="inlineStr">
        <is>
          <t>Supreme Court</t>
        </is>
      </c>
      <c r="M815" s="2" t="inlineStr">
        <is>
          <t>AIR 1977 SC 1550; (1977) 3 SCC 582; (1977) 9 UJ 135</t>
        </is>
      </c>
      <c r="N815" s="11" t="n">
        <v>1977</v>
      </c>
      <c r="O815" s="11" t="n"/>
      <c r="P815" s="11" t="n"/>
      <c r="Q815" s="11" t="n"/>
      <c r="R815" s="2" t="n"/>
      <c r="S815" s="2" t="n"/>
      <c r="T815" s="11" t="inlineStr">
        <is>
          <t>yes</t>
        </is>
      </c>
      <c r="U815" s="11" t="inlineStr"/>
      <c r="V815" s="11" t="inlineStr">
        <is>
          <t>outside_list</t>
        </is>
      </c>
      <c r="W815" s="11" t="n"/>
      <c r="X815" s="11" t="n"/>
      <c r="Y815" s="11" t="n"/>
      <c r="Z815" s="11" t="inlineStr">
        <is>
          <t>Mr. Advocate</t>
        </is>
      </c>
      <c r="AA815" s="11" t="inlineStr">
        <is>
          <t>2026-10-07</t>
        </is>
      </c>
      <c r="AB815" s="11" t="inlineStr">
        <is>
          <t>name_year</t>
        </is>
      </c>
      <c r="AC815" s="2" t="inlineStr"/>
      <c r="AD815" s="2" t="inlineStr">
        <is>
          <t>Mulkh Raj Krishan Kumar and Co. v. The State of Punjab and Others (1973) was reversed on appeal by the Supreme Court in State of Punjab and Others v. Mulkh Raj and Co. and Others (1977).</t>
        </is>
      </c>
      <c r="AE815" s="2" t="n"/>
      <c r="AF815" s="11" t="inlineStr">
        <is>
          <t>created from list 1</t>
        </is>
      </c>
    </row>
    <row r="816">
      <c r="A816" s="11" t="inlineStr">
        <is>
          <t>L1-0815</t>
        </is>
      </c>
      <c r="B816" s="11" t="inlineStr">
        <is>
          <t>List 1 (to ~2015)</t>
        </is>
      </c>
      <c r="C816" s="11" t="inlineStr">
        <is>
          <t>list1</t>
        </is>
      </c>
      <c r="D816" s="11" t="inlineStr">
        <is>
          <t>verified</t>
        </is>
      </c>
      <c r="E816" s="11" t="inlineStr">
        <is>
          <t>overruled</t>
        </is>
      </c>
      <c r="F816" s="2" t="inlineStr">
        <is>
          <t>Rattan Singh and Another v. The State of Punjab and Others</t>
        </is>
      </c>
      <c r="G816" s="11" t="inlineStr"/>
      <c r="H816" s="11" t="inlineStr">
        <is>
          <t>Punjab &amp; Haryana</t>
        </is>
      </c>
      <c r="I816" s="2" t="inlineStr">
        <is>
          <t>AIR 1976 P&amp;H 279; (1976) 2 ILR (P&amp;H) 550</t>
        </is>
      </c>
      <c r="J816" s="11" t="n">
        <v>1976</v>
      </c>
      <c r="K816" s="2" t="inlineStr">
        <is>
          <t>Deepak Pahwa and Others v. Lt. Governor of Delhi and Others</t>
        </is>
      </c>
      <c r="L816" s="11" t="inlineStr">
        <is>
          <t>Supreme Court</t>
        </is>
      </c>
      <c r="M816" s="2" t="inlineStr">
        <is>
          <t>AIR 1984 SC 1721; (1984) 2 SCALE 239; (1984) 4 SCC 308; (1985) 1 SCR 588; (1985) 17 UJ 237</t>
        </is>
      </c>
      <c r="N816" s="11" t="n">
        <v>1984</v>
      </c>
      <c r="O816" s="11" t="n"/>
      <c r="P816" s="11" t="n"/>
      <c r="Q816" s="11" t="n"/>
      <c r="R816" s="2" t="n"/>
      <c r="S816" s="2" t="n"/>
      <c r="T816" s="11" t="inlineStr"/>
      <c r="U816" s="11" t="inlineStr"/>
      <c r="V816" s="11" t="inlineStr">
        <is>
          <t>outside_list</t>
        </is>
      </c>
      <c r="W816" s="11" t="n"/>
      <c r="X816" s="11" t="n"/>
      <c r="Y816" s="11" t="n"/>
      <c r="Z816" s="11" t="inlineStr">
        <is>
          <t>Mr. Advocate</t>
        </is>
      </c>
      <c r="AA816" s="11" t="inlineStr">
        <is>
          <t>2026-10-07</t>
        </is>
      </c>
      <c r="AB816" s="11" t="inlineStr">
        <is>
          <t>name_year</t>
        </is>
      </c>
      <c r="AC816" s="2" t="inlineStr"/>
      <c r="AD816" s="2" t="inlineStr">
        <is>
          <t>Rattan Singh and Another v. The State of Punjab and Others (1976) was overruled by Deepak Pahwa and Others v. Lt. Governor of Delhi and Others (1984).</t>
        </is>
      </c>
      <c r="AE816" s="2" t="n"/>
      <c r="AF816" s="11" t="inlineStr">
        <is>
          <t>created from list 1</t>
        </is>
      </c>
    </row>
    <row r="817">
      <c r="A817" s="11" t="inlineStr">
        <is>
          <t>L1-0816</t>
        </is>
      </c>
      <c r="B817" s="11" t="inlineStr">
        <is>
          <t>List 1 (to ~2015)</t>
        </is>
      </c>
      <c r="C817" s="11" t="inlineStr">
        <is>
          <t>list1</t>
        </is>
      </c>
      <c r="D817" s="11" t="inlineStr">
        <is>
          <t>verified</t>
        </is>
      </c>
      <c r="E817" s="11" t="inlineStr">
        <is>
          <t>reversed_on_appeal</t>
        </is>
      </c>
      <c r="F817" s="2" t="inlineStr">
        <is>
          <t>Hazari and Others v. Zila Singh and Others</t>
        </is>
      </c>
      <c r="G817" s="11" t="inlineStr"/>
      <c r="H817" s="11" t="inlineStr">
        <is>
          <t>Punjab &amp; Haryana</t>
        </is>
      </c>
      <c r="I817" s="2" t="inlineStr">
        <is>
          <t>AIR 1970 P&amp;H 215; (1970) 1 ILR (P&amp;H) 326</t>
        </is>
      </c>
      <c r="J817" s="11" t="n">
        <v>1970</v>
      </c>
      <c r="K817" s="2" t="inlineStr">
        <is>
          <t>Zila Singh and Others v. Hazari and Others</t>
        </is>
      </c>
      <c r="L817" s="11" t="inlineStr">
        <is>
          <t>Supreme Court</t>
        </is>
      </c>
      <c r="M817" s="2" t="inlineStr">
        <is>
          <t>AIR 1979 SC 1066; (1979) 81 PLR 490; (1979) 3 SCC 265; (1979) 3 SCR 222</t>
        </is>
      </c>
      <c r="N817" s="11" t="n">
        <v>1979</v>
      </c>
      <c r="O817" s="11" t="n"/>
      <c r="P817" s="11" t="n"/>
      <c r="Q817" s="11" t="n"/>
      <c r="R817" s="2" t="n"/>
      <c r="S817" s="2" t="n"/>
      <c r="T817" s="11" t="inlineStr">
        <is>
          <t>yes</t>
        </is>
      </c>
      <c r="U817" s="11" t="inlineStr"/>
      <c r="V817" s="11" t="inlineStr">
        <is>
          <t>outside_list</t>
        </is>
      </c>
      <c r="W817" s="11" t="n"/>
      <c r="X817" s="11" t="n"/>
      <c r="Y817" s="11" t="n"/>
      <c r="Z817" s="11" t="inlineStr">
        <is>
          <t>Mr. Advocate</t>
        </is>
      </c>
      <c r="AA817" s="11" t="inlineStr">
        <is>
          <t>2026-10-07</t>
        </is>
      </c>
      <c r="AB817" s="11" t="inlineStr">
        <is>
          <t>name_year</t>
        </is>
      </c>
      <c r="AC817" s="2" t="inlineStr"/>
      <c r="AD817" s="2" t="inlineStr">
        <is>
          <t>Hazari and Others v. Zila Singh and Others (1970) was reversed on appeal by the Supreme Court in Zila Singh and Others v. Hazari and Others (1979).</t>
        </is>
      </c>
      <c r="AE817" s="2" t="n"/>
      <c r="AF817" s="11" t="inlineStr">
        <is>
          <t>created from list 1</t>
        </is>
      </c>
    </row>
    <row r="818">
      <c r="A818" s="11" t="inlineStr">
        <is>
          <t>L1-0817</t>
        </is>
      </c>
      <c r="B818" s="11" t="inlineStr">
        <is>
          <t>List 1 (to ~2015)</t>
        </is>
      </c>
      <c r="C818" s="11" t="inlineStr">
        <is>
          <t>list1</t>
        </is>
      </c>
      <c r="D818" s="11" t="inlineStr">
        <is>
          <t>verified</t>
        </is>
      </c>
      <c r="E818" s="11" t="inlineStr">
        <is>
          <t>reversed_on_appeal</t>
        </is>
      </c>
      <c r="F818" s="2" t="inlineStr">
        <is>
          <t>D.L.F. Qutab Enclave Complex Educational Charitable Trust v. State of Haryana</t>
        </is>
      </c>
      <c r="G818" s="11" t="inlineStr"/>
      <c r="H818" s="11" t="inlineStr">
        <is>
          <t>Punjab &amp; Haryana</t>
        </is>
      </c>
      <c r="I818" s="2" t="inlineStr">
        <is>
          <t>AIR 2001 P&amp;H 233</t>
        </is>
      </c>
      <c r="J818" s="11" t="n">
        <v>2001</v>
      </c>
      <c r="K818" s="2" t="inlineStr">
        <is>
          <t>D.L.F. Qutab Enclave Complex Educational Charitable Trust v. State of Haryana and Others</t>
        </is>
      </c>
      <c r="L818" s="11" t="inlineStr">
        <is>
          <t>Supreme Court</t>
        </is>
      </c>
      <c r="M818" s="2" t="inlineStr">
        <is>
          <t>AIR 2003 SC 1648; (2003) 2 SCALE 145; (2003) 5 SCC 622; (2003) 2 SCR 1; (2003) AIRSCW 1046; (2003) 2 Supreme 123</t>
        </is>
      </c>
      <c r="N818" s="11" t="n">
        <v>2003</v>
      </c>
      <c r="O818" s="11" t="n"/>
      <c r="P818" s="11" t="n"/>
      <c r="Q818" s="11" t="n"/>
      <c r="R818" s="2" t="n"/>
      <c r="S818" s="2" t="n"/>
      <c r="T818" s="11" t="inlineStr">
        <is>
          <t>yes</t>
        </is>
      </c>
      <c r="U818" s="11" t="inlineStr"/>
      <c r="V818" s="11" t="inlineStr">
        <is>
          <t>outside_list</t>
        </is>
      </c>
      <c r="W818" s="11" t="n"/>
      <c r="X818" s="11" t="n"/>
      <c r="Y818" s="11" t="n"/>
      <c r="Z818" s="11" t="inlineStr">
        <is>
          <t>Mr. Advocate</t>
        </is>
      </c>
      <c r="AA818" s="11" t="inlineStr">
        <is>
          <t>2026-10-07</t>
        </is>
      </c>
      <c r="AB818" s="11" t="inlineStr">
        <is>
          <t>name_year</t>
        </is>
      </c>
      <c r="AC818" s="2" t="inlineStr"/>
      <c r="AD818" s="2" t="inlineStr">
        <is>
          <t>D.L.F. Qutab Enclave Complex Educational Charitable Trust v. State of Haryana (2001) was reversed on appeal by the Supreme Court in D.L.F. Qutab Enclave Complex Educational Charitable Trust v. State of Haryana and Others (2003).</t>
        </is>
      </c>
      <c r="AE818" s="2" t="n"/>
      <c r="AF818" s="11" t="inlineStr">
        <is>
          <t>created from list 1</t>
        </is>
      </c>
    </row>
    <row r="819">
      <c r="A819" s="11" t="inlineStr">
        <is>
          <t>L1-0818</t>
        </is>
      </c>
      <c r="B819" s="11" t="inlineStr">
        <is>
          <t>List 1 (to ~2015)</t>
        </is>
      </c>
      <c r="C819" s="11" t="inlineStr">
        <is>
          <t>list1</t>
        </is>
      </c>
      <c r="D819" s="11" t="inlineStr">
        <is>
          <t>verified</t>
        </is>
      </c>
      <c r="E819" s="11" t="inlineStr">
        <is>
          <t>overruled</t>
        </is>
      </c>
      <c r="F819" s="2" t="inlineStr">
        <is>
          <t>The State v. Gurcharan Singh</t>
        </is>
      </c>
      <c r="G819" s="11" t="inlineStr"/>
      <c r="H819" s="11" t="inlineStr">
        <is>
          <t>Punjab &amp; Haryana</t>
        </is>
      </c>
      <c r="I819" s="2" t="inlineStr">
        <is>
          <t>AIR 1952 P&amp;H 89</t>
        </is>
      </c>
      <c r="J819" s="11" t="n">
        <v>1952</v>
      </c>
      <c r="K819" s="2" t="inlineStr">
        <is>
          <t>State of Punjab v. Shadi Lal</t>
        </is>
      </c>
      <c r="L819" s="11" t="inlineStr">
        <is>
          <t>Supreme Court</t>
        </is>
      </c>
      <c r="M819" s="2" t="inlineStr">
        <is>
          <t>AIR 1960 SC 397</t>
        </is>
      </c>
      <c r="N819" s="11" t="n">
        <v>1960</v>
      </c>
      <c r="O819" s="11" t="n"/>
      <c r="P819" s="11" t="n"/>
      <c r="Q819" s="11" t="n"/>
      <c r="R819" s="2" t="n"/>
      <c r="S819" s="2" t="n"/>
      <c r="T819" s="11" t="inlineStr"/>
      <c r="U819" s="11" t="inlineStr"/>
      <c r="V819" s="11" t="inlineStr">
        <is>
          <t>outside_list</t>
        </is>
      </c>
      <c r="W819" s="11" t="n"/>
      <c r="X819" s="11" t="n"/>
      <c r="Y819" s="11" t="n"/>
      <c r="Z819" s="11" t="inlineStr">
        <is>
          <t>Mr. Advocate</t>
        </is>
      </c>
      <c r="AA819" s="11" t="inlineStr">
        <is>
          <t>2026-10-07</t>
        </is>
      </c>
      <c r="AB819" s="11" t="inlineStr">
        <is>
          <t>name_year</t>
        </is>
      </c>
      <c r="AC819" s="2" t="inlineStr"/>
      <c r="AD819" s="2" t="inlineStr">
        <is>
          <t>The State v. Gurcharan Singh (1952) was overruled by State of Punjab v. Shadi Lal (1960).</t>
        </is>
      </c>
      <c r="AE819" s="2" t="n"/>
      <c r="AF819" s="11" t="inlineStr">
        <is>
          <t>created from list 1</t>
        </is>
      </c>
    </row>
    <row r="820">
      <c r="A820" s="11" t="inlineStr">
        <is>
          <t>L1-0819</t>
        </is>
      </c>
      <c r="B820" s="11" t="inlineStr">
        <is>
          <t>List 1 (to ~2015)</t>
        </is>
      </c>
      <c r="C820" s="11" t="inlineStr">
        <is>
          <t>list1</t>
        </is>
      </c>
      <c r="D820" s="11" t="inlineStr">
        <is>
          <t>verified</t>
        </is>
      </c>
      <c r="E820" s="11" t="inlineStr">
        <is>
          <t>reversed_on_appeal</t>
        </is>
      </c>
      <c r="F820" s="2" t="inlineStr">
        <is>
          <t>Nihal Singh and etc. v. State of Punjab and others</t>
        </is>
      </c>
      <c r="G820" s="11" t="inlineStr"/>
      <c r="H820" s="11" t="inlineStr">
        <is>
          <t>unknown</t>
        </is>
      </c>
      <c r="I820" s="2" t="inlineStr">
        <is>
          <t>(2000) CriLJ 3298; (2000) 2 ILR (P&amp;H) 345</t>
        </is>
      </c>
      <c r="J820" s="11" t="n">
        <v>2000</v>
      </c>
      <c r="K820" s="2" t="inlineStr">
        <is>
          <t>State of Punjab and Others v. Nihal Singh</t>
        </is>
      </c>
      <c r="L820" s="11" t="inlineStr">
        <is>
          <t>Supreme Court</t>
        </is>
      </c>
      <c r="M820" s="2" t="inlineStr">
        <is>
          <t>AIR 2002 SC 3568; (2002) CriLJ 4732; (2002) 7 JT 323; (2002) 7 SCALE 23; (2002) 7 SCC 513; (2002) 2 SCR 489 Supp</t>
        </is>
      </c>
      <c r="N820" s="11" t="n">
        <v>2002</v>
      </c>
      <c r="O820" s="11" t="n"/>
      <c r="P820" s="11" t="n"/>
      <c r="Q820" s="11" t="n"/>
      <c r="R820" s="2" t="n"/>
      <c r="S820" s="2" t="n"/>
      <c r="T820" s="11" t="inlineStr">
        <is>
          <t>yes</t>
        </is>
      </c>
      <c r="U820" s="11" t="inlineStr"/>
      <c r="V820" s="11" t="inlineStr">
        <is>
          <t>outside_list</t>
        </is>
      </c>
      <c r="W820" s="11" t="n"/>
      <c r="X820" s="11" t="n"/>
      <c r="Y820" s="11" t="n"/>
      <c r="Z820" s="11" t="inlineStr">
        <is>
          <t>Mr. Advocate</t>
        </is>
      </c>
      <c r="AA820" s="11" t="inlineStr">
        <is>
          <t>2026-10-07</t>
        </is>
      </c>
      <c r="AB820" s="11" t="inlineStr">
        <is>
          <t>name_year</t>
        </is>
      </c>
      <c r="AC820" s="2" t="inlineStr"/>
      <c r="AD820" s="2" t="inlineStr">
        <is>
          <t>Nihal Singh and etc. v. State of Punjab and others (2000) was reversed on appeal by the Supreme Court in State of Punjab and Others v. Nihal Singh (2002).</t>
        </is>
      </c>
      <c r="AE820" s="2" t="n"/>
      <c r="AF820" s="11" t="inlineStr">
        <is>
          <t>created from list 1</t>
        </is>
      </c>
    </row>
    <row r="821">
      <c r="A821" s="11" t="inlineStr">
        <is>
          <t>L1-0820</t>
        </is>
      </c>
      <c r="B821" s="11" t="inlineStr">
        <is>
          <t>List 1 (to ~2015)</t>
        </is>
      </c>
      <c r="C821" s="11" t="inlineStr">
        <is>
          <t>list1</t>
        </is>
      </c>
      <c r="D821" s="11" t="inlineStr">
        <is>
          <t>verified</t>
        </is>
      </c>
      <c r="E821" s="11" t="inlineStr">
        <is>
          <t>overruled</t>
        </is>
      </c>
      <c r="F821" s="2" t="inlineStr">
        <is>
          <t>Hari Kishan Chela Daya Singh v. The Shiromani Gurdwara Parbandhak Committee, Amritsar and Others</t>
        </is>
      </c>
      <c r="G821" s="11" t="inlineStr"/>
      <c r="H821" s="11" t="inlineStr">
        <is>
          <t>Punjab &amp; Haryana</t>
        </is>
      </c>
      <c r="I821" s="2" t="inlineStr">
        <is>
          <t>AIR 1976 P&amp;H 180; (1975) 2 ILR (P&amp;H) 569</t>
        </is>
      </c>
      <c r="J821" s="11" t="n">
        <v>1976</v>
      </c>
      <c r="K821" s="2" t="inlineStr">
        <is>
          <t>Uttam Das Chela Sunder Das v. Shiromani Gurdwara Parbandhak Committee, Amritsar</t>
        </is>
      </c>
      <c r="L821" s="11" t="inlineStr">
        <is>
          <t>Supreme Court</t>
        </is>
      </c>
      <c r="M821" s="2" t="inlineStr">
        <is>
          <t>AIR 1996 SC 2133; (1996) 5 JT 285; (1996) 4 SCALE 608; (1996) 5 SCC 71; (1996) 3 SCR 5 Supp</t>
        </is>
      </c>
      <c r="N821" s="11" t="n">
        <v>1996</v>
      </c>
      <c r="O821" s="11" t="n"/>
      <c r="P821" s="11" t="n"/>
      <c r="Q821" s="11" t="n"/>
      <c r="R821" s="2" t="n"/>
      <c r="S821" s="2" t="n"/>
      <c r="T821" s="11" t="inlineStr"/>
      <c r="U821" s="11" t="inlineStr"/>
      <c r="V821" s="11" t="inlineStr">
        <is>
          <t>outside_list</t>
        </is>
      </c>
      <c r="W821" s="11" t="n"/>
      <c r="X821" s="11" t="n"/>
      <c r="Y821" s="11" t="n"/>
      <c r="Z821" s="11" t="inlineStr">
        <is>
          <t>Mr. Advocate</t>
        </is>
      </c>
      <c r="AA821" s="11" t="inlineStr">
        <is>
          <t>2026-10-07</t>
        </is>
      </c>
      <c r="AB821" s="11" t="inlineStr">
        <is>
          <t>name_year</t>
        </is>
      </c>
      <c r="AC821" s="2" t="inlineStr"/>
      <c r="AD821" s="2" t="inlineStr">
        <is>
          <t>Hari Kishan Chela Daya Singh v. The Shiromani Gurdwara Parbandhak Committee, Amritsar and Others (1976) was overruled by Uttam Das Chela Sunder Das v. Shiromani Gurdwara Parbandhak Committee, Amritsar (1996).</t>
        </is>
      </c>
      <c r="AE821" s="2" t="n"/>
      <c r="AF821" s="11" t="inlineStr">
        <is>
          <t>created from list 1</t>
        </is>
      </c>
    </row>
    <row r="822">
      <c r="A822" s="11" t="inlineStr">
        <is>
          <t>L1-0821</t>
        </is>
      </c>
      <c r="B822" s="11" t="inlineStr">
        <is>
          <t>List 1 (to ~2015)</t>
        </is>
      </c>
      <c r="C822" s="11" t="inlineStr">
        <is>
          <t>list1</t>
        </is>
      </c>
      <c r="D822" s="11" t="inlineStr">
        <is>
          <t>verified</t>
        </is>
      </c>
      <c r="E822" s="11" t="inlineStr">
        <is>
          <t>reversed_on_appeal</t>
        </is>
      </c>
      <c r="F822" s="2" t="inlineStr">
        <is>
          <t>Assistant Collector of Central Excise v. National Tobacco Co. of India Ltd.</t>
        </is>
      </c>
      <c r="G822" s="11" t="inlineStr"/>
      <c r="H822" s="11" t="inlineStr">
        <is>
          <t>Calcutta</t>
        </is>
      </c>
      <c r="I822" s="2" t="inlineStr">
        <is>
          <t>AIR 1967 Cal 269; 71 CWN 1; (1968) 2 ILR (Cal) 634</t>
        </is>
      </c>
      <c r="J822" s="11" t="n">
        <v>1967</v>
      </c>
      <c r="K822" s="2" t="inlineStr">
        <is>
          <t>Assistant Collector of Central Excise, Calcutta Division v. National Tobacco Co. of India Ltd.</t>
        </is>
      </c>
      <c r="L822" s="11" t="inlineStr">
        <is>
          <t>Supreme Court</t>
        </is>
      </c>
      <c r="M822" s="2" t="inlineStr">
        <is>
          <t>AIR 1972 SC 2563; (1978) 2 ELT 416; (1972) 2 SCC 560; (1973) 1 SCR 822</t>
        </is>
      </c>
      <c r="N822" s="11" t="n">
        <v>1972</v>
      </c>
      <c r="O822" s="11" t="n"/>
      <c r="P822" s="11" t="n"/>
      <c r="Q822" s="11" t="n"/>
      <c r="R822" s="2" t="n"/>
      <c r="S822" s="2" t="n"/>
      <c r="T822" s="11" t="inlineStr">
        <is>
          <t>yes</t>
        </is>
      </c>
      <c r="U822" s="11" t="inlineStr"/>
      <c r="V822" s="11" t="inlineStr">
        <is>
          <t>outside_list</t>
        </is>
      </c>
      <c r="W822" s="11" t="n"/>
      <c r="X822" s="11" t="n"/>
      <c r="Y822" s="11" t="n"/>
      <c r="Z822" s="11" t="inlineStr">
        <is>
          <t>Mr. Advocate</t>
        </is>
      </c>
      <c r="AA822" s="11" t="inlineStr">
        <is>
          <t>2026-10-07</t>
        </is>
      </c>
      <c r="AB822" s="11" t="inlineStr">
        <is>
          <t>name_year</t>
        </is>
      </c>
      <c r="AC822" s="2" t="inlineStr"/>
      <c r="AD822" s="2" t="inlineStr">
        <is>
          <t>Assistant Collector of Central Excise v. National Tobacco Co. of India Ltd. (1967) was reversed on appeal by the Supreme Court in Assistant Collector of Central Excise, Calcutta Division v. National Tobacco Co. of India Ltd. (1972).</t>
        </is>
      </c>
      <c r="AE822" s="2" t="n"/>
      <c r="AF822" s="11" t="inlineStr">
        <is>
          <t>created from list 1</t>
        </is>
      </c>
    </row>
    <row r="823">
      <c r="A823" s="11" t="inlineStr">
        <is>
          <t>L1-0822</t>
        </is>
      </c>
      <c r="B823" s="11" t="inlineStr">
        <is>
          <t>List 1 (to ~2015)</t>
        </is>
      </c>
      <c r="C823" s="11" t="inlineStr">
        <is>
          <t>list1</t>
        </is>
      </c>
      <c r="D823" s="11" t="inlineStr">
        <is>
          <t>verified</t>
        </is>
      </c>
      <c r="E823" s="11" t="inlineStr">
        <is>
          <t>overruled</t>
        </is>
      </c>
      <c r="F823" s="2" t="inlineStr">
        <is>
          <t>Gram Panchayat Village, Bathoi Kalan, Patiala v. Jagar Ram and others</t>
        </is>
      </c>
      <c r="G823" s="11" t="inlineStr"/>
      <c r="H823" s="11" t="inlineStr">
        <is>
          <t>Punjab &amp; Haryana</t>
        </is>
      </c>
      <c r="I823" s="2" t="inlineStr">
        <is>
          <t>AIR 1991 P&amp;H 159; (1991) 1 ILR (P&amp;H) 187; (1991) 99 PLR 260</t>
        </is>
      </c>
      <c r="J823" s="11" t="n">
        <v>1991</v>
      </c>
      <c r="K823" s="2" t="inlineStr">
        <is>
          <t>Gram Panchayat of Village Naulakha v. Ujagar Singh and Others</t>
        </is>
      </c>
      <c r="L823" s="11" t="inlineStr">
        <is>
          <t>Supreme Court</t>
        </is>
      </c>
      <c r="M823" s="2" t="inlineStr">
        <is>
          <t>AIR 2000 SC 3272; (2000) 2 JT 1 Supp; (2000) 6 SCALE 681; (2000) 7 SCC 543; (2000) 3 SCR 457 Supp; (2000) AIRSCW 3659; (2000) 7 Supreme 102</t>
        </is>
      </c>
      <c r="N823" s="11" t="n">
        <v>2000</v>
      </c>
      <c r="O823" s="11" t="n"/>
      <c r="P823" s="11" t="n"/>
      <c r="Q823" s="11" t="n"/>
      <c r="R823" s="2" t="n"/>
      <c r="S823" s="2" t="n"/>
      <c r="T823" s="11" t="inlineStr"/>
      <c r="U823" s="11" t="inlineStr"/>
      <c r="V823" s="11" t="inlineStr">
        <is>
          <t>outside_list</t>
        </is>
      </c>
      <c r="W823" s="11" t="n"/>
      <c r="X823" s="11" t="n"/>
      <c r="Y823" s="11" t="n"/>
      <c r="Z823" s="11" t="inlineStr">
        <is>
          <t>Mr. Advocate</t>
        </is>
      </c>
      <c r="AA823" s="11" t="inlineStr">
        <is>
          <t>2026-10-07</t>
        </is>
      </c>
      <c r="AB823" s="11" t="inlineStr">
        <is>
          <t>name_year</t>
        </is>
      </c>
      <c r="AC823" s="2" t="inlineStr"/>
      <c r="AD823" s="2" t="inlineStr">
        <is>
          <t>Gram Panchayat Village, Bathoi Kalan, Patiala v. Jagar Ram and others (1991) was overruled by Gram Panchayat of Village Naulakha v. Ujagar Singh and Others (2000).</t>
        </is>
      </c>
      <c r="AE823" s="2" t="n"/>
      <c r="AF823" s="11" t="inlineStr">
        <is>
          <t>created from list 1</t>
        </is>
      </c>
    </row>
    <row r="824">
      <c r="A824" s="11" t="inlineStr">
        <is>
          <t>L1-0823</t>
        </is>
      </c>
      <c r="B824" s="11" t="inlineStr">
        <is>
          <t>List 1 (to ~2015)</t>
        </is>
      </c>
      <c r="C824" s="11" t="inlineStr">
        <is>
          <t>list1</t>
        </is>
      </c>
      <c r="D824" s="11" t="inlineStr">
        <is>
          <t>verified</t>
        </is>
      </c>
      <c r="E824" s="11" t="inlineStr">
        <is>
          <t>overruled</t>
        </is>
      </c>
      <c r="F824" s="2" t="inlineStr">
        <is>
          <t>Jaswant Singh v. The State of Haryana</t>
        </is>
      </c>
      <c r="G824" s="11" t="inlineStr"/>
      <c r="H824" s="11" t="inlineStr">
        <is>
          <t>Punjab &amp; Haryana</t>
        </is>
      </c>
      <c r="I824" s="2" t="inlineStr">
        <is>
          <t>AIR 1992 P&amp;H 295; (1992) 101 PLR 499</t>
        </is>
      </c>
      <c r="J824" s="11" t="n">
        <v>1992</v>
      </c>
      <c r="K824" s="2" t="inlineStr">
        <is>
          <t>Northern Indian Glass Industries v. Jaswant Singh and Others</t>
        </is>
      </c>
      <c r="L824" s="11" t="inlineStr">
        <is>
          <t>Supreme Court</t>
        </is>
      </c>
      <c r="M824" s="2" t="inlineStr">
        <is>
          <t>AIR 2003 SC 234; (2002) 9 JT 240; (2003) 1 SCC 335; (2003) 1 UJ 66</t>
        </is>
      </c>
      <c r="N824" s="11" t="n">
        <v>2003</v>
      </c>
      <c r="O824" s="11" t="n"/>
      <c r="P824" s="11" t="n"/>
      <c r="Q824" s="11" t="n"/>
      <c r="R824" s="2" t="n"/>
      <c r="S824" s="2" t="n"/>
      <c r="T824" s="11" t="inlineStr"/>
      <c r="U824" s="11" t="inlineStr"/>
      <c r="V824" s="11" t="inlineStr">
        <is>
          <t>outside_list</t>
        </is>
      </c>
      <c r="W824" s="11" t="n"/>
      <c r="X824" s="11" t="n"/>
      <c r="Y824" s="11" t="n"/>
      <c r="Z824" s="11" t="inlineStr">
        <is>
          <t>Mr. Advocate</t>
        </is>
      </c>
      <c r="AA824" s="11" t="inlineStr">
        <is>
          <t>2026-10-07</t>
        </is>
      </c>
      <c r="AB824" s="11" t="inlineStr">
        <is>
          <t>name_year</t>
        </is>
      </c>
      <c r="AC824" s="2" t="inlineStr"/>
      <c r="AD824" s="2" t="inlineStr">
        <is>
          <t>Jaswant Singh v. The State of Haryana (1992) was overruled by Northern Indian Glass Industries v. Jaswant Singh and Others (2003).</t>
        </is>
      </c>
      <c r="AE824" s="2" t="n"/>
      <c r="AF824" s="11" t="inlineStr">
        <is>
          <t>created from list 1</t>
        </is>
      </c>
    </row>
    <row r="825">
      <c r="A825" s="11" t="inlineStr">
        <is>
          <t>L1-0824</t>
        </is>
      </c>
      <c r="B825" s="11" t="inlineStr">
        <is>
          <t>List 1 (to ~2015)</t>
        </is>
      </c>
      <c r="C825" s="11" t="inlineStr">
        <is>
          <t>list1</t>
        </is>
      </c>
      <c r="D825" s="11" t="inlineStr">
        <is>
          <t>verified</t>
        </is>
      </c>
      <c r="E825" s="11" t="inlineStr">
        <is>
          <t>overruled</t>
        </is>
      </c>
      <c r="F825" s="2" t="inlineStr">
        <is>
          <t>Sujan Singh Matu Ram v. The State of Haryana</t>
        </is>
      </c>
      <c r="G825" s="11" t="inlineStr"/>
      <c r="H825" s="11" t="inlineStr">
        <is>
          <t>Punjab &amp; Haryana</t>
        </is>
      </c>
      <c r="I825" s="2" t="inlineStr">
        <is>
          <t>AIR 1968 P&amp;H 363; (1967) 2 ILR (P&amp;H) 790</t>
        </is>
      </c>
      <c r="J825" s="11" t="n">
        <v>1968</v>
      </c>
      <c r="K825" s="2" t="inlineStr">
        <is>
          <t>K. Ramanathan v. State of Tamil Nadu and Another</t>
        </is>
      </c>
      <c r="L825" s="11" t="inlineStr">
        <is>
          <t>Supreme Court</t>
        </is>
      </c>
      <c r="M825" s="2" t="inlineStr">
        <is>
          <t>AIR 1985 SC 660; (1985) 1 SCALE 510; (1985) 2 SCC 116; (1985) 2 SCR 1028</t>
        </is>
      </c>
      <c r="N825" s="11" t="n">
        <v>1985</v>
      </c>
      <c r="O825" s="11" t="n"/>
      <c r="P825" s="11" t="n"/>
      <c r="Q825" s="11" t="n"/>
      <c r="R825" s="2" t="n"/>
      <c r="S825" s="2" t="n"/>
      <c r="T825" s="11" t="inlineStr"/>
      <c r="U825" s="11" t="inlineStr"/>
      <c r="V825" s="11" t="inlineStr">
        <is>
          <t>outside_list</t>
        </is>
      </c>
      <c r="W825" s="11" t="n"/>
      <c r="X825" s="11" t="n"/>
      <c r="Y825" s="11" t="n"/>
      <c r="Z825" s="11" t="inlineStr">
        <is>
          <t>Mr. Advocate</t>
        </is>
      </c>
      <c r="AA825" s="11" t="inlineStr">
        <is>
          <t>2026-10-07</t>
        </is>
      </c>
      <c r="AB825" s="11" t="inlineStr">
        <is>
          <t>name_year</t>
        </is>
      </c>
      <c r="AC825" s="2" t="inlineStr"/>
      <c r="AD825" s="2" t="inlineStr">
        <is>
          <t>Sujan Singh Matu Ram v. The State of Haryana (1968) was overruled by K. Ramanathan v. State of Tamil Nadu and Another (1985).</t>
        </is>
      </c>
      <c r="AE825" s="2" t="n"/>
      <c r="AF825" s="11" t="inlineStr">
        <is>
          <t>created from list 1</t>
        </is>
      </c>
    </row>
    <row r="826">
      <c r="A826" s="11" t="inlineStr">
        <is>
          <t>L1-0825</t>
        </is>
      </c>
      <c r="B826" s="11" t="inlineStr">
        <is>
          <t>List 1 (to ~2015)</t>
        </is>
      </c>
      <c r="C826" s="11" t="inlineStr">
        <is>
          <t>list1</t>
        </is>
      </c>
      <c r="D826" s="11" t="inlineStr">
        <is>
          <t>verified</t>
        </is>
      </c>
      <c r="E826" s="11" t="inlineStr">
        <is>
          <t>reversed_on_appeal</t>
        </is>
      </c>
      <c r="F826" s="2" t="inlineStr">
        <is>
          <t>S. Teja Singh v. Satya and Others</t>
        </is>
      </c>
      <c r="G826" s="11" t="inlineStr"/>
      <c r="H826" s="11" t="inlineStr">
        <is>
          <t>Punjab &amp; Haryana</t>
        </is>
      </c>
      <c r="I826" s="2" t="inlineStr">
        <is>
          <t>AIR 1971 P&amp;H 80; (1971) CriLJ 399; (1971) 2 ILR (P&amp;H) 147</t>
        </is>
      </c>
      <c r="J826" s="11" t="n">
        <v>1971</v>
      </c>
      <c r="K826" s="2" t="inlineStr">
        <is>
          <t>Smt. Satya v. Shri Teja Singh</t>
        </is>
      </c>
      <c r="L826" s="11" t="inlineStr">
        <is>
          <t>Supreme Court</t>
        </is>
      </c>
      <c r="M826" s="2" t="inlineStr">
        <is>
          <t>AIR 1975 SC 105; (1975) CriLJ 52; (1975) 1 SCC 120; (1975) 2 SCR 197</t>
        </is>
      </c>
      <c r="N826" s="11" t="n">
        <v>1975</v>
      </c>
      <c r="O826" s="11" t="n"/>
      <c r="P826" s="11" t="n"/>
      <c r="Q826" s="11" t="n"/>
      <c r="R826" s="2" t="n"/>
      <c r="S826" s="2" t="n"/>
      <c r="T826" s="11" t="inlineStr">
        <is>
          <t>yes</t>
        </is>
      </c>
      <c r="U826" s="11" t="inlineStr"/>
      <c r="V826" s="11" t="inlineStr">
        <is>
          <t>outside_list</t>
        </is>
      </c>
      <c r="W826" s="11" t="n"/>
      <c r="X826" s="11" t="n"/>
      <c r="Y826" s="11" t="n"/>
      <c r="Z826" s="11" t="inlineStr">
        <is>
          <t>Mr. Advocate</t>
        </is>
      </c>
      <c r="AA826" s="11" t="inlineStr">
        <is>
          <t>2026-10-07</t>
        </is>
      </c>
      <c r="AB826" s="11" t="inlineStr">
        <is>
          <t>name_year</t>
        </is>
      </c>
      <c r="AC826" s="2" t="inlineStr"/>
      <c r="AD826" s="2" t="inlineStr">
        <is>
          <t>S. Teja Singh v. Satya and Others (1971) was reversed on appeal by the Supreme Court in Smt. Satya v. Shri Teja Singh (1975).</t>
        </is>
      </c>
      <c r="AE826" s="2" t="n"/>
      <c r="AF826" s="11" t="inlineStr">
        <is>
          <t>created from list 1</t>
        </is>
      </c>
    </row>
    <row r="827">
      <c r="A827" s="11" t="inlineStr">
        <is>
          <t>L1-0826</t>
        </is>
      </c>
      <c r="B827" s="11" t="inlineStr">
        <is>
          <t>List 1 (to ~2015)</t>
        </is>
      </c>
      <c r="C827" s="11" t="inlineStr">
        <is>
          <t>list1</t>
        </is>
      </c>
      <c r="D827" s="11" t="inlineStr">
        <is>
          <t>verified</t>
        </is>
      </c>
      <c r="E827" s="11" t="inlineStr">
        <is>
          <t>overruled</t>
        </is>
      </c>
      <c r="F827" s="2" t="inlineStr">
        <is>
          <t>Sohan Lal v. The State of Haryana and Others</t>
        </is>
      </c>
      <c r="G827" s="11" t="inlineStr"/>
      <c r="H827" s="11" t="inlineStr">
        <is>
          <t>Punjab &amp; Haryana</t>
        </is>
      </c>
      <c r="I827" s="2" t="inlineStr">
        <is>
          <t>AIR 1981 P&amp;H 346; (1982) 1 ILR (P&amp;H) 55</t>
        </is>
      </c>
      <c r="J827" s="11" t="n">
        <v>1981</v>
      </c>
      <c r="K827" s="2" t="inlineStr">
        <is>
          <t>Karnal Improvement Trust, Karnal v. Parkash Wanti (Smt) (Dead) and Another</t>
        </is>
      </c>
      <c r="L827" s="11" t="inlineStr">
        <is>
          <t>Supreme Court</t>
        </is>
      </c>
      <c r="M827" s="2" t="inlineStr">
        <is>
          <t>(1995) 5 JT 151; (1995) 3 SCALE 487; (1995) 5 SCC 159; (1995) 1 SCR 136 Supp</t>
        </is>
      </c>
      <c r="N827" s="11" t="n">
        <v>1995</v>
      </c>
      <c r="O827" s="11" t="n"/>
      <c r="P827" s="11" t="n"/>
      <c r="Q827" s="11" t="n"/>
      <c r="R827" s="2" t="n"/>
      <c r="S827" s="2" t="n"/>
      <c r="T827" s="11" t="inlineStr"/>
      <c r="U827" s="11" t="inlineStr"/>
      <c r="V827" s="11" t="inlineStr">
        <is>
          <t>outside_list</t>
        </is>
      </c>
      <c r="W827" s="11" t="n"/>
      <c r="X827" s="11" t="n"/>
      <c r="Y827" s="11" t="n"/>
      <c r="Z827" s="11" t="inlineStr">
        <is>
          <t>Mr. Advocate</t>
        </is>
      </c>
      <c r="AA827" s="11" t="inlineStr">
        <is>
          <t>2026-10-07</t>
        </is>
      </c>
      <c r="AB827" s="11" t="inlineStr">
        <is>
          <t>name_year</t>
        </is>
      </c>
      <c r="AC827" s="2" t="inlineStr"/>
      <c r="AD827" s="2" t="inlineStr">
        <is>
          <t>Sohan Lal v. The State of Haryana and Others (1981) was overruled by Karnal Improvement Trust, Karnal v. Parkash Wanti (Smt) (Dead) and Another (1995).</t>
        </is>
      </c>
      <c r="AE827" s="2" t="n"/>
      <c r="AF827" s="11" t="inlineStr">
        <is>
          <t>created from list 1</t>
        </is>
      </c>
    </row>
    <row r="828">
      <c r="A828" s="11" t="inlineStr">
        <is>
          <t>L1-0827</t>
        </is>
      </c>
      <c r="B828" s="11" t="inlineStr">
        <is>
          <t>List 1 (to ~2015)</t>
        </is>
      </c>
      <c r="C828" s="11" t="inlineStr">
        <is>
          <t>list1</t>
        </is>
      </c>
      <c r="D828" s="11" t="inlineStr">
        <is>
          <t>verified</t>
        </is>
      </c>
      <c r="E828" s="11" t="inlineStr">
        <is>
          <t>reversed_on_appeal</t>
        </is>
      </c>
      <c r="F828" s="2" t="inlineStr">
        <is>
          <t>Harbhajan Singh v. Financial Commissioner (Taxation) Punjab and another</t>
        </is>
      </c>
      <c r="G828" s="11" t="inlineStr"/>
      <c r="H828" s="11" t="inlineStr">
        <is>
          <t>Punjab &amp; Haryana</t>
        </is>
      </c>
      <c r="I828" s="2" t="inlineStr">
        <is>
          <t>AIR 1990 P&amp;H 237; (1990) 1 ILR (P&amp;H) 315; (1989) 95 PLR 358</t>
        </is>
      </c>
      <c r="J828" s="11" t="n">
        <v>1990</v>
      </c>
      <c r="K828" s="2" t="inlineStr">
        <is>
          <t>The Financial Commissioner (Texation) Punjab and others v. Harbhajan Singh</t>
        </is>
      </c>
      <c r="L828" s="11" t="inlineStr">
        <is>
          <t>Supreme Court</t>
        </is>
      </c>
      <c r="M828" s="2" t="inlineStr">
        <is>
          <t>(1996) 3 AD 669; AIR 1996 SC 3287; (1996) 4 JT 326; (1996) 114 PLR 223; (1996) 3 SCALE 561; (1996) 9 SCC 281; (1996) 3 SCR 812</t>
        </is>
      </c>
      <c r="N828" s="11" t="n">
        <v>1996</v>
      </c>
      <c r="O828" s="11" t="n"/>
      <c r="P828" s="11" t="n"/>
      <c r="Q828" s="11" t="n"/>
      <c r="R828" s="2" t="n"/>
      <c r="S828" s="2" t="n"/>
      <c r="T828" s="11" t="inlineStr">
        <is>
          <t>yes</t>
        </is>
      </c>
      <c r="U828" s="11" t="inlineStr"/>
      <c r="V828" s="11" t="inlineStr">
        <is>
          <t>outside_list</t>
        </is>
      </c>
      <c r="W828" s="11" t="n"/>
      <c r="X828" s="11" t="n"/>
      <c r="Y828" s="11" t="n"/>
      <c r="Z828" s="11" t="inlineStr">
        <is>
          <t>Mr. Advocate</t>
        </is>
      </c>
      <c r="AA828" s="11" t="inlineStr">
        <is>
          <t>2026-10-07</t>
        </is>
      </c>
      <c r="AB828" s="11" t="inlineStr">
        <is>
          <t>name_year</t>
        </is>
      </c>
      <c r="AC828" s="2" t="inlineStr"/>
      <c r="AD828" s="2" t="inlineStr">
        <is>
          <t>Harbhajan Singh v. Financial Commissioner (Taxation) Punjab and another (1990) was reversed on appeal by the Supreme Court in The Financial Commissioner (Texation) Punjab and others v. Harbhajan Singh (1996).</t>
        </is>
      </c>
      <c r="AE828" s="2" t="n"/>
      <c r="AF828" s="11" t="inlineStr">
        <is>
          <t>created from list 1</t>
        </is>
      </c>
    </row>
    <row r="829">
      <c r="A829" s="11" t="inlineStr">
        <is>
          <t>L1-0828</t>
        </is>
      </c>
      <c r="B829" s="11" t="inlineStr">
        <is>
          <t>List 1 (to ~2015)</t>
        </is>
      </c>
      <c r="C829" s="11" t="inlineStr">
        <is>
          <t>list1</t>
        </is>
      </c>
      <c r="D829" s="11" t="inlineStr">
        <is>
          <t>verified</t>
        </is>
      </c>
      <c r="E829" s="11" t="inlineStr">
        <is>
          <t>reversed_on_appeal</t>
        </is>
      </c>
      <c r="F829" s="2" t="inlineStr">
        <is>
          <t>Panipat Woollen and General Mills Co. Ltd. v. Commissioner of Income Tax</t>
        </is>
      </c>
      <c r="G829" s="11" t="inlineStr"/>
      <c r="H829" s="11" t="inlineStr">
        <is>
          <t>unknown</t>
        </is>
      </c>
      <c r="I829" s="2" t="inlineStr">
        <is>
          <t>(1970) 78 ITR 142</t>
        </is>
      </c>
      <c r="J829" s="11" t="n">
        <v>1970</v>
      </c>
      <c r="K829" s="2" t="inlineStr">
        <is>
          <t>Commissioner of Income Tax, Punjab, Haryana, J. and K., H.P. and Union Territory of Chandigarh v. Panipat Woollen and General Mills Co. Ltd.</t>
        </is>
      </c>
      <c r="L829" s="11" t="inlineStr">
        <is>
          <t>Supreme Court</t>
        </is>
      </c>
      <c r="M829" s="2" t="inlineStr">
        <is>
          <t>AIR 1976 SC 640(1); AIR 1976 SC 640; (1976) 103 ITR 66; (1976) 2 SCC 5; (1976) 3 SCR 186</t>
        </is>
      </c>
      <c r="N829" s="11" t="n">
        <v>1976</v>
      </c>
      <c r="O829" s="11" t="n"/>
      <c r="P829" s="11" t="n"/>
      <c r="Q829" s="11" t="n"/>
      <c r="R829" s="2" t="n"/>
      <c r="S829" s="2" t="n"/>
      <c r="T829" s="11" t="inlineStr">
        <is>
          <t>yes</t>
        </is>
      </c>
      <c r="U829" s="11" t="inlineStr"/>
      <c r="V829" s="11" t="inlineStr">
        <is>
          <t>outside_list</t>
        </is>
      </c>
      <c r="W829" s="11" t="n"/>
      <c r="X829" s="11" t="n"/>
      <c r="Y829" s="11" t="n"/>
      <c r="Z829" s="11" t="inlineStr">
        <is>
          <t>Mr. Advocate</t>
        </is>
      </c>
      <c r="AA829" s="11" t="inlineStr">
        <is>
          <t>2026-10-07</t>
        </is>
      </c>
      <c r="AB829" s="11" t="inlineStr">
        <is>
          <t>name_year</t>
        </is>
      </c>
      <c r="AC829" s="2" t="inlineStr"/>
      <c r="AD829" s="2" t="inlineStr">
        <is>
          <t>Panipat Woollen and General Mills Co. Ltd. v. Commissioner of Income Tax (1970) was reversed on appeal by the Supreme Court in Commissioner of Income Tax, Punjab, Haryana, J. and K., H.P. and Union Territory of Chandigarh v. Panipat Woollen and General Mills Co. Ltd. (1976).</t>
        </is>
      </c>
      <c r="AE829" s="2" t="n"/>
      <c r="AF829" s="11" t="inlineStr">
        <is>
          <t>created from list 1</t>
        </is>
      </c>
    </row>
    <row r="830">
      <c r="A830" s="11" t="inlineStr">
        <is>
          <t>L1-0829</t>
        </is>
      </c>
      <c r="B830" s="11" t="inlineStr">
        <is>
          <t>List 1 (to ~2015)</t>
        </is>
      </c>
      <c r="C830" s="11" t="inlineStr">
        <is>
          <t>list1</t>
        </is>
      </c>
      <c r="D830" s="11" t="inlineStr">
        <is>
          <t>verified</t>
        </is>
      </c>
      <c r="E830" s="11" t="inlineStr">
        <is>
          <t>overruled</t>
        </is>
      </c>
      <c r="F830" s="2" t="inlineStr">
        <is>
          <t>Kulbhushan Kumar and Co. v. State of Punjab and Another</t>
        </is>
      </c>
      <c r="G830" s="11" t="inlineStr"/>
      <c r="H830" s="11" t="inlineStr">
        <is>
          <t>Punjab &amp; Haryana</t>
        </is>
      </c>
      <c r="I830" s="2" t="inlineStr">
        <is>
          <t>AIR 1984 P&amp;H 55</t>
        </is>
      </c>
      <c r="J830" s="11" t="n">
        <v>1984</v>
      </c>
      <c r="K830" s="2" t="inlineStr">
        <is>
          <t>Union of India (UOI) v. Sher Singh and Others</t>
        </is>
      </c>
      <c r="L830" s="11" t="inlineStr">
        <is>
          <t>Supreme Court</t>
        </is>
      </c>
      <c r="M830" s="2" t="inlineStr">
        <is>
          <t>(1993) 3 JT 693; (1994) 106 PLR 216; (1993) 1 SCALE 209; (1993) 1 SCC 608; (1993) 1 SCR 326</t>
        </is>
      </c>
      <c r="N830" s="11" t="n">
        <v>1993</v>
      </c>
      <c r="O830" s="11" t="n"/>
      <c r="P830" s="11" t="n"/>
      <c r="Q830" s="11" t="n"/>
      <c r="R830" s="2" t="n"/>
      <c r="S830" s="2" t="n"/>
      <c r="T830" s="11" t="inlineStr"/>
      <c r="U830" s="11" t="inlineStr"/>
      <c r="V830" s="11" t="inlineStr">
        <is>
          <t>outside_list</t>
        </is>
      </c>
      <c r="W830" s="11" t="n"/>
      <c r="X830" s="11" t="n"/>
      <c r="Y830" s="11" t="n"/>
      <c r="Z830" s="11" t="inlineStr">
        <is>
          <t>Mr. Advocate</t>
        </is>
      </c>
      <c r="AA830" s="11" t="inlineStr">
        <is>
          <t>2026-10-07</t>
        </is>
      </c>
      <c r="AB830" s="11" t="inlineStr">
        <is>
          <t>name_year</t>
        </is>
      </c>
      <c r="AC830" s="2" t="inlineStr"/>
      <c r="AD830" s="2" t="inlineStr">
        <is>
          <t>Kulbhushan Kumar and Co. v. State of Punjab and Another (1984) was overruled by Union of India (UOI) v. Sher Singh and Others (1993).</t>
        </is>
      </c>
      <c r="AE830" s="2" t="n"/>
      <c r="AF830" s="11" t="inlineStr">
        <is>
          <t>created from list 1</t>
        </is>
      </c>
    </row>
    <row r="831">
      <c r="A831" s="11" t="inlineStr">
        <is>
          <t>L1-0830</t>
        </is>
      </c>
      <c r="B831" s="11" t="inlineStr">
        <is>
          <t>List 1 (to ~2015)</t>
        </is>
      </c>
      <c r="C831" s="11" t="inlineStr">
        <is>
          <t>list1</t>
        </is>
      </c>
      <c r="D831" s="11" t="inlineStr">
        <is>
          <t>verified</t>
        </is>
      </c>
      <c r="E831" s="11" t="inlineStr">
        <is>
          <t>overruled</t>
        </is>
      </c>
      <c r="F831" s="2" t="inlineStr">
        <is>
          <t>Ahmed Mia and Others v. Emperor</t>
        </is>
      </c>
      <c r="G831" s="11" t="inlineStr"/>
      <c r="H831" s="11" t="inlineStr">
        <is>
          <t>Calcutta</t>
        </is>
      </c>
      <c r="I831" s="2" t="inlineStr">
        <is>
          <t>AIR 1944 Cal 243</t>
        </is>
      </c>
      <c r="J831" s="11" t="n">
        <v>1944</v>
      </c>
      <c r="K831" s="2" t="inlineStr">
        <is>
          <t>State of Kerala v. Babu and Ors</t>
        </is>
      </c>
      <c r="L831" s="11" t="inlineStr">
        <is>
          <t>Supreme Court</t>
        </is>
      </c>
      <c r="M831" s="2" t="inlineStr">
        <is>
          <t>AIR 1999 SC 2161; (1999) CriLJ 3491; (1999) 3 Crimes 27; (1999) 3 JT 394; (1999) 3 SCALE 83; (1999) 4 SCC 621; (1999) 2 SCR 978; (1999) 2 UJ 938; (1999) AIRSCW 2172; (1999) 4 Supreme 412</t>
        </is>
      </c>
      <c r="N831" s="11" t="n">
        <v>1999</v>
      </c>
      <c r="O831" s="11" t="n"/>
      <c r="P831" s="11" t="n"/>
      <c r="Q831" s="11" t="n"/>
      <c r="R831" s="2" t="n"/>
      <c r="S831" s="2" t="n"/>
      <c r="T831" s="11" t="inlineStr"/>
      <c r="U831" s="11" t="inlineStr"/>
      <c r="V831" s="11" t="inlineStr">
        <is>
          <t>outside_list</t>
        </is>
      </c>
      <c r="W831" s="11" t="n"/>
      <c r="X831" s="11" t="n"/>
      <c r="Y831" s="11" t="n"/>
      <c r="Z831" s="11" t="inlineStr">
        <is>
          <t>Mr. Advocate</t>
        </is>
      </c>
      <c r="AA831" s="11" t="inlineStr">
        <is>
          <t>2026-10-07</t>
        </is>
      </c>
      <c r="AB831" s="11" t="inlineStr">
        <is>
          <t>name_year</t>
        </is>
      </c>
      <c r="AC831" s="2" t="inlineStr"/>
      <c r="AD831" s="2" t="inlineStr">
        <is>
          <t>Ahmed Mia and Others v. Emperor (1944) was overruled by State of Kerala v. Babu and Ors (1999).</t>
        </is>
      </c>
      <c r="AE831" s="2" t="n"/>
      <c r="AF831" s="11" t="inlineStr">
        <is>
          <t>created from list 1</t>
        </is>
      </c>
    </row>
    <row r="832">
      <c r="A832" s="11" t="inlineStr">
        <is>
          <t>L1-0831</t>
        </is>
      </c>
      <c r="B832" s="11" t="inlineStr">
        <is>
          <t>List 1 (to ~2015)</t>
        </is>
      </c>
      <c r="C832" s="11" t="inlineStr">
        <is>
          <t>list1</t>
        </is>
      </c>
      <c r="D832" s="11" t="inlineStr">
        <is>
          <t>verified</t>
        </is>
      </c>
      <c r="E832" s="11" t="inlineStr">
        <is>
          <t>overruled</t>
        </is>
      </c>
      <c r="F832" s="2" t="inlineStr">
        <is>
          <t>State of Haryana v. Rohtas and Others</t>
        </is>
      </c>
      <c r="G832" s="11" t="inlineStr"/>
      <c r="H832" s="11" t="inlineStr">
        <is>
          <t>unknown</t>
        </is>
      </c>
      <c r="I832" s="2" t="inlineStr">
        <is>
          <t>(2007) 2 RCR(Criminal) 543</t>
        </is>
      </c>
      <c r="J832" s="11" t="n">
        <v>2007</v>
      </c>
      <c r="K832" s="2" t="inlineStr">
        <is>
          <t>Rohtash v. State of Haryana</t>
        </is>
      </c>
      <c r="L832" s="11" t="inlineStr">
        <is>
          <t>Supreme Court</t>
        </is>
      </c>
      <c r="M832" s="2" t="inlineStr">
        <is>
          <t>AIR 2012 SC 2297; (2012) CriLJ 3189; (2012) 5 SCALE 578; (2012) 6 SCC 589; (2012) AIRSCW 3318; (2012) 4 Supreme 88</t>
        </is>
      </c>
      <c r="N832" s="11" t="n">
        <v>2012</v>
      </c>
      <c r="O832" s="11" t="n"/>
      <c r="P832" s="11" t="n"/>
      <c r="Q832" s="11" t="n"/>
      <c r="R832" s="2" t="n"/>
      <c r="S832" s="2" t="n"/>
      <c r="T832" s="11" t="inlineStr"/>
      <c r="U832" s="11" t="inlineStr"/>
      <c r="V832" s="11" t="inlineStr">
        <is>
          <t>outside_list</t>
        </is>
      </c>
      <c r="W832" s="11" t="n"/>
      <c r="X832" s="11" t="n"/>
      <c r="Y832" s="11" t="n"/>
      <c r="Z832" s="11" t="inlineStr">
        <is>
          <t>Mr. Advocate</t>
        </is>
      </c>
      <c r="AA832" s="11" t="inlineStr">
        <is>
          <t>2026-10-07</t>
        </is>
      </c>
      <c r="AB832" s="11" t="inlineStr">
        <is>
          <t>name_year</t>
        </is>
      </c>
      <c r="AC832" s="2" t="inlineStr"/>
      <c r="AD832" s="2" t="inlineStr">
        <is>
          <t>State of Haryana v. Rohtas and Others (2007) was overruled by Rohtash v. State of Haryana (2012).</t>
        </is>
      </c>
      <c r="AE832" s="2" t="n"/>
      <c r="AF832" s="11" t="inlineStr">
        <is>
          <t>created from list 1</t>
        </is>
      </c>
    </row>
    <row r="833">
      <c r="A833" s="11" t="inlineStr">
        <is>
          <t>L1-0832</t>
        </is>
      </c>
      <c r="B833" s="11" t="inlineStr">
        <is>
          <t>List 1 (to ~2015)</t>
        </is>
      </c>
      <c r="C833" s="11" t="inlineStr">
        <is>
          <t>list1</t>
        </is>
      </c>
      <c r="D833" s="11" t="inlineStr">
        <is>
          <t>verified</t>
        </is>
      </c>
      <c r="E833" s="11" t="inlineStr">
        <is>
          <t>overruled</t>
        </is>
      </c>
      <c r="F833" s="2" t="inlineStr">
        <is>
          <t>Hari Krishan Khosla (decd.) and Others v. The Union of India (UOI) and Another</t>
        </is>
      </c>
      <c r="G833" s="11" t="inlineStr"/>
      <c r="H833" s="11" t="inlineStr">
        <is>
          <t>Punjab &amp; Haryana</t>
        </is>
      </c>
      <c r="I833" s="2" t="inlineStr">
        <is>
          <t>AIR 1975 P&amp;H 74; (1974) 2 ILR (P&amp;H) 577</t>
        </is>
      </c>
      <c r="J833" s="11" t="n">
        <v>1975</v>
      </c>
      <c r="K833" s="2" t="inlineStr">
        <is>
          <t>Union of India (UOI) v. Gurbachan Singh and Others</t>
        </is>
      </c>
      <c r="L833" s="11" t="inlineStr">
        <is>
          <t>Supreme Court</t>
        </is>
      </c>
      <c r="M833" s="2" t="inlineStr">
        <is>
          <t>(1994) 5 SCALE 62; (1995) 1 SCC 292</t>
        </is>
      </c>
      <c r="N833" s="11" t="n">
        <v>1994</v>
      </c>
      <c r="O833" s="11" t="n"/>
      <c r="P833" s="11" t="n"/>
      <c r="Q833" s="11" t="n"/>
      <c r="R833" s="2" t="n"/>
      <c r="S833" s="2" t="n"/>
      <c r="T833" s="11" t="inlineStr"/>
      <c r="U833" s="11" t="inlineStr"/>
      <c r="V833" s="11" t="inlineStr">
        <is>
          <t>outside_list</t>
        </is>
      </c>
      <c r="W833" s="11" t="n"/>
      <c r="X833" s="11" t="n"/>
      <c r="Y833" s="11" t="n"/>
      <c r="Z833" s="11" t="inlineStr">
        <is>
          <t>Mr. Advocate</t>
        </is>
      </c>
      <c r="AA833" s="11" t="inlineStr">
        <is>
          <t>2026-10-07</t>
        </is>
      </c>
      <c r="AB833" s="11" t="inlineStr">
        <is>
          <t>name_year</t>
        </is>
      </c>
      <c r="AC833" s="2" t="inlineStr"/>
      <c r="AD833" s="2" t="inlineStr">
        <is>
          <t>Hari Krishan Khosla (decd.) and Others v. The Union of India (UOI) and Another (1975) was overruled by Union of India (UOI) v. Gurbachan Singh and Others (1994).</t>
        </is>
      </c>
      <c r="AE833" s="2" t="n"/>
      <c r="AF833" s="11" t="inlineStr">
        <is>
          <t>created from list 1</t>
        </is>
      </c>
    </row>
    <row r="834">
      <c r="A834" s="11" t="inlineStr">
        <is>
          <t>L1-0833</t>
        </is>
      </c>
      <c r="B834" s="11" t="inlineStr">
        <is>
          <t>List 1 (to ~2015)</t>
        </is>
      </c>
      <c r="C834" s="11" t="inlineStr">
        <is>
          <t>list1</t>
        </is>
      </c>
      <c r="D834" s="11" t="inlineStr">
        <is>
          <t>verified</t>
        </is>
      </c>
      <c r="E834" s="11" t="inlineStr">
        <is>
          <t>reversed_on_appeal</t>
        </is>
      </c>
      <c r="F834" s="2" t="inlineStr">
        <is>
          <t>Vijay Singh Lamba v. The Panjab University, Chandigarh</t>
        </is>
      </c>
      <c r="G834" s="11" t="inlineStr"/>
      <c r="H834" s="11" t="inlineStr">
        <is>
          <t>Punjab &amp; Haryana</t>
        </is>
      </c>
      <c r="I834" s="2" t="inlineStr">
        <is>
          <t>AIR 1976 P&amp;H 143; (1975) 2 ILR (P&amp;H) 665</t>
        </is>
      </c>
      <c r="J834" s="11" t="n">
        <v>1976</v>
      </c>
      <c r="K834" s="2" t="inlineStr">
        <is>
          <t>The Punjab University, Chandigarh v. Vijay Singh Lamba and Others</t>
        </is>
      </c>
      <c r="L834" s="11" t="inlineStr">
        <is>
          <t>Supreme Court</t>
        </is>
      </c>
      <c r="M834" s="2" t="inlineStr">
        <is>
          <t>AIR 1976 SC 1441; (1976) 3 SCC 344; (1976) SCR 67 Supp; (1976) 8 UJ 536</t>
        </is>
      </c>
      <c r="N834" s="11" t="n">
        <v>1976</v>
      </c>
      <c r="O834" s="11" t="n"/>
      <c r="P834" s="11" t="n"/>
      <c r="Q834" s="11" t="n"/>
      <c r="R834" s="2" t="n"/>
      <c r="S834" s="2" t="n"/>
      <c r="T834" s="11" t="inlineStr">
        <is>
          <t>yes</t>
        </is>
      </c>
      <c r="U834" s="11" t="inlineStr"/>
      <c r="V834" s="11" t="inlineStr">
        <is>
          <t>outside_list</t>
        </is>
      </c>
      <c r="W834" s="11" t="n"/>
      <c r="X834" s="11" t="n"/>
      <c r="Y834" s="11" t="n"/>
      <c r="Z834" s="11" t="inlineStr">
        <is>
          <t>Mr. Advocate</t>
        </is>
      </c>
      <c r="AA834" s="11" t="inlineStr">
        <is>
          <t>2026-10-07</t>
        </is>
      </c>
      <c r="AB834" s="11" t="inlineStr">
        <is>
          <t>name_year</t>
        </is>
      </c>
      <c r="AC834" s="2" t="inlineStr"/>
      <c r="AD834" s="2" t="inlineStr">
        <is>
          <t>Vijay Singh Lamba v. The Panjab University, Chandigarh (1976) was reversed on appeal by the Supreme Court in The Punjab University, Chandigarh v. Vijay Singh Lamba and Others (1976).</t>
        </is>
      </c>
      <c r="AE834" s="2" t="n"/>
      <c r="AF834" s="11" t="inlineStr">
        <is>
          <t>created from list 1</t>
        </is>
      </c>
    </row>
    <row r="835">
      <c r="A835" s="11" t="inlineStr">
        <is>
          <t>L1-0834</t>
        </is>
      </c>
      <c r="B835" s="11" t="inlineStr">
        <is>
          <t>List 1 (to ~2015)</t>
        </is>
      </c>
      <c r="C835" s="11" t="inlineStr">
        <is>
          <t>list1</t>
        </is>
      </c>
      <c r="D835" s="11" t="inlineStr">
        <is>
          <t>verified</t>
        </is>
      </c>
      <c r="E835" s="11" t="inlineStr">
        <is>
          <t>overruled</t>
        </is>
      </c>
      <c r="F835" s="2" t="inlineStr">
        <is>
          <t>Chanan Mal v. The State of Haryana and Another</t>
        </is>
      </c>
      <c r="G835" s="11" t="inlineStr"/>
      <c r="H835" s="11" t="inlineStr">
        <is>
          <t>Punjab &amp; Haryana</t>
        </is>
      </c>
      <c r="I835" s="2" t="inlineStr">
        <is>
          <t>AIR 1975 P&amp;H 102</t>
        </is>
      </c>
      <c r="J835" s="11" t="n">
        <v>1975</v>
      </c>
      <c r="K835" s="2" t="inlineStr">
        <is>
          <t>D. Chattaiah and Another v. State of Andhra Pradesh</t>
        </is>
      </c>
      <c r="L835" s="11" t="inlineStr">
        <is>
          <t>Supreme Court</t>
        </is>
      </c>
      <c r="M835" s="2" t="inlineStr">
        <is>
          <t>AIR 1978 SC 1441; (1979) 1 SCC 128; (1978) SCC(Cri) 569; (1978) 10 UJ 894</t>
        </is>
      </c>
      <c r="N835" s="11" t="n">
        <v>1978</v>
      </c>
      <c r="O835" s="11" t="n"/>
      <c r="P835" s="11" t="n"/>
      <c r="Q835" s="11" t="n"/>
      <c r="R835" s="2" t="n"/>
      <c r="S835" s="2" t="n"/>
      <c r="T835" s="11" t="inlineStr"/>
      <c r="U835" s="11" t="inlineStr"/>
      <c r="V835" s="11" t="inlineStr">
        <is>
          <t>outside_list</t>
        </is>
      </c>
      <c r="W835" s="11" t="n"/>
      <c r="X835" s="11" t="n"/>
      <c r="Y835" s="11" t="n"/>
      <c r="Z835" s="11" t="inlineStr">
        <is>
          <t>Mr. Advocate</t>
        </is>
      </c>
      <c r="AA835" s="11" t="inlineStr">
        <is>
          <t>2026-10-07</t>
        </is>
      </c>
      <c r="AB835" s="11" t="inlineStr">
        <is>
          <t>name_year</t>
        </is>
      </c>
      <c r="AC835" s="2" t="inlineStr"/>
      <c r="AD835" s="2" t="inlineStr">
        <is>
          <t>Chanan Mal v. The State of Haryana and Another (1975) was overruled by D. Chattaiah and Another v. State of Andhra Pradesh (1978).</t>
        </is>
      </c>
      <c r="AE835" s="2" t="n"/>
      <c r="AF835" s="11" t="inlineStr">
        <is>
          <t>created from list 1</t>
        </is>
      </c>
    </row>
    <row r="836">
      <c r="A836" s="11" t="inlineStr">
        <is>
          <t>L1-0835</t>
        </is>
      </c>
      <c r="B836" s="11" t="inlineStr">
        <is>
          <t>List 1 (to ~2015)</t>
        </is>
      </c>
      <c r="C836" s="11" t="inlineStr">
        <is>
          <t>list1</t>
        </is>
      </c>
      <c r="D836" s="11" t="inlineStr">
        <is>
          <t>verified</t>
        </is>
      </c>
      <c r="E836" s="11" t="inlineStr">
        <is>
          <t>overruled</t>
        </is>
      </c>
      <c r="F836" s="2" t="inlineStr">
        <is>
          <t>Joginder Singh and Others v. Director, Consolidation of Holdings, Punjab, Chandigarh and Others</t>
        </is>
      </c>
      <c r="G836" s="11" t="inlineStr"/>
      <c r="H836" s="11" t="inlineStr">
        <is>
          <t>Punjab &amp; Haryana</t>
        </is>
      </c>
      <c r="I836" s="2" t="inlineStr">
        <is>
          <t>AIR 1989 P&amp;H 234; (1989) 1 ILR (P&amp;H) 64</t>
        </is>
      </c>
      <c r="J836" s="11" t="n">
        <v>1989</v>
      </c>
      <c r="K836" s="2" t="inlineStr">
        <is>
          <t>Swaran Singh and others v. State of Punjab and others</t>
        </is>
      </c>
      <c r="L836" s="11" t="inlineStr">
        <is>
          <t>Supreme Court</t>
        </is>
      </c>
      <c r="M836" s="2" t="inlineStr">
        <is>
          <t>AIR 1994 SC 2301; (1994) 3 JT 203; (1994) 108 PLR 206; (1994) 2 SCALE 557; (1994) 3 SCC 544; (1994) 1 UJ 678</t>
        </is>
      </c>
      <c r="N836" s="11" t="n">
        <v>1994</v>
      </c>
      <c r="O836" s="11" t="n"/>
      <c r="P836" s="11" t="n"/>
      <c r="Q836" s="11" t="n"/>
      <c r="R836" s="2" t="n"/>
      <c r="S836" s="2" t="n"/>
      <c r="T836" s="11" t="inlineStr"/>
      <c r="U836" s="11" t="inlineStr"/>
      <c r="V836" s="11" t="inlineStr">
        <is>
          <t>outside_list</t>
        </is>
      </c>
      <c r="W836" s="11" t="n"/>
      <c r="X836" s="11" t="n"/>
      <c r="Y836" s="11" t="n"/>
      <c r="Z836" s="11" t="inlineStr">
        <is>
          <t>Mr. Advocate</t>
        </is>
      </c>
      <c r="AA836" s="11" t="inlineStr">
        <is>
          <t>2026-10-07</t>
        </is>
      </c>
      <c r="AB836" s="11" t="inlineStr">
        <is>
          <t>name_year</t>
        </is>
      </c>
      <c r="AC836" s="2" t="inlineStr"/>
      <c r="AD836" s="2" t="inlineStr">
        <is>
          <t>Joginder Singh and Others v. Director, Consolidation of Holdings, Punjab, Chandigarh and Others (1989) was overruled by Swaran Singh and others v. State of Punjab and others (1994).</t>
        </is>
      </c>
      <c r="AE836" s="2" t="n"/>
      <c r="AF836" s="11" t="inlineStr">
        <is>
          <t>created from list 1</t>
        </is>
      </c>
    </row>
    <row r="837">
      <c r="A837" s="11" t="inlineStr">
        <is>
          <t>L1-0836</t>
        </is>
      </c>
      <c r="B837" s="11" t="inlineStr">
        <is>
          <t>List 1 (to ~2015)</t>
        </is>
      </c>
      <c r="C837" s="11" t="inlineStr">
        <is>
          <t>list1</t>
        </is>
      </c>
      <c r="D837" s="11" t="inlineStr">
        <is>
          <t>verified</t>
        </is>
      </c>
      <c r="E837" s="11" t="inlineStr">
        <is>
          <t>reversed_on_appeal</t>
        </is>
      </c>
      <c r="F837" s="2" t="inlineStr">
        <is>
          <t>Commissioner of Income Tax v. Saraswati Industrial Syndicate Ltd.</t>
        </is>
      </c>
      <c r="G837" s="11" t="inlineStr"/>
      <c r="H837" s="11" t="inlineStr">
        <is>
          <t>unknown</t>
        </is>
      </c>
      <c r="I837" s="2" t="inlineStr">
        <is>
          <t>(1982) 136 ITR 366</t>
        </is>
      </c>
      <c r="J837" s="11" t="n">
        <v>1982</v>
      </c>
      <c r="K837" s="2" t="inlineStr">
        <is>
          <t>Saraswati Industrial Syndicate Ltd. v. Commissioner of Income Tax</t>
        </is>
      </c>
      <c r="L837" s="11" t="inlineStr">
        <is>
          <t>Supreme Court</t>
        </is>
      </c>
      <c r="M837" s="2" t="inlineStr">
        <is>
          <t>AIR 1991 SC 70; (1990) 3 CompLJ 200; (1990) 88 CTR 61; (1990) 186 ITR 278; (1990) 4 JT 353; (1990) 1 SCC 675 Supp; (1990) SCC 675 Supp; (1990) 1 SCR 332 Supp; (1990) 2 UJ 633</t>
        </is>
      </c>
      <c r="N837" s="11" t="n">
        <v>1991</v>
      </c>
      <c r="O837" s="11" t="n"/>
      <c r="P837" s="11" t="n"/>
      <c r="Q837" s="11" t="n"/>
      <c r="R837" s="2" t="n"/>
      <c r="S837" s="2" t="n"/>
      <c r="T837" s="11" t="inlineStr">
        <is>
          <t>yes</t>
        </is>
      </c>
      <c r="U837" s="11" t="inlineStr"/>
      <c r="V837" s="11" t="inlineStr">
        <is>
          <t>outside_list</t>
        </is>
      </c>
      <c r="W837" s="11" t="n"/>
      <c r="X837" s="11" t="n"/>
      <c r="Y837" s="11" t="n"/>
      <c r="Z837" s="11" t="inlineStr">
        <is>
          <t>Mr. Advocate</t>
        </is>
      </c>
      <c r="AA837" s="11" t="inlineStr">
        <is>
          <t>2026-10-07</t>
        </is>
      </c>
      <c r="AB837" s="11" t="inlineStr">
        <is>
          <t>name_year</t>
        </is>
      </c>
      <c r="AC837" s="2" t="inlineStr"/>
      <c r="AD837" s="2" t="inlineStr">
        <is>
          <t>Commissioner of Income Tax v. Saraswati Industrial Syndicate Ltd. (1982) was reversed on appeal by the Supreme Court in Saraswati Industrial Syndicate Ltd. v. Commissioner of Income Tax (1991).</t>
        </is>
      </c>
      <c r="AE837" s="2" t="n"/>
      <c r="AF837" s="11" t="inlineStr">
        <is>
          <t>created from list 1</t>
        </is>
      </c>
    </row>
    <row r="838">
      <c r="A838" s="11" t="inlineStr">
        <is>
          <t>L1-0837</t>
        </is>
      </c>
      <c r="B838" s="11" t="inlineStr">
        <is>
          <t>List 1 (to ~2015)</t>
        </is>
      </c>
      <c r="C838" s="11" t="inlineStr">
        <is>
          <t>list1</t>
        </is>
      </c>
      <c r="D838" s="11" t="inlineStr">
        <is>
          <t>verified</t>
        </is>
      </c>
      <c r="E838" s="11" t="inlineStr">
        <is>
          <t>reversed_on_appeal</t>
        </is>
      </c>
      <c r="F838" s="2" t="inlineStr">
        <is>
          <t>Som Lal v. Vijay Laxmi</t>
        </is>
      </c>
      <c r="G838" s="11" t="inlineStr"/>
      <c r="H838" s="11" t="inlineStr">
        <is>
          <t>unknown</t>
        </is>
      </c>
      <c r="I838" s="2" t="inlineStr">
        <is>
          <t>(2006) 143 PLR 81(1)</t>
        </is>
      </c>
      <c r="J838" s="11" t="n">
        <v>2006</v>
      </c>
      <c r="K838" s="2" t="inlineStr">
        <is>
          <t>Som Lal v. Vijay Laxmi and Others</t>
        </is>
      </c>
      <c r="L838" s="11" t="inlineStr">
        <is>
          <t>Supreme Court</t>
        </is>
      </c>
      <c r="M838" s="2" t="inlineStr">
        <is>
          <t>AIR 2008 SC 2088; (2008) 4 JT 403; (2008) 151 PLR 435; (2008) 4 SCALE 554; (2008) 11 SCC 413; (2008) 1 UJ 527; (2008) AIRSCW 2750</t>
        </is>
      </c>
      <c r="N838" s="11" t="n">
        <v>2008</v>
      </c>
      <c r="O838" s="11" t="n"/>
      <c r="P838" s="11" t="n"/>
      <c r="Q838" s="11" t="n"/>
      <c r="R838" s="2" t="n"/>
      <c r="S838" s="2" t="n"/>
      <c r="T838" s="11" t="inlineStr">
        <is>
          <t>yes</t>
        </is>
      </c>
      <c r="U838" s="11" t="inlineStr"/>
      <c r="V838" s="11" t="inlineStr">
        <is>
          <t>outside_list</t>
        </is>
      </c>
      <c r="W838" s="11" t="n"/>
      <c r="X838" s="11" t="n"/>
      <c r="Y838" s="11" t="n"/>
      <c r="Z838" s="11" t="inlineStr">
        <is>
          <t>Mr. Advocate</t>
        </is>
      </c>
      <c r="AA838" s="11" t="inlineStr">
        <is>
          <t>2026-10-07</t>
        </is>
      </c>
      <c r="AB838" s="11" t="inlineStr">
        <is>
          <t>name_year</t>
        </is>
      </c>
      <c r="AC838" s="2" t="inlineStr"/>
      <c r="AD838" s="2" t="inlineStr">
        <is>
          <t>Som Lal v. Vijay Laxmi (2006) was reversed on appeal by the Supreme Court in Som Lal v. Vijay Laxmi and Others (2008).</t>
        </is>
      </c>
      <c r="AE838" s="2" t="n"/>
      <c r="AF838" s="11" t="inlineStr">
        <is>
          <t>created from list 1</t>
        </is>
      </c>
    </row>
    <row r="839">
      <c r="A839" s="11" t="inlineStr">
        <is>
          <t>L1-0838</t>
        </is>
      </c>
      <c r="B839" s="11" t="inlineStr">
        <is>
          <t>List 1 (to ~2015)</t>
        </is>
      </c>
      <c r="C839" s="11" t="inlineStr">
        <is>
          <t>list1</t>
        </is>
      </c>
      <c r="D839" s="11" t="inlineStr">
        <is>
          <t>verified</t>
        </is>
      </c>
      <c r="E839" s="11" t="inlineStr">
        <is>
          <t>overruled</t>
        </is>
      </c>
      <c r="F839" s="2" t="inlineStr">
        <is>
          <t>State of Punjab v. S. Sukhbans Singh</t>
        </is>
      </c>
      <c r="G839" s="11" t="inlineStr"/>
      <c r="H839" s="11" t="inlineStr">
        <is>
          <t>Punjab &amp; Haryana</t>
        </is>
      </c>
      <c r="I839" s="2" t="inlineStr">
        <is>
          <t>AIR 1957 P&amp;H 191</t>
        </is>
      </c>
      <c r="J839" s="11" t="n">
        <v>1957</v>
      </c>
      <c r="K839" s="2" t="inlineStr">
        <is>
          <t>Parshotam Lal Dhingra v. Union of India (UOI)</t>
        </is>
      </c>
      <c r="L839" s="11" t="inlineStr">
        <is>
          <t>Supreme Court</t>
        </is>
      </c>
      <c r="M839" s="2" t="inlineStr">
        <is>
          <t>AIR 1958 SC 36; (1958) 1 LLJ 544; (1958) 1 SCR 828</t>
        </is>
      </c>
      <c r="N839" s="11" t="n">
        <v>1958</v>
      </c>
      <c r="O839" s="11" t="n"/>
      <c r="P839" s="11" t="n"/>
      <c r="Q839" s="11" t="n"/>
      <c r="R839" s="2" t="n"/>
      <c r="S839" s="2" t="n"/>
      <c r="T839" s="11" t="inlineStr"/>
      <c r="U839" s="11" t="inlineStr"/>
      <c r="V839" s="11" t="inlineStr">
        <is>
          <t>outside_list</t>
        </is>
      </c>
      <c r="W839" s="11" t="n"/>
      <c r="X839" s="11" t="n"/>
      <c r="Y839" s="11" t="n"/>
      <c r="Z839" s="11" t="inlineStr">
        <is>
          <t>Mr. Advocate</t>
        </is>
      </c>
      <c r="AA839" s="11" t="inlineStr">
        <is>
          <t>2026-10-07</t>
        </is>
      </c>
      <c r="AB839" s="11" t="inlineStr">
        <is>
          <t>name_year</t>
        </is>
      </c>
      <c r="AC839" s="2" t="inlineStr"/>
      <c r="AD839" s="2" t="inlineStr">
        <is>
          <t>State of Punjab v. S. Sukhbans Singh (1957) was overruled by Parshotam Lal Dhingra v. Union of India (UOI) (1958).</t>
        </is>
      </c>
      <c r="AE839" s="2" t="n"/>
      <c r="AF839" s="11" t="inlineStr">
        <is>
          <t>created from list 1</t>
        </is>
      </c>
    </row>
    <row r="840">
      <c r="A840" s="11" t="inlineStr">
        <is>
          <t>L1-0839</t>
        </is>
      </c>
      <c r="B840" s="11" t="inlineStr">
        <is>
          <t>List 1 (to ~2015)</t>
        </is>
      </c>
      <c r="C840" s="11" t="inlineStr">
        <is>
          <t>list1</t>
        </is>
      </c>
      <c r="D840" s="11" t="inlineStr">
        <is>
          <t>verified</t>
        </is>
      </c>
      <c r="E840" s="11" t="inlineStr">
        <is>
          <t>overruled</t>
        </is>
      </c>
      <c r="F840" s="2" t="inlineStr">
        <is>
          <t>Munshi Ram v. Presiding Officer Labour Court and Another</t>
        </is>
      </c>
      <c r="G840" s="11" t="inlineStr"/>
      <c r="H840" s="11" t="inlineStr">
        <is>
          <t>unknown</t>
        </is>
      </c>
      <c r="I840" s="2" t="inlineStr">
        <is>
          <t>(2002) 3 LLJ 93</t>
        </is>
      </c>
      <c r="J840" s="11" t="n">
        <v>2002</v>
      </c>
      <c r="K840" s="2" t="inlineStr">
        <is>
          <t>Municipal Committee, Sirsa v. Munshi Ram</t>
        </is>
      </c>
      <c r="L840" s="11" t="inlineStr">
        <is>
          <t>Supreme Court</t>
        </is>
      </c>
      <c r="M840" s="2" t="inlineStr">
        <is>
          <t>AIR 2005 SC 792; (2005) 105 FLR 66; (2005) 2 JT 117; (2005) 1 LLJ 1077; (2005) 2 SCC 382; (2005) SCC(L&amp;S) 277; (2005) 1 UJ 398; (2005) AIRSCW 762; (2005) 1 Supreme 818</t>
        </is>
      </c>
      <c r="N840" s="11" t="n">
        <v>2005</v>
      </c>
      <c r="O840" s="11" t="n"/>
      <c r="P840" s="11" t="n"/>
      <c r="Q840" s="11" t="n"/>
      <c r="R840" s="2" t="n"/>
      <c r="S840" s="2" t="n"/>
      <c r="T840" s="11" t="inlineStr"/>
      <c r="U840" s="11" t="inlineStr"/>
      <c r="V840" s="11" t="inlineStr">
        <is>
          <t>outside_list</t>
        </is>
      </c>
      <c r="W840" s="11" t="n"/>
      <c r="X840" s="11" t="n"/>
      <c r="Y840" s="11" t="n"/>
      <c r="Z840" s="11" t="inlineStr">
        <is>
          <t>Mr. Advocate</t>
        </is>
      </c>
      <c r="AA840" s="11" t="inlineStr">
        <is>
          <t>2026-10-07</t>
        </is>
      </c>
      <c r="AB840" s="11" t="inlineStr">
        <is>
          <t>name_year</t>
        </is>
      </c>
      <c r="AC840" s="2" t="inlineStr"/>
      <c r="AD840" s="2" t="inlineStr">
        <is>
          <t>Munshi Ram v. Presiding Officer Labour Court and Another (2002) was overruled by Municipal Committee, Sirsa v. Munshi Ram (2005).</t>
        </is>
      </c>
      <c r="AE840" s="2" t="n"/>
      <c r="AF840" s="11" t="inlineStr">
        <is>
          <t>created from list 1</t>
        </is>
      </c>
    </row>
    <row r="841">
      <c r="A841" s="11" t="inlineStr">
        <is>
          <t>L1-0840</t>
        </is>
      </c>
      <c r="B841" s="11" t="inlineStr">
        <is>
          <t>List 1 (to ~2015)</t>
        </is>
      </c>
      <c r="C841" s="11" t="inlineStr">
        <is>
          <t>list1</t>
        </is>
      </c>
      <c r="D841" s="11" t="inlineStr">
        <is>
          <t>verified</t>
        </is>
      </c>
      <c r="E841" s="11" t="inlineStr">
        <is>
          <t>overruled</t>
        </is>
      </c>
      <c r="F841" s="2" t="inlineStr">
        <is>
          <t>Managing Society, Goswami Ganesh Dutt Sanatan Dharam College v. Union Territory, Chandigarh Administration, Chandigarh and others</t>
        </is>
      </c>
      <c r="G841" s="11" t="inlineStr"/>
      <c r="H841" s="11" t="inlineStr">
        <is>
          <t>Punjab &amp; Haryana</t>
        </is>
      </c>
      <c r="I841" s="2" t="inlineStr">
        <is>
          <t>AIR 1992 P&amp;H 284; (1993) 2 ILR (P&amp;H) 362; (1993) 105 PLR 173</t>
        </is>
      </c>
      <c r="J841" s="11" t="n">
        <v>1992</v>
      </c>
      <c r="K841" s="2" t="inlineStr">
        <is>
          <t>Union Territory, Chandigarh Admn. and others v. Managing Society, Goswami, GDSDC</t>
        </is>
      </c>
      <c r="L841" s="11" t="inlineStr">
        <is>
          <t>Supreme Court</t>
        </is>
      </c>
      <c r="M841" s="2" t="inlineStr">
        <is>
          <t>(1996) 2 AD 311; AIR 1996 SC 1759; (1996) 113 PLR 685; (1996) 2 SCALE 126; (1996) 7 SCC 665; (1996) 2 SCR 620</t>
        </is>
      </c>
      <c r="N841" s="11" t="n">
        <v>1996</v>
      </c>
      <c r="O841" s="11" t="n"/>
      <c r="P841" s="11" t="n"/>
      <c r="Q841" s="11" t="n"/>
      <c r="R841" s="2" t="n"/>
      <c r="S841" s="2" t="n"/>
      <c r="T841" s="11" t="inlineStr"/>
      <c r="U841" s="11" t="inlineStr"/>
      <c r="V841" s="11" t="inlineStr">
        <is>
          <t>outside_list</t>
        </is>
      </c>
      <c r="W841" s="11" t="n"/>
      <c r="X841" s="11" t="n"/>
      <c r="Y841" s="11" t="n"/>
      <c r="Z841" s="11" t="inlineStr">
        <is>
          <t>Mr. Advocate</t>
        </is>
      </c>
      <c r="AA841" s="11" t="inlineStr">
        <is>
          <t>2026-10-07</t>
        </is>
      </c>
      <c r="AB841" s="11" t="inlineStr">
        <is>
          <t>name_year</t>
        </is>
      </c>
      <c r="AC841" s="2" t="inlineStr"/>
      <c r="AD841" s="2" t="inlineStr">
        <is>
          <t>Managing Society, Goswami Ganesh Dutt Sanatan Dharam College v. Union Territory, Chandigarh Administration, Chandigarh and others (1992) was overruled by Union Territory, Chandigarh Admn. and others v. Managing Society, Goswami, GDSDC (1996).</t>
        </is>
      </c>
      <c r="AE841" s="2" t="n"/>
      <c r="AF841" s="11" t="inlineStr">
        <is>
          <t>created from list 1</t>
        </is>
      </c>
    </row>
    <row r="842">
      <c r="A842" s="11" t="inlineStr">
        <is>
          <t>L1-0841</t>
        </is>
      </c>
      <c r="B842" s="11" t="inlineStr">
        <is>
          <t>List 1 (to ~2015)</t>
        </is>
      </c>
      <c r="C842" s="11" t="inlineStr">
        <is>
          <t>list1</t>
        </is>
      </c>
      <c r="D842" s="11" t="inlineStr">
        <is>
          <t>verified</t>
        </is>
      </c>
      <c r="E842" s="11" t="inlineStr">
        <is>
          <t>reversed_on_appeal</t>
        </is>
      </c>
      <c r="F842" s="2" t="inlineStr">
        <is>
          <t>Nagin Chand v. Shadi Lal and Others</t>
        </is>
      </c>
      <c r="G842" s="11" t="inlineStr"/>
      <c r="H842" s="11" t="inlineStr">
        <is>
          <t>Punjab &amp; Haryana</t>
        </is>
      </c>
      <c r="I842" s="2" t="inlineStr">
        <is>
          <t>AIR 1970 P&amp;H 522; (1971) 2 ILR (P&amp;H) 544</t>
        </is>
      </c>
      <c r="J842" s="11" t="n">
        <v>1970</v>
      </c>
      <c r="K842" s="2" t="inlineStr">
        <is>
          <t>Shadi Lal v. Nagin Chand and Others</t>
        </is>
      </c>
      <c r="L842" s="11" t="inlineStr">
        <is>
          <t>Supreme Court</t>
        </is>
      </c>
      <c r="M842" s="2" t="inlineStr">
        <is>
          <t>AIR 1973 SC 776; (1973) 1 SCC 185; (1973) 2 SCR 598; (1973) 5 UJ 415</t>
        </is>
      </c>
      <c r="N842" s="11" t="n">
        <v>1973</v>
      </c>
      <c r="O842" s="11" t="n"/>
      <c r="P842" s="11" t="n"/>
      <c r="Q842" s="11" t="n"/>
      <c r="R842" s="2" t="n"/>
      <c r="S842" s="2" t="n"/>
      <c r="T842" s="11" t="inlineStr">
        <is>
          <t>yes</t>
        </is>
      </c>
      <c r="U842" s="11" t="inlineStr"/>
      <c r="V842" s="11" t="inlineStr">
        <is>
          <t>outside_list</t>
        </is>
      </c>
      <c r="W842" s="11" t="n"/>
      <c r="X842" s="11" t="n"/>
      <c r="Y842" s="11" t="n"/>
      <c r="Z842" s="11" t="inlineStr">
        <is>
          <t>Mr. Advocate</t>
        </is>
      </c>
      <c r="AA842" s="11" t="inlineStr">
        <is>
          <t>2026-10-07</t>
        </is>
      </c>
      <c r="AB842" s="11" t="inlineStr">
        <is>
          <t>name_year</t>
        </is>
      </c>
      <c r="AC842" s="2" t="inlineStr"/>
      <c r="AD842" s="2" t="inlineStr">
        <is>
          <t>Nagin Chand v. Shadi Lal and Others (1970) was reversed on appeal by the Supreme Court in Shadi Lal v. Nagin Chand and Others (1973).</t>
        </is>
      </c>
      <c r="AE842" s="2" t="n"/>
      <c r="AF842" s="11" t="inlineStr">
        <is>
          <t>created from list 1</t>
        </is>
      </c>
    </row>
    <row r="843">
      <c r="A843" s="11" t="inlineStr">
        <is>
          <t>L1-0842</t>
        </is>
      </c>
      <c r="B843" s="11" t="inlineStr">
        <is>
          <t>List 1 (to ~2015)</t>
        </is>
      </c>
      <c r="C843" s="11" t="inlineStr">
        <is>
          <t>list1</t>
        </is>
      </c>
      <c r="D843" s="11" t="inlineStr">
        <is>
          <t>verified</t>
        </is>
      </c>
      <c r="E843" s="11" t="inlineStr">
        <is>
          <t>overruled</t>
        </is>
      </c>
      <c r="F843" s="2" t="inlineStr">
        <is>
          <t>Mohinder Singh Sawhney v. State of Punjab and Others</t>
        </is>
      </c>
      <c r="G843" s="11" t="inlineStr"/>
      <c r="H843" s="11" t="inlineStr">
        <is>
          <t>Punjab &amp; Haryana</t>
        </is>
      </c>
      <c r="I843" s="2" t="inlineStr">
        <is>
          <t>AIR 1968 P&amp;H 391; (1969) 1 ILR (P&amp;H) 1</t>
        </is>
      </c>
      <c r="J843" s="11" t="n">
        <v>1968</v>
      </c>
      <c r="K843" s="2" t="inlineStr">
        <is>
          <t>D.R. Gurushantappa v. Abdul Khuddus Anwar and Others</t>
        </is>
      </c>
      <c r="L843" s="11" t="inlineStr">
        <is>
          <t>Supreme Court</t>
        </is>
      </c>
      <c r="M843" s="2" t="inlineStr">
        <is>
          <t>AIR 1969 SC 744; (1969) LabIC 1139; (1969) 1 SCC 466; (1969) 3 SCR 425</t>
        </is>
      </c>
      <c r="N843" s="11" t="n">
        <v>1969</v>
      </c>
      <c r="O843" s="11" t="n"/>
      <c r="P843" s="11" t="n"/>
      <c r="Q843" s="11" t="n"/>
      <c r="R843" s="2" t="n"/>
      <c r="S843" s="2" t="n"/>
      <c r="T843" s="11" t="inlineStr"/>
      <c r="U843" s="11" t="inlineStr"/>
      <c r="V843" s="11" t="inlineStr">
        <is>
          <t>outside_list</t>
        </is>
      </c>
      <c r="W843" s="11" t="n"/>
      <c r="X843" s="11" t="n"/>
      <c r="Y843" s="11" t="n"/>
      <c r="Z843" s="11" t="inlineStr">
        <is>
          <t>Mr. Advocate</t>
        </is>
      </c>
      <c r="AA843" s="11" t="inlineStr">
        <is>
          <t>2026-10-07</t>
        </is>
      </c>
      <c r="AB843" s="11" t="inlineStr">
        <is>
          <t>name_year</t>
        </is>
      </c>
      <c r="AC843" s="2" t="inlineStr"/>
      <c r="AD843" s="2" t="inlineStr">
        <is>
          <t>Mohinder Singh Sawhney v. State of Punjab and Others (1968) was overruled by D.R. Gurushantappa v. Abdul Khuddus Anwar and Others (1969).</t>
        </is>
      </c>
      <c r="AE843" s="2" t="n"/>
      <c r="AF843" s="11" t="inlineStr">
        <is>
          <t>created from list 1</t>
        </is>
      </c>
    </row>
    <row r="844">
      <c r="A844" s="11" t="inlineStr">
        <is>
          <t>L1-0843</t>
        </is>
      </c>
      <c r="B844" s="11" t="inlineStr">
        <is>
          <t>List 1 (to ~2015)</t>
        </is>
      </c>
      <c r="C844" s="11" t="inlineStr">
        <is>
          <t>list1</t>
        </is>
      </c>
      <c r="D844" s="11" t="inlineStr">
        <is>
          <t>verified</t>
        </is>
      </c>
      <c r="E844" s="11" t="inlineStr">
        <is>
          <t>reversed_on_appeal</t>
        </is>
      </c>
      <c r="F844" s="2" t="inlineStr">
        <is>
          <t>State of Punjab and Others v. Appar Apar Singh</t>
        </is>
      </c>
      <c r="G844" s="11" t="inlineStr"/>
      <c r="H844" s="11" t="inlineStr">
        <is>
          <t>Punjab &amp; Haryana</t>
        </is>
      </c>
      <c r="I844" s="2" t="inlineStr">
        <is>
          <t>AIR 1967 P&amp;H 139</t>
        </is>
      </c>
      <c r="J844" s="11" t="n">
        <v>1967</v>
      </c>
      <c r="K844" s="2" t="inlineStr">
        <is>
          <t>Appar Apar Singh v. The State of Punjab and Others</t>
        </is>
      </c>
      <c r="L844" s="11" t="inlineStr">
        <is>
          <t>Supreme Court</t>
        </is>
      </c>
      <c r="M844" s="2" t="inlineStr">
        <is>
          <t>(1970) 2 LLJ 686; (1970) 3 SCC 338; (1971) 2 SCR 890; (1971) 2 SLJ 71</t>
        </is>
      </c>
      <c r="N844" s="11" t="n">
        <v>1970</v>
      </c>
      <c r="O844" s="11" t="n"/>
      <c r="P844" s="11" t="n"/>
      <c r="Q844" s="11" t="n"/>
      <c r="R844" s="2" t="n"/>
      <c r="S844" s="2" t="n"/>
      <c r="T844" s="11" t="inlineStr">
        <is>
          <t>yes</t>
        </is>
      </c>
      <c r="U844" s="11" t="inlineStr"/>
      <c r="V844" s="11" t="inlineStr">
        <is>
          <t>outside_list</t>
        </is>
      </c>
      <c r="W844" s="11" t="n"/>
      <c r="X844" s="11" t="n"/>
      <c r="Y844" s="11" t="n"/>
      <c r="Z844" s="11" t="inlineStr">
        <is>
          <t>Mr. Advocate</t>
        </is>
      </c>
      <c r="AA844" s="11" t="inlineStr">
        <is>
          <t>2026-10-07</t>
        </is>
      </c>
      <c r="AB844" s="11" t="inlineStr">
        <is>
          <t>name_year</t>
        </is>
      </c>
      <c r="AC844" s="2" t="inlineStr"/>
      <c r="AD844" s="2" t="inlineStr">
        <is>
          <t>State of Punjab and Others v. Appar Apar Singh (1967) was reversed on appeal by the Supreme Court in Appar Apar Singh v. The State of Punjab and Others (1970).</t>
        </is>
      </c>
      <c r="AE844" s="2" t="n"/>
      <c r="AF844" s="11" t="inlineStr">
        <is>
          <t>created from list 1</t>
        </is>
      </c>
    </row>
    <row r="845">
      <c r="A845" s="11" t="inlineStr">
        <is>
          <t>L1-0844</t>
        </is>
      </c>
      <c r="B845" s="11" t="inlineStr">
        <is>
          <t>List 1 (to ~2015)</t>
        </is>
      </c>
      <c r="C845" s="11" t="inlineStr">
        <is>
          <t>list1</t>
        </is>
      </c>
      <c r="D845" s="11" t="inlineStr">
        <is>
          <t>verified</t>
        </is>
      </c>
      <c r="E845" s="11" t="inlineStr">
        <is>
          <t>overruled</t>
        </is>
      </c>
      <c r="F845" s="2" t="inlineStr">
        <is>
          <t>Suraj Bhan and Others v. Balwan Singh</t>
        </is>
      </c>
      <c r="G845" s="11" t="inlineStr"/>
      <c r="H845" s="11" t="inlineStr">
        <is>
          <t>Punjab &amp; Haryana</t>
        </is>
      </c>
      <c r="I845" s="2" t="inlineStr">
        <is>
          <t>AIR 1972 P&amp;H 276</t>
        </is>
      </c>
      <c r="J845" s="11" t="n">
        <v>1972</v>
      </c>
      <c r="K845" s="2" t="inlineStr">
        <is>
          <t>Karuppaswamy and Others v. C. Ramamurthy</t>
        </is>
      </c>
      <c r="L845" s="11" t="inlineStr">
        <is>
          <t>Supreme Court</t>
        </is>
      </c>
      <c r="M845" s="2" t="inlineStr">
        <is>
          <t>AIR 1993 SC 2324; (1993) 2 BC 341; (1993) 4 JT 192; (1993) 3 SCALE 165; (1993) 4 SCC 41; (1993) 1 SCR 121 Supp</t>
        </is>
      </c>
      <c r="N845" s="11" t="n">
        <v>1993</v>
      </c>
      <c r="O845" s="11" t="n"/>
      <c r="P845" s="11" t="n"/>
      <c r="Q845" s="11" t="n"/>
      <c r="R845" s="2" t="n"/>
      <c r="S845" s="2" t="n"/>
      <c r="T845" s="11" t="inlineStr"/>
      <c r="U845" s="11" t="inlineStr"/>
      <c r="V845" s="11" t="inlineStr">
        <is>
          <t>outside_list</t>
        </is>
      </c>
      <c r="W845" s="11" t="n"/>
      <c r="X845" s="11" t="n"/>
      <c r="Y845" s="11" t="n"/>
      <c r="Z845" s="11" t="inlineStr">
        <is>
          <t>Mr. Advocate</t>
        </is>
      </c>
      <c r="AA845" s="11" t="inlineStr">
        <is>
          <t>2026-10-07</t>
        </is>
      </c>
      <c r="AB845" s="11" t="inlineStr">
        <is>
          <t>name_year</t>
        </is>
      </c>
      <c r="AC845" s="2" t="inlineStr"/>
      <c r="AD845" s="2" t="inlineStr">
        <is>
          <t>Suraj Bhan and Others v. Balwan Singh (1972) was overruled by Karuppaswamy and Others v. C. Ramamurthy (1993).</t>
        </is>
      </c>
      <c r="AE845" s="2" t="n"/>
      <c r="AF845" s="11" t="inlineStr">
        <is>
          <t>created from list 1</t>
        </is>
      </c>
    </row>
    <row r="846">
      <c r="A846" s="11" t="inlineStr">
        <is>
          <t>L1-0845</t>
        </is>
      </c>
      <c r="B846" s="11" t="inlineStr">
        <is>
          <t>List 1 (to ~2015)</t>
        </is>
      </c>
      <c r="C846" s="11" t="inlineStr">
        <is>
          <t>list1</t>
        </is>
      </c>
      <c r="D846" s="11" t="inlineStr">
        <is>
          <t>verified</t>
        </is>
      </c>
      <c r="E846" s="11" t="inlineStr">
        <is>
          <t>reversed_on_appeal</t>
        </is>
      </c>
      <c r="F846" s="2" t="inlineStr">
        <is>
          <t>Commissioner of Income Tax v. State Bank of Patiala</t>
        </is>
      </c>
      <c r="G846" s="11" t="inlineStr"/>
      <c r="H846" s="11" t="inlineStr">
        <is>
          <t>unknown</t>
        </is>
      </c>
      <c r="I846" s="2" t="inlineStr">
        <is>
          <t>(1992) 106 CTR 277; (1993) 203 ITR 150</t>
        </is>
      </c>
      <c r="J846" s="11" t="n">
        <v>1992</v>
      </c>
      <c r="K846" s="2" t="inlineStr">
        <is>
          <t>State Bank of Patiala, Patiala v. Commissioner of Income Tax, Patiala</t>
        </is>
      </c>
      <c r="L846" s="11" t="inlineStr">
        <is>
          <t>Supreme Court</t>
        </is>
      </c>
      <c r="M846" s="2" t="inlineStr">
        <is>
          <t>(1996) 4 AD 1; AIR 1996 SC 1525; (1996) 132 CTR 273; (1996) 219 ITR 706; (1996) 3 JT 317; (1996) 2 SCALE 871; (1996) 3 SCC 513; (1996) 3 SCR 359; (1996) 85 TAXMAN 416</t>
        </is>
      </c>
      <c r="N846" s="11" t="n">
        <v>1996</v>
      </c>
      <c r="O846" s="11" t="n"/>
      <c r="P846" s="11" t="n"/>
      <c r="Q846" s="11" t="n"/>
      <c r="R846" s="2" t="n"/>
      <c r="S846" s="2" t="n"/>
      <c r="T846" s="11" t="inlineStr">
        <is>
          <t>yes</t>
        </is>
      </c>
      <c r="U846" s="11" t="inlineStr">
        <is>
          <t>needs_citation_or_year</t>
        </is>
      </c>
      <c r="V846" s="11" t="inlineStr">
        <is>
          <t>outside_list</t>
        </is>
      </c>
      <c r="W846" s="11" t="n"/>
      <c r="X846" s="11" t="n"/>
      <c r="Y846" s="11" t="n"/>
      <c r="Z846" s="11" t="inlineStr">
        <is>
          <t>Mr. Advocate</t>
        </is>
      </c>
      <c r="AA846" s="11" t="inlineStr">
        <is>
          <t>2026-10-07</t>
        </is>
      </c>
      <c r="AB846" s="11" t="inlineStr">
        <is>
          <t>none</t>
        </is>
      </c>
      <c r="AC846" s="2" t="inlineStr"/>
      <c r="AD846" s="2" t="inlineStr">
        <is>
          <t>Commissioner of Income Tax v. State Bank of Patiala (1992) was reversed on appeal by the Supreme Court in State Bank of Patiala, Patiala v. Commissioner of Income Tax, Patiala (1996).</t>
        </is>
      </c>
      <c r="AE846" s="2" t="n"/>
      <c r="AF846" s="11" t="inlineStr">
        <is>
          <t>created from list 1</t>
        </is>
      </c>
    </row>
    <row r="847">
      <c r="A847" s="11" t="inlineStr">
        <is>
          <t>L1-0846</t>
        </is>
      </c>
      <c r="B847" s="11" t="inlineStr">
        <is>
          <t>List 1 (to ~2015)</t>
        </is>
      </c>
      <c r="C847" s="11" t="inlineStr">
        <is>
          <t>list1</t>
        </is>
      </c>
      <c r="D847" s="11" t="inlineStr">
        <is>
          <t>verified</t>
        </is>
      </c>
      <c r="E847" s="11" t="inlineStr">
        <is>
          <t>overruled</t>
        </is>
      </c>
      <c r="F847" s="2" t="inlineStr">
        <is>
          <t>Commissioner of Income Tax v. Smt. Sushma Saxena</t>
        </is>
      </c>
      <c r="G847" s="11" t="inlineStr"/>
      <c r="H847" s="11" t="inlineStr">
        <is>
          <t>unknown</t>
        </is>
      </c>
      <c r="I847" s="2" t="inlineStr">
        <is>
          <t>(1997) 143 CTR 269; (1997) 223 ITR 395</t>
        </is>
      </c>
      <c r="J847" s="11" t="n">
        <v>1997</v>
      </c>
      <c r="K847" s="2" t="inlineStr">
        <is>
          <t>M/s. K. Govindan and Sons. v. Commissioner of Income Tax Cochin</t>
        </is>
      </c>
      <c r="L847" s="11" t="inlineStr">
        <is>
          <t>unknown</t>
        </is>
      </c>
      <c r="M847" s="2" t="inlineStr">
        <is>
          <t>(2000) 8 SCALE 47; (2000) 5 SCR 285 Supp; (2000) AIRSCW 4389; (2000) 8 Supreme 65</t>
        </is>
      </c>
      <c r="N847" s="11" t="n">
        <v>2000</v>
      </c>
      <c r="O847" s="11" t="n"/>
      <c r="P847" s="11" t="n"/>
      <c r="Q847" s="11" t="n"/>
      <c r="R847" s="2" t="n"/>
      <c r="S847" s="2" t="n"/>
      <c r="T847" s="11" t="inlineStr"/>
      <c r="U847" s="11" t="inlineStr"/>
      <c r="V847" s="11" t="inlineStr">
        <is>
          <t>outside_list</t>
        </is>
      </c>
      <c r="W847" s="11" t="n"/>
      <c r="X847" s="11" t="n"/>
      <c r="Y847" s="11" t="n"/>
      <c r="Z847" s="11" t="inlineStr">
        <is>
          <t>Mr. Advocate</t>
        </is>
      </c>
      <c r="AA847" s="11" t="inlineStr">
        <is>
          <t>2026-10-07</t>
        </is>
      </c>
      <c r="AB847" s="11" t="inlineStr">
        <is>
          <t>name_year</t>
        </is>
      </c>
      <c r="AC847" s="2" t="inlineStr"/>
      <c r="AD847" s="2" t="inlineStr">
        <is>
          <t>Commissioner of Income Tax v. Smt. Sushma Saxena (1997) was overruled by M/s. K. Govindan and Sons. v. Commissioner of Income Tax Cochin (2000).</t>
        </is>
      </c>
      <c r="AE847" s="2" t="n"/>
      <c r="AF847" s="11" t="inlineStr">
        <is>
          <t>created from list 1</t>
        </is>
      </c>
    </row>
    <row r="848">
      <c r="A848" s="11" t="inlineStr">
        <is>
          <t>L1-0847</t>
        </is>
      </c>
      <c r="B848" s="11" t="inlineStr">
        <is>
          <t>List 1 (to ~2015)</t>
        </is>
      </c>
      <c r="C848" s="11" t="inlineStr">
        <is>
          <t>list1</t>
        </is>
      </c>
      <c r="D848" s="11" t="inlineStr">
        <is>
          <t>verified</t>
        </is>
      </c>
      <c r="E848" s="11" t="inlineStr">
        <is>
          <t>overruled</t>
        </is>
      </c>
      <c r="F848" s="2" t="inlineStr">
        <is>
          <t>Amritlal Chum v. Devi Ranjan Jha and Another</t>
        </is>
      </c>
      <c r="G848" s="11" t="inlineStr"/>
      <c r="H848" s="11" t="inlineStr">
        <is>
          <t>unknown</t>
        </is>
      </c>
      <c r="I848" s="2" t="inlineStr">
        <is>
          <t>(1987) 61 CompCas 211</t>
        </is>
      </c>
      <c r="J848" s="11" t="n">
        <v>1987</v>
      </c>
      <c r="K848" s="2" t="inlineStr">
        <is>
          <t>Smt. Abhilash Vinodkumar Jain v. Cox and Kings (India) Ltd. and others</t>
        </is>
      </c>
      <c r="L848" s="11" t="inlineStr">
        <is>
          <t>Supreme Court</t>
        </is>
      </c>
      <c r="M848" s="2" t="inlineStr">
        <is>
          <t>AIR 1995 SC 1592; (1995) 84 CompCas 28; (1995) 2 Crimes 239; (1995) 3 JT 528; (1996) 3 LLJ 354; (1995) 2 SCALE 323; (1995) 3 SCC 732; (1995) 2 SCR 873; (1995) 1 UJ 809</t>
        </is>
      </c>
      <c r="N848" s="11" t="n">
        <v>1995</v>
      </c>
      <c r="O848" s="11" t="n"/>
      <c r="P848" s="11" t="n"/>
      <c r="Q848" s="11" t="n"/>
      <c r="R848" s="2" t="n"/>
      <c r="S848" s="2" t="n"/>
      <c r="T848" s="11" t="inlineStr"/>
      <c r="U848" s="11" t="inlineStr"/>
      <c r="V848" s="11" t="inlineStr">
        <is>
          <t>outside_list</t>
        </is>
      </c>
      <c r="W848" s="11" t="n"/>
      <c r="X848" s="11" t="n"/>
      <c r="Y848" s="11" t="n"/>
      <c r="Z848" s="11" t="inlineStr">
        <is>
          <t>Mr. Advocate</t>
        </is>
      </c>
      <c r="AA848" s="11" t="inlineStr">
        <is>
          <t>2026-10-07</t>
        </is>
      </c>
      <c r="AB848" s="11" t="inlineStr">
        <is>
          <t>name_year</t>
        </is>
      </c>
      <c r="AC848" s="2" t="inlineStr"/>
      <c r="AD848" s="2" t="inlineStr">
        <is>
          <t>Amritlal Chum v. Devi Ranjan Jha and Another (1987) was overruled by Smt. Abhilash Vinodkumar Jain v. Cox and Kings (India) Ltd. and others (1995).</t>
        </is>
      </c>
      <c r="AE848" s="2" t="n"/>
      <c r="AF848" s="11" t="inlineStr">
        <is>
          <t>created from list 1</t>
        </is>
      </c>
    </row>
    <row r="849">
      <c r="A849" s="11" t="inlineStr">
        <is>
          <t>L1-0848</t>
        </is>
      </c>
      <c r="B849" s="11" t="inlineStr">
        <is>
          <t>List 1 (to ~2015)</t>
        </is>
      </c>
      <c r="C849" s="11" t="inlineStr">
        <is>
          <t>list1</t>
        </is>
      </c>
      <c r="D849" s="11" t="inlineStr">
        <is>
          <t>verified</t>
        </is>
      </c>
      <c r="E849" s="11" t="inlineStr">
        <is>
          <t>reversed_on_appeal</t>
        </is>
      </c>
      <c r="F849" s="2" t="inlineStr">
        <is>
          <t>Amrit Roller Flour Mills v. Union Territory of Chandigarh</t>
        </is>
      </c>
      <c r="G849" s="11" t="inlineStr"/>
      <c r="H849" s="11" t="inlineStr">
        <is>
          <t>unknown</t>
        </is>
      </c>
      <c r="I849" s="2" t="inlineStr">
        <is>
          <t>(1977) 39 STC 547</t>
        </is>
      </c>
      <c r="J849" s="11" t="n">
        <v>1977</v>
      </c>
      <c r="K849" s="2" t="inlineStr">
        <is>
          <t>Union Territory of Chandigarh v. Amrit Roller Flour Mills</t>
        </is>
      </c>
      <c r="L849" s="11" t="inlineStr">
        <is>
          <t>Supreme Court</t>
        </is>
      </c>
      <c r="M849" s="2" t="inlineStr">
        <is>
          <t>AIR 1985 SC 1199; (1985) 2 SCALE 51; (1985) SCC 213 Supp; (1985) 2 SCR 14 Supp; (1985) 60 STC 66; (1986) 1 UJ 358</t>
        </is>
      </c>
      <c r="N849" s="11" t="n">
        <v>1985</v>
      </c>
      <c r="O849" s="11" t="n"/>
      <c r="P849" s="11" t="n"/>
      <c r="Q849" s="11" t="n"/>
      <c r="R849" s="2" t="n"/>
      <c r="S849" s="2" t="n"/>
      <c r="T849" s="11" t="inlineStr">
        <is>
          <t>yes</t>
        </is>
      </c>
      <c r="U849" s="11" t="inlineStr"/>
      <c r="V849" s="11" t="inlineStr">
        <is>
          <t>outside_list</t>
        </is>
      </c>
      <c r="W849" s="11" t="n"/>
      <c r="X849" s="11" t="n"/>
      <c r="Y849" s="11" t="n"/>
      <c r="Z849" s="11" t="inlineStr">
        <is>
          <t>Mr. Advocate</t>
        </is>
      </c>
      <c r="AA849" s="11" t="inlineStr">
        <is>
          <t>2026-10-07</t>
        </is>
      </c>
      <c r="AB849" s="11" t="inlineStr">
        <is>
          <t>name_year</t>
        </is>
      </c>
      <c r="AC849" s="2" t="inlineStr"/>
      <c r="AD849" s="2" t="inlineStr">
        <is>
          <t>Amrit Roller Flour Mills v. Union Territory of Chandigarh (1977) was reversed on appeal by the Supreme Court in Union Territory of Chandigarh v. Amrit Roller Flour Mills (1985).</t>
        </is>
      </c>
      <c r="AE849" s="2" t="n"/>
      <c r="AF849" s="11" t="inlineStr">
        <is>
          <t>created from list 1</t>
        </is>
      </c>
    </row>
    <row r="850">
      <c r="A850" s="11" t="inlineStr">
        <is>
          <t>L1-0849</t>
        </is>
      </c>
      <c r="B850" s="11" t="inlineStr">
        <is>
          <t>List 1 (to ~2015)</t>
        </is>
      </c>
      <c r="C850" s="11" t="inlineStr">
        <is>
          <t>list1</t>
        </is>
      </c>
      <c r="D850" s="11" t="inlineStr">
        <is>
          <t>verified</t>
        </is>
      </c>
      <c r="E850" s="11" t="inlineStr">
        <is>
          <t>overruled</t>
        </is>
      </c>
      <c r="F850" s="2" t="inlineStr">
        <is>
          <t>State of Haryana and Another v. Om Prakash and Others</t>
        </is>
      </c>
      <c r="G850" s="11" t="inlineStr"/>
      <c r="H850" s="11" t="inlineStr">
        <is>
          <t>Punjab &amp; Haryana</t>
        </is>
      </c>
      <c r="I850" s="2" t="inlineStr">
        <is>
          <t>AIR 1985 P&amp;H 317; (1985) 2 ILR (P&amp;H) 461</t>
        </is>
      </c>
      <c r="J850" s="11" t="n">
        <v>1985</v>
      </c>
      <c r="K850" s="2" t="inlineStr">
        <is>
          <t>Om Parkash Agarwal and Others v. Giri Raj Kishori and Others</t>
        </is>
      </c>
      <c r="L850" s="11" t="inlineStr">
        <is>
          <t>Supreme Court</t>
        </is>
      </c>
      <c r="M850" s="2" t="inlineStr">
        <is>
          <t>AIR 1986 SC 1707; (1987) 164 ITR 376; (1986) 1 SCALE 110; (1986) 1 SCC 722; (1986) 1 SCR 149; (1986) 1 UJ 394</t>
        </is>
      </c>
      <c r="N850" s="11" t="n">
        <v>1986</v>
      </c>
      <c r="O850" s="11" t="n"/>
      <c r="P850" s="11" t="n"/>
      <c r="Q850" s="11" t="n"/>
      <c r="R850" s="2" t="n"/>
      <c r="S850" s="2" t="n"/>
      <c r="T850" s="11" t="inlineStr"/>
      <c r="U850" s="11" t="inlineStr"/>
      <c r="V850" s="11" t="inlineStr">
        <is>
          <t>outside_list</t>
        </is>
      </c>
      <c r="W850" s="11" t="n"/>
      <c r="X850" s="11" t="n"/>
      <c r="Y850" s="11" t="n"/>
      <c r="Z850" s="11" t="inlineStr">
        <is>
          <t>Mr. Advocate</t>
        </is>
      </c>
      <c r="AA850" s="11" t="inlineStr">
        <is>
          <t>2026-10-07</t>
        </is>
      </c>
      <c r="AB850" s="11" t="inlineStr">
        <is>
          <t>name_year</t>
        </is>
      </c>
      <c r="AC850" s="2" t="inlineStr"/>
      <c r="AD850" s="2" t="inlineStr">
        <is>
          <t>State of Haryana and Another v. Om Prakash and Others (1985) was overruled by Om Parkash Agarwal and Others v. Giri Raj Kishori and Others (1986).</t>
        </is>
      </c>
      <c r="AE850" s="2" t="n"/>
      <c r="AF850" s="11" t="inlineStr">
        <is>
          <t>created from list 1</t>
        </is>
      </c>
    </row>
    <row r="851">
      <c r="A851" s="11" t="inlineStr">
        <is>
          <t>L1-0850</t>
        </is>
      </c>
      <c r="B851" s="11" t="inlineStr">
        <is>
          <t>List 1 (to ~2015)</t>
        </is>
      </c>
      <c r="C851" s="11" t="inlineStr">
        <is>
          <t>list1</t>
        </is>
      </c>
      <c r="D851" s="11" t="inlineStr">
        <is>
          <t>verified</t>
        </is>
      </c>
      <c r="E851" s="11" t="inlineStr">
        <is>
          <t>reversed_on_appeal</t>
        </is>
      </c>
      <c r="F851" s="2" t="inlineStr">
        <is>
          <t>Mange Ram v. Brij Mohan and Others</t>
        </is>
      </c>
      <c r="G851" s="11" t="inlineStr"/>
      <c r="H851" s="11" t="inlineStr">
        <is>
          <t>Punjab &amp; Haryana</t>
        </is>
      </c>
      <c r="I851" s="2" t="inlineStr">
        <is>
          <t>AIR 1985 P&amp;H 6</t>
        </is>
      </c>
      <c r="J851" s="11" t="n">
        <v>1985</v>
      </c>
      <c r="K851" s="2" t="inlineStr">
        <is>
          <t>Brij Mohan v. Mange Ram and Others</t>
        </is>
      </c>
      <c r="L851" s="11" t="inlineStr">
        <is>
          <t>Supreme Court</t>
        </is>
      </c>
      <c r="M851" s="2" t="inlineStr">
        <is>
          <t>AIR 1985 SC 887; (1985) 1 SCALE 440; (1985) 2 SCC 425; (1985) 3 SCR 312; (1985) 17 UJ 793</t>
        </is>
      </c>
      <c r="N851" s="11" t="n">
        <v>1985</v>
      </c>
      <c r="O851" s="11" t="n"/>
      <c r="P851" s="11" t="n"/>
      <c r="Q851" s="11" t="n"/>
      <c r="R851" s="2" t="n"/>
      <c r="S851" s="2" t="n"/>
      <c r="T851" s="11" t="inlineStr">
        <is>
          <t>yes</t>
        </is>
      </c>
      <c r="U851" s="11" t="inlineStr"/>
      <c r="V851" s="11" t="inlineStr">
        <is>
          <t>outside_list</t>
        </is>
      </c>
      <c r="W851" s="11" t="n"/>
      <c r="X851" s="11" t="n"/>
      <c r="Y851" s="11" t="n"/>
      <c r="Z851" s="11" t="inlineStr">
        <is>
          <t>Mr. Advocate</t>
        </is>
      </c>
      <c r="AA851" s="11" t="inlineStr">
        <is>
          <t>2026-10-07</t>
        </is>
      </c>
      <c r="AB851" s="11" t="inlineStr">
        <is>
          <t>name_year</t>
        </is>
      </c>
      <c r="AC851" s="2" t="inlineStr"/>
      <c r="AD851" s="2" t="inlineStr">
        <is>
          <t>Mange Ram v. Brij Mohan and Others (1985) was reversed on appeal by the Supreme Court in Brij Mohan v. Mange Ram and Others (1985).</t>
        </is>
      </c>
      <c r="AE851" s="2" t="n"/>
      <c r="AF851" s="11" t="inlineStr">
        <is>
          <t>created from list 1</t>
        </is>
      </c>
    </row>
    <row r="852">
      <c r="A852" s="11" t="inlineStr">
        <is>
          <t>L1-0851</t>
        </is>
      </c>
      <c r="B852" s="11" t="inlineStr">
        <is>
          <t>List 1 (to ~2015)</t>
        </is>
      </c>
      <c r="C852" s="11" t="inlineStr">
        <is>
          <t>list1</t>
        </is>
      </c>
      <c r="D852" s="11" t="inlineStr">
        <is>
          <t>verified</t>
        </is>
      </c>
      <c r="E852" s="11" t="inlineStr">
        <is>
          <t>overruled</t>
        </is>
      </c>
      <c r="F852" s="2" t="inlineStr">
        <is>
          <t>Lalit Kumar and Others v. Jairam Dass and Others</t>
        </is>
      </c>
      <c r="G852" s="11" t="inlineStr"/>
      <c r="H852" s="11" t="inlineStr">
        <is>
          <t>Punjab &amp; Haryana</t>
        </is>
      </c>
      <c r="I852" s="2" t="inlineStr">
        <is>
          <t>AIR 1984 P&amp;H 426</t>
        </is>
      </c>
      <c r="J852" s="11" t="n">
        <v>1984</v>
      </c>
      <c r="K852" s="2" t="inlineStr">
        <is>
          <t>Karuppaswamy and Others v. C. Ramamurthy</t>
        </is>
      </c>
      <c r="L852" s="11" t="inlineStr">
        <is>
          <t>Supreme Court</t>
        </is>
      </c>
      <c r="M852" s="2" t="inlineStr">
        <is>
          <t>AIR 1993 SC 2324; (1993) 2 BC 341; (1993) 4 JT 192; (1993) 3 SCALE 165; (1993) 4 SCC 41; (1993) 1 SCR 121 Supp</t>
        </is>
      </c>
      <c r="N852" s="11" t="n">
        <v>1993</v>
      </c>
      <c r="O852" s="11" t="n"/>
      <c r="P852" s="11" t="n"/>
      <c r="Q852" s="11" t="n"/>
      <c r="R852" s="2" t="n"/>
      <c r="S852" s="2" t="n"/>
      <c r="T852" s="11" t="inlineStr"/>
      <c r="U852" s="11" t="inlineStr"/>
      <c r="V852" s="11" t="inlineStr">
        <is>
          <t>outside_list</t>
        </is>
      </c>
      <c r="W852" s="11" t="n"/>
      <c r="X852" s="11" t="n"/>
      <c r="Y852" s="11" t="n"/>
      <c r="Z852" s="11" t="inlineStr">
        <is>
          <t>Mr. Advocate</t>
        </is>
      </c>
      <c r="AA852" s="11" t="inlineStr">
        <is>
          <t>2026-10-07</t>
        </is>
      </c>
      <c r="AB852" s="11" t="inlineStr">
        <is>
          <t>name_year</t>
        </is>
      </c>
      <c r="AC852" s="2" t="inlineStr"/>
      <c r="AD852" s="2" t="inlineStr">
        <is>
          <t>Lalit Kumar and Others v. Jairam Dass and Others (1984) was overruled by Karuppaswamy and Others v. C. Ramamurthy (1993).</t>
        </is>
      </c>
      <c r="AE852" s="2" t="n"/>
      <c r="AF852" s="11" t="inlineStr">
        <is>
          <t>created from list 1</t>
        </is>
      </c>
    </row>
    <row r="853">
      <c r="A853" s="11" t="inlineStr">
        <is>
          <t>L1-0852</t>
        </is>
      </c>
      <c r="B853" s="11" t="inlineStr">
        <is>
          <t>List 1 (to ~2015)</t>
        </is>
      </c>
      <c r="C853" s="11" t="inlineStr">
        <is>
          <t>list1</t>
        </is>
      </c>
      <c r="D853" s="11" t="inlineStr">
        <is>
          <t>verified</t>
        </is>
      </c>
      <c r="E853" s="11" t="inlineStr">
        <is>
          <t>overruled</t>
        </is>
      </c>
      <c r="F853" s="2" t="inlineStr">
        <is>
          <t>Harinder Kaur Chandok v. The Punjab School Education Board</t>
        </is>
      </c>
      <c r="G853" s="11" t="inlineStr"/>
      <c r="H853" s="11" t="inlineStr">
        <is>
          <t>Punjab &amp; Haryana</t>
        </is>
      </c>
      <c r="I853" s="2" t="inlineStr">
        <is>
          <t>AIR 1988 P&amp;H 244</t>
        </is>
      </c>
      <c r="J853" s="11" t="n">
        <v>1988</v>
      </c>
      <c r="K853" s="2" t="inlineStr">
        <is>
          <t>Council of Homoepoathic System of Medicine, Punjab and others v. Suchintan and others</t>
        </is>
      </c>
      <c r="L853" s="11" t="inlineStr">
        <is>
          <t>Supreme Court</t>
        </is>
      </c>
      <c r="M853" s="2" t="inlineStr">
        <is>
          <t>AIR 1994 SC 1761; (1993) 3 JT 727; (1993) 2 SCALE 632; (1993) 3 SCC 99 Supp; (1993) 3 SCR 306</t>
        </is>
      </c>
      <c r="N853" s="11" t="n">
        <v>1994</v>
      </c>
      <c r="O853" s="11" t="n"/>
      <c r="P853" s="11" t="n"/>
      <c r="Q853" s="11" t="n"/>
      <c r="R853" s="2" t="n"/>
      <c r="S853" s="2" t="n"/>
      <c r="T853" s="11" t="inlineStr"/>
      <c r="U853" s="11" t="inlineStr"/>
      <c r="V853" s="11" t="inlineStr">
        <is>
          <t>outside_list</t>
        </is>
      </c>
      <c r="W853" s="11" t="n"/>
      <c r="X853" s="11" t="n"/>
      <c r="Y853" s="11" t="n"/>
      <c r="Z853" s="11" t="inlineStr">
        <is>
          <t>Mr. Advocate</t>
        </is>
      </c>
      <c r="AA853" s="11" t="inlineStr">
        <is>
          <t>2026-10-07</t>
        </is>
      </c>
      <c r="AB853" s="11" t="inlineStr">
        <is>
          <t>name_year</t>
        </is>
      </c>
      <c r="AC853" s="2" t="inlineStr"/>
      <c r="AD853" s="2" t="inlineStr">
        <is>
          <t>Harinder Kaur Chandok v. The Punjab School Education Board (1988) was overruled by Council of Homoepoathic System of Medicine, Punjab and others v. Suchintan and others (1994).</t>
        </is>
      </c>
      <c r="AE853" s="2" t="n"/>
      <c r="AF853" s="11" t="inlineStr">
        <is>
          <t>created from list 1</t>
        </is>
      </c>
    </row>
    <row r="854">
      <c r="A854" s="11" t="inlineStr">
        <is>
          <t>L1-0853</t>
        </is>
      </c>
      <c r="B854" s="11" t="inlineStr">
        <is>
          <t>List 1 (to ~2015)</t>
        </is>
      </c>
      <c r="C854" s="11" t="inlineStr">
        <is>
          <t>list1</t>
        </is>
      </c>
      <c r="D854" s="11" t="inlineStr">
        <is>
          <t>verified</t>
        </is>
      </c>
      <c r="E854" s="11" t="inlineStr">
        <is>
          <t>overruled</t>
        </is>
      </c>
      <c r="F854" s="2" t="inlineStr">
        <is>
          <t>Indo Swiss Time Limited v. Umrao and Others</t>
        </is>
      </c>
      <c r="G854" s="11" t="inlineStr"/>
      <c r="H854" s="11" t="inlineStr">
        <is>
          <t>Punjab &amp; Haryana</t>
        </is>
      </c>
      <c r="I854" s="2" t="inlineStr">
        <is>
          <t>AIR 1981 P&amp;H 213; (1981) 2 ILR (P&amp;H) 49</t>
        </is>
      </c>
      <c r="J854" s="11" t="n">
        <v>1981</v>
      </c>
      <c r="K854" s="2" t="inlineStr">
        <is>
          <t>Union of India (UOI) v. Sher Singh and Others</t>
        </is>
      </c>
      <c r="L854" s="11" t="inlineStr">
        <is>
          <t>Supreme Court</t>
        </is>
      </c>
      <c r="M854" s="2" t="inlineStr">
        <is>
          <t>(1993) 3 JT 693; (1994) 106 PLR 216; (1993) 1 SCALE 209; (1993) 1 SCC 608; (1993) 1 SCR 326</t>
        </is>
      </c>
      <c r="N854" s="11" t="n">
        <v>1993</v>
      </c>
      <c r="O854" s="11" t="n"/>
      <c r="P854" s="11" t="n"/>
      <c r="Q854" s="11" t="n"/>
      <c r="R854" s="2" t="n"/>
      <c r="S854" s="2" t="n"/>
      <c r="T854" s="11" t="inlineStr"/>
      <c r="U854" s="11" t="inlineStr"/>
      <c r="V854" s="11" t="inlineStr">
        <is>
          <t>outside_list</t>
        </is>
      </c>
      <c r="W854" s="11" t="n"/>
      <c r="X854" s="11" t="n"/>
      <c r="Y854" s="11" t="n"/>
      <c r="Z854" s="11" t="inlineStr">
        <is>
          <t>Mr. Advocate</t>
        </is>
      </c>
      <c r="AA854" s="11" t="inlineStr">
        <is>
          <t>2026-10-07</t>
        </is>
      </c>
      <c r="AB854" s="11" t="inlineStr">
        <is>
          <t>name_year</t>
        </is>
      </c>
      <c r="AC854" s="2" t="inlineStr"/>
      <c r="AD854" s="2" t="inlineStr">
        <is>
          <t>Indo Swiss Time Limited v. Umrao and Others (1981) was overruled by Union of India (UOI) v. Sher Singh and Others (1993).</t>
        </is>
      </c>
      <c r="AE854" s="2" t="n"/>
      <c r="AF854" s="11" t="inlineStr">
        <is>
          <t>created from list 1</t>
        </is>
      </c>
    </row>
    <row r="855">
      <c r="A855" s="11" t="inlineStr">
        <is>
          <t>L1-0854</t>
        </is>
      </c>
      <c r="B855" s="11" t="inlineStr">
        <is>
          <t>List 1 (to ~2015)</t>
        </is>
      </c>
      <c r="C855" s="11" t="inlineStr">
        <is>
          <t>list1</t>
        </is>
      </c>
      <c r="D855" s="11" t="inlineStr">
        <is>
          <t>verified</t>
        </is>
      </c>
      <c r="E855" s="11" t="inlineStr">
        <is>
          <t>overruled</t>
        </is>
      </c>
      <c r="F855" s="2" t="inlineStr">
        <is>
          <t>Commissioner of Income Tax v. Janak Steel Tubes (Pvt.) Ltd.</t>
        </is>
      </c>
      <c r="G855" s="11" t="inlineStr"/>
      <c r="H855" s="11" t="inlineStr">
        <is>
          <t>unknown</t>
        </is>
      </c>
      <c r="I855" s="2" t="inlineStr">
        <is>
          <t>(1989) 179 ITR 636</t>
        </is>
      </c>
      <c r="J855" s="11" t="n">
        <v>1989</v>
      </c>
      <c r="K855" s="2" t="inlineStr">
        <is>
          <t>Commissioner of Income Tax, Hyderabad v. M/s. P.J. Chemicals Ltd.</t>
        </is>
      </c>
      <c r="L855" s="11" t="inlineStr">
        <is>
          <t>Supreme Court</t>
        </is>
      </c>
      <c r="M855" s="2" t="inlineStr">
        <is>
          <t>AIR 1994 SC 2727; (1994) 121 CTR 201; (1994) 210 ITR 830; (1994) 6 JT 330; (1994) 4 SCALE 337; (1994) 3 SCC 535 Supp; (1994) 3 SCR 561 Supp</t>
        </is>
      </c>
      <c r="N855" s="11" t="n">
        <v>1994</v>
      </c>
      <c r="O855" s="11" t="n"/>
      <c r="P855" s="11" t="n"/>
      <c r="Q855" s="11" t="n"/>
      <c r="R855" s="2" t="n"/>
      <c r="S855" s="2" t="n"/>
      <c r="T855" s="11" t="inlineStr"/>
      <c r="U855" s="11" t="inlineStr"/>
      <c r="V855" s="11" t="inlineStr">
        <is>
          <t>outside_list</t>
        </is>
      </c>
      <c r="W855" s="11" t="n"/>
      <c r="X855" s="11" t="n"/>
      <c r="Y855" s="11" t="n"/>
      <c r="Z855" s="11" t="inlineStr">
        <is>
          <t>Mr. Advocate</t>
        </is>
      </c>
      <c r="AA855" s="11" t="inlineStr">
        <is>
          <t>2026-10-07</t>
        </is>
      </c>
      <c r="AB855" s="11" t="inlineStr">
        <is>
          <t>name_year</t>
        </is>
      </c>
      <c r="AC855" s="2" t="inlineStr"/>
      <c r="AD855" s="2" t="inlineStr">
        <is>
          <t>Commissioner of Income Tax v. Janak Steel Tubes (Pvt.) Ltd. (1989) was overruled by Commissioner of Income Tax, Hyderabad v. M/s. P.J. Chemicals Ltd. (1994).</t>
        </is>
      </c>
      <c r="AE855" s="2" t="n"/>
      <c r="AF855" s="11" t="inlineStr">
        <is>
          <t>created from list 1</t>
        </is>
      </c>
    </row>
    <row r="856">
      <c r="A856" s="11" t="inlineStr">
        <is>
          <t>L1-0855</t>
        </is>
      </c>
      <c r="B856" s="11" t="inlineStr">
        <is>
          <t>List 1 (to ~2015)</t>
        </is>
      </c>
      <c r="C856" s="11" t="inlineStr">
        <is>
          <t>list1</t>
        </is>
      </c>
      <c r="D856" s="11" t="inlineStr">
        <is>
          <t>verified</t>
        </is>
      </c>
      <c r="E856" s="11" t="inlineStr">
        <is>
          <t>reversed_on_appeal</t>
        </is>
      </c>
      <c r="F856" s="2" t="inlineStr">
        <is>
          <t>State of Punjab and others v. Punjab Fibres Limited and others</t>
        </is>
      </c>
      <c r="G856" s="11" t="inlineStr"/>
      <c r="H856" s="11" t="inlineStr">
        <is>
          <t>unknown</t>
        </is>
      </c>
      <c r="I856" s="2" t="inlineStr">
        <is>
          <t>(2000) 1 ILR (P&amp;H) 17; (1998) 120 PLR 702</t>
        </is>
      </c>
      <c r="J856" s="11" t="n">
        <v>1998</v>
      </c>
      <c r="K856" s="2" t="inlineStr">
        <is>
          <t>State of Punjab and Others v. Punjab Fibres Ltd. and Others</t>
        </is>
      </c>
      <c r="L856" s="11" t="inlineStr">
        <is>
          <t>Supreme Court</t>
        </is>
      </c>
      <c r="M856" s="2" t="inlineStr">
        <is>
          <t>AIR 2005 SC 437; (2004) 10 JT 374; (2005) 139 PLR 475; (2004) 10 SCALE 399; (2005) 1 SCC 604; (2005) 139 STC 200; (2004) AIRSCW 6988</t>
        </is>
      </c>
      <c r="N856" s="11" t="n">
        <v>2005</v>
      </c>
      <c r="O856" s="11" t="n"/>
      <c r="P856" s="11" t="n"/>
      <c r="Q856" s="11" t="n"/>
      <c r="R856" s="2" t="n"/>
      <c r="S856" s="2" t="n"/>
      <c r="T856" s="11" t="inlineStr">
        <is>
          <t>yes</t>
        </is>
      </c>
      <c r="U856" s="11" t="inlineStr">
        <is>
          <t>needs_citation_or_year</t>
        </is>
      </c>
      <c r="V856" s="11" t="inlineStr">
        <is>
          <t>outside_list</t>
        </is>
      </c>
      <c r="W856" s="11" t="n"/>
      <c r="X856" s="11" t="n"/>
      <c r="Y856" s="11" t="n"/>
      <c r="Z856" s="11" t="inlineStr">
        <is>
          <t>Mr. Advocate</t>
        </is>
      </c>
      <c r="AA856" s="11" t="inlineStr">
        <is>
          <t>2026-10-07</t>
        </is>
      </c>
      <c r="AB856" s="11" t="inlineStr">
        <is>
          <t>none</t>
        </is>
      </c>
      <c r="AC856" s="2" t="inlineStr"/>
      <c r="AD856" s="2" t="inlineStr">
        <is>
          <t>State of Punjab and others v. Punjab Fibres Limited and others (1998) was reversed on appeal by the Supreme Court in State of Punjab and Others v. Punjab Fibres Ltd. and Others (2005).</t>
        </is>
      </c>
      <c r="AE856" s="2" t="n"/>
      <c r="AF856" s="11" t="inlineStr">
        <is>
          <t>created from list 1</t>
        </is>
      </c>
    </row>
    <row r="857">
      <c r="A857" s="11" t="inlineStr">
        <is>
          <t>L1-0856</t>
        </is>
      </c>
      <c r="B857" s="11" t="inlineStr">
        <is>
          <t>List 1 (to ~2015)</t>
        </is>
      </c>
      <c r="C857" s="11" t="inlineStr">
        <is>
          <t>list1</t>
        </is>
      </c>
      <c r="D857" s="11" t="inlineStr">
        <is>
          <t>verified</t>
        </is>
      </c>
      <c r="E857" s="11" t="inlineStr">
        <is>
          <t>overruled</t>
        </is>
      </c>
      <c r="F857" s="2" t="inlineStr">
        <is>
          <t>Abdus Samad v. Majitan Bibi and Another</t>
        </is>
      </c>
      <c r="G857" s="11" t="inlineStr"/>
      <c r="H857" s="11" t="inlineStr">
        <is>
          <t>Calcutta</t>
        </is>
      </c>
      <c r="I857" s="2" t="inlineStr">
        <is>
          <t>AIR 1961 Cal 540; (1961) 1 CALLT 464; 65 CWN 696</t>
        </is>
      </c>
      <c r="J857" s="11" t="n">
        <v>1961</v>
      </c>
      <c r="K857" s="2" t="inlineStr">
        <is>
          <t>Rajni Tandon v. Dulal Ranjan Ghosh Dastidar and Another</t>
        </is>
      </c>
      <c r="L857" s="11" t="inlineStr">
        <is>
          <t>Supreme Court</t>
        </is>
      </c>
      <c r="M857" s="2" t="inlineStr">
        <is>
          <t>(2009) 11 JT 666; (2009) 10 SCALE 402; (2009) 14 SCC 782; (2009) 12 SCR 686</t>
        </is>
      </c>
      <c r="N857" s="11" t="n">
        <v>2009</v>
      </c>
      <c r="O857" s="11" t="n"/>
      <c r="P857" s="11" t="n"/>
      <c r="Q857" s="11" t="n"/>
      <c r="R857" s="2" t="n"/>
      <c r="S857" s="2" t="n"/>
      <c r="T857" s="11" t="inlineStr"/>
      <c r="U857" s="11" t="inlineStr"/>
      <c r="V857" s="11" t="inlineStr">
        <is>
          <t>outside_list</t>
        </is>
      </c>
      <c r="W857" s="11" t="n"/>
      <c r="X857" s="11" t="n"/>
      <c r="Y857" s="11" t="n"/>
      <c r="Z857" s="11" t="inlineStr">
        <is>
          <t>Mr. Advocate</t>
        </is>
      </c>
      <c r="AA857" s="11" t="inlineStr">
        <is>
          <t>2026-10-07</t>
        </is>
      </c>
      <c r="AB857" s="11" t="inlineStr">
        <is>
          <t>name_year</t>
        </is>
      </c>
      <c r="AC857" s="2" t="inlineStr"/>
      <c r="AD857" s="2" t="inlineStr">
        <is>
          <t>Abdus Samad v. Majitan Bibi and Another (1961) was overruled by Rajni Tandon v. Dulal Ranjan Ghosh Dastidar and Another (2009).</t>
        </is>
      </c>
      <c r="AE857" s="2" t="n"/>
      <c r="AF857" s="11" t="inlineStr">
        <is>
          <t>created from list 1</t>
        </is>
      </c>
    </row>
    <row r="858">
      <c r="A858" s="11" t="inlineStr">
        <is>
          <t>L1-0857</t>
        </is>
      </c>
      <c r="B858" s="11" t="inlineStr">
        <is>
          <t>List 1 (to ~2015)</t>
        </is>
      </c>
      <c r="C858" s="11" t="inlineStr">
        <is>
          <t>list1</t>
        </is>
      </c>
      <c r="D858" s="11" t="inlineStr">
        <is>
          <t>verified</t>
        </is>
      </c>
      <c r="E858" s="11" t="inlineStr">
        <is>
          <t>reversed_on_appeal</t>
        </is>
      </c>
      <c r="F858" s="2" t="inlineStr">
        <is>
          <t>Sun Engineering Works (P.) Ltd. v. Commissioner of Income Tax</t>
        </is>
      </c>
      <c r="G858" s="11" t="inlineStr"/>
      <c r="H858" s="11" t="inlineStr">
        <is>
          <t>unknown</t>
        </is>
      </c>
      <c r="I858" s="2" t="inlineStr">
        <is>
          <t>(1978) 111 ITR 166</t>
        </is>
      </c>
      <c r="J858" s="11" t="n">
        <v>1978</v>
      </c>
      <c r="K858" s="2" t="inlineStr">
        <is>
          <t>Commissioner of Income Tax v. M/s. Sun Engineering Works (P.) Ltd.</t>
        </is>
      </c>
      <c r="L858" s="11" t="inlineStr">
        <is>
          <t>Supreme Court</t>
        </is>
      </c>
      <c r="M858" s="2" t="inlineStr">
        <is>
          <t>AIR 1993 SC 43; AIR 1992 SC 43; (1992) 107 CTR 209; (1992) 198 ITR 297; (1992) 5 JT 543; (1992) 2 SCALE 591; (1992) 4 SCC 363; (1992) 1 SCR 732(1) Supp; (1992) 1 SCR 732 Supp; (1992) 64 TAXMAN 442</t>
        </is>
      </c>
      <c r="N858" s="11" t="n">
        <v>1993</v>
      </c>
      <c r="O858" s="11" t="n"/>
      <c r="P858" s="11" t="n"/>
      <c r="Q858" s="11" t="n"/>
      <c r="R858" s="2" t="n"/>
      <c r="S858" s="2" t="n"/>
      <c r="T858" s="11" t="inlineStr">
        <is>
          <t>yes</t>
        </is>
      </c>
      <c r="U858" s="11" t="inlineStr"/>
      <c r="V858" s="11" t="inlineStr">
        <is>
          <t>outside_list</t>
        </is>
      </c>
      <c r="W858" s="11" t="n"/>
      <c r="X858" s="11" t="n"/>
      <c r="Y858" s="11" t="n"/>
      <c r="Z858" s="11" t="inlineStr">
        <is>
          <t>Mr. Advocate</t>
        </is>
      </c>
      <c r="AA858" s="11" t="inlineStr">
        <is>
          <t>2026-10-07</t>
        </is>
      </c>
      <c r="AB858" s="11" t="inlineStr">
        <is>
          <t>name_year</t>
        </is>
      </c>
      <c r="AC858" s="2" t="inlineStr"/>
      <c r="AD858" s="2" t="inlineStr">
        <is>
          <t>Sun Engineering Works (P.) Ltd. v. Commissioner of Income Tax (1978) was reversed on appeal by the Supreme Court in Commissioner of Income Tax v. M/s. Sun Engineering Works (P.) Ltd. (1993).</t>
        </is>
      </c>
      <c r="AE858" s="2" t="n"/>
      <c r="AF858" s="11" t="inlineStr">
        <is>
          <t>created from list 1</t>
        </is>
      </c>
    </row>
    <row r="859">
      <c r="A859" s="11" t="inlineStr">
        <is>
          <t>L1-0858</t>
        </is>
      </c>
      <c r="B859" s="11" t="inlineStr">
        <is>
          <t>List 1 (to ~2015)</t>
        </is>
      </c>
      <c r="C859" s="11" t="inlineStr">
        <is>
          <t>list1</t>
        </is>
      </c>
      <c r="D859" s="11" t="inlineStr">
        <is>
          <t>verified</t>
        </is>
      </c>
      <c r="E859" s="11" t="inlineStr">
        <is>
          <t>overruled</t>
        </is>
      </c>
      <c r="F859" s="2" t="inlineStr">
        <is>
          <t>Commissioner of Income Tax v. Britannia Industries Co. Ltd.</t>
        </is>
      </c>
      <c r="G859" s="11" t="inlineStr"/>
      <c r="H859" s="11" t="inlineStr">
        <is>
          <t>unknown</t>
        </is>
      </c>
      <c r="I859" s="2" t="inlineStr">
        <is>
          <t>(1981) 20 CTR 272; (1982) 135 ITR 35; (1981) 6 TAXMAN 152</t>
        </is>
      </c>
      <c r="J859" s="11" t="n">
        <v>1981</v>
      </c>
      <c r="K859" s="2" t="inlineStr">
        <is>
          <t>Commissioner of Income Tax, Bombay City-III, Bombay v. British Bank of Middle East</t>
        </is>
      </c>
      <c r="L859" s="11" t="inlineStr">
        <is>
          <t>Supreme Court</t>
        </is>
      </c>
      <c r="M859" s="2" t="inlineStr">
        <is>
          <t>AIR 2001 SC 3343; (2001) 170 CTR 1; (2001) 251 ITR 217; (2001) 7 JT 88; (2001) 5 SCALE 592; (2001) 8 SCC 214; (2001) 118 TAXMAN 461; (2001) AIRSCW 3188; (2001) 6 Supreme 532</t>
        </is>
      </c>
      <c r="N859" s="11" t="n">
        <v>2001</v>
      </c>
      <c r="O859" s="11" t="n"/>
      <c r="P859" s="11" t="n"/>
      <c r="Q859" s="11" t="n"/>
      <c r="R859" s="2" t="n"/>
      <c r="S859" s="2" t="n"/>
      <c r="T859" s="11" t="inlineStr"/>
      <c r="U859" s="11" t="inlineStr"/>
      <c r="V859" s="11" t="inlineStr">
        <is>
          <t>outside_list</t>
        </is>
      </c>
      <c r="W859" s="11" t="n"/>
      <c r="X859" s="11" t="n"/>
      <c r="Y859" s="11" t="n"/>
      <c r="Z859" s="11" t="inlineStr">
        <is>
          <t>Mr. Advocate</t>
        </is>
      </c>
      <c r="AA859" s="11" t="inlineStr">
        <is>
          <t>2026-10-07</t>
        </is>
      </c>
      <c r="AB859" s="11" t="inlineStr">
        <is>
          <t>name_year</t>
        </is>
      </c>
      <c r="AC859" s="2" t="inlineStr"/>
      <c r="AD859" s="2" t="inlineStr">
        <is>
          <t>Commissioner of Income Tax v. Britannia Industries Co. Ltd. (1981) was overruled by Commissioner of Income Tax, Bombay City-III, Bombay v. British Bank of Middle East (2001).</t>
        </is>
      </c>
      <c r="AE859" s="2" t="n"/>
      <c r="AF859" s="11" t="inlineStr">
        <is>
          <t>created from list 1</t>
        </is>
      </c>
    </row>
    <row r="860">
      <c r="A860" s="11" t="inlineStr">
        <is>
          <t>L1-0859</t>
        </is>
      </c>
      <c r="B860" s="11" t="inlineStr">
        <is>
          <t>List 1 (to ~2015)</t>
        </is>
      </c>
      <c r="C860" s="11" t="inlineStr">
        <is>
          <t>list1</t>
        </is>
      </c>
      <c r="D860" s="11" t="inlineStr">
        <is>
          <t>verified</t>
        </is>
      </c>
      <c r="E860" s="11" t="inlineStr">
        <is>
          <t>reversed_on_appeal</t>
        </is>
      </c>
      <c r="F860" s="2" t="inlineStr">
        <is>
          <t>Harvinder Singh v. Punjab State Electricity Board and Others</t>
        </is>
      </c>
      <c r="G860" s="11" t="inlineStr"/>
      <c r="H860" s="11" t="inlineStr">
        <is>
          <t>Punjab &amp; Haryana</t>
        </is>
      </c>
      <c r="I860" s="2" t="inlineStr">
        <is>
          <t>AIR 2000 P&amp;H 114</t>
        </is>
      </c>
      <c r="J860" s="11" t="n">
        <v>2000</v>
      </c>
      <c r="K860" s="2" t="inlineStr">
        <is>
          <t>Punjab State Electricity Board and Others v. Harvinder Singh</t>
        </is>
      </c>
      <c r="L860" s="11" t="inlineStr">
        <is>
          <t>Supreme Court</t>
        </is>
      </c>
      <c r="M860" s="2" t="inlineStr">
        <is>
          <t>AIR 2006 SC 973; (2006) 2 JT 349; (2006) 1 SCALE 566; (2006) 2 SCC 279; (2006) 1 SCR 486; (2006) AIRSCW 458; (2006) 1 Supreme 386</t>
        </is>
      </c>
      <c r="N860" s="11" t="n">
        <v>2006</v>
      </c>
      <c r="O860" s="11" t="n"/>
      <c r="P860" s="11" t="n"/>
      <c r="Q860" s="11" t="n"/>
      <c r="R860" s="2" t="n"/>
      <c r="S860" s="2" t="n"/>
      <c r="T860" s="11" t="inlineStr">
        <is>
          <t>yes</t>
        </is>
      </c>
      <c r="U860" s="11" t="inlineStr"/>
      <c r="V860" s="11" t="inlineStr">
        <is>
          <t>outside_list</t>
        </is>
      </c>
      <c r="W860" s="11" t="n"/>
      <c r="X860" s="11" t="n"/>
      <c r="Y860" s="11" t="n"/>
      <c r="Z860" s="11" t="inlineStr">
        <is>
          <t>Mr. Advocate</t>
        </is>
      </c>
      <c r="AA860" s="11" t="inlineStr">
        <is>
          <t>2026-10-07</t>
        </is>
      </c>
      <c r="AB860" s="11" t="inlineStr">
        <is>
          <t>name_year</t>
        </is>
      </c>
      <c r="AC860" s="2" t="inlineStr"/>
      <c r="AD860" s="2" t="inlineStr">
        <is>
          <t>Harvinder Singh v. Punjab State Electricity Board and Others (2000) was reversed on appeal by the Supreme Court in Punjab State Electricity Board and Others v. Harvinder Singh (2006).</t>
        </is>
      </c>
      <c r="AE860" s="2" t="n"/>
      <c r="AF860" s="11" t="inlineStr">
        <is>
          <t>created from list 1</t>
        </is>
      </c>
    </row>
    <row r="861">
      <c r="A861" s="11" t="inlineStr">
        <is>
          <t>L1-0860</t>
        </is>
      </c>
      <c r="B861" s="11" t="inlineStr">
        <is>
          <t>List 1 (to ~2015)</t>
        </is>
      </c>
      <c r="C861" s="11" t="inlineStr">
        <is>
          <t>list1</t>
        </is>
      </c>
      <c r="D861" s="11" t="inlineStr">
        <is>
          <t>verified</t>
        </is>
      </c>
      <c r="E861" s="11" t="inlineStr">
        <is>
          <t>overruled</t>
        </is>
      </c>
      <c r="F861" s="2" t="inlineStr">
        <is>
          <t>Jagatjit Distilling and Allied Industries Ltd. v. The State</t>
        </is>
      </c>
      <c r="G861" s="11" t="inlineStr"/>
      <c r="H861" s="11" t="inlineStr">
        <is>
          <t>unknown</t>
        </is>
      </c>
      <c r="I861" s="2" t="inlineStr">
        <is>
          <t>(1974) 1 ILR (P&amp;H) 28; (1971) 28 STC 709</t>
        </is>
      </c>
      <c r="J861" s="11" t="n">
        <v>1971</v>
      </c>
      <c r="K861" s="2" t="inlineStr">
        <is>
          <t>State of Punjab and Others v. Dewan’s Modern Breweries Ltd.</t>
        </is>
      </c>
      <c r="L861" s="11" t="inlineStr">
        <is>
          <t>Supreme Court</t>
        </is>
      </c>
      <c r="M861" s="2" t="inlineStr">
        <is>
          <t>AIR 1979 SC 1158; (1979) 2 SCC 210; (1979) 3 SCR 568; (1979) 43 STC 454</t>
        </is>
      </c>
      <c r="N861" s="11" t="n">
        <v>1979</v>
      </c>
      <c r="O861" s="11" t="n"/>
      <c r="P861" s="11" t="n"/>
      <c r="Q861" s="11" t="n"/>
      <c r="R861" s="2" t="n"/>
      <c r="S861" s="2" t="n"/>
      <c r="T861" s="11" t="inlineStr"/>
      <c r="U861" s="11" t="inlineStr"/>
      <c r="V861" s="11" t="inlineStr">
        <is>
          <t>outside_list</t>
        </is>
      </c>
      <c r="W861" s="11" t="n"/>
      <c r="X861" s="11" t="n"/>
      <c r="Y861" s="11" t="n"/>
      <c r="Z861" s="11" t="inlineStr">
        <is>
          <t>Mr. Advocate</t>
        </is>
      </c>
      <c r="AA861" s="11" t="inlineStr">
        <is>
          <t>2026-10-07</t>
        </is>
      </c>
      <c r="AB861" s="11" t="inlineStr">
        <is>
          <t>name_year</t>
        </is>
      </c>
      <c r="AC861" s="2" t="inlineStr"/>
      <c r="AD861" s="2" t="inlineStr">
        <is>
          <t>Jagatjit Distilling and Allied Industries Ltd. v. The State (1971) was overruled by State of Punjab and Others v. Dewan’s Modern Breweries Ltd. (1979).</t>
        </is>
      </c>
      <c r="AE861" s="2" t="n"/>
      <c r="AF861" s="11" t="inlineStr">
        <is>
          <t>created from list 1</t>
        </is>
      </c>
    </row>
    <row r="862">
      <c r="A862" s="11" t="inlineStr">
        <is>
          <t>L1-0861</t>
        </is>
      </c>
      <c r="B862" s="11" t="inlineStr">
        <is>
          <t>List 1 (to ~2015)</t>
        </is>
      </c>
      <c r="C862" s="11" t="inlineStr">
        <is>
          <t>list1</t>
        </is>
      </c>
      <c r="D862" s="11" t="inlineStr">
        <is>
          <t>verified</t>
        </is>
      </c>
      <c r="E862" s="11" t="inlineStr">
        <is>
          <t>reversed_on_appeal</t>
        </is>
      </c>
      <c r="F862" s="2" t="inlineStr">
        <is>
          <t>Municipal Committee Amritsar and Others v. The State of Punjab and Another</t>
        </is>
      </c>
      <c r="G862" s="11" t="inlineStr"/>
      <c r="H862" s="11" t="inlineStr">
        <is>
          <t>Punjab &amp; Haryana</t>
        </is>
      </c>
      <c r="I862" s="2" t="inlineStr">
        <is>
          <t>AIR 1966 P&amp;H 232; (1966) 2 ILR (P&amp;H) 241</t>
        </is>
      </c>
      <c r="J862" s="11" t="n">
        <v>1966</v>
      </c>
      <c r="K862" s="2" t="inlineStr">
        <is>
          <t>Municipal Committee, Amritsar and Others v. The State of Punjab and Another</t>
        </is>
      </c>
      <c r="L862" s="11" t="inlineStr">
        <is>
          <t>Supreme Court</t>
        </is>
      </c>
      <c r="M862" s="2" t="inlineStr">
        <is>
          <t>AIR 1970 SC 2182; (1969) 2 SCC 823; (1970) 2 SCR 375</t>
        </is>
      </c>
      <c r="N862" s="11" t="n">
        <v>1970</v>
      </c>
      <c r="O862" s="11" t="n"/>
      <c r="P862" s="11" t="n"/>
      <c r="Q862" s="11" t="n"/>
      <c r="R862" s="2" t="n"/>
      <c r="S862" s="2" t="n"/>
      <c r="T862" s="11" t="inlineStr">
        <is>
          <t>yes</t>
        </is>
      </c>
      <c r="U862" s="11" t="inlineStr"/>
      <c r="V862" s="11" t="inlineStr">
        <is>
          <t>outside_list</t>
        </is>
      </c>
      <c r="W862" s="11" t="n"/>
      <c r="X862" s="11" t="n"/>
      <c r="Y862" s="11" t="n"/>
      <c r="Z862" s="11" t="inlineStr">
        <is>
          <t>Mr. Advocate</t>
        </is>
      </c>
      <c r="AA862" s="11" t="inlineStr">
        <is>
          <t>2026-10-07</t>
        </is>
      </c>
      <c r="AB862" s="11" t="inlineStr">
        <is>
          <t>citation</t>
        </is>
      </c>
      <c r="AC862" s="2" t="inlineStr"/>
      <c r="AD862" s="2" t="inlineStr">
        <is>
          <t>Municipal Committee Amritsar and Others v. The State of Punjab and Another (1966) was reversed on appeal by the Supreme Court in Municipal Committee, Amritsar and Others v. The State of Punjab and Another (1970).</t>
        </is>
      </c>
      <c r="AE862" s="2" t="n"/>
      <c r="AF862" s="11" t="inlineStr">
        <is>
          <t>created from list 1</t>
        </is>
      </c>
    </row>
    <row r="863">
      <c r="A863" s="11" t="inlineStr">
        <is>
          <t>L1-0862</t>
        </is>
      </c>
      <c r="B863" s="11" t="inlineStr">
        <is>
          <t>List 1 (to ~2015)</t>
        </is>
      </c>
      <c r="C863" s="11" t="inlineStr">
        <is>
          <t>list1</t>
        </is>
      </c>
      <c r="D863" s="11" t="inlineStr">
        <is>
          <t>verified</t>
        </is>
      </c>
      <c r="E863" s="11" t="inlineStr">
        <is>
          <t>reversed_on_appeal</t>
        </is>
      </c>
      <c r="F863" s="2" t="inlineStr">
        <is>
          <t>Malkiat Singh v. Punjab State Electricity Board and Others</t>
        </is>
      </c>
      <c r="G863" s="11" t="inlineStr"/>
      <c r="H863" s="11" t="inlineStr">
        <is>
          <t>unknown</t>
        </is>
      </c>
      <c r="I863" s="2" t="inlineStr">
        <is>
          <t>(1999) 2 ILR (P&amp;H) 329; (1999) 3 LLJ 676</t>
        </is>
      </c>
      <c r="J863" s="11" t="n">
        <v>1999</v>
      </c>
      <c r="K863" s="2" t="inlineStr">
        <is>
          <t>Punjab State Electricity Board and Others v. Malkiat Singh</t>
        </is>
      </c>
      <c r="L863" s="11" t="inlineStr">
        <is>
          <t>Supreme Court</t>
        </is>
      </c>
      <c r="M863" s="2" t="inlineStr">
        <is>
          <t>AIR 2004 SC 5061; (2004) 8 JT 526; (2004) 8 SCALE 655; (2005) 9 SCC 22; (2004) AIRSCW 5768; (2004) 7 Supreme 394</t>
        </is>
      </c>
      <c r="N863" s="11" t="n">
        <v>2004</v>
      </c>
      <c r="O863" s="11" t="n"/>
      <c r="P863" s="11" t="n"/>
      <c r="Q863" s="11" t="n"/>
      <c r="R863" s="2" t="n"/>
      <c r="S863" s="2" t="n"/>
      <c r="T863" s="11" t="inlineStr">
        <is>
          <t>yes</t>
        </is>
      </c>
      <c r="U863" s="11" t="inlineStr"/>
      <c r="V863" s="11" t="inlineStr">
        <is>
          <t>outside_list</t>
        </is>
      </c>
      <c r="W863" s="11" t="n"/>
      <c r="X863" s="11" t="n"/>
      <c r="Y863" s="11" t="n"/>
      <c r="Z863" s="11" t="inlineStr">
        <is>
          <t>Mr. Advocate</t>
        </is>
      </c>
      <c r="AA863" s="11" t="inlineStr">
        <is>
          <t>2026-10-07</t>
        </is>
      </c>
      <c r="AB863" s="11" t="inlineStr">
        <is>
          <t>name_year</t>
        </is>
      </c>
      <c r="AC863" s="2" t="inlineStr"/>
      <c r="AD863" s="2" t="inlineStr">
        <is>
          <t>Malkiat Singh v. Punjab State Electricity Board and Others (1999) was reversed on appeal by the Supreme Court in Punjab State Electricity Board and Others v. Malkiat Singh (2004).</t>
        </is>
      </c>
      <c r="AE863" s="2" t="n"/>
      <c r="AF863" s="11" t="inlineStr">
        <is>
          <t>created from list 1</t>
        </is>
      </c>
    </row>
    <row r="864">
      <c r="A864" s="11" t="inlineStr">
        <is>
          <t>L1-0863</t>
        </is>
      </c>
      <c r="B864" s="11" t="inlineStr">
        <is>
          <t>List 1 (to ~2015)</t>
        </is>
      </c>
      <c r="C864" s="11" t="inlineStr">
        <is>
          <t>list1</t>
        </is>
      </c>
      <c r="D864" s="11" t="inlineStr">
        <is>
          <t>verified</t>
        </is>
      </c>
      <c r="E864" s="11" t="inlineStr">
        <is>
          <t>overruled</t>
        </is>
      </c>
      <c r="F864" s="2" t="inlineStr">
        <is>
          <t>Bata India Limited v. The State of Haryana and Another</t>
        </is>
      </c>
      <c r="G864" s="11" t="inlineStr"/>
      <c r="H864" s="11" t="inlineStr">
        <is>
          <t>unknown</t>
        </is>
      </c>
      <c r="I864" s="2" t="inlineStr">
        <is>
          <t>(1984) 1 ILR (P&amp;H) 298; (1983) 54 STC 226</t>
        </is>
      </c>
      <c r="J864" s="11" t="n">
        <v>1983</v>
      </c>
      <c r="K864" s="2" t="inlineStr">
        <is>
          <t>Hotel Balaji and others, v. State of Andhra Pradesh and others, etc.</t>
        </is>
      </c>
      <c r="L864" s="11" t="inlineStr">
        <is>
          <t>Supreme Court</t>
        </is>
      </c>
      <c r="M864" s="2" t="inlineStr">
        <is>
          <t>AIR 1993 SC 1048; AIR 1992 SC 1048; (1992) 6 JT 182; (1992) 2 SCALE 924; (1993) 4 SCC 536 Supp; (1992) 2 SCR 182 Supp; (1993) 88 STC 98</t>
        </is>
      </c>
      <c r="N864" s="11" t="n">
        <v>1993</v>
      </c>
      <c r="O864" s="11" t="n"/>
      <c r="P864" s="11" t="n"/>
      <c r="Q864" s="11" t="n"/>
      <c r="R864" s="2" t="n"/>
      <c r="S864" s="2" t="n"/>
      <c r="T864" s="11" t="inlineStr"/>
      <c r="U864" s="11" t="inlineStr"/>
      <c r="V864" s="11" t="inlineStr">
        <is>
          <t>outside_list</t>
        </is>
      </c>
      <c r="W864" s="11" t="n"/>
      <c r="X864" s="11" t="n"/>
      <c r="Y864" s="11" t="n"/>
      <c r="Z864" s="11" t="inlineStr">
        <is>
          <t>Mr. Advocate</t>
        </is>
      </c>
      <c r="AA864" s="11" t="inlineStr">
        <is>
          <t>2026-10-07</t>
        </is>
      </c>
      <c r="AB864" s="11" t="inlineStr">
        <is>
          <t>name_year</t>
        </is>
      </c>
      <c r="AC864" s="2" t="inlineStr"/>
      <c r="AD864" s="2" t="inlineStr">
        <is>
          <t>Bata India Limited v. The State of Haryana and Another (1983) was overruled by Hotel Balaji and others, v. State of Andhra Pradesh and others, etc. (1993).</t>
        </is>
      </c>
      <c r="AE864" s="2" t="n"/>
      <c r="AF864" s="11" t="inlineStr">
        <is>
          <t>created from list 1</t>
        </is>
      </c>
    </row>
    <row r="865">
      <c r="A865" s="11" t="inlineStr">
        <is>
          <t>L1-0864</t>
        </is>
      </c>
      <c r="B865" s="11" t="inlineStr">
        <is>
          <t>List 1 (to ~2015)</t>
        </is>
      </c>
      <c r="C865" s="11" t="inlineStr">
        <is>
          <t>list1</t>
        </is>
      </c>
      <c r="D865" s="11" t="inlineStr">
        <is>
          <t>verified</t>
        </is>
      </c>
      <c r="E865" s="11" t="inlineStr">
        <is>
          <t>reversed_on_appeal</t>
        </is>
      </c>
      <c r="F865" s="2" t="inlineStr">
        <is>
          <t>Ansal Properties and Industries Limited v. State of Haryana and Another</t>
        </is>
      </c>
      <c r="G865" s="11" t="inlineStr"/>
      <c r="H865" s="11" t="inlineStr">
        <is>
          <t>unknown</t>
        </is>
      </c>
      <c r="I865" s="2" t="inlineStr">
        <is>
          <t>(2000) 124 PLR 663</t>
        </is>
      </c>
      <c r="J865" s="11" t="n">
        <v>2000</v>
      </c>
      <c r="K865" s="2" t="inlineStr">
        <is>
          <t>Ansal Properties and Industries Ltd. v. State of Haryana and Another</t>
        </is>
      </c>
      <c r="L865" s="11" t="inlineStr">
        <is>
          <t>Supreme Court</t>
        </is>
      </c>
      <c r="M865" s="2" t="inlineStr">
        <is>
          <t>(2009) 4 JT 174; (2009) 2 SCALE 140; (2009) 3 SCC 553; (2009) 1 SCR 553</t>
        </is>
      </c>
      <c r="N865" s="11" t="n">
        <v>2009</v>
      </c>
      <c r="O865" s="11" t="n"/>
      <c r="P865" s="11" t="n"/>
      <c r="Q865" s="11" t="n"/>
      <c r="R865" s="2" t="n"/>
      <c r="S865" s="2" t="n"/>
      <c r="T865" s="11" t="inlineStr">
        <is>
          <t>yes</t>
        </is>
      </c>
      <c r="U865" s="11" t="inlineStr"/>
      <c r="V865" s="11" t="inlineStr">
        <is>
          <t>outside_list</t>
        </is>
      </c>
      <c r="W865" s="11" t="n"/>
      <c r="X865" s="11" t="n"/>
      <c r="Y865" s="11" t="n"/>
      <c r="Z865" s="11" t="inlineStr">
        <is>
          <t>Mr. Advocate</t>
        </is>
      </c>
      <c r="AA865" s="11" t="inlineStr">
        <is>
          <t>2026-10-07</t>
        </is>
      </c>
      <c r="AB865" s="11" t="inlineStr">
        <is>
          <t>name_year</t>
        </is>
      </c>
      <c r="AC865" s="2" t="inlineStr"/>
      <c r="AD865" s="2" t="inlineStr">
        <is>
          <t>Ansal Properties and Industries Limited v. State of Haryana and Another (2000) was reversed on appeal by the Supreme Court in Ansal Properties and Industries Ltd. v. State of Haryana and Another (2009).</t>
        </is>
      </c>
      <c r="AE865" s="2" t="n"/>
      <c r="AF865" s="11" t="inlineStr">
        <is>
          <t>created from list 1</t>
        </is>
      </c>
    </row>
    <row r="866">
      <c r="A866" s="11" t="inlineStr">
        <is>
          <t>L1-0865</t>
        </is>
      </c>
      <c r="B866" s="11" t="inlineStr">
        <is>
          <t>List 1 (to ~2015)</t>
        </is>
      </c>
      <c r="C866" s="11" t="inlineStr">
        <is>
          <t>list1</t>
        </is>
      </c>
      <c r="D866" s="11" t="inlineStr">
        <is>
          <t>verified</t>
        </is>
      </c>
      <c r="E866" s="11" t="inlineStr">
        <is>
          <t>reversed_on_appeal</t>
        </is>
      </c>
      <c r="F866" s="2" t="inlineStr">
        <is>
          <t>Universal Petrochemicals Ltd. v. Rajasthan State Electricity Board</t>
        </is>
      </c>
      <c r="G866" s="11" t="inlineStr"/>
      <c r="H866" s="11" t="inlineStr">
        <is>
          <t>Calcutta</t>
        </is>
      </c>
      <c r="I866" s="2" t="inlineStr">
        <is>
          <t>AIR 2001 Cal 102; (2001) 2 CALLT 417; (2001) 2 CHN 300; 105 CWN 1098</t>
        </is>
      </c>
      <c r="J866" s="11" t="n">
        <v>2001</v>
      </c>
      <c r="K866" s="2" t="inlineStr">
        <is>
          <t>Rajasthan State Electricity Board v. Universal Petro Chemicals Ltd.</t>
        </is>
      </c>
      <c r="L866" s="11" t="inlineStr">
        <is>
          <t>unknown</t>
        </is>
      </c>
      <c r="M866" s="2" t="inlineStr">
        <is>
          <t>(2009) 1 JT 315; (2009) 1 SCALE 354; (2009) 3 SCC 107; (2009) 1 SCR 138; (2009) 1 UJ 311; (2009) AIRSCW 607; (2009) 1 Supreme 121</t>
        </is>
      </c>
      <c r="N866" s="11" t="n">
        <v>2009</v>
      </c>
      <c r="O866" s="11" t="n"/>
      <c r="P866" s="11" t="n"/>
      <c r="Q866" s="11" t="n"/>
      <c r="R866" s="2" t="n"/>
      <c r="S866" s="2" t="n"/>
      <c r="T866" s="11" t="inlineStr">
        <is>
          <t>yes</t>
        </is>
      </c>
      <c r="U866" s="11" t="inlineStr"/>
      <c r="V866" s="11" t="inlineStr">
        <is>
          <t>outside_list</t>
        </is>
      </c>
      <c r="W866" s="11" t="n"/>
      <c r="X866" s="11" t="n"/>
      <c r="Y866" s="11" t="n"/>
      <c r="Z866" s="11" t="inlineStr">
        <is>
          <t>Mr. Advocate</t>
        </is>
      </c>
      <c r="AA866" s="11" t="inlineStr">
        <is>
          <t>2026-10-07</t>
        </is>
      </c>
      <c r="AB866" s="11" t="inlineStr">
        <is>
          <t>name_year</t>
        </is>
      </c>
      <c r="AC866" s="2" t="inlineStr"/>
      <c r="AD866" s="2" t="inlineStr">
        <is>
          <t>Universal Petrochemicals Ltd. v. Rajasthan State Electricity Board (2001) was reversed on appeal by the Supreme Court in Rajasthan State Electricity Board v. Universal Petro Chemicals Ltd. (2009).</t>
        </is>
      </c>
      <c r="AE866" s="2" t="n"/>
      <c r="AF866" s="11" t="inlineStr">
        <is>
          <t>created from list 1</t>
        </is>
      </c>
    </row>
    <row r="867">
      <c r="A867" s="11" t="inlineStr">
        <is>
          <t>L1-0866</t>
        </is>
      </c>
      <c r="B867" s="11" t="inlineStr">
        <is>
          <t>List 1 (to ~2015)</t>
        </is>
      </c>
      <c r="C867" s="11" t="inlineStr">
        <is>
          <t>list1</t>
        </is>
      </c>
      <c r="D867" s="11" t="inlineStr">
        <is>
          <t>verified</t>
        </is>
      </c>
      <c r="E867" s="11" t="inlineStr">
        <is>
          <t>reversed_on_appeal</t>
        </is>
      </c>
      <c r="F867" s="2" t="inlineStr">
        <is>
          <t>Commissioner of Income Tax v. Rajiv Bhatara</t>
        </is>
      </c>
      <c r="G867" s="11" t="inlineStr"/>
      <c r="H867" s="11" t="inlineStr">
        <is>
          <t>unknown</t>
        </is>
      </c>
      <c r="I867" s="2" t="inlineStr">
        <is>
          <t>(2007) 212 CTR 77</t>
        </is>
      </c>
      <c r="J867" s="11" t="n">
        <v>2007</v>
      </c>
      <c r="K867" s="2" t="inlineStr">
        <is>
          <t>Commnr. of Income Tax, Jalandhar-I v. Shri Rajiv Bhatara</t>
        </is>
      </c>
      <c r="L867" s="11" t="inlineStr">
        <is>
          <t>Supreme Court</t>
        </is>
      </c>
      <c r="M867" s="2" t="inlineStr">
        <is>
          <t>(2009) 222 CTR 209; (2009) 310 ITR 105; (2009) 4 JT 39; (2009) 3 SCALE 16; (2009) 13 SCC 315; (2009) 2 SCR 873; (2009) 178 TAXMAN 285</t>
        </is>
      </c>
      <c r="N867" s="11" t="n">
        <v>2009</v>
      </c>
      <c r="O867" s="11" t="n"/>
      <c r="P867" s="11" t="n"/>
      <c r="Q867" s="11" t="n"/>
      <c r="R867" s="2" t="n"/>
      <c r="S867" s="2" t="n"/>
      <c r="T867" s="11" t="inlineStr">
        <is>
          <t>yes</t>
        </is>
      </c>
      <c r="U867" s="11" t="inlineStr"/>
      <c r="V867" s="11" t="inlineStr">
        <is>
          <t>outside_list</t>
        </is>
      </c>
      <c r="W867" s="11" t="n"/>
      <c r="X867" s="11" t="n"/>
      <c r="Y867" s="11" t="n"/>
      <c r="Z867" s="11" t="inlineStr">
        <is>
          <t>Mr. Advocate</t>
        </is>
      </c>
      <c r="AA867" s="11" t="inlineStr">
        <is>
          <t>2026-10-07</t>
        </is>
      </c>
      <c r="AB867" s="11" t="inlineStr">
        <is>
          <t>name_year</t>
        </is>
      </c>
      <c r="AC867" s="2" t="inlineStr"/>
      <c r="AD867" s="2" t="inlineStr">
        <is>
          <t>Commissioner of Income Tax v. Rajiv Bhatara (2007) was reversed on appeal by the Supreme Court in Commnr. of Income Tax, Jalandhar-I v. Shri Rajiv Bhatara (2009).</t>
        </is>
      </c>
      <c r="AE867" s="2" t="n"/>
      <c r="AF867" s="11" t="inlineStr">
        <is>
          <t>created from list 1</t>
        </is>
      </c>
    </row>
    <row r="868">
      <c r="A868" s="11" t="inlineStr">
        <is>
          <t>L1-0867</t>
        </is>
      </c>
      <c r="B868" s="11" t="inlineStr">
        <is>
          <t>List 1 (to ~2015)</t>
        </is>
      </c>
      <c r="C868" s="11" t="inlineStr">
        <is>
          <t>list1</t>
        </is>
      </c>
      <c r="D868" s="11" t="inlineStr">
        <is>
          <t>verified</t>
        </is>
      </c>
      <c r="E868" s="11" t="inlineStr">
        <is>
          <t>overruled</t>
        </is>
      </c>
      <c r="F868" s="2" t="inlineStr">
        <is>
          <t>British Paints (India) Ltd. v. Commissioner of Income Tax</t>
        </is>
      </c>
      <c r="G868" s="11" t="inlineStr"/>
      <c r="H868" s="11" t="inlineStr">
        <is>
          <t>unknown</t>
        </is>
      </c>
      <c r="I868" s="2" t="inlineStr">
        <is>
          <t>(1990) 84 CTR 136; (1991) 190 ITR 196</t>
        </is>
      </c>
      <c r="J868" s="11" t="n">
        <v>1990</v>
      </c>
      <c r="K868" s="2" t="inlineStr">
        <is>
          <t>Peddireddy Subbareddi and others v. State of Andhra Pradesh</t>
        </is>
      </c>
      <c r="L868" s="11" t="inlineStr">
        <is>
          <t>Supreme Court</t>
        </is>
      </c>
      <c r="M868" s="2" t="inlineStr">
        <is>
          <t>AIR 1991 SC 1356; (1991) CriLJ 1391(1)</t>
        </is>
      </c>
      <c r="N868" s="11" t="n">
        <v>1991</v>
      </c>
      <c r="O868" s="11" t="n"/>
      <c r="P868" s="11" t="n"/>
      <c r="Q868" s="11" t="n"/>
      <c r="R868" s="2" t="n"/>
      <c r="S868" s="2" t="n"/>
      <c r="T868" s="11" t="inlineStr"/>
      <c r="U868" s="11" t="inlineStr"/>
      <c r="V868" s="11" t="inlineStr">
        <is>
          <t>outside_list</t>
        </is>
      </c>
      <c r="W868" s="11" t="n"/>
      <c r="X868" s="11" t="n"/>
      <c r="Y868" s="11" t="n"/>
      <c r="Z868" s="11" t="inlineStr">
        <is>
          <t>Mr. Advocate</t>
        </is>
      </c>
      <c r="AA868" s="11" t="inlineStr">
        <is>
          <t>2026-10-07</t>
        </is>
      </c>
      <c r="AB868" s="11" t="inlineStr">
        <is>
          <t>name_year</t>
        </is>
      </c>
      <c r="AC868" s="2" t="inlineStr"/>
      <c r="AD868" s="2" t="inlineStr">
        <is>
          <t>British Paints (India) Ltd. v. Commissioner of Income Tax (1990) was overruled by Peddireddy Subbareddi and others v. State of Andhra Pradesh (1991).</t>
        </is>
      </c>
      <c r="AE868" s="2" t="n"/>
      <c r="AF868" s="11" t="inlineStr">
        <is>
          <t>created from list 1</t>
        </is>
      </c>
    </row>
    <row r="869">
      <c r="A869" s="11" t="inlineStr">
        <is>
          <t>L1-0868</t>
        </is>
      </c>
      <c r="B869" s="11" t="inlineStr">
        <is>
          <t>List 1 (to ~2015)</t>
        </is>
      </c>
      <c r="C869" s="11" t="inlineStr">
        <is>
          <t>list1</t>
        </is>
      </c>
      <c r="D869" s="11" t="inlineStr">
        <is>
          <t>verified</t>
        </is>
      </c>
      <c r="E869" s="11" t="inlineStr">
        <is>
          <t>overruled</t>
        </is>
      </c>
      <c r="F869" s="2" t="inlineStr">
        <is>
          <t>Mosmi and Another v. Ram Kumar and Others</t>
        </is>
      </c>
      <c r="G869" s="11" t="inlineStr"/>
      <c r="H869" s="11" t="inlineStr">
        <is>
          <t>unknown</t>
        </is>
      </c>
      <c r="I869" s="2" t="inlineStr">
        <is>
          <t>(1992) 1 ACC 187; (1992) ACJ 192</t>
        </is>
      </c>
      <c r="J869" s="11" t="n">
        <v>1992</v>
      </c>
      <c r="K869" s="2" t="inlineStr">
        <is>
          <t>State of Punjab and Others v. Bhajan Kaur and Others</t>
        </is>
      </c>
      <c r="L869" s="11" t="inlineStr">
        <is>
          <t>Supreme Court</t>
        </is>
      </c>
      <c r="M869" s="2" t="inlineStr">
        <is>
          <t>AIR 2008 SC 2276; (2008) CLT 915; (2008) 8 SCALE 475; (2008) 12 SCC 112; (2008) AIRSCW 4073; (2008) 3 Supreme 724</t>
        </is>
      </c>
      <c r="N869" s="11" t="n">
        <v>2008</v>
      </c>
      <c r="O869" s="11" t="n"/>
      <c r="P869" s="11" t="n"/>
      <c r="Q869" s="11" t="n"/>
      <c r="R869" s="2" t="n"/>
      <c r="S869" s="2" t="n"/>
      <c r="T869" s="11" t="inlineStr"/>
      <c r="U869" s="11" t="inlineStr"/>
      <c r="V869" s="11" t="inlineStr">
        <is>
          <t>outside_list</t>
        </is>
      </c>
      <c r="W869" s="11" t="n"/>
      <c r="X869" s="11" t="n"/>
      <c r="Y869" s="11" t="n"/>
      <c r="Z869" s="11" t="inlineStr">
        <is>
          <t>Mr. Advocate</t>
        </is>
      </c>
      <c r="AA869" s="11" t="inlineStr">
        <is>
          <t>2026-10-07</t>
        </is>
      </c>
      <c r="AB869" s="11" t="inlineStr">
        <is>
          <t>name_year</t>
        </is>
      </c>
      <c r="AC869" s="2" t="inlineStr"/>
      <c r="AD869" s="2" t="inlineStr">
        <is>
          <t>Mosmi and Another v. Ram Kumar and Others (1992) was overruled by State of Punjab and Others v. Bhajan Kaur and Others (2008).</t>
        </is>
      </c>
      <c r="AE869" s="2" t="n"/>
      <c r="AF869" s="11" t="inlineStr">
        <is>
          <t>created from list 1</t>
        </is>
      </c>
    </row>
    <row r="870">
      <c r="A870" s="11" t="inlineStr">
        <is>
          <t>L1-0869</t>
        </is>
      </c>
      <c r="B870" s="11" t="inlineStr">
        <is>
          <t>List 1 (to ~2015)</t>
        </is>
      </c>
      <c r="C870" s="11" t="inlineStr">
        <is>
          <t>list1</t>
        </is>
      </c>
      <c r="D870" s="11" t="inlineStr">
        <is>
          <t>verified</t>
        </is>
      </c>
      <c r="E870" s="11" t="inlineStr">
        <is>
          <t>reversed_on_appeal</t>
        </is>
      </c>
      <c r="F870" s="2" t="inlineStr">
        <is>
          <t>Manjeet v. State Bank of Patiala and Others</t>
        </is>
      </c>
      <c r="G870" s="11" t="inlineStr"/>
      <c r="H870" s="11" t="inlineStr">
        <is>
          <t>unknown</t>
        </is>
      </c>
      <c r="I870" s="2" t="inlineStr">
        <is>
          <t>(2006) 108 FLR 505; (2005) 141 PLR 843</t>
        </is>
      </c>
      <c r="J870" s="11" t="n">
        <v>2005</v>
      </c>
      <c r="K870" s="2" t="inlineStr">
        <is>
          <t>State Bank of Patiala v. Manjeet</t>
        </is>
      </c>
      <c r="L870" s="11" t="inlineStr">
        <is>
          <t>Supreme Court</t>
        </is>
      </c>
      <c r="M870" s="2" t="inlineStr">
        <is>
          <t>AIR 2008 SC 1482; (2008) 2 CLT 116; (2008) 1 LLJ 1010; (2008) 2 SCALE 481; (2008) 3 SCC 501; (2008) 1 SCC(L&amp;S) 834; (2008) AIRSCW 1545; (2008) 2 Supreme 41</t>
        </is>
      </c>
      <c r="N870" s="11" t="n">
        <v>2008</v>
      </c>
      <c r="O870" s="11" t="n"/>
      <c r="P870" s="11" t="n"/>
      <c r="Q870" s="11" t="n"/>
      <c r="R870" s="2" t="n"/>
      <c r="S870" s="2" t="n"/>
      <c r="T870" s="11" t="inlineStr">
        <is>
          <t>yes</t>
        </is>
      </c>
      <c r="U870" s="11" t="inlineStr"/>
      <c r="V870" s="11" t="inlineStr">
        <is>
          <t>outside_list</t>
        </is>
      </c>
      <c r="W870" s="11" t="n"/>
      <c r="X870" s="11" t="n"/>
      <c r="Y870" s="11" t="n"/>
      <c r="Z870" s="11" t="inlineStr">
        <is>
          <t>Mr. Advocate</t>
        </is>
      </c>
      <c r="AA870" s="11" t="inlineStr">
        <is>
          <t>2026-10-07</t>
        </is>
      </c>
      <c r="AB870" s="11" t="inlineStr">
        <is>
          <t>name_year</t>
        </is>
      </c>
      <c r="AC870" s="2" t="inlineStr"/>
      <c r="AD870" s="2" t="inlineStr">
        <is>
          <t>Manjeet v. State Bank of Patiala and Others (2005) was reversed on appeal by the Supreme Court in State Bank of Patiala v. Manjeet (2008).</t>
        </is>
      </c>
      <c r="AE870" s="2" t="n"/>
      <c r="AF870" s="11" t="inlineStr">
        <is>
          <t>created from list 1</t>
        </is>
      </c>
    </row>
    <row r="871">
      <c r="A871" s="11" t="inlineStr">
        <is>
          <t>L1-0870</t>
        </is>
      </c>
      <c r="B871" s="11" t="inlineStr">
        <is>
          <t>List 1 (to ~2015)</t>
        </is>
      </c>
      <c r="C871" s="11" t="inlineStr">
        <is>
          <t>list1</t>
        </is>
      </c>
      <c r="D871" s="11" t="inlineStr">
        <is>
          <t>verified</t>
        </is>
      </c>
      <c r="E871" s="11" t="inlineStr">
        <is>
          <t>reversed_on_appeal</t>
        </is>
      </c>
      <c r="F871" s="2" t="inlineStr">
        <is>
          <t>Commissioner of Income Tax v. Hooghly Mills Co. Ltd.</t>
        </is>
      </c>
      <c r="G871" s="11" t="inlineStr"/>
      <c r="H871" s="11" t="inlineStr">
        <is>
          <t>unknown</t>
        </is>
      </c>
      <c r="I871" s="2" t="inlineStr">
        <is>
          <t>(2003) 185 CTR 86; (2003) 2 ILR (Cal) 407; (2004) 266 ITR 257</t>
        </is>
      </c>
      <c r="J871" s="11" t="n">
        <v>2003</v>
      </c>
      <c r="K871" s="2" t="inlineStr">
        <is>
          <t>Commissioner of Income Tax, Kolkata v. Hoogly Mills Co. Ltd.</t>
        </is>
      </c>
      <c r="L871" s="11" t="inlineStr">
        <is>
          <t>Supreme Court</t>
        </is>
      </c>
      <c r="M871" s="2" t="inlineStr">
        <is>
          <t>(2006) 206 CTR 301; (2007) 112 FLR 332; (2006) 287 ITR 333; (2006) 10 JT 393; (2006) 12 SCALE 265; (2007) 1 SCC 571; (2006) 9 SCR 265 Supp; (2006) 2 UJ 1532</t>
        </is>
      </c>
      <c r="N871" s="11" t="n">
        <v>2006</v>
      </c>
      <c r="O871" s="11" t="n"/>
      <c r="P871" s="11" t="n"/>
      <c r="Q871" s="11" t="n"/>
      <c r="R871" s="2" t="n"/>
      <c r="S871" s="2" t="n"/>
      <c r="T871" s="11" t="inlineStr">
        <is>
          <t>yes</t>
        </is>
      </c>
      <c r="U871" s="11" t="inlineStr"/>
      <c r="V871" s="11" t="inlineStr">
        <is>
          <t>outside_list</t>
        </is>
      </c>
      <c r="W871" s="11" t="n"/>
      <c r="X871" s="11" t="n"/>
      <c r="Y871" s="11" t="n"/>
      <c r="Z871" s="11" t="inlineStr">
        <is>
          <t>Mr. Advocate</t>
        </is>
      </c>
      <c r="AA871" s="11" t="inlineStr">
        <is>
          <t>2026-10-07</t>
        </is>
      </c>
      <c r="AB871" s="11" t="inlineStr">
        <is>
          <t>name_year</t>
        </is>
      </c>
      <c r="AC871" s="2" t="inlineStr"/>
      <c r="AD871" s="2" t="inlineStr">
        <is>
          <t>Commissioner of Income Tax v. Hooghly Mills Co. Ltd. (2003) was reversed on appeal by the Supreme Court in Commissioner of Income Tax, Kolkata v. Hoogly Mills Co. Ltd. (2006).</t>
        </is>
      </c>
      <c r="AE871" s="2" t="n"/>
      <c r="AF871" s="11" t="inlineStr">
        <is>
          <t>created from list 1</t>
        </is>
      </c>
    </row>
    <row r="872">
      <c r="A872" s="11" t="inlineStr">
        <is>
          <t>L1-0871</t>
        </is>
      </c>
      <c r="B872" s="11" t="inlineStr">
        <is>
          <t>List 1 (to ~2015)</t>
        </is>
      </c>
      <c r="C872" s="11" t="inlineStr">
        <is>
          <t>list1</t>
        </is>
      </c>
      <c r="D872" s="11" t="inlineStr">
        <is>
          <t>verified</t>
        </is>
      </c>
      <c r="E872" s="11" t="inlineStr">
        <is>
          <t>overruled</t>
        </is>
      </c>
      <c r="F872" s="2" t="inlineStr">
        <is>
          <t>Bhupinder Singh v. Smt. Zenobia Bhanot</t>
        </is>
      </c>
      <c r="G872" s="11" t="inlineStr"/>
      <c r="H872" s="11" t="inlineStr">
        <is>
          <t>unknown</t>
        </is>
      </c>
      <c r="I872" s="2" t="inlineStr">
        <is>
          <t>(1990) 98 PLR 335</t>
        </is>
      </c>
      <c r="J872" s="11" t="n">
        <v>1990</v>
      </c>
      <c r="K872" s="2" t="inlineStr">
        <is>
          <t>Zenobia Bhanot v. P.K. Vasudeva and another</t>
        </is>
      </c>
      <c r="L872" s="11" t="inlineStr">
        <is>
          <t>Supreme Court</t>
        </is>
      </c>
      <c r="M872" s="2" t="inlineStr">
        <is>
          <t>AIR 1996 SC 601; AIR 1995 SC 601; (1995) 8 JT 97; (1996) 112 PLR 220; (1995) 6 SCALE 356; (1995) 6 SCC 770; (1995) 5 SCR 207 Supp; (1996) 1 UJ 112</t>
        </is>
      </c>
      <c r="N872" s="11" t="n">
        <v>1996</v>
      </c>
      <c r="O872" s="11" t="n"/>
      <c r="P872" s="11" t="n"/>
      <c r="Q872" s="11" t="n"/>
      <c r="R872" s="2" t="n"/>
      <c r="S872" s="2" t="n"/>
      <c r="T872" s="11" t="inlineStr"/>
      <c r="U872" s="11" t="inlineStr"/>
      <c r="V872" s="11" t="inlineStr">
        <is>
          <t>outside_list</t>
        </is>
      </c>
      <c r="W872" s="11" t="n"/>
      <c r="X872" s="11" t="n"/>
      <c r="Y872" s="11" t="n"/>
      <c r="Z872" s="11" t="inlineStr">
        <is>
          <t>Mr. Advocate</t>
        </is>
      </c>
      <c r="AA872" s="11" t="inlineStr">
        <is>
          <t>2026-10-07</t>
        </is>
      </c>
      <c r="AB872" s="11" t="inlineStr">
        <is>
          <t>name_year</t>
        </is>
      </c>
      <c r="AC872" s="2" t="inlineStr"/>
      <c r="AD872" s="2" t="inlineStr">
        <is>
          <t>Bhupinder Singh v. Smt. Zenobia Bhanot (1990) was overruled by Zenobia Bhanot v. P.K. Vasudeva and another (1996).</t>
        </is>
      </c>
      <c r="AE872" s="2" t="n"/>
      <c r="AF872" s="11" t="inlineStr">
        <is>
          <t>created from list 1</t>
        </is>
      </c>
    </row>
    <row r="873">
      <c r="A873" s="11" t="inlineStr">
        <is>
          <t>L1-0872</t>
        </is>
      </c>
      <c r="B873" s="11" t="inlineStr">
        <is>
          <t>List 1 (to ~2015)</t>
        </is>
      </c>
      <c r="C873" s="11" t="inlineStr">
        <is>
          <t>list1</t>
        </is>
      </c>
      <c r="D873" s="11" t="inlineStr">
        <is>
          <t>verified</t>
        </is>
      </c>
      <c r="E873" s="11" t="inlineStr">
        <is>
          <t>overruled</t>
        </is>
      </c>
      <c r="F873" s="2" t="inlineStr">
        <is>
          <t>Chander Bhushan Anand and Others v. Union of India (UOI) and Others</t>
        </is>
      </c>
      <c r="G873" s="11" t="inlineStr"/>
      <c r="H873" s="11" t="inlineStr">
        <is>
          <t>unknown</t>
        </is>
      </c>
      <c r="I873" s="2" t="inlineStr">
        <is>
          <t>(2005) 139 PLR 400</t>
        </is>
      </c>
      <c r="J873" s="11" t="n">
        <v>2005</v>
      </c>
      <c r="K873" s="2" t="inlineStr">
        <is>
          <t>Vasu Dev Singh and Others v. Union of India (UOI) and Others</t>
        </is>
      </c>
      <c r="L873" s="11" t="inlineStr">
        <is>
          <t>Supreme Court</t>
        </is>
      </c>
      <c r="M873" s="2" t="inlineStr">
        <is>
          <t>(2006) 144 PLR 802; (2006) 11 SCALE 108; (2006) 12 SCC 753; (2006) 9 SCR 565 Supp</t>
        </is>
      </c>
      <c r="N873" s="11" t="n">
        <v>2006</v>
      </c>
      <c r="O873" s="11" t="n"/>
      <c r="P873" s="11" t="n"/>
      <c r="Q873" s="11" t="n"/>
      <c r="R873" s="2" t="n"/>
      <c r="S873" s="2" t="n"/>
      <c r="T873" s="11" t="inlineStr"/>
      <c r="U873" s="11" t="inlineStr"/>
      <c r="V873" s="11" t="inlineStr">
        <is>
          <t>outside_list</t>
        </is>
      </c>
      <c r="W873" s="11" t="n"/>
      <c r="X873" s="11" t="n"/>
      <c r="Y873" s="11" t="n"/>
      <c r="Z873" s="11" t="inlineStr">
        <is>
          <t>Mr. Advocate</t>
        </is>
      </c>
      <c r="AA873" s="11" t="inlineStr">
        <is>
          <t>2026-10-07</t>
        </is>
      </c>
      <c r="AB873" s="11" t="inlineStr">
        <is>
          <t>name_year</t>
        </is>
      </c>
      <c r="AC873" s="2" t="inlineStr"/>
      <c r="AD873" s="2" t="inlineStr">
        <is>
          <t>Chander Bhushan Anand and Others v. Union of India (UOI) and Others (2005) was overruled by Vasu Dev Singh and Others v. Union of India (UOI) and Others (2006).</t>
        </is>
      </c>
      <c r="AE873" s="2" t="n"/>
      <c r="AF873" s="11" t="inlineStr">
        <is>
          <t>created from list 1</t>
        </is>
      </c>
    </row>
    <row r="874">
      <c r="A874" s="11" t="inlineStr">
        <is>
          <t>L1-0873</t>
        </is>
      </c>
      <c r="B874" s="11" t="inlineStr">
        <is>
          <t>List 1 (to ~2015)</t>
        </is>
      </c>
      <c r="C874" s="11" t="inlineStr">
        <is>
          <t>list1</t>
        </is>
      </c>
      <c r="D874" s="11" t="inlineStr">
        <is>
          <t>verified</t>
        </is>
      </c>
      <c r="E874" s="11" t="inlineStr">
        <is>
          <t>reversed_on_appeal</t>
        </is>
      </c>
      <c r="F874" s="2" t="inlineStr">
        <is>
          <t>Navin Jindal v. Assistant Commissioner of Income Tax</t>
        </is>
      </c>
      <c r="G874" s="11" t="inlineStr"/>
      <c r="H874" s="11" t="inlineStr">
        <is>
          <t>unknown</t>
        </is>
      </c>
      <c r="I874" s="2" t="inlineStr">
        <is>
          <t>(2006) 202 CTR 86; (2006) 280 ITR 608</t>
        </is>
      </c>
      <c r="J874" s="11" t="n">
        <v>2006</v>
      </c>
      <c r="K874" s="2" t="inlineStr">
        <is>
          <t>Navin Jindal v. Assistant Commissioner of Income Tax</t>
        </is>
      </c>
      <c r="L874" s="11" t="inlineStr">
        <is>
          <t>unknown</t>
        </is>
      </c>
      <c r="M874" s="2" t="inlineStr">
        <is>
          <t>(2010) 228 CTR 478; (2010) 320 ITR 708; (2010) 1 JT 298; (2010) 1 SCALE 251; (2010) 2 SCC 525; (2010) 1 SCR 255; (2010) 187 TAXMAN 283; (2010) 2 UJ 571; (2010) AIRSCW 7288; (2010) AIRSCW 6066; (2010) 7 Supreme 792</t>
        </is>
      </c>
      <c r="N874" s="11" t="n">
        <v>2010</v>
      </c>
      <c r="O874" s="11" t="n"/>
      <c r="P874" s="11" t="n"/>
      <c r="Q874" s="11" t="n"/>
      <c r="R874" s="2" t="n"/>
      <c r="S874" s="2" t="n"/>
      <c r="T874" s="11" t="inlineStr">
        <is>
          <t>yes</t>
        </is>
      </c>
      <c r="U874" s="11" t="inlineStr"/>
      <c r="V874" s="11" t="inlineStr">
        <is>
          <t>outside_list</t>
        </is>
      </c>
      <c r="W874" s="11" t="n"/>
      <c r="X874" s="11" t="n"/>
      <c r="Y874" s="11" t="n"/>
      <c r="Z874" s="11" t="inlineStr">
        <is>
          <t>Mr. Advocate</t>
        </is>
      </c>
      <c r="AA874" s="11" t="inlineStr">
        <is>
          <t>2026-10-07</t>
        </is>
      </c>
      <c r="AB874" s="11" t="inlineStr">
        <is>
          <t>name_year</t>
        </is>
      </c>
      <c r="AC874" s="2" t="inlineStr"/>
      <c r="AD874" s="2" t="inlineStr">
        <is>
          <t>Navin Jindal v. Assistant Commissioner of Income Tax (2006) was reversed on appeal by the Supreme Court in Navin Jindal v. Assistant Commissioner of Income Tax (2010).</t>
        </is>
      </c>
      <c r="AE874" s="2" t="n"/>
      <c r="AF874" s="11" t="inlineStr">
        <is>
          <t>created from list 1</t>
        </is>
      </c>
    </row>
    <row r="875">
      <c r="A875" s="11" t="inlineStr">
        <is>
          <t>L1-0874</t>
        </is>
      </c>
      <c r="B875" s="11" t="inlineStr">
        <is>
          <t>List 1 (to ~2015)</t>
        </is>
      </c>
      <c r="C875" s="11" t="inlineStr">
        <is>
          <t>list1</t>
        </is>
      </c>
      <c r="D875" s="11" t="inlineStr">
        <is>
          <t>verified</t>
        </is>
      </c>
      <c r="E875" s="11" t="inlineStr">
        <is>
          <t>reversed_on_appeal</t>
        </is>
      </c>
      <c r="F875" s="2" t="inlineStr">
        <is>
          <t>Prahlad Singh and Others v. Union of India (UOI) and Others</t>
        </is>
      </c>
      <c r="G875" s="11" t="inlineStr"/>
      <c r="H875" s="11" t="inlineStr">
        <is>
          <t>unknown</t>
        </is>
      </c>
      <c r="I875" s="2" t="inlineStr"/>
      <c r="J875" s="11" t="n"/>
      <c r="K875" s="2" t="inlineStr">
        <is>
          <t>Prahlad Singh and Others v. Union of India (UOI) and Others</t>
        </is>
      </c>
      <c r="L875" s="11" t="inlineStr">
        <is>
          <t>Supreme Court</t>
        </is>
      </c>
      <c r="M875" s="2" t="inlineStr">
        <is>
          <t>(2011) 2 RCR(Civil) 863; (2011) 5 SCALE 296; (2011) 5 SCC 386; (2011) 5 SCR 1002</t>
        </is>
      </c>
      <c r="N875" s="11" t="n">
        <v>2011</v>
      </c>
      <c r="O875" s="11" t="n"/>
      <c r="P875" s="11" t="n"/>
      <c r="Q875" s="11" t="n"/>
      <c r="R875" s="2" t="n"/>
      <c r="S875" s="2" t="n"/>
      <c r="T875" s="11" t="inlineStr">
        <is>
          <t>yes</t>
        </is>
      </c>
      <c r="U875" s="11" t="inlineStr">
        <is>
          <t>no_citation_or_year_for_overruled, needs_citation_or_year</t>
        </is>
      </c>
      <c r="V875" s="11" t="inlineStr">
        <is>
          <t>outside_list</t>
        </is>
      </c>
      <c r="W875" s="11" t="n"/>
      <c r="X875" s="11" t="n"/>
      <c r="Y875" s="11" t="n"/>
      <c r="Z875" s="11" t="inlineStr">
        <is>
          <t>Mr. Advocate</t>
        </is>
      </c>
      <c r="AA875" s="11" t="inlineStr">
        <is>
          <t>2026-10-07</t>
        </is>
      </c>
      <c r="AB875" s="11" t="inlineStr">
        <is>
          <t>weak</t>
        </is>
      </c>
      <c r="AC875" s="2" t="inlineStr"/>
      <c r="AD875" s="2" t="inlineStr">
        <is>
          <t>Prahlad Singh and Others v. Union of India (UOI) and Others was reversed on appeal by the Supreme Court in Prahlad Singh and Others v. Union of India (UOI) and Others (2011).</t>
        </is>
      </c>
      <c r="AE875" s="2" t="n"/>
      <c r="AF875" s="11" t="inlineStr">
        <is>
          <t>created from list 1</t>
        </is>
      </c>
    </row>
    <row r="876">
      <c r="A876" s="11" t="inlineStr">
        <is>
          <t>L1-0875</t>
        </is>
      </c>
      <c r="B876" s="11" t="inlineStr">
        <is>
          <t>List 1 (to ~2015)</t>
        </is>
      </c>
      <c r="C876" s="11" t="inlineStr">
        <is>
          <t>list1</t>
        </is>
      </c>
      <c r="D876" s="11" t="inlineStr">
        <is>
          <t>verified</t>
        </is>
      </c>
      <c r="E876" s="11" t="inlineStr">
        <is>
          <t>overruled</t>
        </is>
      </c>
      <c r="F876" s="2" t="inlineStr">
        <is>
          <t>Indian Steel and Wire Products Ltd. v. Commissioner of Income Tax</t>
        </is>
      </c>
      <c r="G876" s="11" t="inlineStr"/>
      <c r="H876" s="11" t="inlineStr">
        <is>
          <t>unknown</t>
        </is>
      </c>
      <c r="I876" s="2" t="inlineStr">
        <is>
          <t>(1977) 108 ITR 802</t>
        </is>
      </c>
      <c r="J876" s="11" t="n">
        <v>1977</v>
      </c>
      <c r="K876" s="2" t="inlineStr">
        <is>
          <t>Commissioner of Income Tax, Haryana v. M/s. Krishna Copper Steel Rolling Mills, Jagadhri etc.</t>
        </is>
      </c>
      <c r="L876" s="11" t="inlineStr">
        <is>
          <t>Supreme Court</t>
        </is>
      </c>
      <c r="M876" s="2" t="inlineStr">
        <is>
          <t>AIR 1992 SC 422; (1991) 3 CompLJ 367; (1991) 100 CTR 114; (1992) 193 ITR 281; (1991) 4 JT 350; (1991) 2 SCALE 1014; (1992) 1 SCC 732 Supp; (1991) 2 SCR 187 Supp; (1992) 60 TAXMAN 93</t>
        </is>
      </c>
      <c r="N876" s="11" t="n">
        <v>1992</v>
      </c>
      <c r="O876" s="11" t="n"/>
      <c r="P876" s="11" t="n"/>
      <c r="Q876" s="11" t="n"/>
      <c r="R876" s="2" t="n"/>
      <c r="S876" s="2" t="n"/>
      <c r="T876" s="11" t="inlineStr"/>
      <c r="U876" s="11" t="inlineStr"/>
      <c r="V876" s="11" t="inlineStr">
        <is>
          <t>outside_list</t>
        </is>
      </c>
      <c r="W876" s="11" t="n"/>
      <c r="X876" s="11" t="n"/>
      <c r="Y876" s="11" t="n"/>
      <c r="Z876" s="11" t="inlineStr">
        <is>
          <t>Mr. Advocate</t>
        </is>
      </c>
      <c r="AA876" s="11" t="inlineStr">
        <is>
          <t>2026-10-07</t>
        </is>
      </c>
      <c r="AB876" s="11" t="inlineStr">
        <is>
          <t>name_year</t>
        </is>
      </c>
      <c r="AC876" s="2" t="inlineStr"/>
      <c r="AD876" s="2" t="inlineStr">
        <is>
          <t>Indian Steel and Wire Products Ltd. v. Commissioner of Income Tax (1977) was overruled by Commissioner of Income Tax, Haryana v. M/s. Krishna Copper Steel Rolling Mills, Jagadhri etc. (1992).</t>
        </is>
      </c>
      <c r="AE876" s="2" t="n"/>
      <c r="AF876" s="11" t="inlineStr">
        <is>
          <t>created from list 1</t>
        </is>
      </c>
    </row>
    <row r="877">
      <c r="A877" s="11" t="inlineStr">
        <is>
          <t>L1-0876</t>
        </is>
      </c>
      <c r="B877" s="11" t="inlineStr">
        <is>
          <t>List 1 (to ~2015)</t>
        </is>
      </c>
      <c r="C877" s="11" t="inlineStr">
        <is>
          <t>list1</t>
        </is>
      </c>
      <c r="D877" s="11" t="inlineStr">
        <is>
          <t>verified</t>
        </is>
      </c>
      <c r="E877" s="11" t="inlineStr">
        <is>
          <t>reversed_on_appeal</t>
        </is>
      </c>
      <c r="F877" s="2" t="inlineStr">
        <is>
          <t>Rikhi and Another v. Smt. Sukhrania and Others</t>
        </is>
      </c>
      <c r="G877" s="11" t="inlineStr"/>
      <c r="H877" s="11" t="inlineStr">
        <is>
          <t>unknown</t>
        </is>
      </c>
      <c r="I877" s="2" t="inlineStr">
        <is>
          <t>(1995) ACJ 288; (1994) 107 PLR 160</t>
        </is>
      </c>
      <c r="J877" s="11" t="n">
        <v>1994</v>
      </c>
      <c r="K877" s="2" t="inlineStr">
        <is>
          <t>Rikhi Ram and Another v. Smt. Sukhrania and Others</t>
        </is>
      </c>
      <c r="L877" s="11" t="inlineStr">
        <is>
          <t>Supreme Court</t>
        </is>
      </c>
      <c r="M877" s="2" t="inlineStr">
        <is>
          <t>(2003) 1 ACC 36; (2003) ACJ 534; AIR 2003 SC 1446; (2003) 1 SCALE 732; (2003) 3 SCC 97; (2003) 1 SCR 872; (2003) 1 UJ 526; (2003) AIRSCW 780; (2003) 1 Supreme 1000</t>
        </is>
      </c>
      <c r="N877" s="11" t="n">
        <v>2003</v>
      </c>
      <c r="O877" s="11" t="n"/>
      <c r="P877" s="11" t="n"/>
      <c r="Q877" s="11" t="n"/>
      <c r="R877" s="2" t="n"/>
      <c r="S877" s="2" t="n"/>
      <c r="T877" s="11" t="inlineStr">
        <is>
          <t>yes</t>
        </is>
      </c>
      <c r="U877" s="11" t="inlineStr"/>
      <c r="V877" s="11" t="inlineStr">
        <is>
          <t>outside_list</t>
        </is>
      </c>
      <c r="W877" s="11" t="n"/>
      <c r="X877" s="11" t="n"/>
      <c r="Y877" s="11" t="n"/>
      <c r="Z877" s="11" t="inlineStr">
        <is>
          <t>Mr. Advocate</t>
        </is>
      </c>
      <c r="AA877" s="11" t="inlineStr">
        <is>
          <t>2026-10-07</t>
        </is>
      </c>
      <c r="AB877" s="11" t="inlineStr">
        <is>
          <t>name_year</t>
        </is>
      </c>
      <c r="AC877" s="2" t="inlineStr"/>
      <c r="AD877" s="2" t="inlineStr">
        <is>
          <t>Rikhi and Another v. Smt. Sukhrania and Others (1994) was reversed on appeal by the Supreme Court in Rikhi Ram and Another v. Smt. Sukhrania and Others (2003).</t>
        </is>
      </c>
      <c r="AE877" s="2" t="n"/>
      <c r="AF877" s="11" t="inlineStr">
        <is>
          <t>created from list 1</t>
        </is>
      </c>
    </row>
    <row r="878">
      <c r="A878" s="11" t="inlineStr">
        <is>
          <t>L1-0877</t>
        </is>
      </c>
      <c r="B878" s="11" t="inlineStr">
        <is>
          <t>List 1 (to ~2015)</t>
        </is>
      </c>
      <c r="C878" s="11" t="inlineStr">
        <is>
          <t>list1</t>
        </is>
      </c>
      <c r="D878" s="11" t="inlineStr">
        <is>
          <t>verified</t>
        </is>
      </c>
      <c r="E878" s="11" t="inlineStr">
        <is>
          <t>reversed_on_appeal</t>
        </is>
      </c>
      <c r="F878" s="2" t="inlineStr">
        <is>
          <t>Bhuna Co-operative Sugar Mills Ltd. v. Commissioner of Income Tax</t>
        </is>
      </c>
      <c r="G878" s="11" t="inlineStr"/>
      <c r="H878" s="11" t="inlineStr">
        <is>
          <t>unknown</t>
        </is>
      </c>
      <c r="I878" s="2" t="inlineStr">
        <is>
          <t>(2003) 185 CTR 485; (2004) 267 ITR 759; (2004) 135 TAXMAN 496</t>
        </is>
      </c>
      <c r="J878" s="11" t="n">
        <v>2003</v>
      </c>
      <c r="K878" s="2" t="inlineStr">
        <is>
          <t>Bhuna Coop. Sugar Mills Ltd. v. Commissioner of Income Tax, Rohtak and Another</t>
        </is>
      </c>
      <c r="L878" s="11" t="inlineStr">
        <is>
          <t>Supreme Court</t>
        </is>
      </c>
      <c r="M878" s="2" t="inlineStr">
        <is>
          <t>(2005) 194 CTR 1; (2005) 273 ITR 212; (2005) 2 JT 386; (2005) 2 SCC 728</t>
        </is>
      </c>
      <c r="N878" s="11" t="n">
        <v>2005</v>
      </c>
      <c r="O878" s="11" t="n"/>
      <c r="P878" s="11" t="n"/>
      <c r="Q878" s="11" t="n"/>
      <c r="R878" s="2" t="n"/>
      <c r="S878" s="2" t="n"/>
      <c r="T878" s="11" t="inlineStr">
        <is>
          <t>yes</t>
        </is>
      </c>
      <c r="U878" s="11" t="inlineStr"/>
      <c r="V878" s="11" t="inlineStr">
        <is>
          <t>outside_list</t>
        </is>
      </c>
      <c r="W878" s="11" t="n"/>
      <c r="X878" s="11" t="n"/>
      <c r="Y878" s="11" t="n"/>
      <c r="Z878" s="11" t="inlineStr">
        <is>
          <t>Mr. Advocate</t>
        </is>
      </c>
      <c r="AA878" s="11" t="inlineStr">
        <is>
          <t>2026-10-07</t>
        </is>
      </c>
      <c r="AB878" s="11" t="inlineStr">
        <is>
          <t>name_year</t>
        </is>
      </c>
      <c r="AC878" s="2" t="inlineStr"/>
      <c r="AD878" s="2" t="inlineStr">
        <is>
          <t>Bhuna Co-operative Sugar Mills Ltd. v. Commissioner of Income Tax (2003) was reversed on appeal by the Supreme Court in Bhuna Coop. Sugar Mills Ltd. v. Commissioner of Income Tax, Rohtak and Another (2005).</t>
        </is>
      </c>
      <c r="AE878" s="2" t="n"/>
      <c r="AF878" s="11" t="inlineStr">
        <is>
          <t>created from list 1</t>
        </is>
      </c>
    </row>
    <row r="879">
      <c r="A879" s="11" t="inlineStr">
        <is>
          <t>L1-0878</t>
        </is>
      </c>
      <c r="B879" s="11" t="inlineStr">
        <is>
          <t>List 1 (to ~2015)</t>
        </is>
      </c>
      <c r="C879" s="11" t="inlineStr">
        <is>
          <t>list1</t>
        </is>
      </c>
      <c r="D879" s="11" t="inlineStr">
        <is>
          <t>verified</t>
        </is>
      </c>
      <c r="E879" s="11" t="inlineStr">
        <is>
          <t>reversed_on_appeal</t>
        </is>
      </c>
      <c r="F879" s="2" t="inlineStr">
        <is>
          <t>Devinder Singh and Others v. State of Punjab and Others</t>
        </is>
      </c>
      <c r="G879" s="11" t="inlineStr"/>
      <c r="H879" s="11" t="inlineStr">
        <is>
          <t>unknown</t>
        </is>
      </c>
      <c r="I879" s="2" t="inlineStr">
        <is>
          <t>(2007) 145 PLR 337</t>
        </is>
      </c>
      <c r="J879" s="11" t="n">
        <v>2007</v>
      </c>
      <c r="K879" s="2" t="inlineStr">
        <is>
          <t>Devinder Singh and Others v. State of Punjab and Others</t>
        </is>
      </c>
      <c r="L879" s="11" t="inlineStr">
        <is>
          <t>Supreme Court</t>
        </is>
      </c>
      <c r="M879" s="2" t="inlineStr">
        <is>
          <t>AIR 2008 SC 261; (2008) 2 CLT 654; (2007) 12 JT 256; (2007) 11 SCR 475; (2007) 2 UJ 1223; (2007) AIRSCW 6692; (2007) 7 Supreme 206</t>
        </is>
      </c>
      <c r="N879" s="11" t="n">
        <v>2008</v>
      </c>
      <c r="O879" s="11" t="n"/>
      <c r="P879" s="11" t="n"/>
      <c r="Q879" s="11" t="n"/>
      <c r="R879" s="2" t="n"/>
      <c r="S879" s="2" t="n"/>
      <c r="T879" s="11" t="inlineStr">
        <is>
          <t>yes</t>
        </is>
      </c>
      <c r="U879" s="11" t="inlineStr"/>
      <c r="V879" s="11" t="inlineStr">
        <is>
          <t>outside_list</t>
        </is>
      </c>
      <c r="W879" s="11" t="n"/>
      <c r="X879" s="11" t="n"/>
      <c r="Y879" s="11" t="n"/>
      <c r="Z879" s="11" t="inlineStr">
        <is>
          <t>Mr. Advocate</t>
        </is>
      </c>
      <c r="AA879" s="11" t="inlineStr">
        <is>
          <t>2026-10-07</t>
        </is>
      </c>
      <c r="AB879" s="11" t="inlineStr">
        <is>
          <t>name_year</t>
        </is>
      </c>
      <c r="AC879" s="2" t="inlineStr"/>
      <c r="AD879" s="2" t="inlineStr">
        <is>
          <t>Devinder Singh and Others v. State of Punjab and Others (2007) was reversed on appeal by the Supreme Court in Devinder Singh and Others v. State of Punjab and Others (2008).</t>
        </is>
      </c>
      <c r="AE879" s="2" t="n"/>
      <c r="AF879" s="11" t="inlineStr">
        <is>
          <t>created from list 1</t>
        </is>
      </c>
    </row>
    <row r="880">
      <c r="A880" s="11" t="inlineStr">
        <is>
          <t>L1-0879</t>
        </is>
      </c>
      <c r="B880" s="11" t="inlineStr">
        <is>
          <t>List 1 (to ~2015)</t>
        </is>
      </c>
      <c r="C880" s="11" t="inlineStr">
        <is>
          <t>list1</t>
        </is>
      </c>
      <c r="D880" s="11" t="inlineStr">
        <is>
          <t>verified</t>
        </is>
      </c>
      <c r="E880" s="11" t="inlineStr">
        <is>
          <t>reversed_on_appeal</t>
        </is>
      </c>
      <c r="F880" s="2" t="inlineStr">
        <is>
          <t>Swaika Oil Mills v. Member, Board of Revenue, 76 CWN 711 : (1971) 27 STC 218</t>
        </is>
      </c>
      <c r="G880" s="11" t="inlineStr"/>
      <c r="H880" s="11" t="inlineStr">
        <is>
          <t>unknown</t>
        </is>
      </c>
      <c r="I880" s="2" t="inlineStr"/>
      <c r="J880" s="11" t="n"/>
      <c r="K880" s="2" t="inlineStr">
        <is>
          <t>Member Board of Revenue, West Bengal v. Swaika Oil Mills</t>
        </is>
      </c>
      <c r="L880" s="11" t="inlineStr">
        <is>
          <t>Supreme Court</t>
        </is>
      </c>
      <c r="M880" s="2" t="inlineStr">
        <is>
          <t>AIR 1977 SC 2008; (1977) 4 SCC 286; (1977) SCC 577; (1978) 1 SCR 270; (1977) 40 STC 367; (1977) 9 UJ 507</t>
        </is>
      </c>
      <c r="N880" s="11" t="n">
        <v>1977</v>
      </c>
      <c r="O880" s="11" t="n"/>
      <c r="P880" s="11" t="n"/>
      <c r="Q880" s="11" t="n"/>
      <c r="R880" s="2" t="n"/>
      <c r="S880" s="2" t="n"/>
      <c r="T880" s="11" t="inlineStr">
        <is>
          <t>yes</t>
        </is>
      </c>
      <c r="U880" s="11" t="inlineStr">
        <is>
          <t>no_citation_or_year_for_overruled, needs_citation_or_year</t>
        </is>
      </c>
      <c r="V880" s="11" t="inlineStr">
        <is>
          <t>outside_list</t>
        </is>
      </c>
      <c r="W880" s="11" t="n"/>
      <c r="X880" s="11" t="n"/>
      <c r="Y880" s="11" t="n"/>
      <c r="Z880" s="11" t="inlineStr">
        <is>
          <t>Mr. Advocate</t>
        </is>
      </c>
      <c r="AA880" s="11" t="inlineStr">
        <is>
          <t>2026-10-07</t>
        </is>
      </c>
      <c r="AB880" s="11" t="inlineStr">
        <is>
          <t>weak</t>
        </is>
      </c>
      <c r="AC880" s="2" t="inlineStr"/>
      <c r="AD880" s="2" t="inlineStr">
        <is>
          <t>Swaika Oil Mills v. Member, Board of Revenue, 76 CWN 711 : (1971) 27 STC 218 was reversed on appeal by the Supreme Court in Member Board of Revenue, West Bengal v. Swaika Oil Mills (1977).</t>
        </is>
      </c>
      <c r="AE880" s="2" t="n"/>
      <c r="AF880" s="11" t="inlineStr">
        <is>
          <t>created from list 1</t>
        </is>
      </c>
    </row>
    <row r="881">
      <c r="A881" s="11" t="inlineStr">
        <is>
          <t>L1-0880</t>
        </is>
      </c>
      <c r="B881" s="11" t="inlineStr">
        <is>
          <t>List 1 (to ~2015)</t>
        </is>
      </c>
      <c r="C881" s="11" t="inlineStr">
        <is>
          <t>list1</t>
        </is>
      </c>
      <c r="D881" s="11" t="inlineStr">
        <is>
          <t>verified</t>
        </is>
      </c>
      <c r="E881" s="11" t="inlineStr">
        <is>
          <t>overruled</t>
        </is>
      </c>
      <c r="F881" s="2" t="inlineStr">
        <is>
          <t>Harcharan Singh Brar v. Sukhdarshan Singh and Others</t>
        </is>
      </c>
      <c r="G881" s="11" t="inlineStr"/>
      <c r="H881" s="11" t="inlineStr">
        <is>
          <t>unknown</t>
        </is>
      </c>
      <c r="I881" s="2" t="inlineStr">
        <is>
          <t>(2004) 1 ILR (P&amp;H) 552; (2004) 137 PLR 757</t>
        </is>
      </c>
      <c r="J881" s="11" t="n">
        <v>2004</v>
      </c>
      <c r="K881" s="2" t="inlineStr">
        <is>
          <t>Sardar Harcharan Singh Brar v. Sukh Darshan Singh and Others</t>
        </is>
      </c>
      <c r="L881" s="11" t="inlineStr">
        <is>
          <t>Supreme Court</t>
        </is>
      </c>
      <c r="M881" s="2" t="inlineStr">
        <is>
          <t>AIR 2005 SC 22; (2004) 9 JT 269; (2005) 139 PLR 394; (2004) 9 SCALE 105; (2004) 11 SCC 196; (2004) AIRSCW 6205; (2004) 7 Supreme 721</t>
        </is>
      </c>
      <c r="N881" s="11" t="n">
        <v>2005</v>
      </c>
      <c r="O881" s="11" t="n"/>
      <c r="P881" s="11" t="n"/>
      <c r="Q881" s="11" t="n"/>
      <c r="R881" s="2" t="n"/>
      <c r="S881" s="2" t="n"/>
      <c r="T881" s="11" t="inlineStr"/>
      <c r="U881" s="11" t="inlineStr"/>
      <c r="V881" s="11" t="inlineStr">
        <is>
          <t>outside_list</t>
        </is>
      </c>
      <c r="W881" s="11" t="n"/>
      <c r="X881" s="11" t="n"/>
      <c r="Y881" s="11" t="n"/>
      <c r="Z881" s="11" t="inlineStr">
        <is>
          <t>Mr. Advocate</t>
        </is>
      </c>
      <c r="AA881" s="11" t="inlineStr">
        <is>
          <t>2026-10-07</t>
        </is>
      </c>
      <c r="AB881" s="11" t="inlineStr">
        <is>
          <t>name_year</t>
        </is>
      </c>
      <c r="AC881" s="2" t="inlineStr"/>
      <c r="AD881" s="2" t="inlineStr">
        <is>
          <t>Harcharan Singh Brar v. Sukhdarshan Singh and Others (2004) was overruled by Sardar Harcharan Singh Brar v. Sukh Darshan Singh and Others (2005).</t>
        </is>
      </c>
      <c r="AE881" s="2" t="n"/>
      <c r="AF881" s="11" t="inlineStr">
        <is>
          <t>created from list 1</t>
        </is>
      </c>
    </row>
    <row r="882">
      <c r="A882" s="11" t="inlineStr">
        <is>
          <t>L1-0881</t>
        </is>
      </c>
      <c r="B882" s="11" t="inlineStr">
        <is>
          <t>List 1 (to ~2015)</t>
        </is>
      </c>
      <c r="C882" s="11" t="inlineStr">
        <is>
          <t>list1</t>
        </is>
      </c>
      <c r="D882" s="11" t="inlineStr">
        <is>
          <t>verified</t>
        </is>
      </c>
      <c r="E882" s="11" t="inlineStr">
        <is>
          <t>reversed_on_appeal</t>
        </is>
      </c>
      <c r="F882" s="2" t="inlineStr">
        <is>
          <t>State of Punjab v. Hari Singh ASI Punjab Police</t>
        </is>
      </c>
      <c r="G882" s="11" t="inlineStr"/>
      <c r="H882" s="11" t="inlineStr">
        <is>
          <t>unknown</t>
        </is>
      </c>
      <c r="I882" s="2" t="inlineStr"/>
      <c r="J882" s="11" t="n"/>
      <c r="K882" s="2" t="inlineStr">
        <is>
          <t>State of Punjab and Another v. Hari Singh</t>
        </is>
      </c>
      <c r="L882" s="11" t="inlineStr">
        <is>
          <t>Supreme Court</t>
        </is>
      </c>
      <c r="M882" s="2" t="inlineStr">
        <is>
          <t>(2008) 117 FLR 195; (2008) 3 JT 415; (2008) 3 SCALE 170; (2008) 11 SCC 85; (2008) 2 SCC(L&amp;S) 1107</t>
        </is>
      </c>
      <c r="N882" s="11" t="n">
        <v>2008</v>
      </c>
      <c r="O882" s="11" t="n"/>
      <c r="P882" s="11" t="n"/>
      <c r="Q882" s="11" t="n"/>
      <c r="R882" s="2" t="n"/>
      <c r="S882" s="2" t="n"/>
      <c r="T882" s="11" t="inlineStr">
        <is>
          <t>yes</t>
        </is>
      </c>
      <c r="U882" s="11" t="inlineStr">
        <is>
          <t>no_citation_or_year_for_overruled, needs_citation_or_year</t>
        </is>
      </c>
      <c r="V882" s="11" t="inlineStr">
        <is>
          <t>outside_list</t>
        </is>
      </c>
      <c r="W882" s="11" t="n"/>
      <c r="X882" s="11" t="n"/>
      <c r="Y882" s="11" t="n"/>
      <c r="Z882" s="11" t="inlineStr">
        <is>
          <t>Mr. Advocate</t>
        </is>
      </c>
      <c r="AA882" s="11" t="inlineStr">
        <is>
          <t>2026-10-07</t>
        </is>
      </c>
      <c r="AB882" s="11" t="inlineStr">
        <is>
          <t>weak</t>
        </is>
      </c>
      <c r="AC882" s="2" t="inlineStr"/>
      <c r="AD882" s="2" t="inlineStr">
        <is>
          <t>State of Punjab v. Hari Singh ASI Punjab Police was reversed on appeal by the Supreme Court in State of Punjab and Another v. Hari Singh (2008).</t>
        </is>
      </c>
      <c r="AE882" s="2" t="n"/>
      <c r="AF882" s="11" t="inlineStr">
        <is>
          <t>created from list 1</t>
        </is>
      </c>
    </row>
    <row r="883">
      <c r="A883" s="11" t="inlineStr">
        <is>
          <t>L1-0882</t>
        </is>
      </c>
      <c r="B883" s="11" t="inlineStr">
        <is>
          <t>List 1 (to ~2015)</t>
        </is>
      </c>
      <c r="C883" s="11" t="inlineStr">
        <is>
          <t>list1</t>
        </is>
      </c>
      <c r="D883" s="11" t="inlineStr">
        <is>
          <t>verified</t>
        </is>
      </c>
      <c r="E883" s="11" t="inlineStr">
        <is>
          <t>overruled</t>
        </is>
      </c>
      <c r="F883" s="2" t="inlineStr">
        <is>
          <t>ABN Food and Beverage Pvt. Ltd. v. Assistant Commissioner of Commercial Taxes and Others</t>
        </is>
      </c>
      <c r="G883" s="11" t="inlineStr"/>
      <c r="H883" s="11" t="inlineStr">
        <is>
          <t>unknown</t>
        </is>
      </c>
      <c r="I883" s="2" t="inlineStr">
        <is>
          <t>(1990) 77 STC 339</t>
        </is>
      </c>
      <c r="J883" s="11" t="n">
        <v>1990</v>
      </c>
      <c r="K883" s="2" t="inlineStr">
        <is>
          <t>Sun Oil Company (P) Ltd. and Another v. State of West Bengal and Others</t>
        </is>
      </c>
      <c r="L883" s="11" t="inlineStr">
        <is>
          <t>Supreme Court</t>
        </is>
      </c>
      <c r="M883" s="2" t="inlineStr">
        <is>
          <t>AIR 1998 SC 3232; (1998) 6 JT 508; (1998) 5 SCALE 388; (1998) 7 SCC 237; (1998) 2 SCR 18 Supp; (1998) 111 STC 420; (1998) AIRSCW 3151; (1998) 7 Supreme 443</t>
        </is>
      </c>
      <c r="N883" s="11" t="n">
        <v>1998</v>
      </c>
      <c r="O883" s="11" t="n"/>
      <c r="P883" s="11" t="n"/>
      <c r="Q883" s="11" t="n"/>
      <c r="R883" s="2" t="n"/>
      <c r="S883" s="2" t="n"/>
      <c r="T883" s="11" t="inlineStr"/>
      <c r="U883" s="11" t="inlineStr"/>
      <c r="V883" s="11" t="inlineStr">
        <is>
          <t>outside_list</t>
        </is>
      </c>
      <c r="W883" s="11" t="n"/>
      <c r="X883" s="11" t="n"/>
      <c r="Y883" s="11" t="n"/>
      <c r="Z883" s="11" t="inlineStr">
        <is>
          <t>Mr. Advocate</t>
        </is>
      </c>
      <c r="AA883" s="11" t="inlineStr">
        <is>
          <t>2026-10-07</t>
        </is>
      </c>
      <c r="AB883" s="11" t="inlineStr">
        <is>
          <t>name_year</t>
        </is>
      </c>
      <c r="AC883" s="2" t="inlineStr"/>
      <c r="AD883" s="2" t="inlineStr">
        <is>
          <t>ABN Food and Beverage Pvt. Ltd. v. Assistant Commissioner of Commercial Taxes and Others (1990) was overruled by Sun Oil Company (P) Ltd. and Another v. State of West Bengal and Others (1998).</t>
        </is>
      </c>
      <c r="AE883" s="2" t="n"/>
      <c r="AF883" s="11" t="inlineStr">
        <is>
          <t>created from list 1</t>
        </is>
      </c>
    </row>
    <row r="884">
      <c r="A884" s="11" t="inlineStr">
        <is>
          <t>L1-0883</t>
        </is>
      </c>
      <c r="B884" s="11" t="inlineStr">
        <is>
          <t>List 1 (to ~2015)</t>
        </is>
      </c>
      <c r="C884" s="11" t="inlineStr">
        <is>
          <t>list1</t>
        </is>
      </c>
      <c r="D884" s="11" t="inlineStr">
        <is>
          <t>verified</t>
        </is>
      </c>
      <c r="E884" s="11" t="inlineStr">
        <is>
          <t>reversed_on_appeal</t>
        </is>
      </c>
      <c r="F884" s="2" t="inlineStr">
        <is>
          <t>Jodhbir Singh v. State of Punjab</t>
        </is>
      </c>
      <c r="G884" s="11" t="inlineStr"/>
      <c r="H884" s="11" t="inlineStr">
        <is>
          <t>unknown</t>
        </is>
      </c>
      <c r="I884" s="2" t="inlineStr"/>
      <c r="J884" s="11" t="n"/>
      <c r="K884" s="2" t="inlineStr">
        <is>
          <t>Jodhbir Singh v. State of Punjab</t>
        </is>
      </c>
      <c r="L884" s="11" t="inlineStr">
        <is>
          <t>Supreme Court</t>
        </is>
      </c>
      <c r="M884" s="2" t="inlineStr">
        <is>
          <t>AIR 2013 SC 1; (2013) 1 Crimes 79; (2013) 1 JCC 514; (2012) 1 JCC 514; (2013) 1 RCR(Criminal) 272; (2012) 11 SCALE 595</t>
        </is>
      </c>
      <c r="N884" s="11" t="n">
        <v>2013</v>
      </c>
      <c r="O884" s="11" t="n"/>
      <c r="P884" s="11" t="n"/>
      <c r="Q884" s="11" t="n"/>
      <c r="R884" s="2" t="n"/>
      <c r="S884" s="2" t="n"/>
      <c r="T884" s="11" t="inlineStr">
        <is>
          <t>yes</t>
        </is>
      </c>
      <c r="U884" s="11" t="inlineStr">
        <is>
          <t>no_citation_or_year_for_overruled, needs_citation_or_year</t>
        </is>
      </c>
      <c r="V884" s="11" t="inlineStr">
        <is>
          <t>outside_list</t>
        </is>
      </c>
      <c r="W884" s="11" t="n"/>
      <c r="X884" s="11" t="n"/>
      <c r="Y884" s="11" t="n"/>
      <c r="Z884" s="11" t="inlineStr">
        <is>
          <t>Mr. Advocate</t>
        </is>
      </c>
      <c r="AA884" s="11" t="inlineStr">
        <is>
          <t>2026-10-07</t>
        </is>
      </c>
      <c r="AB884" s="11" t="inlineStr">
        <is>
          <t>weak</t>
        </is>
      </c>
      <c r="AC884" s="2" t="inlineStr"/>
      <c r="AD884" s="2" t="inlineStr">
        <is>
          <t>Jodhbir Singh v. State of Punjab was reversed on appeal by the Supreme Court in Jodhbir Singh v. State of Punjab (2013).</t>
        </is>
      </c>
      <c r="AE884" s="2" t="n"/>
      <c r="AF884" s="11" t="inlineStr">
        <is>
          <t>created from list 1</t>
        </is>
      </c>
    </row>
    <row r="885">
      <c r="A885" s="11" t="inlineStr">
        <is>
          <t>L1-0884</t>
        </is>
      </c>
      <c r="B885" s="11" t="inlineStr">
        <is>
          <t>List 1 (to ~2015)</t>
        </is>
      </c>
      <c r="C885" s="11" t="inlineStr">
        <is>
          <t>list1</t>
        </is>
      </c>
      <c r="D885" s="11" t="inlineStr">
        <is>
          <t>verified</t>
        </is>
      </c>
      <c r="E885" s="11" t="inlineStr">
        <is>
          <t>reversed_on_appeal</t>
        </is>
      </c>
      <c r="F885" s="2" t="inlineStr">
        <is>
          <t>Sri Seetarama Rice Mill v. The Executive Engineer, Jeypore Electrical Division and Another</t>
        </is>
      </c>
      <c r="G885" s="11" t="inlineStr"/>
      <c r="H885" s="11" t="inlineStr">
        <is>
          <t>Orissa</t>
        </is>
      </c>
      <c r="I885" s="2" t="inlineStr">
        <is>
          <t>AIR 2011 Ori 38; (2011) 111 CLT 663; (2011) 1 OLR 343</t>
        </is>
      </c>
      <c r="J885" s="11" t="n">
        <v>2011</v>
      </c>
      <c r="K885" s="2" t="inlineStr">
        <is>
          <t>The Executive Engineer and Another v. Sri Seetaram Rice Mill</t>
        </is>
      </c>
      <c r="L885" s="11" t="inlineStr">
        <is>
          <t>Supreme Court</t>
        </is>
      </c>
      <c r="M885" s="2" t="inlineStr">
        <is>
          <t>(2011) ELR 1498; (2011) 12 JT 386; (2012) 3 RCR(Civil) 633; (2011) 12 SCALE 243; (2012) 2 SCC 108; (2011) 6 UJ 3973</t>
        </is>
      </c>
      <c r="N885" s="11" t="n">
        <v>2011</v>
      </c>
      <c r="O885" s="11" t="n"/>
      <c r="P885" s="11" t="n"/>
      <c r="Q885" s="11" t="n"/>
      <c r="R885" s="2" t="n"/>
      <c r="S885" s="2" t="n"/>
      <c r="T885" s="11" t="inlineStr">
        <is>
          <t>yes</t>
        </is>
      </c>
      <c r="U885" s="11" t="inlineStr"/>
      <c r="V885" s="11" t="inlineStr">
        <is>
          <t>outside_list</t>
        </is>
      </c>
      <c r="W885" s="11" t="n"/>
      <c r="X885" s="11" t="n"/>
      <c r="Y885" s="11" t="n"/>
      <c r="Z885" s="11" t="inlineStr">
        <is>
          <t>Mr. Advocate</t>
        </is>
      </c>
      <c r="AA885" s="11" t="inlineStr">
        <is>
          <t>2026-10-07</t>
        </is>
      </c>
      <c r="AB885" s="11" t="inlineStr">
        <is>
          <t>name_year</t>
        </is>
      </c>
      <c r="AC885" s="2" t="inlineStr"/>
      <c r="AD885" s="2" t="inlineStr">
        <is>
          <t>Sri Seetarama Rice Mill v. The Executive Engineer, Jeypore Electrical Division and Another (2011) was reversed on appeal by the Supreme Court in The Executive Engineer and Another v. Sri Seetaram Rice Mill (2011).</t>
        </is>
      </c>
      <c r="AE885" s="2" t="n"/>
      <c r="AF885" s="11" t="inlineStr">
        <is>
          <t>created from list 1</t>
        </is>
      </c>
    </row>
    <row r="886">
      <c r="A886" s="11" t="inlineStr">
        <is>
          <t>L1-0885</t>
        </is>
      </c>
      <c r="B886" s="11" t="inlineStr">
        <is>
          <t>List 1 (to ~2015)</t>
        </is>
      </c>
      <c r="C886" s="11" t="inlineStr">
        <is>
          <t>list1</t>
        </is>
      </c>
      <c r="D886" s="11" t="inlineStr">
        <is>
          <t>verified</t>
        </is>
      </c>
      <c r="E886" s="11" t="inlineStr">
        <is>
          <t>reversed_on_appeal</t>
        </is>
      </c>
      <c r="F886" s="2" t="inlineStr">
        <is>
          <t>Chandrasekhar Mohanty v. Japani Sahoo</t>
        </is>
      </c>
      <c r="G886" s="11" t="inlineStr"/>
      <c r="H886" s="11" t="inlineStr">
        <is>
          <t>unknown</t>
        </is>
      </c>
      <c r="I886" s="2" t="inlineStr">
        <is>
          <t>(2006) CLT 816 (Suppl Crl); (2006) 2 OLR 133</t>
        </is>
      </c>
      <c r="J886" s="11" t="n">
        <v>2006</v>
      </c>
      <c r="K886" s="2" t="inlineStr">
        <is>
          <t>Japani Sahoo v. Chandra Sekhar Mohanty</t>
        </is>
      </c>
      <c r="L886" s="11" t="inlineStr">
        <is>
          <t>Supreme Court</t>
        </is>
      </c>
      <c r="M886" s="2" t="inlineStr">
        <is>
          <t>AIR 2007 SC 2762; (2007) CriLJ 4068; (2007) 4 CTC 740; (2007) 9 JT 471; (2007) 9 SCALE 400; (2007) 8 SCR 582; (2007) 2 UJ 941; (2007) AIRSCW 4998; (2007) 5 Supreme 604</t>
        </is>
      </c>
      <c r="N886" s="11" t="n">
        <v>2007</v>
      </c>
      <c r="O886" s="11" t="n"/>
      <c r="P886" s="11" t="n"/>
      <c r="Q886" s="11" t="n"/>
      <c r="R886" s="2" t="n"/>
      <c r="S886" s="2" t="n"/>
      <c r="T886" s="11" t="inlineStr">
        <is>
          <t>yes</t>
        </is>
      </c>
      <c r="U886" s="11" t="inlineStr"/>
      <c r="V886" s="11" t="inlineStr">
        <is>
          <t>outside_list</t>
        </is>
      </c>
      <c r="W886" s="11" t="n"/>
      <c r="X886" s="11" t="n"/>
      <c r="Y886" s="11" t="n"/>
      <c r="Z886" s="11" t="inlineStr">
        <is>
          <t>Mr. Advocate</t>
        </is>
      </c>
      <c r="AA886" s="11" t="inlineStr">
        <is>
          <t>2026-10-07</t>
        </is>
      </c>
      <c r="AB886" s="11" t="inlineStr">
        <is>
          <t>name_year</t>
        </is>
      </c>
      <c r="AC886" s="2" t="inlineStr"/>
      <c r="AD886" s="2" t="inlineStr">
        <is>
          <t>Chandrasekhar Mohanty v. Japani Sahoo (2006) was reversed on appeal by the Supreme Court in Japani Sahoo v. Chandra Sekhar Mohanty (2007).</t>
        </is>
      </c>
      <c r="AE886" s="2" t="n"/>
      <c r="AF886" s="11" t="inlineStr">
        <is>
          <t>created from list 1</t>
        </is>
      </c>
    </row>
    <row r="887">
      <c r="A887" s="11" t="inlineStr">
        <is>
          <t>L1-0886</t>
        </is>
      </c>
      <c r="B887" s="11" t="inlineStr">
        <is>
          <t>List 1 (to ~2015)</t>
        </is>
      </c>
      <c r="C887" s="11" t="inlineStr">
        <is>
          <t>list1</t>
        </is>
      </c>
      <c r="D887" s="11" t="inlineStr">
        <is>
          <t>verified</t>
        </is>
      </c>
      <c r="E887" s="11" t="inlineStr">
        <is>
          <t>overruled</t>
        </is>
      </c>
      <c r="F887" s="2" t="inlineStr">
        <is>
          <t>Rupnarain Singh v. State of Orissa</t>
        </is>
      </c>
      <c r="G887" s="11" t="inlineStr"/>
      <c r="H887" s="11" t="inlineStr">
        <is>
          <t>Orissa</t>
        </is>
      </c>
      <c r="I887" s="2" t="inlineStr">
        <is>
          <t>AIR 1959 Ori 167</t>
        </is>
      </c>
      <c r="J887" s="11" t="n">
        <v>1959</v>
      </c>
      <c r="K887" s="2" t="inlineStr">
        <is>
          <t>State of Punjab v. Shri Kishan Das</t>
        </is>
      </c>
      <c r="L887" s="11" t="inlineStr">
        <is>
          <t>Supreme Court</t>
        </is>
      </c>
      <c r="M887" s="2" t="inlineStr">
        <is>
          <t>AIR 1971 SC 766; (1971) LabIC 481; (1971) 1 LLJ 271; (1971) 1 SCC 319; (1971) 3 SCR 389</t>
        </is>
      </c>
      <c r="N887" s="11" t="n">
        <v>1971</v>
      </c>
      <c r="O887" s="11" t="n"/>
      <c r="P887" s="11" t="n"/>
      <c r="Q887" s="11" t="n"/>
      <c r="R887" s="2" t="n"/>
      <c r="S887" s="2" t="n"/>
      <c r="T887" s="11" t="inlineStr"/>
      <c r="U887" s="11" t="inlineStr"/>
      <c r="V887" s="11" t="inlineStr">
        <is>
          <t>outside_list</t>
        </is>
      </c>
      <c r="W887" s="11" t="n"/>
      <c r="X887" s="11" t="n"/>
      <c r="Y887" s="11" t="n"/>
      <c r="Z887" s="11" t="inlineStr">
        <is>
          <t>Mr. Advocate</t>
        </is>
      </c>
      <c r="AA887" s="11" t="inlineStr">
        <is>
          <t>2026-10-07</t>
        </is>
      </c>
      <c r="AB887" s="11" t="inlineStr">
        <is>
          <t>name_year</t>
        </is>
      </c>
      <c r="AC887" s="2" t="inlineStr"/>
      <c r="AD887" s="2" t="inlineStr">
        <is>
          <t>Rupnarain Singh v. State of Orissa (1959) was overruled by State of Punjab v. Shri Kishan Das (1971).</t>
        </is>
      </c>
      <c r="AE887" s="2" t="n"/>
      <c r="AF887" s="11" t="inlineStr">
        <is>
          <t>created from list 1</t>
        </is>
      </c>
    </row>
    <row r="888">
      <c r="A888" s="11" t="inlineStr">
        <is>
          <t>L1-0887</t>
        </is>
      </c>
      <c r="B888" s="11" t="inlineStr">
        <is>
          <t>List 1 (to ~2015)</t>
        </is>
      </c>
      <c r="C888" s="11" t="inlineStr">
        <is>
          <t>list1</t>
        </is>
      </c>
      <c r="D888" s="11" t="inlineStr">
        <is>
          <t>verified</t>
        </is>
      </c>
      <c r="E888" s="11" t="inlineStr">
        <is>
          <t>reversed_on_appeal</t>
        </is>
      </c>
      <c r="F888" s="2" t="inlineStr">
        <is>
          <t>Smt. Arundhati Tripathy v. Sri Durga Prasanna Tripathy</t>
        </is>
      </c>
      <c r="G888" s="11" t="inlineStr"/>
      <c r="H888" s="11" t="inlineStr">
        <is>
          <t>unknown</t>
        </is>
      </c>
      <c r="I888" s="2" t="inlineStr">
        <is>
          <t>(2005) 1 DMC 262; (2004) 1 OLR 172</t>
        </is>
      </c>
      <c r="J888" s="11" t="n">
        <v>2004</v>
      </c>
      <c r="K888" s="2" t="inlineStr">
        <is>
          <t>Durga Prasanna Tripathy v. Arundhati Tripathy</t>
        </is>
      </c>
      <c r="L888" s="11" t="inlineStr">
        <is>
          <t>Supreme Court</t>
        </is>
      </c>
      <c r="M888" s="2" t="inlineStr">
        <is>
          <t>AIR 2005 SC 3297; (2005) 4 CTC 287; (2005) 2 DMC 453; (2005) 7 JT 596; (2005) 7 SCC 353; (2005) 2 SCR 833 Supp</t>
        </is>
      </c>
      <c r="N888" s="11" t="n">
        <v>2005</v>
      </c>
      <c r="O888" s="11" t="n"/>
      <c r="P888" s="11" t="n"/>
      <c r="Q888" s="11" t="n"/>
      <c r="R888" s="2" t="n"/>
      <c r="S888" s="2" t="n"/>
      <c r="T888" s="11" t="inlineStr">
        <is>
          <t>yes</t>
        </is>
      </c>
      <c r="U888" s="11" t="inlineStr"/>
      <c r="V888" s="11" t="inlineStr">
        <is>
          <t>outside_list</t>
        </is>
      </c>
      <c r="W888" s="11" t="n"/>
      <c r="X888" s="11" t="n"/>
      <c r="Y888" s="11" t="n"/>
      <c r="Z888" s="11" t="inlineStr">
        <is>
          <t>Mr. Advocate</t>
        </is>
      </c>
      <c r="AA888" s="11" t="inlineStr">
        <is>
          <t>2026-10-07</t>
        </is>
      </c>
      <c r="AB888" s="11" t="inlineStr">
        <is>
          <t>name_year</t>
        </is>
      </c>
      <c r="AC888" s="2" t="inlineStr"/>
      <c r="AD888" s="2" t="inlineStr">
        <is>
          <t>Smt. Arundhati Tripathy v. Sri Durga Prasanna Tripathy (2004) was reversed on appeal by the Supreme Court in Durga Prasanna Tripathy v. Arundhati Tripathy (2005).</t>
        </is>
      </c>
      <c r="AE888" s="2" t="n"/>
      <c r="AF888" s="11" t="inlineStr">
        <is>
          <t>created from list 1</t>
        </is>
      </c>
    </row>
    <row r="889">
      <c r="A889" s="11" t="inlineStr">
        <is>
          <t>L1-0888</t>
        </is>
      </c>
      <c r="B889" s="11" t="inlineStr">
        <is>
          <t>List 1 (to ~2015)</t>
        </is>
      </c>
      <c r="C889" s="11" t="inlineStr">
        <is>
          <t>list1</t>
        </is>
      </c>
      <c r="D889" s="11" t="inlineStr">
        <is>
          <t>verified</t>
        </is>
      </c>
      <c r="E889" s="11" t="inlineStr">
        <is>
          <t>overruled</t>
        </is>
      </c>
      <c r="F889" s="2" t="inlineStr">
        <is>
          <t>Mrs. Yulitha Hyde and Others v. State of Orissa and Others</t>
        </is>
      </c>
      <c r="G889" s="11" t="inlineStr"/>
      <c r="H889" s="11" t="inlineStr">
        <is>
          <t>Orissa</t>
        </is>
      </c>
      <c r="I889" s="2" t="inlineStr">
        <is>
          <t>AIR 1973 Ori 116</t>
        </is>
      </c>
      <c r="J889" s="11" t="n">
        <v>1973</v>
      </c>
      <c r="K889" s="2" t="inlineStr">
        <is>
          <t>Rev. Stainislaus v. State of Madhya Pradesh and Others</t>
        </is>
      </c>
      <c r="L889" s="11" t="inlineStr">
        <is>
          <t>Supreme Court</t>
        </is>
      </c>
      <c r="M889" s="2" t="inlineStr">
        <is>
          <t>AIR 1977 SC 908; (1977) 43 CLT 382; (1977) CriLJ 551; (1977) 1 SCC 677; (1977) 2 SCR 611; (1977) 9 UJ 158</t>
        </is>
      </c>
      <c r="N889" s="11" t="n">
        <v>1977</v>
      </c>
      <c r="O889" s="11" t="n"/>
      <c r="P889" s="11" t="n"/>
      <c r="Q889" s="11" t="n"/>
      <c r="R889" s="2" t="n"/>
      <c r="S889" s="2" t="n"/>
      <c r="T889" s="11" t="inlineStr"/>
      <c r="U889" s="11" t="inlineStr"/>
      <c r="V889" s="11" t="inlineStr">
        <is>
          <t>outside_list</t>
        </is>
      </c>
      <c r="W889" s="11" t="n"/>
      <c r="X889" s="11" t="n"/>
      <c r="Y889" s="11" t="n"/>
      <c r="Z889" s="11" t="inlineStr">
        <is>
          <t>Mr. Advocate</t>
        </is>
      </c>
      <c r="AA889" s="11" t="inlineStr">
        <is>
          <t>2026-10-07</t>
        </is>
      </c>
      <c r="AB889" s="11" t="inlineStr">
        <is>
          <t>name_year</t>
        </is>
      </c>
      <c r="AC889" s="2" t="inlineStr"/>
      <c r="AD889" s="2" t="inlineStr">
        <is>
          <t>Mrs. Yulitha Hyde and Others v. State of Orissa and Others (1973) was overruled by Rev. Stainislaus v. State of Madhya Pradesh and Others (1977).</t>
        </is>
      </c>
      <c r="AE889" s="2" t="n"/>
      <c r="AF889" s="11" t="inlineStr">
        <is>
          <t>created from list 1</t>
        </is>
      </c>
    </row>
    <row r="890">
      <c r="A890" s="11" t="inlineStr">
        <is>
          <t>L1-0889</t>
        </is>
      </c>
      <c r="B890" s="11" t="inlineStr">
        <is>
          <t>List 1 (to ~2015)</t>
        </is>
      </c>
      <c r="C890" s="11" t="inlineStr">
        <is>
          <t>list1</t>
        </is>
      </c>
      <c r="D890" s="11" t="inlineStr">
        <is>
          <t>verified</t>
        </is>
      </c>
      <c r="E890" s="11" t="inlineStr">
        <is>
          <t>reversed_on_appeal</t>
        </is>
      </c>
      <c r="F890" s="2" t="inlineStr">
        <is>
          <t>Commissioner of Income Tax v. Patnaik and Co. P. Ltd.</t>
        </is>
      </c>
      <c r="G890" s="11" t="inlineStr"/>
      <c r="H890" s="11" t="inlineStr">
        <is>
          <t>unknown</t>
        </is>
      </c>
      <c r="I890" s="2" t="inlineStr">
        <is>
          <t>(1979) 117 ITR 388</t>
        </is>
      </c>
      <c r="J890" s="11" t="n">
        <v>1979</v>
      </c>
      <c r="K890" s="2" t="inlineStr">
        <is>
          <t>Patnaik and Co. Ltd. v. Commissioner of Income Tax, Orissa</t>
        </is>
      </c>
      <c r="L890" s="11" t="inlineStr">
        <is>
          <t>Supreme Court</t>
        </is>
      </c>
      <c r="M890" s="2" t="inlineStr">
        <is>
          <t>AIR 1986 SC 1483; (1986) 58 CTR 92; (1986) 26 ELT 673; (1986) 161 ITR 365; (1986) JT 202; (1986) 2 SCALE 12; (1986) 4 SCC 16; (1986) 3 SCR 207</t>
        </is>
      </c>
      <c r="N890" s="11" t="n">
        <v>1986</v>
      </c>
      <c r="O890" s="11" t="n"/>
      <c r="P890" s="11" t="n"/>
      <c r="Q890" s="11" t="n"/>
      <c r="R890" s="2" t="n"/>
      <c r="S890" s="2" t="n"/>
      <c r="T890" s="11" t="inlineStr">
        <is>
          <t>yes</t>
        </is>
      </c>
      <c r="U890" s="11" t="inlineStr"/>
      <c r="V890" s="11" t="inlineStr">
        <is>
          <t>outside_list</t>
        </is>
      </c>
      <c r="W890" s="11" t="n"/>
      <c r="X890" s="11" t="n"/>
      <c r="Y890" s="11" t="n"/>
      <c r="Z890" s="11" t="inlineStr">
        <is>
          <t>Mr. Advocate</t>
        </is>
      </c>
      <c r="AA890" s="11" t="inlineStr">
        <is>
          <t>2026-10-07</t>
        </is>
      </c>
      <c r="AB890" s="11" t="inlineStr">
        <is>
          <t>name_year</t>
        </is>
      </c>
      <c r="AC890" s="2" t="inlineStr"/>
      <c r="AD890" s="2" t="inlineStr">
        <is>
          <t>Commissioner of Income Tax v. Patnaik and Co. P. Ltd. (1979) was reversed on appeal by the Supreme Court in Patnaik and Co. Ltd. v. Commissioner of Income Tax, Orissa (1986).</t>
        </is>
      </c>
      <c r="AE890" s="2" t="n"/>
      <c r="AF890" s="11" t="inlineStr">
        <is>
          <t>created from list 1</t>
        </is>
      </c>
    </row>
    <row r="891">
      <c r="A891" s="11" t="inlineStr">
        <is>
          <t>L1-0890</t>
        </is>
      </c>
      <c r="B891" s="11" t="inlineStr">
        <is>
          <t>List 1 (to ~2015)</t>
        </is>
      </c>
      <c r="C891" s="11" t="inlineStr">
        <is>
          <t>list1</t>
        </is>
      </c>
      <c r="D891" s="11" t="inlineStr">
        <is>
          <t>verified</t>
        </is>
      </c>
      <c r="E891" s="11" t="inlineStr">
        <is>
          <t>overruled</t>
        </is>
      </c>
      <c r="F891" s="2" t="inlineStr">
        <is>
          <t>Prafulla Kumar Pati v. Paramananda Sethi and Others and Smt. Nilamani Sethi and Others</t>
        </is>
      </c>
      <c r="G891" s="11" t="inlineStr"/>
      <c r="H891" s="11" t="inlineStr">
        <is>
          <t>unknown</t>
        </is>
      </c>
      <c r="I891" s="2" t="inlineStr">
        <is>
          <t>(1986) 62 CLT 236; (1986) 2 OLR 130</t>
        </is>
      </c>
      <c r="J891" s="11" t="n">
        <v>1986</v>
      </c>
      <c r="K891" s="2" t="inlineStr">
        <is>
          <t>The Revenue Officer and others v. Prafulla Kumar Pati and others</t>
        </is>
      </c>
      <c r="L891" s="11" t="inlineStr">
        <is>
          <t>Supreme Court</t>
        </is>
      </c>
      <c r="M891" s="2" t="inlineStr">
        <is>
          <t>AIR 1990 SC 727; (1990) 69 CLT 732; (1990) 1 JT 155; (1990) 1 SCALE 124; (1990) 2 SCC 162; (1990) 1 SCR 88; (1990) 1 UJ 390</t>
        </is>
      </c>
      <c r="N891" s="11" t="n">
        <v>1990</v>
      </c>
      <c r="O891" s="11" t="n"/>
      <c r="P891" s="11" t="n"/>
      <c r="Q891" s="11" t="n"/>
      <c r="R891" s="2" t="n"/>
      <c r="S891" s="2" t="n"/>
      <c r="T891" s="11" t="inlineStr"/>
      <c r="U891" s="11" t="inlineStr"/>
      <c r="V891" s="11" t="inlineStr">
        <is>
          <t>outside_list</t>
        </is>
      </c>
      <c r="W891" s="11" t="n"/>
      <c r="X891" s="11" t="n"/>
      <c r="Y891" s="11" t="n"/>
      <c r="Z891" s="11" t="inlineStr">
        <is>
          <t>Mr. Advocate</t>
        </is>
      </c>
      <c r="AA891" s="11" t="inlineStr">
        <is>
          <t>2026-10-07</t>
        </is>
      </c>
      <c r="AB891" s="11" t="inlineStr">
        <is>
          <t>name_year</t>
        </is>
      </c>
      <c r="AC891" s="2" t="inlineStr"/>
      <c r="AD891" s="2" t="inlineStr">
        <is>
          <t>Prafulla Kumar Pati v. Paramananda Sethi and Others and Smt. Nilamani Sethi and Others (1986) was overruled by The Revenue Officer and others v. Prafulla Kumar Pati and others (1990).</t>
        </is>
      </c>
      <c r="AE891" s="2" t="n"/>
      <c r="AF891" s="11" t="inlineStr">
        <is>
          <t>created from list 1</t>
        </is>
      </c>
    </row>
    <row r="892">
      <c r="A892" s="11" t="inlineStr">
        <is>
          <t>L1-0891</t>
        </is>
      </c>
      <c r="B892" s="11" t="inlineStr">
        <is>
          <t>List 1 (to ~2015)</t>
        </is>
      </c>
      <c r="C892" s="11" t="inlineStr">
        <is>
          <t>list1</t>
        </is>
      </c>
      <c r="D892" s="11" t="inlineStr">
        <is>
          <t>verified</t>
        </is>
      </c>
      <c r="E892" s="11" t="inlineStr">
        <is>
          <t>overruled</t>
        </is>
      </c>
      <c r="F892" s="2" t="inlineStr">
        <is>
          <t>Mrs. Rama Mishra v. Sri Ram City Union Finance Ltd.</t>
        </is>
      </c>
      <c r="G892" s="11" t="inlineStr"/>
      <c r="H892" s="11" t="inlineStr">
        <is>
          <t>unknown</t>
        </is>
      </c>
      <c r="I892" s="2" t="inlineStr">
        <is>
          <t>(1999) 88 CLT 232; (1999) 2 OLR 194</t>
        </is>
      </c>
      <c r="J892" s="11" t="n">
        <v>1999</v>
      </c>
      <c r="K892" s="2" t="inlineStr">
        <is>
          <t>Shriram City Union Finance Corporation Ltd. v. Rama Mishra</t>
        </is>
      </c>
      <c r="L892" s="11" t="inlineStr">
        <is>
          <t>Supreme Court</t>
        </is>
      </c>
      <c r="M892" s="2" t="inlineStr">
        <is>
          <t>AIR 2002 SC 2402; (2002) 9 SCC 613; (2002) AIRSCW 2617</t>
        </is>
      </c>
      <c r="N892" s="11" t="n">
        <v>2002</v>
      </c>
      <c r="O892" s="11" t="n"/>
      <c r="P892" s="11" t="n"/>
      <c r="Q892" s="11" t="n"/>
      <c r="R892" s="2" t="n"/>
      <c r="S892" s="2" t="n"/>
      <c r="T892" s="11" t="inlineStr"/>
      <c r="U892" s="11" t="inlineStr"/>
      <c r="V892" s="11" t="inlineStr">
        <is>
          <t>outside_list</t>
        </is>
      </c>
      <c r="W892" s="11" t="n"/>
      <c r="X892" s="11" t="n"/>
      <c r="Y892" s="11" t="n"/>
      <c r="Z892" s="11" t="inlineStr">
        <is>
          <t>Mr. Advocate</t>
        </is>
      </c>
      <c r="AA892" s="11" t="inlineStr">
        <is>
          <t>2026-10-07</t>
        </is>
      </c>
      <c r="AB892" s="11" t="inlineStr">
        <is>
          <t>name_year</t>
        </is>
      </c>
      <c r="AC892" s="2" t="inlineStr"/>
      <c r="AD892" s="2" t="inlineStr">
        <is>
          <t>Mrs. Rama Mishra v. Sri Ram City Union Finance Ltd. (1999) was overruled by Shriram City Union Finance Corporation Ltd. v. Rama Mishra (2002).</t>
        </is>
      </c>
      <c r="AE892" s="2" t="n"/>
      <c r="AF892" s="11" t="inlineStr">
        <is>
          <t>created from list 1</t>
        </is>
      </c>
    </row>
    <row r="893">
      <c r="A893" s="11" t="inlineStr">
        <is>
          <t>L1-0892</t>
        </is>
      </c>
      <c r="B893" s="11" t="inlineStr">
        <is>
          <t>List 1 (to ~2015)</t>
        </is>
      </c>
      <c r="C893" s="11" t="inlineStr">
        <is>
          <t>list1</t>
        </is>
      </c>
      <c r="D893" s="11" t="inlineStr">
        <is>
          <t>verified</t>
        </is>
      </c>
      <c r="E893" s="11" t="inlineStr">
        <is>
          <t>reversed_on_appeal</t>
        </is>
      </c>
      <c r="F893" s="2" t="inlineStr">
        <is>
          <t>Commissioner of Income Tax v. Dhadi Sahu</t>
        </is>
      </c>
      <c r="G893" s="11" t="inlineStr"/>
      <c r="H893" s="11" t="inlineStr">
        <is>
          <t>unknown</t>
        </is>
      </c>
      <c r="I893" s="2" t="inlineStr">
        <is>
          <t>(1976) 42 CLT 89; (1976) 105 ITR 56</t>
        </is>
      </c>
      <c r="J893" s="11" t="n">
        <v>1976</v>
      </c>
      <c r="K893" s="2" t="inlineStr">
        <is>
          <t>Commissioner of Income Tax, Orissa v. Dhadi Sahu</t>
        </is>
      </c>
      <c r="L893" s="11" t="inlineStr">
        <is>
          <t>Supreme Court</t>
        </is>
      </c>
      <c r="M893" s="2" t="inlineStr">
        <is>
          <t>(1992) 108 CTR 444; (1993) 199 ITR 610; (1992) 6 JT 714; (1992) 3 SCALE 255; (1994) 1 SCC 257 Supp; (1992) 3 SCR 168 Supp</t>
        </is>
      </c>
      <c r="N893" s="11" t="n">
        <v>1992</v>
      </c>
      <c r="O893" s="11" t="n"/>
      <c r="P893" s="11" t="n"/>
      <c r="Q893" s="11" t="n"/>
      <c r="R893" s="2" t="n"/>
      <c r="S893" s="2" t="n"/>
      <c r="T893" s="11" t="inlineStr">
        <is>
          <t>yes</t>
        </is>
      </c>
      <c r="U893" s="11" t="inlineStr"/>
      <c r="V893" s="11" t="inlineStr">
        <is>
          <t>outside_list</t>
        </is>
      </c>
      <c r="W893" s="11" t="n"/>
      <c r="X893" s="11" t="n"/>
      <c r="Y893" s="11" t="n"/>
      <c r="Z893" s="11" t="inlineStr">
        <is>
          <t>Mr. Advocate</t>
        </is>
      </c>
      <c r="AA893" s="11" t="inlineStr">
        <is>
          <t>2026-10-07</t>
        </is>
      </c>
      <c r="AB893" s="11" t="inlineStr">
        <is>
          <t>name_year</t>
        </is>
      </c>
      <c r="AC893" s="2" t="inlineStr"/>
      <c r="AD893" s="2" t="inlineStr">
        <is>
          <t>Commissioner of Income Tax v. Dhadi Sahu (1976) was reversed on appeal by the Supreme Court in Commissioner of Income Tax, Orissa v. Dhadi Sahu (1992).</t>
        </is>
      </c>
      <c r="AE893" s="2" t="n"/>
      <c r="AF893" s="11" t="inlineStr">
        <is>
          <t>created from list 1</t>
        </is>
      </c>
    </row>
    <row r="894">
      <c r="A894" s="11" t="inlineStr">
        <is>
          <t>L1-0893</t>
        </is>
      </c>
      <c r="B894" s="11" t="inlineStr">
        <is>
          <t>List 1 (to ~2015)</t>
        </is>
      </c>
      <c r="C894" s="11" t="inlineStr">
        <is>
          <t>list1</t>
        </is>
      </c>
      <c r="D894" s="11" t="inlineStr">
        <is>
          <t>verified</t>
        </is>
      </c>
      <c r="E894" s="11" t="inlineStr">
        <is>
          <t>reversed_on_appeal</t>
        </is>
      </c>
      <c r="F894" s="2" t="inlineStr">
        <is>
          <t>Collector v. Mahabir Prasad Santuka and Others</t>
        </is>
      </c>
      <c r="G894" s="11" t="inlineStr"/>
      <c r="H894" s="11" t="inlineStr">
        <is>
          <t>Orissa</t>
        </is>
      </c>
      <c r="I894" s="2" t="inlineStr">
        <is>
          <t>AIR 1973 Ori 70</t>
        </is>
      </c>
      <c r="J894" s="11" t="n">
        <v>1973</v>
      </c>
      <c r="K894" s="2" t="inlineStr">
        <is>
          <t>Mahabir Prasad Santuka and Others v. Collector, Cuttack and Others</t>
        </is>
      </c>
      <c r="L894" s="11" t="inlineStr">
        <is>
          <t>Supreme Court</t>
        </is>
      </c>
      <c r="M894" s="2" t="inlineStr">
        <is>
          <t>AIR 1987 SC 720; (1987) 63 CLT 584; (1987) 1 JT 401; (1987) 1 SCALE 301; (1987) 1 SCC 587; (1987) 2 SCR 289</t>
        </is>
      </c>
      <c r="N894" s="11" t="n">
        <v>1987</v>
      </c>
      <c r="O894" s="11" t="n"/>
      <c r="P894" s="11" t="n"/>
      <c r="Q894" s="11" t="n"/>
      <c r="R894" s="2" t="n"/>
      <c r="S894" s="2" t="n"/>
      <c r="T894" s="11" t="inlineStr">
        <is>
          <t>yes</t>
        </is>
      </c>
      <c r="U894" s="11" t="inlineStr"/>
      <c r="V894" s="11" t="inlineStr">
        <is>
          <t>outside_list</t>
        </is>
      </c>
      <c r="W894" s="11" t="n"/>
      <c r="X894" s="11" t="n"/>
      <c r="Y894" s="11" t="n"/>
      <c r="Z894" s="11" t="inlineStr">
        <is>
          <t>Mr. Advocate</t>
        </is>
      </c>
      <c r="AA894" s="11" t="inlineStr">
        <is>
          <t>2026-10-07</t>
        </is>
      </c>
      <c r="AB894" s="11" t="inlineStr">
        <is>
          <t>name_year</t>
        </is>
      </c>
      <c r="AC894" s="2" t="inlineStr"/>
      <c r="AD894" s="2" t="inlineStr">
        <is>
          <t>Collector v. Mahabir Prasad Santuka and Others (1973) was reversed on appeal by the Supreme Court in Mahabir Prasad Santuka and Others v. Collector, Cuttack and Others (1987).</t>
        </is>
      </c>
      <c r="AE894" s="2" t="n"/>
      <c r="AF894" s="11" t="inlineStr">
        <is>
          <t>created from list 1</t>
        </is>
      </c>
    </row>
    <row r="895">
      <c r="A895" s="11" t="inlineStr">
        <is>
          <t>L1-0894</t>
        </is>
      </c>
      <c r="B895" s="11" t="inlineStr">
        <is>
          <t>List 1 (to ~2015)</t>
        </is>
      </c>
      <c r="C895" s="11" t="inlineStr">
        <is>
          <t>list1</t>
        </is>
      </c>
      <c r="D895" s="11" t="inlineStr">
        <is>
          <t>verified</t>
        </is>
      </c>
      <c r="E895" s="11" t="inlineStr">
        <is>
          <t>overruled</t>
        </is>
      </c>
      <c r="F895" s="2" t="inlineStr">
        <is>
          <t>P.S.V. Iyer v. Commissioner of Sales Tax</t>
        </is>
      </c>
      <c r="G895" s="11" t="inlineStr"/>
      <c r="H895" s="11" t="inlineStr">
        <is>
          <t>Orissa</t>
        </is>
      </c>
      <c r="I895" s="2" t="inlineStr">
        <is>
          <t>AIR 1960 Ori 221; (1960) 26 CLT 446; (1960) 11 STC 608</t>
        </is>
      </c>
      <c r="J895" s="11" t="n">
        <v>1960</v>
      </c>
      <c r="K895" s="2" t="inlineStr">
        <is>
          <t>All India Reporter Karamchari Sangh and Others v. All India Reporter Limited and Others</t>
        </is>
      </c>
      <c r="L895" s="11" t="inlineStr">
        <is>
          <t>Supreme Court</t>
        </is>
      </c>
      <c r="M895" s="2" t="inlineStr">
        <is>
          <t>AIR 1988 SC 1325; (1988) 2 CompLJ 559; (1988) 2 JT 244; (1988) LabIC 1060; (1988) 1 LLJ 551; (1988) 1 SCALE 990; (1988) 3 SCR 774; (1988) 70 STC 349; (1988) 2 UJ 170</t>
        </is>
      </c>
      <c r="N895" s="11" t="n">
        <v>1988</v>
      </c>
      <c r="O895" s="11" t="n"/>
      <c r="P895" s="11" t="n"/>
      <c r="Q895" s="11" t="n"/>
      <c r="R895" s="2" t="n"/>
      <c r="S895" s="2" t="n"/>
      <c r="T895" s="11" t="inlineStr"/>
      <c r="U895" s="11" t="inlineStr"/>
      <c r="V895" s="11" t="inlineStr">
        <is>
          <t>outside_list</t>
        </is>
      </c>
      <c r="W895" s="11" t="n"/>
      <c r="X895" s="11" t="n"/>
      <c r="Y895" s="11" t="n"/>
      <c r="Z895" s="11" t="inlineStr">
        <is>
          <t>Mr. Advocate</t>
        </is>
      </c>
      <c r="AA895" s="11" t="inlineStr">
        <is>
          <t>2026-10-07</t>
        </is>
      </c>
      <c r="AB895" s="11" t="inlineStr">
        <is>
          <t>name_year</t>
        </is>
      </c>
      <c r="AC895" s="2" t="inlineStr"/>
      <c r="AD895" s="2" t="inlineStr">
        <is>
          <t>P.S.V. Iyer v. Commissioner of Sales Tax (1960) was overruled by All India Reporter Karamchari Sangh and Others v. All India Reporter Limited and Others (1988).</t>
        </is>
      </c>
      <c r="AE895" s="2" t="n"/>
      <c r="AF895" s="11" t="inlineStr">
        <is>
          <t>created from list 1</t>
        </is>
      </c>
    </row>
    <row r="896">
      <c r="A896" s="11" t="inlineStr">
        <is>
          <t>L1-0895</t>
        </is>
      </c>
      <c r="B896" s="11" t="inlineStr">
        <is>
          <t>List 1 (to ~2015)</t>
        </is>
      </c>
      <c r="C896" s="11" t="inlineStr">
        <is>
          <t>list1</t>
        </is>
      </c>
      <c r="D896" s="11" t="inlineStr">
        <is>
          <t>verified</t>
        </is>
      </c>
      <c r="E896" s="11" t="inlineStr">
        <is>
          <t>reversed_on_appeal</t>
        </is>
      </c>
      <c r="F896" s="2" t="inlineStr">
        <is>
          <t>Jai Rout v. Sabitri Dei and Others</t>
        </is>
      </c>
      <c r="G896" s="11" t="inlineStr"/>
      <c r="H896" s="11" t="inlineStr">
        <is>
          <t>Orissa</t>
        </is>
      </c>
      <c r="I896" s="2" t="inlineStr">
        <is>
          <t>AIR 1993 Ori 251</t>
        </is>
      </c>
      <c r="J896" s="11" t="n">
        <v>1993</v>
      </c>
      <c r="K896" s="2" t="inlineStr">
        <is>
          <t>Sabitri Dei and Others v. Sarat Chandra Rout and Others</t>
        </is>
      </c>
      <c r="L896" s="11" t="inlineStr">
        <is>
          <t>Supreme Court</t>
        </is>
      </c>
      <c r="M896" s="2" t="inlineStr">
        <is>
          <t>(1996) 2 AD 73; (1996) 2 JT 1; (1996) 1 SCALE 714; (1996) 3 SCC 301; (1996) 1 SCR 1168; (1996) 1 UJ 586(1)</t>
        </is>
      </c>
      <c r="N896" s="11" t="n">
        <v>1996</v>
      </c>
      <c r="O896" s="11" t="n"/>
      <c r="P896" s="11" t="n"/>
      <c r="Q896" s="11" t="n"/>
      <c r="R896" s="2" t="n"/>
      <c r="S896" s="2" t="n"/>
      <c r="T896" s="11" t="inlineStr">
        <is>
          <t>yes</t>
        </is>
      </c>
      <c r="U896" s="11" t="inlineStr"/>
      <c r="V896" s="11" t="inlineStr">
        <is>
          <t>outside_list</t>
        </is>
      </c>
      <c r="W896" s="11" t="n"/>
      <c r="X896" s="11" t="n"/>
      <c r="Y896" s="11" t="n"/>
      <c r="Z896" s="11" t="inlineStr">
        <is>
          <t>Mr. Advocate</t>
        </is>
      </c>
      <c r="AA896" s="11" t="inlineStr">
        <is>
          <t>2026-10-07</t>
        </is>
      </c>
      <c r="AB896" s="11" t="inlineStr">
        <is>
          <t>name_year</t>
        </is>
      </c>
      <c r="AC896" s="2" t="inlineStr"/>
      <c r="AD896" s="2" t="inlineStr">
        <is>
          <t>Jai Rout v. Sabitri Dei and Others (1993) was reversed on appeal by the Supreme Court in Sabitri Dei and Others v. Sarat Chandra Rout and Others (1996).</t>
        </is>
      </c>
      <c r="AE896" s="2" t="n"/>
      <c r="AF896" s="11" t="inlineStr">
        <is>
          <t>created from list 1</t>
        </is>
      </c>
    </row>
    <row r="897">
      <c r="A897" s="11" t="inlineStr">
        <is>
          <t>L1-0896</t>
        </is>
      </c>
      <c r="B897" s="11" t="inlineStr">
        <is>
          <t>List 1 (to ~2015)</t>
        </is>
      </c>
      <c r="C897" s="11" t="inlineStr">
        <is>
          <t>list1</t>
        </is>
      </c>
      <c r="D897" s="11" t="inlineStr">
        <is>
          <t>verified</t>
        </is>
      </c>
      <c r="E897" s="11" t="inlineStr">
        <is>
          <t>overruled</t>
        </is>
      </c>
      <c r="F897" s="2" t="inlineStr">
        <is>
          <t>Rabindra Nath Mohanty and Others v. State Transport Appellate Tribunal and Others</t>
        </is>
      </c>
      <c r="G897" s="11" t="inlineStr"/>
      <c r="H897" s="11" t="inlineStr">
        <is>
          <t>Orissa</t>
        </is>
      </c>
      <c r="I897" s="2" t="inlineStr">
        <is>
          <t>AIR 1979 Ori 133</t>
        </is>
      </c>
      <c r="J897" s="11" t="n">
        <v>1979</v>
      </c>
      <c r="K897" s="2" t="inlineStr">
        <is>
          <t>Ashutosh Swain and Others v. State Transport Authority and Others</t>
        </is>
      </c>
      <c r="L897" s="11" t="inlineStr">
        <is>
          <t>Supreme Court</t>
        </is>
      </c>
      <c r="M897" s="2" t="inlineStr">
        <is>
          <t>(1985) 2 ACC 184; AIR 1985 SC 493; (1985) 60 CLT 99; (1985) 1 SCALE 376; (1985) 2 SCC 636; (1985) 3 SCR 1; (1985) 17 UJ 838</t>
        </is>
      </c>
      <c r="N897" s="11" t="n">
        <v>1985</v>
      </c>
      <c r="O897" s="11" t="n"/>
      <c r="P897" s="11" t="n"/>
      <c r="Q897" s="11" t="n"/>
      <c r="R897" s="2" t="n"/>
      <c r="S897" s="2" t="n"/>
      <c r="T897" s="11" t="inlineStr"/>
      <c r="U897" s="11" t="inlineStr"/>
      <c r="V897" s="11" t="inlineStr">
        <is>
          <t>outside_list</t>
        </is>
      </c>
      <c r="W897" s="11" t="n"/>
      <c r="X897" s="11" t="n"/>
      <c r="Y897" s="11" t="n"/>
      <c r="Z897" s="11" t="inlineStr">
        <is>
          <t>Mr. Advocate</t>
        </is>
      </c>
      <c r="AA897" s="11" t="inlineStr">
        <is>
          <t>2026-10-07</t>
        </is>
      </c>
      <c r="AB897" s="11" t="inlineStr">
        <is>
          <t>name_year</t>
        </is>
      </c>
      <c r="AC897" s="2" t="inlineStr"/>
      <c r="AD897" s="2" t="inlineStr">
        <is>
          <t>Rabindra Nath Mohanty and Others v. State Transport Appellate Tribunal and Others (1979) was overruled by Ashutosh Swain and Others v. State Transport Authority and Others (1985).</t>
        </is>
      </c>
      <c r="AE897" s="2" t="n"/>
      <c r="AF897" s="11" t="inlineStr">
        <is>
          <t>created from list 1</t>
        </is>
      </c>
    </row>
    <row r="898">
      <c r="A898" s="11" t="inlineStr">
        <is>
          <t>L1-0897</t>
        </is>
      </c>
      <c r="B898" s="11" t="inlineStr">
        <is>
          <t>List 1 (to ~2015)</t>
        </is>
      </c>
      <c r="C898" s="11" t="inlineStr">
        <is>
          <t>list1</t>
        </is>
      </c>
      <c r="D898" s="11" t="inlineStr">
        <is>
          <t>verified</t>
        </is>
      </c>
      <c r="E898" s="11" t="inlineStr">
        <is>
          <t>overruled</t>
        </is>
      </c>
      <c r="F898" s="2" t="inlineStr">
        <is>
          <t>Balabhadra Raja Guru Mohapatra v. The State</t>
        </is>
      </c>
      <c r="G898" s="11" t="inlineStr"/>
      <c r="H898" s="11" t="inlineStr">
        <is>
          <t>Orissa</t>
        </is>
      </c>
      <c r="I898" s="2" t="inlineStr">
        <is>
          <t>AIR 1954 Ori 95</t>
        </is>
      </c>
      <c r="J898" s="11" t="n">
        <v>1954</v>
      </c>
      <c r="K898" s="2" t="inlineStr">
        <is>
          <t>Bijaya Kumar Agarwala v. State of Orissa</t>
        </is>
      </c>
      <c r="L898" s="11" t="inlineStr">
        <is>
          <t>Supreme Court</t>
        </is>
      </c>
      <c r="M898" s="2" t="inlineStr">
        <is>
          <t>AIR 1996 SC 2531; (1996) CriLJ 3577; (1996) 3 Crimes 99; (1996) 7 JT 56; (1996) 5 SCALE 530; (1996) 5 SCC 1; (1996) 4 SCR 249 Supp</t>
        </is>
      </c>
      <c r="N898" s="11" t="n">
        <v>1996</v>
      </c>
      <c r="O898" s="11" t="n"/>
      <c r="P898" s="11" t="n"/>
      <c r="Q898" s="11" t="n"/>
      <c r="R898" s="2" t="n"/>
      <c r="S898" s="2" t="n"/>
      <c r="T898" s="11" t="inlineStr"/>
      <c r="U898" s="11" t="inlineStr"/>
      <c r="V898" s="11" t="inlineStr">
        <is>
          <t>outside_list</t>
        </is>
      </c>
      <c r="W898" s="11" t="n"/>
      <c r="X898" s="11" t="n"/>
      <c r="Y898" s="11" t="n"/>
      <c r="Z898" s="11" t="inlineStr">
        <is>
          <t>Mr. Advocate</t>
        </is>
      </c>
      <c r="AA898" s="11" t="inlineStr">
        <is>
          <t>2026-10-07</t>
        </is>
      </c>
      <c r="AB898" s="11" t="inlineStr">
        <is>
          <t>name_year</t>
        </is>
      </c>
      <c r="AC898" s="2" t="inlineStr"/>
      <c r="AD898" s="2" t="inlineStr">
        <is>
          <t>Balabhadra Raja Guru Mohapatra v. The State (1954) was overruled by Bijaya Kumar Agarwala v. State of Orissa (1996).</t>
        </is>
      </c>
      <c r="AE898" s="2" t="n"/>
      <c r="AF898" s="11" t="inlineStr">
        <is>
          <t>created from list 1</t>
        </is>
      </c>
    </row>
    <row r="899">
      <c r="A899" s="11" t="inlineStr">
        <is>
          <t>L1-0898</t>
        </is>
      </c>
      <c r="B899" s="11" t="inlineStr">
        <is>
          <t>List 1 (to ~2015)</t>
        </is>
      </c>
      <c r="C899" s="11" t="inlineStr">
        <is>
          <t>list1</t>
        </is>
      </c>
      <c r="D899" s="11" t="inlineStr">
        <is>
          <t>verified</t>
        </is>
      </c>
      <c r="E899" s="11" t="inlineStr">
        <is>
          <t>overruled</t>
        </is>
      </c>
      <c r="F899" s="2" t="inlineStr">
        <is>
          <t>Radhakrishna Padhi etc. v. Bhajakrishna Panda and Others</t>
        </is>
      </c>
      <c r="G899" s="11" t="inlineStr"/>
      <c r="H899" s="11" t="inlineStr">
        <is>
          <t>Orissa</t>
        </is>
      </c>
      <c r="I899" s="2" t="inlineStr">
        <is>
          <t>AIR 1981 Ori 63; (1981) 51 CLT 42</t>
        </is>
      </c>
      <c r="J899" s="11" t="n">
        <v>1981</v>
      </c>
      <c r="K899" s="2" t="inlineStr">
        <is>
          <t>Smt. Ambalika Padhi and another v. Sh. Radhakrishna Padhi and others,</t>
        </is>
      </c>
      <c r="L899" s="11" t="inlineStr">
        <is>
          <t>Supreme Court</t>
        </is>
      </c>
      <c r="M899" s="2" t="inlineStr">
        <is>
          <t>AIR 1992 SC 431; (1992) 73 CLT 92; (1992) 1 JT 10; (1991) 2 SCALE 1211; (1992) 1 SCC 667; (1991) 3 SCR 230 Supp; (1992) 1 UJ 451</t>
        </is>
      </c>
      <c r="N899" s="11" t="n">
        <v>1992</v>
      </c>
      <c r="O899" s="11" t="n"/>
      <c r="P899" s="11" t="n"/>
      <c r="Q899" s="11" t="n"/>
      <c r="R899" s="2" t="n"/>
      <c r="S899" s="2" t="n"/>
      <c r="T899" s="11" t="inlineStr"/>
      <c r="U899" s="11" t="inlineStr"/>
      <c r="V899" s="11" t="inlineStr">
        <is>
          <t>outside_list</t>
        </is>
      </c>
      <c r="W899" s="11" t="n"/>
      <c r="X899" s="11" t="n"/>
      <c r="Y899" s="11" t="n"/>
      <c r="Z899" s="11" t="inlineStr">
        <is>
          <t>Mr. Advocate</t>
        </is>
      </c>
      <c r="AA899" s="11" t="inlineStr">
        <is>
          <t>2026-10-07</t>
        </is>
      </c>
      <c r="AB899" s="11" t="inlineStr">
        <is>
          <t>name_year</t>
        </is>
      </c>
      <c r="AC899" s="2" t="inlineStr"/>
      <c r="AD899" s="2" t="inlineStr">
        <is>
          <t>Radhakrishna Padhi etc. v. Bhajakrishna Panda and Others (1981) was overruled by Smt. Ambalika Padhi and another v. Sh. Radhakrishna Padhi and others, (1992).</t>
        </is>
      </c>
      <c r="AE899" s="2" t="n"/>
      <c r="AF899" s="11" t="inlineStr">
        <is>
          <t>created from list 1</t>
        </is>
      </c>
    </row>
    <row r="900">
      <c r="A900" s="11" t="inlineStr">
        <is>
          <t>L1-0899</t>
        </is>
      </c>
      <c r="B900" s="11" t="inlineStr">
        <is>
          <t>List 1 (to ~2015)</t>
        </is>
      </c>
      <c r="C900" s="11" t="inlineStr">
        <is>
          <t>list1</t>
        </is>
      </c>
      <c r="D900" s="11" t="inlineStr">
        <is>
          <t>verified</t>
        </is>
      </c>
      <c r="E900" s="11" t="inlineStr">
        <is>
          <t>overruled</t>
        </is>
      </c>
      <c r="F900" s="2" t="inlineStr">
        <is>
          <t>Artatran Alekhagadi Brahma and Others v. Sudersan Mohapatra and Others</t>
        </is>
      </c>
      <c r="G900" s="11" t="inlineStr"/>
      <c r="H900" s="11" t="inlineStr">
        <is>
          <t>Orissa</t>
        </is>
      </c>
      <c r="I900" s="2" t="inlineStr">
        <is>
          <t>AIR 1954 Ori 11</t>
        </is>
      </c>
      <c r="J900" s="11" t="n">
        <v>1954</v>
      </c>
      <c r="K900" s="2" t="inlineStr">
        <is>
          <t>Bishwanath and Another v. Shri Thakur Radhaballabhji and Others</t>
        </is>
      </c>
      <c r="L900" s="11" t="inlineStr">
        <is>
          <t>Supreme Court</t>
        </is>
      </c>
      <c r="M900" s="2" t="inlineStr">
        <is>
          <t>AIR 1967 SC 1044; (1967) 69 PLR 761; (1967) 2 SCR 618</t>
        </is>
      </c>
      <c r="N900" s="11" t="n">
        <v>1967</v>
      </c>
      <c r="O900" s="11" t="n"/>
      <c r="P900" s="11" t="n"/>
      <c r="Q900" s="11" t="n"/>
      <c r="R900" s="2" t="n"/>
      <c r="S900" s="2" t="n"/>
      <c r="T900" s="11" t="inlineStr"/>
      <c r="U900" s="11" t="inlineStr"/>
      <c r="V900" s="11" t="inlineStr">
        <is>
          <t>outside_list</t>
        </is>
      </c>
      <c r="W900" s="11" t="n"/>
      <c r="X900" s="11" t="n"/>
      <c r="Y900" s="11" t="n"/>
      <c r="Z900" s="11" t="inlineStr">
        <is>
          <t>Mr. Advocate</t>
        </is>
      </c>
      <c r="AA900" s="11" t="inlineStr">
        <is>
          <t>2026-10-07</t>
        </is>
      </c>
      <c r="AB900" s="11" t="inlineStr">
        <is>
          <t>name_year</t>
        </is>
      </c>
      <c r="AC900" s="2" t="inlineStr"/>
      <c r="AD900" s="2" t="inlineStr">
        <is>
          <t>Artatran Alekhagadi Brahma and Others v. Sudersan Mohapatra and Others (1954) was overruled by Bishwanath and Another v. Shri Thakur Radhaballabhji and Others (1967).</t>
        </is>
      </c>
      <c r="AE900" s="2" t="n"/>
      <c r="AF900" s="11" t="inlineStr">
        <is>
          <t>created from list 1</t>
        </is>
      </c>
    </row>
    <row r="901">
      <c r="A901" s="11" t="inlineStr">
        <is>
          <t>L1-0900</t>
        </is>
      </c>
      <c r="B901" s="11" t="inlineStr">
        <is>
          <t>List 1 (to ~2015)</t>
        </is>
      </c>
      <c r="C901" s="11" t="inlineStr">
        <is>
          <t>list1</t>
        </is>
      </c>
      <c r="D901" s="11" t="inlineStr">
        <is>
          <t>verified</t>
        </is>
      </c>
      <c r="E901" s="11" t="inlineStr">
        <is>
          <t>overruled</t>
        </is>
      </c>
      <c r="F901" s="2" t="inlineStr">
        <is>
          <t>Rourkela Mazdoor Sabha and Others v. Rourkela Steel Plant and Others</t>
        </is>
      </c>
      <c r="G901" s="11" t="inlineStr"/>
      <c r="H901" s="11" t="inlineStr">
        <is>
          <t>unknown</t>
        </is>
      </c>
      <c r="I901" s="2" t="inlineStr">
        <is>
          <t>(1992) 1 LLJ 571</t>
        </is>
      </c>
      <c r="J901" s="11" t="n">
        <v>1992</v>
      </c>
      <c r="K901" s="2" t="inlineStr">
        <is>
          <t>General Secretary, Rourkela Sramik Sangh v. Rourkela Mazdoor Sabha and others</t>
        </is>
      </c>
      <c r="L901" s="11" t="inlineStr">
        <is>
          <t>Supreme Court</t>
        </is>
      </c>
      <c r="M901" s="2" t="inlineStr">
        <is>
          <t>AIR 1991 SC 1250; (1991) 71 CLT 681; (1991) 62 FLR 857; (1991) 2 JT 272; (1991) LabIC 1270; (1991) 2 LLJ 257; (1991) 1 SCALE 743; (1991) 1 SCC 305 Supp; (1991) 2 SCR 399; (1991) 2 UJ 400</t>
        </is>
      </c>
      <c r="N901" s="11" t="n">
        <v>1991</v>
      </c>
      <c r="O901" s="11" t="n"/>
      <c r="P901" s="11" t="n"/>
      <c r="Q901" s="11" t="n"/>
      <c r="R901" s="2" t="n"/>
      <c r="S901" s="2" t="n"/>
      <c r="T901" s="11" t="inlineStr"/>
      <c r="U901" s="11" t="inlineStr">
        <is>
          <t>year_order_check</t>
        </is>
      </c>
      <c r="V901" s="11" t="inlineStr">
        <is>
          <t>outside_list</t>
        </is>
      </c>
      <c r="W901" s="11" t="n"/>
      <c r="X901" s="11" t="n"/>
      <c r="Y901" s="11" t="n"/>
      <c r="Z901" s="11" t="inlineStr">
        <is>
          <t>Mr. Advocate</t>
        </is>
      </c>
      <c r="AA901" s="11" t="inlineStr">
        <is>
          <t>2026-10-07</t>
        </is>
      </c>
      <c r="AB901" s="11" t="inlineStr">
        <is>
          <t>name_year</t>
        </is>
      </c>
      <c r="AC901" s="2" t="inlineStr"/>
      <c r="AD901" s="2" t="inlineStr">
        <is>
          <t>Rourkela Mazdoor Sabha and Others v. Rourkela Steel Plant and Others (1992) was overruled by General Secretary, Rourkela Sramik Sangh v. Rourkela Mazdoor Sabha and others (1991).</t>
        </is>
      </c>
      <c r="AE901" s="2" t="n"/>
      <c r="AF901" s="11" t="inlineStr">
        <is>
          <t>created from list 1</t>
        </is>
      </c>
    </row>
    <row r="902">
      <c r="A902" s="11" t="inlineStr">
        <is>
          <t>L1-0901</t>
        </is>
      </c>
      <c r="B902" s="11" t="inlineStr">
        <is>
          <t>List 1 (to ~2015)</t>
        </is>
      </c>
      <c r="C902" s="11" t="inlineStr">
        <is>
          <t>list1</t>
        </is>
      </c>
      <c r="D902" s="11" t="inlineStr">
        <is>
          <t>verified</t>
        </is>
      </c>
      <c r="E902" s="11" t="inlineStr">
        <is>
          <t>overruled</t>
        </is>
      </c>
      <c r="F902" s="2" t="inlineStr">
        <is>
          <t>Krishna Stores v. Commissioner of Sales Tax and Others</t>
        </is>
      </c>
      <c r="G902" s="11" t="inlineStr"/>
      <c r="H902" s="11" t="inlineStr">
        <is>
          <t>unknown</t>
        </is>
      </c>
      <c r="I902" s="2" t="inlineStr">
        <is>
          <t>(1979) 43 STC 64</t>
        </is>
      </c>
      <c r="J902" s="11" t="n">
        <v>1979</v>
      </c>
      <c r="K902" s="2" t="inlineStr">
        <is>
          <t>State of Orissa and others v. M/s. Krishna Stores</t>
        </is>
      </c>
      <c r="L902" s="11" t="inlineStr">
        <is>
          <t>Supreme Court</t>
        </is>
      </c>
      <c r="M902" s="2" t="inlineStr">
        <is>
          <t>AIR 1997 SC 871; (1997) 84 CLT 718; (1997) 1 JT 667; (1997) 1 SCALE 411; (1997) 3 SCC 246; (1997) 1 SCR 436; (1997) 104 STC 594; (1997) AIRSCW 748; (1997) 2 Supreme 128</t>
        </is>
      </c>
      <c r="N902" s="11" t="n">
        <v>1997</v>
      </c>
      <c r="O902" s="11" t="n"/>
      <c r="P902" s="11" t="n"/>
      <c r="Q902" s="11" t="n"/>
      <c r="R902" s="2" t="n"/>
      <c r="S902" s="2" t="n"/>
      <c r="T902" s="11" t="inlineStr"/>
      <c r="U902" s="11" t="inlineStr"/>
      <c r="V902" s="11" t="inlineStr">
        <is>
          <t>outside_list</t>
        </is>
      </c>
      <c r="W902" s="11" t="n"/>
      <c r="X902" s="11" t="n"/>
      <c r="Y902" s="11" t="n"/>
      <c r="Z902" s="11" t="inlineStr">
        <is>
          <t>Mr. Advocate</t>
        </is>
      </c>
      <c r="AA902" s="11" t="inlineStr">
        <is>
          <t>2026-10-07</t>
        </is>
      </c>
      <c r="AB902" s="11" t="inlineStr">
        <is>
          <t>name_year</t>
        </is>
      </c>
      <c r="AC902" s="2" t="inlineStr"/>
      <c r="AD902" s="2" t="inlineStr">
        <is>
          <t>Krishna Stores v. Commissioner of Sales Tax and Others (1979) was overruled by State of Orissa and others v. M/s. Krishna Stores (1997).</t>
        </is>
      </c>
      <c r="AE902" s="2" t="n"/>
      <c r="AF902" s="11" t="inlineStr">
        <is>
          <t>created from list 1</t>
        </is>
      </c>
    </row>
    <row r="903">
      <c r="A903" s="11" t="inlineStr">
        <is>
          <t>L1-0902</t>
        </is>
      </c>
      <c r="B903" s="11" t="inlineStr">
        <is>
          <t>List 1 (to ~2015)</t>
        </is>
      </c>
      <c r="C903" s="11" t="inlineStr">
        <is>
          <t>list1</t>
        </is>
      </c>
      <c r="D903" s="11" t="inlineStr">
        <is>
          <t>verified</t>
        </is>
      </c>
      <c r="E903" s="11" t="inlineStr">
        <is>
          <t>overruled</t>
        </is>
      </c>
      <c r="F903" s="2" t="inlineStr">
        <is>
          <t>State of Orissa v. Dunda Oram and Others</t>
        </is>
      </c>
      <c r="G903" s="11" t="inlineStr"/>
      <c r="H903" s="11" t="inlineStr">
        <is>
          <t>Orissa</t>
        </is>
      </c>
      <c r="I903" s="2" t="inlineStr">
        <is>
          <t>AIR 1978 Ori 74</t>
        </is>
      </c>
      <c r="J903" s="11" t="n">
        <v>1978</v>
      </c>
      <c r="K903" s="2" t="inlineStr">
        <is>
          <t>State of Orissa v. Brij Lal Misra etc.</t>
        </is>
      </c>
      <c r="L903" s="11" t="inlineStr">
        <is>
          <t>Supreme Court</t>
        </is>
      </c>
      <c r="M903" s="2" t="inlineStr">
        <is>
          <t>AIR 1996 SC 221; AIR 1995 SC 221; (1996) 81 CLT 288; (1995) 4 SCALE 592; (1995) 5 SCC 203; (1995) 2 SCR 354 Supp; (1995) 2 UJ 571</t>
        </is>
      </c>
      <c r="N903" s="11" t="n">
        <v>1996</v>
      </c>
      <c r="O903" s="11" t="n"/>
      <c r="P903" s="11" t="n"/>
      <c r="Q903" s="11" t="n"/>
      <c r="R903" s="2" t="n"/>
      <c r="S903" s="2" t="n"/>
      <c r="T903" s="11" t="inlineStr"/>
      <c r="U903" s="11" t="inlineStr"/>
      <c r="V903" s="11" t="inlineStr">
        <is>
          <t>outside_list</t>
        </is>
      </c>
      <c r="W903" s="11" t="n"/>
      <c r="X903" s="11" t="n"/>
      <c r="Y903" s="11" t="n"/>
      <c r="Z903" s="11" t="inlineStr">
        <is>
          <t>Mr. Advocate</t>
        </is>
      </c>
      <c r="AA903" s="11" t="inlineStr">
        <is>
          <t>2026-10-07</t>
        </is>
      </c>
      <c r="AB903" s="11" t="inlineStr">
        <is>
          <t>name_year</t>
        </is>
      </c>
      <c r="AC903" s="2" t="inlineStr"/>
      <c r="AD903" s="2" t="inlineStr">
        <is>
          <t>State of Orissa v. Dunda Oram and Others (1978) was overruled by State of Orissa v. Brij Lal Misra etc. (1996).</t>
        </is>
      </c>
      <c r="AE903" s="2" t="n"/>
      <c r="AF903" s="11" t="inlineStr">
        <is>
          <t>created from list 1</t>
        </is>
      </c>
    </row>
    <row r="904">
      <c r="A904" s="11" t="inlineStr">
        <is>
          <t>L1-0903</t>
        </is>
      </c>
      <c r="B904" s="11" t="inlineStr">
        <is>
          <t>List 1 (to ~2015)</t>
        </is>
      </c>
      <c r="C904" s="11" t="inlineStr">
        <is>
          <t>list1</t>
        </is>
      </c>
      <c r="D904" s="11" t="inlineStr">
        <is>
          <t>verified</t>
        </is>
      </c>
      <c r="E904" s="11" t="inlineStr">
        <is>
          <t>overruled</t>
        </is>
      </c>
      <c r="F904" s="2" t="inlineStr">
        <is>
          <t>Orissa State Commercial Transport Corporation, Cuttack v. Smt. Dhumali Bewa and Others</t>
        </is>
      </c>
      <c r="G904" s="11" t="inlineStr"/>
      <c r="H904" s="11" t="inlineStr">
        <is>
          <t>Orissa</t>
        </is>
      </c>
      <c r="I904" s="2" t="inlineStr">
        <is>
          <t>AIR 1982 Ori 70; (1982) 53 CLT 167</t>
        </is>
      </c>
      <c r="J904" s="11" t="n">
        <v>1982</v>
      </c>
      <c r="K904" s="2" t="inlineStr">
        <is>
          <t>Skandia Insurance Co. Ltd. v. Kokilaben Chandravadan and Others</t>
        </is>
      </c>
      <c r="L904" s="11" t="inlineStr">
        <is>
          <t>Supreme Court</t>
        </is>
      </c>
      <c r="M904" s="2" t="inlineStr">
        <is>
          <t>(1987) 1 ACC 413; (1987) ACJ 411; (1987) 62 CompCas 138; (1987) 2 JT 43; (1987) 1 SCALE 648; (1987) 2 SCC 654; (1987) 2 SCR 752</t>
        </is>
      </c>
      <c r="N904" s="11" t="n">
        <v>1987</v>
      </c>
      <c r="O904" s="11" t="n"/>
      <c r="P904" s="11" t="n"/>
      <c r="Q904" s="11" t="n"/>
      <c r="R904" s="2" t="n"/>
      <c r="S904" s="2" t="n"/>
      <c r="T904" s="11" t="inlineStr"/>
      <c r="U904" s="11" t="inlineStr"/>
      <c r="V904" s="11" t="inlineStr">
        <is>
          <t>outside_list</t>
        </is>
      </c>
      <c r="W904" s="11" t="n"/>
      <c r="X904" s="11" t="n"/>
      <c r="Y904" s="11" t="n"/>
      <c r="Z904" s="11" t="inlineStr">
        <is>
          <t>Mr. Advocate</t>
        </is>
      </c>
      <c r="AA904" s="11" t="inlineStr">
        <is>
          <t>2026-10-07</t>
        </is>
      </c>
      <c r="AB904" s="11" t="inlineStr">
        <is>
          <t>name_year</t>
        </is>
      </c>
      <c r="AC904" s="2" t="inlineStr"/>
      <c r="AD904" s="2" t="inlineStr">
        <is>
          <t>Orissa State Commercial Transport Corporation, Cuttack v. Smt. Dhumali Bewa and Others (1982) was overruled by Skandia Insurance Co. Ltd. v. Kokilaben Chandravadan and Others (1987).</t>
        </is>
      </c>
      <c r="AE904" s="2" t="n"/>
      <c r="AF904" s="11" t="inlineStr">
        <is>
          <t>created from list 1</t>
        </is>
      </c>
    </row>
    <row r="905">
      <c r="A905" s="11" t="inlineStr">
        <is>
          <t>L1-0904</t>
        </is>
      </c>
      <c r="B905" s="11" t="inlineStr">
        <is>
          <t>List 1 (to ~2015)</t>
        </is>
      </c>
      <c r="C905" s="11" t="inlineStr">
        <is>
          <t>list1</t>
        </is>
      </c>
      <c r="D905" s="11" t="inlineStr">
        <is>
          <t>verified</t>
        </is>
      </c>
      <c r="E905" s="11" t="inlineStr">
        <is>
          <t>overruled</t>
        </is>
      </c>
      <c r="F905" s="2" t="inlineStr">
        <is>
          <t>Union of India (UOI) and Others v. Sheobux Satyanarayan</t>
        </is>
      </c>
      <c r="G905" s="11" t="inlineStr"/>
      <c r="H905" s="11" t="inlineStr">
        <is>
          <t>Orissa</t>
        </is>
      </c>
      <c r="I905" s="2" t="inlineStr">
        <is>
          <t>AIR 1963 Ori 68</t>
        </is>
      </c>
      <c r="J905" s="11" t="n">
        <v>1963</v>
      </c>
      <c r="K905" s="2" t="inlineStr">
        <is>
          <t>Union of India (UOI) v. The Steel Stock Holders Syndicate Poona</t>
        </is>
      </c>
      <c r="L905" s="11" t="inlineStr">
        <is>
          <t>Supreme Court</t>
        </is>
      </c>
      <c r="M905" s="2" t="inlineStr">
        <is>
          <t>AIR 1976 SC 879; (1976) 3 SCC 108; (1976) 3 SCR 504</t>
        </is>
      </c>
      <c r="N905" s="11" t="n">
        <v>1976</v>
      </c>
      <c r="O905" s="11" t="n"/>
      <c r="P905" s="11" t="n"/>
      <c r="Q905" s="11" t="n"/>
      <c r="R905" s="2" t="n"/>
      <c r="S905" s="2" t="n"/>
      <c r="T905" s="11" t="inlineStr"/>
      <c r="U905" s="11" t="inlineStr"/>
      <c r="V905" s="11" t="inlineStr">
        <is>
          <t>outside_list</t>
        </is>
      </c>
      <c r="W905" s="11" t="n"/>
      <c r="X905" s="11" t="n"/>
      <c r="Y905" s="11" t="n"/>
      <c r="Z905" s="11" t="inlineStr">
        <is>
          <t>Mr. Advocate</t>
        </is>
      </c>
      <c r="AA905" s="11" t="inlineStr">
        <is>
          <t>2026-10-07</t>
        </is>
      </c>
      <c r="AB905" s="11" t="inlineStr">
        <is>
          <t>name_year</t>
        </is>
      </c>
      <c r="AC905" s="2" t="inlineStr"/>
      <c r="AD905" s="2" t="inlineStr">
        <is>
          <t>Union of India (UOI) and Others v. Sheobux Satyanarayan (1963) was overruled by Union of India (UOI) v. The Steel Stock Holders Syndicate Poona (1976).</t>
        </is>
      </c>
      <c r="AE905" s="2" t="n"/>
      <c r="AF905" s="11" t="inlineStr">
        <is>
          <t>created from list 1</t>
        </is>
      </c>
    </row>
    <row r="906">
      <c r="A906" s="11" t="inlineStr">
        <is>
          <t>L1-0905</t>
        </is>
      </c>
      <c r="B906" s="11" t="inlineStr">
        <is>
          <t>List 1 (to ~2015)</t>
        </is>
      </c>
      <c r="C906" s="11" t="inlineStr">
        <is>
          <t>list1</t>
        </is>
      </c>
      <c r="D906" s="11" t="inlineStr">
        <is>
          <t>verified</t>
        </is>
      </c>
      <c r="E906" s="11" t="inlineStr">
        <is>
          <t>overruled</t>
        </is>
      </c>
      <c r="F906" s="2" t="inlineStr">
        <is>
          <t>Bijoy Kumar Routrai and Others v. State of Orissa and Others</t>
        </is>
      </c>
      <c r="G906" s="11" t="inlineStr"/>
      <c r="H906" s="11" t="inlineStr">
        <is>
          <t>Orissa</t>
        </is>
      </c>
      <c r="I906" s="2" t="inlineStr">
        <is>
          <t>AIR 1976 Ori 138</t>
        </is>
      </c>
      <c r="J906" s="11" t="n">
        <v>1976</v>
      </c>
      <c r="K906" s="2" t="inlineStr">
        <is>
          <t>K. Ramanathan v. State of Tamil Nadu and Another</t>
        </is>
      </c>
      <c r="L906" s="11" t="inlineStr">
        <is>
          <t>Supreme Court</t>
        </is>
      </c>
      <c r="M906" s="2" t="inlineStr">
        <is>
          <t>AIR 1985 SC 660; (1985) 1 SCALE 510; (1985) 2 SCC 116; (1985) 2 SCR 1028</t>
        </is>
      </c>
      <c r="N906" s="11" t="n">
        <v>1985</v>
      </c>
      <c r="O906" s="11" t="n"/>
      <c r="P906" s="11" t="n"/>
      <c r="Q906" s="11" t="n"/>
      <c r="R906" s="2" t="n"/>
      <c r="S906" s="2" t="n"/>
      <c r="T906" s="11" t="inlineStr"/>
      <c r="U906" s="11" t="inlineStr"/>
      <c r="V906" s="11" t="inlineStr">
        <is>
          <t>outside_list</t>
        </is>
      </c>
      <c r="W906" s="11" t="n"/>
      <c r="X906" s="11" t="n"/>
      <c r="Y906" s="11" t="n"/>
      <c r="Z906" s="11" t="inlineStr">
        <is>
          <t>Mr. Advocate</t>
        </is>
      </c>
      <c r="AA906" s="11" t="inlineStr">
        <is>
          <t>2026-10-07</t>
        </is>
      </c>
      <c r="AB906" s="11" t="inlineStr">
        <is>
          <t>name_year</t>
        </is>
      </c>
      <c r="AC906" s="2" t="inlineStr"/>
      <c r="AD906" s="2" t="inlineStr">
        <is>
          <t>Bijoy Kumar Routrai and Others v. State of Orissa and Others (1976) was overruled by K. Ramanathan v. State of Tamil Nadu and Another (1985).</t>
        </is>
      </c>
      <c r="AE906" s="2" t="n"/>
      <c r="AF906" s="11" t="inlineStr">
        <is>
          <t>created from list 1</t>
        </is>
      </c>
    </row>
    <row r="907">
      <c r="A907" s="11" t="inlineStr">
        <is>
          <t>L1-0906</t>
        </is>
      </c>
      <c r="B907" s="11" t="inlineStr">
        <is>
          <t>List 1 (to ~2015)</t>
        </is>
      </c>
      <c r="C907" s="11" t="inlineStr">
        <is>
          <t>list1</t>
        </is>
      </c>
      <c r="D907" s="11" t="inlineStr">
        <is>
          <t>verified</t>
        </is>
      </c>
      <c r="E907" s="11" t="inlineStr">
        <is>
          <t>overruled</t>
        </is>
      </c>
      <c r="F907" s="2" t="inlineStr">
        <is>
          <t>Binod Naik and Another v. Chandrasekhar Padhi and Others</t>
        </is>
      </c>
      <c r="G907" s="11" t="inlineStr"/>
      <c r="H907" s="11" t="inlineStr">
        <is>
          <t>Orissa</t>
        </is>
      </c>
      <c r="I907" s="2" t="inlineStr">
        <is>
          <t>AIR 1969 Ori 134; (1968) 34 CLT 1305</t>
        </is>
      </c>
      <c r="J907" s="11" t="n">
        <v>1969</v>
      </c>
      <c r="K907" s="2" t="inlineStr">
        <is>
          <t>Anna Transport Corporation Ltd., Salem v. Safe Service Ltd. and others</t>
        </is>
      </c>
      <c r="L907" s="11" t="inlineStr">
        <is>
          <t>Supreme Court</t>
        </is>
      </c>
      <c r="M907" s="2" t="inlineStr">
        <is>
          <t>(1992) 1 ACC 151; AIR 1992 SC 64; (1991) 6 JT 306; (1991) 2 SCALE 499; (1992) 1 SCC 401 Supp; (1991) 3 SCR 708; (1991) 2 UJ 620</t>
        </is>
      </c>
      <c r="N907" s="11" t="n">
        <v>1992</v>
      </c>
      <c r="O907" s="11" t="n"/>
      <c r="P907" s="11" t="n"/>
      <c r="Q907" s="11" t="n"/>
      <c r="R907" s="2" t="n"/>
      <c r="S907" s="2" t="n"/>
      <c r="T907" s="11" t="inlineStr"/>
      <c r="U907" s="11" t="inlineStr"/>
      <c r="V907" s="11" t="inlineStr">
        <is>
          <t>outside_list</t>
        </is>
      </c>
      <c r="W907" s="11" t="n"/>
      <c r="X907" s="11" t="n"/>
      <c r="Y907" s="11" t="n"/>
      <c r="Z907" s="11" t="inlineStr">
        <is>
          <t>Mr. Advocate</t>
        </is>
      </c>
      <c r="AA907" s="11" t="inlineStr">
        <is>
          <t>2026-10-07</t>
        </is>
      </c>
      <c r="AB907" s="11" t="inlineStr">
        <is>
          <t>name_year</t>
        </is>
      </c>
      <c r="AC907" s="2" t="inlineStr"/>
      <c r="AD907" s="2" t="inlineStr">
        <is>
          <t>Binod Naik and Another v. Chandrasekhar Padhi and Others (1969) was overruled by Anna Transport Corporation Ltd., Salem v. Safe Service Ltd. and others (1992).</t>
        </is>
      </c>
      <c r="AE907" s="2" t="n"/>
      <c r="AF907" s="11" t="inlineStr">
        <is>
          <t>created from list 1</t>
        </is>
      </c>
    </row>
    <row r="908">
      <c r="A908" s="11" t="inlineStr">
        <is>
          <t>L1-0907</t>
        </is>
      </c>
      <c r="B908" s="11" t="inlineStr">
        <is>
          <t>List 1 (to ~2015)</t>
        </is>
      </c>
      <c r="C908" s="11" t="inlineStr">
        <is>
          <t>list1</t>
        </is>
      </c>
      <c r="D908" s="11" t="inlineStr">
        <is>
          <t>verified</t>
        </is>
      </c>
      <c r="E908" s="11" t="inlineStr">
        <is>
          <t>overruled</t>
        </is>
      </c>
      <c r="F908" s="2" t="inlineStr">
        <is>
          <t>The Orissa Ceramic Industries Ltd. and Others v. Executive Officer, Jharsuguda Municipality and Others</t>
        </is>
      </c>
      <c r="G908" s="11" t="inlineStr"/>
      <c r="H908" s="11" t="inlineStr">
        <is>
          <t>Orissa</t>
        </is>
      </c>
      <c r="I908" s="2" t="inlineStr">
        <is>
          <t>AIR 1963 Ori 171</t>
        </is>
      </c>
      <c r="J908" s="11" t="n">
        <v>1963</v>
      </c>
      <c r="K908" s="2" t="inlineStr">
        <is>
          <t>Jagannathan Pillai v. Kunjithapadam Pillai and Others</t>
        </is>
      </c>
      <c r="L908" s="11" t="inlineStr">
        <is>
          <t>Supreme Court</t>
        </is>
      </c>
      <c r="M908" s="2" t="inlineStr">
        <is>
          <t>AIR 1987 SC 1493; (1987) 2 JT 235; (1987) 1 SCALE 861; (1987) 2 SCC 572; (1987) 2 SCR 1070; (1987) 2 UJ 690</t>
        </is>
      </c>
      <c r="N908" s="11" t="n">
        <v>1987</v>
      </c>
      <c r="O908" s="11" t="n"/>
      <c r="P908" s="11" t="n"/>
      <c r="Q908" s="11" t="n"/>
      <c r="R908" s="2" t="n"/>
      <c r="S908" s="2" t="n"/>
      <c r="T908" s="11" t="inlineStr"/>
      <c r="U908" s="11" t="inlineStr"/>
      <c r="V908" s="11" t="inlineStr">
        <is>
          <t>outside_list</t>
        </is>
      </c>
      <c r="W908" s="11" t="n"/>
      <c r="X908" s="11" t="n"/>
      <c r="Y908" s="11" t="n"/>
      <c r="Z908" s="11" t="inlineStr">
        <is>
          <t>Mr. Advocate</t>
        </is>
      </c>
      <c r="AA908" s="11" t="inlineStr">
        <is>
          <t>2026-10-07</t>
        </is>
      </c>
      <c r="AB908" s="11" t="inlineStr">
        <is>
          <t>name_year</t>
        </is>
      </c>
      <c r="AC908" s="2" t="inlineStr"/>
      <c r="AD908" s="2" t="inlineStr">
        <is>
          <t>The Orissa Ceramic Industries Ltd. and Others v. Executive Officer, Jharsuguda Municipality and Others (1963) was overruled by Jagannathan Pillai v. Kunjithapadam Pillai and Others (1987).</t>
        </is>
      </c>
      <c r="AE908" s="2" t="n"/>
      <c r="AF908" s="11" t="inlineStr">
        <is>
          <t>created from list 1</t>
        </is>
      </c>
    </row>
    <row r="909">
      <c r="A909" s="11" t="inlineStr">
        <is>
          <t>L1-0908</t>
        </is>
      </c>
      <c r="B909" s="11" t="inlineStr">
        <is>
          <t>List 1 (to ~2015)</t>
        </is>
      </c>
      <c r="C909" s="11" t="inlineStr">
        <is>
          <t>list1</t>
        </is>
      </c>
      <c r="D909" s="11" t="inlineStr">
        <is>
          <t>verified</t>
        </is>
      </c>
      <c r="E909" s="11" t="inlineStr">
        <is>
          <t>overruled</t>
        </is>
      </c>
      <c r="F909" s="2" t="inlineStr">
        <is>
          <t>B.J. Bhambhani v. Commissioner of Income Tax</t>
        </is>
      </c>
      <c r="G909" s="11" t="inlineStr"/>
      <c r="H909" s="11" t="inlineStr">
        <is>
          <t>unknown</t>
        </is>
      </c>
      <c r="I909" s="2" t="inlineStr">
        <is>
          <t>(1991) 94 CTR 166; (1991) 190 ITR 480</t>
        </is>
      </c>
      <c r="J909" s="11" t="n">
        <v>1991</v>
      </c>
      <c r="K909" s="2" t="inlineStr">
        <is>
          <t>Commissioner of Income Tax, A.P. v. Ashoka Engineering Co., Grafik India and Syed Jaffar and Sons, Secundrabad</t>
        </is>
      </c>
      <c r="L909" s="11" t="inlineStr">
        <is>
          <t>Supreme Court</t>
        </is>
      </c>
      <c r="M909" s="2" t="inlineStr">
        <is>
          <t>AIR 1993 SC 858(1); AIR 1992 SC 858; (1993) 109 CTR 491; (1993) 1 SCC 754 Supp</t>
        </is>
      </c>
      <c r="N909" s="11" t="n">
        <v>1993</v>
      </c>
      <c r="O909" s="11" t="n"/>
      <c r="P909" s="11" t="n"/>
      <c r="Q909" s="11" t="n"/>
      <c r="R909" s="2" t="n"/>
      <c r="S909" s="2" t="n"/>
      <c r="T909" s="11" t="inlineStr"/>
      <c r="U909" s="11" t="inlineStr"/>
      <c r="V909" s="11" t="inlineStr">
        <is>
          <t>outside_list</t>
        </is>
      </c>
      <c r="W909" s="11" t="n"/>
      <c r="X909" s="11" t="n"/>
      <c r="Y909" s="11" t="n"/>
      <c r="Z909" s="11" t="inlineStr">
        <is>
          <t>Mr. Advocate</t>
        </is>
      </c>
      <c r="AA909" s="11" t="inlineStr">
        <is>
          <t>2026-10-07</t>
        </is>
      </c>
      <c r="AB909" s="11" t="inlineStr">
        <is>
          <t>name_year</t>
        </is>
      </c>
      <c r="AC909" s="2" t="inlineStr"/>
      <c r="AD909" s="2" t="inlineStr">
        <is>
          <t>B.J. Bhambhani v. Commissioner of Income Tax (1991) was overruled by Commissioner of Income Tax, A.P. v. Ashoka Engineering Co., Grafik India and Syed Jaffar and Sons, Secundrabad (1993).</t>
        </is>
      </c>
      <c r="AE909" s="2" t="n"/>
      <c r="AF909" s="11" t="inlineStr">
        <is>
          <t>created from list 1</t>
        </is>
      </c>
    </row>
    <row r="910">
      <c r="A910" s="11" t="inlineStr">
        <is>
          <t>L1-0909</t>
        </is>
      </c>
      <c r="B910" s="11" t="inlineStr">
        <is>
          <t>List 1 (to ~2015)</t>
        </is>
      </c>
      <c r="C910" s="11" t="inlineStr">
        <is>
          <t>list1</t>
        </is>
      </c>
      <c r="D910" s="11" t="inlineStr">
        <is>
          <t>verified</t>
        </is>
      </c>
      <c r="E910" s="11" t="inlineStr">
        <is>
          <t>overruled</t>
        </is>
      </c>
      <c r="F910" s="2" t="inlineStr">
        <is>
          <t>In Re: Sanjay Kumar Kedia @ Sanjay Kedia</t>
        </is>
      </c>
      <c r="G910" s="11" t="inlineStr"/>
      <c r="H910" s="11" t="inlineStr">
        <is>
          <t>unknown</t>
        </is>
      </c>
      <c r="I910" s="2" t="inlineStr">
        <is>
          <t>(2009) 1 CHN 156</t>
        </is>
      </c>
      <c r="J910" s="11" t="n">
        <v>2009</v>
      </c>
      <c r="K910" s="2" t="inlineStr">
        <is>
          <t>Sanjay Kumar Kedia @ Sanjay Kedia v. Intelligence Officer, Narcotic Control Bureau and Another</t>
        </is>
      </c>
      <c r="L910" s="11" t="inlineStr">
        <is>
          <t>Supreme Court</t>
        </is>
      </c>
      <c r="M910" s="2" t="inlineStr">
        <is>
          <t>(2010) CriLJ 2054; (2009) 15 JT 463; (2010) 2 SCALE 145; (2011) 1 SCC(Cri) 1099</t>
        </is>
      </c>
      <c r="N910" s="11" t="n">
        <v>2009</v>
      </c>
      <c r="O910" s="11" t="n"/>
      <c r="P910" s="11" t="n"/>
      <c r="Q910" s="11" t="n"/>
      <c r="R910" s="2" t="n"/>
      <c r="S910" s="2" t="n"/>
      <c r="T910" s="11" t="inlineStr"/>
      <c r="U910" s="11" t="inlineStr">
        <is>
          <t>needs_citation_or_year</t>
        </is>
      </c>
      <c r="V910" s="11" t="inlineStr">
        <is>
          <t>outside_list</t>
        </is>
      </c>
      <c r="W910" s="11" t="n"/>
      <c r="X910" s="11" t="n"/>
      <c r="Y910" s="11" t="n"/>
      <c r="Z910" s="11" t="inlineStr">
        <is>
          <t>Mr. Advocate</t>
        </is>
      </c>
      <c r="AA910" s="11" t="inlineStr">
        <is>
          <t>2026-10-07</t>
        </is>
      </c>
      <c r="AB910" s="11" t="inlineStr">
        <is>
          <t>none</t>
        </is>
      </c>
      <c r="AC910" s="2" t="inlineStr"/>
      <c r="AD910" s="2" t="inlineStr">
        <is>
          <t>In Re: Sanjay Kumar Kedia @ Sanjay Kedia (2009) was overruled by Sanjay Kumar Kedia @ Sanjay Kedia v. Intelligence Officer, Narcotic Control Bureau and Another (2009).</t>
        </is>
      </c>
      <c r="AE910" s="2" t="n"/>
      <c r="AF910" s="11" t="inlineStr">
        <is>
          <t>created from list 1</t>
        </is>
      </c>
    </row>
    <row r="911">
      <c r="A911" s="11" t="inlineStr">
        <is>
          <t>L1-0910</t>
        </is>
      </c>
      <c r="B911" s="11" t="inlineStr">
        <is>
          <t>List 1 (to ~2015)</t>
        </is>
      </c>
      <c r="C911" s="11" t="inlineStr">
        <is>
          <t>list1</t>
        </is>
      </c>
      <c r="D911" s="11" t="inlineStr">
        <is>
          <t>verified</t>
        </is>
      </c>
      <c r="E911" s="11" t="inlineStr">
        <is>
          <t>overruled</t>
        </is>
      </c>
      <c r="F911" s="2" t="inlineStr">
        <is>
          <t>Ashok Servicentre and Another v. Sales Tax Officer and Another</t>
        </is>
      </c>
      <c r="G911" s="11" t="inlineStr"/>
      <c r="H911" s="11" t="inlineStr">
        <is>
          <t>unknown</t>
        </is>
      </c>
      <c r="I911" s="2" t="inlineStr">
        <is>
          <t>(1983) 52 STC 50</t>
        </is>
      </c>
      <c r="J911" s="11" t="n">
        <v>1983</v>
      </c>
      <c r="K911" s="2" t="inlineStr">
        <is>
          <t>Ashok Service center and Others v. State of Orissa</t>
        </is>
      </c>
      <c r="L911" s="11" t="inlineStr">
        <is>
          <t>Supreme Court</t>
        </is>
      </c>
      <c r="M911" s="2" t="inlineStr">
        <is>
          <t>AIR 1983 SC 394; (1983) 1 SCALE 123; (1983) 2 SCC 82; (1983) 2 SCR 363; (1983) 53 STC 1</t>
        </is>
      </c>
      <c r="N911" s="11" t="n">
        <v>1983</v>
      </c>
      <c r="O911" s="11" t="n"/>
      <c r="P911" s="11" t="n"/>
      <c r="Q911" s="11" t="n"/>
      <c r="R911" s="2" t="n"/>
      <c r="S911" s="2" t="n"/>
      <c r="T911" s="11" t="inlineStr"/>
      <c r="U911" s="11" t="inlineStr"/>
      <c r="V911" s="11" t="inlineStr">
        <is>
          <t>outside_list</t>
        </is>
      </c>
      <c r="W911" s="11" t="n"/>
      <c r="X911" s="11" t="n"/>
      <c r="Y911" s="11" t="n"/>
      <c r="Z911" s="11" t="inlineStr">
        <is>
          <t>Mr. Advocate</t>
        </is>
      </c>
      <c r="AA911" s="11" t="inlineStr">
        <is>
          <t>2026-10-07</t>
        </is>
      </c>
      <c r="AB911" s="11" t="inlineStr">
        <is>
          <t>name_year</t>
        </is>
      </c>
      <c r="AC911" s="2" t="inlineStr"/>
      <c r="AD911" s="2" t="inlineStr">
        <is>
          <t>Ashok Servicentre and Another v. Sales Tax Officer and Another (1983) was overruled by Ashok Service center and Others v. State of Orissa (1983).</t>
        </is>
      </c>
      <c r="AE911" s="2" t="n"/>
      <c r="AF911" s="11" t="inlineStr">
        <is>
          <t>created from list 1</t>
        </is>
      </c>
    </row>
    <row r="912">
      <c r="A912" s="11" t="inlineStr">
        <is>
          <t>L1-0911</t>
        </is>
      </c>
      <c r="B912" s="11" t="inlineStr">
        <is>
          <t>List 1 (to ~2015)</t>
        </is>
      </c>
      <c r="C912" s="11" t="inlineStr">
        <is>
          <t>list1</t>
        </is>
      </c>
      <c r="D912" s="11" t="inlineStr">
        <is>
          <t>verified</t>
        </is>
      </c>
      <c r="E912" s="11" t="inlineStr">
        <is>
          <t>overruled</t>
        </is>
      </c>
      <c r="F912" s="2" t="inlineStr">
        <is>
          <t>Prem Bahadur v. State of Orissa</t>
        </is>
      </c>
      <c r="G912" s="11" t="inlineStr"/>
      <c r="H912" s="11" t="inlineStr">
        <is>
          <t>unknown</t>
        </is>
      </c>
      <c r="I912" s="2" t="inlineStr">
        <is>
          <t>(1977) 44 CLT 629; (1978) CriLJ 683</t>
        </is>
      </c>
      <c r="J912" s="11" t="n">
        <v>1977</v>
      </c>
      <c r="K912" s="2" t="inlineStr">
        <is>
          <t>Bijaya Kumar Agarwala v. State of Orissa</t>
        </is>
      </c>
      <c r="L912" s="11" t="inlineStr">
        <is>
          <t>Supreme Court</t>
        </is>
      </c>
      <c r="M912" s="2" t="inlineStr">
        <is>
          <t>AIR 1996 SC 2531; (1996) CriLJ 3577; (1996) 3 Crimes 99; (1996) 7 JT 56; (1996) 5 SCALE 530; (1996) 5 SCC 1; (1996) 4 SCR 249 Supp</t>
        </is>
      </c>
      <c r="N912" s="11" t="n">
        <v>1996</v>
      </c>
      <c r="O912" s="11" t="n"/>
      <c r="P912" s="11" t="n"/>
      <c r="Q912" s="11" t="n"/>
      <c r="R912" s="2" t="n"/>
      <c r="S912" s="2" t="n"/>
      <c r="T912" s="11" t="inlineStr"/>
      <c r="U912" s="11" t="inlineStr"/>
      <c r="V912" s="11" t="inlineStr">
        <is>
          <t>outside_list</t>
        </is>
      </c>
      <c r="W912" s="11" t="n"/>
      <c r="X912" s="11" t="n"/>
      <c r="Y912" s="11" t="n"/>
      <c r="Z912" s="11" t="inlineStr">
        <is>
          <t>Mr. Advocate</t>
        </is>
      </c>
      <c r="AA912" s="11" t="inlineStr">
        <is>
          <t>2026-10-07</t>
        </is>
      </c>
      <c r="AB912" s="11" t="inlineStr">
        <is>
          <t>name_year</t>
        </is>
      </c>
      <c r="AC912" s="2" t="inlineStr"/>
      <c r="AD912" s="2" t="inlineStr">
        <is>
          <t>Prem Bahadur v. State of Orissa (1977) was overruled by Bijaya Kumar Agarwala v. State of Orissa (1996).</t>
        </is>
      </c>
      <c r="AE912" s="2" t="n"/>
      <c r="AF912" s="11" t="inlineStr">
        <is>
          <t>created from list 1</t>
        </is>
      </c>
    </row>
    <row r="913">
      <c r="A913" s="11" t="inlineStr">
        <is>
          <t>L1-0912</t>
        </is>
      </c>
      <c r="B913" s="11" t="inlineStr">
        <is>
          <t>List 1 (to ~2015)</t>
        </is>
      </c>
      <c r="C913" s="11" t="inlineStr">
        <is>
          <t>list1</t>
        </is>
      </c>
      <c r="D913" s="11" t="inlineStr">
        <is>
          <t>verified</t>
        </is>
      </c>
      <c r="E913" s="11" t="inlineStr">
        <is>
          <t>overruled</t>
        </is>
      </c>
      <c r="F913" s="2" t="inlineStr">
        <is>
          <t>Nityananda Satpathy and Others v. Member, Board of Revenue and Others</t>
        </is>
      </c>
      <c r="G913" s="11" t="inlineStr"/>
      <c r="H913" s="11" t="inlineStr">
        <is>
          <t>unknown</t>
        </is>
      </c>
      <c r="I913" s="2" t="inlineStr">
        <is>
          <t>(1996) 2 OLR 262</t>
        </is>
      </c>
      <c r="J913" s="11" t="n">
        <v>1996</v>
      </c>
      <c r="K913" s="2" t="inlineStr">
        <is>
          <t>State of Orissa v. Nityanand Satpathy and Others</t>
        </is>
      </c>
      <c r="L913" s="11" t="inlineStr">
        <is>
          <t>Supreme Court</t>
        </is>
      </c>
      <c r="M913" s="2" t="inlineStr">
        <is>
          <t>(2003) 9 JT 535; (2003) 6 SCALE 250; (2003) 7 SCC 146; (2003) 2 SCR 66 Supp</t>
        </is>
      </c>
      <c r="N913" s="11" t="n">
        <v>2003</v>
      </c>
      <c r="O913" s="11" t="n"/>
      <c r="P913" s="11" t="n"/>
      <c r="Q913" s="11" t="n"/>
      <c r="R913" s="2" t="n"/>
      <c r="S913" s="2" t="n"/>
      <c r="T913" s="11" t="inlineStr"/>
      <c r="U913" s="11" t="inlineStr"/>
      <c r="V913" s="11" t="inlineStr">
        <is>
          <t>outside_list</t>
        </is>
      </c>
      <c r="W913" s="11" t="n"/>
      <c r="X913" s="11" t="n"/>
      <c r="Y913" s="11" t="n"/>
      <c r="Z913" s="11" t="inlineStr">
        <is>
          <t>Mr. Advocate</t>
        </is>
      </c>
      <c r="AA913" s="11" t="inlineStr">
        <is>
          <t>2026-10-07</t>
        </is>
      </c>
      <c r="AB913" s="11" t="inlineStr">
        <is>
          <t>name_year</t>
        </is>
      </c>
      <c r="AC913" s="2" t="inlineStr"/>
      <c r="AD913" s="2" t="inlineStr">
        <is>
          <t>Nityananda Satpathy and Others v. Member, Board of Revenue and Others (1996) was overruled by State of Orissa v. Nityanand Satpathy and Others (2003).</t>
        </is>
      </c>
      <c r="AE913" s="2" t="n"/>
      <c r="AF913" s="11" t="inlineStr">
        <is>
          <t>created from list 1</t>
        </is>
      </c>
    </row>
    <row r="914">
      <c r="A914" s="11" t="inlineStr">
        <is>
          <t>L1-0913</t>
        </is>
      </c>
      <c r="B914" s="11" t="inlineStr">
        <is>
          <t>List 1 (to ~2015)</t>
        </is>
      </c>
      <c r="C914" s="11" t="inlineStr">
        <is>
          <t>list1</t>
        </is>
      </c>
      <c r="D914" s="11" t="inlineStr">
        <is>
          <t>verified</t>
        </is>
      </c>
      <c r="E914" s="11" t="inlineStr">
        <is>
          <t>overruled</t>
        </is>
      </c>
      <c r="F914" s="2" t="inlineStr">
        <is>
          <t>Crown Re-roller (P) Ltd. v. State of Orissa in the Department of Finance and Others</t>
        </is>
      </c>
      <c r="G914" s="11" t="inlineStr"/>
      <c r="H914" s="11" t="inlineStr">
        <is>
          <t>unknown</t>
        </is>
      </c>
      <c r="I914" s="2" t="inlineStr">
        <is>
          <t>(2004) 1 OLR 107; (2005) 139 STC 305</t>
        </is>
      </c>
      <c r="J914" s="11" t="n">
        <v>2004</v>
      </c>
      <c r="K914" s="2" t="inlineStr">
        <is>
          <t>Commnr. of Sales Tax, Orissa and Others v. Crown Re-roller (P) Ltd. and Others</t>
        </is>
      </c>
      <c r="L914" s="11" t="inlineStr">
        <is>
          <t>Supreme Court</t>
        </is>
      </c>
      <c r="M914" s="2" t="inlineStr">
        <is>
          <t>(2007) 210 ELT 334; (2007) 8 JT 278; (2007) 4 SCALE 196; (2007) 3 SCC 659; (2007) 3 SCR 686; (2007) 1 UJ 430</t>
        </is>
      </c>
      <c r="N914" s="11" t="n">
        <v>2007</v>
      </c>
      <c r="O914" s="11" t="n"/>
      <c r="P914" s="11" t="n"/>
      <c r="Q914" s="11" t="n"/>
      <c r="R914" s="2" t="n"/>
      <c r="S914" s="2" t="n"/>
      <c r="T914" s="11" t="inlineStr"/>
      <c r="U914" s="11" t="inlineStr"/>
      <c r="V914" s="11" t="inlineStr">
        <is>
          <t>outside_list</t>
        </is>
      </c>
      <c r="W914" s="11" t="n"/>
      <c r="X914" s="11" t="n"/>
      <c r="Y914" s="11" t="n"/>
      <c r="Z914" s="11" t="inlineStr">
        <is>
          <t>Mr. Advocate</t>
        </is>
      </c>
      <c r="AA914" s="11" t="inlineStr">
        <is>
          <t>2026-10-07</t>
        </is>
      </c>
      <c r="AB914" s="11" t="inlineStr">
        <is>
          <t>name_year</t>
        </is>
      </c>
      <c r="AC914" s="2" t="inlineStr"/>
      <c r="AD914" s="2" t="inlineStr">
        <is>
          <t>Crown Re-roller (P) Ltd. v. State of Orissa in the Department of Finance and Others (2004) was overruled by Commnr. of Sales Tax, Orissa and Others v. Crown Re-roller (P) Ltd. and Others (2007).</t>
        </is>
      </c>
      <c r="AE914" s="2" t="n"/>
      <c r="AF914" s="11" t="inlineStr">
        <is>
          <t>created from list 1</t>
        </is>
      </c>
    </row>
    <row r="915">
      <c r="A915" s="11" t="inlineStr">
        <is>
          <t>L1-0914</t>
        </is>
      </c>
      <c r="B915" s="11" t="inlineStr">
        <is>
          <t>List 1 (to ~2015)</t>
        </is>
      </c>
      <c r="C915" s="11" t="inlineStr">
        <is>
          <t>list1</t>
        </is>
      </c>
      <c r="D915" s="11" t="inlineStr">
        <is>
          <t>verified</t>
        </is>
      </c>
      <c r="E915" s="11" t="inlineStr">
        <is>
          <t>reversed_on_appeal</t>
        </is>
      </c>
      <c r="F915" s="2" t="inlineStr">
        <is>
          <t>Nalinikanta Muduli v. State of Orissa</t>
        </is>
      </c>
      <c r="G915" s="11" t="inlineStr"/>
      <c r="H915" s="11" t="inlineStr">
        <is>
          <t>unknown</t>
        </is>
      </c>
      <c r="I915" s="2" t="inlineStr">
        <is>
          <t>(2003) CLT 689 (Suppl Crl); (2003) 25 OCR 289; (2003) 2 OLR 1; (2003) OLR 689 (Suppl Crl)</t>
        </is>
      </c>
      <c r="J915" s="11" t="n">
        <v>2003</v>
      </c>
      <c r="K915" s="2" t="inlineStr">
        <is>
          <t>State of Orissa v. Nalinikanta Muduli</t>
        </is>
      </c>
      <c r="L915" s="11" t="inlineStr">
        <is>
          <t>Supreme Court</t>
        </is>
      </c>
      <c r="M915" s="2" t="inlineStr">
        <is>
          <t>AIR 2004 SC 4272; (2004) CriLJ 4247; (2004) 6 JT 549; (2004) 6 SCALE 568; (2004) 7 SCC 19; (2004) 1 SCR 503 Supp; (2004) AIRSCW 4713; (2004) 6 Supreme 169</t>
        </is>
      </c>
      <c r="N915" s="11" t="n">
        <v>2004</v>
      </c>
      <c r="O915" s="11" t="n"/>
      <c r="P915" s="11" t="n"/>
      <c r="Q915" s="11" t="n"/>
      <c r="R915" s="2" t="n"/>
      <c r="S915" s="2" t="n"/>
      <c r="T915" s="11" t="inlineStr">
        <is>
          <t>yes</t>
        </is>
      </c>
      <c r="U915" s="11" t="inlineStr"/>
      <c r="V915" s="11" t="inlineStr">
        <is>
          <t>outside_list</t>
        </is>
      </c>
      <c r="W915" s="11" t="n"/>
      <c r="X915" s="11" t="n"/>
      <c r="Y915" s="11" t="n"/>
      <c r="Z915" s="11" t="inlineStr">
        <is>
          <t>Mr. Advocate</t>
        </is>
      </c>
      <c r="AA915" s="11" t="inlineStr">
        <is>
          <t>2026-10-07</t>
        </is>
      </c>
      <c r="AB915" s="11" t="inlineStr">
        <is>
          <t>name_year</t>
        </is>
      </c>
      <c r="AC915" s="2" t="inlineStr"/>
      <c r="AD915" s="2" t="inlineStr">
        <is>
          <t>Nalinikanta Muduli v. State of Orissa (2003) was reversed on appeal by the Supreme Court in State of Orissa v. Nalinikanta Muduli (2004).</t>
        </is>
      </c>
      <c r="AE915" s="2" t="n"/>
      <c r="AF915" s="11" t="inlineStr">
        <is>
          <t>created from list 1</t>
        </is>
      </c>
    </row>
    <row r="916">
      <c r="A916" s="11" t="inlineStr">
        <is>
          <t>L1-0915</t>
        </is>
      </c>
      <c r="B916" s="11" t="inlineStr">
        <is>
          <t>List 1 (to ~2015)</t>
        </is>
      </c>
      <c r="C916" s="11" t="inlineStr">
        <is>
          <t>list1</t>
        </is>
      </c>
      <c r="D916" s="11" t="inlineStr">
        <is>
          <t>verified</t>
        </is>
      </c>
      <c r="E916" s="11" t="inlineStr">
        <is>
          <t>reversed_on_appeal</t>
        </is>
      </c>
      <c r="F916" s="2" t="inlineStr">
        <is>
          <t>Smt. Sunita Mohapatra v. Suresh Dhanuka</t>
        </is>
      </c>
      <c r="G916" s="11" t="inlineStr"/>
      <c r="H916" s="11" t="inlineStr">
        <is>
          <t>unknown</t>
        </is>
      </c>
      <c r="I916" s="2" t="inlineStr">
        <is>
          <t>(2009) 1 OLR 400</t>
        </is>
      </c>
      <c r="J916" s="11" t="n">
        <v>2009</v>
      </c>
      <c r="K916" s="2" t="inlineStr">
        <is>
          <t>Suresh Dhanuka v. Sunita Mohapatra</t>
        </is>
      </c>
      <c r="L916" s="11" t="inlineStr">
        <is>
          <t>Supreme Court</t>
        </is>
      </c>
      <c r="M916" s="2" t="inlineStr">
        <is>
          <t>AIR 2012 SC 892; (2011) 14 JT 1; (2012) 49 PTC 417; (2011) 3 SCALE 315; (2012) 1 SCC 578; (2011) 6 UJ 4154; (2012) AIRSCW 369</t>
        </is>
      </c>
      <c r="N916" s="11" t="n">
        <v>2012</v>
      </c>
      <c r="O916" s="11" t="n"/>
      <c r="P916" s="11" t="n"/>
      <c r="Q916" s="11" t="n"/>
      <c r="R916" s="2" t="n"/>
      <c r="S916" s="2" t="n"/>
      <c r="T916" s="11" t="inlineStr">
        <is>
          <t>yes</t>
        </is>
      </c>
      <c r="U916" s="11" t="inlineStr"/>
      <c r="V916" s="11" t="inlineStr">
        <is>
          <t>outside_list</t>
        </is>
      </c>
      <c r="W916" s="11" t="n"/>
      <c r="X916" s="11" t="n"/>
      <c r="Y916" s="11" t="n"/>
      <c r="Z916" s="11" t="inlineStr">
        <is>
          <t>Mr. Advocate</t>
        </is>
      </c>
      <c r="AA916" s="11" t="inlineStr">
        <is>
          <t>2026-10-07</t>
        </is>
      </c>
      <c r="AB916" s="11" t="inlineStr">
        <is>
          <t>name_year</t>
        </is>
      </c>
      <c r="AC916" s="2" t="inlineStr"/>
      <c r="AD916" s="2" t="inlineStr">
        <is>
          <t>Smt. Sunita Mohapatra v. Suresh Dhanuka (2009) was reversed on appeal by the Supreme Court in Suresh Dhanuka v. Sunita Mohapatra (2012).</t>
        </is>
      </c>
      <c r="AE916" s="2" t="n"/>
      <c r="AF916" s="11" t="inlineStr">
        <is>
          <t>created from list 1</t>
        </is>
      </c>
    </row>
    <row r="917">
      <c r="A917" s="11" t="inlineStr">
        <is>
          <t>L1-0916</t>
        </is>
      </c>
      <c r="B917" s="11" t="inlineStr">
        <is>
          <t>List 1 (to ~2015)</t>
        </is>
      </c>
      <c r="C917" s="11" t="inlineStr">
        <is>
          <t>list1</t>
        </is>
      </c>
      <c r="D917" s="11" t="inlineStr">
        <is>
          <t>verified</t>
        </is>
      </c>
      <c r="E917" s="11" t="inlineStr">
        <is>
          <t>reversed_on_appeal</t>
        </is>
      </c>
      <c r="F917" s="2" t="inlineStr">
        <is>
          <t>Navinchandra N. Majithia v. State of Maharashtra and Others</t>
        </is>
      </c>
      <c r="G917" s="11" t="inlineStr"/>
      <c r="H917" s="11" t="inlineStr">
        <is>
          <t>unknown</t>
        </is>
      </c>
      <c r="I917" s="2" t="inlineStr">
        <is>
          <t>(1999) CriLJ 3476</t>
        </is>
      </c>
      <c r="J917" s="11" t="n">
        <v>1999</v>
      </c>
      <c r="K917" s="2" t="inlineStr">
        <is>
          <t>Navinchandra N. Majithia v. State of Maharashtra and Others</t>
        </is>
      </c>
      <c r="L917" s="11" t="inlineStr">
        <is>
          <t>Supreme Court</t>
        </is>
      </c>
      <c r="M917" s="2" t="inlineStr">
        <is>
          <t>AIR 2000 SC 2966; (2000) 4 CTC 60; (2000) 10 JT 61; (2000) 6 SCALE 262; (2000) 7 SCC 640; (2000) 3 SCR 82 Supp; (2000) 2 UJ 1502; (2000) AIRSCW 3157; (2000) 6 Supreme 114</t>
        </is>
      </c>
      <c r="N917" s="11" t="n">
        <v>2000</v>
      </c>
      <c r="O917" s="11" t="n"/>
      <c r="P917" s="11" t="n"/>
      <c r="Q917" s="11" t="n"/>
      <c r="R917" s="2" t="n"/>
      <c r="S917" s="2" t="n"/>
      <c r="T917" s="11" t="inlineStr">
        <is>
          <t>yes</t>
        </is>
      </c>
      <c r="U917" s="11" t="inlineStr"/>
      <c r="V917" s="11" t="inlineStr">
        <is>
          <t>outside_list</t>
        </is>
      </c>
      <c r="W917" s="11" t="n"/>
      <c r="X917" s="11" t="n"/>
      <c r="Y917" s="11" t="n"/>
      <c r="Z917" s="11" t="inlineStr">
        <is>
          <t>Mr. Advocate</t>
        </is>
      </c>
      <c r="AA917" s="11" t="inlineStr">
        <is>
          <t>2026-10-07</t>
        </is>
      </c>
      <c r="AB917" s="11" t="inlineStr">
        <is>
          <t>name_year</t>
        </is>
      </c>
      <c r="AC917" s="2" t="inlineStr"/>
      <c r="AD917" s="2" t="inlineStr">
        <is>
          <t>Navinchandra N. Majithia v. State of Maharashtra and Others (1999) was reversed on appeal by the Supreme Court in Navinchandra N. Majithia v. State of Maharashtra and Others (2000).</t>
        </is>
      </c>
      <c r="AE917" s="2" t="n"/>
      <c r="AF917" s="11" t="inlineStr">
        <is>
          <t>created from list 1</t>
        </is>
      </c>
    </row>
    <row r="918">
      <c r="A918" s="11" t="inlineStr">
        <is>
          <t>L1-0917</t>
        </is>
      </c>
      <c r="B918" s="11" t="inlineStr">
        <is>
          <t>List 1 (to ~2015)</t>
        </is>
      </c>
      <c r="C918" s="11" t="inlineStr">
        <is>
          <t>list1</t>
        </is>
      </c>
      <c r="D918" s="11" t="inlineStr">
        <is>
          <t>verified</t>
        </is>
      </c>
      <c r="E918" s="11" t="inlineStr">
        <is>
          <t>reversed_on_appeal</t>
        </is>
      </c>
      <c r="F918" s="2" t="inlineStr">
        <is>
          <t>Sayed Ismail v. Imambee and Others</t>
        </is>
      </c>
      <c r="G918" s="11" t="inlineStr"/>
      <c r="H918" s="11" t="inlineStr">
        <is>
          <t>unknown</t>
        </is>
      </c>
      <c r="I918" s="2" t="inlineStr"/>
      <c r="J918" s="11" t="n"/>
      <c r="K918" s="2" t="inlineStr">
        <is>
          <t>Ahmedsaheb (D) by L.Rs. and Others v. Sayed Ismail</t>
        </is>
      </c>
      <c r="L918" s="11" t="inlineStr">
        <is>
          <t>Supreme Court</t>
        </is>
      </c>
      <c r="M918" s="2" t="inlineStr">
        <is>
          <t>AIR 2012 SC 3320; (2012) 6 JT 581; (2012) 4 RCR(Civil) 468; (2012) 2 RCR(Rent) 283; (2012) 6 SCALE 505; (2012) 8 SCC 516; (2012) AIRSCW 4287</t>
        </is>
      </c>
      <c r="N918" s="11" t="n">
        <v>2012</v>
      </c>
      <c r="O918" s="11" t="n"/>
      <c r="P918" s="11" t="n"/>
      <c r="Q918" s="11" t="n"/>
      <c r="R918" s="2" t="n"/>
      <c r="S918" s="2" t="n"/>
      <c r="T918" s="11" t="inlineStr">
        <is>
          <t>yes</t>
        </is>
      </c>
      <c r="U918" s="11" t="inlineStr">
        <is>
          <t>no_citation_or_year_for_overruled, needs_citation_or_year</t>
        </is>
      </c>
      <c r="V918" s="11" t="inlineStr">
        <is>
          <t>outside_list</t>
        </is>
      </c>
      <c r="W918" s="11" t="n"/>
      <c r="X918" s="11" t="n"/>
      <c r="Y918" s="11" t="n"/>
      <c r="Z918" s="11" t="inlineStr">
        <is>
          <t>Mr. Advocate</t>
        </is>
      </c>
      <c r="AA918" s="11" t="inlineStr">
        <is>
          <t>2026-10-07</t>
        </is>
      </c>
      <c r="AB918" s="11" t="inlineStr">
        <is>
          <t>weak</t>
        </is>
      </c>
      <c r="AC918" s="2" t="inlineStr"/>
      <c r="AD918" s="2" t="inlineStr">
        <is>
          <t>Sayed Ismail v. Imambee and Others was reversed on appeal by the Supreme Court in Ahmedsaheb (D) by L.Rs. and Others v. Sayed Ismail (2012).</t>
        </is>
      </c>
      <c r="AE918" s="2" t="n"/>
      <c r="AF918" s="11" t="inlineStr">
        <is>
          <t>created from list 1</t>
        </is>
      </c>
    </row>
    <row r="919">
      <c r="A919" s="11" t="inlineStr">
        <is>
          <t>L1-0918</t>
        </is>
      </c>
      <c r="B919" s="11" t="inlineStr">
        <is>
          <t>List 1 (to ~2015)</t>
        </is>
      </c>
      <c r="C919" s="11" t="inlineStr">
        <is>
          <t>list1</t>
        </is>
      </c>
      <c r="D919" s="11" t="inlineStr">
        <is>
          <t>verified</t>
        </is>
      </c>
      <c r="E919" s="11" t="inlineStr">
        <is>
          <t>overruled</t>
        </is>
      </c>
      <c r="F919" s="2" t="inlineStr">
        <is>
          <t>Nanoo Sheikh Ahmed v. Emperor</t>
        </is>
      </c>
      <c r="G919" s="11" t="inlineStr"/>
      <c r="H919" s="11" t="inlineStr">
        <is>
          <t>Bombay</t>
        </is>
      </c>
      <c r="I919" s="2" t="inlineStr">
        <is>
          <t>AIR 1927 Bom 4; (1927) ILR (Bom) 78</t>
        </is>
      </c>
      <c r="J919" s="11" t="n">
        <v>1927</v>
      </c>
      <c r="K919" s="2" t="inlineStr">
        <is>
          <t>Raj Kumar Karwal v. Union of India and others</t>
        </is>
      </c>
      <c r="L919" s="11" t="inlineStr">
        <is>
          <t>Supreme Court</t>
        </is>
      </c>
      <c r="M919" s="2" t="inlineStr">
        <is>
          <t>AIR 1991 SC 45; (1991) CriLJ 97; (1990) 2 Crimes 435; (1990) 48 ELT 496; (1990) 1 JT 503; (1990) 1 SCALE 509; (1990) 2 SCC 409; (1990) 2 SCR 63; (1990) 2 UJ 373</t>
        </is>
      </c>
      <c r="N919" s="11" t="n">
        <v>1991</v>
      </c>
      <c r="O919" s="11" t="n"/>
      <c r="P919" s="11" t="n"/>
      <c r="Q919" s="11" t="n"/>
      <c r="R919" s="2" t="n"/>
      <c r="S919" s="2" t="n"/>
      <c r="T919" s="11" t="inlineStr"/>
      <c r="U919" s="11" t="inlineStr"/>
      <c r="V919" s="11" t="inlineStr">
        <is>
          <t>outside_list</t>
        </is>
      </c>
      <c r="W919" s="11" t="n"/>
      <c r="X919" s="11" t="n"/>
      <c r="Y919" s="11" t="n"/>
      <c r="Z919" s="11" t="inlineStr">
        <is>
          <t>Mr. Advocate</t>
        </is>
      </c>
      <c r="AA919" s="11" t="inlineStr">
        <is>
          <t>2026-10-07</t>
        </is>
      </c>
      <c r="AB919" s="11" t="inlineStr">
        <is>
          <t>name_year</t>
        </is>
      </c>
      <c r="AC919" s="2" t="inlineStr">
        <is>
          <t>D2-KARWAL: overruled by Tofan Singh v. State of Tamil Nadu (2020)</t>
        </is>
      </c>
      <c r="AD919" s="2" t="inlineStr">
        <is>
          <t>Nanoo Sheikh Ahmed v. Emperor (1927) was overruled by Raj Kumar Karwal v. Union of India and others (1991). Note: Raj Kumar Karwal v. Union of India and others was itself later overruled by Tofan Singh v. State of Tamil Nadu (2020); the current position should be checked.</t>
        </is>
      </c>
      <c r="AE919" s="2" t="n"/>
      <c r="AF919" s="11" t="inlineStr">
        <is>
          <t>created from list 1</t>
        </is>
      </c>
    </row>
    <row r="920">
      <c r="A920" s="11" t="inlineStr">
        <is>
          <t>L1-0919</t>
        </is>
      </c>
      <c r="B920" s="11" t="inlineStr">
        <is>
          <t>List 1 (to ~2015)</t>
        </is>
      </c>
      <c r="C920" s="11" t="inlineStr">
        <is>
          <t>list1</t>
        </is>
      </c>
      <c r="D920" s="11" t="inlineStr">
        <is>
          <t>verified</t>
        </is>
      </c>
      <c r="E920" s="11" t="inlineStr">
        <is>
          <t>reversed_on_appeal</t>
        </is>
      </c>
      <c r="F920" s="2" t="inlineStr">
        <is>
          <t>Ajay Pandit @ Jagdish Dayabhai Patel v. The State of Maharashtra</t>
        </is>
      </c>
      <c r="G920" s="11" t="inlineStr"/>
      <c r="H920" s="11" t="inlineStr">
        <is>
          <t>unknown</t>
        </is>
      </c>
      <c r="I920" s="2" t="inlineStr"/>
      <c r="J920" s="11" t="n"/>
      <c r="K920" s="2" t="inlineStr">
        <is>
          <t>Ajay Pandit @ Jagdish Dayabhai Patel and Another v. State of Maharashtra</t>
        </is>
      </c>
      <c r="L920" s="11" t="inlineStr">
        <is>
          <t>Supreme Court</t>
        </is>
      </c>
      <c r="M920" s="2" t="inlineStr">
        <is>
          <t>AIR 2012 SC 3422; (2012) CriLJ 3909; (2012) 3 Crimes 137; (2012) 3 JCC 2255; (2012) 6 JT 437; (2012) 6 SCALE 464; (2012) 8 SCC 43; (2012) AIRSCW 4062; (2012) 4 Supreme 572</t>
        </is>
      </c>
      <c r="N920" s="11" t="n">
        <v>2012</v>
      </c>
      <c r="O920" s="11" t="n"/>
      <c r="P920" s="11" t="n"/>
      <c r="Q920" s="11" t="n"/>
      <c r="R920" s="2" t="n"/>
      <c r="S920" s="2" t="n"/>
      <c r="T920" s="11" t="inlineStr">
        <is>
          <t>yes</t>
        </is>
      </c>
      <c r="U920" s="11" t="inlineStr">
        <is>
          <t>no_citation_or_year_for_overruled, needs_citation_or_year</t>
        </is>
      </c>
      <c r="V920" s="11" t="inlineStr">
        <is>
          <t>outside_list</t>
        </is>
      </c>
      <c r="W920" s="11" t="n"/>
      <c r="X920" s="11" t="n"/>
      <c r="Y920" s="11" t="n"/>
      <c r="Z920" s="11" t="inlineStr">
        <is>
          <t>Mr. Advocate</t>
        </is>
      </c>
      <c r="AA920" s="11" t="inlineStr">
        <is>
          <t>2026-10-07</t>
        </is>
      </c>
      <c r="AB920" s="11" t="inlineStr">
        <is>
          <t>weak</t>
        </is>
      </c>
      <c r="AC920" s="2" t="inlineStr"/>
      <c r="AD920" s="2" t="inlineStr">
        <is>
          <t>Ajay Pandit @ Jagdish Dayabhai Patel v. The State of Maharashtra was reversed on appeal by the Supreme Court in Ajay Pandit @ Jagdish Dayabhai Patel and Another v. State of Maharashtra (2012).</t>
        </is>
      </c>
      <c r="AE920" s="2" t="n"/>
      <c r="AF920" s="11" t="inlineStr">
        <is>
          <t>created from list 1</t>
        </is>
      </c>
    </row>
    <row r="921">
      <c r="A921" s="11" t="inlineStr">
        <is>
          <t>L1-0920</t>
        </is>
      </c>
      <c r="B921" s="11" t="inlineStr">
        <is>
          <t>List 1 (to ~2015)</t>
        </is>
      </c>
      <c r="C921" s="11" t="inlineStr">
        <is>
          <t>list1</t>
        </is>
      </c>
      <c r="D921" s="11" t="inlineStr">
        <is>
          <t>verified</t>
        </is>
      </c>
      <c r="E921" s="11" t="inlineStr">
        <is>
          <t>overruled</t>
        </is>
      </c>
      <c r="F921" s="2" t="inlineStr">
        <is>
          <t>The Administrator v. Mr. Gulabhia M. Lad.</t>
        </is>
      </c>
      <c r="G921" s="11" t="inlineStr"/>
      <c r="H921" s="11" t="inlineStr">
        <is>
          <t>unknown</t>
        </is>
      </c>
      <c r="I921" s="2" t="inlineStr"/>
      <c r="J921" s="11" t="n"/>
      <c r="K921" s="2" t="inlineStr">
        <is>
          <t>The Administrator, Union Territory of Dadra and Nagar Haveli v. Gulabhia M. Lad</t>
        </is>
      </c>
      <c r="L921" s="11" t="inlineStr">
        <is>
          <t>Supreme Court</t>
        </is>
      </c>
      <c r="M921" s="2" t="inlineStr">
        <is>
          <t>(2010) 125 FLR 880; (2010) 4 LLJ 12; (2010) 4 SCALE 454; (2010) 5 SCC 775; (2010) 3 SLJ 28; (2010) 4 SLR 747</t>
        </is>
      </c>
      <c r="N921" s="11" t="n">
        <v>2010</v>
      </c>
      <c r="O921" s="11" t="n"/>
      <c r="P921" s="11" t="n"/>
      <c r="Q921" s="11" t="n"/>
      <c r="R921" s="2" t="n"/>
      <c r="S921" s="2" t="n"/>
      <c r="T921" s="11" t="inlineStr"/>
      <c r="U921" s="11" t="inlineStr">
        <is>
          <t>no_citation_or_year_for_overruled, needs_citation_or_year</t>
        </is>
      </c>
      <c r="V921" s="11" t="inlineStr">
        <is>
          <t>outside_list</t>
        </is>
      </c>
      <c r="W921" s="11" t="n"/>
      <c r="X921" s="11" t="n"/>
      <c r="Y921" s="11" t="n"/>
      <c r="Z921" s="11" t="inlineStr">
        <is>
          <t>Mr. Advocate</t>
        </is>
      </c>
      <c r="AA921" s="11" t="inlineStr">
        <is>
          <t>2026-10-07</t>
        </is>
      </c>
      <c r="AB921" s="11" t="inlineStr">
        <is>
          <t>weak</t>
        </is>
      </c>
      <c r="AC921" s="2" t="inlineStr"/>
      <c r="AD921" s="2" t="inlineStr">
        <is>
          <t>The Administrator v. Mr. Gulabhia M. Lad. was overruled by The Administrator, Union Territory of Dadra and Nagar Haveli v. Gulabhia M. Lad (2010).</t>
        </is>
      </c>
      <c r="AE921" s="2" t="n"/>
      <c r="AF921" s="11" t="inlineStr">
        <is>
          <t>created from list 1</t>
        </is>
      </c>
    </row>
    <row r="922">
      <c r="A922" s="11" t="inlineStr">
        <is>
          <t>L1-0921</t>
        </is>
      </c>
      <c r="B922" s="11" t="inlineStr">
        <is>
          <t>List 1 (to ~2015)</t>
        </is>
      </c>
      <c r="C922" s="11" t="inlineStr">
        <is>
          <t>list1</t>
        </is>
      </c>
      <c r="D922" s="11" t="inlineStr">
        <is>
          <t>verified</t>
        </is>
      </c>
      <c r="E922" s="11" t="inlineStr">
        <is>
          <t>overruled</t>
        </is>
      </c>
      <c r="F922" s="2" t="inlineStr">
        <is>
          <t>Godrej Industries Ltd. v. Asstt. Collector of C. Ex.</t>
        </is>
      </c>
      <c r="G922" s="11" t="inlineStr"/>
      <c r="H922" s="11" t="inlineStr">
        <is>
          <t>unknown</t>
        </is>
      </c>
      <c r="I922" s="2" t="inlineStr">
        <is>
          <t>(2003) 161 ELT 68</t>
        </is>
      </c>
      <c r="J922" s="11" t="n">
        <v>2003</v>
      </c>
      <c r="K922" s="2" t="inlineStr">
        <is>
          <t>Godrej Industries Ltd. v. D.G. Ahire Assistant Collector of Central Excise and Another</t>
        </is>
      </c>
      <c r="L922" s="11" t="inlineStr">
        <is>
          <t>unknown</t>
        </is>
      </c>
      <c r="M922" s="2" t="inlineStr">
        <is>
          <t>(2008) 131 ECC 39; (2008) 157 ECR 39; (2008) 228 ELT 321; (2008) 7 JT 628; (2008) 10 SCALE 152; (2008) 8 SCC 600; (2009) AIRSCW 512; (2008) AIRSCW 1165; (2008) 1 Supreme 699</t>
        </is>
      </c>
      <c r="N922" s="11" t="n">
        <v>2008</v>
      </c>
      <c r="O922" s="11" t="n"/>
      <c r="P922" s="11" t="n"/>
      <c r="Q922" s="11" t="n"/>
      <c r="R922" s="2" t="n"/>
      <c r="S922" s="2" t="n"/>
      <c r="T922" s="11" t="inlineStr"/>
      <c r="U922" s="11" t="inlineStr"/>
      <c r="V922" s="11" t="inlineStr">
        <is>
          <t>outside_list</t>
        </is>
      </c>
      <c r="W922" s="11" t="n"/>
      <c r="X922" s="11" t="n"/>
      <c r="Y922" s="11" t="n"/>
      <c r="Z922" s="11" t="inlineStr">
        <is>
          <t>Mr. Advocate</t>
        </is>
      </c>
      <c r="AA922" s="11" t="inlineStr">
        <is>
          <t>2026-10-07</t>
        </is>
      </c>
      <c r="AB922" s="11" t="inlineStr">
        <is>
          <t>name_year</t>
        </is>
      </c>
      <c r="AC922" s="2" t="inlineStr"/>
      <c r="AD922" s="2" t="inlineStr">
        <is>
          <t>Godrej Industries Ltd. v. Asstt. Collector of C. Ex. (2003) was overruled by Godrej Industries Ltd. v. D.G. Ahire Assistant Collector of Central Excise and Another (2008).</t>
        </is>
      </c>
      <c r="AE922" s="2" t="n"/>
      <c r="AF922" s="11" t="inlineStr">
        <is>
          <t>created from list 1</t>
        </is>
      </c>
    </row>
    <row r="923">
      <c r="A923" s="11" t="inlineStr">
        <is>
          <t>L1-0922</t>
        </is>
      </c>
      <c r="B923" s="11" t="inlineStr">
        <is>
          <t>List 1 (to ~2015)</t>
        </is>
      </c>
      <c r="C923" s="11" t="inlineStr">
        <is>
          <t>list1</t>
        </is>
      </c>
      <c r="D923" s="11" t="inlineStr">
        <is>
          <t>verified</t>
        </is>
      </c>
      <c r="E923" s="11" t="inlineStr">
        <is>
          <t>reversed_on_appeal</t>
        </is>
      </c>
      <c r="F923" s="2" t="inlineStr">
        <is>
          <t>Vodafone International Holdings B.V. v. Union of India (UOI) and Another</t>
        </is>
      </c>
      <c r="G923" s="11" t="inlineStr"/>
      <c r="H923" s="11" t="inlineStr">
        <is>
          <t>unknown</t>
        </is>
      </c>
      <c r="I923" s="2" t="inlineStr">
        <is>
          <t>(2010) 112 BOMLR 3792; (2010) 235 CTR 15; (2010) 329 ITR 126; (2010) 193 TAXMAN 100</t>
        </is>
      </c>
      <c r="J923" s="11" t="n">
        <v>2010</v>
      </c>
      <c r="K923" s="2" t="inlineStr">
        <is>
          <t>Vodafone International Holdings B.V. v. Union of India (UOI) and Another</t>
        </is>
      </c>
      <c r="L923" s="11" t="inlineStr">
        <is>
          <t>Supreme Court</t>
        </is>
      </c>
      <c r="M923" s="2" t="inlineStr">
        <is>
          <t>(2012) 107 CLA 63; (2012) 170 CompCas 369; (2012) 1 CompLJ 225; (2012) 247 CTR 1; (2012) 341 ITR 1; (2012) 1 JT 410; (2012) 1 SCALE 530; (2012) 6 SCC 613; (2012) 204 TAXMAN 408; (2012) 1 UJ 334</t>
        </is>
      </c>
      <c r="N923" s="11" t="n">
        <v>2012</v>
      </c>
      <c r="O923" s="11" t="n"/>
      <c r="P923" s="11" t="n"/>
      <c r="Q923" s="11" t="n"/>
      <c r="R923" s="2" t="n"/>
      <c r="S923" s="2" t="n"/>
      <c r="T923" s="11" t="inlineStr">
        <is>
          <t>yes</t>
        </is>
      </c>
      <c r="U923" s="11" t="inlineStr"/>
      <c r="V923" s="11" t="inlineStr">
        <is>
          <t>outside_list</t>
        </is>
      </c>
      <c r="W923" s="11" t="n"/>
      <c r="X923" s="11" t="n"/>
      <c r="Y923" s="11" t="n"/>
      <c r="Z923" s="11" t="inlineStr">
        <is>
          <t>Mr. Advocate</t>
        </is>
      </c>
      <c r="AA923" s="11" t="inlineStr">
        <is>
          <t>2026-10-07</t>
        </is>
      </c>
      <c r="AB923" s="11" t="inlineStr">
        <is>
          <t>name_year</t>
        </is>
      </c>
      <c r="AC923" s="2" t="inlineStr"/>
      <c r="AD923" s="2" t="inlineStr">
        <is>
          <t>Vodafone International Holdings B.V. v. Union of India (UOI) and Another (2010) was reversed on appeal by the Supreme Court in Vodafone International Holdings B.V. v. Union of India (UOI) and Another (2012).</t>
        </is>
      </c>
      <c r="AE923" s="2" t="n"/>
      <c r="AF923" s="11" t="inlineStr">
        <is>
          <t>created from list 1</t>
        </is>
      </c>
    </row>
    <row r="924">
      <c r="A924" s="11" t="inlineStr">
        <is>
          <t>L1-0923</t>
        </is>
      </c>
      <c r="B924" s="11" t="inlineStr">
        <is>
          <t>List 1 (to ~2015)</t>
        </is>
      </c>
      <c r="C924" s="11" t="inlineStr">
        <is>
          <t>list1</t>
        </is>
      </c>
      <c r="D924" s="11" t="inlineStr">
        <is>
          <t>verified</t>
        </is>
      </c>
      <c r="E924" s="11" t="inlineStr">
        <is>
          <t>overruled</t>
        </is>
      </c>
      <c r="F924" s="2" t="inlineStr">
        <is>
          <t>State v. Pandurang Tatyasaheb Shinde</t>
        </is>
      </c>
      <c r="G924" s="11" t="inlineStr"/>
      <c r="H924" s="11" t="inlineStr">
        <is>
          <t>Bombay</t>
        </is>
      </c>
      <c r="I924" s="2" t="inlineStr">
        <is>
          <t>AIR 1956 Bom 711; (1956) CriLJ 1306</t>
        </is>
      </c>
      <c r="J924" s="11" t="n">
        <v>1956</v>
      </c>
      <c r="K924" s="2" t="inlineStr">
        <is>
          <t>Palaniappa Gounder v. State of Tamil Nadu and Others</t>
        </is>
      </c>
      <c r="L924" s="11" t="inlineStr">
        <is>
          <t>Supreme Court</t>
        </is>
      </c>
      <c r="M924" s="2" t="inlineStr">
        <is>
          <t>AIR 1977 SC 1323; (1977) CriLJ 992; (1977) 2 SCC 634; (1977) 3 SCR 132; (1977) 9 UJ 339</t>
        </is>
      </c>
      <c r="N924" s="11" t="n">
        <v>1977</v>
      </c>
      <c r="O924" s="11" t="n"/>
      <c r="P924" s="11" t="n"/>
      <c r="Q924" s="11" t="n"/>
      <c r="R924" s="2" t="n"/>
      <c r="S924" s="2" t="n"/>
      <c r="T924" s="11" t="inlineStr"/>
      <c r="U924" s="11" t="inlineStr"/>
      <c r="V924" s="11" t="inlineStr">
        <is>
          <t>outside_list</t>
        </is>
      </c>
      <c r="W924" s="11" t="n"/>
      <c r="X924" s="11" t="n"/>
      <c r="Y924" s="11" t="n"/>
      <c r="Z924" s="11" t="inlineStr">
        <is>
          <t>Mr. Advocate</t>
        </is>
      </c>
      <c r="AA924" s="11" t="inlineStr">
        <is>
          <t>2026-10-07</t>
        </is>
      </c>
      <c r="AB924" s="11" t="inlineStr">
        <is>
          <t>name_year</t>
        </is>
      </c>
      <c r="AC924" s="2" t="inlineStr"/>
      <c r="AD924" s="2" t="inlineStr">
        <is>
          <t>State v. Pandurang Tatyasaheb Shinde (1956) was overruled by Palaniappa Gounder v. State of Tamil Nadu and Others (1977).</t>
        </is>
      </c>
      <c r="AE924" s="2" t="n"/>
      <c r="AF924" s="11" t="inlineStr">
        <is>
          <t>created from list 1</t>
        </is>
      </c>
    </row>
    <row r="925">
      <c r="A925" s="11" t="inlineStr">
        <is>
          <t>L1-0924</t>
        </is>
      </c>
      <c r="B925" s="11" t="inlineStr">
        <is>
          <t>List 1 (to ~2015)</t>
        </is>
      </c>
      <c r="C925" s="11" t="inlineStr">
        <is>
          <t>list1</t>
        </is>
      </c>
      <c r="D925" s="11" t="inlineStr">
        <is>
          <t>verified</t>
        </is>
      </c>
      <c r="E925" s="11" t="inlineStr">
        <is>
          <t>overruled</t>
        </is>
      </c>
      <c r="F925" s="2" t="inlineStr">
        <is>
          <t>Maharashtra State Road Transport Corporation v. State Transport Appellate Tribunal and Others</t>
        </is>
      </c>
      <c r="G925" s="11" t="inlineStr"/>
      <c r="H925" s="11" t="inlineStr">
        <is>
          <t>Bombay</t>
        </is>
      </c>
      <c r="I925" s="2" t="inlineStr">
        <is>
          <t>AIR 1987 Bom 100; (1986) 2 BomCR 486; (1987) 89 BOMLR 23; (1986) MhLj 626</t>
        </is>
      </c>
      <c r="J925" s="11" t="n">
        <v>1987</v>
      </c>
      <c r="K925" s="2" t="inlineStr">
        <is>
          <t>Achyut Shivram Gokhale v. Regional Transport Officer and Others</t>
        </is>
      </c>
      <c r="L925" s="11" t="inlineStr">
        <is>
          <t>Supreme Court</t>
        </is>
      </c>
      <c r="M925" s="2" t="inlineStr">
        <is>
          <t>AIR 1988 SC 2047; (1988) 3 JT 375; (1988) 2 SCALE 342; (1988) 2 SCR 448 Supp; (1988) 2 UJ 721</t>
        </is>
      </c>
      <c r="N925" s="11" t="n">
        <v>1988</v>
      </c>
      <c r="O925" s="11" t="n"/>
      <c r="P925" s="11" t="n"/>
      <c r="Q925" s="11" t="n"/>
      <c r="R925" s="2" t="n"/>
      <c r="S925" s="2" t="n"/>
      <c r="T925" s="11" t="inlineStr"/>
      <c r="U925" s="11" t="inlineStr"/>
      <c r="V925" s="11" t="inlineStr">
        <is>
          <t>outside_list</t>
        </is>
      </c>
      <c r="W925" s="11" t="n"/>
      <c r="X925" s="11" t="n"/>
      <c r="Y925" s="11" t="n"/>
      <c r="Z925" s="11" t="inlineStr">
        <is>
          <t>Mr. Advocate</t>
        </is>
      </c>
      <c r="AA925" s="11" t="inlineStr">
        <is>
          <t>2026-10-07</t>
        </is>
      </c>
      <c r="AB925" s="11" t="inlineStr">
        <is>
          <t>name_year</t>
        </is>
      </c>
      <c r="AC925" s="2" t="inlineStr"/>
      <c r="AD925" s="2" t="inlineStr">
        <is>
          <t>Maharashtra State Road Transport Corporation v. State Transport Appellate Tribunal and Others (1987) was overruled by Achyut Shivram Gokhale v. Regional Transport Officer and Others (1988).</t>
        </is>
      </c>
      <c r="AE925" s="2" t="n"/>
      <c r="AF925" s="11" t="inlineStr">
        <is>
          <t>created from list 1</t>
        </is>
      </c>
    </row>
    <row r="926">
      <c r="A926" s="11" t="inlineStr">
        <is>
          <t>L1-0925</t>
        </is>
      </c>
      <c r="B926" s="11" t="inlineStr">
        <is>
          <t>List 1 (to ~2015)</t>
        </is>
      </c>
      <c r="C926" s="11" t="inlineStr">
        <is>
          <t>list1</t>
        </is>
      </c>
      <c r="D926" s="11" t="inlineStr">
        <is>
          <t>verified</t>
        </is>
      </c>
      <c r="E926" s="11" t="inlineStr">
        <is>
          <t>reversed_on_appeal</t>
        </is>
      </c>
      <c r="F926" s="2" t="inlineStr">
        <is>
          <t>Cable Corporation of India v. Additional Commissioner of Labour and Others</t>
        </is>
      </c>
      <c r="G926" s="11" t="inlineStr"/>
      <c r="H926" s="11" t="inlineStr">
        <is>
          <t>unknown</t>
        </is>
      </c>
      <c r="I926" s="2" t="inlineStr">
        <is>
          <t>(2005) 106 FLR 1011; (2005) 3 LLJ 691</t>
        </is>
      </c>
      <c r="J926" s="11" t="n">
        <v>2005</v>
      </c>
      <c r="K926" s="2" t="inlineStr">
        <is>
          <t>Cable Corporation of India Ltd. v. Additional Commissioner of Labour and Others</t>
        </is>
      </c>
      <c r="L926" s="11" t="inlineStr">
        <is>
          <t>Supreme Court</t>
        </is>
      </c>
      <c r="M926" s="2" t="inlineStr">
        <is>
          <t>AIR 2008 SC 2386; (2008) 3 CLT 684; (2008) 118 FLR 748; (2008) 7 JT 327; (2008) 2 LLJ 1057; (2008) 9 SCALE 305; (2008) 7 SCC 680; (2008) AIRSCW 3953</t>
        </is>
      </c>
      <c r="N926" s="11" t="n">
        <v>2008</v>
      </c>
      <c r="O926" s="11" t="n"/>
      <c r="P926" s="11" t="n"/>
      <c r="Q926" s="11" t="n"/>
      <c r="R926" s="2" t="n"/>
      <c r="S926" s="2" t="n"/>
      <c r="T926" s="11" t="inlineStr">
        <is>
          <t>yes</t>
        </is>
      </c>
      <c r="U926" s="11" t="inlineStr"/>
      <c r="V926" s="11" t="inlineStr">
        <is>
          <t>outside_list</t>
        </is>
      </c>
      <c r="W926" s="11" t="n"/>
      <c r="X926" s="11" t="n"/>
      <c r="Y926" s="11" t="n"/>
      <c r="Z926" s="11" t="inlineStr">
        <is>
          <t>Mr. Advocate</t>
        </is>
      </c>
      <c r="AA926" s="11" t="inlineStr">
        <is>
          <t>2026-10-07</t>
        </is>
      </c>
      <c r="AB926" s="11" t="inlineStr">
        <is>
          <t>name_year</t>
        </is>
      </c>
      <c r="AC926" s="2" t="inlineStr"/>
      <c r="AD926" s="2" t="inlineStr">
        <is>
          <t>Cable Corporation of India v. Additional Commissioner of Labour and Others (2005) was reversed on appeal by the Supreme Court in Cable Corporation of India Ltd. v. Additional Commissioner of Labour and Others (2008).</t>
        </is>
      </c>
      <c r="AE926" s="2" t="n"/>
      <c r="AF926" s="11" t="inlineStr">
        <is>
          <t>created from list 1</t>
        </is>
      </c>
    </row>
    <row r="927">
      <c r="A927" s="11" t="inlineStr">
        <is>
          <t>L1-0926</t>
        </is>
      </c>
      <c r="B927" s="11" t="inlineStr">
        <is>
          <t>List 1 (to ~2015)</t>
        </is>
      </c>
      <c r="C927" s="11" t="inlineStr">
        <is>
          <t>list1</t>
        </is>
      </c>
      <c r="D927" s="11" t="inlineStr">
        <is>
          <t>verified</t>
        </is>
      </c>
      <c r="E927" s="11" t="inlineStr">
        <is>
          <t>reversed_on_appeal</t>
        </is>
      </c>
      <c r="F927" s="2" t="inlineStr">
        <is>
          <t>UBS AG v. State Bank of Patiala</t>
        </is>
      </c>
      <c r="G927" s="11" t="inlineStr"/>
      <c r="H927" s="11" t="inlineStr">
        <is>
          <t>Bombay</t>
        </is>
      </c>
      <c r="I927" s="2" t="inlineStr">
        <is>
          <t>AIR 2006 Bom 73; (2005) 4 ALLMR 990; (2006) 3 BC 254; (2006) 1 BomCR 62; (2005) 107 BOMLR 815</t>
        </is>
      </c>
      <c r="J927" s="11" t="n">
        <v>2006</v>
      </c>
      <c r="K927" s="2" t="inlineStr">
        <is>
          <t>UBS AG v. State Bank of Patiala</t>
        </is>
      </c>
      <c r="L927" s="11" t="inlineStr">
        <is>
          <t>Supreme Court</t>
        </is>
      </c>
      <c r="M927" s="2" t="inlineStr">
        <is>
          <t>AIR 2006 SC 2250; (2006) 3 BC 188; (2006) 131 CompCas 399; (2006) 3 CTC 600; (2006) 11 JT 155; (2006) 5 SCALE 492; (2006) 5 SCC 416; (2006) 3 SCR 239 Supp; (2006) AIRSCW 2731; (2006) AIRSCW 1672; (2006) 3 Supreme 37; (2006) 5 Supreme 503</t>
        </is>
      </c>
      <c r="N927" s="11" t="n">
        <v>2006</v>
      </c>
      <c r="O927" s="11" t="n"/>
      <c r="P927" s="11" t="n"/>
      <c r="Q927" s="11" t="n"/>
      <c r="R927" s="2" t="n"/>
      <c r="S927" s="2" t="n"/>
      <c r="T927" s="11" t="inlineStr">
        <is>
          <t>yes</t>
        </is>
      </c>
      <c r="U927" s="11" t="inlineStr"/>
      <c r="V927" s="11" t="inlineStr">
        <is>
          <t>outside_list</t>
        </is>
      </c>
      <c r="W927" s="11" t="n"/>
      <c r="X927" s="11" t="n"/>
      <c r="Y927" s="11" t="n"/>
      <c r="Z927" s="11" t="inlineStr">
        <is>
          <t>Mr. Advocate</t>
        </is>
      </c>
      <c r="AA927" s="11" t="inlineStr">
        <is>
          <t>2026-10-07</t>
        </is>
      </c>
      <c r="AB927" s="11" t="inlineStr">
        <is>
          <t>name_year</t>
        </is>
      </c>
      <c r="AC927" s="2" t="inlineStr"/>
      <c r="AD927" s="2" t="inlineStr">
        <is>
          <t>UBS AG v. State Bank of Patiala (2006) was reversed on appeal by the Supreme Court in UBS AG v. State Bank of Patiala (2006).</t>
        </is>
      </c>
      <c r="AE927" s="2" t="n"/>
      <c r="AF927" s="11" t="inlineStr">
        <is>
          <t>created from list 1</t>
        </is>
      </c>
    </row>
    <row r="928">
      <c r="A928" s="11" t="inlineStr">
        <is>
          <t>L1-0927</t>
        </is>
      </c>
      <c r="B928" s="11" t="inlineStr">
        <is>
          <t>List 1 (to ~2015)</t>
        </is>
      </c>
      <c r="C928" s="11" t="inlineStr">
        <is>
          <t>list1</t>
        </is>
      </c>
      <c r="D928" s="11" t="inlineStr">
        <is>
          <t>verified</t>
        </is>
      </c>
      <c r="E928" s="11" t="inlineStr">
        <is>
          <t>reversed_on_appeal</t>
        </is>
      </c>
      <c r="F928" s="2" t="inlineStr">
        <is>
          <t>Yusuf Razak Dhanani v. Union of India (UOI)</t>
        </is>
      </c>
      <c r="G928" s="11" t="inlineStr"/>
      <c r="H928" s="11" t="inlineStr">
        <is>
          <t>unknown</t>
        </is>
      </c>
      <c r="I928" s="2" t="inlineStr">
        <is>
          <t>(2003) 153 ELT 522</t>
        </is>
      </c>
      <c r="J928" s="11" t="n">
        <v>2003</v>
      </c>
      <c r="K928" s="2" t="inlineStr">
        <is>
          <t>Union of India (UOI) and Another v. Yusuf Razak Dhanani and Others</t>
        </is>
      </c>
      <c r="L928" s="11" t="inlineStr">
        <is>
          <t>Supreme Court</t>
        </is>
      </c>
      <c r="M928" s="2" t="inlineStr">
        <is>
          <t>AIR 2003 SC 4578; (2003) CriLJ 4560; (2003) 89 ECC 465; (2003) 110 ECR 473; (2003) 157 ELT 241; (2003) 1 JT 306 Supp; (2003) 7 SCALE 289; (2003) 8 SCC 98; (2004) 1 UJ 33; (2003) AIRSCW 5359; (2003) 7 Supreme 110</t>
        </is>
      </c>
      <c r="N928" s="11" t="n">
        <v>2003</v>
      </c>
      <c r="O928" s="11" t="n"/>
      <c r="P928" s="11" t="n"/>
      <c r="Q928" s="11" t="n"/>
      <c r="R928" s="2" t="n"/>
      <c r="S928" s="2" t="n"/>
      <c r="T928" s="11" t="inlineStr">
        <is>
          <t>yes</t>
        </is>
      </c>
      <c r="U928" s="11" t="inlineStr"/>
      <c r="V928" s="11" t="inlineStr">
        <is>
          <t>outside_list</t>
        </is>
      </c>
      <c r="W928" s="11" t="n"/>
      <c r="X928" s="11" t="n"/>
      <c r="Y928" s="11" t="n"/>
      <c r="Z928" s="11" t="inlineStr">
        <is>
          <t>Mr. Advocate</t>
        </is>
      </c>
      <c r="AA928" s="11" t="inlineStr">
        <is>
          <t>2026-10-07</t>
        </is>
      </c>
      <c r="AB928" s="11" t="inlineStr">
        <is>
          <t>name_year</t>
        </is>
      </c>
      <c r="AC928" s="2" t="inlineStr"/>
      <c r="AD928" s="2" t="inlineStr">
        <is>
          <t>Yusuf Razak Dhanani v. Union of India (UOI) (2003) was reversed on appeal by the Supreme Court in Union of India (UOI) and Another v. Yusuf Razak Dhanani and Others (2003).</t>
        </is>
      </c>
      <c r="AE928" s="2" t="n"/>
      <c r="AF928" s="11" t="inlineStr">
        <is>
          <t>created from list 1</t>
        </is>
      </c>
    </row>
    <row r="929">
      <c r="A929" s="11" t="inlineStr">
        <is>
          <t>L1-0928</t>
        </is>
      </c>
      <c r="B929" s="11" t="inlineStr">
        <is>
          <t>List 1 (to ~2015)</t>
        </is>
      </c>
      <c r="C929" s="11" t="inlineStr">
        <is>
          <t>list1</t>
        </is>
      </c>
      <c r="D929" s="11" t="inlineStr">
        <is>
          <t>verified</t>
        </is>
      </c>
      <c r="E929" s="11" t="inlineStr">
        <is>
          <t>overruled</t>
        </is>
      </c>
      <c r="F929" s="2" t="inlineStr">
        <is>
          <t>Laya Binaykumar Pandey v. Medical Council of India and Others</t>
        </is>
      </c>
      <c r="G929" s="11" t="inlineStr"/>
      <c r="H929" s="11" t="inlineStr">
        <is>
          <t>unknown</t>
        </is>
      </c>
      <c r="I929" s="2" t="inlineStr">
        <is>
          <t>(2006) 6 MhLj 438</t>
        </is>
      </c>
      <c r="J929" s="11" t="n">
        <v>2006</v>
      </c>
      <c r="K929" s="2" t="inlineStr">
        <is>
          <t>Maharashtra University of Health Sciences represented by Deputy Registrar v. Paryani Mukesh Jawaharlal and Others</t>
        </is>
      </c>
      <c r="L929" s="11" t="inlineStr">
        <is>
          <t>Supreme Court</t>
        </is>
      </c>
      <c r="M929" s="2" t="inlineStr">
        <is>
          <t>AIR 2007 SC 2264; (2007) 9 JT 127; (2007) 8 SCALE 529; (2007) 10 SCC 201; (2007) 7 SCR 891; (2007) AIRSCW 3946</t>
        </is>
      </c>
      <c r="N929" s="11" t="n">
        <v>2007</v>
      </c>
      <c r="O929" s="11" t="n"/>
      <c r="P929" s="11" t="n"/>
      <c r="Q929" s="11" t="n"/>
      <c r="R929" s="2" t="n"/>
      <c r="S929" s="2" t="n"/>
      <c r="T929" s="11" t="inlineStr"/>
      <c r="U929" s="11" t="inlineStr"/>
      <c r="V929" s="11" t="inlineStr">
        <is>
          <t>outside_list</t>
        </is>
      </c>
      <c r="W929" s="11" t="n"/>
      <c r="X929" s="11" t="n"/>
      <c r="Y929" s="11" t="n"/>
      <c r="Z929" s="11" t="inlineStr">
        <is>
          <t>Mr. Advocate</t>
        </is>
      </c>
      <c r="AA929" s="11" t="inlineStr">
        <is>
          <t>2026-10-07</t>
        </is>
      </c>
      <c r="AB929" s="11" t="inlineStr">
        <is>
          <t>name_year</t>
        </is>
      </c>
      <c r="AC929" s="2" t="inlineStr"/>
      <c r="AD929" s="2" t="inlineStr">
        <is>
          <t>Laya Binaykumar Pandey v. Medical Council of India and Others (2006) was overruled by Maharashtra University of Health Sciences represented by Deputy Registrar v. Paryani Mukesh Jawaharlal and Others (2007).</t>
        </is>
      </c>
      <c r="AE929" s="2" t="n"/>
      <c r="AF929" s="11" t="inlineStr">
        <is>
          <t>created from list 1</t>
        </is>
      </c>
    </row>
    <row r="930">
      <c r="A930" s="11" t="inlineStr">
        <is>
          <t>L1-0929</t>
        </is>
      </c>
      <c r="B930" s="11" t="inlineStr">
        <is>
          <t>List 1 (to ~2015)</t>
        </is>
      </c>
      <c r="C930" s="11" t="inlineStr">
        <is>
          <t>list1</t>
        </is>
      </c>
      <c r="D930" s="11" t="inlineStr">
        <is>
          <t>verified</t>
        </is>
      </c>
      <c r="E930" s="11" t="inlineStr">
        <is>
          <t>overruled</t>
        </is>
      </c>
      <c r="F930" s="2" t="inlineStr">
        <is>
          <t>Bombay Environmental Action Group and Shyam H.K. Chainani v. The State of Maharashtra and Others</t>
        </is>
      </c>
      <c r="G930" s="11" t="inlineStr"/>
      <c r="H930" s="11" t="inlineStr">
        <is>
          <t>unknown</t>
        </is>
      </c>
      <c r="I930" s="2" t="inlineStr">
        <is>
          <t>(2005) 6 BomCR 574; (2005) 107 BOMLR 337; (2006) 4 CompLJ 117</t>
        </is>
      </c>
      <c r="J930" s="11" t="n">
        <v>2005</v>
      </c>
      <c r="K930" s="2" t="inlineStr">
        <is>
          <t>Bombay Dyeing and Mfg. Co. Ltd. v. Bombay Environmental Action Group and Others</t>
        </is>
      </c>
      <c r="L930" s="11" t="inlineStr">
        <is>
          <t>Supreme Court</t>
        </is>
      </c>
      <c r="M930" s="2" t="inlineStr">
        <is>
          <t>AIR 2006 SC 1489; (2006) 4 CompLJ 4; (2006) 3 JT 235; (2006) 3 SCALE 1; (2006) 3 SCC 434; (2006) 67 SCL 107; (2006) AIRSCW 1392; (2006) 3 Supreme 49</t>
        </is>
      </c>
      <c r="N930" s="11" t="n">
        <v>2006</v>
      </c>
      <c r="O930" s="11" t="n"/>
      <c r="P930" s="11" t="n"/>
      <c r="Q930" s="11" t="n"/>
      <c r="R930" s="2" t="n"/>
      <c r="S930" s="2" t="n"/>
      <c r="T930" s="11" t="inlineStr"/>
      <c r="U930" s="11" t="inlineStr"/>
      <c r="V930" s="11" t="inlineStr">
        <is>
          <t>outside_list</t>
        </is>
      </c>
      <c r="W930" s="11" t="n"/>
      <c r="X930" s="11" t="n"/>
      <c r="Y930" s="11" t="n"/>
      <c r="Z930" s="11" t="inlineStr">
        <is>
          <t>Mr. Advocate</t>
        </is>
      </c>
      <c r="AA930" s="11" t="inlineStr">
        <is>
          <t>2026-10-07</t>
        </is>
      </c>
      <c r="AB930" s="11" t="inlineStr">
        <is>
          <t>name_year</t>
        </is>
      </c>
      <c r="AC930" s="2" t="inlineStr"/>
      <c r="AD930" s="2" t="inlineStr">
        <is>
          <t>Bombay Environmental Action Group and Shyam H.K. Chainani v. The State of Maharashtra and Others (2005) was overruled by Bombay Dyeing and Mfg. Co. Ltd. v. Bombay Environmental Action Group and Others (2006).</t>
        </is>
      </c>
      <c r="AE930" s="2" t="n"/>
      <c r="AF930" s="11" t="inlineStr">
        <is>
          <t>created from list 1</t>
        </is>
      </c>
    </row>
    <row r="931">
      <c r="A931" s="11" t="inlineStr">
        <is>
          <t>L1-0930</t>
        </is>
      </c>
      <c r="B931" s="11" t="inlineStr">
        <is>
          <t>List 1 (to ~2015)</t>
        </is>
      </c>
      <c r="C931" s="11" t="inlineStr">
        <is>
          <t>list1</t>
        </is>
      </c>
      <c r="D931" s="11" t="inlineStr">
        <is>
          <t>verified</t>
        </is>
      </c>
      <c r="E931" s="11" t="inlineStr">
        <is>
          <t>overruled</t>
        </is>
      </c>
      <c r="F931" s="2" t="inlineStr">
        <is>
          <t>Commissioner of Income Tax v. Shirke Construction Equipments Ltd.</t>
        </is>
      </c>
      <c r="G931" s="11" t="inlineStr"/>
      <c r="H931" s="11" t="inlineStr">
        <is>
          <t>unknown</t>
        </is>
      </c>
      <c r="I931" s="2" t="inlineStr">
        <is>
          <t>(2000) 246 ITR 429</t>
        </is>
      </c>
      <c r="J931" s="11" t="n">
        <v>2000</v>
      </c>
      <c r="K931" s="2" t="inlineStr">
        <is>
          <t>A.M. Moosa v. Commissioner of Income Tax, Trivandrum</t>
        </is>
      </c>
      <c r="L931" s="11" t="inlineStr">
        <is>
          <t>Supreme Court</t>
        </is>
      </c>
      <c r="M931" s="2" t="inlineStr">
        <is>
          <t>(2007) 212 CTR 89; (2007) 294 ITR 1; (2007) 11 JT 102; (2007) 11 SCALE 31; (2007) 9 SCR 831; (2007) 163 TAXMAN 741</t>
        </is>
      </c>
      <c r="N931" s="11" t="n">
        <v>2007</v>
      </c>
      <c r="O931" s="11" t="n"/>
      <c r="P931" s="11" t="n"/>
      <c r="Q931" s="11" t="n"/>
      <c r="R931" s="2" t="n"/>
      <c r="S931" s="2" t="n"/>
      <c r="T931" s="11" t="inlineStr"/>
      <c r="U931" s="11" t="inlineStr"/>
      <c r="V931" s="11" t="inlineStr">
        <is>
          <t>outside_list</t>
        </is>
      </c>
      <c r="W931" s="11" t="n"/>
      <c r="X931" s="11" t="n"/>
      <c r="Y931" s="11" t="n"/>
      <c r="Z931" s="11" t="inlineStr">
        <is>
          <t>Mr. Advocate</t>
        </is>
      </c>
      <c r="AA931" s="11" t="inlineStr">
        <is>
          <t>2026-10-07</t>
        </is>
      </c>
      <c r="AB931" s="11" t="inlineStr">
        <is>
          <t>name_year</t>
        </is>
      </c>
      <c r="AC931" s="2" t="inlineStr"/>
      <c r="AD931" s="2" t="inlineStr">
        <is>
          <t>Commissioner of Income Tax v. Shirke Construction Equipments Ltd. (2000) was overruled by A.M. Moosa v. Commissioner of Income Tax, Trivandrum (2007).</t>
        </is>
      </c>
      <c r="AE931" s="2" t="n"/>
      <c r="AF931" s="11" t="inlineStr">
        <is>
          <t>created from list 1</t>
        </is>
      </c>
    </row>
    <row r="932">
      <c r="A932" s="11" t="inlineStr">
        <is>
          <t>L1-0931</t>
        </is>
      </c>
      <c r="B932" s="11" t="inlineStr">
        <is>
          <t>List 1 (to ~2015)</t>
        </is>
      </c>
      <c r="C932" s="11" t="inlineStr">
        <is>
          <t>list1</t>
        </is>
      </c>
      <c r="D932" s="11" t="inlineStr">
        <is>
          <t>verified</t>
        </is>
      </c>
      <c r="E932" s="11" t="inlineStr">
        <is>
          <t>overruled</t>
        </is>
      </c>
      <c r="F932" s="2" t="inlineStr">
        <is>
          <t>Andhra Pradesh Paper Mills Ltd. v. The State of Maharashtra and The Conservator of Forest</t>
        </is>
      </c>
      <c r="G932" s="11" t="inlineStr"/>
      <c r="H932" s="11" t="inlineStr">
        <is>
          <t>unknown</t>
        </is>
      </c>
      <c r="I932" s="2" t="inlineStr">
        <is>
          <t>(2003) 4 MhLj 760</t>
        </is>
      </c>
      <c r="J932" s="11" t="n">
        <v>2003</v>
      </c>
      <c r="K932" s="2" t="inlineStr">
        <is>
          <t>State of Maharashtra and Others v. A.P. Paper Mills Ltd.</t>
        </is>
      </c>
      <c r="L932" s="11" t="inlineStr">
        <is>
          <t>Supreme Court</t>
        </is>
      </c>
      <c r="M932" s="2" t="inlineStr">
        <is>
          <t>AIR 2006 SC 1788; (2006) 2 BC 245; (2006) 2 CTC 619; (2006) 1 CTLJ 284; (2006) 4 JT 271; (2006) 4 SCALE 28; (2006) 4 SCC 209; (2006) 1 UJ 409; (2006) AIRSCW 2037; (2006) 3 Supreme 309</t>
        </is>
      </c>
      <c r="N932" s="11" t="n">
        <v>2006</v>
      </c>
      <c r="O932" s="11" t="n"/>
      <c r="P932" s="11" t="n"/>
      <c r="Q932" s="11" t="n"/>
      <c r="R932" s="2" t="n"/>
      <c r="S932" s="2" t="n"/>
      <c r="T932" s="11" t="inlineStr"/>
      <c r="U932" s="11" t="inlineStr"/>
      <c r="V932" s="11" t="inlineStr">
        <is>
          <t>outside_list</t>
        </is>
      </c>
      <c r="W932" s="11" t="n"/>
      <c r="X932" s="11" t="n"/>
      <c r="Y932" s="11" t="n"/>
      <c r="Z932" s="11" t="inlineStr">
        <is>
          <t>Mr. Advocate</t>
        </is>
      </c>
      <c r="AA932" s="11" t="inlineStr">
        <is>
          <t>2026-10-07</t>
        </is>
      </c>
      <c r="AB932" s="11" t="inlineStr">
        <is>
          <t>name_year</t>
        </is>
      </c>
      <c r="AC932" s="2" t="inlineStr"/>
      <c r="AD932" s="2" t="inlineStr">
        <is>
          <t>Andhra Pradesh Paper Mills Ltd. v. The State of Maharashtra and The Conservator of Forest (2003) was overruled by State of Maharashtra and Others v. A.P. Paper Mills Ltd. (2006).</t>
        </is>
      </c>
      <c r="AE932" s="2" t="n"/>
      <c r="AF932" s="11" t="inlineStr">
        <is>
          <t>created from list 1</t>
        </is>
      </c>
    </row>
    <row r="933">
      <c r="A933" s="11" t="inlineStr">
        <is>
          <t>L1-0932</t>
        </is>
      </c>
      <c r="B933" s="11" t="inlineStr">
        <is>
          <t>List 1 (to ~2015)</t>
        </is>
      </c>
      <c r="C933" s="11" t="inlineStr">
        <is>
          <t>list1</t>
        </is>
      </c>
      <c r="D933" s="11" t="inlineStr">
        <is>
          <t>verified</t>
        </is>
      </c>
      <c r="E933" s="11" t="inlineStr">
        <is>
          <t>reversed_on_appeal</t>
        </is>
      </c>
      <c r="F933" s="2" t="inlineStr">
        <is>
          <t>Oriental Insurance Co. Ltd. v. Chimajirao Kanhojirao Shirke and Another</t>
        </is>
      </c>
      <c r="G933" s="11" t="inlineStr"/>
      <c r="H933" s="11" t="inlineStr">
        <is>
          <t>unknown</t>
        </is>
      </c>
      <c r="I933" s="2" t="inlineStr">
        <is>
          <t>(1992) ACJ 452</t>
        </is>
      </c>
      <c r="J933" s="11" t="n">
        <v>1992</v>
      </c>
      <c r="K933" s="2" t="inlineStr">
        <is>
          <t>Chimajirao Kanhojirao Shirke and Another v. Oriental Fire and General Insurance Co. Ltd.</t>
        </is>
      </c>
      <c r="L933" s="11" t="inlineStr">
        <is>
          <t>Supreme Court</t>
        </is>
      </c>
      <c r="M933" s="2" t="inlineStr">
        <is>
          <t>(2001) ACJ 8; AIR 2000 SC 2532; (2000) 102 CompCas 9; (2000) 8 JT 354; (2000) 126 PLR 490; (2000) 5 SCALE 345; (2000) 6 SCC 622; (2000) 1 SCR 696 Supp; (2000) 2 UJ 1219; (2000) AIRSCW 2759; (2000) 5 Supreme 334</t>
        </is>
      </c>
      <c r="N933" s="11" t="n">
        <v>2000</v>
      </c>
      <c r="O933" s="11" t="n"/>
      <c r="P933" s="11" t="n"/>
      <c r="Q933" s="11" t="n"/>
      <c r="R933" s="2" t="n"/>
      <c r="S933" s="2" t="n"/>
      <c r="T933" s="11" t="inlineStr">
        <is>
          <t>yes</t>
        </is>
      </c>
      <c r="U933" s="11" t="inlineStr"/>
      <c r="V933" s="11" t="inlineStr">
        <is>
          <t>outside_list</t>
        </is>
      </c>
      <c r="W933" s="11" t="n"/>
      <c r="X933" s="11" t="n"/>
      <c r="Y933" s="11" t="n"/>
      <c r="Z933" s="11" t="inlineStr">
        <is>
          <t>Mr. Advocate</t>
        </is>
      </c>
      <c r="AA933" s="11" t="inlineStr">
        <is>
          <t>2026-10-07</t>
        </is>
      </c>
      <c r="AB933" s="11" t="inlineStr">
        <is>
          <t>name_year</t>
        </is>
      </c>
      <c r="AC933" s="2" t="inlineStr"/>
      <c r="AD933" s="2" t="inlineStr">
        <is>
          <t>Oriental Insurance Co. Ltd. v. Chimajirao Kanhojirao Shirke and Another (1992) was reversed on appeal by the Supreme Court in Chimajirao Kanhojirao Shirke and Another v. Oriental Fire and General Insurance Co. Ltd. (2000).</t>
        </is>
      </c>
      <c r="AE933" s="2" t="n"/>
      <c r="AF933" s="11" t="inlineStr">
        <is>
          <t>created from list 1</t>
        </is>
      </c>
    </row>
    <row r="934">
      <c r="A934" s="11" t="inlineStr">
        <is>
          <t>L1-0933</t>
        </is>
      </c>
      <c r="B934" s="11" t="inlineStr">
        <is>
          <t>List 1 (to ~2015)</t>
        </is>
      </c>
      <c r="C934" s="11" t="inlineStr">
        <is>
          <t>list1</t>
        </is>
      </c>
      <c r="D934" s="11" t="inlineStr">
        <is>
          <t>verified</t>
        </is>
      </c>
      <c r="E934" s="11" t="inlineStr">
        <is>
          <t>overruled</t>
        </is>
      </c>
      <c r="F934" s="2" t="inlineStr">
        <is>
          <t>Vasant Tatoba Hargude and Others v. Dikkaya Muttaya Pujari</t>
        </is>
      </c>
      <c r="G934" s="11" t="inlineStr"/>
      <c r="H934" s="11" t="inlineStr">
        <is>
          <t>Bombay</t>
        </is>
      </c>
      <c r="I934" s="2" t="inlineStr">
        <is>
          <t>AIR 1980 Bom 341; (1980) MhLj 229</t>
        </is>
      </c>
      <c r="J934" s="11" t="n">
        <v>1980</v>
      </c>
      <c r="K934" s="2" t="inlineStr">
        <is>
          <t>S.J. Pande v. P.K. Balakrishnan</t>
        </is>
      </c>
      <c r="L934" s="11" t="inlineStr">
        <is>
          <t>Supreme Court</t>
        </is>
      </c>
      <c r="M934" s="2" t="inlineStr">
        <is>
          <t>AIR 1993 SC 2132; (1993) 3 JT 364; (1993) 2 SCALE 726; (1993) 3 SCC 297</t>
        </is>
      </c>
      <c r="N934" s="11" t="n">
        <v>1993</v>
      </c>
      <c r="O934" s="11" t="n"/>
      <c r="P934" s="11" t="n"/>
      <c r="Q934" s="11" t="n"/>
      <c r="R934" s="2" t="n"/>
      <c r="S934" s="2" t="n"/>
      <c r="T934" s="11" t="inlineStr"/>
      <c r="U934" s="11" t="inlineStr"/>
      <c r="V934" s="11" t="inlineStr">
        <is>
          <t>outside_list</t>
        </is>
      </c>
      <c r="W934" s="11" t="n"/>
      <c r="X934" s="11" t="n"/>
      <c r="Y934" s="11" t="n"/>
      <c r="Z934" s="11" t="inlineStr">
        <is>
          <t>Mr. Advocate</t>
        </is>
      </c>
      <c r="AA934" s="11" t="inlineStr">
        <is>
          <t>2026-10-07</t>
        </is>
      </c>
      <c r="AB934" s="11" t="inlineStr">
        <is>
          <t>name_year</t>
        </is>
      </c>
      <c r="AC934" s="2" t="inlineStr"/>
      <c r="AD934" s="2" t="inlineStr">
        <is>
          <t>Vasant Tatoba Hargude and Others v. Dikkaya Muttaya Pujari (1980) was overruled by S.J. Pande v. P.K. Balakrishnan (1993).</t>
        </is>
      </c>
      <c r="AE934" s="2" t="n"/>
      <c r="AF934" s="11" t="inlineStr">
        <is>
          <t>created from list 1</t>
        </is>
      </c>
    </row>
    <row r="935">
      <c r="A935" s="11" t="inlineStr">
        <is>
          <t>L1-0934</t>
        </is>
      </c>
      <c r="B935" s="11" t="inlineStr">
        <is>
          <t>List 1 (to ~2015)</t>
        </is>
      </c>
      <c r="C935" s="11" t="inlineStr">
        <is>
          <t>list1</t>
        </is>
      </c>
      <c r="D935" s="11" t="inlineStr">
        <is>
          <t>verified</t>
        </is>
      </c>
      <c r="E935" s="11" t="inlineStr">
        <is>
          <t>overruled</t>
        </is>
      </c>
      <c r="F935" s="2" t="inlineStr">
        <is>
          <t>Vinayak Ramchandra Sakhalkar and v. D. Ramchandran, Commissioner of Police and Others</t>
        </is>
      </c>
      <c r="G935" s="11" t="inlineStr"/>
      <c r="H935" s="11" t="inlineStr">
        <is>
          <t>unknown</t>
        </is>
      </c>
      <c r="I935" s="2" t="inlineStr">
        <is>
          <t>(1985) CriLJ 1257</t>
        </is>
      </c>
      <c r="J935" s="11" t="n">
        <v>1985</v>
      </c>
      <c r="K935" s="2" t="inlineStr">
        <is>
          <t>State of Manipur and Others v. Sanasam Ongbi and Another</t>
        </is>
      </c>
      <c r="L935" s="11" t="inlineStr">
        <is>
          <t>Supreme Court</t>
        </is>
      </c>
      <c r="M935" s="2" t="inlineStr">
        <is>
          <t>AIR 1999 SC 3862; (2000) CriLJ 23; (1999) 3 Crimes 202; (1999) 3 CTC 608; (1999) 8 JT 228; (1999) 6 SCALE 554; (1999) 8 SCC 250; (1999) 3 SCR 641 Supp; (1999) AIRSCW 3941; (1999) 8 Supreme 595</t>
        </is>
      </c>
      <c r="N935" s="11" t="n">
        <v>1999</v>
      </c>
      <c r="O935" s="11" t="n"/>
      <c r="P935" s="11" t="n"/>
      <c r="Q935" s="11" t="n"/>
      <c r="R935" s="2" t="n"/>
      <c r="S935" s="2" t="n"/>
      <c r="T935" s="11" t="inlineStr"/>
      <c r="U935" s="11" t="inlineStr"/>
      <c r="V935" s="11" t="inlineStr">
        <is>
          <t>outside_list</t>
        </is>
      </c>
      <c r="W935" s="11" t="n"/>
      <c r="X935" s="11" t="n"/>
      <c r="Y935" s="11" t="n"/>
      <c r="Z935" s="11" t="inlineStr">
        <is>
          <t>Mr. Advocate</t>
        </is>
      </c>
      <c r="AA935" s="11" t="inlineStr">
        <is>
          <t>2026-10-07</t>
        </is>
      </c>
      <c r="AB935" s="11" t="inlineStr">
        <is>
          <t>name_year</t>
        </is>
      </c>
      <c r="AC935" s="2" t="inlineStr"/>
      <c r="AD935" s="2" t="inlineStr">
        <is>
          <t>Vinayak Ramchandra Sakhalkar and v. D. Ramchandran, Commissioner of Police and Others (1985) was overruled by State of Manipur and Others v. Sanasam Ongbi and Another (1999).</t>
        </is>
      </c>
      <c r="AE935" s="2" t="n"/>
      <c r="AF935" s="11" t="inlineStr">
        <is>
          <t>created from list 1</t>
        </is>
      </c>
    </row>
    <row r="936">
      <c r="A936" s="11" t="inlineStr">
        <is>
          <t>L1-0935</t>
        </is>
      </c>
      <c r="B936" s="11" t="inlineStr">
        <is>
          <t>List 1 (to ~2015)</t>
        </is>
      </c>
      <c r="C936" s="11" t="inlineStr">
        <is>
          <t>list1</t>
        </is>
      </c>
      <c r="D936" s="11" t="inlineStr">
        <is>
          <t>verified</t>
        </is>
      </c>
      <c r="E936" s="11" t="inlineStr">
        <is>
          <t>reversed_on_appeal</t>
        </is>
      </c>
      <c r="F936" s="2" t="inlineStr">
        <is>
          <t>Mula Sahakari Sakhar Karkhana Ltd. v. State Bank of India (Dombivli Industrial Estate Branch) and The State Bank of India</t>
        </is>
      </c>
      <c r="G936" s="11" t="inlineStr"/>
      <c r="H936" s="11" t="inlineStr">
        <is>
          <t>Bombay</t>
        </is>
      </c>
      <c r="I936" s="2" t="inlineStr">
        <is>
          <t>AIR 2005 Bom 385; (2005) 4 ALLMR 875; (2005) 6 BomCR 55; (2006) 2 CTLJ 105; (2005) 4 MhLj 629</t>
        </is>
      </c>
      <c r="J936" s="11" t="n">
        <v>2005</v>
      </c>
      <c r="K936" s="2" t="inlineStr">
        <is>
          <t>State Bank of India and Another v. Mula Sahakari Sakhar Karkhana Ltd.</t>
        </is>
      </c>
      <c r="L936" s="11" t="inlineStr">
        <is>
          <t>Supreme Court</t>
        </is>
      </c>
      <c r="M936" s="2" t="inlineStr">
        <is>
          <t>AIR 2007 SC 2361; (2006) 132 CompCas 565; (2006) 2 CTLJ 1; (2006) 6 JT 152; (2006) 6 SCALE 600; (2006) 6 SCC 293; (2006) 3 SCR 320 Supp; (2007) AIRSCW 4182; (2006) 5 Supreme 865</t>
        </is>
      </c>
      <c r="N936" s="11" t="n">
        <v>2007</v>
      </c>
      <c r="O936" s="11" t="n"/>
      <c r="P936" s="11" t="n"/>
      <c r="Q936" s="11" t="n"/>
      <c r="R936" s="2" t="n"/>
      <c r="S936" s="2" t="n"/>
      <c r="T936" s="11" t="inlineStr">
        <is>
          <t>yes</t>
        </is>
      </c>
      <c r="U936" s="11" t="inlineStr"/>
      <c r="V936" s="11" t="inlineStr">
        <is>
          <t>outside_list</t>
        </is>
      </c>
      <c r="W936" s="11" t="n"/>
      <c r="X936" s="11" t="n"/>
      <c r="Y936" s="11" t="n"/>
      <c r="Z936" s="11" t="inlineStr">
        <is>
          <t>Mr. Advocate</t>
        </is>
      </c>
      <c r="AA936" s="11" t="inlineStr">
        <is>
          <t>2026-10-07</t>
        </is>
      </c>
      <c r="AB936" s="11" t="inlineStr">
        <is>
          <t>name_year</t>
        </is>
      </c>
      <c r="AC936" s="2" t="inlineStr"/>
      <c r="AD936" s="2" t="inlineStr">
        <is>
          <t>Mula Sahakari Sakhar Karkhana Ltd. v. State Bank of India (Dombivli Industrial Estate Branch) and The State Bank of India (2005) was reversed on appeal by the Supreme Court in State Bank of India and Another v. Mula Sahakari Sakhar Karkhana Ltd. (2007).</t>
        </is>
      </c>
      <c r="AE936" s="2" t="n"/>
      <c r="AF936" s="11" t="inlineStr">
        <is>
          <t>created from list 1</t>
        </is>
      </c>
    </row>
    <row r="937">
      <c r="A937" s="11" t="inlineStr">
        <is>
          <t>L1-0936</t>
        </is>
      </c>
      <c r="B937" s="11" t="inlineStr">
        <is>
          <t>List 1 (to ~2015)</t>
        </is>
      </c>
      <c r="C937" s="11" t="inlineStr">
        <is>
          <t>list1</t>
        </is>
      </c>
      <c r="D937" s="11" t="inlineStr">
        <is>
          <t>verified</t>
        </is>
      </c>
      <c r="E937" s="11" t="inlineStr">
        <is>
          <t>overruled</t>
        </is>
      </c>
      <c r="F937" s="2" t="inlineStr">
        <is>
          <t>Sarang Chobe v. The State of Maharashtra and others</t>
        </is>
      </c>
      <c r="G937" s="11" t="inlineStr"/>
      <c r="H937" s="11" t="inlineStr">
        <is>
          <t>Bombay</t>
        </is>
      </c>
      <c r="I937" s="2" t="inlineStr">
        <is>
          <t>AIR 1999 Bom 407; (2000) 1 BomCR 286</t>
        </is>
      </c>
      <c r="J937" s="11" t="n">
        <v>1999</v>
      </c>
      <c r="K937" s="2" t="inlineStr">
        <is>
          <t>Medical Council of India v. Sarang and Others</t>
        </is>
      </c>
      <c r="L937" s="11" t="inlineStr">
        <is>
          <t>unknown</t>
        </is>
      </c>
      <c r="M937" s="2" t="inlineStr">
        <is>
          <t>(2001) 7 AD 93; (2001) 7 JT 103; (2001) 5 SCALE 542; (2001) 8 SCC 427; (2001) 4 SCT 332; (2002) 1 UJ 50; (2001) AIRSCW 3350; (2001) 6 Supreme 521</t>
        </is>
      </c>
      <c r="N937" s="11" t="n">
        <v>2001</v>
      </c>
      <c r="O937" s="11" t="n"/>
      <c r="P937" s="11" t="n"/>
      <c r="Q937" s="11" t="n"/>
      <c r="R937" s="2" t="n"/>
      <c r="S937" s="2" t="n"/>
      <c r="T937" s="11" t="inlineStr"/>
      <c r="U937" s="11" t="inlineStr"/>
      <c r="V937" s="11" t="inlineStr">
        <is>
          <t>outside_list</t>
        </is>
      </c>
      <c r="W937" s="11" t="n"/>
      <c r="X937" s="11" t="n"/>
      <c r="Y937" s="11" t="n"/>
      <c r="Z937" s="11" t="inlineStr">
        <is>
          <t>Mr. Advocate</t>
        </is>
      </c>
      <c r="AA937" s="11" t="inlineStr">
        <is>
          <t>2026-10-07</t>
        </is>
      </c>
      <c r="AB937" s="11" t="inlineStr">
        <is>
          <t>name_year</t>
        </is>
      </c>
      <c r="AC937" s="2" t="inlineStr"/>
      <c r="AD937" s="2" t="inlineStr">
        <is>
          <t>Sarang Chobe v. The State of Maharashtra and others (1999) was overruled by Medical Council of India v. Sarang and Others (2001).</t>
        </is>
      </c>
      <c r="AE937" s="2" t="n"/>
      <c r="AF937" s="11" t="inlineStr">
        <is>
          <t>created from list 1</t>
        </is>
      </c>
    </row>
    <row r="938">
      <c r="A938" s="11" t="inlineStr">
        <is>
          <t>L1-0937</t>
        </is>
      </c>
      <c r="B938" s="11" t="inlineStr">
        <is>
          <t>List 1 (to ~2015)</t>
        </is>
      </c>
      <c r="C938" s="11" t="inlineStr">
        <is>
          <t>list1</t>
        </is>
      </c>
      <c r="D938" s="11" t="inlineStr">
        <is>
          <t>verified</t>
        </is>
      </c>
      <c r="E938" s="11" t="inlineStr">
        <is>
          <t>reversed_on_appeal</t>
        </is>
      </c>
      <c r="F938" s="2" t="inlineStr">
        <is>
          <t>Kirloskar Oil Engines Ltd. v. Union of India</t>
        </is>
      </c>
      <c r="G938" s="11" t="inlineStr"/>
      <c r="H938" s="11" t="inlineStr">
        <is>
          <t>unknown</t>
        </is>
      </c>
      <c r="I938" s="2" t="inlineStr">
        <is>
          <t>(1991) 51 ELT 334</t>
        </is>
      </c>
      <c r="J938" s="11" t="n">
        <v>1991</v>
      </c>
      <c r="K938" s="2" t="inlineStr">
        <is>
          <t>Kirloskar Oil Engines Ltd. v. Union of India (UOI) and Others</t>
        </is>
      </c>
      <c r="L938" s="11" t="inlineStr">
        <is>
          <t>Supreme Court</t>
        </is>
      </c>
      <c r="M938" s="2" t="inlineStr">
        <is>
          <t>(1995) 77 ELT 479; (1995) 4 JT 417; (1995) 3 SCALE 366; (1995) 3 SCC 559 Supp; (1995) 1 SCR 90 Supp</t>
        </is>
      </c>
      <c r="N938" s="11" t="n">
        <v>1995</v>
      </c>
      <c r="O938" s="11" t="n"/>
      <c r="P938" s="11" t="n"/>
      <c r="Q938" s="11" t="n"/>
      <c r="R938" s="2" t="n"/>
      <c r="S938" s="2" t="n"/>
      <c r="T938" s="11" t="inlineStr">
        <is>
          <t>yes</t>
        </is>
      </c>
      <c r="U938" s="11" t="inlineStr"/>
      <c r="V938" s="11" t="inlineStr">
        <is>
          <t>outside_list</t>
        </is>
      </c>
      <c r="W938" s="11" t="n"/>
      <c r="X938" s="11" t="n"/>
      <c r="Y938" s="11" t="n"/>
      <c r="Z938" s="11" t="inlineStr">
        <is>
          <t>Mr. Advocate</t>
        </is>
      </c>
      <c r="AA938" s="11" t="inlineStr">
        <is>
          <t>2026-10-07</t>
        </is>
      </c>
      <c r="AB938" s="11" t="inlineStr">
        <is>
          <t>name_year</t>
        </is>
      </c>
      <c r="AC938" s="2" t="inlineStr"/>
      <c r="AD938" s="2" t="inlineStr">
        <is>
          <t>Kirloskar Oil Engines Ltd. v. Union of India (1991) was reversed on appeal by the Supreme Court in Kirloskar Oil Engines Ltd. v. Union of India (UOI) and Others (1995).</t>
        </is>
      </c>
      <c r="AE938" s="2" t="n"/>
      <c r="AF938" s="11" t="inlineStr">
        <is>
          <t>created from list 1</t>
        </is>
      </c>
    </row>
    <row r="939">
      <c r="A939" s="11" t="inlineStr">
        <is>
          <t>L1-0938</t>
        </is>
      </c>
      <c r="B939" s="11" t="inlineStr">
        <is>
          <t>List 1 (to ~2015)</t>
        </is>
      </c>
      <c r="C939" s="11" t="inlineStr">
        <is>
          <t>list1</t>
        </is>
      </c>
      <c r="D939" s="11" t="inlineStr">
        <is>
          <t>verified</t>
        </is>
      </c>
      <c r="E939" s="11" t="inlineStr">
        <is>
          <t>overruled</t>
        </is>
      </c>
      <c r="F939" s="2" t="inlineStr">
        <is>
          <t>Ceat Limited (Electronics Division) v. Anand Aba Saheb Hawaldar and Others</t>
        </is>
      </c>
      <c r="G939" s="11" t="inlineStr"/>
      <c r="H939" s="11" t="inlineStr">
        <is>
          <t>unknown</t>
        </is>
      </c>
      <c r="I939" s="2" t="inlineStr">
        <is>
          <t>(2003) 3 ALLMR 828; (2004) 1 BomCR 451; (2003) 3 LLJ 268; (2003) 4 MhLj 752</t>
        </is>
      </c>
      <c r="J939" s="11" t="n">
        <v>2003</v>
      </c>
      <c r="K939" s="2" t="inlineStr">
        <is>
          <t>CEAT Ltd. v. Anand Abasaheb Hawaldar and Others</t>
        </is>
      </c>
      <c r="L939" s="11" t="inlineStr">
        <is>
          <t>Supreme Court</t>
        </is>
      </c>
      <c r="M939" s="2" t="inlineStr">
        <is>
          <t>AIR 2006 SC 1172; (2006) 108 FLR 1158; (2006) 2 JT 426; (2006) 1 LLJ 1096; (2006) 2 SCALE 352; (2006) 3 SCC 56; (2006) SCC(L&amp;S) 461; (2006) 2 SLJ 440; (2006) AIRSCW 923; (2006) 2 Supreme 134</t>
        </is>
      </c>
      <c r="N939" s="11" t="n">
        <v>2006</v>
      </c>
      <c r="O939" s="11" t="n"/>
      <c r="P939" s="11" t="n"/>
      <c r="Q939" s="11" t="n"/>
      <c r="R939" s="2" t="n"/>
      <c r="S939" s="2" t="n"/>
      <c r="T939" s="11" t="inlineStr"/>
      <c r="U939" s="11" t="inlineStr"/>
      <c r="V939" s="11" t="inlineStr">
        <is>
          <t>outside_list</t>
        </is>
      </c>
      <c r="W939" s="11" t="n"/>
      <c r="X939" s="11" t="n"/>
      <c r="Y939" s="11" t="n"/>
      <c r="Z939" s="11" t="inlineStr">
        <is>
          <t>Mr. Advocate</t>
        </is>
      </c>
      <c r="AA939" s="11" t="inlineStr">
        <is>
          <t>2026-10-07</t>
        </is>
      </c>
      <c r="AB939" s="11" t="inlineStr">
        <is>
          <t>name_year</t>
        </is>
      </c>
      <c r="AC939" s="2" t="inlineStr"/>
      <c r="AD939" s="2" t="inlineStr">
        <is>
          <t>Ceat Limited (Electronics Division) v. Anand Aba Saheb Hawaldar and Others (2003) was overruled by CEAT Ltd. v. Anand Abasaheb Hawaldar and Others (2006).</t>
        </is>
      </c>
      <c r="AE939" s="2" t="n"/>
      <c r="AF939" s="11" t="inlineStr">
        <is>
          <t>created from list 1</t>
        </is>
      </c>
    </row>
    <row r="940">
      <c r="A940" s="11" t="inlineStr">
        <is>
          <t>L1-0939</t>
        </is>
      </c>
      <c r="B940" s="11" t="inlineStr">
        <is>
          <t>List 1 (to ~2015)</t>
        </is>
      </c>
      <c r="C940" s="11" t="inlineStr">
        <is>
          <t>list1</t>
        </is>
      </c>
      <c r="D940" s="11" t="inlineStr">
        <is>
          <t>verified</t>
        </is>
      </c>
      <c r="E940" s="11" t="inlineStr">
        <is>
          <t>overruled</t>
        </is>
      </c>
      <c r="F940" s="2" t="inlineStr">
        <is>
          <t>Vaman Ganpatrao Trilokekar and Others v. Malati Ramchandra Raut and Others</t>
        </is>
      </c>
      <c r="G940" s="11" t="inlineStr"/>
      <c r="H940" s="11" t="inlineStr">
        <is>
          <t>Bombay</t>
        </is>
      </c>
      <c r="I940" s="2" t="inlineStr">
        <is>
          <t>AIR 1988 Bom 321; (1988) 2 BomCR 615; (1988) 90 BOMLR 45</t>
        </is>
      </c>
      <c r="J940" s="11" t="n">
        <v>1988</v>
      </c>
      <c r="K940" s="2" t="inlineStr">
        <is>
          <t>Mrs. Malati Ramchandra Raut and others v. Mahadevo Vasudeo Joshi and others</t>
        </is>
      </c>
      <c r="L940" s="11" t="inlineStr">
        <is>
          <t>Supreme Court</t>
        </is>
      </c>
      <c r="M940" s="2" t="inlineStr">
        <is>
          <t>AIR 1991 SC 700; (1991) 1 JT 19; (1990) 2 SCALE 1366; (1991) 1 SCC 312 Supp; (1990) 3 SCR 577 Supp; (1991) 1 UJ 492</t>
        </is>
      </c>
      <c r="N940" s="11" t="n">
        <v>1991</v>
      </c>
      <c r="O940" s="11" t="n"/>
      <c r="P940" s="11" t="n"/>
      <c r="Q940" s="11" t="n"/>
      <c r="R940" s="2" t="n"/>
      <c r="S940" s="2" t="n"/>
      <c r="T940" s="11" t="inlineStr"/>
      <c r="U940" s="11" t="inlineStr"/>
      <c r="V940" s="11" t="inlineStr">
        <is>
          <t>outside_list</t>
        </is>
      </c>
      <c r="W940" s="11" t="n"/>
      <c r="X940" s="11" t="n"/>
      <c r="Y940" s="11" t="n"/>
      <c r="Z940" s="11" t="inlineStr">
        <is>
          <t>Mr. Advocate</t>
        </is>
      </c>
      <c r="AA940" s="11" t="inlineStr">
        <is>
          <t>2026-10-07</t>
        </is>
      </c>
      <c r="AB940" s="11" t="inlineStr">
        <is>
          <t>name_year</t>
        </is>
      </c>
      <c r="AC940" s="2" t="inlineStr"/>
      <c r="AD940" s="2" t="inlineStr">
        <is>
          <t>Vaman Ganpatrao Trilokekar and Others v. Malati Ramchandra Raut and Others (1988) was overruled by Mrs. Malati Ramchandra Raut and others v. Mahadevo Vasudeo Joshi and others (1991).</t>
        </is>
      </c>
      <c r="AE940" s="2" t="n"/>
      <c r="AF940" s="11" t="inlineStr">
        <is>
          <t>created from list 1</t>
        </is>
      </c>
    </row>
    <row r="941">
      <c r="A941" s="11" t="inlineStr">
        <is>
          <t>L1-0940</t>
        </is>
      </c>
      <c r="B941" s="11" t="inlineStr">
        <is>
          <t>List 1 (to ~2015)</t>
        </is>
      </c>
      <c r="C941" s="11" t="inlineStr">
        <is>
          <t>list1</t>
        </is>
      </c>
      <c r="D941" s="11" t="inlineStr">
        <is>
          <t>verified</t>
        </is>
      </c>
      <c r="E941" s="11" t="inlineStr">
        <is>
          <t>overruled</t>
        </is>
      </c>
      <c r="F941" s="2" t="inlineStr">
        <is>
          <t>Yeshaswinee Merchant and Others v. Air India Ltd. and Others</t>
        </is>
      </c>
      <c r="G941" s="11" t="inlineStr"/>
      <c r="H941" s="11" t="inlineStr">
        <is>
          <t>unknown</t>
        </is>
      </c>
      <c r="I941" s="2" t="inlineStr">
        <is>
          <t>(2002) 3 MhLj 701; (2002) 1 MhLj 701</t>
        </is>
      </c>
      <c r="J941" s="11" t="n">
        <v>2002</v>
      </c>
      <c r="K941" s="2" t="inlineStr">
        <is>
          <t>Air India Cabin Crew Association v. Yeshawinee Merchant and Others</t>
        </is>
      </c>
      <c r="L941" s="11" t="inlineStr">
        <is>
          <t>Supreme Court</t>
        </is>
      </c>
      <c r="M941" s="2" t="inlineStr">
        <is>
          <t>AIR 2004 SC 187; (2003) 5 JT 413; (2003) 3 LLJ 1; (2003) 5 SCALE 208; (2003) 6 SCC 277; (2003) SCC(L&amp;S) 840; (2003) 1 SCR 455 Supp; (2003) 2 UJ 1358</t>
        </is>
      </c>
      <c r="N941" s="11" t="n">
        <v>2004</v>
      </c>
      <c r="O941" s="11" t="n"/>
      <c r="P941" s="11" t="n"/>
      <c r="Q941" s="11" t="n"/>
      <c r="R941" s="2" t="n"/>
      <c r="S941" s="2" t="n"/>
      <c r="T941" s="11" t="inlineStr"/>
      <c r="U941" s="11" t="inlineStr"/>
      <c r="V941" s="11" t="inlineStr">
        <is>
          <t>outside_list</t>
        </is>
      </c>
      <c r="W941" s="11" t="n"/>
      <c r="X941" s="11" t="n"/>
      <c r="Y941" s="11" t="n"/>
      <c r="Z941" s="11" t="inlineStr">
        <is>
          <t>Mr. Advocate</t>
        </is>
      </c>
      <c r="AA941" s="11" t="inlineStr">
        <is>
          <t>2026-10-07</t>
        </is>
      </c>
      <c r="AB941" s="11" t="inlineStr">
        <is>
          <t>name_year</t>
        </is>
      </c>
      <c r="AC941" s="2" t="inlineStr"/>
      <c r="AD941" s="2" t="inlineStr">
        <is>
          <t>Yeshaswinee Merchant and Others v. Air India Ltd. and Others (2002) was overruled by Air India Cabin Crew Association v. Yeshawinee Merchant and Others (2004).</t>
        </is>
      </c>
      <c r="AE941" s="2" t="n"/>
      <c r="AF941" s="11" t="inlineStr">
        <is>
          <t>created from list 1</t>
        </is>
      </c>
    </row>
    <row r="942">
      <c r="A942" s="11" t="inlineStr">
        <is>
          <t>L1-0941</t>
        </is>
      </c>
      <c r="B942" s="11" t="inlineStr">
        <is>
          <t>List 1 (to ~2015)</t>
        </is>
      </c>
      <c r="C942" s="11" t="inlineStr">
        <is>
          <t>list1</t>
        </is>
      </c>
      <c r="D942" s="11" t="inlineStr">
        <is>
          <t>verified</t>
        </is>
      </c>
      <c r="E942" s="11" t="inlineStr">
        <is>
          <t>overruled</t>
        </is>
      </c>
      <c r="F942" s="2" t="inlineStr">
        <is>
          <t>Municipal Corporation for Greater Bombay and Others v. Monopol Chemicals Pvt. Ltd.</t>
        </is>
      </c>
      <c r="G942" s="11" t="inlineStr"/>
      <c r="H942" s="11" t="inlineStr">
        <is>
          <t>Bombay</t>
        </is>
      </c>
      <c r="I942" s="2" t="inlineStr">
        <is>
          <t>AIR 1988 Bom 217; (1988) 3 BomCR 197</t>
        </is>
      </c>
      <c r="J942" s="11" t="n">
        <v>1988</v>
      </c>
      <c r="K942" s="2" t="inlineStr">
        <is>
          <t>M/s Forage and Co. (of Lushala) v. Municipal Corpn. of Greater Bombay and Others</t>
        </is>
      </c>
      <c r="L942" s="11" t="inlineStr">
        <is>
          <t>Supreme Court</t>
        </is>
      </c>
      <c r="M942" s="2" t="inlineStr">
        <is>
          <t>AIR 2000 SC 378; (1999) 9 JT 57; (1999) 7 SCALE 54; (1999) 8 SCC 577; (1999) 4 SCR 184 Supp; (1999) AIRSCW 4515; (1999) 9 Supreme 97</t>
        </is>
      </c>
      <c r="N942" s="11" t="n">
        <v>2000</v>
      </c>
      <c r="O942" s="11" t="n"/>
      <c r="P942" s="11" t="n"/>
      <c r="Q942" s="11" t="n"/>
      <c r="R942" s="2" t="n"/>
      <c r="S942" s="2" t="n"/>
      <c r="T942" s="11" t="inlineStr"/>
      <c r="U942" s="11" t="inlineStr"/>
      <c r="V942" s="11" t="inlineStr">
        <is>
          <t>outside_list</t>
        </is>
      </c>
      <c r="W942" s="11" t="n"/>
      <c r="X942" s="11" t="n"/>
      <c r="Y942" s="11" t="n"/>
      <c r="Z942" s="11" t="inlineStr">
        <is>
          <t>Mr. Advocate</t>
        </is>
      </c>
      <c r="AA942" s="11" t="inlineStr">
        <is>
          <t>2026-10-07</t>
        </is>
      </c>
      <c r="AB942" s="11" t="inlineStr">
        <is>
          <t>name_year</t>
        </is>
      </c>
      <c r="AC942" s="2" t="inlineStr"/>
      <c r="AD942" s="2" t="inlineStr">
        <is>
          <t>Municipal Corporation for Greater Bombay and Others v. Monopol Chemicals Pvt. Ltd. (1988) was overruled by M/s Forage and Co. (of Lushala) v. Municipal Corpn. of Greater Bombay and Others (2000).</t>
        </is>
      </c>
      <c r="AE942" s="2" t="n"/>
      <c r="AF942" s="11" t="inlineStr">
        <is>
          <t>created from list 1</t>
        </is>
      </c>
    </row>
    <row r="943">
      <c r="A943" s="11" t="inlineStr">
        <is>
          <t>L1-0942</t>
        </is>
      </c>
      <c r="B943" s="11" t="inlineStr">
        <is>
          <t>List 1 (to ~2015)</t>
        </is>
      </c>
      <c r="C943" s="11" t="inlineStr">
        <is>
          <t>list1</t>
        </is>
      </c>
      <c r="D943" s="11" t="inlineStr">
        <is>
          <t>verified</t>
        </is>
      </c>
      <c r="E943" s="11" t="inlineStr">
        <is>
          <t>overruled</t>
        </is>
      </c>
      <c r="F943" s="2" t="inlineStr">
        <is>
          <t>The Workmen of State Bank of India, Garhchiroli Branch v. The Presiding Officer, Central Govt. Tri. No. 2 and Others</t>
        </is>
      </c>
      <c r="G943" s="11" t="inlineStr"/>
      <c r="H943" s="11" t="inlineStr">
        <is>
          <t>unknown</t>
        </is>
      </c>
      <c r="I943" s="2" t="inlineStr">
        <is>
          <t>(1990) 1 BomCR 650; (1989) 91 BOMLR 411; (1994) 3 LLJ 481</t>
        </is>
      </c>
      <c r="J943" s="11" t="n">
        <v>1989</v>
      </c>
      <c r="K943" s="2" t="inlineStr">
        <is>
          <t>State bank of India v. The Workmen of State Bank of India and another</t>
        </is>
      </c>
      <c r="L943" s="11" t="inlineStr">
        <is>
          <t>Supreme Court</t>
        </is>
      </c>
      <c r="M943" s="2" t="inlineStr">
        <is>
          <t>AIR 1990 SC 2034; (1991) 61 FLR 618; (1990) 3 JT 589; (1990) 2 LLJ 586; (1990) 2 SCALE 428; (1991) 1 SCC 13; (1990) 1 SCR 11 Supp; (1990) 2 UJ 569</t>
        </is>
      </c>
      <c r="N943" s="11" t="n">
        <v>1990</v>
      </c>
      <c r="O943" s="11" t="n"/>
      <c r="P943" s="11" t="n"/>
      <c r="Q943" s="11" t="n"/>
      <c r="R943" s="2" t="n"/>
      <c r="S943" s="2" t="n"/>
      <c r="T943" s="11" t="inlineStr"/>
      <c r="U943" s="11" t="inlineStr"/>
      <c r="V943" s="11" t="inlineStr">
        <is>
          <t>outside_list</t>
        </is>
      </c>
      <c r="W943" s="11" t="n"/>
      <c r="X943" s="11" t="n"/>
      <c r="Y943" s="11" t="n"/>
      <c r="Z943" s="11" t="inlineStr">
        <is>
          <t>Mr. Advocate</t>
        </is>
      </c>
      <c r="AA943" s="11" t="inlineStr">
        <is>
          <t>2026-10-07</t>
        </is>
      </c>
      <c r="AB943" s="11" t="inlineStr">
        <is>
          <t>name_year</t>
        </is>
      </c>
      <c r="AC943" s="2" t="inlineStr"/>
      <c r="AD943" s="2" t="inlineStr">
        <is>
          <t>The Workmen of State Bank of India, Garhchiroli Branch v. The Presiding Officer, Central Govt. Tri. No. 2 and Others (1989) was overruled by State bank of India v. The Workmen of State Bank of India and another (1990).</t>
        </is>
      </c>
      <c r="AE943" s="2" t="n"/>
      <c r="AF943" s="11" t="inlineStr">
        <is>
          <t>created from list 1</t>
        </is>
      </c>
    </row>
    <row r="944">
      <c r="A944" s="11" t="inlineStr">
        <is>
          <t>L1-0943</t>
        </is>
      </c>
      <c r="B944" s="11" t="inlineStr">
        <is>
          <t>List 1 (to ~2015)</t>
        </is>
      </c>
      <c r="C944" s="11" t="inlineStr">
        <is>
          <t>list1</t>
        </is>
      </c>
      <c r="D944" s="11" t="inlineStr">
        <is>
          <t>verified</t>
        </is>
      </c>
      <c r="E944" s="11" t="inlineStr">
        <is>
          <t>overruled</t>
        </is>
      </c>
      <c r="F944" s="2" t="inlineStr">
        <is>
          <t>Commissioner of Income Tax v. Chemiequip Ltd.</t>
        </is>
      </c>
      <c r="G944" s="11" t="inlineStr"/>
      <c r="H944" s="11" t="inlineStr">
        <is>
          <t>unknown</t>
        </is>
      </c>
      <c r="I944" s="2" t="inlineStr">
        <is>
          <t>(2003) 182 CTR 144; (2004) 265 ITR 265; (2003) 129 TAXMAN 581</t>
        </is>
      </c>
      <c r="J944" s="11" t="n">
        <v>2003</v>
      </c>
      <c r="K944" s="2" t="inlineStr">
        <is>
          <t>Commissioner of Income Tax, Bhopal v. Ralson Industries Ltd.</t>
        </is>
      </c>
      <c r="L944" s="11" t="inlineStr">
        <is>
          <t>Supreme Court</t>
        </is>
      </c>
      <c r="M944" s="2" t="inlineStr">
        <is>
          <t>AIR 2007 SC 668; (2007) 207 CTR 201; (2007) 214 ELT 166; (2007) 288 ITR 322; (2007) 1 JT 356; (2007) 1 SCALE 44; (2007) 2 SCC 326; (2007) 1 SCR 53; (2007) 7 STR 497; (2007) 1 UJ 69</t>
        </is>
      </c>
      <c r="N944" s="11" t="n">
        <v>2007</v>
      </c>
      <c r="O944" s="11" t="n"/>
      <c r="P944" s="11" t="n"/>
      <c r="Q944" s="11" t="n"/>
      <c r="R944" s="2" t="n"/>
      <c r="S944" s="2" t="n"/>
      <c r="T944" s="11" t="inlineStr"/>
      <c r="U944" s="11" t="inlineStr">
        <is>
          <t>needs_citation_or_year</t>
        </is>
      </c>
      <c r="V944" s="11" t="inlineStr">
        <is>
          <t>outside_list</t>
        </is>
      </c>
      <c r="W944" s="11" t="n"/>
      <c r="X944" s="11" t="n"/>
      <c r="Y944" s="11" t="n"/>
      <c r="Z944" s="11" t="inlineStr">
        <is>
          <t>Mr. Advocate</t>
        </is>
      </c>
      <c r="AA944" s="11" t="inlineStr">
        <is>
          <t>2026-10-07</t>
        </is>
      </c>
      <c r="AB944" s="11" t="inlineStr">
        <is>
          <t>none</t>
        </is>
      </c>
      <c r="AC944" s="2" t="inlineStr"/>
      <c r="AD944" s="2" t="inlineStr">
        <is>
          <t>Commissioner of Income Tax v. Chemiequip Ltd. (2003) was overruled by Commissioner of Income Tax, Bhopal v. Ralson Industries Ltd. (2007).</t>
        </is>
      </c>
      <c r="AE944" s="2" t="n"/>
      <c r="AF944" s="11" t="inlineStr">
        <is>
          <t>created from list 1</t>
        </is>
      </c>
    </row>
    <row r="945">
      <c r="A945" s="11" t="inlineStr">
        <is>
          <t>L1-0944</t>
        </is>
      </c>
      <c r="B945" s="11" t="inlineStr">
        <is>
          <t>List 1 (to ~2015)</t>
        </is>
      </c>
      <c r="C945" s="11" t="inlineStr">
        <is>
          <t>list1</t>
        </is>
      </c>
      <c r="D945" s="11" t="inlineStr">
        <is>
          <t>verified</t>
        </is>
      </c>
      <c r="E945" s="11" t="inlineStr">
        <is>
          <t>overruled</t>
        </is>
      </c>
      <c r="F945" s="2" t="inlineStr">
        <is>
          <t>Parbat Gopal Walekar v. Dinkar S. Shinde</t>
        </is>
      </c>
      <c r="G945" s="11" t="inlineStr"/>
      <c r="H945" s="11" t="inlineStr">
        <is>
          <t>unknown</t>
        </is>
      </c>
      <c r="I945" s="2" t="inlineStr">
        <is>
          <t>(1961) 63 BOMLR 189</t>
        </is>
      </c>
      <c r="J945" s="11" t="n">
        <v>1961</v>
      </c>
      <c r="K945" s="2" t="inlineStr">
        <is>
          <t>Virupaxappa Veerappa Kadampur v. The State of Mysore</t>
        </is>
      </c>
      <c r="L945" s="11" t="inlineStr">
        <is>
          <t>Supreme Court</t>
        </is>
      </c>
      <c r="M945" s="2" t="inlineStr">
        <is>
          <t>AIR 1963 SC 849; (1963) 2 SCR 6 Supp</t>
        </is>
      </c>
      <c r="N945" s="11" t="n">
        <v>1963</v>
      </c>
      <c r="O945" s="11" t="n"/>
      <c r="P945" s="11" t="n"/>
      <c r="Q945" s="11" t="n"/>
      <c r="R945" s="2" t="n"/>
      <c r="S945" s="2" t="n"/>
      <c r="T945" s="11" t="inlineStr"/>
      <c r="U945" s="11" t="inlineStr"/>
      <c r="V945" s="11" t="inlineStr">
        <is>
          <t>outside_list</t>
        </is>
      </c>
      <c r="W945" s="11" t="n"/>
      <c r="X945" s="11" t="n"/>
      <c r="Y945" s="11" t="n"/>
      <c r="Z945" s="11" t="inlineStr">
        <is>
          <t>Mr. Advocate</t>
        </is>
      </c>
      <c r="AA945" s="11" t="inlineStr">
        <is>
          <t>2026-10-07</t>
        </is>
      </c>
      <c r="AB945" s="11" t="inlineStr">
        <is>
          <t>name_year</t>
        </is>
      </c>
      <c r="AC945" s="2" t="inlineStr"/>
      <c r="AD945" s="2" t="inlineStr">
        <is>
          <t>Parbat Gopal Walekar v. Dinkar S. Shinde (1961) was overruled by Virupaxappa Veerappa Kadampur v. The State of Mysore (1963).</t>
        </is>
      </c>
      <c r="AE945" s="2" t="n"/>
      <c r="AF945" s="11" t="inlineStr">
        <is>
          <t>created from list 1</t>
        </is>
      </c>
    </row>
    <row r="946">
      <c r="A946" s="11" t="inlineStr">
        <is>
          <t>L1-0945</t>
        </is>
      </c>
      <c r="B946" s="11" t="inlineStr">
        <is>
          <t>List 1 (to ~2015)</t>
        </is>
      </c>
      <c r="C946" s="11" t="inlineStr">
        <is>
          <t>list1</t>
        </is>
      </c>
      <c r="D946" s="11" t="inlineStr">
        <is>
          <t>verified</t>
        </is>
      </c>
      <c r="E946" s="11" t="inlineStr">
        <is>
          <t>overruled</t>
        </is>
      </c>
      <c r="F946" s="2" t="inlineStr">
        <is>
          <t>COMMISSIONER OF Income Tax (CENTRAL), CALCUTTA v. MUGNEERAM BANGUR AND COMPANY.</t>
        </is>
      </c>
      <c r="G946" s="11" t="inlineStr"/>
      <c r="H946" s="11" t="inlineStr">
        <is>
          <t>unknown</t>
        </is>
      </c>
      <c r="I946" s="2" t="inlineStr">
        <is>
          <t>(1963) 47 ITR 565</t>
        </is>
      </c>
      <c r="J946" s="11" t="n">
        <v>1963</v>
      </c>
      <c r="K946" s="2" t="inlineStr">
        <is>
          <t>The Commissioner of Income Tax, Calcutta v. Gillanders Arbuthnot and Co.</t>
        </is>
      </c>
      <c r="L946" s="11" t="inlineStr">
        <is>
          <t>Supreme Court</t>
        </is>
      </c>
      <c r="M946" s="2" t="inlineStr">
        <is>
          <t>AIR 1973 SC 989; (1973) 87 ITR 407; (1973) 3 SCC 845; (1973) 2 SCR 437</t>
        </is>
      </c>
      <c r="N946" s="11" t="n">
        <v>1973</v>
      </c>
      <c r="O946" s="11" t="n"/>
      <c r="P946" s="11" t="n"/>
      <c r="Q946" s="11" t="n"/>
      <c r="R946" s="2" t="n"/>
      <c r="S946" s="2" t="n"/>
      <c r="T946" s="11" t="inlineStr"/>
      <c r="U946" s="11" t="inlineStr"/>
      <c r="V946" s="11" t="inlineStr">
        <is>
          <t>outside_list</t>
        </is>
      </c>
      <c r="W946" s="11" t="n"/>
      <c r="X946" s="11" t="n"/>
      <c r="Y946" s="11" t="n"/>
      <c r="Z946" s="11" t="inlineStr">
        <is>
          <t>Mr. Advocate</t>
        </is>
      </c>
      <c r="AA946" s="11" t="inlineStr">
        <is>
          <t>2026-10-07</t>
        </is>
      </c>
      <c r="AB946" s="11" t="inlineStr">
        <is>
          <t>name_year</t>
        </is>
      </c>
      <c r="AC946" s="2" t="inlineStr"/>
      <c r="AD946" s="2" t="inlineStr">
        <is>
          <t>COMMISSIONER OF Income Tax (CENTRAL), CALCUTTA v. MUGNEERAM BANGUR AND COMPANY. (1963) was overruled by The Commissioner of Income Tax, Calcutta v. Gillanders Arbuthnot and Co. (1973).</t>
        </is>
      </c>
      <c r="AE946" s="2" t="n"/>
      <c r="AF946" s="11" t="inlineStr">
        <is>
          <t>created from list 1</t>
        </is>
      </c>
    </row>
    <row r="947">
      <c r="A947" s="11" t="inlineStr">
        <is>
          <t>L1-0946</t>
        </is>
      </c>
      <c r="B947" s="11" t="inlineStr">
        <is>
          <t>List 1 (to ~2015)</t>
        </is>
      </c>
      <c r="C947" s="11" t="inlineStr">
        <is>
          <t>list1</t>
        </is>
      </c>
      <c r="D947" s="11" t="inlineStr">
        <is>
          <t>verified</t>
        </is>
      </c>
      <c r="E947" s="11" t="inlineStr">
        <is>
          <t>reversed_on_appeal</t>
        </is>
      </c>
      <c r="F947" s="2" t="inlineStr">
        <is>
          <t>The Chief Officer, Sangli Municipal Council v. The Khadya Peya Vikretas Malak Sangh Sangli</t>
        </is>
      </c>
      <c r="G947" s="11" t="inlineStr"/>
      <c r="H947" s="11" t="inlineStr">
        <is>
          <t>unknown</t>
        </is>
      </c>
      <c r="I947" s="2" t="inlineStr">
        <is>
          <t>(1972) 74 BOMLR 727</t>
        </is>
      </c>
      <c r="J947" s="11" t="n">
        <v>1972</v>
      </c>
      <c r="K947" s="2" t="inlineStr">
        <is>
          <t>The Khadya Peya Vikarate Malak Sangh v. The Chief Officer, Sangli Municipal Council and Another</t>
        </is>
      </c>
      <c r="L947" s="11" t="inlineStr">
        <is>
          <t>Supreme Court</t>
        </is>
      </c>
      <c r="M947" s="2" t="inlineStr">
        <is>
          <t>AIR 1977 SC 527; (1977) 1 SCC 455</t>
        </is>
      </c>
      <c r="N947" s="11" t="n">
        <v>1977</v>
      </c>
      <c r="O947" s="11" t="n"/>
      <c r="P947" s="11" t="n"/>
      <c r="Q947" s="11" t="n"/>
      <c r="R947" s="2" t="n"/>
      <c r="S947" s="2" t="n"/>
      <c r="T947" s="11" t="inlineStr">
        <is>
          <t>yes</t>
        </is>
      </c>
      <c r="U947" s="11" t="inlineStr"/>
      <c r="V947" s="11" t="inlineStr">
        <is>
          <t>outside_list</t>
        </is>
      </c>
      <c r="W947" s="11" t="n"/>
      <c r="X947" s="11" t="n"/>
      <c r="Y947" s="11" t="n"/>
      <c r="Z947" s="11" t="inlineStr">
        <is>
          <t>Mr. Advocate</t>
        </is>
      </c>
      <c r="AA947" s="11" t="inlineStr">
        <is>
          <t>2026-10-07</t>
        </is>
      </c>
      <c r="AB947" s="11" t="inlineStr">
        <is>
          <t>name_year</t>
        </is>
      </c>
      <c r="AC947" s="2" t="inlineStr"/>
      <c r="AD947" s="2" t="inlineStr">
        <is>
          <t>The Chief Officer, Sangli Municipal Council v. The Khadya Peya Vikretas Malak Sangh Sangli (1972) was reversed on appeal by the Supreme Court in The Khadya Peya Vikarate Malak Sangh v. The Chief Officer, Sangli Municipal Council and Another (1977).</t>
        </is>
      </c>
      <c r="AE947" s="2" t="n"/>
      <c r="AF947" s="11" t="inlineStr">
        <is>
          <t>created from list 1</t>
        </is>
      </c>
    </row>
    <row r="948">
      <c r="A948" s="11" t="inlineStr">
        <is>
          <t>L1-0947</t>
        </is>
      </c>
      <c r="B948" s="11" t="inlineStr">
        <is>
          <t>List 1 (to ~2015)</t>
        </is>
      </c>
      <c r="C948" s="11" t="inlineStr">
        <is>
          <t>list1</t>
        </is>
      </c>
      <c r="D948" s="11" t="inlineStr">
        <is>
          <t>verified</t>
        </is>
      </c>
      <c r="E948" s="11" t="inlineStr">
        <is>
          <t>overruled</t>
        </is>
      </c>
      <c r="F948" s="2" t="inlineStr">
        <is>
          <t>Group Captain A.S. Gangoli and Others v. Union of India and Others</t>
        </is>
      </c>
      <c r="G948" s="11" t="inlineStr"/>
      <c r="H948" s="11" t="inlineStr">
        <is>
          <t>unknown</t>
        </is>
      </c>
      <c r="I948" s="2" t="inlineStr">
        <is>
          <t>(2001) 3 ALLMR 535; (2001) 3 BOMLR 316; (2001) 3 MhLj 752</t>
        </is>
      </c>
      <c r="J948" s="11" t="n">
        <v>2001</v>
      </c>
      <c r="K948" s="2" t="inlineStr">
        <is>
          <t>Union of India (UOI) v. A.S. Gangoli and Others</t>
        </is>
      </c>
      <c r="L948" s="11" t="inlineStr">
        <is>
          <t>Supreme Court</t>
        </is>
      </c>
      <c r="M948" s="2" t="inlineStr">
        <is>
          <t>(2007) 6 JT 255; (2007) 6 SCALE 332; (2007) 6 SCC 196; (2007) 2 SCC(L&amp;S) 432; (2007) 6 SCR 706; (2008) 1 SLJ 296</t>
        </is>
      </c>
      <c r="N948" s="11" t="n">
        <v>2007</v>
      </c>
      <c r="O948" s="11" t="n"/>
      <c r="P948" s="11" t="n"/>
      <c r="Q948" s="11" t="n"/>
      <c r="R948" s="2" t="n"/>
      <c r="S948" s="2" t="n"/>
      <c r="T948" s="11" t="inlineStr"/>
      <c r="U948" s="11" t="inlineStr"/>
      <c r="V948" s="11" t="inlineStr">
        <is>
          <t>outside_list</t>
        </is>
      </c>
      <c r="W948" s="11" t="n"/>
      <c r="X948" s="11" t="n"/>
      <c r="Y948" s="11" t="n"/>
      <c r="Z948" s="11" t="inlineStr">
        <is>
          <t>Mr. Advocate</t>
        </is>
      </c>
      <c r="AA948" s="11" t="inlineStr">
        <is>
          <t>2026-10-07</t>
        </is>
      </c>
      <c r="AB948" s="11" t="inlineStr">
        <is>
          <t>name_year</t>
        </is>
      </c>
      <c r="AC948" s="2" t="inlineStr"/>
      <c r="AD948" s="2" t="inlineStr">
        <is>
          <t>Group Captain A.S. Gangoli and Others v. Union of India and Others (2001) was overruled by Union of India (UOI) v. A.S. Gangoli and Others (2007).</t>
        </is>
      </c>
      <c r="AE948" s="2" t="n"/>
      <c r="AF948" s="11" t="inlineStr">
        <is>
          <t>created from list 1</t>
        </is>
      </c>
    </row>
    <row r="949">
      <c r="A949" s="11" t="inlineStr">
        <is>
          <t>L1-0948</t>
        </is>
      </c>
      <c r="B949" s="11" t="inlineStr">
        <is>
          <t>List 1 (to ~2015)</t>
        </is>
      </c>
      <c r="C949" s="11" t="inlineStr">
        <is>
          <t>list1</t>
        </is>
      </c>
      <c r="D949" s="11" t="inlineStr">
        <is>
          <t>verified</t>
        </is>
      </c>
      <c r="E949" s="11" t="inlineStr">
        <is>
          <t>reversed_on_appeal</t>
        </is>
      </c>
      <c r="F949" s="2" t="inlineStr">
        <is>
          <t>Union Bank of India v. Vithalbhai Pvt. Ltd.</t>
        </is>
      </c>
      <c r="G949" s="11" t="inlineStr"/>
      <c r="H949" s="11" t="inlineStr">
        <is>
          <t>Calcutta</t>
        </is>
      </c>
      <c r="I949" s="2" t="inlineStr">
        <is>
          <t>AIR 2002 Cal 144; (2001) 3 CALLT 484</t>
        </is>
      </c>
      <c r="J949" s="11" t="n">
        <v>2002</v>
      </c>
      <c r="K949" s="2" t="inlineStr">
        <is>
          <t>Vithalbhai Pvt. Ltd. v. Union Bank of India</t>
        </is>
      </c>
      <c r="L949" s="11" t="inlineStr">
        <is>
          <t>Supreme Court</t>
        </is>
      </c>
      <c r="M949" s="2" t="inlineStr">
        <is>
          <t>AIR 2005 SC 1891; (2005) 100 CLT 297; (2005) 2 CTC 582; (2005) 3 JT 278; (2005) 4 SCC 315; (2005) AIRSCW 1509; (2005) 2 Supreme 518</t>
        </is>
      </c>
      <c r="N949" s="11" t="n">
        <v>2005</v>
      </c>
      <c r="O949" s="11" t="n"/>
      <c r="P949" s="11" t="n"/>
      <c r="Q949" s="11" t="n"/>
      <c r="R949" s="2" t="n"/>
      <c r="S949" s="2" t="n"/>
      <c r="T949" s="11" t="inlineStr">
        <is>
          <t>yes</t>
        </is>
      </c>
      <c r="U949" s="11" t="inlineStr"/>
      <c r="V949" s="11" t="inlineStr">
        <is>
          <t>outside_list</t>
        </is>
      </c>
      <c r="W949" s="11" t="n"/>
      <c r="X949" s="11" t="n"/>
      <c r="Y949" s="11" t="n"/>
      <c r="Z949" s="11" t="inlineStr">
        <is>
          <t>Mr. Advocate</t>
        </is>
      </c>
      <c r="AA949" s="11" t="inlineStr">
        <is>
          <t>2026-10-07</t>
        </is>
      </c>
      <c r="AB949" s="11" t="inlineStr">
        <is>
          <t>citation</t>
        </is>
      </c>
      <c r="AC949" s="2" t="inlineStr"/>
      <c r="AD949" s="2" t="inlineStr">
        <is>
          <t>Union Bank of India v. Vithalbhai Pvt. Ltd. (2002) was reversed on appeal by the Supreme Court in Vithalbhai Pvt. Ltd. v. Union Bank of India (2005).</t>
        </is>
      </c>
      <c r="AE949" s="2" t="n"/>
      <c r="AF949" s="11" t="inlineStr">
        <is>
          <t>created from list 1</t>
        </is>
      </c>
    </row>
    <row r="950">
      <c r="A950" s="11" t="inlineStr">
        <is>
          <t>L1-0949</t>
        </is>
      </c>
      <c r="B950" s="11" t="inlineStr">
        <is>
          <t>List 1 (to ~2015)</t>
        </is>
      </c>
      <c r="C950" s="11" t="inlineStr">
        <is>
          <t>list1</t>
        </is>
      </c>
      <c r="D950" s="11" t="inlineStr">
        <is>
          <t>verified</t>
        </is>
      </c>
      <c r="E950" s="11" t="inlineStr">
        <is>
          <t>overruled</t>
        </is>
      </c>
      <c r="F950" s="2" t="inlineStr">
        <is>
          <t>United Labour Union and others v. Union of India and others</t>
        </is>
      </c>
      <c r="G950" s="11" t="inlineStr"/>
      <c r="H950" s="11" t="inlineStr">
        <is>
          <t>unknown</t>
        </is>
      </c>
      <c r="I950" s="2" t="inlineStr">
        <is>
          <t>(1989) 91 BOMLR 770; (1990) 60 FLR 686; (1991) 1 LLJ 89</t>
        </is>
      </c>
      <c r="J950" s="11" t="n">
        <v>1989</v>
      </c>
      <c r="K950" s="2" t="inlineStr">
        <is>
          <t>Dena Nath and others v. National Fertilisers Ltd. and others</t>
        </is>
      </c>
      <c r="L950" s="11" t="inlineStr">
        <is>
          <t>Supreme Court</t>
        </is>
      </c>
      <c r="M950" s="2" t="inlineStr">
        <is>
          <t>AIR 1992 SC 457; (1991) 4 JT 413; (1992) LabIC 75; (1992) 1 LLJ 289; (1991) 2 SCALE 1081; (1992) 1 SCC 695; (1991) 2 SCR 401 Supp</t>
        </is>
      </c>
      <c r="N950" s="11" t="n">
        <v>1992</v>
      </c>
      <c r="O950" s="11" t="n"/>
      <c r="P950" s="11" t="n"/>
      <c r="Q950" s="11" t="n"/>
      <c r="R950" s="2" t="n"/>
      <c r="S950" s="2" t="n"/>
      <c r="T950" s="11" t="inlineStr"/>
      <c r="U950" s="11" t="inlineStr"/>
      <c r="V950" s="11" t="inlineStr">
        <is>
          <t>outside_list</t>
        </is>
      </c>
      <c r="W950" s="11" t="n"/>
      <c r="X950" s="11" t="n"/>
      <c r="Y950" s="11" t="n"/>
      <c r="Z950" s="11" t="inlineStr">
        <is>
          <t>Mr. Advocate</t>
        </is>
      </c>
      <c r="AA950" s="11" t="inlineStr">
        <is>
          <t>2026-10-07</t>
        </is>
      </c>
      <c r="AB950" s="11" t="inlineStr">
        <is>
          <t>name_year</t>
        </is>
      </c>
      <c r="AC950" s="2" t="inlineStr">
        <is>
          <t>L1-0534: overruled by Steel Authority of India Ltd. and Others etc. etc. v. National Union Water Front Workers and Others etc. (2001)</t>
        </is>
      </c>
      <c r="AD950" s="2" t="inlineStr">
        <is>
          <t>United Labour Union and others v. Union of India and others (1989) was overruled by Dena Nath and others v. National Fertilisers Ltd. and others (1992). Note: Dena Nath and others v. National Fertilisers Ltd. and others was itself later overruled by Steel Authority of India Ltd. and Others etc. etc. v. National Union Water Front Workers and Others etc. (2001); the current position should be checked.</t>
        </is>
      </c>
      <c r="AE950" s="2" t="n"/>
      <c r="AF950" s="11" t="inlineStr">
        <is>
          <t>created from list 1</t>
        </is>
      </c>
    </row>
    <row r="951">
      <c r="A951" s="11" t="inlineStr">
        <is>
          <t>L1-0950</t>
        </is>
      </c>
      <c r="B951" s="11" t="inlineStr">
        <is>
          <t>List 1 (to ~2015)</t>
        </is>
      </c>
      <c r="C951" s="11" t="inlineStr">
        <is>
          <t>list1</t>
        </is>
      </c>
      <c r="D951" s="11" t="inlineStr">
        <is>
          <t>verified</t>
        </is>
      </c>
      <c r="E951" s="11" t="inlineStr">
        <is>
          <t>overruled</t>
        </is>
      </c>
      <c r="F951" s="2" t="inlineStr">
        <is>
          <t>Indian Coffee Workers’ Co- operative Stores Ltd. and Another v. Bachoobai Cowasjee Dhanjeeshaw and Others</t>
        </is>
      </c>
      <c r="G951" s="11" t="inlineStr"/>
      <c r="H951" s="11" t="inlineStr">
        <is>
          <t>Bombay</t>
        </is>
      </c>
      <c r="I951" s="2" t="inlineStr">
        <is>
          <t>AIR 1967 Bom 210; (1964) 66 BOMLR 338; (1964) ILR (Bom) 484; (1964) MhLj 478</t>
        </is>
      </c>
      <c r="J951" s="11" t="n">
        <v>1967</v>
      </c>
      <c r="K951" s="2" t="inlineStr">
        <is>
          <t>Anandram Chandanmal Munot and Another v. Bansilal Chunilal Kabra (Since Deceased) Through L.Rs. and Others</t>
        </is>
      </c>
      <c r="L951" s="11" t="inlineStr">
        <is>
          <t>Supreme Court</t>
        </is>
      </c>
      <c r="M951" s="2" t="inlineStr">
        <is>
          <t>AIR 2000 SC 288; (1999) 9 JT 180; (1999) 7 SCALE 164; (2000) 1 SCC 10; (1999) 4 SCR 495 Supp; (2000) 1 UJ 73; (1999) AIRSCW 4402; (1999) 9 Supreme 346</t>
        </is>
      </c>
      <c r="N951" s="11" t="n">
        <v>2000</v>
      </c>
      <c r="O951" s="11" t="n"/>
      <c r="P951" s="11" t="n"/>
      <c r="Q951" s="11" t="n"/>
      <c r="R951" s="2" t="n"/>
      <c r="S951" s="2" t="n"/>
      <c r="T951" s="11" t="inlineStr"/>
      <c r="U951" s="11" t="inlineStr"/>
      <c r="V951" s="11" t="inlineStr">
        <is>
          <t>outside_list</t>
        </is>
      </c>
      <c r="W951" s="11" t="n"/>
      <c r="X951" s="11" t="n"/>
      <c r="Y951" s="11" t="n"/>
      <c r="Z951" s="11" t="inlineStr">
        <is>
          <t>Mr. Advocate</t>
        </is>
      </c>
      <c r="AA951" s="11" t="inlineStr">
        <is>
          <t>2026-10-07</t>
        </is>
      </c>
      <c r="AB951" s="11" t="inlineStr">
        <is>
          <t>name_year</t>
        </is>
      </c>
      <c r="AC951" s="2" t="inlineStr"/>
      <c r="AD951" s="2" t="inlineStr">
        <is>
          <t>Indian Coffee Workers’ Co- operative Stores Ltd. and Another v. Bachoobai Cowasjee Dhanjeeshaw and Others (1967) was overruled by Anandram Chandanmal Munot and Another v. Bansilal Chunilal Kabra (Since Deceased) Through L.Rs. and Others (2000).</t>
        </is>
      </c>
      <c r="AE951" s="2" t="n"/>
      <c r="AF951" s="11" t="inlineStr">
        <is>
          <t>created from list 1</t>
        </is>
      </c>
    </row>
    <row r="952">
      <c r="A952" s="11" t="inlineStr">
        <is>
          <t>L1-0951</t>
        </is>
      </c>
      <c r="B952" s="11" t="inlineStr">
        <is>
          <t>List 1 (to ~2015)</t>
        </is>
      </c>
      <c r="C952" s="11" t="inlineStr">
        <is>
          <t>list1</t>
        </is>
      </c>
      <c r="D952" s="11" t="inlineStr">
        <is>
          <t>verified</t>
        </is>
      </c>
      <c r="E952" s="11" t="inlineStr">
        <is>
          <t>overruled</t>
        </is>
      </c>
      <c r="F952" s="2" t="inlineStr">
        <is>
          <t>Laxman Pandu and Others v. Chief Mechanical Engineer, Western Railway</t>
        </is>
      </c>
      <c r="G952" s="11" t="inlineStr"/>
      <c r="H952" s="11" t="inlineStr">
        <is>
          <t>Bombay</t>
        </is>
      </c>
      <c r="I952" s="2" t="inlineStr">
        <is>
          <t>AIR 1955 Bom 283; (1955) 57 BOMLR 399; (1955) 2 LLJ 5</t>
        </is>
      </c>
      <c r="J952" s="11" t="n">
        <v>1955</v>
      </c>
      <c r="K952" s="2" t="inlineStr">
        <is>
          <t>J.C. Jain v. R.A. Pathak and Others</t>
        </is>
      </c>
      <c r="L952" s="11" t="inlineStr">
        <is>
          <t>Supreme Court</t>
        </is>
      </c>
      <c r="M952" s="2" t="inlineStr">
        <is>
          <t>AIR 1960 SC 619; (1960) 2 SCR 701</t>
        </is>
      </c>
      <c r="N952" s="11" t="n">
        <v>1960</v>
      </c>
      <c r="O952" s="11" t="n"/>
      <c r="P952" s="11" t="n"/>
      <c r="Q952" s="11" t="n"/>
      <c r="R952" s="2" t="n"/>
      <c r="S952" s="2" t="n"/>
      <c r="T952" s="11" t="inlineStr"/>
      <c r="U952" s="11" t="inlineStr"/>
      <c r="V952" s="11" t="inlineStr">
        <is>
          <t>outside_list</t>
        </is>
      </c>
      <c r="W952" s="11" t="n"/>
      <c r="X952" s="11" t="n"/>
      <c r="Y952" s="11" t="n"/>
      <c r="Z952" s="11" t="inlineStr">
        <is>
          <t>Mr. Advocate</t>
        </is>
      </c>
      <c r="AA952" s="11" t="inlineStr">
        <is>
          <t>2026-10-07</t>
        </is>
      </c>
      <c r="AB952" s="11" t="inlineStr">
        <is>
          <t>name_year</t>
        </is>
      </c>
      <c r="AC952" s="2" t="inlineStr"/>
      <c r="AD952" s="2" t="inlineStr">
        <is>
          <t>Laxman Pandu and Others v. Chief Mechanical Engineer, Western Railway (1955) was overruled by J.C. Jain v. R.A. Pathak and Others (1960).</t>
        </is>
      </c>
      <c r="AE952" s="2" t="n"/>
      <c r="AF952" s="11" t="inlineStr">
        <is>
          <t>created from list 1</t>
        </is>
      </c>
    </row>
    <row r="953">
      <c r="A953" s="11" t="inlineStr">
        <is>
          <t>L1-0952</t>
        </is>
      </c>
      <c r="B953" s="11" t="inlineStr">
        <is>
          <t>List 1 (to ~2015)</t>
        </is>
      </c>
      <c r="C953" s="11" t="inlineStr">
        <is>
          <t>list1</t>
        </is>
      </c>
      <c r="D953" s="11" t="inlineStr">
        <is>
          <t>verified</t>
        </is>
      </c>
      <c r="E953" s="11" t="inlineStr">
        <is>
          <t>reversed_on_appeal</t>
        </is>
      </c>
      <c r="F953" s="2" t="inlineStr">
        <is>
          <t>Santoshi Tel Utpadak Kendra v. The Deputy Commissioner</t>
        </is>
      </c>
      <c r="G953" s="11" t="inlineStr"/>
      <c r="H953" s="11" t="inlineStr">
        <is>
          <t>unknown</t>
        </is>
      </c>
      <c r="I953" s="2" t="inlineStr">
        <is>
          <t>(1979) 43 STC 307</t>
        </is>
      </c>
      <c r="J953" s="11" t="n">
        <v>1979</v>
      </c>
      <c r="K953" s="2" t="inlineStr">
        <is>
          <t>Santoshi Tel Utpadak Kendra v. Deputy Commissioner of Sales Tax and another</t>
        </is>
      </c>
      <c r="L953" s="11" t="inlineStr">
        <is>
          <t>Supreme Court</t>
        </is>
      </c>
      <c r="M953" s="2" t="inlineStr">
        <is>
          <t>AIR 1981 SC 1617(2); (1983) 13 ELT 1651; (1981) 3 SCALE 1094; (1981) 3 SCC 466; (1982) 1 SCR 97; (1981) 48 STC 248; (1981) 13 UJ 810</t>
        </is>
      </c>
      <c r="N953" s="11" t="n">
        <v>1981</v>
      </c>
      <c r="O953" s="11" t="n"/>
      <c r="P953" s="11" t="n"/>
      <c r="Q953" s="11" t="n"/>
      <c r="R953" s="2" t="n"/>
      <c r="S953" s="2" t="n"/>
      <c r="T953" s="11" t="inlineStr">
        <is>
          <t>yes</t>
        </is>
      </c>
      <c r="U953" s="11" t="inlineStr"/>
      <c r="V953" s="11" t="inlineStr">
        <is>
          <t>outside_list</t>
        </is>
      </c>
      <c r="W953" s="11" t="n"/>
      <c r="X953" s="11" t="n"/>
      <c r="Y953" s="11" t="n"/>
      <c r="Z953" s="11" t="inlineStr">
        <is>
          <t>Mr. Advocate</t>
        </is>
      </c>
      <c r="AA953" s="11" t="inlineStr">
        <is>
          <t>2026-10-07</t>
        </is>
      </c>
      <c r="AB953" s="11" t="inlineStr">
        <is>
          <t>name_year</t>
        </is>
      </c>
      <c r="AC953" s="2" t="inlineStr"/>
      <c r="AD953" s="2" t="inlineStr">
        <is>
          <t>Santoshi Tel Utpadak Kendra v. The Deputy Commissioner (1979) was reversed on appeal by the Supreme Court in Santoshi Tel Utpadak Kendra v. Deputy Commissioner of Sales Tax and another (1981).</t>
        </is>
      </c>
      <c r="AE953" s="2" t="n"/>
      <c r="AF953" s="11" t="inlineStr">
        <is>
          <t>created from list 1</t>
        </is>
      </c>
    </row>
    <row r="954">
      <c r="A954" s="11" t="inlineStr">
        <is>
          <t>L1-0953</t>
        </is>
      </c>
      <c r="B954" s="11" t="inlineStr">
        <is>
          <t>List 1 (to ~2015)</t>
        </is>
      </c>
      <c r="C954" s="11" t="inlineStr">
        <is>
          <t>list1</t>
        </is>
      </c>
      <c r="D954" s="11" t="inlineStr">
        <is>
          <t>verified</t>
        </is>
      </c>
      <c r="E954" s="11" t="inlineStr">
        <is>
          <t>overruled</t>
        </is>
      </c>
      <c r="F954" s="2" t="inlineStr">
        <is>
          <t>State v. Maganlal Chunilal Bogawat</t>
        </is>
      </c>
      <c r="G954" s="11" t="inlineStr"/>
      <c r="H954" s="11" t="inlineStr">
        <is>
          <t>Bombay</t>
        </is>
      </c>
      <c r="I954" s="2" t="inlineStr">
        <is>
          <t>AIR 1956 Bom 354; (1956) CriLJ 701</t>
        </is>
      </c>
      <c r="J954" s="11" t="n">
        <v>1956</v>
      </c>
      <c r="K954" s="2" t="inlineStr">
        <is>
          <t>Avtar Singh v. State of Punjab</t>
        </is>
      </c>
      <c r="L954" s="11" t="inlineStr">
        <is>
          <t>Supreme Court</t>
        </is>
      </c>
      <c r="M954" s="2" t="inlineStr">
        <is>
          <t>AIR 1965 SC 666; (1965) CriLJ 605; (1965) 1 SCR 103</t>
        </is>
      </c>
      <c r="N954" s="11" t="n">
        <v>1965</v>
      </c>
      <c r="O954" s="11" t="n"/>
      <c r="P954" s="11" t="n"/>
      <c r="Q954" s="11" t="n"/>
      <c r="R954" s="2" t="n"/>
      <c r="S954" s="2" t="n"/>
      <c r="T954" s="11" t="inlineStr"/>
      <c r="U954" s="11" t="inlineStr"/>
      <c r="V954" s="11" t="inlineStr">
        <is>
          <t>outside_list</t>
        </is>
      </c>
      <c r="W954" s="11" t="n"/>
      <c r="X954" s="11" t="n"/>
      <c r="Y954" s="11" t="n"/>
      <c r="Z954" s="11" t="inlineStr">
        <is>
          <t>Mr. Advocate</t>
        </is>
      </c>
      <c r="AA954" s="11" t="inlineStr">
        <is>
          <t>2026-10-07</t>
        </is>
      </c>
      <c r="AB954" s="11" t="inlineStr">
        <is>
          <t>name_year</t>
        </is>
      </c>
      <c r="AC954" s="2" t="inlineStr"/>
      <c r="AD954" s="2" t="inlineStr">
        <is>
          <t>State v. Maganlal Chunilal Bogawat (1956) was overruled by Avtar Singh v. State of Punjab (1965).</t>
        </is>
      </c>
      <c r="AE954" s="2" t="n"/>
      <c r="AF954" s="11" t="inlineStr">
        <is>
          <t>created from list 1</t>
        </is>
      </c>
    </row>
    <row r="955">
      <c r="A955" s="11" t="inlineStr">
        <is>
          <t>L1-0954</t>
        </is>
      </c>
      <c r="B955" s="11" t="inlineStr">
        <is>
          <t>List 1 (to ~2015)</t>
        </is>
      </c>
      <c r="C955" s="11" t="inlineStr">
        <is>
          <t>list1</t>
        </is>
      </c>
      <c r="D955" s="11" t="inlineStr">
        <is>
          <t>verified</t>
        </is>
      </c>
      <c r="E955" s="11" t="inlineStr">
        <is>
          <t>overruled</t>
        </is>
      </c>
      <c r="F955" s="2" t="inlineStr">
        <is>
          <t>Commissioner of Income Tax v. Bennett Coleman and Co. Ltd.</t>
        </is>
      </c>
      <c r="G955" s="11" t="inlineStr"/>
      <c r="H955" s="11" t="inlineStr">
        <is>
          <t>unknown</t>
        </is>
      </c>
      <c r="I955" s="2" t="inlineStr">
        <is>
          <t>(1993) 113 CTR 391; (1993) 201 ITR 1021</t>
        </is>
      </c>
      <c r="J955" s="11" t="n">
        <v>1993</v>
      </c>
      <c r="K955" s="2" t="inlineStr">
        <is>
          <t>Commissioner of Income Tax, Calcutta v. Sugauli Sugar Works P. Ltd.</t>
        </is>
      </c>
      <c r="L955" s="11" t="inlineStr">
        <is>
          <t>Supreme Court</t>
        </is>
      </c>
      <c r="M955" s="2" t="inlineStr">
        <is>
          <t>AIR 1999 SC 1144; (1999) 236 ITR 518; (1999) 1 JT 327; (1999) 1 SCALE 323; (1999) 2 SCC 355; (1999) 1 SCR 400; (1999) AIRSCW 804; (1999) 1 Supreme 335</t>
        </is>
      </c>
      <c r="N955" s="11" t="n">
        <v>1999</v>
      </c>
      <c r="O955" s="11" t="n"/>
      <c r="P955" s="11" t="n"/>
      <c r="Q955" s="11" t="n"/>
      <c r="R955" s="2" t="n"/>
      <c r="S955" s="2" t="n"/>
      <c r="T955" s="11" t="inlineStr"/>
      <c r="U955" s="11" t="inlineStr"/>
      <c r="V955" s="11" t="inlineStr">
        <is>
          <t>outside_list</t>
        </is>
      </c>
      <c r="W955" s="11" t="n"/>
      <c r="X955" s="11" t="n"/>
      <c r="Y955" s="11" t="n"/>
      <c r="Z955" s="11" t="inlineStr">
        <is>
          <t>Mr. Advocate</t>
        </is>
      </c>
      <c r="AA955" s="11" t="inlineStr">
        <is>
          <t>2026-10-07</t>
        </is>
      </c>
      <c r="AB955" s="11" t="inlineStr">
        <is>
          <t>name_year</t>
        </is>
      </c>
      <c r="AC955" s="2" t="inlineStr"/>
      <c r="AD955" s="2" t="inlineStr">
        <is>
          <t>Commissioner of Income Tax v. Bennett Coleman and Co. Ltd. (1993) was overruled by Commissioner of Income Tax, Calcutta v. Sugauli Sugar Works P. Ltd. (1999).</t>
        </is>
      </c>
      <c r="AE955" s="2" t="n"/>
      <c r="AF955" s="11" t="inlineStr">
        <is>
          <t>created from list 1</t>
        </is>
      </c>
    </row>
    <row r="956">
      <c r="A956" s="11" t="inlineStr">
        <is>
          <t>L1-0955</t>
        </is>
      </c>
      <c r="B956" s="11" t="inlineStr">
        <is>
          <t>List 1 (to ~2015)</t>
        </is>
      </c>
      <c r="C956" s="11" t="inlineStr">
        <is>
          <t>list1</t>
        </is>
      </c>
      <c r="D956" s="11" t="inlineStr">
        <is>
          <t>verified</t>
        </is>
      </c>
      <c r="E956" s="11" t="inlineStr">
        <is>
          <t>overruled</t>
        </is>
      </c>
      <c r="F956" s="2" t="inlineStr">
        <is>
          <t>The Pigment Lakes and Chemical Manufacturing Co. Private Ltd. v. Sitaram Kashiram Konde</t>
        </is>
      </c>
      <c r="G956" s="11" t="inlineStr"/>
      <c r="H956" s="11" t="inlineStr">
        <is>
          <t>unknown</t>
        </is>
      </c>
      <c r="I956" s="2" t="inlineStr">
        <is>
          <t>(1969) 71 BOMLR 452; (1969) MhLj 710</t>
        </is>
      </c>
      <c r="J956" s="11" t="n">
        <v>1969</v>
      </c>
      <c r="K956" s="2" t="inlineStr">
        <is>
          <t>Sitaram Kashiram Konda v. Pigment Cakes and Chemicals Mfg. Co.</t>
        </is>
      </c>
      <c r="L956" s="11" t="inlineStr">
        <is>
          <t>Supreme Court</t>
        </is>
      </c>
      <c r="M956" s="2" t="inlineStr">
        <is>
          <t>AIR 1980 SC 16; (1979) 39 FLR 347; (1979) 2 LLJ 444; (1979) 4 SCC 12; (1980) 1 SCR 125; (1979) 1 SLJ 552</t>
        </is>
      </c>
      <c r="N956" s="11" t="n">
        <v>1980</v>
      </c>
      <c r="O956" s="11" t="n"/>
      <c r="P956" s="11" t="n"/>
      <c r="Q956" s="11" t="n"/>
      <c r="R956" s="2" t="n"/>
      <c r="S956" s="2" t="n"/>
      <c r="T956" s="11" t="inlineStr"/>
      <c r="U956" s="11" t="inlineStr"/>
      <c r="V956" s="11" t="inlineStr">
        <is>
          <t>outside_list</t>
        </is>
      </c>
      <c r="W956" s="11" t="n"/>
      <c r="X956" s="11" t="n"/>
      <c r="Y956" s="11" t="n"/>
      <c r="Z956" s="11" t="inlineStr">
        <is>
          <t>Mr. Advocate</t>
        </is>
      </c>
      <c r="AA956" s="11" t="inlineStr">
        <is>
          <t>2026-10-07</t>
        </is>
      </c>
      <c r="AB956" s="11" t="inlineStr">
        <is>
          <t>name_year</t>
        </is>
      </c>
      <c r="AC956" s="2" t="inlineStr"/>
      <c r="AD956" s="2" t="inlineStr">
        <is>
          <t>The Pigment Lakes and Chemical Manufacturing Co. Private Ltd. v. Sitaram Kashiram Konde (1969) was overruled by Sitaram Kashiram Konda v. Pigment Cakes and Chemicals Mfg. Co. (1980).</t>
        </is>
      </c>
      <c r="AE956" s="2" t="n"/>
      <c r="AF956" s="11" t="inlineStr">
        <is>
          <t>created from list 1</t>
        </is>
      </c>
    </row>
    <row r="957">
      <c r="A957" s="11" t="inlineStr">
        <is>
          <t>L1-0956</t>
        </is>
      </c>
      <c r="B957" s="11" t="inlineStr">
        <is>
          <t>List 1 (to ~2015)</t>
        </is>
      </c>
      <c r="C957" s="11" t="inlineStr">
        <is>
          <t>list1</t>
        </is>
      </c>
      <c r="D957" s="11" t="inlineStr">
        <is>
          <t>verified</t>
        </is>
      </c>
      <c r="E957" s="11" t="inlineStr">
        <is>
          <t>overruled</t>
        </is>
      </c>
      <c r="F957" s="2" t="inlineStr">
        <is>
          <t>Vaman Vithal Kulkarni v. Khanderao Ramrao Sholapurkar</t>
        </is>
      </c>
      <c r="G957" s="11" t="inlineStr"/>
      <c r="H957" s="11" t="inlineStr">
        <is>
          <t>Bombay</t>
        </is>
      </c>
      <c r="I957" s="2" t="inlineStr">
        <is>
          <t>AIR 1935 Bom 247; (1935) 37 BOMLR 376</t>
        </is>
      </c>
      <c r="J957" s="11" t="n">
        <v>1935</v>
      </c>
      <c r="K957" s="2" t="inlineStr">
        <is>
          <t>Harcharan Singh v. Smt. Shivrani and Others</t>
        </is>
      </c>
      <c r="L957" s="11" t="inlineStr">
        <is>
          <t>Supreme Court</t>
        </is>
      </c>
      <c r="M957" s="2" t="inlineStr">
        <is>
          <t>AIR 1981 SC 1284(1); (1981) 1 SCALE 401; (1981) 2 SCC 535; (1981) 2 SCR 962</t>
        </is>
      </c>
      <c r="N957" s="11" t="n">
        <v>1981</v>
      </c>
      <c r="O957" s="11" t="n"/>
      <c r="P957" s="11" t="n"/>
      <c r="Q957" s="11" t="n"/>
      <c r="R957" s="2" t="n"/>
      <c r="S957" s="2" t="n"/>
      <c r="T957" s="11" t="inlineStr"/>
      <c r="U957" s="11" t="inlineStr"/>
      <c r="V957" s="11" t="inlineStr">
        <is>
          <t>outside_list</t>
        </is>
      </c>
      <c r="W957" s="11" t="n"/>
      <c r="X957" s="11" t="n"/>
      <c r="Y957" s="11" t="n"/>
      <c r="Z957" s="11" t="inlineStr">
        <is>
          <t>Mr. Advocate</t>
        </is>
      </c>
      <c r="AA957" s="11" t="inlineStr">
        <is>
          <t>2026-10-07</t>
        </is>
      </c>
      <c r="AB957" s="11" t="inlineStr">
        <is>
          <t>name_year</t>
        </is>
      </c>
      <c r="AC957" s="2" t="inlineStr"/>
      <c r="AD957" s="2" t="inlineStr">
        <is>
          <t>Vaman Vithal Kulkarni v. Khanderao Ramrao Sholapurkar (1935) was overruled by Harcharan Singh v. Smt. Shivrani and Others (1981).</t>
        </is>
      </c>
      <c r="AE957" s="2" t="n"/>
      <c r="AF957" s="11" t="inlineStr">
        <is>
          <t>created from list 1</t>
        </is>
      </c>
    </row>
    <row r="958">
      <c r="A958" s="11" t="inlineStr">
        <is>
          <t>L1-0957</t>
        </is>
      </c>
      <c r="B958" s="11" t="inlineStr">
        <is>
          <t>List 1 (to ~2015)</t>
        </is>
      </c>
      <c r="C958" s="11" t="inlineStr">
        <is>
          <t>list1</t>
        </is>
      </c>
      <c r="D958" s="11" t="inlineStr">
        <is>
          <t>verified</t>
        </is>
      </c>
      <c r="E958" s="11" t="inlineStr">
        <is>
          <t>overruled</t>
        </is>
      </c>
      <c r="F958" s="2" t="inlineStr">
        <is>
          <t>Geoffrey Manners and Co. Ltd. v. Commissioner of Income Tax</t>
        </is>
      </c>
      <c r="G958" s="11" t="inlineStr"/>
      <c r="H958" s="11" t="inlineStr">
        <is>
          <t>unknown</t>
        </is>
      </c>
      <c r="I958" s="2" t="inlineStr">
        <is>
          <t>(1996) 136 CTR 169; (1996) 221 ITR 695; (1996) 89 TAXMAN 287</t>
        </is>
      </c>
      <c r="J958" s="11" t="n">
        <v>1996</v>
      </c>
      <c r="K958" s="2" t="inlineStr">
        <is>
          <t>Commissioner of Income Tax, Bombay City-III, Bombay v. British Bank of Middle East</t>
        </is>
      </c>
      <c r="L958" s="11" t="inlineStr">
        <is>
          <t>Supreme Court</t>
        </is>
      </c>
      <c r="M958" s="2" t="inlineStr">
        <is>
          <t>AIR 2001 SC 3343; (2001) 170 CTR 1; (2001) 251 ITR 217; (2001) 7 JT 88; (2001) 5 SCALE 592; (2001) 8 SCC 214; (2001) 118 TAXMAN 461; (2001) AIRSCW 3188; (2001) 6 Supreme 532</t>
        </is>
      </c>
      <c r="N958" s="11" t="n">
        <v>2001</v>
      </c>
      <c r="O958" s="11" t="n"/>
      <c r="P958" s="11" t="n"/>
      <c r="Q958" s="11" t="n"/>
      <c r="R958" s="2" t="n"/>
      <c r="S958" s="2" t="n"/>
      <c r="T958" s="11" t="inlineStr"/>
      <c r="U958" s="11" t="inlineStr"/>
      <c r="V958" s="11" t="inlineStr">
        <is>
          <t>outside_list</t>
        </is>
      </c>
      <c r="W958" s="11" t="n"/>
      <c r="X958" s="11" t="n"/>
      <c r="Y958" s="11" t="n"/>
      <c r="Z958" s="11" t="inlineStr">
        <is>
          <t>Mr. Advocate</t>
        </is>
      </c>
      <c r="AA958" s="11" t="inlineStr">
        <is>
          <t>2026-10-07</t>
        </is>
      </c>
      <c r="AB958" s="11" t="inlineStr">
        <is>
          <t>name_year</t>
        </is>
      </c>
      <c r="AC958" s="2" t="inlineStr"/>
      <c r="AD958" s="2" t="inlineStr">
        <is>
          <t>Geoffrey Manners and Co. Ltd. v. Commissioner of Income Tax (1996) was overruled by Commissioner of Income Tax, Bombay City-III, Bombay v. British Bank of Middle East (2001).</t>
        </is>
      </c>
      <c r="AE958" s="2" t="n"/>
      <c r="AF958" s="11" t="inlineStr">
        <is>
          <t>created from list 1</t>
        </is>
      </c>
    </row>
    <row r="959">
      <c r="A959" s="11" t="inlineStr">
        <is>
          <t>L1-0958</t>
        </is>
      </c>
      <c r="B959" s="11" t="inlineStr">
        <is>
          <t>List 1 (to ~2015)</t>
        </is>
      </c>
      <c r="C959" s="11" t="inlineStr">
        <is>
          <t>list1</t>
        </is>
      </c>
      <c r="D959" s="11" t="inlineStr">
        <is>
          <t>verified</t>
        </is>
      </c>
      <c r="E959" s="11" t="inlineStr">
        <is>
          <t>overruled</t>
        </is>
      </c>
      <c r="F959" s="2" t="inlineStr">
        <is>
          <t>Tata Engineering and Locomotive Co. Ltd. v. Bharat Mining Corporation Ltd. and Others</t>
        </is>
      </c>
      <c r="G959" s="11" t="inlineStr"/>
      <c r="H959" s="11" t="inlineStr">
        <is>
          <t>Bombay</t>
        </is>
      </c>
      <c r="I959" s="2" t="inlineStr">
        <is>
          <t>AIR 1980 Bom 168</t>
        </is>
      </c>
      <c r="J959" s="11" t="n">
        <v>1980</v>
      </c>
      <c r="K959" s="2" t="inlineStr">
        <is>
          <t>Bharat Coking Coal Ltd. v. Madanlal Agrawal</t>
        </is>
      </c>
      <c r="L959" s="11" t="inlineStr">
        <is>
          <t>Supreme Court</t>
        </is>
      </c>
      <c r="M959" s="2" t="inlineStr">
        <is>
          <t>(1996) 9 AD 415; AIR 1997 SC 1599; (1996) 10 JT 584; (1996) 8 SCALE 472; (1997) 1 SCC 177; (1996) 8 SCR 886 Supp; (1997) AIRSCW 366</t>
        </is>
      </c>
      <c r="N959" s="11" t="n">
        <v>1997</v>
      </c>
      <c r="O959" s="11" t="n"/>
      <c r="P959" s="11" t="n"/>
      <c r="Q959" s="11" t="n"/>
      <c r="R959" s="2" t="n"/>
      <c r="S959" s="2" t="n"/>
      <c r="T959" s="11" t="inlineStr"/>
      <c r="U959" s="11" t="inlineStr"/>
      <c r="V959" s="11" t="inlineStr">
        <is>
          <t>outside_list</t>
        </is>
      </c>
      <c r="W959" s="11" t="n"/>
      <c r="X959" s="11" t="n"/>
      <c r="Y959" s="11" t="n"/>
      <c r="Z959" s="11" t="inlineStr">
        <is>
          <t>Mr. Advocate</t>
        </is>
      </c>
      <c r="AA959" s="11" t="inlineStr">
        <is>
          <t>2026-10-07</t>
        </is>
      </c>
      <c r="AB959" s="11" t="inlineStr">
        <is>
          <t>name_year</t>
        </is>
      </c>
      <c r="AC959" s="2" t="inlineStr"/>
      <c r="AD959" s="2" t="inlineStr">
        <is>
          <t>Tata Engineering and Locomotive Co. Ltd. v. Bharat Mining Corporation Ltd. and Others (1980) was overruled by Bharat Coking Coal Ltd. v. Madanlal Agrawal (1997).</t>
        </is>
      </c>
      <c r="AE959" s="2" t="n"/>
      <c r="AF959" s="11" t="inlineStr">
        <is>
          <t>created from list 1</t>
        </is>
      </c>
    </row>
    <row r="960">
      <c r="A960" s="11" t="inlineStr">
        <is>
          <t>L1-0959</t>
        </is>
      </c>
      <c r="B960" s="11" t="inlineStr">
        <is>
          <t>List 1 (to ~2015)</t>
        </is>
      </c>
      <c r="C960" s="11" t="inlineStr">
        <is>
          <t>list1</t>
        </is>
      </c>
      <c r="D960" s="11" t="inlineStr">
        <is>
          <t>verified</t>
        </is>
      </c>
      <c r="E960" s="11" t="inlineStr">
        <is>
          <t>overruled</t>
        </is>
      </c>
      <c r="F960" s="2" t="inlineStr">
        <is>
          <t>Hindustan Chemical Works Ltd. v. Commissioner of Income Tax, Bombay City-I</t>
        </is>
      </c>
      <c r="G960" s="11" t="inlineStr"/>
      <c r="H960" s="11" t="inlineStr">
        <is>
          <t>unknown</t>
        </is>
      </c>
      <c r="I960" s="2" t="inlineStr">
        <is>
          <t>(1980) 124 ITR 561; (1979) 1 TAXMAN 420</t>
        </is>
      </c>
      <c r="J960" s="11" t="n">
        <v>1979</v>
      </c>
      <c r="K960" s="2" t="inlineStr">
        <is>
          <t>Commissioner of Income Tax, Meerut and Others v. Virmani Industries Pvt. Ltd. and Others</t>
        </is>
      </c>
      <c r="L960" s="11" t="inlineStr">
        <is>
          <t>Supreme Court</t>
        </is>
      </c>
      <c r="M960" s="2" t="inlineStr">
        <is>
          <t>(1995) 216 ITR 607; (1995) 7 JT 322; (1995) 5 SCALE 718; (1995) 6 SCC 466; (1995) 6 SCC 465; (1995) 4 SCR 275 Supp</t>
        </is>
      </c>
      <c r="N960" s="11" t="n">
        <v>1995</v>
      </c>
      <c r="O960" s="11" t="n"/>
      <c r="P960" s="11" t="n"/>
      <c r="Q960" s="11" t="n"/>
      <c r="R960" s="2" t="n"/>
      <c r="S960" s="2" t="n"/>
      <c r="T960" s="11" t="inlineStr"/>
      <c r="U960" s="11" t="inlineStr"/>
      <c r="V960" s="11" t="inlineStr">
        <is>
          <t>outside_list</t>
        </is>
      </c>
      <c r="W960" s="11" t="n"/>
      <c r="X960" s="11" t="n"/>
      <c r="Y960" s="11" t="n"/>
      <c r="Z960" s="11" t="inlineStr">
        <is>
          <t>Mr. Advocate</t>
        </is>
      </c>
      <c r="AA960" s="11" t="inlineStr">
        <is>
          <t>2026-10-07</t>
        </is>
      </c>
      <c r="AB960" s="11" t="inlineStr">
        <is>
          <t>name_year</t>
        </is>
      </c>
      <c r="AC960" s="2" t="inlineStr"/>
      <c r="AD960" s="2" t="inlineStr">
        <is>
          <t>Hindustan Chemical Works Ltd. v. Commissioner of Income Tax, Bombay City-I (1979) was overruled by Commissioner of Income Tax, Meerut and Others v. Virmani Industries Pvt. Ltd. and Others (1995).</t>
        </is>
      </c>
      <c r="AE960" s="2" t="n"/>
      <c r="AF960" s="11" t="inlineStr">
        <is>
          <t>created from list 1</t>
        </is>
      </c>
    </row>
    <row r="961">
      <c r="A961" s="11" t="inlineStr">
        <is>
          <t>L1-0960</t>
        </is>
      </c>
      <c r="B961" s="11" t="inlineStr">
        <is>
          <t>List 1 (to ~2015)</t>
        </is>
      </c>
      <c r="C961" s="11" t="inlineStr">
        <is>
          <t>list1</t>
        </is>
      </c>
      <c r="D961" s="11" t="inlineStr">
        <is>
          <t>verified</t>
        </is>
      </c>
      <c r="E961" s="11" t="inlineStr">
        <is>
          <t>overruled</t>
        </is>
      </c>
      <c r="F961" s="2" t="inlineStr">
        <is>
          <t>The Britannia Biscuit Co. Ltd. v. The State of Maharashtra</t>
        </is>
      </c>
      <c r="G961" s="11" t="inlineStr"/>
      <c r="H961" s="11" t="inlineStr">
        <is>
          <t>unknown</t>
        </is>
      </c>
      <c r="I961" s="2" t="inlineStr">
        <is>
          <t>(1983) 53 STC 179</t>
        </is>
      </c>
      <c r="J961" s="11" t="n">
        <v>1983</v>
      </c>
      <c r="K961" s="2" t="inlineStr">
        <is>
          <t>Karsondas Virji Thakkar and Another v. Jagannath Sowar Vaity and Others</t>
        </is>
      </c>
      <c r="L961" s="11" t="inlineStr">
        <is>
          <t>Supreme Court</t>
        </is>
      </c>
      <c r="M961" s="2" t="inlineStr">
        <is>
          <t>(1997) 10 JT 616; (1994) 5 SCALE 341; (1995) 2 SCC 47 Supp; (1994) 6 SCR 453 Supp</t>
        </is>
      </c>
      <c r="N961" s="11" t="n">
        <v>1994</v>
      </c>
      <c r="O961" s="11" t="n"/>
      <c r="P961" s="11" t="n"/>
      <c r="Q961" s="11" t="n"/>
      <c r="R961" s="2" t="n"/>
      <c r="S961" s="2" t="n"/>
      <c r="T961" s="11" t="inlineStr"/>
      <c r="U961" s="11" t="inlineStr"/>
      <c r="V961" s="11" t="inlineStr">
        <is>
          <t>outside_list</t>
        </is>
      </c>
      <c r="W961" s="11" t="n"/>
      <c r="X961" s="11" t="n"/>
      <c r="Y961" s="11" t="n"/>
      <c r="Z961" s="11" t="inlineStr">
        <is>
          <t>Mr. Advocate</t>
        </is>
      </c>
      <c r="AA961" s="11" t="inlineStr">
        <is>
          <t>2026-10-07</t>
        </is>
      </c>
      <c r="AB961" s="11" t="inlineStr">
        <is>
          <t>name_year</t>
        </is>
      </c>
      <c r="AC961" s="2" t="inlineStr"/>
      <c r="AD961" s="2" t="inlineStr">
        <is>
          <t>The Britannia Biscuit Co. Ltd. v. The State of Maharashtra (1983) was overruled by Karsondas Virji Thakkar and Another v. Jagannath Sowar Vaity and Others (1994).</t>
        </is>
      </c>
      <c r="AE961" s="2" t="n"/>
      <c r="AF961" s="11" t="inlineStr">
        <is>
          <t>created from list 1</t>
        </is>
      </c>
    </row>
    <row r="962">
      <c r="A962" s="11" t="inlineStr">
        <is>
          <t>L1-0961</t>
        </is>
      </c>
      <c r="B962" s="11" t="inlineStr">
        <is>
          <t>List 1 (to ~2015)</t>
        </is>
      </c>
      <c r="C962" s="11" t="inlineStr">
        <is>
          <t>list1</t>
        </is>
      </c>
      <c r="D962" s="11" t="inlineStr">
        <is>
          <t>verified</t>
        </is>
      </c>
      <c r="E962" s="11" t="inlineStr">
        <is>
          <t>overruled</t>
        </is>
      </c>
      <c r="F962" s="2" t="inlineStr">
        <is>
          <t>COMMISSIONER OF Income Tax, BOMBAY PRESIDENCY, SIND AND BALUCHISTAN v. THE GRAIN MERCHANTS ASSOCIATION OF BOMBAY.</t>
        </is>
      </c>
      <c r="G962" s="11" t="inlineStr"/>
      <c r="H962" s="11" t="inlineStr">
        <is>
          <t>Bombay</t>
        </is>
      </c>
      <c r="I962" s="2" t="inlineStr">
        <is>
          <t>AIR 1939 Bom 45; (1938) 6 ITR 427</t>
        </is>
      </c>
      <c r="J962" s="11" t="n">
        <v>1939</v>
      </c>
      <c r="K962" s="2" t="inlineStr">
        <is>
          <t>Commissioner of Income Tax, Madras v. Andhra Chamber of Commerce</t>
        </is>
      </c>
      <c r="L962" s="11" t="inlineStr">
        <is>
          <t>Supreme Court</t>
        </is>
      </c>
      <c r="M962" s="2" t="inlineStr">
        <is>
          <t>AIR 1965 SC 1281; (1965) 55 ITR 722; (1965) 1 SCR 565</t>
        </is>
      </c>
      <c r="N962" s="11" t="n">
        <v>1965</v>
      </c>
      <c r="O962" s="11" t="n"/>
      <c r="P962" s="11" t="n"/>
      <c r="Q962" s="11" t="n"/>
      <c r="R962" s="2" t="n"/>
      <c r="S962" s="2" t="n"/>
      <c r="T962" s="11" t="inlineStr"/>
      <c r="U962" s="11" t="inlineStr"/>
      <c r="V962" s="11" t="inlineStr">
        <is>
          <t>outside_list</t>
        </is>
      </c>
      <c r="W962" s="11" t="n"/>
      <c r="X962" s="11" t="n"/>
      <c r="Y962" s="11" t="n"/>
      <c r="Z962" s="11" t="inlineStr">
        <is>
          <t>Mr. Advocate</t>
        </is>
      </c>
      <c r="AA962" s="11" t="inlineStr">
        <is>
          <t>2026-10-07</t>
        </is>
      </c>
      <c r="AB962" s="11" t="inlineStr">
        <is>
          <t>name_year</t>
        </is>
      </c>
      <c r="AC962" s="2" t="inlineStr"/>
      <c r="AD962" s="2" t="inlineStr">
        <is>
          <t>COMMISSIONER OF Income Tax, BOMBAY PRESIDENCY, SIND AND BALUCHISTAN v. THE GRAIN MERCHANTS ASSOCIATION OF BOMBAY. (1939) was overruled by Commissioner of Income Tax, Madras v. Andhra Chamber of Commerce (1965).</t>
        </is>
      </c>
      <c r="AE962" s="2" t="n"/>
      <c r="AF962" s="11" t="inlineStr">
        <is>
          <t>created from list 1</t>
        </is>
      </c>
    </row>
    <row r="963">
      <c r="A963" s="11" t="inlineStr">
        <is>
          <t>L1-0962</t>
        </is>
      </c>
      <c r="B963" s="11" t="inlineStr">
        <is>
          <t>List 1 (to ~2015)</t>
        </is>
      </c>
      <c r="C963" s="11" t="inlineStr">
        <is>
          <t>list1</t>
        </is>
      </c>
      <c r="D963" s="11" t="inlineStr">
        <is>
          <t>verified</t>
        </is>
      </c>
      <c r="E963" s="11" t="inlineStr">
        <is>
          <t>overruled</t>
        </is>
      </c>
      <c r="F963" s="2" t="inlineStr">
        <is>
          <t>Mansing Surajsingh Padvi v. The State of Maharashtra</t>
        </is>
      </c>
      <c r="G963" s="11" t="inlineStr"/>
      <c r="H963" s="11" t="inlineStr">
        <is>
          <t>unknown</t>
        </is>
      </c>
      <c r="I963" s="2" t="inlineStr">
        <is>
          <t>(1968) 70 BOMLR 654</t>
        </is>
      </c>
      <c r="J963" s="11" t="n">
        <v>1968</v>
      </c>
      <c r="K963" s="2" t="inlineStr">
        <is>
          <t>State of Maharashtra and Others v. Man Singh Suraj Singh Padvi and Others</t>
        </is>
      </c>
      <c r="L963" s="11" t="inlineStr">
        <is>
          <t>Supreme Court</t>
        </is>
      </c>
      <c r="M963" s="2" t="inlineStr">
        <is>
          <t>AIR 1978 SC 916; (1978) 1 SCC 615; (1978) 2 SCR 856; (1978) 10 UJ 177</t>
        </is>
      </c>
      <c r="N963" s="11" t="n">
        <v>1978</v>
      </c>
      <c r="O963" s="11" t="n"/>
      <c r="P963" s="11" t="n"/>
      <c r="Q963" s="11" t="n"/>
      <c r="R963" s="2" t="n"/>
      <c r="S963" s="2" t="n"/>
      <c r="T963" s="11" t="inlineStr"/>
      <c r="U963" s="11" t="inlineStr"/>
      <c r="V963" s="11" t="inlineStr">
        <is>
          <t>outside_list</t>
        </is>
      </c>
      <c r="W963" s="11" t="n"/>
      <c r="X963" s="11" t="n"/>
      <c r="Y963" s="11" t="n"/>
      <c r="Z963" s="11" t="inlineStr">
        <is>
          <t>Mr. Advocate</t>
        </is>
      </c>
      <c r="AA963" s="11" t="inlineStr">
        <is>
          <t>2026-10-07</t>
        </is>
      </c>
      <c r="AB963" s="11" t="inlineStr">
        <is>
          <t>name_year</t>
        </is>
      </c>
      <c r="AC963" s="2" t="inlineStr"/>
      <c r="AD963" s="2" t="inlineStr">
        <is>
          <t>Mansing Surajsingh Padvi v. The State of Maharashtra (1968) was overruled by State of Maharashtra and Others v. Man Singh Suraj Singh Padvi and Others (1978).</t>
        </is>
      </c>
      <c r="AE963" s="2" t="n"/>
      <c r="AF963" s="11" t="inlineStr">
        <is>
          <t>created from list 1</t>
        </is>
      </c>
    </row>
    <row r="964">
      <c r="A964" s="11" t="inlineStr">
        <is>
          <t>L1-0963</t>
        </is>
      </c>
      <c r="B964" s="11" t="inlineStr">
        <is>
          <t>List 1 (to ~2015)</t>
        </is>
      </c>
      <c r="C964" s="11" t="inlineStr">
        <is>
          <t>list1</t>
        </is>
      </c>
      <c r="D964" s="11" t="inlineStr">
        <is>
          <t>verified</t>
        </is>
      </c>
      <c r="E964" s="11" t="inlineStr">
        <is>
          <t>reversed_on_appeal</t>
        </is>
      </c>
      <c r="F964" s="2" t="inlineStr">
        <is>
          <t>Shaikh Bannu and Another v. State of Maharashtra</t>
        </is>
      </c>
      <c r="G964" s="11" t="inlineStr"/>
      <c r="H964" s="11" t="inlineStr">
        <is>
          <t>unknown</t>
        </is>
      </c>
      <c r="I964" s="2" t="inlineStr">
        <is>
          <t>(1974) CriLJ 162; (1973) MhLj 800</t>
        </is>
      </c>
      <c r="J964" s="11" t="n">
        <v>1973</v>
      </c>
      <c r="K964" s="2" t="inlineStr">
        <is>
          <t>State of Maharashtra v. S.K. Bannu and Shankar</t>
        </is>
      </c>
      <c r="L964" s="11" t="inlineStr">
        <is>
          <t>Supreme Court</t>
        </is>
      </c>
      <c r="M964" s="2" t="inlineStr">
        <is>
          <t>AIR 1981 SC 22; (1980) CriLJ 1280; (1980) 4 SCC 286; (1980) SCC(Cri) 951; (1981) 1 SCR 694</t>
        </is>
      </c>
      <c r="N964" s="11" t="n">
        <v>1981</v>
      </c>
      <c r="O964" s="11" t="n"/>
      <c r="P964" s="11" t="n"/>
      <c r="Q964" s="11" t="n"/>
      <c r="R964" s="2" t="n"/>
      <c r="S964" s="2" t="n"/>
      <c r="T964" s="11" t="inlineStr">
        <is>
          <t>yes</t>
        </is>
      </c>
      <c r="U964" s="11" t="inlineStr"/>
      <c r="V964" s="11" t="inlineStr">
        <is>
          <t>outside_list</t>
        </is>
      </c>
      <c r="W964" s="11" t="n"/>
      <c r="X964" s="11" t="n"/>
      <c r="Y964" s="11" t="n"/>
      <c r="Z964" s="11" t="inlineStr">
        <is>
          <t>Mr. Advocate</t>
        </is>
      </c>
      <c r="AA964" s="11" t="inlineStr">
        <is>
          <t>2026-10-07</t>
        </is>
      </c>
      <c r="AB964" s="11" t="inlineStr">
        <is>
          <t>name_year</t>
        </is>
      </c>
      <c r="AC964" s="2" t="inlineStr"/>
      <c r="AD964" s="2" t="inlineStr">
        <is>
          <t>Shaikh Bannu and Another v. State of Maharashtra (1973) was reversed on appeal by the Supreme Court in State of Maharashtra v. S.K. Bannu and Shankar (1981).</t>
        </is>
      </c>
      <c r="AE964" s="2" t="n"/>
      <c r="AF964" s="11" t="inlineStr">
        <is>
          <t>created from list 1</t>
        </is>
      </c>
    </row>
    <row r="965">
      <c r="A965" s="11" t="inlineStr">
        <is>
          <t>L1-0964</t>
        </is>
      </c>
      <c r="B965" s="11" t="inlineStr">
        <is>
          <t>List 1 (to ~2015)</t>
        </is>
      </c>
      <c r="C965" s="11" t="inlineStr">
        <is>
          <t>list1</t>
        </is>
      </c>
      <c r="D965" s="11" t="inlineStr">
        <is>
          <t>verified</t>
        </is>
      </c>
      <c r="E965" s="11" t="inlineStr">
        <is>
          <t>overruled</t>
        </is>
      </c>
      <c r="F965" s="2" t="inlineStr">
        <is>
          <t>Subhash Ganpatrao Buty and Another v. Maroti and Others</t>
        </is>
      </c>
      <c r="G965" s="11" t="inlineStr"/>
      <c r="H965" s="11" t="inlineStr">
        <is>
          <t>Bombay</t>
        </is>
      </c>
      <c r="I965" s="2" t="inlineStr">
        <is>
          <t>AIR 1975 Bom 244; (1975) 77 BOMLR 517; (1975) MhLj 244</t>
        </is>
      </c>
      <c r="J965" s="11" t="n">
        <v>1975</v>
      </c>
      <c r="K965" s="2" t="inlineStr">
        <is>
          <t>Udayan Chinubhai v. R.C. Bali</t>
        </is>
      </c>
      <c r="L965" s="11" t="inlineStr">
        <is>
          <t>Supreme Court</t>
        </is>
      </c>
      <c r="M965" s="2" t="inlineStr">
        <is>
          <t>AIR 1977 SC 2319; (1977) 4 SCC 309; (1978) 1 SCR 547; (1977) 9 UJ 633</t>
        </is>
      </c>
      <c r="N965" s="11" t="n">
        <v>1977</v>
      </c>
      <c r="O965" s="11" t="n"/>
      <c r="P965" s="11" t="n"/>
      <c r="Q965" s="11" t="n"/>
      <c r="R965" s="2" t="n"/>
      <c r="S965" s="2" t="n"/>
      <c r="T965" s="11" t="inlineStr"/>
      <c r="U965" s="11" t="inlineStr"/>
      <c r="V965" s="11" t="inlineStr">
        <is>
          <t>outside_list</t>
        </is>
      </c>
      <c r="W965" s="11" t="n"/>
      <c r="X965" s="11" t="n"/>
      <c r="Y965" s="11" t="n"/>
      <c r="Z965" s="11" t="inlineStr">
        <is>
          <t>Mr. Advocate</t>
        </is>
      </c>
      <c r="AA965" s="11" t="inlineStr">
        <is>
          <t>2026-10-07</t>
        </is>
      </c>
      <c r="AB965" s="11" t="inlineStr">
        <is>
          <t>name_year</t>
        </is>
      </c>
      <c r="AC965" s="2" t="inlineStr"/>
      <c r="AD965" s="2" t="inlineStr">
        <is>
          <t>Subhash Ganpatrao Buty and Another v. Maroti and Others (1975) was overruled by Udayan Chinubhai v. R.C. Bali (1977).</t>
        </is>
      </c>
      <c r="AE965" s="2" t="n"/>
      <c r="AF965" s="11" t="inlineStr">
        <is>
          <t>created from list 1</t>
        </is>
      </c>
    </row>
    <row r="966">
      <c r="A966" s="11" t="inlineStr">
        <is>
          <t>L1-0965</t>
        </is>
      </c>
      <c r="B966" s="11" t="inlineStr">
        <is>
          <t>List 1 (to ~2015)</t>
        </is>
      </c>
      <c r="C966" s="11" t="inlineStr">
        <is>
          <t>list1</t>
        </is>
      </c>
      <c r="D966" s="11" t="inlineStr">
        <is>
          <t>verified</t>
        </is>
      </c>
      <c r="E966" s="11" t="inlineStr">
        <is>
          <t>reversed_on_appeal</t>
        </is>
      </c>
      <c r="F966" s="2" t="inlineStr">
        <is>
          <t>Uttam Manohar Nakate v. Bharat Forge Company Ltd., Pune and Others</t>
        </is>
      </c>
      <c r="G966" s="11" t="inlineStr"/>
      <c r="H966" s="11" t="inlineStr">
        <is>
          <t>unknown</t>
        </is>
      </c>
      <c r="I966" s="2" t="inlineStr">
        <is>
          <t>(2002) 2 ALLMR 329; (2002) 1 BomCR 401; (2002) 93 FLR 293; (2002) 2 MhLj 395</t>
        </is>
      </c>
      <c r="J966" s="11" t="n">
        <v>2002</v>
      </c>
      <c r="K966" s="2" t="inlineStr">
        <is>
          <t>Bharat Forge Co. Ltd. v. Uttam Manohar Nakate</t>
        </is>
      </c>
      <c r="L966" s="11" t="inlineStr">
        <is>
          <t>Supreme Court</t>
        </is>
      </c>
      <c r="M966" s="2" t="inlineStr">
        <is>
          <t>AIR 2005 SC 947; (2005) 104 FLR 812; (2005) 1 JT 303; (2005) 1 LLJ 738; (2005) 2 SCC 489; (2005) SCC(L&amp;S) 298; (2005) 1 SCR 545; (2005) 2 SLJ 286</t>
        </is>
      </c>
      <c r="N966" s="11" t="n">
        <v>2005</v>
      </c>
      <c r="O966" s="11" t="n"/>
      <c r="P966" s="11" t="n"/>
      <c r="Q966" s="11" t="n"/>
      <c r="R966" s="2" t="n"/>
      <c r="S966" s="2" t="n"/>
      <c r="T966" s="11" t="inlineStr">
        <is>
          <t>yes</t>
        </is>
      </c>
      <c r="U966" s="11" t="inlineStr"/>
      <c r="V966" s="11" t="inlineStr">
        <is>
          <t>outside_list</t>
        </is>
      </c>
      <c r="W966" s="11" t="n"/>
      <c r="X966" s="11" t="n"/>
      <c r="Y966" s="11" t="n"/>
      <c r="Z966" s="11" t="inlineStr">
        <is>
          <t>Mr. Advocate</t>
        </is>
      </c>
      <c r="AA966" s="11" t="inlineStr">
        <is>
          <t>2026-10-07</t>
        </is>
      </c>
      <c r="AB966" s="11" t="inlineStr">
        <is>
          <t>name_year</t>
        </is>
      </c>
      <c r="AC966" s="2" t="inlineStr"/>
      <c r="AD966" s="2" t="inlineStr">
        <is>
          <t>Uttam Manohar Nakate v. Bharat Forge Company Ltd., Pune and Others (2002) was reversed on appeal by the Supreme Court in Bharat Forge Co. Ltd. v. Uttam Manohar Nakate (2005).</t>
        </is>
      </c>
      <c r="AE966" s="2" t="n"/>
      <c r="AF966" s="11" t="inlineStr">
        <is>
          <t>created from list 1</t>
        </is>
      </c>
    </row>
    <row r="967">
      <c r="A967" s="11" t="inlineStr">
        <is>
          <t>L1-0966</t>
        </is>
      </c>
      <c r="B967" s="11" t="inlineStr">
        <is>
          <t>List 1 (to ~2015)</t>
        </is>
      </c>
      <c r="C967" s="11" t="inlineStr">
        <is>
          <t>list1</t>
        </is>
      </c>
      <c r="D967" s="11" t="inlineStr">
        <is>
          <t>verified</t>
        </is>
      </c>
      <c r="E967" s="11" t="inlineStr">
        <is>
          <t>overruled</t>
        </is>
      </c>
      <c r="F967" s="2" t="inlineStr">
        <is>
          <t>Mr. Bharat Shantilal Shah, Smt. Shamim Mirza Arif Beg and Mr. Sanjay Patil v. The State of Maharashtra</t>
        </is>
      </c>
      <c r="G967" s="11" t="inlineStr"/>
      <c r="H967" s="11" t="inlineStr">
        <is>
          <t>unknown</t>
        </is>
      </c>
      <c r="I967" s="2" t="inlineStr">
        <is>
          <t>(2003) BomCR(Cri) 947; (2002) 1 BOMLR 527</t>
        </is>
      </c>
      <c r="J967" s="11" t="n">
        <v>2002</v>
      </c>
      <c r="K967" s="2" t="inlineStr">
        <is>
          <t>State of Maharashtra v. Bharat Shanti Lal Shah and Others</t>
        </is>
      </c>
      <c r="L967" s="11" t="inlineStr">
        <is>
          <t>unknown</t>
        </is>
      </c>
      <c r="M967" s="2" t="inlineStr">
        <is>
          <t>(2008) 10 JT 77; (2008) 12 SCALE 167; (2008) 13 SCC 5; (2009) AIRSCW 307</t>
        </is>
      </c>
      <c r="N967" s="11" t="n">
        <v>2008</v>
      </c>
      <c r="O967" s="11" t="n"/>
      <c r="P967" s="11" t="n"/>
      <c r="Q967" s="11" t="n"/>
      <c r="R967" s="2" t="n"/>
      <c r="S967" s="2" t="n"/>
      <c r="T967" s="11" t="inlineStr"/>
      <c r="U967" s="11" t="inlineStr"/>
      <c r="V967" s="11" t="inlineStr">
        <is>
          <t>outside_list</t>
        </is>
      </c>
      <c r="W967" s="11" t="n"/>
      <c r="X967" s="11" t="n"/>
      <c r="Y967" s="11" t="n"/>
      <c r="Z967" s="11" t="inlineStr">
        <is>
          <t>Mr. Advocate</t>
        </is>
      </c>
      <c r="AA967" s="11" t="inlineStr">
        <is>
          <t>2026-10-07</t>
        </is>
      </c>
      <c r="AB967" s="11" t="inlineStr">
        <is>
          <t>name_year</t>
        </is>
      </c>
      <c r="AC967" s="2" t="inlineStr"/>
      <c r="AD967" s="2" t="inlineStr">
        <is>
          <t>Mr. Bharat Shantilal Shah, Smt. Shamim Mirza Arif Beg and Mr. Sanjay Patil v. The State of Maharashtra (2002) was overruled by State of Maharashtra v. Bharat Shanti Lal Shah and Others (2008).</t>
        </is>
      </c>
      <c r="AE967" s="2" t="n"/>
      <c r="AF967" s="11" t="inlineStr">
        <is>
          <t>created from list 1</t>
        </is>
      </c>
    </row>
    <row r="968">
      <c r="A968" s="11" t="inlineStr">
        <is>
          <t>L1-0967</t>
        </is>
      </c>
      <c r="B968" s="11" t="inlineStr">
        <is>
          <t>List 1 (to ~2015)</t>
        </is>
      </c>
      <c r="C968" s="11" t="inlineStr">
        <is>
          <t>list1</t>
        </is>
      </c>
      <c r="D968" s="11" t="inlineStr">
        <is>
          <t>verified</t>
        </is>
      </c>
      <c r="E968" s="11" t="inlineStr">
        <is>
          <t>reversed_on_appeal</t>
        </is>
      </c>
      <c r="F968" s="2" t="inlineStr">
        <is>
          <t>Priya Sharan Maharaj alias Yadavendra Parashar and others v. State of Maharashtra</t>
        </is>
      </c>
      <c r="G968" s="11" t="inlineStr"/>
      <c r="H968" s="11" t="inlineStr">
        <is>
          <t>unknown</t>
        </is>
      </c>
      <c r="I968" s="2" t="inlineStr">
        <is>
          <t>(1995) CriLJ 3683</t>
        </is>
      </c>
      <c r="J968" s="11" t="n">
        <v>1995</v>
      </c>
      <c r="K968" s="2" t="inlineStr">
        <is>
          <t>State of Maharashtra v. Priya Sharan Maharaj and Others</t>
        </is>
      </c>
      <c r="L968" s="11" t="inlineStr">
        <is>
          <t>Supreme Court</t>
        </is>
      </c>
      <c r="M968" s="2" t="inlineStr">
        <is>
          <t>AIR 1997 SC 2041; (1997) CriLJ 2248; (1997) 1 Crimes 275; (1997) 4 JT 84; (1997) 2 SCALE 687; (1997) 4 SCC 393; (1997) 2 SCR 933; (1997) AIRSCW 1833; (1997) 3 Supreme 73</t>
        </is>
      </c>
      <c r="N968" s="11" t="n">
        <v>1997</v>
      </c>
      <c r="O968" s="11" t="n"/>
      <c r="P968" s="11" t="n"/>
      <c r="Q968" s="11" t="n"/>
      <c r="R968" s="2" t="n"/>
      <c r="S968" s="2" t="n"/>
      <c r="T968" s="11" t="inlineStr">
        <is>
          <t>yes</t>
        </is>
      </c>
      <c r="U968" s="11" t="inlineStr"/>
      <c r="V968" s="11" t="inlineStr">
        <is>
          <t>outside_list</t>
        </is>
      </c>
      <c r="W968" s="11" t="n"/>
      <c r="X968" s="11" t="n"/>
      <c r="Y968" s="11" t="n"/>
      <c r="Z968" s="11" t="inlineStr">
        <is>
          <t>Mr. Advocate</t>
        </is>
      </c>
      <c r="AA968" s="11" t="inlineStr">
        <is>
          <t>2026-10-07</t>
        </is>
      </c>
      <c r="AB968" s="11" t="inlineStr">
        <is>
          <t>name_year</t>
        </is>
      </c>
      <c r="AC968" s="2" t="inlineStr"/>
      <c r="AD968" s="2" t="inlineStr">
        <is>
          <t>Priya Sharan Maharaj alias Yadavendra Parashar and others v. State of Maharashtra (1995) was reversed on appeal by the Supreme Court in State of Maharashtra v. Priya Sharan Maharaj and Others (1997).</t>
        </is>
      </c>
      <c r="AE968" s="2" t="n"/>
      <c r="AF968" s="11" t="inlineStr">
        <is>
          <t>created from list 1</t>
        </is>
      </c>
    </row>
    <row r="969">
      <c r="A969" s="11" t="inlineStr">
        <is>
          <t>L1-0968</t>
        </is>
      </c>
      <c r="B969" s="11" t="inlineStr">
        <is>
          <t>List 1 (to ~2015)</t>
        </is>
      </c>
      <c r="C969" s="11" t="inlineStr">
        <is>
          <t>list1</t>
        </is>
      </c>
      <c r="D969" s="11" t="inlineStr">
        <is>
          <t>verified</t>
        </is>
      </c>
      <c r="E969" s="11" t="inlineStr">
        <is>
          <t>overruled</t>
        </is>
      </c>
      <c r="F969" s="2" t="inlineStr">
        <is>
          <t>Mervin Albert Veiyra v. C.P. Fernandes and Another</t>
        </is>
      </c>
      <c r="G969" s="11" t="inlineStr"/>
      <c r="H969" s="11" t="inlineStr">
        <is>
          <t>Bombay</t>
        </is>
      </c>
      <c r="I969" s="2" t="inlineStr">
        <is>
          <t>AIR 1957 Bom 100; (1956) 58 BOMLR 385; (1956) ILR (Bom) 585</t>
        </is>
      </c>
      <c r="J969" s="11" t="n">
        <v>1957</v>
      </c>
      <c r="K969" s="2" t="inlineStr">
        <is>
          <t>The Workmen of Firestone Tyre and Rubber Co. of India (P) Ltd. v. The Firestone Tyre and Rubber Co.</t>
        </is>
      </c>
      <c r="L969" s="11" t="inlineStr">
        <is>
          <t>Supreme Court</t>
        </is>
      </c>
      <c r="M969" s="2" t="inlineStr">
        <is>
          <t>AIR 1976 SC 1775; (1976) 32 FLR 170; (1976) 1 LLJ 493; (1976) 3 SCC 819; (1976) 3 SCR 369</t>
        </is>
      </c>
      <c r="N969" s="11" t="n">
        <v>1976</v>
      </c>
      <c r="O969" s="11" t="n"/>
      <c r="P969" s="11" t="n"/>
      <c r="Q969" s="11" t="n"/>
      <c r="R969" s="2" t="n"/>
      <c r="S969" s="2" t="n"/>
      <c r="T969" s="11" t="inlineStr"/>
      <c r="U969" s="11" t="inlineStr"/>
      <c r="V969" s="11" t="inlineStr">
        <is>
          <t>outside_list</t>
        </is>
      </c>
      <c r="W969" s="11" t="n"/>
      <c r="X969" s="11" t="n"/>
      <c r="Y969" s="11" t="n"/>
      <c r="Z969" s="11" t="inlineStr">
        <is>
          <t>Mr. Advocate</t>
        </is>
      </c>
      <c r="AA969" s="11" t="inlineStr">
        <is>
          <t>2026-10-07</t>
        </is>
      </c>
      <c r="AB969" s="11" t="inlineStr">
        <is>
          <t>name_year</t>
        </is>
      </c>
      <c r="AC969" s="2" t="inlineStr"/>
      <c r="AD969" s="2" t="inlineStr">
        <is>
          <t>Mervin Albert Veiyra v. C.P. Fernandes and Another (1957) was overruled by The Workmen of Firestone Tyre and Rubber Co. of India (P) Ltd. v. The Firestone Tyre and Rubber Co. (1976).</t>
        </is>
      </c>
      <c r="AE969" s="2" t="n"/>
      <c r="AF969" s="11" t="inlineStr">
        <is>
          <t>created from list 1</t>
        </is>
      </c>
    </row>
    <row r="970">
      <c r="A970" s="11" t="inlineStr">
        <is>
          <t>L1-0969</t>
        </is>
      </c>
      <c r="B970" s="11" t="inlineStr">
        <is>
          <t>List 1 (to ~2015)</t>
        </is>
      </c>
      <c r="C970" s="11" t="inlineStr">
        <is>
          <t>list1</t>
        </is>
      </c>
      <c r="D970" s="11" t="inlineStr">
        <is>
          <t>verified</t>
        </is>
      </c>
      <c r="E970" s="11" t="inlineStr">
        <is>
          <t>reversed_on_appeal</t>
        </is>
      </c>
      <c r="F970" s="2" t="inlineStr">
        <is>
          <t>Commissioner of Income Tax, Bombay City-ii v. Fordham Pressing (India) P. Ltd.</t>
        </is>
      </c>
      <c r="G970" s="11" t="inlineStr"/>
      <c r="H970" s="11" t="inlineStr">
        <is>
          <t>unknown</t>
        </is>
      </c>
      <c r="I970" s="2" t="inlineStr">
        <is>
          <t>(1979) 11 CTR 310; (1980) 121 ITR 462; (1979) 1 TAXMAN 293</t>
        </is>
      </c>
      <c r="J970" s="11" t="n">
        <v>1979</v>
      </c>
      <c r="K970" s="2" t="inlineStr">
        <is>
          <t>Bajaj Tempo Ltd., Bombay v. Commissioner of Income Tax, Bombay City-II, Bombay</t>
        </is>
      </c>
      <c r="L970" s="11" t="inlineStr">
        <is>
          <t>Supreme Court</t>
        </is>
      </c>
      <c r="M970" s="2" t="inlineStr">
        <is>
          <t>AIR 1992 SC 1622; (1992) 104 CTR 116; (1992) 196 ITR 188; (1992) 3 JT 185; (1993) 4 SCALE 367; (1992) 1 SCALE 912; (1992) 3 SCC 78; (1992) 2 SCR 765; (1992) 62 TAXMAN 480</t>
        </is>
      </c>
      <c r="N970" s="11" t="n">
        <v>1992</v>
      </c>
      <c r="O970" s="11" t="n"/>
      <c r="P970" s="11" t="n"/>
      <c r="Q970" s="11" t="n"/>
      <c r="R970" s="2" t="n"/>
      <c r="S970" s="2" t="n"/>
      <c r="T970" s="11" t="inlineStr">
        <is>
          <t>yes</t>
        </is>
      </c>
      <c r="U970" s="11" t="inlineStr"/>
      <c r="V970" s="11" t="inlineStr">
        <is>
          <t>outside_list</t>
        </is>
      </c>
      <c r="W970" s="11" t="n"/>
      <c r="X970" s="11" t="n"/>
      <c r="Y970" s="11" t="n"/>
      <c r="Z970" s="11" t="inlineStr">
        <is>
          <t>Mr. Advocate</t>
        </is>
      </c>
      <c r="AA970" s="11" t="inlineStr">
        <is>
          <t>2026-10-07</t>
        </is>
      </c>
      <c r="AB970" s="11" t="inlineStr">
        <is>
          <t>name_year</t>
        </is>
      </c>
      <c r="AC970" s="2" t="inlineStr"/>
      <c r="AD970" s="2" t="inlineStr">
        <is>
          <t>Commissioner of Income Tax, Bombay City-ii v. Fordham Pressing (India) P. Ltd. (1979) was reversed on appeal by the Supreme Court in Bajaj Tempo Ltd., Bombay v. Commissioner of Income Tax, Bombay City-II, Bombay (1992).</t>
        </is>
      </c>
      <c r="AE970" s="2" t="n"/>
      <c r="AF970" s="11" t="inlineStr">
        <is>
          <t>created from list 1</t>
        </is>
      </c>
    </row>
    <row r="971">
      <c r="A971" s="11" t="inlineStr">
        <is>
          <t>L1-0970</t>
        </is>
      </c>
      <c r="B971" s="11" t="inlineStr">
        <is>
          <t>List 1 (to ~2015)</t>
        </is>
      </c>
      <c r="C971" s="11" t="inlineStr">
        <is>
          <t>list1</t>
        </is>
      </c>
      <c r="D971" s="11" t="inlineStr">
        <is>
          <t>verified</t>
        </is>
      </c>
      <c r="E971" s="11" t="inlineStr">
        <is>
          <t>overruled</t>
        </is>
      </c>
      <c r="F971" s="2" t="inlineStr">
        <is>
          <t>Klim Plastic Products and Others v. Paradise Industrial Corporation and Others</t>
        </is>
      </c>
      <c r="G971" s="11" t="inlineStr"/>
      <c r="H971" s="11" t="inlineStr">
        <is>
          <t>Bombay</t>
        </is>
      </c>
      <c r="I971" s="2" t="inlineStr">
        <is>
          <t>AIR 1973 Bom 249; (1973) 75 BOMLR 224; (1973) MhLj 533</t>
        </is>
      </c>
      <c r="J971" s="11" t="n">
        <v>1973</v>
      </c>
      <c r="K971" s="2" t="inlineStr">
        <is>
          <t>Paradise Industrial Corpn. v. Kiln Plastics Products</t>
        </is>
      </c>
      <c r="L971" s="11" t="inlineStr">
        <is>
          <t>Supreme Court</t>
        </is>
      </c>
      <c r="M971" s="2" t="inlineStr">
        <is>
          <t>AIR 1976 SC 309; (1976) 1 SCC 91; (1976) 2 SCR 32; (1975) 7 UJ 832</t>
        </is>
      </c>
      <c r="N971" s="11" t="n">
        <v>1976</v>
      </c>
      <c r="O971" s="11" t="n"/>
      <c r="P971" s="11" t="n"/>
      <c r="Q971" s="11" t="n"/>
      <c r="R971" s="2" t="n"/>
      <c r="S971" s="2" t="n"/>
      <c r="T971" s="11" t="inlineStr"/>
      <c r="U971" s="11" t="inlineStr"/>
      <c r="V971" s="11" t="inlineStr">
        <is>
          <t>outside_list</t>
        </is>
      </c>
      <c r="W971" s="11" t="n"/>
      <c r="X971" s="11" t="n"/>
      <c r="Y971" s="11" t="n"/>
      <c r="Z971" s="11" t="inlineStr">
        <is>
          <t>Mr. Advocate</t>
        </is>
      </c>
      <c r="AA971" s="11" t="inlineStr">
        <is>
          <t>2026-10-07</t>
        </is>
      </c>
      <c r="AB971" s="11" t="inlineStr">
        <is>
          <t>name_year</t>
        </is>
      </c>
      <c r="AC971" s="2" t="inlineStr"/>
      <c r="AD971" s="2" t="inlineStr">
        <is>
          <t>Klim Plastic Products and Others v. Paradise Industrial Corporation and Others (1973) was overruled by Paradise Industrial Corpn. v. Kiln Plastics Products (1976).</t>
        </is>
      </c>
      <c r="AE971" s="2" t="n"/>
      <c r="AF971" s="11" t="inlineStr">
        <is>
          <t>created from list 1</t>
        </is>
      </c>
    </row>
    <row r="972">
      <c r="A972" s="11" t="inlineStr">
        <is>
          <t>L1-0971</t>
        </is>
      </c>
      <c r="B972" s="11" t="inlineStr">
        <is>
          <t>List 1 (to ~2015)</t>
        </is>
      </c>
      <c r="C972" s="11" t="inlineStr">
        <is>
          <t>list1</t>
        </is>
      </c>
      <c r="D972" s="11" t="inlineStr">
        <is>
          <t>verified</t>
        </is>
      </c>
      <c r="E972" s="11" t="inlineStr">
        <is>
          <t>reversed_on_appeal</t>
        </is>
      </c>
      <c r="F972" s="2" t="inlineStr">
        <is>
          <t>Sandvik Asia Ltd. v. Commissioner of Income Tax and Others</t>
        </is>
      </c>
      <c r="G972" s="11" t="inlineStr"/>
      <c r="H972" s="11" t="inlineStr">
        <is>
          <t>unknown</t>
        </is>
      </c>
      <c r="I972" s="2" t="inlineStr">
        <is>
          <t>(2004) 3 BomCR 590; (2004) 189 CTR 226</t>
        </is>
      </c>
      <c r="J972" s="11" t="n">
        <v>2004</v>
      </c>
      <c r="K972" s="2" t="inlineStr">
        <is>
          <t>Sandvik Asia Ltd. v. Commissioner of Income Tax-I, Pune and Others</t>
        </is>
      </c>
      <c r="L972" s="11" t="inlineStr">
        <is>
          <t>Supreme Court</t>
        </is>
      </c>
      <c r="M972" s="2" t="inlineStr">
        <is>
          <t>AIR 2006 SC 1223; (2006) 1 CTC 741; (2006) 200 CTR 505; (2006) 196 ELT 257; (2006) 280 ITR 643; (2006) 2 JT 7; (2006) 1 SCALE 569; (2006) 2 SCC 508; (2006) 1 SCR 811; (2007) 8 STR 193; (2006) 150 TAXMAN 591; (2006) AIRSCW 468; (2006) 1 Supreme 608</t>
        </is>
      </c>
      <c r="N972" s="11" t="n">
        <v>2006</v>
      </c>
      <c r="O972" s="11" t="n"/>
      <c r="P972" s="11" t="n"/>
      <c r="Q972" s="11" t="n"/>
      <c r="R972" s="2" t="n"/>
      <c r="S972" s="2" t="n"/>
      <c r="T972" s="11" t="inlineStr">
        <is>
          <t>yes</t>
        </is>
      </c>
      <c r="U972" s="11" t="inlineStr"/>
      <c r="V972" s="11" t="inlineStr">
        <is>
          <t>outside_list</t>
        </is>
      </c>
      <c r="W972" s="11" t="n"/>
      <c r="X972" s="11" t="n"/>
      <c r="Y972" s="11" t="n"/>
      <c r="Z972" s="11" t="inlineStr">
        <is>
          <t>Mr. Advocate</t>
        </is>
      </c>
      <c r="AA972" s="11" t="inlineStr">
        <is>
          <t>2026-10-07</t>
        </is>
      </c>
      <c r="AB972" s="11" t="inlineStr">
        <is>
          <t>name_year</t>
        </is>
      </c>
      <c r="AC972" s="2" t="inlineStr"/>
      <c r="AD972" s="2" t="inlineStr">
        <is>
          <t>Sandvik Asia Ltd. v. Commissioner of Income Tax and Others (2004) was reversed on appeal by the Supreme Court in Sandvik Asia Ltd. v. Commissioner of Income Tax-I, Pune and Others (2006).</t>
        </is>
      </c>
      <c r="AE972" s="2" t="n"/>
      <c r="AF972" s="11" t="inlineStr">
        <is>
          <t>created from list 1</t>
        </is>
      </c>
    </row>
    <row r="973">
      <c r="A973" s="11" t="inlineStr">
        <is>
          <t>L1-0972</t>
        </is>
      </c>
      <c r="B973" s="11" t="inlineStr">
        <is>
          <t>List 1 (to ~2015)</t>
        </is>
      </c>
      <c r="C973" s="11" t="inlineStr">
        <is>
          <t>list1</t>
        </is>
      </c>
      <c r="D973" s="11" t="inlineStr">
        <is>
          <t>verified</t>
        </is>
      </c>
      <c r="E973" s="11" t="inlineStr">
        <is>
          <t>reversed_on_appeal</t>
        </is>
      </c>
      <c r="F973" s="2" t="inlineStr">
        <is>
          <t>The Life Insurance Corporation of India v. The Bombay Municipal Corporation</t>
        </is>
      </c>
      <c r="G973" s="11" t="inlineStr"/>
      <c r="H973" s="11" t="inlineStr">
        <is>
          <t>Bombay</t>
        </is>
      </c>
      <c r="I973" s="2" t="inlineStr">
        <is>
          <t>AIR 1965 Bom 263; (1965) 67 BOMLR 202; (1965) ILR (Bom) 512</t>
        </is>
      </c>
      <c r="J973" s="11" t="n">
        <v>1965</v>
      </c>
      <c r="K973" s="2" t="inlineStr">
        <is>
          <t>The Bombay Municipal Corporation v. The Life Insurance Corporation of India Bombay</t>
        </is>
      </c>
      <c r="L973" s="11" t="inlineStr">
        <is>
          <t>Supreme Court</t>
        </is>
      </c>
      <c r="M973" s="2" t="inlineStr">
        <is>
          <t>AIR 1970 SC 1584; (1970) 1 SCC 791; (1971) 1 SCR 335</t>
        </is>
      </c>
      <c r="N973" s="11" t="n">
        <v>1970</v>
      </c>
      <c r="O973" s="11" t="n"/>
      <c r="P973" s="11" t="n"/>
      <c r="Q973" s="11" t="n"/>
      <c r="R973" s="2" t="n"/>
      <c r="S973" s="2" t="n"/>
      <c r="T973" s="11" t="inlineStr">
        <is>
          <t>yes</t>
        </is>
      </c>
      <c r="U973" s="11" t="inlineStr"/>
      <c r="V973" s="11" t="inlineStr">
        <is>
          <t>outside_list</t>
        </is>
      </c>
      <c r="W973" s="11" t="n"/>
      <c r="X973" s="11" t="n"/>
      <c r="Y973" s="11" t="n"/>
      <c r="Z973" s="11" t="inlineStr">
        <is>
          <t>Mr. Advocate</t>
        </is>
      </c>
      <c r="AA973" s="11" t="inlineStr">
        <is>
          <t>2026-10-07</t>
        </is>
      </c>
      <c r="AB973" s="11" t="inlineStr">
        <is>
          <t>name_year</t>
        </is>
      </c>
      <c r="AC973" s="2" t="inlineStr"/>
      <c r="AD973" s="2" t="inlineStr">
        <is>
          <t>The Life Insurance Corporation of India v. The Bombay Municipal Corporation (1965) was reversed on appeal by the Supreme Court in The Bombay Municipal Corporation v. The Life Insurance Corporation of India Bombay (1970).</t>
        </is>
      </c>
      <c r="AE973" s="2" t="n"/>
      <c r="AF973" s="11" t="inlineStr">
        <is>
          <t>created from list 1</t>
        </is>
      </c>
    </row>
    <row r="974">
      <c r="A974" s="11" t="inlineStr">
        <is>
          <t>L1-0973</t>
        </is>
      </c>
      <c r="B974" s="11" t="inlineStr">
        <is>
          <t>List 1 (to ~2015)</t>
        </is>
      </c>
      <c r="C974" s="11" t="inlineStr">
        <is>
          <t>list1</t>
        </is>
      </c>
      <c r="D974" s="11" t="inlineStr">
        <is>
          <t>verified</t>
        </is>
      </c>
      <c r="E974" s="11" t="inlineStr">
        <is>
          <t>reversed_on_appeal</t>
        </is>
      </c>
      <c r="F974" s="2" t="inlineStr">
        <is>
          <t>Kishinchand Chellaram v. Commissioner of Income Tax</t>
        </is>
      </c>
      <c r="G974" s="11" t="inlineStr"/>
      <c r="H974" s="11" t="inlineStr">
        <is>
          <t>unknown</t>
        </is>
      </c>
      <c r="I974" s="2" t="inlineStr">
        <is>
          <t>(1972) 84 ITR 485</t>
        </is>
      </c>
      <c r="J974" s="11" t="n">
        <v>1972</v>
      </c>
      <c r="K974" s="2" t="inlineStr">
        <is>
          <t>Kishinchand Chellaram v. Commissioner of Income Tax, Bombay City II, Bombay</t>
        </is>
      </c>
      <c r="L974" s="11" t="inlineStr">
        <is>
          <t>Supreme Court</t>
        </is>
      </c>
      <c r="M974" s="2" t="inlineStr">
        <is>
          <t>AIR 1980 SC 2117; (1980) 19 CTR 360; (1980) 125 ITR 713; (1981) 1 SCR 720; (1980) 12 UJ 952</t>
        </is>
      </c>
      <c r="N974" s="11" t="n">
        <v>1980</v>
      </c>
      <c r="O974" s="11" t="n"/>
      <c r="P974" s="11" t="n"/>
      <c r="Q974" s="11" t="n"/>
      <c r="R974" s="2" t="n"/>
      <c r="S974" s="2" t="n"/>
      <c r="T974" s="11" t="inlineStr">
        <is>
          <t>yes</t>
        </is>
      </c>
      <c r="U974" s="11" t="inlineStr"/>
      <c r="V974" s="11" t="inlineStr">
        <is>
          <t>outside_list</t>
        </is>
      </c>
      <c r="W974" s="11" t="n"/>
      <c r="X974" s="11" t="n"/>
      <c r="Y974" s="11" t="n"/>
      <c r="Z974" s="11" t="inlineStr">
        <is>
          <t>Mr. Advocate</t>
        </is>
      </c>
      <c r="AA974" s="11" t="inlineStr">
        <is>
          <t>2026-10-07</t>
        </is>
      </c>
      <c r="AB974" s="11" t="inlineStr">
        <is>
          <t>name_year</t>
        </is>
      </c>
      <c r="AC974" s="2" t="inlineStr"/>
      <c r="AD974" s="2" t="inlineStr">
        <is>
          <t>Kishinchand Chellaram v. Commissioner of Income Tax (1972) was reversed on appeal by the Supreme Court in Kishinchand Chellaram v. Commissioner of Income Tax, Bombay City II, Bombay (1980).</t>
        </is>
      </c>
      <c r="AE974" s="2" t="n"/>
      <c r="AF974" s="11" t="inlineStr">
        <is>
          <t>created from list 1</t>
        </is>
      </c>
    </row>
    <row r="975">
      <c r="A975" s="11" t="inlineStr">
        <is>
          <t>L1-0974</t>
        </is>
      </c>
      <c r="B975" s="11" t="inlineStr">
        <is>
          <t>List 1 (to ~2015)</t>
        </is>
      </c>
      <c r="C975" s="11" t="inlineStr">
        <is>
          <t>list1</t>
        </is>
      </c>
      <c r="D975" s="11" t="inlineStr">
        <is>
          <t>verified</t>
        </is>
      </c>
      <c r="E975" s="11" t="inlineStr">
        <is>
          <t>overruled</t>
        </is>
      </c>
      <c r="F975" s="2" t="inlineStr">
        <is>
          <t>Omprakash Bhojraj Maniyar v. Swati Girish Bhide and others</t>
        </is>
      </c>
      <c r="G975" s="11" t="inlineStr"/>
      <c r="H975" s="11" t="inlineStr">
        <is>
          <t>unknown</t>
        </is>
      </c>
      <c r="I975" s="2" t="inlineStr">
        <is>
          <t>(1992) 2 BomCR 106; (1992) 1 MhLj 302</t>
        </is>
      </c>
      <c r="J975" s="11" t="n">
        <v>1992</v>
      </c>
      <c r="K975" s="2" t="inlineStr">
        <is>
          <t>NEPC Micon Limited and Others v. Magma Leasing Limited</t>
        </is>
      </c>
      <c r="L975" s="11" t="inlineStr">
        <is>
          <t>Supreme Court</t>
        </is>
      </c>
      <c r="M975" s="2" t="inlineStr">
        <is>
          <t>AIR 1999 SC 1952; (2006) 2 BC 316; (1999) 96 CompCas 822; (1999) CriLJ 2883; (1999) 2 CTC 347; (1999) 3 JT 374; (1999) 122 PLR 580; (1999) 3 SCALE 67; (1999) 4 SCC 253; (1999) 2 SCR 932; (1999) 2 UJ 1083; (1999) AIRSCW 1637; (1999) 4 Supreme 378</t>
        </is>
      </c>
      <c r="N975" s="11" t="n">
        <v>1999</v>
      </c>
      <c r="O975" s="11" t="n"/>
      <c r="P975" s="11" t="n"/>
      <c r="Q975" s="11" t="n"/>
      <c r="R975" s="2" t="n"/>
      <c r="S975" s="2" t="n"/>
      <c r="T975" s="11" t="inlineStr"/>
      <c r="U975" s="11" t="inlineStr"/>
      <c r="V975" s="11" t="inlineStr">
        <is>
          <t>outside_list</t>
        </is>
      </c>
      <c r="W975" s="11" t="n"/>
      <c r="X975" s="11" t="n"/>
      <c r="Y975" s="11" t="n"/>
      <c r="Z975" s="11" t="inlineStr">
        <is>
          <t>Mr. Advocate</t>
        </is>
      </c>
      <c r="AA975" s="11" t="inlineStr">
        <is>
          <t>2026-10-07</t>
        </is>
      </c>
      <c r="AB975" s="11" t="inlineStr">
        <is>
          <t>name_year</t>
        </is>
      </c>
      <c r="AC975" s="2" t="inlineStr"/>
      <c r="AD975" s="2" t="inlineStr">
        <is>
          <t>Omprakash Bhojraj Maniyar v. Swati Girish Bhide and others (1992) was overruled by NEPC Micon Limited and Others v. Magma Leasing Limited (1999).</t>
        </is>
      </c>
      <c r="AE975" s="2" t="n"/>
      <c r="AF975" s="11" t="inlineStr">
        <is>
          <t>created from list 1</t>
        </is>
      </c>
    </row>
    <row r="976">
      <c r="A976" s="11" t="inlineStr">
        <is>
          <t>L1-0975</t>
        </is>
      </c>
      <c r="B976" s="11" t="inlineStr">
        <is>
          <t>List 1 (to ~2015)</t>
        </is>
      </c>
      <c r="C976" s="11" t="inlineStr">
        <is>
          <t>list1</t>
        </is>
      </c>
      <c r="D976" s="11" t="inlineStr">
        <is>
          <t>verified</t>
        </is>
      </c>
      <c r="E976" s="11" t="inlineStr">
        <is>
          <t>overruled</t>
        </is>
      </c>
      <c r="F976" s="2" t="inlineStr">
        <is>
          <t>Deorao Laxman Anande v. Keshav Laxman Borkar</t>
        </is>
      </c>
      <c r="G976" s="11" t="inlineStr"/>
      <c r="H976" s="11" t="inlineStr">
        <is>
          <t>Bombay</t>
        </is>
      </c>
      <c r="I976" s="2" t="inlineStr">
        <is>
          <t>AIR 1958 Bom 314; (1958) 60 BOMLR 217</t>
        </is>
      </c>
      <c r="J976" s="11" t="n">
        <v>1958</v>
      </c>
      <c r="K976" s="2" t="inlineStr">
        <is>
          <t>Mahadeolal Kanodia v. The Administrator-general of West Bengal</t>
        </is>
      </c>
      <c r="L976" s="11" t="inlineStr">
        <is>
          <t>Supreme Court</t>
        </is>
      </c>
      <c r="M976" s="2" t="inlineStr">
        <is>
          <t>AIR 1960 SC 936; (1960) 3 SCR 578</t>
        </is>
      </c>
      <c r="N976" s="11" t="n">
        <v>1960</v>
      </c>
      <c r="O976" s="11" t="n"/>
      <c r="P976" s="11" t="n"/>
      <c r="Q976" s="11" t="n"/>
      <c r="R976" s="2" t="n"/>
      <c r="S976" s="2" t="n"/>
      <c r="T976" s="11" t="inlineStr"/>
      <c r="U976" s="11" t="inlineStr"/>
      <c r="V976" s="11" t="inlineStr">
        <is>
          <t>outside_list</t>
        </is>
      </c>
      <c r="W976" s="11" t="n"/>
      <c r="X976" s="11" t="n"/>
      <c r="Y976" s="11" t="n"/>
      <c r="Z976" s="11" t="inlineStr">
        <is>
          <t>Mr. Advocate</t>
        </is>
      </c>
      <c r="AA976" s="11" t="inlineStr">
        <is>
          <t>2026-10-07</t>
        </is>
      </c>
      <c r="AB976" s="11" t="inlineStr">
        <is>
          <t>name_year</t>
        </is>
      </c>
      <c r="AC976" s="2" t="inlineStr"/>
      <c r="AD976" s="2" t="inlineStr">
        <is>
          <t>Deorao Laxman Anande v. Keshav Laxman Borkar (1958) was overruled by Mahadeolal Kanodia v. The Administrator-general of West Bengal (1960).</t>
        </is>
      </c>
      <c r="AE976" s="2" t="n"/>
      <c r="AF976" s="11" t="inlineStr">
        <is>
          <t>created from list 1</t>
        </is>
      </c>
    </row>
    <row r="977">
      <c r="A977" s="11" t="inlineStr">
        <is>
          <t>L1-0976</t>
        </is>
      </c>
      <c r="B977" s="11" t="inlineStr">
        <is>
          <t>List 1 (to ~2015)</t>
        </is>
      </c>
      <c r="C977" s="11" t="inlineStr">
        <is>
          <t>list1</t>
        </is>
      </c>
      <c r="D977" s="11" t="inlineStr">
        <is>
          <t>verified</t>
        </is>
      </c>
      <c r="E977" s="11" t="inlineStr">
        <is>
          <t>overruled</t>
        </is>
      </c>
      <c r="F977" s="2" t="inlineStr">
        <is>
          <t>D.P. Kelkar v. Ambadas Keshav Bajaj and Others</t>
        </is>
      </c>
      <c r="G977" s="11" t="inlineStr"/>
      <c r="H977" s="11" t="inlineStr">
        <is>
          <t>Bombay</t>
        </is>
      </c>
      <c r="I977" s="2" t="inlineStr">
        <is>
          <t>AIR 1971 Bom 124; (1971) 73 BOMLR 260; (1971) 22 FLR 268; (1971) ILR (Bom) 910; (1971) LabIC 429; (1971) MhLj 69</t>
        </is>
      </c>
      <c r="J977" s="11" t="n">
        <v>1971</v>
      </c>
      <c r="K977" s="2" t="inlineStr">
        <is>
          <t>Rashtriya Mill Mazdoor Sangh, Nagpur v. Model Mills, Nagpur and Another</t>
        </is>
      </c>
      <c r="L977" s="11" t="inlineStr">
        <is>
          <t>Supreme Court</t>
        </is>
      </c>
      <c r="M977" s="2" t="inlineStr">
        <is>
          <t>AIR 1984 SC 1813; (1984) 3 CompLJ 249; (1984) 49 FLR 401; (1986) LabIC 382; (1984) 2 LLJ 507; (1984) 2 SCALE 406; (1984) SCC 443 Supp; (1985) 1 SCR 751; (1985) 17 UJ 185</t>
        </is>
      </c>
      <c r="N977" s="11" t="n">
        <v>1984</v>
      </c>
      <c r="O977" s="11" t="n"/>
      <c r="P977" s="11" t="n"/>
      <c r="Q977" s="11" t="n"/>
      <c r="R977" s="2" t="n"/>
      <c r="S977" s="2" t="n"/>
      <c r="T977" s="11" t="inlineStr"/>
      <c r="U977" s="11" t="inlineStr"/>
      <c r="V977" s="11" t="inlineStr">
        <is>
          <t>outside_list</t>
        </is>
      </c>
      <c r="W977" s="11" t="n"/>
      <c r="X977" s="11" t="n"/>
      <c r="Y977" s="11" t="n"/>
      <c r="Z977" s="11" t="inlineStr">
        <is>
          <t>Mr. Advocate</t>
        </is>
      </c>
      <c r="AA977" s="11" t="inlineStr">
        <is>
          <t>2026-10-07</t>
        </is>
      </c>
      <c r="AB977" s="11" t="inlineStr">
        <is>
          <t>name_year</t>
        </is>
      </c>
      <c r="AC977" s="2" t="inlineStr"/>
      <c r="AD977" s="2" t="inlineStr">
        <is>
          <t>D.P. Kelkar v. Ambadas Keshav Bajaj and Others (1971) was overruled by Rashtriya Mill Mazdoor Sangh, Nagpur v. Model Mills, Nagpur and Another (1984).</t>
        </is>
      </c>
      <c r="AE977" s="2" t="n"/>
      <c r="AF977" s="11" t="inlineStr">
        <is>
          <t>created from list 1</t>
        </is>
      </c>
    </row>
    <row r="978">
      <c r="A978" s="11" t="inlineStr">
        <is>
          <t>L1-0977</t>
        </is>
      </c>
      <c r="B978" s="11" t="inlineStr">
        <is>
          <t>List 1 (to ~2015)</t>
        </is>
      </c>
      <c r="C978" s="11" t="inlineStr">
        <is>
          <t>list1</t>
        </is>
      </c>
      <c r="D978" s="11" t="inlineStr">
        <is>
          <t>verified</t>
        </is>
      </c>
      <c r="E978" s="11" t="inlineStr">
        <is>
          <t>reversed_on_appeal</t>
        </is>
      </c>
      <c r="F978" s="2" t="inlineStr">
        <is>
          <t>Trimbak Bhikaji Patil v. Pundlik Krishnaji and Others</t>
        </is>
      </c>
      <c r="G978" s="11" t="inlineStr"/>
      <c r="H978" s="11" t="inlineStr">
        <is>
          <t>Bombay</t>
        </is>
      </c>
      <c r="I978" s="2" t="inlineStr">
        <is>
          <t>AIR 1978 Bom 52; (1977) MhLj 817</t>
        </is>
      </c>
      <c r="J978" s="11" t="n">
        <v>1978</v>
      </c>
      <c r="K978" s="2" t="inlineStr">
        <is>
          <t>Pundlik Krishna Ji and others v. Trimbak Bhikaji Patil and others</t>
        </is>
      </c>
      <c r="L978" s="11" t="inlineStr">
        <is>
          <t>Supreme Court</t>
        </is>
      </c>
      <c r="M978" s="2" t="inlineStr">
        <is>
          <t>AIR 1992 SC 1338; (1992) 3 JT 110; (1992) 1 SCALE 908; (1992) 2 SCC 290 Supp; (1992) 2 SCR 749; (1992) 1 UJ 737</t>
        </is>
      </c>
      <c r="N978" s="11" t="n">
        <v>1992</v>
      </c>
      <c r="O978" s="11" t="n"/>
      <c r="P978" s="11" t="n"/>
      <c r="Q978" s="11" t="n"/>
      <c r="R978" s="2" t="n"/>
      <c r="S978" s="2" t="n"/>
      <c r="T978" s="11" t="inlineStr">
        <is>
          <t>yes</t>
        </is>
      </c>
      <c r="U978" s="11" t="inlineStr"/>
      <c r="V978" s="11" t="inlineStr">
        <is>
          <t>outside_list</t>
        </is>
      </c>
      <c r="W978" s="11" t="n"/>
      <c r="X978" s="11" t="n"/>
      <c r="Y978" s="11" t="n"/>
      <c r="Z978" s="11" t="inlineStr">
        <is>
          <t>Mr. Advocate</t>
        </is>
      </c>
      <c r="AA978" s="11" t="inlineStr">
        <is>
          <t>2026-10-07</t>
        </is>
      </c>
      <c r="AB978" s="11" t="inlineStr">
        <is>
          <t>name_year</t>
        </is>
      </c>
      <c r="AC978" s="2" t="inlineStr"/>
      <c r="AD978" s="2" t="inlineStr">
        <is>
          <t>Trimbak Bhikaji Patil v. Pundlik Krishnaji and Others (1978) was reversed on appeal by the Supreme Court in Pundlik Krishna Ji and others v. Trimbak Bhikaji Patil and others (1992).</t>
        </is>
      </c>
      <c r="AE978" s="2" t="n"/>
      <c r="AF978" s="11" t="inlineStr">
        <is>
          <t>created from list 1</t>
        </is>
      </c>
    </row>
    <row r="979">
      <c r="A979" s="11" t="inlineStr">
        <is>
          <t>L1-0978</t>
        </is>
      </c>
      <c r="B979" s="11" t="inlineStr">
        <is>
          <t>List 1 (to ~2015)</t>
        </is>
      </c>
      <c r="C979" s="11" t="inlineStr">
        <is>
          <t>list1</t>
        </is>
      </c>
      <c r="D979" s="11" t="inlineStr">
        <is>
          <t>verified</t>
        </is>
      </c>
      <c r="E979" s="11" t="inlineStr">
        <is>
          <t>reversed_on_appeal</t>
        </is>
      </c>
      <c r="F979" s="2" t="inlineStr">
        <is>
          <t>Commissioner of Income Tax, Bombay City-I v. W.T. Suren and Co. Ltd.</t>
        </is>
      </c>
      <c r="G979" s="11" t="inlineStr"/>
      <c r="H979" s="11" t="inlineStr">
        <is>
          <t>unknown</t>
        </is>
      </c>
      <c r="I979" s="2" t="inlineStr">
        <is>
          <t>(1982) 31 CTR 128; (1982) 138 ITR 91</t>
        </is>
      </c>
      <c r="J979" s="11" t="n">
        <v>1982</v>
      </c>
      <c r="K979" s="2" t="inlineStr">
        <is>
          <t>M/S. W.T. Suren and Co. Ltd. v. The Commissioner of Income Tax, Bombay</t>
        </is>
      </c>
      <c r="L979" s="11" t="inlineStr">
        <is>
          <t>Supreme Court</t>
        </is>
      </c>
      <c r="M979" s="2" t="inlineStr">
        <is>
          <t>AIR 1998 SC 1575; (1998) 230 ITR 643; (1998) 2 JT 74; (1998) 2 SCALE 1; (1998) 1 SCR 1069; (1998) AIRSCW 1147; (1998) 2 Supreme 200</t>
        </is>
      </c>
      <c r="N979" s="11" t="n">
        <v>1998</v>
      </c>
      <c r="O979" s="11" t="n"/>
      <c r="P979" s="11" t="n"/>
      <c r="Q979" s="11" t="n"/>
      <c r="R979" s="2" t="n"/>
      <c r="S979" s="2" t="n"/>
      <c r="T979" s="11" t="inlineStr">
        <is>
          <t>yes</t>
        </is>
      </c>
      <c r="U979" s="11" t="inlineStr"/>
      <c r="V979" s="11" t="inlineStr">
        <is>
          <t>outside_list</t>
        </is>
      </c>
      <c r="W979" s="11" t="n"/>
      <c r="X979" s="11" t="n"/>
      <c r="Y979" s="11" t="n"/>
      <c r="Z979" s="11" t="inlineStr">
        <is>
          <t>Mr. Advocate</t>
        </is>
      </c>
      <c r="AA979" s="11" t="inlineStr">
        <is>
          <t>2026-10-07</t>
        </is>
      </c>
      <c r="AB979" s="11" t="inlineStr">
        <is>
          <t>name_year</t>
        </is>
      </c>
      <c r="AC979" s="2" t="inlineStr"/>
      <c r="AD979" s="2" t="inlineStr">
        <is>
          <t>Commissioner of Income Tax, Bombay City-I v. W.T. Suren and Co. Ltd. (1982) was reversed on appeal by the Supreme Court in M/S. W.T. Suren and Co. Ltd. v. The Commissioner of Income Tax, Bombay (1998).</t>
        </is>
      </c>
      <c r="AE979" s="2" t="n"/>
      <c r="AF979" s="11" t="inlineStr">
        <is>
          <t>created from list 1</t>
        </is>
      </c>
    </row>
    <row r="980">
      <c r="A980" s="11" t="inlineStr">
        <is>
          <t>L1-0979</t>
        </is>
      </c>
      <c r="B980" s="11" t="inlineStr">
        <is>
          <t>List 1 (to ~2015)</t>
        </is>
      </c>
      <c r="C980" s="11" t="inlineStr">
        <is>
          <t>list1</t>
        </is>
      </c>
      <c r="D980" s="11" t="inlineStr">
        <is>
          <t>verified</t>
        </is>
      </c>
      <c r="E980" s="11" t="inlineStr">
        <is>
          <t>overruled</t>
        </is>
      </c>
      <c r="F980" s="2" t="inlineStr">
        <is>
          <t>Kamal Agency and Others v. The State of Maharashtra</t>
        </is>
      </c>
      <c r="G980" s="11" t="inlineStr"/>
      <c r="H980" s="11" t="inlineStr">
        <is>
          <t>Bombay</t>
        </is>
      </c>
      <c r="I980" s="2" t="inlineStr">
        <is>
          <t>AIR 1971 Bom 332; (1970) 72 BOMLR 928</t>
        </is>
      </c>
      <c r="J980" s="11" t="n">
        <v>1971</v>
      </c>
      <c r="K980" s="2" t="inlineStr">
        <is>
          <t>H. Anraj and Others v. State of Maharashtra</t>
        </is>
      </c>
      <c r="L980" s="11" t="inlineStr">
        <is>
          <t>Supreme Court</t>
        </is>
      </c>
      <c r="M980" s="2" t="inlineStr">
        <is>
          <t>AIR 1984 SC 781; (1984) 1 SCALE 93; (1984) 2 SCC 292; (1984) 2 SCR 440; (1984) 16 UJ 909</t>
        </is>
      </c>
      <c r="N980" s="11" t="n">
        <v>1984</v>
      </c>
      <c r="O980" s="11" t="n"/>
      <c r="P980" s="11" t="n"/>
      <c r="Q980" s="11" t="n"/>
      <c r="R980" s="2" t="n"/>
      <c r="S980" s="2" t="n"/>
      <c r="T980" s="11" t="inlineStr"/>
      <c r="U980" s="11" t="inlineStr"/>
      <c r="V980" s="11" t="inlineStr">
        <is>
          <t>outside_list</t>
        </is>
      </c>
      <c r="W980" s="11" t="n"/>
      <c r="X980" s="11" t="n"/>
      <c r="Y980" s="11" t="n"/>
      <c r="Z980" s="11" t="inlineStr">
        <is>
          <t>Mr. Advocate</t>
        </is>
      </c>
      <c r="AA980" s="11" t="inlineStr">
        <is>
          <t>2026-10-07</t>
        </is>
      </c>
      <c r="AB980" s="11" t="inlineStr">
        <is>
          <t>name_year</t>
        </is>
      </c>
      <c r="AC980" s="2" t="inlineStr"/>
      <c r="AD980" s="2" t="inlineStr">
        <is>
          <t>Kamal Agency and Others v. The State of Maharashtra (1971) was overruled by H. Anraj and Others v. State of Maharashtra (1984).</t>
        </is>
      </c>
      <c r="AE980" s="2" t="n"/>
      <c r="AF980" s="11" t="inlineStr">
        <is>
          <t>created from list 1</t>
        </is>
      </c>
    </row>
    <row r="981">
      <c r="A981" s="11" t="inlineStr">
        <is>
          <t>L1-0980</t>
        </is>
      </c>
      <c r="B981" s="11" t="inlineStr">
        <is>
          <t>List 1 (to ~2015)</t>
        </is>
      </c>
      <c r="C981" s="11" t="inlineStr">
        <is>
          <t>list1</t>
        </is>
      </c>
      <c r="D981" s="11" t="inlineStr">
        <is>
          <t>verified</t>
        </is>
      </c>
      <c r="E981" s="11" t="inlineStr">
        <is>
          <t>overruled</t>
        </is>
      </c>
      <c r="F981" s="2" t="inlineStr">
        <is>
          <t>Union Bank of India v. Dalpat Gaurishankar Upadyay</t>
        </is>
      </c>
      <c r="G981" s="11" t="inlineStr"/>
      <c r="H981" s="11" t="inlineStr">
        <is>
          <t>Bombay</t>
        </is>
      </c>
      <c r="I981" s="2" t="inlineStr">
        <is>
          <t>AIR 1992 Bom 482; (1992) 3 BomCR 61; (1992) 94 BOMLR 204; (1993) 76 CompCas 494</t>
        </is>
      </c>
      <c r="J981" s="11" t="n">
        <v>1992</v>
      </c>
      <c r="K981" s="2" t="inlineStr">
        <is>
          <t>Central Bank of India v. Ravindra and Others</t>
        </is>
      </c>
      <c r="L981" s="11" t="inlineStr">
        <is>
          <t>Supreme Court</t>
        </is>
      </c>
      <c r="M981" s="2" t="inlineStr">
        <is>
          <t>AIR 2001 SC 3095; (2001) 107 CompCas 416; (2001) 9 JT 101; (2001) 7 SCALE 351; (2002) 1 SCC 367; (2001) AIRSCW 4468; (2001) 7 Supreme 764</t>
        </is>
      </c>
      <c r="N981" s="11" t="n">
        <v>2001</v>
      </c>
      <c r="O981" s="11" t="n"/>
      <c r="P981" s="11" t="n"/>
      <c r="Q981" s="11" t="n"/>
      <c r="R981" s="2" t="n"/>
      <c r="S981" s="2" t="n"/>
      <c r="T981" s="11" t="inlineStr"/>
      <c r="U981" s="11" t="inlineStr"/>
      <c r="V981" s="11" t="inlineStr">
        <is>
          <t>outside_list</t>
        </is>
      </c>
      <c r="W981" s="11" t="n"/>
      <c r="X981" s="11" t="n"/>
      <c r="Y981" s="11" t="n"/>
      <c r="Z981" s="11" t="inlineStr">
        <is>
          <t>Mr. Advocate</t>
        </is>
      </c>
      <c r="AA981" s="11" t="inlineStr">
        <is>
          <t>2026-10-07</t>
        </is>
      </c>
      <c r="AB981" s="11" t="inlineStr">
        <is>
          <t>name_year</t>
        </is>
      </c>
      <c r="AC981" s="2" t="inlineStr"/>
      <c r="AD981" s="2" t="inlineStr">
        <is>
          <t>Union Bank of India v. Dalpat Gaurishankar Upadyay (1992) was overruled by Central Bank of India v. Ravindra and Others (2001).</t>
        </is>
      </c>
      <c r="AE981" s="2" t="n"/>
      <c r="AF981" s="11" t="inlineStr">
        <is>
          <t>created from list 1</t>
        </is>
      </c>
    </row>
    <row r="982">
      <c r="A982" s="11" t="inlineStr">
        <is>
          <t>L1-0981</t>
        </is>
      </c>
      <c r="B982" s="11" t="inlineStr">
        <is>
          <t>List 1 (to ~2015)</t>
        </is>
      </c>
      <c r="C982" s="11" t="inlineStr">
        <is>
          <t>list1</t>
        </is>
      </c>
      <c r="D982" s="11" t="inlineStr">
        <is>
          <t>verified</t>
        </is>
      </c>
      <c r="E982" s="11" t="inlineStr">
        <is>
          <t>overruled</t>
        </is>
      </c>
      <c r="F982" s="2" t="inlineStr">
        <is>
          <t>Jagannath Pandurang and Others v. Bombay Gas Company Ltd. and Another</t>
        </is>
      </c>
      <c r="G982" s="11" t="inlineStr"/>
      <c r="H982" s="11" t="inlineStr">
        <is>
          <t>unknown</t>
        </is>
      </c>
      <c r="I982" s="2" t="inlineStr">
        <is>
          <t>(1967) 1 LLJ 819</t>
        </is>
      </c>
      <c r="J982" s="11" t="n">
        <v>1967</v>
      </c>
      <c r="K982" s="2" t="inlineStr">
        <is>
          <t>Bombay Gas Co. Ltd. v. Jagan Nath Pandurang and Others</t>
        </is>
      </c>
      <c r="L982" s="11" t="inlineStr">
        <is>
          <t>Supreme Court</t>
        </is>
      </c>
      <c r="M982" s="2" t="inlineStr">
        <is>
          <t>AIR 1972 SC 2356; (1975) 31 FLR 166; (1973) LabIC 486; (1972) 2 LLJ 52; (1972) 2 SCC 119; (1972) 3 SCR 929</t>
        </is>
      </c>
      <c r="N982" s="11" t="n">
        <v>1972</v>
      </c>
      <c r="O982" s="11" t="n"/>
      <c r="P982" s="11" t="n"/>
      <c r="Q982" s="11" t="n"/>
      <c r="R982" s="2" t="n"/>
      <c r="S982" s="2" t="n"/>
      <c r="T982" s="11" t="inlineStr"/>
      <c r="U982" s="11" t="inlineStr"/>
      <c r="V982" s="11" t="inlineStr">
        <is>
          <t>outside_list</t>
        </is>
      </c>
      <c r="W982" s="11" t="n"/>
      <c r="X982" s="11" t="n"/>
      <c r="Y982" s="11" t="n"/>
      <c r="Z982" s="11" t="inlineStr">
        <is>
          <t>Mr. Advocate</t>
        </is>
      </c>
      <c r="AA982" s="11" t="inlineStr">
        <is>
          <t>2026-10-07</t>
        </is>
      </c>
      <c r="AB982" s="11" t="inlineStr">
        <is>
          <t>name_year</t>
        </is>
      </c>
      <c r="AC982" s="2" t="inlineStr"/>
      <c r="AD982" s="2" t="inlineStr">
        <is>
          <t>Jagannath Pandurang and Others v. Bombay Gas Company Ltd. and Another (1967) was overruled by Bombay Gas Co. Ltd. v. Jagan Nath Pandurang and Others (1972).</t>
        </is>
      </c>
      <c r="AE982" s="2" t="n"/>
      <c r="AF982" s="11" t="inlineStr">
        <is>
          <t>created from list 1</t>
        </is>
      </c>
    </row>
    <row r="983">
      <c r="A983" s="11" t="inlineStr">
        <is>
          <t>L1-0982</t>
        </is>
      </c>
      <c r="B983" s="11" t="inlineStr">
        <is>
          <t>List 1 (to ~2015)</t>
        </is>
      </c>
      <c r="C983" s="11" t="inlineStr">
        <is>
          <t>list1</t>
        </is>
      </c>
      <c r="D983" s="11" t="inlineStr">
        <is>
          <t>verified</t>
        </is>
      </c>
      <c r="E983" s="11" t="inlineStr">
        <is>
          <t>overruled</t>
        </is>
      </c>
      <c r="F983" s="2" t="inlineStr">
        <is>
          <t>Dina Dinshaw Merchant v. Dinshaw Ardeshir Merchant</t>
        </is>
      </c>
      <c r="G983" s="11" t="inlineStr"/>
      <c r="H983" s="11" t="inlineStr">
        <is>
          <t>Bombay</t>
        </is>
      </c>
      <c r="I983" s="2" t="inlineStr">
        <is>
          <t>AIR 1970 Bom 341; (1970) 72 BOMLR 41; (1969) ILR (Bom) 1043; (1970) MhLj 286</t>
        </is>
      </c>
      <c r="J983" s="11" t="n">
        <v>1970</v>
      </c>
      <c r="K983" s="2" t="inlineStr">
        <is>
          <t>Champaklal Ganeshmal v. The State of Maharashtra</t>
        </is>
      </c>
      <c r="L983" s="11" t="inlineStr">
        <is>
          <t>Supreme Court</t>
        </is>
      </c>
      <c r="M983" s="2" t="inlineStr">
        <is>
          <t>AIR 1975 SC 160; AIR 1974 SC 160; (1975) CriLJ 256; (1975) 3 SCC 485; (1975) 2 SCR 584</t>
        </is>
      </c>
      <c r="N983" s="11" t="n">
        <v>1975</v>
      </c>
      <c r="O983" s="11" t="n"/>
      <c r="P983" s="11" t="n"/>
      <c r="Q983" s="11" t="n"/>
      <c r="R983" s="2" t="n"/>
      <c r="S983" s="2" t="n"/>
      <c r="T983" s="11" t="inlineStr"/>
      <c r="U983" s="11" t="inlineStr"/>
      <c r="V983" s="11" t="inlineStr">
        <is>
          <t>outside_list</t>
        </is>
      </c>
      <c r="W983" s="11" t="n"/>
      <c r="X983" s="11" t="n"/>
      <c r="Y983" s="11" t="n"/>
      <c r="Z983" s="11" t="inlineStr">
        <is>
          <t>Mr. Advocate</t>
        </is>
      </c>
      <c r="AA983" s="11" t="inlineStr">
        <is>
          <t>2026-10-07</t>
        </is>
      </c>
      <c r="AB983" s="11" t="inlineStr">
        <is>
          <t>name_year</t>
        </is>
      </c>
      <c r="AC983" s="2" t="inlineStr"/>
      <c r="AD983" s="2" t="inlineStr">
        <is>
          <t>Dina Dinshaw Merchant v. Dinshaw Ardeshir Merchant (1970) was overruled by Champaklal Ganeshmal v. The State of Maharashtra (1975).</t>
        </is>
      </c>
      <c r="AE983" s="2" t="n"/>
      <c r="AF983" s="11" t="inlineStr">
        <is>
          <t>created from list 1</t>
        </is>
      </c>
    </row>
    <row r="984">
      <c r="A984" s="11" t="inlineStr">
        <is>
          <t>L1-0983</t>
        </is>
      </c>
      <c r="B984" s="11" t="inlineStr">
        <is>
          <t>List 1 (to ~2015)</t>
        </is>
      </c>
      <c r="C984" s="11" t="inlineStr">
        <is>
          <t>list1</t>
        </is>
      </c>
      <c r="D984" s="11" t="inlineStr">
        <is>
          <t>verified</t>
        </is>
      </c>
      <c r="E984" s="11" t="inlineStr">
        <is>
          <t>overruled</t>
        </is>
      </c>
      <c r="F984" s="2" t="inlineStr">
        <is>
          <t>Additional Commissioner of Income Tax v. Chowgule and Co. Pvt. Ltd.</t>
        </is>
      </c>
      <c r="G984" s="11" t="inlineStr"/>
      <c r="H984" s="11" t="inlineStr">
        <is>
          <t>unknown</t>
        </is>
      </c>
      <c r="I984" s="2" t="inlineStr">
        <is>
          <t>(1985) 87 BOMLR 446; (1986) 52 CTR 224; (1986) 159 ITR 12</t>
        </is>
      </c>
      <c r="J984" s="11" t="n">
        <v>1985</v>
      </c>
      <c r="K984" s="2" t="inlineStr">
        <is>
          <t>Commissioner of Income Tax, Gujarat v. Arvind Mills Ltd.</t>
        </is>
      </c>
      <c r="L984" s="11" t="inlineStr">
        <is>
          <t>Supreme Court</t>
        </is>
      </c>
      <c r="M984" s="2" t="inlineStr">
        <is>
          <t>AIR 1992 SC 718; (1992) 101 CTR 91; (1992) 193 ITR 255; (1991) 5 JT 341; (1991) 2 SCALE 1320; (1992) 2 SCC 190 Supp; (1991) 3 SCR 303 Supp; (1992) 60 TAXMAN 192</t>
        </is>
      </c>
      <c r="N984" s="11" t="n">
        <v>1992</v>
      </c>
      <c r="O984" s="11" t="n"/>
      <c r="P984" s="11" t="n"/>
      <c r="Q984" s="11" t="n"/>
      <c r="R984" s="2" t="n"/>
      <c r="S984" s="2" t="n"/>
      <c r="T984" s="11" t="inlineStr"/>
      <c r="U984" s="11" t="inlineStr"/>
      <c r="V984" s="11" t="inlineStr">
        <is>
          <t>outside_list</t>
        </is>
      </c>
      <c r="W984" s="11" t="n"/>
      <c r="X984" s="11" t="n"/>
      <c r="Y984" s="11" t="n"/>
      <c r="Z984" s="11" t="inlineStr">
        <is>
          <t>Mr. Advocate</t>
        </is>
      </c>
      <c r="AA984" s="11" t="inlineStr">
        <is>
          <t>2026-10-07</t>
        </is>
      </c>
      <c r="AB984" s="11" t="inlineStr">
        <is>
          <t>name_year</t>
        </is>
      </c>
      <c r="AC984" s="2" t="inlineStr"/>
      <c r="AD984" s="2" t="inlineStr">
        <is>
          <t>Additional Commissioner of Income Tax v. Chowgule and Co. Pvt. Ltd. (1985) was overruled by Commissioner of Income Tax, Gujarat v. Arvind Mills Ltd. (1992).</t>
        </is>
      </c>
      <c r="AE984" s="2" t="n"/>
      <c r="AF984" s="11" t="inlineStr">
        <is>
          <t>created from list 1</t>
        </is>
      </c>
    </row>
    <row r="985">
      <c r="A985" s="11" t="inlineStr">
        <is>
          <t>L1-0984</t>
        </is>
      </c>
      <c r="B985" s="11" t="inlineStr">
        <is>
          <t>List 1 (to ~2015)</t>
        </is>
      </c>
      <c r="C985" s="11" t="inlineStr">
        <is>
          <t>list1</t>
        </is>
      </c>
      <c r="D985" s="11" t="inlineStr">
        <is>
          <t>verified</t>
        </is>
      </c>
      <c r="E985" s="11" t="inlineStr">
        <is>
          <t>overruled</t>
        </is>
      </c>
      <c r="F985" s="2" t="inlineStr">
        <is>
          <t>Laxmibai Sadashiv Date and Others v. Ganesh Shankar Date and Others</t>
        </is>
      </c>
      <c r="G985" s="11" t="inlineStr"/>
      <c r="H985" s="11" t="inlineStr">
        <is>
          <t>Bombay</t>
        </is>
      </c>
      <c r="I985" s="2" t="inlineStr">
        <is>
          <t>AIR 1977 Bom 350; (1977) 79 BOMLR 234</t>
        </is>
      </c>
      <c r="J985" s="11" t="n">
        <v>1977</v>
      </c>
      <c r="K985" s="2" t="inlineStr">
        <is>
          <t>Annasaheb Bapusaheb Patil and others v. Balwant alias Balasaheb Babusaheb Patil (dead) by LRs. and heirs</t>
        </is>
      </c>
      <c r="L985" s="11" t="inlineStr">
        <is>
          <t>Supreme Court</t>
        </is>
      </c>
      <c r="M985" s="2" t="inlineStr">
        <is>
          <t>AIR 1995 SC 895; (1995) 1 JT 370; (1995) 1 SCALE 100; (1995) 2 SCC 543; (1995) 1 SCR 88; (1995) 1 UJ 488</t>
        </is>
      </c>
      <c r="N985" s="11" t="n">
        <v>1995</v>
      </c>
      <c r="O985" s="11" t="n"/>
      <c r="P985" s="11" t="n"/>
      <c r="Q985" s="11" t="n"/>
      <c r="R985" s="2" t="n"/>
      <c r="S985" s="2" t="n"/>
      <c r="T985" s="11" t="inlineStr"/>
      <c r="U985" s="11" t="inlineStr"/>
      <c r="V985" s="11" t="inlineStr">
        <is>
          <t>outside_list</t>
        </is>
      </c>
      <c r="W985" s="11" t="n"/>
      <c r="X985" s="11" t="n"/>
      <c r="Y985" s="11" t="n"/>
      <c r="Z985" s="11" t="inlineStr">
        <is>
          <t>Mr. Advocate</t>
        </is>
      </c>
      <c r="AA985" s="11" t="inlineStr">
        <is>
          <t>2026-10-07</t>
        </is>
      </c>
      <c r="AB985" s="11" t="inlineStr">
        <is>
          <t>name_year</t>
        </is>
      </c>
      <c r="AC985" s="2" t="inlineStr"/>
      <c r="AD985" s="2" t="inlineStr">
        <is>
          <t>Laxmibai Sadashiv Date and Others v. Ganesh Shankar Date and Others (1977) was overruled by Annasaheb Bapusaheb Patil and others v. Balwant alias Balasaheb Babusaheb Patil (dead) by LRs. and heirs (1995).</t>
        </is>
      </c>
      <c r="AE985" s="2" t="n"/>
      <c r="AF985" s="11" t="inlineStr">
        <is>
          <t>created from list 1</t>
        </is>
      </c>
    </row>
    <row r="986">
      <c r="A986" s="11" t="inlineStr">
        <is>
          <t>L1-0985</t>
        </is>
      </c>
      <c r="B986" s="11" t="inlineStr">
        <is>
          <t>List 1 (to ~2015)</t>
        </is>
      </c>
      <c r="C986" s="11" t="inlineStr">
        <is>
          <t>list1</t>
        </is>
      </c>
      <c r="D986" s="11" t="inlineStr">
        <is>
          <t>verified</t>
        </is>
      </c>
      <c r="E986" s="11" t="inlineStr">
        <is>
          <t>reversed_on_appeal</t>
        </is>
      </c>
      <c r="F986" s="2" t="inlineStr">
        <is>
          <t>Apar Private Ltd. and others v. Union of India and others</t>
        </is>
      </c>
      <c r="G986" s="11" t="inlineStr"/>
      <c r="H986" s="11" t="inlineStr">
        <is>
          <t>unknown</t>
        </is>
      </c>
      <c r="I986" s="2" t="inlineStr">
        <is>
          <t>(1986) 1 BomCR 196; (1986) 88 BOMLR 355; (1985) 6 ECC 241; (1988) 19 ECR 514; (1985) 22 ELT 644</t>
        </is>
      </c>
      <c r="J986" s="11" t="n">
        <v>1985</v>
      </c>
      <c r="K986" s="2" t="inlineStr">
        <is>
          <t>Union of India and others v. Apar Private Ltd. and Others</t>
        </is>
      </c>
      <c r="L986" s="11" t="inlineStr">
        <is>
          <t>Supreme Court</t>
        </is>
      </c>
      <c r="M986" s="2" t="inlineStr">
        <is>
          <t>AIR 1999 SC 2515; (1999) 65 ECC 727; (1999) ECR 63; (1999) 112 ELT 3; (1999) 5 JT 161; (1999) 4 SCALE 313; (1999) 6 SCC 117; (1999) 3 SCR 1056; (2000) 1 UJ 233; (1999) AIRSCW 2676; (1999) 6 Supreme 348</t>
        </is>
      </c>
      <c r="N986" s="11" t="n">
        <v>1999</v>
      </c>
      <c r="O986" s="11" t="n"/>
      <c r="P986" s="11" t="n"/>
      <c r="Q986" s="11" t="n"/>
      <c r="R986" s="2" t="n"/>
      <c r="S986" s="2" t="n"/>
      <c r="T986" s="11" t="inlineStr">
        <is>
          <t>yes</t>
        </is>
      </c>
      <c r="U986" s="11" t="inlineStr">
        <is>
          <t>needs_citation_or_year</t>
        </is>
      </c>
      <c r="V986" s="11" t="inlineStr">
        <is>
          <t>outside_list</t>
        </is>
      </c>
      <c r="W986" s="11" t="n"/>
      <c r="X986" s="11" t="n"/>
      <c r="Y986" s="11" t="n"/>
      <c r="Z986" s="11" t="inlineStr">
        <is>
          <t>Mr. Advocate</t>
        </is>
      </c>
      <c r="AA986" s="11" t="inlineStr">
        <is>
          <t>2026-10-07</t>
        </is>
      </c>
      <c r="AB986" s="11" t="inlineStr">
        <is>
          <t>none</t>
        </is>
      </c>
      <c r="AC986" s="2" t="inlineStr"/>
      <c r="AD986" s="2" t="inlineStr">
        <is>
          <t>Apar Private Ltd. and others v. Union of India and others (1985) was reversed on appeal by the Supreme Court in Union of India and others v. Apar Private Ltd. and Others (1999).</t>
        </is>
      </c>
      <c r="AE986" s="2" t="n"/>
      <c r="AF986" s="11" t="inlineStr">
        <is>
          <t>created from list 1</t>
        </is>
      </c>
    </row>
    <row r="987">
      <c r="A987" s="11" t="inlineStr">
        <is>
          <t>L1-0986</t>
        </is>
      </c>
      <c r="B987" s="11" t="inlineStr">
        <is>
          <t>List 1 (to ~2015)</t>
        </is>
      </c>
      <c r="C987" s="11" t="inlineStr">
        <is>
          <t>list1</t>
        </is>
      </c>
      <c r="D987" s="11" t="inlineStr">
        <is>
          <t>verified</t>
        </is>
      </c>
      <c r="E987" s="11" t="inlineStr">
        <is>
          <t>overruled</t>
        </is>
      </c>
      <c r="F987" s="2" t="inlineStr">
        <is>
          <t>K.T. Rolling Mills Private Ltd. and Another v. M.R. Meher and Others</t>
        </is>
      </c>
      <c r="G987" s="11" t="inlineStr"/>
      <c r="H987" s="11" t="inlineStr">
        <is>
          <t>Bombay</t>
        </is>
      </c>
      <c r="I987" s="2" t="inlineStr">
        <is>
          <t>AIR 1963 Bom 146; (1962) 64 BOMLR 645; (1962) 2 LLJ 667</t>
        </is>
      </c>
      <c r="J987" s="11" t="n">
        <v>1963</v>
      </c>
      <c r="K987" s="2" t="inlineStr">
        <is>
          <t>The Workmen of Firestone Tyre and Rubber Co. of India (P) Ltd. v. The Firestone Tyre and Rubber Co.</t>
        </is>
      </c>
      <c r="L987" s="11" t="inlineStr">
        <is>
          <t>Supreme Court</t>
        </is>
      </c>
      <c r="M987" s="2" t="inlineStr">
        <is>
          <t>AIR 1976 SC 1775; (1976) 32 FLR 170; (1976) 1 LLJ 493; (1976) 3 SCC 819; (1976) 3 SCR 369</t>
        </is>
      </c>
      <c r="N987" s="11" t="n">
        <v>1976</v>
      </c>
      <c r="O987" s="11" t="n"/>
      <c r="P987" s="11" t="n"/>
      <c r="Q987" s="11" t="n"/>
      <c r="R987" s="2" t="n"/>
      <c r="S987" s="2" t="n"/>
      <c r="T987" s="11" t="inlineStr"/>
      <c r="U987" s="11" t="inlineStr"/>
      <c r="V987" s="11" t="inlineStr">
        <is>
          <t>outside_list</t>
        </is>
      </c>
      <c r="W987" s="11" t="n"/>
      <c r="X987" s="11" t="n"/>
      <c r="Y987" s="11" t="n"/>
      <c r="Z987" s="11" t="inlineStr">
        <is>
          <t>Mr. Advocate</t>
        </is>
      </c>
      <c r="AA987" s="11" t="inlineStr">
        <is>
          <t>2026-10-07</t>
        </is>
      </c>
      <c r="AB987" s="11" t="inlineStr">
        <is>
          <t>name_year</t>
        </is>
      </c>
      <c r="AC987" s="2" t="inlineStr"/>
      <c r="AD987" s="2" t="inlineStr">
        <is>
          <t>K.T. Rolling Mills Private Ltd. and Another v. M.R. Meher and Others (1963) was overruled by The Workmen of Firestone Tyre and Rubber Co. of India (P) Ltd. v. The Firestone Tyre and Rubber Co. (1976).</t>
        </is>
      </c>
      <c r="AE987" s="2" t="n"/>
      <c r="AF987" s="11" t="inlineStr">
        <is>
          <t>created from list 1</t>
        </is>
      </c>
    </row>
    <row r="988">
      <c r="A988" s="11" t="inlineStr">
        <is>
          <t>L1-0987</t>
        </is>
      </c>
      <c r="B988" s="11" t="inlineStr">
        <is>
          <t>List 1 (to ~2015)</t>
        </is>
      </c>
      <c r="C988" s="11" t="inlineStr">
        <is>
          <t>list1</t>
        </is>
      </c>
      <c r="D988" s="11" t="inlineStr">
        <is>
          <t>verified</t>
        </is>
      </c>
      <c r="E988" s="11" t="inlineStr">
        <is>
          <t>overruled</t>
        </is>
      </c>
      <c r="F988" s="2" t="inlineStr">
        <is>
          <t>Shri V.U. Warrier v. Secretary, Oil and Natural Gas Commission and The Regional Director, Oil and Natural Gas Commission, Bombay Offshore Project</t>
        </is>
      </c>
      <c r="G988" s="11" t="inlineStr"/>
      <c r="H988" s="11" t="inlineStr">
        <is>
          <t>unknown</t>
        </is>
      </c>
      <c r="I988" s="2" t="inlineStr">
        <is>
          <t>(2003) 2 ALLMR 94; (2003) 4 BomCR 555; (2003) 3 MhLj 168</t>
        </is>
      </c>
      <c r="J988" s="11" t="n">
        <v>2003</v>
      </c>
      <c r="K988" s="2" t="inlineStr">
        <is>
          <t>Secretary, O.N.G.C. Ltd. and Another v. V.U. Warrier</t>
        </is>
      </c>
      <c r="L988" s="11" t="inlineStr">
        <is>
          <t>Supreme Court</t>
        </is>
      </c>
      <c r="M988" s="2" t="inlineStr">
        <is>
          <t>AIR 2005 SC 3039; (2005) 106 FLR 63; (2005) 4 JT 489; (2005) 2 LLJ 1040; (2005) 5 SCC 245; (2005) SCC(L&amp;S) 676; (2005) 3 SCR 696; (2005) 2 SLJ 486; (2005) 2 UJ 1023</t>
        </is>
      </c>
      <c r="N988" s="11" t="n">
        <v>2005</v>
      </c>
      <c r="O988" s="11" t="n"/>
      <c r="P988" s="11" t="n"/>
      <c r="Q988" s="11" t="n"/>
      <c r="R988" s="2" t="n"/>
      <c r="S988" s="2" t="n"/>
      <c r="T988" s="11" t="inlineStr"/>
      <c r="U988" s="11" t="inlineStr"/>
      <c r="V988" s="11" t="inlineStr">
        <is>
          <t>outside_list</t>
        </is>
      </c>
      <c r="W988" s="11" t="n"/>
      <c r="X988" s="11" t="n"/>
      <c r="Y988" s="11" t="n"/>
      <c r="Z988" s="11" t="inlineStr">
        <is>
          <t>Mr. Advocate</t>
        </is>
      </c>
      <c r="AA988" s="11" t="inlineStr">
        <is>
          <t>2026-10-07</t>
        </is>
      </c>
      <c r="AB988" s="11" t="inlineStr">
        <is>
          <t>name_year</t>
        </is>
      </c>
      <c r="AC988" s="2" t="inlineStr"/>
      <c r="AD988" s="2" t="inlineStr">
        <is>
          <t>Shri V.U. Warrier v. Secretary, Oil and Natural Gas Commission and The Regional Director, Oil and Natural Gas Commission, Bombay Offshore Project (2003) was overruled by Secretary, O.N.G.C. Ltd. and Another v. V.U. Warrier (2005).</t>
        </is>
      </c>
      <c r="AE988" s="2" t="n"/>
      <c r="AF988" s="11" t="inlineStr">
        <is>
          <t>created from list 1</t>
        </is>
      </c>
    </row>
    <row r="989">
      <c r="A989" s="11" t="inlineStr">
        <is>
          <t>L1-0988</t>
        </is>
      </c>
      <c r="B989" s="11" t="inlineStr">
        <is>
          <t>List 1 (to ~2015)</t>
        </is>
      </c>
      <c r="C989" s="11" t="inlineStr">
        <is>
          <t>list1</t>
        </is>
      </c>
      <c r="D989" s="11" t="inlineStr">
        <is>
          <t>verified</t>
        </is>
      </c>
      <c r="E989" s="11" t="inlineStr">
        <is>
          <t>reversed_on_appeal</t>
        </is>
      </c>
      <c r="F989" s="2" t="inlineStr">
        <is>
          <t>State of Maharashtra v. Sadashio Mundaji Bhalerao and Others</t>
        </is>
      </c>
      <c r="G989" s="11" t="inlineStr"/>
      <c r="H989" s="11" t="inlineStr">
        <is>
          <t>unknown</t>
        </is>
      </c>
      <c r="I989" s="2" t="inlineStr"/>
      <c r="J989" s="11" t="n"/>
      <c r="K989" s="2" t="inlineStr">
        <is>
          <t>Sadashio Mundaji Bhalerao v. State of Maharashtra</t>
        </is>
      </c>
      <c r="L989" s="11" t="inlineStr">
        <is>
          <t>Supreme Court</t>
        </is>
      </c>
      <c r="M989" s="2" t="inlineStr">
        <is>
          <t>AIR 2007 SC 1028; (2007) CLT 847 Supp; (2006) 12 SCALE 470; (2006) 9 SCR 733 Supp</t>
        </is>
      </c>
      <c r="N989" s="11" t="n">
        <v>2007</v>
      </c>
      <c r="O989" s="11" t="n"/>
      <c r="P989" s="11" t="n"/>
      <c r="Q989" s="11" t="n"/>
      <c r="R989" s="2" t="n"/>
      <c r="S989" s="2" t="n"/>
      <c r="T989" s="11" t="inlineStr">
        <is>
          <t>yes</t>
        </is>
      </c>
      <c r="U989" s="11" t="inlineStr">
        <is>
          <t>no_citation_or_year_for_overruled, needs_citation_or_year</t>
        </is>
      </c>
      <c r="V989" s="11" t="inlineStr">
        <is>
          <t>outside_list</t>
        </is>
      </c>
      <c r="W989" s="11" t="n"/>
      <c r="X989" s="11" t="n"/>
      <c r="Y989" s="11" t="n"/>
      <c r="Z989" s="11" t="inlineStr">
        <is>
          <t>Mr. Advocate</t>
        </is>
      </c>
      <c r="AA989" s="11" t="inlineStr">
        <is>
          <t>2026-10-07</t>
        </is>
      </c>
      <c r="AB989" s="11" t="inlineStr">
        <is>
          <t>weak</t>
        </is>
      </c>
      <c r="AC989" s="2" t="inlineStr"/>
      <c r="AD989" s="2" t="inlineStr">
        <is>
          <t>State of Maharashtra v. Sadashio Mundaji Bhalerao and Others was reversed on appeal by the Supreme Court in Sadashio Mundaji Bhalerao v. State of Maharashtra (2007).</t>
        </is>
      </c>
      <c r="AE989" s="2" t="n"/>
      <c r="AF989" s="11" t="inlineStr">
        <is>
          <t>created from list 1</t>
        </is>
      </c>
    </row>
    <row r="990">
      <c r="A990" s="11" t="inlineStr">
        <is>
          <t>L1-0989</t>
        </is>
      </c>
      <c r="B990" s="11" t="inlineStr">
        <is>
          <t>List 1 (to ~2015)</t>
        </is>
      </c>
      <c r="C990" s="11" t="inlineStr">
        <is>
          <t>list1</t>
        </is>
      </c>
      <c r="D990" s="11" t="inlineStr">
        <is>
          <t>verified</t>
        </is>
      </c>
      <c r="E990" s="11" t="inlineStr">
        <is>
          <t>overruled</t>
        </is>
      </c>
      <c r="F990" s="2" t="inlineStr">
        <is>
          <t>Narayanrao Shamrao Deshmukh and Others v. State of Maharashtra and Others</t>
        </is>
      </c>
      <c r="G990" s="11" t="inlineStr"/>
      <c r="H990" s="11" t="inlineStr">
        <is>
          <t>Bombay</t>
        </is>
      </c>
      <c r="I990" s="2" t="inlineStr">
        <is>
          <t>AIR 1971 Bom 158; (1970) MhLj 913</t>
        </is>
      </c>
      <c r="J990" s="11" t="n">
        <v>1971</v>
      </c>
      <c r="K990" s="2" t="inlineStr">
        <is>
          <t>State of Maharashtra v. Narayan Rao Sham Rao Deshmukh and Others</t>
        </is>
      </c>
      <c r="L990" s="11" t="inlineStr">
        <is>
          <t>Supreme Court</t>
        </is>
      </c>
      <c r="M990" s="2" t="inlineStr">
        <is>
          <t>AIR 1985 SC 716; (1985) 46 CTR 349; (1987) 163 ITR 31; (1985) 1 SCALE 601; (1985) 2 SCC 321; (1985) 3 SCR 358; (1985) 17 UJ 856</t>
        </is>
      </c>
      <c r="N990" s="11" t="n">
        <v>1985</v>
      </c>
      <c r="O990" s="11" t="n"/>
      <c r="P990" s="11" t="n"/>
      <c r="Q990" s="11" t="n"/>
      <c r="R990" s="2" t="n"/>
      <c r="S990" s="2" t="n"/>
      <c r="T990" s="11" t="inlineStr"/>
      <c r="U990" s="11" t="inlineStr"/>
      <c r="V990" s="11" t="inlineStr">
        <is>
          <t>outside_list</t>
        </is>
      </c>
      <c r="W990" s="11" t="n"/>
      <c r="X990" s="11" t="n"/>
      <c r="Y990" s="11" t="n"/>
      <c r="Z990" s="11" t="inlineStr">
        <is>
          <t>Mr. Advocate</t>
        </is>
      </c>
      <c r="AA990" s="11" t="inlineStr">
        <is>
          <t>2026-10-07</t>
        </is>
      </c>
      <c r="AB990" s="11" t="inlineStr">
        <is>
          <t>name_year</t>
        </is>
      </c>
      <c r="AC990" s="2" t="inlineStr"/>
      <c r="AD990" s="2" t="inlineStr">
        <is>
          <t>Narayanrao Shamrao Deshmukh and Others v. State of Maharashtra and Others (1971) was overruled by State of Maharashtra v. Narayan Rao Sham Rao Deshmukh and Others (1985).</t>
        </is>
      </c>
      <c r="AE990" s="2" t="n"/>
      <c r="AF990" s="11" t="inlineStr">
        <is>
          <t>created from list 1</t>
        </is>
      </c>
    </row>
    <row r="991">
      <c r="A991" s="11" t="inlineStr">
        <is>
          <t>L1-0990</t>
        </is>
      </c>
      <c r="B991" s="11" t="inlineStr">
        <is>
          <t>List 1 (to ~2015)</t>
        </is>
      </c>
      <c r="C991" s="11" t="inlineStr">
        <is>
          <t>list1</t>
        </is>
      </c>
      <c r="D991" s="11" t="inlineStr">
        <is>
          <t>verified</t>
        </is>
      </c>
      <c r="E991" s="11" t="inlineStr">
        <is>
          <t>reversed_on_appeal</t>
        </is>
      </c>
      <c r="F991" s="2" t="inlineStr">
        <is>
          <t>Maruti Shripati Dubal v. State of Maharashtra</t>
        </is>
      </c>
      <c r="G991" s="11" t="inlineStr"/>
      <c r="H991" s="11" t="inlineStr">
        <is>
          <t>unknown</t>
        </is>
      </c>
      <c r="I991" s="2" t="inlineStr">
        <is>
          <t>(1987) 1 BomCR 499; (1986) 88 BOMLR 589; (1986) MhLj 913</t>
        </is>
      </c>
      <c r="J991" s="11" t="n">
        <v>1986</v>
      </c>
      <c r="K991" s="2" t="inlineStr">
        <is>
          <t>State of Maharashtra v. Maruti Shripati Dubal</t>
        </is>
      </c>
      <c r="L991" s="11" t="inlineStr">
        <is>
          <t>Supreme Court</t>
        </is>
      </c>
      <c r="M991" s="2" t="inlineStr">
        <is>
          <t>(1996) 6 AD 533; AIR 1997 SC 411; (1996) CriLJ 4457; (1996) 3 Crimes 262; (1996) 6 SCALE 343; (1996) 6 SCC 42; (1996) 5 SCR 358 Supp; (1996) AIRSCW 3791; (1996) 6 Supreme 643</t>
        </is>
      </c>
      <c r="N991" s="11" t="n">
        <v>1997</v>
      </c>
      <c r="O991" s="11" t="n"/>
      <c r="P991" s="11" t="n"/>
      <c r="Q991" s="11" t="n"/>
      <c r="R991" s="2" t="n"/>
      <c r="S991" s="2" t="n"/>
      <c r="T991" s="11" t="inlineStr">
        <is>
          <t>yes</t>
        </is>
      </c>
      <c r="U991" s="11" t="inlineStr"/>
      <c r="V991" s="11" t="inlineStr">
        <is>
          <t>outside_list</t>
        </is>
      </c>
      <c r="W991" s="11" t="n"/>
      <c r="X991" s="11" t="n"/>
      <c r="Y991" s="11" t="n"/>
      <c r="Z991" s="11" t="inlineStr">
        <is>
          <t>Mr. Advocate</t>
        </is>
      </c>
      <c r="AA991" s="11" t="inlineStr">
        <is>
          <t>2026-10-07</t>
        </is>
      </c>
      <c r="AB991" s="11" t="inlineStr">
        <is>
          <t>name_year</t>
        </is>
      </c>
      <c r="AC991" s="2" t="inlineStr"/>
      <c r="AD991" s="2" t="inlineStr">
        <is>
          <t>Maruti Shripati Dubal v. State of Maharashtra (1986) was reversed on appeal by the Supreme Court in State of Maharashtra v. Maruti Shripati Dubal (1997).</t>
        </is>
      </c>
      <c r="AE991" s="2" t="n"/>
      <c r="AF991" s="11" t="inlineStr">
        <is>
          <t>created from list 1</t>
        </is>
      </c>
    </row>
    <row r="992">
      <c r="A992" s="11" t="inlineStr">
        <is>
          <t>L1-0991</t>
        </is>
      </c>
      <c r="B992" s="11" t="inlineStr">
        <is>
          <t>List 1 (to ~2015)</t>
        </is>
      </c>
      <c r="C992" s="11" t="inlineStr">
        <is>
          <t>list1</t>
        </is>
      </c>
      <c r="D992" s="11" t="inlineStr">
        <is>
          <t>verified</t>
        </is>
      </c>
      <c r="E992" s="11" t="inlineStr">
        <is>
          <t>overruled</t>
        </is>
      </c>
      <c r="F992" s="2" t="inlineStr">
        <is>
          <t>Kalgonda Babgonda Patil v. Balgonda Kalgonda Patil</t>
        </is>
      </c>
      <c r="G992" s="11" t="inlineStr"/>
      <c r="H992" s="11" t="inlineStr">
        <is>
          <t>unknown</t>
        </is>
      </c>
      <c r="I992" s="2" t="inlineStr">
        <is>
          <t>(1976) 78 BOMLR 720</t>
        </is>
      </c>
      <c r="J992" s="11" t="n">
        <v>1976</v>
      </c>
      <c r="K992" s="2" t="inlineStr">
        <is>
          <t>Annasaheb Bapusaheb Patil and others v. Balwant alias Balasaheb Babusaheb Patil (dead) by LRs. and heirs</t>
        </is>
      </c>
      <c r="L992" s="11" t="inlineStr">
        <is>
          <t>Supreme Court</t>
        </is>
      </c>
      <c r="M992" s="2" t="inlineStr">
        <is>
          <t>AIR 1995 SC 895; (1995) 1 JT 370; (1995) 1 SCALE 100; (1995) 2 SCC 543; (1995) 1 SCR 88; (1995) 1 UJ 488</t>
        </is>
      </c>
      <c r="N992" s="11" t="n">
        <v>1995</v>
      </c>
      <c r="O992" s="11" t="n"/>
      <c r="P992" s="11" t="n"/>
      <c r="Q992" s="11" t="n"/>
      <c r="R992" s="2" t="n"/>
      <c r="S992" s="2" t="n"/>
      <c r="T992" s="11" t="inlineStr"/>
      <c r="U992" s="11" t="inlineStr"/>
      <c r="V992" s="11" t="inlineStr">
        <is>
          <t>outside_list</t>
        </is>
      </c>
      <c r="W992" s="11" t="n"/>
      <c r="X992" s="11" t="n"/>
      <c r="Y992" s="11" t="n"/>
      <c r="Z992" s="11" t="inlineStr">
        <is>
          <t>Mr. Advocate</t>
        </is>
      </c>
      <c r="AA992" s="11" t="inlineStr">
        <is>
          <t>2026-10-07</t>
        </is>
      </c>
      <c r="AB992" s="11" t="inlineStr">
        <is>
          <t>name_year</t>
        </is>
      </c>
      <c r="AC992" s="2" t="inlineStr"/>
      <c r="AD992" s="2" t="inlineStr">
        <is>
          <t>Kalgonda Babgonda Patil v. Balgonda Kalgonda Patil (1976) was overruled by Annasaheb Bapusaheb Patil and others v. Balwant alias Balasaheb Babusaheb Patil (dead) by LRs. and heirs (1995).</t>
        </is>
      </c>
      <c r="AE992" s="2" t="n"/>
      <c r="AF992" s="11" t="inlineStr">
        <is>
          <t>created from list 1</t>
        </is>
      </c>
    </row>
    <row r="993">
      <c r="A993" s="11" t="inlineStr">
        <is>
          <t>L1-0992</t>
        </is>
      </c>
      <c r="B993" s="11" t="inlineStr">
        <is>
          <t>List 1 (to ~2015)</t>
        </is>
      </c>
      <c r="C993" s="11" t="inlineStr">
        <is>
          <t>list1</t>
        </is>
      </c>
      <c r="D993" s="11" t="inlineStr">
        <is>
          <t>verified</t>
        </is>
      </c>
      <c r="E993" s="11" t="inlineStr">
        <is>
          <t>overruled</t>
        </is>
      </c>
      <c r="F993" s="2" t="inlineStr">
        <is>
          <t>Commissioner of Income Tax Excess Profits Tax, Bombay City v. Homi Mehta</t>
        </is>
      </c>
      <c r="G993" s="11" t="inlineStr"/>
      <c r="H993" s="11" t="inlineStr">
        <is>
          <t>Bombay</t>
        </is>
      </c>
      <c r="I993" s="2" t="inlineStr">
        <is>
          <t>AIR 1956 Bom 415; (1956) 58 BOMLR 112; (1956) ILR (Bom) 154</t>
        </is>
      </c>
      <c r="J993" s="11" t="n">
        <v>1956</v>
      </c>
      <c r="K993" s="2" t="inlineStr">
        <is>
          <t>The Commissioner of Income Tax, Calcutta v. Gillanders Arbuthnot and Co.</t>
        </is>
      </c>
      <c r="L993" s="11" t="inlineStr">
        <is>
          <t>Supreme Court</t>
        </is>
      </c>
      <c r="M993" s="2" t="inlineStr">
        <is>
          <t>AIR 1973 SC 989; (1973) 87 ITR 407; (1973) 3 SCC 845; (1973) 2 SCR 437</t>
        </is>
      </c>
      <c r="N993" s="11" t="n">
        <v>1973</v>
      </c>
      <c r="O993" s="11" t="n"/>
      <c r="P993" s="11" t="n"/>
      <c r="Q993" s="11" t="n"/>
      <c r="R993" s="2" t="n"/>
      <c r="S993" s="2" t="n"/>
      <c r="T993" s="11" t="inlineStr"/>
      <c r="U993" s="11" t="inlineStr"/>
      <c r="V993" s="11" t="inlineStr">
        <is>
          <t>outside_list</t>
        </is>
      </c>
      <c r="W993" s="11" t="n"/>
      <c r="X993" s="11" t="n"/>
      <c r="Y993" s="11" t="n"/>
      <c r="Z993" s="11" t="inlineStr">
        <is>
          <t>Mr. Advocate</t>
        </is>
      </c>
      <c r="AA993" s="11" t="inlineStr">
        <is>
          <t>2026-10-07</t>
        </is>
      </c>
      <c r="AB993" s="11" t="inlineStr">
        <is>
          <t>name_year</t>
        </is>
      </c>
      <c r="AC993" s="2" t="inlineStr"/>
      <c r="AD993" s="2" t="inlineStr">
        <is>
          <t>Commissioner of Income Tax Excess Profits Tax, Bombay City v. Homi Mehta (1956) was overruled by The Commissioner of Income Tax, Calcutta v. Gillanders Arbuthnot and Co. (1973).</t>
        </is>
      </c>
      <c r="AE993" s="2" t="n"/>
      <c r="AF993" s="11" t="inlineStr">
        <is>
          <t>created from list 1</t>
        </is>
      </c>
    </row>
    <row r="994">
      <c r="A994" s="11" t="inlineStr">
        <is>
          <t>L1-0993</t>
        </is>
      </c>
      <c r="B994" s="11" t="inlineStr">
        <is>
          <t>List 1 (to ~2015)</t>
        </is>
      </c>
      <c r="C994" s="11" t="inlineStr">
        <is>
          <t>list1</t>
        </is>
      </c>
      <c r="D994" s="11" t="inlineStr">
        <is>
          <t>verified</t>
        </is>
      </c>
      <c r="E994" s="11" t="inlineStr">
        <is>
          <t>overruled</t>
        </is>
      </c>
      <c r="F994" s="2" t="inlineStr">
        <is>
          <t>Britannia Biscuit Co. Ltd. v. Third Industrial Tribunal and Another, 80 CWN 676 : (1977) 1 LLJ 197</t>
        </is>
      </c>
      <c r="G994" s="11" t="inlineStr"/>
      <c r="H994" s="11" t="inlineStr">
        <is>
          <t>unknown</t>
        </is>
      </c>
      <c r="I994" s="2" t="inlineStr"/>
      <c r="J994" s="11" t="n"/>
      <c r="K994" s="2" t="inlineStr">
        <is>
          <t>Shankar Chakravarti v. Britannia Biscuit Co. Ltd. and Another</t>
        </is>
      </c>
      <c r="L994" s="11" t="inlineStr">
        <is>
          <t>Supreme Court</t>
        </is>
      </c>
      <c r="M994" s="2" t="inlineStr">
        <is>
          <t>AIR 1979 SC 1652; (1979) 39 FLR 70; (1979) LabIC 1192; (1980) 2 LLJ 78; (1979) 2 LLJ 194; (1979) 3 SCC 371; (1979) 3 SCR 1165</t>
        </is>
      </c>
      <c r="N994" s="11" t="n">
        <v>1979</v>
      </c>
      <c r="O994" s="11" t="n"/>
      <c r="P994" s="11" t="n"/>
      <c r="Q994" s="11" t="n"/>
      <c r="R994" s="2" t="n"/>
      <c r="S994" s="2" t="n"/>
      <c r="T994" s="11" t="inlineStr"/>
      <c r="U994" s="11" t="inlineStr">
        <is>
          <t>no_citation_or_year_for_overruled, needs_citation_or_year</t>
        </is>
      </c>
      <c r="V994" s="11" t="inlineStr">
        <is>
          <t>outside_list</t>
        </is>
      </c>
      <c r="W994" s="11" t="n"/>
      <c r="X994" s="11" t="n"/>
      <c r="Y994" s="11" t="n"/>
      <c r="Z994" s="11" t="inlineStr">
        <is>
          <t>Mr. Advocate</t>
        </is>
      </c>
      <c r="AA994" s="11" t="inlineStr">
        <is>
          <t>2026-10-07</t>
        </is>
      </c>
      <c r="AB994" s="11" t="inlineStr">
        <is>
          <t>weak</t>
        </is>
      </c>
      <c r="AC994" s="2" t="inlineStr"/>
      <c r="AD994" s="2" t="inlineStr">
        <is>
          <t>Britannia Biscuit Co. Ltd. v. Third Industrial Tribunal and Another, 80 CWN 676 : (1977) 1 LLJ 197 was overruled by Shankar Chakravarti v. Britannia Biscuit Co. Ltd. and Another (1979).</t>
        </is>
      </c>
      <c r="AE994" s="2" t="n"/>
      <c r="AF994" s="11" t="inlineStr">
        <is>
          <t>created from list 1</t>
        </is>
      </c>
    </row>
    <row r="995">
      <c r="A995" s="11" t="inlineStr">
        <is>
          <t>L1-0994</t>
        </is>
      </c>
      <c r="B995" s="11" t="inlineStr">
        <is>
          <t>List 1 (to ~2015)</t>
        </is>
      </c>
      <c r="C995" s="11" t="inlineStr">
        <is>
          <t>list1</t>
        </is>
      </c>
      <c r="D995" s="11" t="inlineStr">
        <is>
          <t>verified</t>
        </is>
      </c>
      <c r="E995" s="11" t="inlineStr">
        <is>
          <t>overruled</t>
        </is>
      </c>
      <c r="F995" s="2" t="inlineStr">
        <is>
          <t>The Sakharkherda Education Society, Sakharkheda and Others v. The State of Maharashtra and Others</t>
        </is>
      </c>
      <c r="G995" s="11" t="inlineStr"/>
      <c r="H995" s="11" t="inlineStr">
        <is>
          <t>Bombay</t>
        </is>
      </c>
      <c r="I995" s="2" t="inlineStr">
        <is>
          <t>AIR 1968 Bom 91; (1967) 69 BOMLR 690; (1967) MhLj 481</t>
        </is>
      </c>
      <c r="J995" s="11" t="n">
        <v>1968</v>
      </c>
      <c r="K995" s="2" t="inlineStr">
        <is>
          <t>Unnikrishnan P.J. and Others v. State of A.P. and Others</t>
        </is>
      </c>
      <c r="L995" s="11" t="inlineStr">
        <is>
          <t>Supreme Court</t>
        </is>
      </c>
      <c r="M995" s="2" t="inlineStr">
        <is>
          <t>(1993) 3 SCALE 248; (1993) 4 SCC 111</t>
        </is>
      </c>
      <c r="N995" s="11" t="n">
        <v>1993</v>
      </c>
      <c r="O995" s="11" t="n"/>
      <c r="P995" s="11" t="n"/>
      <c r="Q995" s="11" t="n"/>
      <c r="R995" s="2" t="n"/>
      <c r="S995" s="2" t="n"/>
      <c r="T995" s="11" t="inlineStr"/>
      <c r="U995" s="11" t="inlineStr"/>
      <c r="V995" s="11" t="inlineStr">
        <is>
          <t>outside_list</t>
        </is>
      </c>
      <c r="W995" s="11" t="n"/>
      <c r="X995" s="11" t="n"/>
      <c r="Y995" s="11" t="n"/>
      <c r="Z995" s="11" t="inlineStr">
        <is>
          <t>Mr. Advocate</t>
        </is>
      </c>
      <c r="AA995" s="11" t="inlineStr">
        <is>
          <t>2026-10-07</t>
        </is>
      </c>
      <c r="AB995" s="11" t="inlineStr">
        <is>
          <t>name_year</t>
        </is>
      </c>
      <c r="AC995" s="2" t="inlineStr"/>
      <c r="AD995" s="2" t="inlineStr">
        <is>
          <t>The Sakharkherda Education Society, Sakharkheda and Others v. The State of Maharashtra and Others (1968) was overruled by Unnikrishnan P.J. and Others v. State of A.P. and Others (1993).</t>
        </is>
      </c>
      <c r="AE995" s="2" t="n"/>
      <c r="AF995" s="11" t="inlineStr">
        <is>
          <t>created from list 1</t>
        </is>
      </c>
    </row>
    <row r="996">
      <c r="A996" s="11" t="inlineStr">
        <is>
          <t>L1-0995</t>
        </is>
      </c>
      <c r="B996" s="11" t="inlineStr">
        <is>
          <t>List 1 (to ~2015)</t>
        </is>
      </c>
      <c r="C996" s="11" t="inlineStr">
        <is>
          <t>list1</t>
        </is>
      </c>
      <c r="D996" s="11" t="inlineStr">
        <is>
          <t>verified</t>
        </is>
      </c>
      <c r="E996" s="11" t="inlineStr">
        <is>
          <t>reversed_on_appeal</t>
        </is>
      </c>
      <c r="F996" s="2" t="inlineStr">
        <is>
          <t>Bradma of India Limited v. State of Maharashtra</t>
        </is>
      </c>
      <c r="G996" s="11" t="inlineStr"/>
      <c r="H996" s="11" t="inlineStr">
        <is>
          <t>unknown</t>
        </is>
      </c>
      <c r="I996" s="2" t="inlineStr"/>
      <c r="J996" s="11" t="n"/>
      <c r="K996" s="2" t="inlineStr">
        <is>
          <t>State of Maharashtra v. Bradma of India Ltd.</t>
        </is>
      </c>
      <c r="L996" s="11" t="inlineStr">
        <is>
          <t>Supreme Court</t>
        </is>
      </c>
      <c r="M996" s="2" t="inlineStr">
        <is>
          <t>AIR 2005 SC 956; (2005) 2 JT 310; (2005) 2 SCC 669; (2005) 140 STC 17; (2005) AIRSCW 894; (2005) 2 Supreme 56</t>
        </is>
      </c>
      <c r="N996" s="11" t="n">
        <v>2005</v>
      </c>
      <c r="O996" s="11" t="n"/>
      <c r="P996" s="11" t="n"/>
      <c r="Q996" s="11" t="n"/>
      <c r="R996" s="2" t="n"/>
      <c r="S996" s="2" t="n"/>
      <c r="T996" s="11" t="inlineStr">
        <is>
          <t>yes</t>
        </is>
      </c>
      <c r="U996" s="11" t="inlineStr">
        <is>
          <t>no_citation_or_year_for_overruled, needs_citation_or_year</t>
        </is>
      </c>
      <c r="V996" s="11" t="inlineStr">
        <is>
          <t>outside_list</t>
        </is>
      </c>
      <c r="W996" s="11" t="n"/>
      <c r="X996" s="11" t="n"/>
      <c r="Y996" s="11" t="n"/>
      <c r="Z996" s="11" t="inlineStr">
        <is>
          <t>Mr. Advocate</t>
        </is>
      </c>
      <c r="AA996" s="11" t="inlineStr">
        <is>
          <t>2026-10-07</t>
        </is>
      </c>
      <c r="AB996" s="11" t="inlineStr">
        <is>
          <t>none</t>
        </is>
      </c>
      <c r="AC996" s="2" t="inlineStr"/>
      <c r="AD996" s="2" t="inlineStr">
        <is>
          <t>Bradma of India Limited v. State of Maharashtra was reversed on appeal by the Supreme Court in State of Maharashtra v. Bradma of India Ltd. (2005).</t>
        </is>
      </c>
      <c r="AE996" s="2" t="n"/>
      <c r="AF996" s="11" t="inlineStr">
        <is>
          <t>created from list 1</t>
        </is>
      </c>
    </row>
    <row r="997">
      <c r="A997" s="11" t="inlineStr">
        <is>
          <t>L1-0996</t>
        </is>
      </c>
      <c r="B997" s="11" t="inlineStr">
        <is>
          <t>List 1 (to ~2015)</t>
        </is>
      </c>
      <c r="C997" s="11" t="inlineStr">
        <is>
          <t>list1</t>
        </is>
      </c>
      <c r="D997" s="11" t="inlineStr">
        <is>
          <t>verified</t>
        </is>
      </c>
      <c r="E997" s="11" t="inlineStr">
        <is>
          <t>overruled</t>
        </is>
      </c>
      <c r="F997" s="2" t="inlineStr">
        <is>
          <t>Amalgamated Electricity Co. Ltd. v. Commissioner of Income Tax, Bombay City I</t>
        </is>
      </c>
      <c r="G997" s="11" t="inlineStr"/>
      <c r="H997" s="11" t="inlineStr">
        <is>
          <t>unknown</t>
        </is>
      </c>
      <c r="I997" s="2" t="inlineStr">
        <is>
          <t>(1974) 97 ITR 334</t>
        </is>
      </c>
      <c r="J997" s="11" t="n">
        <v>1974</v>
      </c>
      <c r="K997" s="2" t="inlineStr">
        <is>
          <t>Associated Power Co. Ltd. v. Commissioner of Income Tax</t>
        </is>
      </c>
      <c r="L997" s="11" t="inlineStr">
        <is>
          <t>Supreme Court</t>
        </is>
      </c>
      <c r="M997" s="2" t="inlineStr">
        <is>
          <t>AIR 1996 SC 894; AIR 1995 SC 894; (1996) 130 CTR 393; (1996) 218 ITR 195; (1995) 9 JT 146; (1995) 6 SCALE 702; (1996) 7 SCC 221; (1995) 5 SCR 721 Supp; (1996) 84 TAXMAN 355</t>
        </is>
      </c>
      <c r="N997" s="11" t="n">
        <v>1996</v>
      </c>
      <c r="O997" s="11" t="n"/>
      <c r="P997" s="11" t="n"/>
      <c r="Q997" s="11" t="n"/>
      <c r="R997" s="2" t="n"/>
      <c r="S997" s="2" t="n"/>
      <c r="T997" s="11" t="inlineStr"/>
      <c r="U997" s="11" t="inlineStr"/>
      <c r="V997" s="11" t="inlineStr">
        <is>
          <t>outside_list</t>
        </is>
      </c>
      <c r="W997" s="11" t="n"/>
      <c r="X997" s="11" t="n"/>
      <c r="Y997" s="11" t="n"/>
      <c r="Z997" s="11" t="inlineStr">
        <is>
          <t>Mr. Advocate</t>
        </is>
      </c>
      <c r="AA997" s="11" t="inlineStr">
        <is>
          <t>2026-10-07</t>
        </is>
      </c>
      <c r="AB997" s="11" t="inlineStr">
        <is>
          <t>name_year</t>
        </is>
      </c>
      <c r="AC997" s="2" t="inlineStr"/>
      <c r="AD997" s="2" t="inlineStr">
        <is>
          <t>Amalgamated Electricity Co. Ltd. v. Commissioner of Income Tax, Bombay City I (1974) was overruled by Associated Power Co. Ltd. v. Commissioner of Income Tax (1996).</t>
        </is>
      </c>
      <c r="AE997" s="2" t="n"/>
      <c r="AF997" s="11" t="inlineStr">
        <is>
          <t>created from list 1</t>
        </is>
      </c>
    </row>
    <row r="998">
      <c r="A998" s="11" t="inlineStr">
        <is>
          <t>L1-0997</t>
        </is>
      </c>
      <c r="B998" s="11" t="inlineStr">
        <is>
          <t>List 1 (to ~2015)</t>
        </is>
      </c>
      <c r="C998" s="11" t="inlineStr">
        <is>
          <t>list1</t>
        </is>
      </c>
      <c r="D998" s="11" t="inlineStr">
        <is>
          <t>verified</t>
        </is>
      </c>
      <c r="E998" s="11" t="inlineStr">
        <is>
          <t>overruled</t>
        </is>
      </c>
      <c r="F998" s="2" t="inlineStr">
        <is>
          <t>Sahu Rubbers Private Ltd. v. Commissioner of Income Tax, Bombay City I</t>
        </is>
      </c>
      <c r="G998" s="11" t="inlineStr"/>
      <c r="H998" s="11" t="inlineStr">
        <is>
          <t>unknown</t>
        </is>
      </c>
      <c r="I998" s="2" t="inlineStr">
        <is>
          <t>(1963) 48 ITR 464</t>
        </is>
      </c>
      <c r="J998" s="11" t="n">
        <v>1963</v>
      </c>
      <c r="K998" s="2" t="inlineStr">
        <is>
          <t>Commissioner of Income Tax, Meerut and Others v. Virmani Industries Pvt. Ltd. and Others</t>
        </is>
      </c>
      <c r="L998" s="11" t="inlineStr">
        <is>
          <t>Supreme Court</t>
        </is>
      </c>
      <c r="M998" s="2" t="inlineStr">
        <is>
          <t>(1995) 216 ITR 607; (1995) 7 JT 322; (1995) 5 SCALE 718; (1995) 6 SCC 466; (1995) 6 SCC 465; (1995) 4 SCR 275 Supp</t>
        </is>
      </c>
      <c r="N998" s="11" t="n">
        <v>1995</v>
      </c>
      <c r="O998" s="11" t="n"/>
      <c r="P998" s="11" t="n"/>
      <c r="Q998" s="11" t="n"/>
      <c r="R998" s="2" t="n"/>
      <c r="S998" s="2" t="n"/>
      <c r="T998" s="11" t="inlineStr"/>
      <c r="U998" s="11" t="inlineStr"/>
      <c r="V998" s="11" t="inlineStr">
        <is>
          <t>outside_list</t>
        </is>
      </c>
      <c r="W998" s="11" t="n"/>
      <c r="X998" s="11" t="n"/>
      <c r="Y998" s="11" t="n"/>
      <c r="Z998" s="11" t="inlineStr">
        <is>
          <t>Mr. Advocate</t>
        </is>
      </c>
      <c r="AA998" s="11" t="inlineStr">
        <is>
          <t>2026-10-07</t>
        </is>
      </c>
      <c r="AB998" s="11" t="inlineStr">
        <is>
          <t>name_year</t>
        </is>
      </c>
      <c r="AC998" s="2" t="inlineStr"/>
      <c r="AD998" s="2" t="inlineStr">
        <is>
          <t>Sahu Rubbers Private Ltd. v. Commissioner of Income Tax, Bombay City I (1963) was overruled by Commissioner of Income Tax, Meerut and Others v. Virmani Industries Pvt. Ltd. and Others (1995).</t>
        </is>
      </c>
      <c r="AE998" s="2" t="n"/>
      <c r="AF998" s="11" t="inlineStr">
        <is>
          <t>created from list 1</t>
        </is>
      </c>
    </row>
    <row r="999">
      <c r="A999" s="11" t="inlineStr">
        <is>
          <t>L1-0998</t>
        </is>
      </c>
      <c r="B999" s="11" t="inlineStr">
        <is>
          <t>List 1 (to ~2015)</t>
        </is>
      </c>
      <c r="C999" s="11" t="inlineStr">
        <is>
          <t>list1</t>
        </is>
      </c>
      <c r="D999" s="11" t="inlineStr">
        <is>
          <t>verified</t>
        </is>
      </c>
      <c r="E999" s="11" t="inlineStr">
        <is>
          <t>overruled</t>
        </is>
      </c>
      <c r="F999" s="2" t="inlineStr">
        <is>
          <t>Kantilal Manilal and Others v. Commissioner of Income Tax, Bombay North, Cutch and Surashtra</t>
        </is>
      </c>
      <c r="G999" s="11" t="inlineStr"/>
      <c r="H999" s="11" t="inlineStr">
        <is>
          <t>unknown</t>
        </is>
      </c>
      <c r="I999" s="2" t="inlineStr">
        <is>
          <t>(1956) 30 ITR 569</t>
        </is>
      </c>
      <c r="J999" s="11" t="n">
        <v>1956</v>
      </c>
      <c r="K999" s="2" t="inlineStr">
        <is>
          <t>Commissioner of Income Tax, Madras v. S. Raman Chettiar</t>
        </is>
      </c>
      <c r="L999" s="11" t="inlineStr">
        <is>
          <t>Supreme Court</t>
        </is>
      </c>
      <c r="M999" s="2" t="inlineStr">
        <is>
          <t>AIR 1965 SC 1031; (1965) 55 ITR 630; (1965) 1 SCR 883</t>
        </is>
      </c>
      <c r="N999" s="11" t="n">
        <v>1965</v>
      </c>
      <c r="O999" s="11" t="n"/>
      <c r="P999" s="11" t="n"/>
      <c r="Q999" s="11" t="n"/>
      <c r="R999" s="2" t="n"/>
      <c r="S999" s="2" t="n"/>
      <c r="T999" s="11" t="inlineStr"/>
      <c r="U999" s="11" t="inlineStr"/>
      <c r="V999" s="11" t="inlineStr">
        <is>
          <t>outside_list</t>
        </is>
      </c>
      <c r="W999" s="11" t="n"/>
      <c r="X999" s="11" t="n"/>
      <c r="Y999" s="11" t="n"/>
      <c r="Z999" s="11" t="inlineStr">
        <is>
          <t>Mr. Advocate</t>
        </is>
      </c>
      <c r="AA999" s="11" t="inlineStr">
        <is>
          <t>2026-10-07</t>
        </is>
      </c>
      <c r="AB999" s="11" t="inlineStr">
        <is>
          <t>name_year</t>
        </is>
      </c>
      <c r="AC999" s="2" t="inlineStr"/>
      <c r="AD999" s="2" t="inlineStr">
        <is>
          <t>Kantilal Manilal and Others v. Commissioner of Income Tax, Bombay North, Cutch and Surashtra (1956) was overruled by Commissioner of Income Tax, Madras v. S. Raman Chettiar (1965).</t>
        </is>
      </c>
      <c r="AE999" s="2" t="n"/>
      <c r="AF999" s="11" t="inlineStr">
        <is>
          <t>created from list 1</t>
        </is>
      </c>
    </row>
    <row r="1000">
      <c r="A1000" s="11" t="inlineStr">
        <is>
          <t>L1-0999</t>
        </is>
      </c>
      <c r="B1000" s="11" t="inlineStr">
        <is>
          <t>List 1 (to ~2015)</t>
        </is>
      </c>
      <c r="C1000" s="11" t="inlineStr">
        <is>
          <t>list1</t>
        </is>
      </c>
      <c r="D1000" s="11" t="inlineStr">
        <is>
          <t>verified</t>
        </is>
      </c>
      <c r="E1000" s="11" t="inlineStr">
        <is>
          <t>overruled</t>
        </is>
      </c>
      <c r="F1000" s="2" t="inlineStr">
        <is>
          <t>Union of India (UOI) and Divisional Railway Manager, Mumbai Division, Central Railway v. Shri Moni Shankar, Booking Supervisor, Mumbai Division, Central Railway</t>
        </is>
      </c>
      <c r="G1000" s="11" t="inlineStr"/>
      <c r="H1000" s="11" t="inlineStr">
        <is>
          <t>unknown</t>
        </is>
      </c>
      <c r="I1000" s="2" t="inlineStr">
        <is>
          <t>(2006) 3 ALLMR 9; (2006) 4 BomCR 768; (2006) 110 FLR 653; (2006) 4 MhLj 119</t>
        </is>
      </c>
      <c r="J1000" s="11" t="n">
        <v>2006</v>
      </c>
      <c r="K1000" s="2" t="inlineStr">
        <is>
          <t>Moni Shankar v. Union of India (UOI) and Another</t>
        </is>
      </c>
      <c r="L1000" s="11" t="inlineStr">
        <is>
          <t>Supreme Court</t>
        </is>
      </c>
      <c r="M1000" s="2" t="inlineStr">
        <is>
          <t>(2008) 2 CLT 105; (2008) 118 FLR 1092; (2008) 3 JT 484; (2008) 3 SCALE 455; (2008) 3 SCC 484; (2008) 1 SCC(L&amp;S) 819; (2008) 3 SLJ 325</t>
        </is>
      </c>
      <c r="N1000" s="11" t="n">
        <v>2008</v>
      </c>
      <c r="O1000" s="11" t="n"/>
      <c r="P1000" s="11" t="n"/>
      <c r="Q1000" s="11" t="n"/>
      <c r="R1000" s="2" t="n"/>
      <c r="S1000" s="2" t="n"/>
      <c r="T1000" s="11" t="inlineStr"/>
      <c r="U1000" s="11" t="inlineStr">
        <is>
          <t>needs_citation_or_year</t>
        </is>
      </c>
      <c r="V1000" s="11" t="inlineStr">
        <is>
          <t>outside_list</t>
        </is>
      </c>
      <c r="W1000" s="11" t="n"/>
      <c r="X1000" s="11" t="n"/>
      <c r="Y1000" s="11" t="n"/>
      <c r="Z1000" s="11" t="inlineStr">
        <is>
          <t>Mr. Advocate</t>
        </is>
      </c>
      <c r="AA1000" s="11" t="inlineStr">
        <is>
          <t>2026-10-07</t>
        </is>
      </c>
      <c r="AB1000" s="11" t="inlineStr">
        <is>
          <t>none</t>
        </is>
      </c>
      <c r="AC1000" s="2" t="inlineStr"/>
      <c r="AD1000" s="2" t="inlineStr">
        <is>
          <t>Union of India (UOI) and Divisional Railway Manager, Mumbai Division, Central Railway v. Shri Moni Shankar, Booking Supervisor, Mumbai Division, Central Railway (2006) was overruled by Moni Shankar v. Union of India (UOI) and Another (2008).</t>
        </is>
      </c>
      <c r="AE1000" s="2" t="n"/>
      <c r="AF1000" s="11" t="inlineStr">
        <is>
          <t>created from list 1</t>
        </is>
      </c>
    </row>
    <row r="1001">
      <c r="A1001" s="11" t="inlineStr">
        <is>
          <t>L1-1000</t>
        </is>
      </c>
      <c r="B1001" s="11" t="inlineStr">
        <is>
          <t>List 1 (to ~2015)</t>
        </is>
      </c>
      <c r="C1001" s="11" t="inlineStr">
        <is>
          <t>list1</t>
        </is>
      </c>
      <c r="D1001" s="11" t="inlineStr">
        <is>
          <t>verified</t>
        </is>
      </c>
      <c r="E1001" s="11" t="inlineStr">
        <is>
          <t>overruled</t>
        </is>
      </c>
      <c r="F1001" s="2" t="inlineStr">
        <is>
          <t>Narottamdas Jethabhai v. Aloysious Pinto Phillips</t>
        </is>
      </c>
      <c r="G1001" s="11" t="inlineStr"/>
      <c r="H1001" s="11" t="inlineStr">
        <is>
          <t>Bombay</t>
        </is>
      </c>
      <c r="I1001" s="2" t="inlineStr">
        <is>
          <t>AIR 1951 Bom 180; (1950) 52 BOMLR 571; (1951) ILR (Bom) 370</t>
        </is>
      </c>
      <c r="J1001" s="11" t="n">
        <v>1951</v>
      </c>
      <c r="K1001" s="2" t="inlineStr">
        <is>
          <t>Jamshed N. Guzdar v. State of Maharashtra and Others</t>
        </is>
      </c>
      <c r="L1001" s="11" t="inlineStr">
        <is>
          <t>Supreme Court</t>
        </is>
      </c>
      <c r="M1001" s="2" t="inlineStr">
        <is>
          <t>AIR 2005 SC 862; (2005) 1 JT 370; (2005) 2 SCC 591; (2005) 1 SCR 223; (2005) 2 UJ 812</t>
        </is>
      </c>
      <c r="N1001" s="11" t="n">
        <v>2005</v>
      </c>
      <c r="O1001" s="11" t="n"/>
      <c r="P1001" s="11" t="n"/>
      <c r="Q1001" s="11" t="n"/>
      <c r="R1001" s="2" t="n"/>
      <c r="S1001" s="2" t="n"/>
      <c r="T1001" s="11" t="inlineStr"/>
      <c r="U1001" s="11" t="inlineStr"/>
      <c r="V1001" s="11" t="inlineStr">
        <is>
          <t>outside_list</t>
        </is>
      </c>
      <c r="W1001" s="11" t="n"/>
      <c r="X1001" s="11" t="n"/>
      <c r="Y1001" s="11" t="n"/>
      <c r="Z1001" s="11" t="inlineStr">
        <is>
          <t>Mr. Advocate</t>
        </is>
      </c>
      <c r="AA1001" s="11" t="inlineStr">
        <is>
          <t>2026-10-07</t>
        </is>
      </c>
      <c r="AB1001" s="11" t="inlineStr">
        <is>
          <t>name_year</t>
        </is>
      </c>
      <c r="AC1001" s="2" t="inlineStr"/>
      <c r="AD1001" s="2" t="inlineStr">
        <is>
          <t>Narottamdas Jethabhai v. Aloysious Pinto Phillips (1951) was overruled by Jamshed N. Guzdar v. State of Maharashtra and Others (2005).</t>
        </is>
      </c>
      <c r="AE1001" s="2" t="n"/>
      <c r="AF1001" s="11" t="inlineStr">
        <is>
          <t>created from list 1</t>
        </is>
      </c>
    </row>
    <row r="1002">
      <c r="A1002" s="11" t="inlineStr">
        <is>
          <t>L1-1001</t>
        </is>
      </c>
      <c r="B1002" s="11" t="inlineStr">
        <is>
          <t>List 1 (to ~2015)</t>
        </is>
      </c>
      <c r="C1002" s="11" t="inlineStr">
        <is>
          <t>list1</t>
        </is>
      </c>
      <c r="D1002" s="11" t="inlineStr">
        <is>
          <t>verified</t>
        </is>
      </c>
      <c r="E1002" s="11" t="inlineStr">
        <is>
          <t>reversed_on_appeal</t>
        </is>
      </c>
      <c r="F1002" s="2" t="inlineStr">
        <is>
          <t>Commissioner of Income Tax, Bombay City-III v. Banque Nationale De-paris</t>
        </is>
      </c>
      <c r="G1002" s="11" t="inlineStr"/>
      <c r="H1002" s="11" t="inlineStr">
        <is>
          <t>unknown</t>
        </is>
      </c>
      <c r="I1002" s="2" t="inlineStr">
        <is>
          <t>(1981) 130 ITR 534; (1979) 1 TAXMAN 299</t>
        </is>
      </c>
      <c r="J1002" s="11" t="n">
        <v>1979</v>
      </c>
      <c r="K1002" s="2" t="inlineStr">
        <is>
          <t>Commissioner of Income Tax, Bombay v. M/s. Banque Nationale De- Paris</t>
        </is>
      </c>
      <c r="L1002" s="11" t="inlineStr">
        <is>
          <t>Supreme Court</t>
        </is>
      </c>
      <c r="M1002" s="2" t="inlineStr">
        <is>
          <t>AIR 1997 SC 1860; (1997) 225 ITR 1; (1997) 4 JT 161; (1997) 3 SCALE 195; (1997) 10 SCC 88; (1997) 3 SCR 216; (1997) 91 TAXMAN 278; (1997) AIRSCW 1600; (1997) 3 Supreme 686</t>
        </is>
      </c>
      <c r="N1002" s="11" t="n">
        <v>1997</v>
      </c>
      <c r="O1002" s="11" t="n"/>
      <c r="P1002" s="11" t="n"/>
      <c r="Q1002" s="11" t="n"/>
      <c r="R1002" s="2" t="n"/>
      <c r="S1002" s="2" t="n"/>
      <c r="T1002" s="11" t="inlineStr">
        <is>
          <t>yes</t>
        </is>
      </c>
      <c r="U1002" s="11" t="inlineStr"/>
      <c r="V1002" s="11" t="inlineStr">
        <is>
          <t>outside_list</t>
        </is>
      </c>
      <c r="W1002" s="11" t="n"/>
      <c r="X1002" s="11" t="n"/>
      <c r="Y1002" s="11" t="n"/>
      <c r="Z1002" s="11" t="inlineStr">
        <is>
          <t>Mr. Advocate</t>
        </is>
      </c>
      <c r="AA1002" s="11" t="inlineStr">
        <is>
          <t>2026-10-07</t>
        </is>
      </c>
      <c r="AB1002" s="11" t="inlineStr">
        <is>
          <t>name_year</t>
        </is>
      </c>
      <c r="AC1002" s="2" t="inlineStr"/>
      <c r="AD1002" s="2" t="inlineStr">
        <is>
          <t>Commissioner of Income Tax, Bombay City-III v. Banque Nationale De-paris (1979) was reversed on appeal by the Supreme Court in Commissioner of Income Tax, Bombay v. M/s. Banque Nationale De- Paris (1997).</t>
        </is>
      </c>
      <c r="AE1002" s="2" t="n"/>
      <c r="AF1002" s="11" t="inlineStr">
        <is>
          <t>created from list 1</t>
        </is>
      </c>
    </row>
    <row r="1003">
      <c r="A1003" s="11" t="inlineStr">
        <is>
          <t>L1-1002</t>
        </is>
      </c>
      <c r="B1003" s="11" t="inlineStr">
        <is>
          <t>List 1 (to ~2015)</t>
        </is>
      </c>
      <c r="C1003" s="11" t="inlineStr">
        <is>
          <t>list1</t>
        </is>
      </c>
      <c r="D1003" s="11" t="inlineStr">
        <is>
          <t>verified</t>
        </is>
      </c>
      <c r="E1003" s="11" t="inlineStr">
        <is>
          <t>overruled</t>
        </is>
      </c>
      <c r="F1003" s="2" t="inlineStr">
        <is>
          <t>Gulam Hussain Ahmedali and Co. v. Trustees of the Port of Trust, Bombay</t>
        </is>
      </c>
      <c r="G1003" s="11" t="inlineStr"/>
      <c r="H1003" s="11" t="inlineStr">
        <is>
          <t>Bombay</t>
        </is>
      </c>
      <c r="I1003" s="2" t="inlineStr">
        <is>
          <t>AIR 1963 Bom 45; (1962) 64 BOMLR 670; (1963) ILR (Bom) 35</t>
        </is>
      </c>
      <c r="J1003" s="11" t="n">
        <v>1963</v>
      </c>
      <c r="K1003" s="2" t="inlineStr">
        <is>
          <t>Trustees of the Port of Bombay v. Premier Automobiles Ltd.</t>
        </is>
      </c>
      <c r="L1003" s="11" t="inlineStr">
        <is>
          <t>Supreme Court</t>
        </is>
      </c>
      <c r="M1003" s="2" t="inlineStr">
        <is>
          <t>AIR 1981 SC 1982; (1981) 1 SCC 228; (1981) 1 SCR 532</t>
        </is>
      </c>
      <c r="N1003" s="11" t="n">
        <v>1981</v>
      </c>
      <c r="O1003" s="11" t="n"/>
      <c r="P1003" s="11" t="n"/>
      <c r="Q1003" s="11" t="n"/>
      <c r="R1003" s="2" t="n"/>
      <c r="S1003" s="2" t="n"/>
      <c r="T1003" s="11" t="inlineStr"/>
      <c r="U1003" s="11" t="inlineStr"/>
      <c r="V1003" s="11" t="inlineStr">
        <is>
          <t>outside_list</t>
        </is>
      </c>
      <c r="W1003" s="11" t="n"/>
      <c r="X1003" s="11" t="n"/>
      <c r="Y1003" s="11" t="n"/>
      <c r="Z1003" s="11" t="inlineStr">
        <is>
          <t>Mr. Advocate</t>
        </is>
      </c>
      <c r="AA1003" s="11" t="inlineStr">
        <is>
          <t>2026-10-07</t>
        </is>
      </c>
      <c r="AB1003" s="11" t="inlineStr">
        <is>
          <t>name_year</t>
        </is>
      </c>
      <c r="AC1003" s="2" t="inlineStr"/>
      <c r="AD1003" s="2" t="inlineStr">
        <is>
          <t>Gulam Hussain Ahmedali and Co. v. Trustees of the Port of Trust, Bombay (1963) was overruled by Trustees of the Port of Bombay v. Premier Automobiles Ltd. (1981).</t>
        </is>
      </c>
      <c r="AE1003" s="2" t="n"/>
      <c r="AF1003" s="11" t="inlineStr">
        <is>
          <t>created from list 1</t>
        </is>
      </c>
    </row>
    <row r="1004">
      <c r="A1004" s="11" t="inlineStr">
        <is>
          <t>L1-1003</t>
        </is>
      </c>
      <c r="B1004" s="11" t="inlineStr">
        <is>
          <t>List 1 (to ~2015)</t>
        </is>
      </c>
      <c r="C1004" s="11" t="inlineStr">
        <is>
          <t>list1</t>
        </is>
      </c>
      <c r="D1004" s="11" t="inlineStr">
        <is>
          <t>verified</t>
        </is>
      </c>
      <c r="E1004" s="11" t="inlineStr">
        <is>
          <t>overruled</t>
        </is>
      </c>
      <c r="F1004" s="2" t="inlineStr">
        <is>
          <t>Supnalok Touring Talkies, Kanhan v. State of Maharashtra and others</t>
        </is>
      </c>
      <c r="G1004" s="11" t="inlineStr"/>
      <c r="H1004" s="11" t="inlineStr">
        <is>
          <t>Bombay</t>
        </is>
      </c>
      <c r="I1004" s="2" t="inlineStr">
        <is>
          <t>AIR 1993 Bom 115; (1992) 94 BOMLR 675</t>
        </is>
      </c>
      <c r="J1004" s="11" t="n">
        <v>1993</v>
      </c>
      <c r="K1004" s="2" t="inlineStr">
        <is>
          <t>Shankar Video and another v. State of Maharashtra and others</t>
        </is>
      </c>
      <c r="L1004" s="11" t="inlineStr">
        <is>
          <t>Supreme Court</t>
        </is>
      </c>
      <c r="M1004" s="2" t="inlineStr">
        <is>
          <t>AIR 1993 SC 2111; (1993) 4 JT 207; (1993) 3 SCALE 95; (1993) 3 SCC 696; (1993) 1 SCR 169 Supp</t>
        </is>
      </c>
      <c r="N1004" s="11" t="n">
        <v>1993</v>
      </c>
      <c r="O1004" s="11" t="n"/>
      <c r="P1004" s="11" t="n"/>
      <c r="Q1004" s="11" t="n"/>
      <c r="R1004" s="2" t="n"/>
      <c r="S1004" s="2" t="n"/>
      <c r="T1004" s="11" t="inlineStr"/>
      <c r="U1004" s="11" t="inlineStr"/>
      <c r="V1004" s="11" t="inlineStr">
        <is>
          <t>outside_list</t>
        </is>
      </c>
      <c r="W1004" s="11" t="n"/>
      <c r="X1004" s="11" t="n"/>
      <c r="Y1004" s="11" t="n"/>
      <c r="Z1004" s="11" t="inlineStr">
        <is>
          <t>Mr. Advocate</t>
        </is>
      </c>
      <c r="AA1004" s="11" t="inlineStr">
        <is>
          <t>2026-10-07</t>
        </is>
      </c>
      <c r="AB1004" s="11" t="inlineStr">
        <is>
          <t>name_year</t>
        </is>
      </c>
      <c r="AC1004" s="2" t="inlineStr"/>
      <c r="AD1004" s="2" t="inlineStr">
        <is>
          <t>Supnalok Touring Talkies, Kanhan v. State of Maharashtra and others (1993) was overruled by Shankar Video and another v. State of Maharashtra and others (1993).</t>
        </is>
      </c>
      <c r="AE1004" s="2" t="n"/>
      <c r="AF1004" s="11" t="inlineStr">
        <is>
          <t>created from list 1</t>
        </is>
      </c>
    </row>
    <row r="1005">
      <c r="A1005" s="11" t="inlineStr">
        <is>
          <t>L1-1004</t>
        </is>
      </c>
      <c r="B1005" s="11" t="inlineStr">
        <is>
          <t>List 1 (to ~2015)</t>
        </is>
      </c>
      <c r="C1005" s="11" t="inlineStr">
        <is>
          <t>list1</t>
        </is>
      </c>
      <c r="D1005" s="11" t="inlineStr">
        <is>
          <t>verified</t>
        </is>
      </c>
      <c r="E1005" s="11" t="inlineStr">
        <is>
          <t>reversed_on_appeal</t>
        </is>
      </c>
      <c r="F1005" s="2" t="inlineStr">
        <is>
          <t>Chandi Prasad Sikaria v. Premlata Nahata and Another</t>
        </is>
      </c>
      <c r="G1005" s="11" t="inlineStr"/>
      <c r="H1005" s="11" t="inlineStr">
        <is>
          <t>unknown</t>
        </is>
      </c>
      <c r="I1005" s="2" t="inlineStr">
        <is>
          <t>(2005) 4 CHN 664</t>
        </is>
      </c>
      <c r="J1005" s="11" t="n">
        <v>2005</v>
      </c>
      <c r="K1005" s="2" t="inlineStr">
        <is>
          <t>Prem Lala Nahata and Another v. Chandi Prasad Sikaria</t>
        </is>
      </c>
      <c r="L1005" s="11" t="inlineStr">
        <is>
          <t>Supreme Court</t>
        </is>
      </c>
      <c r="M1005" s="2" t="inlineStr">
        <is>
          <t>AIR 2007 SC 1247; (2007) 3 CTC 101; (2007) 3 JT 69; (2007) 2 SCALE 496; (2007) 2 SCC 551; (2007) 2 SCR 261; (2007) AIRSCW 1120; (2007) 2 Supreme 1</t>
        </is>
      </c>
      <c r="N1005" s="11" t="n">
        <v>2007</v>
      </c>
      <c r="O1005" s="11" t="n"/>
      <c r="P1005" s="11" t="n"/>
      <c r="Q1005" s="11" t="n"/>
      <c r="R1005" s="2" t="n"/>
      <c r="S1005" s="2" t="n"/>
      <c r="T1005" s="11" t="inlineStr">
        <is>
          <t>yes</t>
        </is>
      </c>
      <c r="U1005" s="11" t="inlineStr"/>
      <c r="V1005" s="11" t="inlineStr">
        <is>
          <t>outside_list</t>
        </is>
      </c>
      <c r="W1005" s="11" t="n"/>
      <c r="X1005" s="11" t="n"/>
      <c r="Y1005" s="11" t="n"/>
      <c r="Z1005" s="11" t="inlineStr">
        <is>
          <t>Mr. Advocate</t>
        </is>
      </c>
      <c r="AA1005" s="11" t="inlineStr">
        <is>
          <t>2026-10-07</t>
        </is>
      </c>
      <c r="AB1005" s="11" t="inlineStr">
        <is>
          <t>name_year</t>
        </is>
      </c>
      <c r="AC1005" s="2" t="inlineStr"/>
      <c r="AD1005" s="2" t="inlineStr">
        <is>
          <t>Chandi Prasad Sikaria v. Premlata Nahata and Another (2005) was reversed on appeal by the Supreme Court in Prem Lala Nahata and Another v. Chandi Prasad Sikaria (2007).</t>
        </is>
      </c>
      <c r="AE1005" s="2" t="n"/>
      <c r="AF1005" s="11" t="inlineStr">
        <is>
          <t>created from list 1</t>
        </is>
      </c>
    </row>
    <row r="1006">
      <c r="A1006" s="11" t="inlineStr">
        <is>
          <t>L1-1005</t>
        </is>
      </c>
      <c r="B1006" s="11" t="inlineStr">
        <is>
          <t>List 1 (to ~2015)</t>
        </is>
      </c>
      <c r="C1006" s="11" t="inlineStr">
        <is>
          <t>list1</t>
        </is>
      </c>
      <c r="D1006" s="11" t="inlineStr">
        <is>
          <t>verified</t>
        </is>
      </c>
      <c r="E1006" s="11" t="inlineStr">
        <is>
          <t>reversed_on_appeal</t>
        </is>
      </c>
      <c r="F1006" s="2" t="inlineStr">
        <is>
          <t>Petine Shipping Inc. of Monrovia v. The Minerals and Metals Trading Corporation of India Ltd.</t>
        </is>
      </c>
      <c r="G1006" s="11" t="inlineStr"/>
      <c r="H1006" s="11" t="inlineStr">
        <is>
          <t>unknown</t>
        </is>
      </c>
      <c r="I1006" s="2" t="inlineStr">
        <is>
          <t>(2008) 4 ALLMR 875; (2008) 2 ARBLR 334; (2008) 3 BomCR 210; (2008) 3 MhLj 512</t>
        </is>
      </c>
      <c r="J1006" s="11" t="n">
        <v>2008</v>
      </c>
      <c r="K1006" s="2" t="inlineStr">
        <is>
          <t>Petine Shipping Inc. of Monrovia v. The Minerals and Metals Trading Corporation of India Ltd.</t>
        </is>
      </c>
      <c r="L1006" s="11" t="inlineStr">
        <is>
          <t>unknown</t>
        </is>
      </c>
      <c r="M1006" s="2" t="inlineStr">
        <is>
          <t>(2009) 8 JT 157; (2009) 6 SCALE 582; (2009) 7 SCC 516; (2009) 6 SCR 551; (2009) 5 UJ 2418; (2009) AIRSCW 4362</t>
        </is>
      </c>
      <c r="N1006" s="11" t="n">
        <v>2009</v>
      </c>
      <c r="O1006" s="11" t="n"/>
      <c r="P1006" s="11" t="n"/>
      <c r="Q1006" s="11" t="n"/>
      <c r="R1006" s="2" t="n"/>
      <c r="S1006" s="2" t="n"/>
      <c r="T1006" s="11" t="inlineStr">
        <is>
          <t>yes</t>
        </is>
      </c>
      <c r="U1006" s="11" t="inlineStr"/>
      <c r="V1006" s="11" t="inlineStr">
        <is>
          <t>outside_list</t>
        </is>
      </c>
      <c r="W1006" s="11" t="n"/>
      <c r="X1006" s="11" t="n"/>
      <c r="Y1006" s="11" t="n"/>
      <c r="Z1006" s="11" t="inlineStr">
        <is>
          <t>Mr. Advocate</t>
        </is>
      </c>
      <c r="AA1006" s="11" t="inlineStr">
        <is>
          <t>2026-10-07</t>
        </is>
      </c>
      <c r="AB1006" s="11" t="inlineStr">
        <is>
          <t>name_year</t>
        </is>
      </c>
      <c r="AC1006" s="2" t="inlineStr"/>
      <c r="AD1006" s="2" t="inlineStr">
        <is>
          <t>Petine Shipping Inc. of Monrovia v. The Minerals and Metals Trading Corporation of India Ltd. (2008) was reversed on appeal by the Supreme Court in Petine Shipping Inc. of Monrovia v. The Minerals and Metals Trading Corporation of India Ltd. (2009).</t>
        </is>
      </c>
      <c r="AE1006" s="2" t="n"/>
      <c r="AF1006" s="11" t="inlineStr">
        <is>
          <t>created from list 1</t>
        </is>
      </c>
    </row>
    <row r="1007">
      <c r="A1007" s="11" t="inlineStr">
        <is>
          <t>L1-1006</t>
        </is>
      </c>
      <c r="B1007" s="11" t="inlineStr">
        <is>
          <t>List 1 (to ~2015)</t>
        </is>
      </c>
      <c r="C1007" s="11" t="inlineStr">
        <is>
          <t>list1</t>
        </is>
      </c>
      <c r="D1007" s="11" t="inlineStr">
        <is>
          <t>verified</t>
        </is>
      </c>
      <c r="E1007" s="11" t="inlineStr">
        <is>
          <t>overruled</t>
        </is>
      </c>
      <c r="F1007" s="2" t="inlineStr">
        <is>
          <t>Dadarao and Another v. State of Maharashtra and Others</t>
        </is>
      </c>
      <c r="G1007" s="11" t="inlineStr"/>
      <c r="H1007" s="11" t="inlineStr">
        <is>
          <t>Bombay</t>
        </is>
      </c>
      <c r="I1007" s="2" t="inlineStr">
        <is>
          <t>AIR 1970 Bom 144; (1970) 72 BOMLR 246; (1970) ILR (Bom) 540; (1969) MhLj 813</t>
        </is>
      </c>
      <c r="J1007" s="11" t="n">
        <v>1970</v>
      </c>
      <c r="K1007" s="2" t="inlineStr">
        <is>
          <t>Bhikoba Shankar Dhumal (Dead) by Lrs. and Others v. Mohan Lal Punchand Tathed and Others</t>
        </is>
      </c>
      <c r="L1007" s="11" t="inlineStr">
        <is>
          <t>Supreme Court</t>
        </is>
      </c>
      <c r="M1007" s="2" t="inlineStr">
        <is>
          <t>AIR 1982 SC 865; (1982) 1 SCALE 127; (1982) 1 SCC 680; (1982) 3 SCR 218; (1982) 14 UJ 273</t>
        </is>
      </c>
      <c r="N1007" s="11" t="n">
        <v>1982</v>
      </c>
      <c r="O1007" s="11" t="n"/>
      <c r="P1007" s="11" t="n"/>
      <c r="Q1007" s="11" t="n"/>
      <c r="R1007" s="2" t="n"/>
      <c r="S1007" s="2" t="n"/>
      <c r="T1007" s="11" t="inlineStr"/>
      <c r="U1007" s="11" t="inlineStr"/>
      <c r="V1007" s="11" t="inlineStr">
        <is>
          <t>outside_list</t>
        </is>
      </c>
      <c r="W1007" s="11" t="n"/>
      <c r="X1007" s="11" t="n"/>
      <c r="Y1007" s="11" t="n"/>
      <c r="Z1007" s="11" t="inlineStr">
        <is>
          <t>Mr. Advocate</t>
        </is>
      </c>
      <c r="AA1007" s="11" t="inlineStr">
        <is>
          <t>2026-10-07</t>
        </is>
      </c>
      <c r="AB1007" s="11" t="inlineStr">
        <is>
          <t>citation</t>
        </is>
      </c>
      <c r="AC1007" s="2" t="inlineStr"/>
      <c r="AD1007" s="2" t="inlineStr">
        <is>
          <t>Dadarao and Another v. State of Maharashtra and Others (1970) was overruled by Bhikoba Shankar Dhumal (Dead) by Lrs. and Others v. Mohan Lal Punchand Tathed and Others (1982).</t>
        </is>
      </c>
      <c r="AE1007" s="2" t="n"/>
      <c r="AF1007" s="11" t="inlineStr">
        <is>
          <t>created from list 1</t>
        </is>
      </c>
    </row>
    <row r="1008">
      <c r="A1008" s="11" t="inlineStr">
        <is>
          <t>L1-1007</t>
        </is>
      </c>
      <c r="B1008" s="11" t="inlineStr">
        <is>
          <t>List 1 (to ~2015)</t>
        </is>
      </c>
      <c r="C1008" s="11" t="inlineStr">
        <is>
          <t>list1</t>
        </is>
      </c>
      <c r="D1008" s="11" t="inlineStr">
        <is>
          <t>verified</t>
        </is>
      </c>
      <c r="E1008" s="11" t="inlineStr">
        <is>
          <t>reversed_on_appeal</t>
        </is>
      </c>
      <c r="F1008" s="2" t="inlineStr">
        <is>
          <t>Swapan Kumar Mitra v. South Bengal State Transport Corporation and Others</t>
        </is>
      </c>
      <c r="G1008" s="11" t="inlineStr"/>
      <c r="H1008" s="11" t="inlineStr">
        <is>
          <t>unknown</t>
        </is>
      </c>
      <c r="I1008" s="2" t="inlineStr">
        <is>
          <t>(2004) 1 CHN 644</t>
        </is>
      </c>
      <c r="J1008" s="11" t="n">
        <v>2004</v>
      </c>
      <c r="K1008" s="2" t="inlineStr">
        <is>
          <t>South Bengal State Transport Corpn. v. Swapan Kumar Mitra and Others</t>
        </is>
      </c>
      <c r="L1008" s="11" t="inlineStr">
        <is>
          <t>Supreme Court</t>
        </is>
      </c>
      <c r="M1008" s="2" t="inlineStr">
        <is>
          <t>AIR 2006 SC 3533; (2006) 109 FLR 1; (2006) 2 JT 307; (2006) 1 LLJ 1087; (2006) 2 SCALE 141; (2006) 2 SCC 584; (2006) SCC(L&amp;S) 553; (2006) 2 SLJ 411; (2006) AIRSCW 768; (2006) 1 Supreme 697</t>
        </is>
      </c>
      <c r="N1008" s="11" t="n">
        <v>2006</v>
      </c>
      <c r="O1008" s="11" t="n"/>
      <c r="P1008" s="11" t="n"/>
      <c r="Q1008" s="11" t="n"/>
      <c r="R1008" s="2" t="n"/>
      <c r="S1008" s="2" t="n"/>
      <c r="T1008" s="11" t="inlineStr">
        <is>
          <t>yes</t>
        </is>
      </c>
      <c r="U1008" s="11" t="inlineStr"/>
      <c r="V1008" s="11" t="inlineStr">
        <is>
          <t>outside_list</t>
        </is>
      </c>
      <c r="W1008" s="11" t="n"/>
      <c r="X1008" s="11" t="n"/>
      <c r="Y1008" s="11" t="n"/>
      <c r="Z1008" s="11" t="inlineStr">
        <is>
          <t>Mr. Advocate</t>
        </is>
      </c>
      <c r="AA1008" s="11" t="inlineStr">
        <is>
          <t>2026-10-07</t>
        </is>
      </c>
      <c r="AB1008" s="11" t="inlineStr">
        <is>
          <t>name_year</t>
        </is>
      </c>
      <c r="AC1008" s="2" t="inlineStr"/>
      <c r="AD1008" s="2" t="inlineStr">
        <is>
          <t>Swapan Kumar Mitra v. South Bengal State Transport Corporation and Others (2004) was reversed on appeal by the Supreme Court in South Bengal State Transport Corpn. v. Swapan Kumar Mitra and Others (2006).</t>
        </is>
      </c>
      <c r="AE1008" s="2" t="n"/>
      <c r="AF1008" s="11" t="inlineStr">
        <is>
          <t>created from list 1</t>
        </is>
      </c>
    </row>
    <row r="1009">
      <c r="A1009" s="11" t="inlineStr">
        <is>
          <t>L1-1008</t>
        </is>
      </c>
      <c r="B1009" s="11" t="inlineStr">
        <is>
          <t>List 1 (to ~2015)</t>
        </is>
      </c>
      <c r="C1009" s="11" t="inlineStr">
        <is>
          <t>list1</t>
        </is>
      </c>
      <c r="D1009" s="11" t="inlineStr">
        <is>
          <t>verified</t>
        </is>
      </c>
      <c r="E1009" s="11" t="inlineStr">
        <is>
          <t>overruled</t>
        </is>
      </c>
      <c r="F1009" s="2" t="inlineStr">
        <is>
          <t>Jaikumar Chhaganlal Patni and Others v. Mary Jerome D’souza and Others</t>
        </is>
      </c>
      <c r="G1009" s="11" t="inlineStr"/>
      <c r="H1009" s="11" t="inlineStr">
        <is>
          <t>Bombay</t>
        </is>
      </c>
      <c r="I1009" s="2" t="inlineStr">
        <is>
          <t>AIR 1978 Bom 239; (1978) 80 BOMLR 95; (1978) MhLj 164</t>
        </is>
      </c>
      <c r="J1009" s="11" t="n">
        <v>1978</v>
      </c>
      <c r="K1009" s="2" t="inlineStr">
        <is>
          <t>Mrs. Helen C. Rebello and Others v. Maharashtra State Road Transport Corpn. and Another</t>
        </is>
      </c>
      <c r="L1009" s="11" t="inlineStr">
        <is>
          <t>Supreme Court</t>
        </is>
      </c>
      <c r="M1009" s="2" t="inlineStr">
        <is>
          <t>(1998) 2 ACC 512; (1999) ACJ 10; (1998) 7 AD 269; AIR 1998 SC 3191; (1999) 95 CompCas 509; (1998) 6 JT 418; (1998) 5 SCALE 339; (1999) 1 SCC 90; (1998) 1 SCR 685 Supp; (1999) 1 UJ 174; (1998) AIRSCW 3105; (1998) 7 Supreme 404</t>
        </is>
      </c>
      <c r="N1009" s="11" t="n">
        <v>1998</v>
      </c>
      <c r="O1009" s="11" t="n"/>
      <c r="P1009" s="11" t="n"/>
      <c r="Q1009" s="11" t="n"/>
      <c r="R1009" s="2" t="n"/>
      <c r="S1009" s="2" t="n"/>
      <c r="T1009" s="11" t="inlineStr"/>
      <c r="U1009" s="11" t="inlineStr"/>
      <c r="V1009" s="11" t="inlineStr">
        <is>
          <t>outside_list</t>
        </is>
      </c>
      <c r="W1009" s="11" t="n"/>
      <c r="X1009" s="11" t="n"/>
      <c r="Y1009" s="11" t="n"/>
      <c r="Z1009" s="11" t="inlineStr">
        <is>
          <t>Mr. Advocate</t>
        </is>
      </c>
      <c r="AA1009" s="11" t="inlineStr">
        <is>
          <t>2026-10-07</t>
        </is>
      </c>
      <c r="AB1009" s="11" t="inlineStr">
        <is>
          <t>name_year</t>
        </is>
      </c>
      <c r="AC1009" s="2" t="inlineStr"/>
      <c r="AD1009" s="2" t="inlineStr">
        <is>
          <t>Jaikumar Chhaganlal Patni and Others v. Mary Jerome D’souza and Others (1978) was overruled by Mrs. Helen C. Rebello and Others v. Maharashtra State Road Transport Corpn. and Another (1998).</t>
        </is>
      </c>
      <c r="AE1009" s="2" t="n"/>
      <c r="AF1009" s="11" t="inlineStr">
        <is>
          <t>created from list 1</t>
        </is>
      </c>
    </row>
    <row r="1010">
      <c r="A1010" s="11" t="inlineStr">
        <is>
          <t>L1-1009</t>
        </is>
      </c>
      <c r="B1010" s="11" t="inlineStr">
        <is>
          <t>List 1 (to ~2015)</t>
        </is>
      </c>
      <c r="C1010" s="11" t="inlineStr">
        <is>
          <t>list1</t>
        </is>
      </c>
      <c r="D1010" s="11" t="inlineStr">
        <is>
          <t>verified</t>
        </is>
      </c>
      <c r="E1010" s="11" t="inlineStr">
        <is>
          <t>overruled</t>
        </is>
      </c>
      <c r="F1010" s="2" t="inlineStr">
        <is>
          <t>State of Maharashtra v. Deepchand Khushalchand Jain and others</t>
        </is>
      </c>
      <c r="G1010" s="11" t="inlineStr"/>
      <c r="H1010" s="11" t="inlineStr">
        <is>
          <t>unknown</t>
        </is>
      </c>
      <c r="I1010" s="2" t="inlineStr"/>
      <c r="J1010" s="11" t="n"/>
      <c r="K1010" s="2" t="inlineStr">
        <is>
          <t>T.V. Usman v. Food Inspector, Tellicherry Municipality, Tellicherry</t>
        </is>
      </c>
      <c r="L1010" s="11" t="inlineStr">
        <is>
          <t>Supreme Court</t>
        </is>
      </c>
      <c r="M1010" s="2" t="inlineStr">
        <is>
          <t>AIR 1994 SC 1818; (1994) 1 JT 260; (1994) 1 SCALE 179; (1994) 1 SCC 754; (1994) 1 UJ 365</t>
        </is>
      </c>
      <c r="N1010" s="11" t="n">
        <v>1994</v>
      </c>
      <c r="O1010" s="11" t="n"/>
      <c r="P1010" s="11" t="n"/>
      <c r="Q1010" s="11" t="n"/>
      <c r="R1010" s="2" t="n"/>
      <c r="S1010" s="2" t="n"/>
      <c r="T1010" s="11" t="inlineStr"/>
      <c r="U1010" s="11" t="inlineStr">
        <is>
          <t>no_citation_or_year_for_overruled, needs_citation_or_year</t>
        </is>
      </c>
      <c r="V1010" s="11" t="inlineStr">
        <is>
          <t>outside_list</t>
        </is>
      </c>
      <c r="W1010" s="11" t="n"/>
      <c r="X1010" s="11" t="n"/>
      <c r="Y1010" s="11" t="n"/>
      <c r="Z1010" s="11" t="inlineStr">
        <is>
          <t>Mr. Advocate</t>
        </is>
      </c>
      <c r="AA1010" s="11" t="inlineStr">
        <is>
          <t>2026-10-07</t>
        </is>
      </c>
      <c r="AB1010" s="11" t="inlineStr">
        <is>
          <t>weak</t>
        </is>
      </c>
      <c r="AC1010" s="2" t="inlineStr"/>
      <c r="AD1010" s="2" t="inlineStr">
        <is>
          <t>State of Maharashtra v. Deepchand Khushalchand Jain and others was overruled by T.V. Usman v. Food Inspector, Tellicherry Municipality, Tellicherry (1994).</t>
        </is>
      </c>
      <c r="AE1010" s="2" t="n"/>
      <c r="AF1010" s="11" t="inlineStr">
        <is>
          <t>created from list 1</t>
        </is>
      </c>
    </row>
    <row r="1011">
      <c r="A1011" s="11" t="inlineStr">
        <is>
          <t>L1-1010</t>
        </is>
      </c>
      <c r="B1011" s="11" t="inlineStr">
        <is>
          <t>List 1 (to ~2015)</t>
        </is>
      </c>
      <c r="C1011" s="11" t="inlineStr">
        <is>
          <t>list1</t>
        </is>
      </c>
      <c r="D1011" s="11" t="inlineStr">
        <is>
          <t>verified</t>
        </is>
      </c>
      <c r="E1011" s="11" t="inlineStr">
        <is>
          <t>overruled</t>
        </is>
      </c>
      <c r="F1011" s="2" t="inlineStr">
        <is>
          <t>Commissioner of Income Tax, Bombay City I v. Chimanlal J. Dalal and Co.</t>
        </is>
      </c>
      <c r="G1011" s="11" t="inlineStr"/>
      <c r="H1011" s="11" t="inlineStr">
        <is>
          <t>unknown</t>
        </is>
      </c>
      <c r="I1011" s="2" t="inlineStr">
        <is>
          <t>(1965) 57 ITR 285; (1966) MhLj 37</t>
        </is>
      </c>
      <c r="J1011" s="11" t="n">
        <v>1965</v>
      </c>
      <c r="K1011" s="2" t="inlineStr">
        <is>
          <t>Commissioner of Income Tax, Gujarat v. Kantilal Nathuchand Sami</t>
        </is>
      </c>
      <c r="L1011" s="11" t="inlineStr">
        <is>
          <t>Supreme Court</t>
        </is>
      </c>
      <c r="M1011" s="2" t="inlineStr">
        <is>
          <t>AIR 1967 SC 632; (1967) 63 ITR 318; (1967) 1 SCR 813</t>
        </is>
      </c>
      <c r="N1011" s="11" t="n">
        <v>1967</v>
      </c>
      <c r="O1011" s="11" t="n"/>
      <c r="P1011" s="11" t="n"/>
      <c r="Q1011" s="11" t="n"/>
      <c r="R1011" s="2" t="n"/>
      <c r="S1011" s="2" t="n"/>
      <c r="T1011" s="11" t="inlineStr"/>
      <c r="U1011" s="11" t="inlineStr"/>
      <c r="V1011" s="11" t="inlineStr">
        <is>
          <t>outside_list</t>
        </is>
      </c>
      <c r="W1011" s="11" t="n"/>
      <c r="X1011" s="11" t="n"/>
      <c r="Y1011" s="11" t="n"/>
      <c r="Z1011" s="11" t="inlineStr">
        <is>
          <t>Mr. Advocate</t>
        </is>
      </c>
      <c r="AA1011" s="11" t="inlineStr">
        <is>
          <t>2026-10-07</t>
        </is>
      </c>
      <c r="AB1011" s="11" t="inlineStr">
        <is>
          <t>name_year</t>
        </is>
      </c>
      <c r="AC1011" s="2" t="inlineStr"/>
      <c r="AD1011" s="2" t="inlineStr">
        <is>
          <t>Commissioner of Income Tax, Bombay City I v. Chimanlal J. Dalal and Co. (1965) was overruled by Commissioner of Income Tax, Gujarat v. Kantilal Nathuchand Sami (1967).</t>
        </is>
      </c>
      <c r="AE1011" s="2" t="n"/>
      <c r="AF1011" s="11" t="inlineStr">
        <is>
          <t>created from list 1</t>
        </is>
      </c>
    </row>
    <row r="1012">
      <c r="A1012" s="11" t="inlineStr">
        <is>
          <t>L1-1011</t>
        </is>
      </c>
      <c r="B1012" s="11" t="inlineStr">
        <is>
          <t>List 1 (to ~2015)</t>
        </is>
      </c>
      <c r="C1012" s="11" t="inlineStr">
        <is>
          <t>list1</t>
        </is>
      </c>
      <c r="D1012" s="11" t="inlineStr">
        <is>
          <t>verified</t>
        </is>
      </c>
      <c r="E1012" s="11" t="inlineStr">
        <is>
          <t>overruled</t>
        </is>
      </c>
      <c r="F1012" s="2" t="inlineStr">
        <is>
          <t>Kamani Employees’ Union v. Kamani Engineering Corporation, Ltd. and Others</t>
        </is>
      </c>
      <c r="G1012" s="11" t="inlineStr"/>
      <c r="H1012" s="11" t="inlineStr">
        <is>
          <t>unknown</t>
        </is>
      </c>
      <c r="I1012" s="2" t="inlineStr">
        <is>
          <t>(1967) 14 FLR 97; (1966) 2 LLJ 446</t>
        </is>
      </c>
      <c r="J1012" s="11" t="n">
        <v>1966</v>
      </c>
      <c r="K1012" s="2" t="inlineStr">
        <is>
          <t>State of Maharashtra v. Kamani Employees’ Union and Others</t>
        </is>
      </c>
      <c r="L1012" s="11" t="inlineStr">
        <is>
          <t>Supreme Court</t>
        </is>
      </c>
      <c r="M1012" s="2" t="inlineStr">
        <is>
          <t>AIR 1975 SC 635; AIR 1973 SC 635; (1975) LabIC 387; (1975) 4 SCC 841; (1974) 1 SCR 108</t>
        </is>
      </c>
      <c r="N1012" s="11" t="n">
        <v>1975</v>
      </c>
      <c r="O1012" s="11" t="n"/>
      <c r="P1012" s="11" t="n"/>
      <c r="Q1012" s="11" t="n"/>
      <c r="R1012" s="2" t="n"/>
      <c r="S1012" s="2" t="n"/>
      <c r="T1012" s="11" t="inlineStr"/>
      <c r="U1012" s="11" t="inlineStr"/>
      <c r="V1012" s="11" t="inlineStr">
        <is>
          <t>outside_list</t>
        </is>
      </c>
      <c r="W1012" s="11" t="n"/>
      <c r="X1012" s="11" t="n"/>
      <c r="Y1012" s="11" t="n"/>
      <c r="Z1012" s="11" t="inlineStr">
        <is>
          <t>Mr. Advocate</t>
        </is>
      </c>
      <c r="AA1012" s="11" t="inlineStr">
        <is>
          <t>2026-10-07</t>
        </is>
      </c>
      <c r="AB1012" s="11" t="inlineStr">
        <is>
          <t>name_year</t>
        </is>
      </c>
      <c r="AC1012" s="2" t="inlineStr"/>
      <c r="AD1012" s="2" t="inlineStr">
        <is>
          <t>Kamani Employees’ Union v. Kamani Engineering Corporation, Ltd. and Others (1966) was overruled by State of Maharashtra v. Kamani Employees’ Union and Others (1975).</t>
        </is>
      </c>
      <c r="AE1012" s="2" t="n"/>
      <c r="AF1012" s="11" t="inlineStr">
        <is>
          <t>created from list 1</t>
        </is>
      </c>
    </row>
    <row r="1013">
      <c r="A1013" s="11" t="inlineStr">
        <is>
          <t>L1-1012</t>
        </is>
      </c>
      <c r="B1013" s="11" t="inlineStr">
        <is>
          <t>List 1 (to ~2015)</t>
        </is>
      </c>
      <c r="C1013" s="11" t="inlineStr">
        <is>
          <t>list1</t>
        </is>
      </c>
      <c r="D1013" s="11" t="inlineStr">
        <is>
          <t>verified</t>
        </is>
      </c>
      <c r="E1013" s="11" t="inlineStr">
        <is>
          <t>overruled</t>
        </is>
      </c>
      <c r="F1013" s="2" t="inlineStr">
        <is>
          <t>Arun Nathuram Gaikwad v. Municipal Corporation of Gr. Mumbai and Others</t>
        </is>
      </c>
      <c r="G1013" s="11" t="inlineStr"/>
      <c r="H1013" s="11" t="inlineStr">
        <is>
          <t>unknown</t>
        </is>
      </c>
      <c r="I1013" s="2" t="inlineStr">
        <is>
          <t>(2006) 4 ALLMR 363; (2006) 6 BomCR 219; (2006) 3 MhLj 500</t>
        </is>
      </c>
      <c r="J1013" s="11" t="n">
        <v>2006</v>
      </c>
      <c r="K1013" s="2" t="inlineStr">
        <is>
          <t>Muni Suvrat-Swami Jain S.M.P. Sangh v. Arun Nathuram Gaikwad and Others</t>
        </is>
      </c>
      <c r="L1013" s="11" t="inlineStr">
        <is>
          <t>Supreme Court</t>
        </is>
      </c>
      <c r="M1013" s="2" t="inlineStr">
        <is>
          <t>AIR 2007 SC 38; (2006) 9 JT 156; (2006) 10 SCALE 122; (2006) 8 SCC 590; (2006) 7 SCR 118 Supp</t>
        </is>
      </c>
      <c r="N1013" s="11" t="n">
        <v>2007</v>
      </c>
      <c r="O1013" s="11" t="n"/>
      <c r="P1013" s="11" t="n"/>
      <c r="Q1013" s="11" t="n"/>
      <c r="R1013" s="2" t="n"/>
      <c r="S1013" s="2" t="n"/>
      <c r="T1013" s="11" t="inlineStr"/>
      <c r="U1013" s="11" t="inlineStr"/>
      <c r="V1013" s="11" t="inlineStr">
        <is>
          <t>outside_list</t>
        </is>
      </c>
      <c r="W1013" s="11" t="n"/>
      <c r="X1013" s="11" t="n"/>
      <c r="Y1013" s="11" t="n"/>
      <c r="Z1013" s="11" t="inlineStr">
        <is>
          <t>Mr. Advocate</t>
        </is>
      </c>
      <c r="AA1013" s="11" t="inlineStr">
        <is>
          <t>2026-10-07</t>
        </is>
      </c>
      <c r="AB1013" s="11" t="inlineStr">
        <is>
          <t>name_year</t>
        </is>
      </c>
      <c r="AC1013" s="2" t="inlineStr"/>
      <c r="AD1013" s="2" t="inlineStr">
        <is>
          <t>Arun Nathuram Gaikwad v. Municipal Corporation of Gr. Mumbai and Others (2006) was overruled by Muni Suvrat-Swami Jain S.M.P. Sangh v. Arun Nathuram Gaikwad and Others (2007).</t>
        </is>
      </c>
      <c r="AE1013" s="2" t="n"/>
      <c r="AF1013" s="11" t="inlineStr">
        <is>
          <t>created from list 1</t>
        </is>
      </c>
    </row>
    <row r="1014">
      <c r="A1014" s="11" t="inlineStr">
        <is>
          <t>L1-1013</t>
        </is>
      </c>
      <c r="B1014" s="11" t="inlineStr">
        <is>
          <t>List 1 (to ~2015)</t>
        </is>
      </c>
      <c r="C1014" s="11" t="inlineStr">
        <is>
          <t>list1</t>
        </is>
      </c>
      <c r="D1014" s="11" t="inlineStr">
        <is>
          <t>verified</t>
        </is>
      </c>
      <c r="E1014" s="11" t="inlineStr">
        <is>
          <t>reversed_on_appeal</t>
        </is>
      </c>
      <c r="F1014" s="2" t="inlineStr">
        <is>
          <t>Chhotabhai Jethabhai Patel and Co. v. Industrial Court, Nagpur and Others</t>
        </is>
      </c>
      <c r="G1014" s="11" t="inlineStr"/>
      <c r="H1014" s="11" t="inlineStr">
        <is>
          <t>Bombay</t>
        </is>
      </c>
      <c r="I1014" s="2" t="inlineStr">
        <is>
          <t>AIR 1969 Bom 56; (1968) 70 BOMLR 298; (1969) ILR (Bom) 455; (1968) 2 LLJ 757; (1968) MhLj 377</t>
        </is>
      </c>
      <c r="J1014" s="11" t="n">
        <v>1969</v>
      </c>
      <c r="K1014" s="2" t="inlineStr">
        <is>
          <t>Chhotobhai Jethabhai Patel and Co. v. The Industrial Court, Maharashtra Nagpur Bench, Nagpur and Others</t>
        </is>
      </c>
      <c r="L1014" s="11" t="inlineStr">
        <is>
          <t>Supreme Court</t>
        </is>
      </c>
      <c r="M1014" s="2" t="inlineStr">
        <is>
          <t>AIR 1972 SC 1268; (1972) LabIC 444; (1972) 1 LLJ 657; (1972) 2 SCC 46; (1972) 3 SCR 731</t>
        </is>
      </c>
      <c r="N1014" s="11" t="n">
        <v>1972</v>
      </c>
      <c r="O1014" s="11" t="n"/>
      <c r="P1014" s="11" t="n"/>
      <c r="Q1014" s="11" t="n"/>
      <c r="R1014" s="2" t="n"/>
      <c r="S1014" s="2" t="n"/>
      <c r="T1014" s="11" t="inlineStr">
        <is>
          <t>yes</t>
        </is>
      </c>
      <c r="U1014" s="11" t="inlineStr"/>
      <c r="V1014" s="11" t="inlineStr">
        <is>
          <t>outside_list</t>
        </is>
      </c>
      <c r="W1014" s="11" t="n"/>
      <c r="X1014" s="11" t="n"/>
      <c r="Y1014" s="11" t="n"/>
      <c r="Z1014" s="11" t="inlineStr">
        <is>
          <t>Mr. Advocate</t>
        </is>
      </c>
      <c r="AA1014" s="11" t="inlineStr">
        <is>
          <t>2026-10-07</t>
        </is>
      </c>
      <c r="AB1014" s="11" t="inlineStr">
        <is>
          <t>name_year</t>
        </is>
      </c>
      <c r="AC1014" s="2" t="inlineStr"/>
      <c r="AD1014" s="2" t="inlineStr">
        <is>
          <t>Chhotabhai Jethabhai Patel and Co. v. Industrial Court, Nagpur and Others (1969) was reversed on appeal by the Supreme Court in Chhotobhai Jethabhai Patel and Co. v. The Industrial Court, Maharashtra Nagpur Bench, Nagpur and Others (1972).</t>
        </is>
      </c>
      <c r="AE1014" s="2" t="n"/>
      <c r="AF1014" s="11" t="inlineStr">
        <is>
          <t>created from list 1</t>
        </is>
      </c>
    </row>
    <row r="1015">
      <c r="A1015" s="11" t="inlineStr">
        <is>
          <t>L1-1014</t>
        </is>
      </c>
      <c r="B1015" s="11" t="inlineStr">
        <is>
          <t>List 1 (to ~2015)</t>
        </is>
      </c>
      <c r="C1015" s="11" t="inlineStr">
        <is>
          <t>list1</t>
        </is>
      </c>
      <c r="D1015" s="11" t="inlineStr">
        <is>
          <t>verified</t>
        </is>
      </c>
      <c r="E1015" s="11" t="inlineStr">
        <is>
          <t>reversed_on_appeal</t>
        </is>
      </c>
      <c r="F1015" s="2" t="inlineStr">
        <is>
          <t>State of Maharashtra and others v. Suresh Rameshwardas Lohiya</t>
        </is>
      </c>
      <c r="G1015" s="11" t="inlineStr"/>
      <c r="H1015" s="11" t="inlineStr">
        <is>
          <t>unknown</t>
        </is>
      </c>
      <c r="I1015" s="2" t="inlineStr">
        <is>
          <t>(1993) 1 BomCR 337; (1993) CriLJ 1557; (1993) 1 MhLj 108</t>
        </is>
      </c>
      <c r="J1015" s="11" t="n">
        <v>1993</v>
      </c>
      <c r="K1015" s="2" t="inlineStr">
        <is>
          <t>Suresh Lohiya v. State of Maharashtra and Another</t>
        </is>
      </c>
      <c r="L1015" s="11" t="inlineStr">
        <is>
          <t>Supreme Court</t>
        </is>
      </c>
      <c r="M1015" s="2" t="inlineStr">
        <is>
          <t>(1996) 6 AD 202; (1996) 3 Crimes 149; (1996) 8 JT 12; (1996) 6 SCALE 117; (1996) 10 SCC 397; (1996) 5 SCR 130 Supp</t>
        </is>
      </c>
      <c r="N1015" s="11" t="n">
        <v>1996</v>
      </c>
      <c r="O1015" s="11" t="n"/>
      <c r="P1015" s="11" t="n"/>
      <c r="Q1015" s="11" t="n"/>
      <c r="R1015" s="2" t="n"/>
      <c r="S1015" s="2" t="n"/>
      <c r="T1015" s="11" t="inlineStr">
        <is>
          <t>yes</t>
        </is>
      </c>
      <c r="U1015" s="11" t="inlineStr"/>
      <c r="V1015" s="11" t="inlineStr">
        <is>
          <t>outside_list</t>
        </is>
      </c>
      <c r="W1015" s="11" t="n"/>
      <c r="X1015" s="11" t="n"/>
      <c r="Y1015" s="11" t="n"/>
      <c r="Z1015" s="11" t="inlineStr">
        <is>
          <t>Mr. Advocate</t>
        </is>
      </c>
      <c r="AA1015" s="11" t="inlineStr">
        <is>
          <t>2026-10-07</t>
        </is>
      </c>
      <c r="AB1015" s="11" t="inlineStr">
        <is>
          <t>name_year</t>
        </is>
      </c>
      <c r="AC1015" s="2" t="inlineStr"/>
      <c r="AD1015" s="2" t="inlineStr">
        <is>
          <t>State of Maharashtra and others v. Suresh Rameshwardas Lohiya (1993) was reversed on appeal by the Supreme Court in Suresh Lohiya v. State of Maharashtra and Another (1996).</t>
        </is>
      </c>
      <c r="AE1015" s="2" t="n"/>
      <c r="AF1015" s="11" t="inlineStr">
        <is>
          <t>created from list 1</t>
        </is>
      </c>
    </row>
    <row r="1016">
      <c r="A1016" s="11" t="inlineStr">
        <is>
          <t>L1-1015</t>
        </is>
      </c>
      <c r="B1016" s="11" t="inlineStr">
        <is>
          <t>List 1 (to ~2015)</t>
        </is>
      </c>
      <c r="C1016" s="11" t="inlineStr">
        <is>
          <t>list1</t>
        </is>
      </c>
      <c r="D1016" s="11" t="inlineStr">
        <is>
          <t>verified</t>
        </is>
      </c>
      <c r="E1016" s="11" t="inlineStr">
        <is>
          <t>overruled</t>
        </is>
      </c>
      <c r="F1016" s="2" t="inlineStr">
        <is>
          <t>The Sakharkherda Education Society, Sakharkheda and Others v. The State of Maharashtra and Others</t>
        </is>
      </c>
      <c r="G1016" s="11" t="inlineStr"/>
      <c r="H1016" s="11" t="inlineStr">
        <is>
          <t>unknown</t>
        </is>
      </c>
      <c r="I1016" s="2" t="inlineStr"/>
      <c r="J1016" s="11" t="n"/>
      <c r="K1016" s="2" t="inlineStr">
        <is>
          <t>The State of Maharashtra and Another v. Lok Shikshan Sansatha and Others</t>
        </is>
      </c>
      <c r="L1016" s="11" t="inlineStr">
        <is>
          <t>Supreme Court</t>
        </is>
      </c>
      <c r="M1016" s="2" t="inlineStr">
        <is>
          <t>AIR 1973 SC 588; (1971) 2 SCC 410; (1971) SCR 879 Supp</t>
        </is>
      </c>
      <c r="N1016" s="11" t="n">
        <v>1973</v>
      </c>
      <c r="O1016" s="11" t="n"/>
      <c r="P1016" s="11" t="n"/>
      <c r="Q1016" s="11" t="n"/>
      <c r="R1016" s="2" t="n"/>
      <c r="S1016" s="2" t="n"/>
      <c r="T1016" s="11" t="inlineStr"/>
      <c r="U1016" s="11" t="inlineStr">
        <is>
          <t>no_citation_or_year_for_overruled, needs_citation_or_year</t>
        </is>
      </c>
      <c r="V1016" s="11" t="inlineStr">
        <is>
          <t>outside_list</t>
        </is>
      </c>
      <c r="W1016" s="11" t="n"/>
      <c r="X1016" s="11" t="n"/>
      <c r="Y1016" s="11" t="n"/>
      <c r="Z1016" s="11" t="inlineStr">
        <is>
          <t>Mr. Advocate</t>
        </is>
      </c>
      <c r="AA1016" s="11" t="inlineStr">
        <is>
          <t>2026-10-07</t>
        </is>
      </c>
      <c r="AB1016" s="11" t="inlineStr">
        <is>
          <t>weak</t>
        </is>
      </c>
      <c r="AC1016" s="2" t="inlineStr"/>
      <c r="AD1016" s="2" t="inlineStr">
        <is>
          <t>The Sakharkherda Education Society, Sakharkheda and Others v. The State of Maharashtra and Others was overruled by The State of Maharashtra and Another v. Lok Shikshan Sansatha and Others (1973).</t>
        </is>
      </c>
      <c r="AE1016" s="2" t="n"/>
      <c r="AF1016" s="11" t="inlineStr">
        <is>
          <t>created from list 1</t>
        </is>
      </c>
    </row>
    <row r="1017">
      <c r="A1017" s="11" t="inlineStr">
        <is>
          <t>L1-1016</t>
        </is>
      </c>
      <c r="B1017" s="11" t="inlineStr">
        <is>
          <t>List 1 (to ~2015)</t>
        </is>
      </c>
      <c r="C1017" s="11" t="inlineStr">
        <is>
          <t>list1</t>
        </is>
      </c>
      <c r="D1017" s="11" t="inlineStr">
        <is>
          <t>verified</t>
        </is>
      </c>
      <c r="E1017" s="11" t="inlineStr">
        <is>
          <t>overruled</t>
        </is>
      </c>
      <c r="F1017" s="2" t="inlineStr">
        <is>
          <t>Ganesh Narayan and Others v. Commissioner, Nagpur Division, Nagpurand Others</t>
        </is>
      </c>
      <c r="G1017" s="11" t="inlineStr"/>
      <c r="H1017" s="11" t="inlineStr">
        <is>
          <t>Bombay</t>
        </is>
      </c>
      <c r="I1017" s="2" t="inlineStr">
        <is>
          <t>AIR 1965 Bom 92; (1964) 66 BOMLR 807; (1965) ILR (Bom) 200; (1965) MhLj 577</t>
        </is>
      </c>
      <c r="J1017" s="11" t="n">
        <v>1965</v>
      </c>
      <c r="K1017" s="2" t="inlineStr">
        <is>
          <t>Arnold Rodricks and Another v. State of Maharashtra and Others</t>
        </is>
      </c>
      <c r="L1017" s="11" t="inlineStr">
        <is>
          <t>Supreme Court</t>
        </is>
      </c>
      <c r="M1017" s="2" t="inlineStr">
        <is>
          <t>AIR 1966 SC 1788; (1966) 3 SCR 885</t>
        </is>
      </c>
      <c r="N1017" s="11" t="n">
        <v>1966</v>
      </c>
      <c r="O1017" s="11" t="n"/>
      <c r="P1017" s="11" t="n"/>
      <c r="Q1017" s="11" t="n"/>
      <c r="R1017" s="2" t="n"/>
      <c r="S1017" s="2" t="n"/>
      <c r="T1017" s="11" t="inlineStr"/>
      <c r="U1017" s="11" t="inlineStr"/>
      <c r="V1017" s="11" t="inlineStr">
        <is>
          <t>outside_list</t>
        </is>
      </c>
      <c r="W1017" s="11" t="n"/>
      <c r="X1017" s="11" t="n"/>
      <c r="Y1017" s="11" t="n"/>
      <c r="Z1017" s="11" t="inlineStr">
        <is>
          <t>Mr. Advocate</t>
        </is>
      </c>
      <c r="AA1017" s="11" t="inlineStr">
        <is>
          <t>2026-10-07</t>
        </is>
      </c>
      <c r="AB1017" s="11" t="inlineStr">
        <is>
          <t>name_year</t>
        </is>
      </c>
      <c r="AC1017" s="2" t="inlineStr"/>
      <c r="AD1017" s="2" t="inlineStr">
        <is>
          <t>Ganesh Narayan and Others v. Commissioner, Nagpur Division, Nagpurand Others (1965) was overruled by Arnold Rodricks and Another v. State of Maharashtra and Others (1966).</t>
        </is>
      </c>
      <c r="AE1017" s="2" t="n"/>
      <c r="AF1017" s="11" t="inlineStr">
        <is>
          <t>created from list 1</t>
        </is>
      </c>
    </row>
    <row r="1018">
      <c r="A1018" s="11" t="inlineStr">
        <is>
          <t>L1-1017</t>
        </is>
      </c>
      <c r="B1018" s="11" t="inlineStr">
        <is>
          <t>List 1 (to ~2015)</t>
        </is>
      </c>
      <c r="C1018" s="11" t="inlineStr">
        <is>
          <t>list1</t>
        </is>
      </c>
      <c r="D1018" s="11" t="inlineStr">
        <is>
          <t>verified</t>
        </is>
      </c>
      <c r="E1018" s="11" t="inlineStr">
        <is>
          <t>overruled</t>
        </is>
      </c>
      <c r="F1018" s="2" t="inlineStr">
        <is>
          <t>Sadruddin Suleman Jhaveri v. J.H. Patwardhan and Others</t>
        </is>
      </c>
      <c r="G1018" s="11" t="inlineStr"/>
      <c r="H1018" s="11" t="inlineStr">
        <is>
          <t>Bombay</t>
        </is>
      </c>
      <c r="I1018" s="2" t="inlineStr">
        <is>
          <t>AIR 1965 Bom 224; (1965) 67 BOMLR 101; (1965) ILR (Bom) 394; (1965) MhLj 290</t>
        </is>
      </c>
      <c r="J1018" s="11" t="n">
        <v>1965</v>
      </c>
      <c r="K1018" s="2" t="inlineStr">
        <is>
          <t>Arnold Rodricks and Another v. State of Maharashtra and Others</t>
        </is>
      </c>
      <c r="L1018" s="11" t="inlineStr">
        <is>
          <t>Supreme Court</t>
        </is>
      </c>
      <c r="M1018" s="2" t="inlineStr">
        <is>
          <t>AIR 1966 SC 1788; (1966) 3 SCR 885</t>
        </is>
      </c>
      <c r="N1018" s="11" t="n">
        <v>1966</v>
      </c>
      <c r="O1018" s="11" t="n"/>
      <c r="P1018" s="11" t="n"/>
      <c r="Q1018" s="11" t="n"/>
      <c r="R1018" s="2" t="n"/>
      <c r="S1018" s="2" t="n"/>
      <c r="T1018" s="11" t="inlineStr"/>
      <c r="U1018" s="11" t="inlineStr"/>
      <c r="V1018" s="11" t="inlineStr">
        <is>
          <t>outside_list</t>
        </is>
      </c>
      <c r="W1018" s="11" t="n"/>
      <c r="X1018" s="11" t="n"/>
      <c r="Y1018" s="11" t="n"/>
      <c r="Z1018" s="11" t="inlineStr">
        <is>
          <t>Mr. Advocate</t>
        </is>
      </c>
      <c r="AA1018" s="11" t="inlineStr">
        <is>
          <t>2026-10-07</t>
        </is>
      </c>
      <c r="AB1018" s="11" t="inlineStr">
        <is>
          <t>name_year</t>
        </is>
      </c>
      <c r="AC1018" s="2" t="inlineStr"/>
      <c r="AD1018" s="2" t="inlineStr">
        <is>
          <t>Sadruddin Suleman Jhaveri v. J.H. Patwardhan and Others (1965) was overruled by Arnold Rodricks and Another v. State of Maharashtra and Others (1966).</t>
        </is>
      </c>
      <c r="AE1018" s="2" t="n"/>
      <c r="AF1018" s="11" t="inlineStr">
        <is>
          <t>created from list 1</t>
        </is>
      </c>
    </row>
    <row r="1019">
      <c r="A1019" s="11" t="inlineStr">
        <is>
          <t>L1-1018</t>
        </is>
      </c>
      <c r="B1019" s="11" t="inlineStr">
        <is>
          <t>List 1 (to ~2015)</t>
        </is>
      </c>
      <c r="C1019" s="11" t="inlineStr">
        <is>
          <t>list1</t>
        </is>
      </c>
      <c r="D1019" s="11" t="inlineStr">
        <is>
          <t>verified</t>
        </is>
      </c>
      <c r="E1019" s="11" t="inlineStr">
        <is>
          <t>overruled</t>
        </is>
      </c>
      <c r="F1019" s="2" t="inlineStr">
        <is>
          <t>Mr. Manguesh Rajaram Wagle and Mrs. Smita Manguesh Wagle v. Mr. Suresh D. Naik and Others</t>
        </is>
      </c>
      <c r="G1019" s="11" t="inlineStr"/>
      <c r="H1019" s="11" t="inlineStr">
        <is>
          <t>unknown</t>
        </is>
      </c>
      <c r="I1019" s="2" t="inlineStr">
        <is>
          <t>(2008) 4 ALLMR 873; (2008) 2 BomCR 248; (2008) 3 MhLj 297</t>
        </is>
      </c>
      <c r="J1019" s="11" t="n">
        <v>2008</v>
      </c>
      <c r="K1019" s="2" t="inlineStr">
        <is>
          <t>Abdul Razak (D) through L.Rs. and Others v. Mangesh Rajaram Wagle and Others</t>
        </is>
      </c>
      <c r="L1019" s="11" t="inlineStr">
        <is>
          <t>unknown</t>
        </is>
      </c>
      <c r="M1019" s="2" t="inlineStr">
        <is>
          <t>(2010) 1 CTC 466; (2010) 1 JT 508; (2010) 1 SCALE 267; (2010) 2 SCC 432; (2010) 1 SCR 899; (2010) 2 UJ 496; (2009) AIRSCW 269</t>
        </is>
      </c>
      <c r="N1019" s="11" t="n">
        <v>2009</v>
      </c>
      <c r="O1019" s="11" t="n"/>
      <c r="P1019" s="11" t="n"/>
      <c r="Q1019" s="11" t="n"/>
      <c r="R1019" s="2" t="n"/>
      <c r="S1019" s="2" t="n"/>
      <c r="T1019" s="11" t="inlineStr"/>
      <c r="U1019" s="11" t="inlineStr"/>
      <c r="V1019" s="11" t="inlineStr">
        <is>
          <t>outside_list</t>
        </is>
      </c>
      <c r="W1019" s="11" t="n"/>
      <c r="X1019" s="11" t="n"/>
      <c r="Y1019" s="11" t="n"/>
      <c r="Z1019" s="11" t="inlineStr">
        <is>
          <t>Mr. Advocate</t>
        </is>
      </c>
      <c r="AA1019" s="11" t="inlineStr">
        <is>
          <t>2026-10-07</t>
        </is>
      </c>
      <c r="AB1019" s="11" t="inlineStr">
        <is>
          <t>name_year</t>
        </is>
      </c>
      <c r="AC1019" s="2" t="inlineStr"/>
      <c r="AD1019" s="2" t="inlineStr">
        <is>
          <t>Mr. Manguesh Rajaram Wagle and Mrs. Smita Manguesh Wagle v. Mr. Suresh D. Naik and Others (2008) was overruled by Abdul Razak (D) through L.Rs. and Others v. Mangesh Rajaram Wagle and Others (2009).</t>
        </is>
      </c>
      <c r="AE1019" s="2" t="n"/>
      <c r="AF1019" s="11" t="inlineStr">
        <is>
          <t>created from list 1</t>
        </is>
      </c>
    </row>
    <row r="1020">
      <c r="A1020" s="11" t="inlineStr">
        <is>
          <t>L1-1019</t>
        </is>
      </c>
      <c r="B1020" s="11" t="inlineStr">
        <is>
          <t>List 1 (to ~2015)</t>
        </is>
      </c>
      <c r="C1020" s="11" t="inlineStr">
        <is>
          <t>list1</t>
        </is>
      </c>
      <c r="D1020" s="11" t="inlineStr">
        <is>
          <t>verified</t>
        </is>
      </c>
      <c r="E1020" s="11" t="inlineStr">
        <is>
          <t>reversed_on_appeal</t>
        </is>
      </c>
      <c r="F1020" s="2" t="inlineStr">
        <is>
          <t>The Maharashtra Small Scale Industries Development Corporation Ltd. v. Snehadeep Structures Pvt. Ltd.</t>
        </is>
      </c>
      <c r="G1020" s="11" t="inlineStr"/>
      <c r="H1020" s="11" t="inlineStr">
        <is>
          <t>unknown</t>
        </is>
      </c>
      <c r="I1020" s="2" t="inlineStr">
        <is>
          <t>(2008) 3 ALLMR 802; (2008) 2 ARBLR 175; (2008) 2 BomCR 526; (2008) 3 MhLj 635</t>
        </is>
      </c>
      <c r="J1020" s="11" t="n">
        <v>2008</v>
      </c>
      <c r="K1020" s="2" t="inlineStr">
        <is>
          <t>Snehadeep Structures Private Limited v. Maharashtra Small Scale Industries Development Corporation Limited</t>
        </is>
      </c>
      <c r="L1020" s="11" t="inlineStr">
        <is>
          <t>Supreme Court</t>
        </is>
      </c>
      <c r="M1020" s="2" t="inlineStr">
        <is>
          <t>AIR 2010 SC 1497; (2010) 1 JT 70; (2010) 1 SCALE 108; (2010) 3 SCC 34; (2010) 2 SCR 76; (2010) 2 UJ 688</t>
        </is>
      </c>
      <c r="N1020" s="11" t="n">
        <v>2010</v>
      </c>
      <c r="O1020" s="11" t="n"/>
      <c r="P1020" s="11" t="n"/>
      <c r="Q1020" s="11" t="n"/>
      <c r="R1020" s="2" t="n"/>
      <c r="S1020" s="2" t="n"/>
      <c r="T1020" s="11" t="inlineStr">
        <is>
          <t>yes</t>
        </is>
      </c>
      <c r="U1020" s="11" t="inlineStr"/>
      <c r="V1020" s="11" t="inlineStr">
        <is>
          <t>outside_list</t>
        </is>
      </c>
      <c r="W1020" s="11" t="n"/>
      <c r="X1020" s="11" t="n"/>
      <c r="Y1020" s="11" t="n"/>
      <c r="Z1020" s="11" t="inlineStr">
        <is>
          <t>Mr. Advocate</t>
        </is>
      </c>
      <c r="AA1020" s="11" t="inlineStr">
        <is>
          <t>2026-10-07</t>
        </is>
      </c>
      <c r="AB1020" s="11" t="inlineStr">
        <is>
          <t>name_year</t>
        </is>
      </c>
      <c r="AC1020" s="2" t="inlineStr"/>
      <c r="AD1020" s="2" t="inlineStr">
        <is>
          <t>The Maharashtra Small Scale Industries Development Corporation Ltd. v. Snehadeep Structures Pvt. Ltd. (2008) was reversed on appeal by the Supreme Court in Snehadeep Structures Private Limited v. Maharashtra Small Scale Industries Development Corporation Limited (2010).</t>
        </is>
      </c>
      <c r="AE1020" s="2" t="n"/>
      <c r="AF1020" s="11" t="inlineStr">
        <is>
          <t>created from list 1</t>
        </is>
      </c>
    </row>
    <row r="1021">
      <c r="A1021" s="11" t="inlineStr">
        <is>
          <t>L1-1020</t>
        </is>
      </c>
      <c r="B1021" s="11" t="inlineStr">
        <is>
          <t>List 1 (to ~2015)</t>
        </is>
      </c>
      <c r="C1021" s="11" t="inlineStr">
        <is>
          <t>list1</t>
        </is>
      </c>
      <c r="D1021" s="11" t="inlineStr">
        <is>
          <t>verified</t>
        </is>
      </c>
      <c r="E1021" s="11" t="inlineStr">
        <is>
          <t>reversed_on_appeal</t>
        </is>
      </c>
      <c r="F1021" s="2" t="inlineStr">
        <is>
          <t>Union of India v. Babubhai Nylchand Mehta, Bombay</t>
        </is>
      </c>
      <c r="G1021" s="11" t="inlineStr"/>
      <c r="H1021" s="11" t="inlineStr">
        <is>
          <t>unknown</t>
        </is>
      </c>
      <c r="I1021" s="2" t="inlineStr">
        <is>
          <t>(1988) 15 ECC 137; (1988) 33 ELT 292</t>
        </is>
      </c>
      <c r="J1021" s="11" t="n">
        <v>1988</v>
      </c>
      <c r="K1021" s="2" t="inlineStr">
        <is>
          <t>Union of India and another v. Babubhai Nylchand Mehta</t>
        </is>
      </c>
      <c r="L1021" s="11" t="inlineStr">
        <is>
          <t>Supreme Court</t>
        </is>
      </c>
      <c r="M1021" s="2" t="inlineStr">
        <is>
          <t>AIR 1991 SC 407; (1991) 31 ECC 455; (1991) 33 ECR 7; (1991) 51 ELT 182; (1990) 4 JT 790; (1990) 2 SCALE 1269; (1991) 2 SCC 348 Supp; (1990) 3 SCR 559 Supp; (1991) 1 UJ 488</t>
        </is>
      </c>
      <c r="N1021" s="11" t="n">
        <v>1991</v>
      </c>
      <c r="O1021" s="11" t="n"/>
      <c r="P1021" s="11" t="n"/>
      <c r="Q1021" s="11" t="n"/>
      <c r="R1021" s="2" t="n"/>
      <c r="S1021" s="2" t="n"/>
      <c r="T1021" s="11" t="inlineStr">
        <is>
          <t>yes</t>
        </is>
      </c>
      <c r="U1021" s="11" t="inlineStr"/>
      <c r="V1021" s="11" t="inlineStr">
        <is>
          <t>outside_list</t>
        </is>
      </c>
      <c r="W1021" s="11" t="n"/>
      <c r="X1021" s="11" t="n"/>
      <c r="Y1021" s="11" t="n"/>
      <c r="Z1021" s="11" t="inlineStr">
        <is>
          <t>Mr. Advocate</t>
        </is>
      </c>
      <c r="AA1021" s="11" t="inlineStr">
        <is>
          <t>2026-10-07</t>
        </is>
      </c>
      <c r="AB1021" s="11" t="inlineStr">
        <is>
          <t>name_year</t>
        </is>
      </c>
      <c r="AC1021" s="2" t="inlineStr"/>
      <c r="AD1021" s="2" t="inlineStr">
        <is>
          <t>Union of India v. Babubhai Nylchand Mehta, Bombay (1988) was reversed on appeal by the Supreme Court in Union of India and another v. Babubhai Nylchand Mehta (1991).</t>
        </is>
      </c>
      <c r="AE1021" s="2" t="n"/>
      <c r="AF1021" s="11" t="inlineStr">
        <is>
          <t>created from list 1</t>
        </is>
      </c>
    </row>
    <row r="1022">
      <c r="A1022" s="11" t="inlineStr">
        <is>
          <t>L1-1021</t>
        </is>
      </c>
      <c r="B1022" s="11" t="inlineStr">
        <is>
          <t>List 1 (to ~2015)</t>
        </is>
      </c>
      <c r="C1022" s="11" t="inlineStr">
        <is>
          <t>list1</t>
        </is>
      </c>
      <c r="D1022" s="11" t="inlineStr">
        <is>
          <t>verified</t>
        </is>
      </c>
      <c r="E1022" s="11" t="inlineStr">
        <is>
          <t>overruled</t>
        </is>
      </c>
      <c r="F1022" s="2" t="inlineStr">
        <is>
          <t>Sophy Kelly v. The State of Maharashtra and Others</t>
        </is>
      </c>
      <c r="G1022" s="11" t="inlineStr"/>
      <c r="H1022" s="11" t="inlineStr">
        <is>
          <t>Bombay</t>
        </is>
      </c>
      <c r="I1022" s="2" t="inlineStr">
        <is>
          <t>AIR 1968 Bom 156; (1967) 69 BOMLR 186; (1967) ILR (Bom) 1211; (1967) MhLj 400</t>
        </is>
      </c>
      <c r="J1022" s="11" t="n">
        <v>1968</v>
      </c>
      <c r="K1022" s="2" t="inlineStr">
        <is>
          <t>Maharashtra State Board of Secondary and Higher Secondary Education and Another v. Paritosh Bhupeshkumar Sheth and Others</t>
        </is>
      </c>
      <c r="L1022" s="11" t="inlineStr">
        <is>
          <t>Supreme Court</t>
        </is>
      </c>
      <c r="M1022" s="2" t="inlineStr">
        <is>
          <t>AIR 1984 SC 1543; (1984) 2 SCALE 30; (1984) 4 SCC 27; (1985) 1 SCR 29; (1984) 16 UJ 1107</t>
        </is>
      </c>
      <c r="N1022" s="11" t="n">
        <v>1984</v>
      </c>
      <c r="O1022" s="11" t="n"/>
      <c r="P1022" s="11" t="n"/>
      <c r="Q1022" s="11" t="n"/>
      <c r="R1022" s="2" t="n"/>
      <c r="S1022" s="2" t="n"/>
      <c r="T1022" s="11" t="inlineStr"/>
      <c r="U1022" s="11" t="inlineStr"/>
      <c r="V1022" s="11" t="inlineStr">
        <is>
          <t>outside_list</t>
        </is>
      </c>
      <c r="W1022" s="11" t="n"/>
      <c r="X1022" s="11" t="n"/>
      <c r="Y1022" s="11" t="n"/>
      <c r="Z1022" s="11" t="inlineStr">
        <is>
          <t>Mr. Advocate</t>
        </is>
      </c>
      <c r="AA1022" s="11" t="inlineStr">
        <is>
          <t>2026-10-07</t>
        </is>
      </c>
      <c r="AB1022" s="11" t="inlineStr">
        <is>
          <t>name_year</t>
        </is>
      </c>
      <c r="AC1022" s="2" t="inlineStr"/>
      <c r="AD1022" s="2" t="inlineStr">
        <is>
          <t>Sophy Kelly v. The State of Maharashtra and Others (1968) was overruled by Maharashtra State Board of Secondary and Higher Secondary Education and Another v. Paritosh Bhupeshkumar Sheth and Others (1984).</t>
        </is>
      </c>
      <c r="AE1022" s="2" t="n"/>
      <c r="AF1022" s="11" t="inlineStr">
        <is>
          <t>created from list 1</t>
        </is>
      </c>
    </row>
    <row r="1023">
      <c r="A1023" s="11" t="inlineStr">
        <is>
          <t>L1-1022</t>
        </is>
      </c>
      <c r="B1023" s="11" t="inlineStr">
        <is>
          <t>List 1 (to ~2015)</t>
        </is>
      </c>
      <c r="C1023" s="11" t="inlineStr">
        <is>
          <t>list1</t>
        </is>
      </c>
      <c r="D1023" s="11" t="inlineStr">
        <is>
          <t>verified</t>
        </is>
      </c>
      <c r="E1023" s="11" t="inlineStr">
        <is>
          <t>overruled</t>
        </is>
      </c>
      <c r="F1023" s="2" t="inlineStr">
        <is>
          <t>National Garage, Nagpur (By Managing Director) v. Gonsalves J.</t>
        </is>
      </c>
      <c r="G1023" s="11" t="inlineStr"/>
      <c r="H1023" s="11" t="inlineStr">
        <is>
          <t>Bombay</t>
        </is>
      </c>
      <c r="I1023" s="2" t="inlineStr">
        <is>
          <t>AIR 1962 Bom 152; (1961) 63 BOMLR 989; (1962) ILR (Bom) 36; (1962) 1 LLJ 56</t>
        </is>
      </c>
      <c r="J1023" s="11" t="n">
        <v>1962</v>
      </c>
      <c r="K1023" s="2" t="inlineStr">
        <is>
          <t>Punjab Land Development and Reclamation Corporation Ltd., Chandigarh v. Presiding Officer, Labour Court, Chandigarh and Others</t>
        </is>
      </c>
      <c r="L1023" s="11" t="inlineStr">
        <is>
          <t>Supreme Court</t>
        </is>
      </c>
      <c r="M1023" s="2" t="inlineStr">
        <is>
          <t>(1991) 61 FLR 73; (1990) 2 JT 490; (1990) 2 LLJ 70; (1990) 1 SCALE 878; (1990) 3 SCC 682; (1990) 3 SCR 111; (1990) 2 UJ 293</t>
        </is>
      </c>
      <c r="N1023" s="11" t="n">
        <v>1990</v>
      </c>
      <c r="O1023" s="11" t="n"/>
      <c r="P1023" s="11" t="n"/>
      <c r="Q1023" s="11" t="n"/>
      <c r="R1023" s="2" t="n"/>
      <c r="S1023" s="2" t="n"/>
      <c r="T1023" s="11" t="inlineStr"/>
      <c r="U1023" s="11" t="inlineStr"/>
      <c r="V1023" s="11" t="inlineStr">
        <is>
          <t>outside_list</t>
        </is>
      </c>
      <c r="W1023" s="11" t="n"/>
      <c r="X1023" s="11" t="n"/>
      <c r="Y1023" s="11" t="n"/>
      <c r="Z1023" s="11" t="inlineStr">
        <is>
          <t>Mr. Advocate</t>
        </is>
      </c>
      <c r="AA1023" s="11" t="inlineStr">
        <is>
          <t>2026-10-07</t>
        </is>
      </c>
      <c r="AB1023" s="11" t="inlineStr">
        <is>
          <t>name_year</t>
        </is>
      </c>
      <c r="AC1023" s="2" t="inlineStr"/>
      <c r="AD1023" s="2" t="inlineStr">
        <is>
          <t>National Garage, Nagpur (By Managing Director) v. Gonsalves J. (1962) was overruled by Punjab Land Development and Reclamation Corporation Ltd., Chandigarh v. Presiding Officer, Labour Court, Chandigarh and Others (1990).</t>
        </is>
      </c>
      <c r="AE1023" s="2" t="n"/>
      <c r="AF1023" s="11" t="inlineStr">
        <is>
          <t>created from list 1</t>
        </is>
      </c>
    </row>
    <row r="1024">
      <c r="A1024" s="11" t="inlineStr">
        <is>
          <t>L1-1023</t>
        </is>
      </c>
      <c r="B1024" s="11" t="inlineStr">
        <is>
          <t>List 1 (to ~2015)</t>
        </is>
      </c>
      <c r="C1024" s="11" t="inlineStr">
        <is>
          <t>list1</t>
        </is>
      </c>
      <c r="D1024" s="11" t="inlineStr">
        <is>
          <t>verified</t>
        </is>
      </c>
      <c r="E1024" s="11" t="inlineStr">
        <is>
          <t>reversed_on_appeal</t>
        </is>
      </c>
      <c r="F1024" s="2" t="inlineStr">
        <is>
          <t>Krishnaji Dattatraya Bapat v. Dr. Shankar Ramchandra Abhyankar</t>
        </is>
      </c>
      <c r="G1024" s="11" t="inlineStr"/>
      <c r="H1024" s="11" t="inlineStr">
        <is>
          <t>unknown</t>
        </is>
      </c>
      <c r="I1024" s="2" t="inlineStr">
        <is>
          <t>(1965) 67 BOMLR 690; (1966) MhLj 65</t>
        </is>
      </c>
      <c r="J1024" s="11" t="n">
        <v>1965</v>
      </c>
      <c r="K1024" s="2" t="inlineStr">
        <is>
          <t>Shankar Ramchandra Abhyankar v. Krishnaji Dattatreya Bapat</t>
        </is>
      </c>
      <c r="L1024" s="11" t="inlineStr">
        <is>
          <t>Supreme Court</t>
        </is>
      </c>
      <c r="M1024" s="2" t="inlineStr">
        <is>
          <t>AIR 1970 SC 1; (1969) 2 SCC 74; (1970) 1 SCR 322</t>
        </is>
      </c>
      <c r="N1024" s="11" t="n">
        <v>1970</v>
      </c>
      <c r="O1024" s="11" t="n"/>
      <c r="P1024" s="11" t="n"/>
      <c r="Q1024" s="11" t="n"/>
      <c r="R1024" s="2" t="n"/>
      <c r="S1024" s="2" t="n"/>
      <c r="T1024" s="11" t="inlineStr">
        <is>
          <t>yes</t>
        </is>
      </c>
      <c r="U1024" s="11" t="inlineStr"/>
      <c r="V1024" s="11" t="inlineStr">
        <is>
          <t>outside_list</t>
        </is>
      </c>
      <c r="W1024" s="11" t="n"/>
      <c r="X1024" s="11" t="n"/>
      <c r="Y1024" s="11" t="n"/>
      <c r="Z1024" s="11" t="inlineStr">
        <is>
          <t>Mr. Advocate</t>
        </is>
      </c>
      <c r="AA1024" s="11" t="inlineStr">
        <is>
          <t>2026-10-07</t>
        </is>
      </c>
      <c r="AB1024" s="11" t="inlineStr">
        <is>
          <t>name_year</t>
        </is>
      </c>
      <c r="AC1024" s="2" t="inlineStr"/>
      <c r="AD1024" s="2" t="inlineStr">
        <is>
          <t>Krishnaji Dattatraya Bapat v. Dr. Shankar Ramchandra Abhyankar (1965) was reversed on appeal by the Supreme Court in Shankar Ramchandra Abhyankar v. Krishnaji Dattatreya Bapat (1970).</t>
        </is>
      </c>
      <c r="AE1024" s="2" t="n"/>
      <c r="AF1024" s="11" t="inlineStr">
        <is>
          <t>created from list 1</t>
        </is>
      </c>
    </row>
    <row r="1025">
      <c r="A1025" s="11" t="inlineStr">
        <is>
          <t>L1-1024</t>
        </is>
      </c>
      <c r="B1025" s="11" t="inlineStr">
        <is>
          <t>List 1 (to ~2015)</t>
        </is>
      </c>
      <c r="C1025" s="11" t="inlineStr">
        <is>
          <t>list1</t>
        </is>
      </c>
      <c r="D1025" s="11" t="inlineStr">
        <is>
          <t>verified</t>
        </is>
      </c>
      <c r="E1025" s="11" t="inlineStr">
        <is>
          <t>reversed_on_appeal</t>
        </is>
      </c>
      <c r="F1025" s="2" t="inlineStr">
        <is>
          <t>The Ahmedabad Mfg. and Calico Printing Co. Ltd. v. The Workmen</t>
        </is>
      </c>
      <c r="G1025" s="11" t="inlineStr"/>
      <c r="H1025" s="11" t="inlineStr">
        <is>
          <t>unknown</t>
        </is>
      </c>
      <c r="I1025" s="2" t="inlineStr">
        <is>
          <t>(1974) 76 BOMLR 225</t>
        </is>
      </c>
      <c r="J1025" s="11" t="n">
        <v>1974</v>
      </c>
      <c r="K1025" s="2" t="inlineStr">
        <is>
          <t>Ahmedabad Manufacturing and Calico Printing Co. Ltd. v. Workmen and Another</t>
        </is>
      </c>
      <c r="L1025" s="11" t="inlineStr">
        <is>
          <t>Supreme Court</t>
        </is>
      </c>
      <c r="M1025" s="2" t="inlineStr">
        <is>
          <t>AIR 1981 SC 960; (1981) 42 FLR 309; (1981) 1 LLJ 489; (1981) 1 SCALE 515; (1981) 2 SCC 663; (1981) 3 SCR 213; (1981) 13 UJ 350</t>
        </is>
      </c>
      <c r="N1025" s="11" t="n">
        <v>1981</v>
      </c>
      <c r="O1025" s="11" t="n"/>
      <c r="P1025" s="11" t="n"/>
      <c r="Q1025" s="11" t="n"/>
      <c r="R1025" s="2" t="n"/>
      <c r="S1025" s="2" t="n"/>
      <c r="T1025" s="11" t="inlineStr">
        <is>
          <t>yes</t>
        </is>
      </c>
      <c r="U1025" s="11" t="inlineStr"/>
      <c r="V1025" s="11" t="inlineStr">
        <is>
          <t>outside_list</t>
        </is>
      </c>
      <c r="W1025" s="11" t="n"/>
      <c r="X1025" s="11" t="n"/>
      <c r="Y1025" s="11" t="n"/>
      <c r="Z1025" s="11" t="inlineStr">
        <is>
          <t>Mr. Advocate</t>
        </is>
      </c>
      <c r="AA1025" s="11" t="inlineStr">
        <is>
          <t>2026-10-07</t>
        </is>
      </c>
      <c r="AB1025" s="11" t="inlineStr">
        <is>
          <t>name_year</t>
        </is>
      </c>
      <c r="AC1025" s="2" t="inlineStr"/>
      <c r="AD1025" s="2" t="inlineStr">
        <is>
          <t>The Ahmedabad Mfg. and Calico Printing Co. Ltd. v. The Workmen (1974) was reversed on appeal by the Supreme Court in Ahmedabad Manufacturing and Calico Printing Co. Ltd. v. Workmen and Another (1981).</t>
        </is>
      </c>
      <c r="AE1025" s="2" t="n"/>
      <c r="AF1025" s="11" t="inlineStr">
        <is>
          <t>created from list 1</t>
        </is>
      </c>
    </row>
    <row r="1026">
      <c r="A1026" s="11" t="inlineStr">
        <is>
          <t>L1-1025</t>
        </is>
      </c>
      <c r="B1026" s="11" t="inlineStr">
        <is>
          <t>List 1 (to ~2015)</t>
        </is>
      </c>
      <c r="C1026" s="11" t="inlineStr">
        <is>
          <t>list1</t>
        </is>
      </c>
      <c r="D1026" s="11" t="inlineStr">
        <is>
          <t>verified</t>
        </is>
      </c>
      <c r="E1026" s="11" t="inlineStr">
        <is>
          <t>reversed_on_appeal</t>
        </is>
      </c>
      <c r="F1026" s="2" t="inlineStr">
        <is>
          <t>Sentinel Rolling Shutters and Engineering Co. Pvt. Ltd. v. Commissioner of Sales Tax</t>
        </is>
      </c>
      <c r="G1026" s="11" t="inlineStr"/>
      <c r="H1026" s="11" t="inlineStr">
        <is>
          <t>unknown</t>
        </is>
      </c>
      <c r="I1026" s="2" t="inlineStr">
        <is>
          <t>(1977) 6 CTR 541; (1977) 39 STC 504</t>
        </is>
      </c>
      <c r="J1026" s="11" t="n">
        <v>1977</v>
      </c>
      <c r="K1026" s="2" t="inlineStr">
        <is>
          <t>Sentinel Rolling Shutters and Engineering Company (Pvt.) Ltd. v. The Commissioner of Sales Tax</t>
        </is>
      </c>
      <c r="L1026" s="11" t="inlineStr">
        <is>
          <t>Supreme Court</t>
        </is>
      </c>
      <c r="M1026" s="2" t="inlineStr">
        <is>
          <t>AIR 1978 SC 1747; (1978) 4 SCC 260; (1979) 1 SCR 644; (1978) 42 STC 409; (1978) 10 UJ 766</t>
        </is>
      </c>
      <c r="N1026" s="11" t="n">
        <v>1978</v>
      </c>
      <c r="O1026" s="11" t="n"/>
      <c r="P1026" s="11" t="n"/>
      <c r="Q1026" s="11" t="n"/>
      <c r="R1026" s="2" t="n"/>
      <c r="S1026" s="2" t="n"/>
      <c r="T1026" s="11" t="inlineStr">
        <is>
          <t>yes</t>
        </is>
      </c>
      <c r="U1026" s="11" t="inlineStr"/>
      <c r="V1026" s="11" t="inlineStr">
        <is>
          <t>outside_list</t>
        </is>
      </c>
      <c r="W1026" s="11" t="n"/>
      <c r="X1026" s="11" t="n"/>
      <c r="Y1026" s="11" t="n"/>
      <c r="Z1026" s="11" t="inlineStr">
        <is>
          <t>Mr. Advocate</t>
        </is>
      </c>
      <c r="AA1026" s="11" t="inlineStr">
        <is>
          <t>2026-10-07</t>
        </is>
      </c>
      <c r="AB1026" s="11" t="inlineStr">
        <is>
          <t>name_year</t>
        </is>
      </c>
      <c r="AC1026" s="2" t="inlineStr"/>
      <c r="AD1026" s="2" t="inlineStr">
        <is>
          <t>Sentinel Rolling Shutters and Engineering Co. Pvt. Ltd. v. Commissioner of Sales Tax (1977) was reversed on appeal by the Supreme Court in Sentinel Rolling Shutters and Engineering Company (Pvt.) Ltd. v. The Commissioner of Sales Tax (1978).</t>
        </is>
      </c>
      <c r="AE1026" s="2" t="n"/>
      <c r="AF1026" s="11" t="inlineStr">
        <is>
          <t>created from list 1</t>
        </is>
      </c>
    </row>
    <row r="1027">
      <c r="A1027" s="11" t="inlineStr">
        <is>
          <t>L1-1026</t>
        </is>
      </c>
      <c r="B1027" s="11" t="inlineStr">
        <is>
          <t>List 1 (to ~2015)</t>
        </is>
      </c>
      <c r="C1027" s="11" t="inlineStr">
        <is>
          <t>list1</t>
        </is>
      </c>
      <c r="D1027" s="11" t="inlineStr">
        <is>
          <t>verified</t>
        </is>
      </c>
      <c r="E1027" s="11" t="inlineStr">
        <is>
          <t>reversed_on_appeal</t>
        </is>
      </c>
      <c r="F1027" s="2" t="inlineStr">
        <is>
          <t>Ramjibhai Potiyabhai Mahala v. Sitaram Jivyabhai Gavli</t>
        </is>
      </c>
      <c r="G1027" s="11" t="inlineStr"/>
      <c r="H1027" s="11" t="inlineStr">
        <is>
          <t>unknown</t>
        </is>
      </c>
      <c r="I1027" s="2" t="inlineStr">
        <is>
          <t>(1985) 87 BOMLR 414; (1986) MhLj 497</t>
        </is>
      </c>
      <c r="J1027" s="11" t="n">
        <v>1985</v>
      </c>
      <c r="K1027" s="2" t="inlineStr">
        <is>
          <t>Sitaram Jivyabhai Gavali v. Ramjibhai Potiyabhai Mahala and Others</t>
        </is>
      </c>
      <c r="L1027" s="11" t="inlineStr">
        <is>
          <t>Supreme Court</t>
        </is>
      </c>
      <c r="M1027" s="2" t="inlineStr">
        <is>
          <t>AIR 1987 SC 1293; (1987) 1 JT 767; (1987) 2 LLJ 133; (1987) 1 SCALE 608; (1987) 2 SCC 262; (1987) 2 SCR 635; (1987) 2 UJ 133</t>
        </is>
      </c>
      <c r="N1027" s="11" t="n">
        <v>1987</v>
      </c>
      <c r="O1027" s="11" t="n"/>
      <c r="P1027" s="11" t="n"/>
      <c r="Q1027" s="11" t="n"/>
      <c r="R1027" s="2" t="n"/>
      <c r="S1027" s="2" t="n"/>
      <c r="T1027" s="11" t="inlineStr">
        <is>
          <t>yes</t>
        </is>
      </c>
      <c r="U1027" s="11" t="inlineStr"/>
      <c r="V1027" s="11" t="inlineStr">
        <is>
          <t>outside_list</t>
        </is>
      </c>
      <c r="W1027" s="11" t="n"/>
      <c r="X1027" s="11" t="n"/>
      <c r="Y1027" s="11" t="n"/>
      <c r="Z1027" s="11" t="inlineStr">
        <is>
          <t>Mr. Advocate</t>
        </is>
      </c>
      <c r="AA1027" s="11" t="inlineStr">
        <is>
          <t>2026-10-07</t>
        </is>
      </c>
      <c r="AB1027" s="11" t="inlineStr">
        <is>
          <t>name_year</t>
        </is>
      </c>
      <c r="AC1027" s="2" t="inlineStr"/>
      <c r="AD1027" s="2" t="inlineStr">
        <is>
          <t>Ramjibhai Potiyabhai Mahala v. Sitaram Jivyabhai Gavli (1985) was reversed on appeal by the Supreme Court in Sitaram Jivyabhai Gavali v. Ramjibhai Potiyabhai Mahala and Others (1987).</t>
        </is>
      </c>
      <c r="AE1027" s="2" t="n"/>
      <c r="AF1027" s="11" t="inlineStr">
        <is>
          <t>created from list 1</t>
        </is>
      </c>
    </row>
    <row r="1028">
      <c r="A1028" s="11" t="inlineStr">
        <is>
          <t>L1-1027</t>
        </is>
      </c>
      <c r="B1028" s="11" t="inlineStr">
        <is>
          <t>List 1 (to ~2015)</t>
        </is>
      </c>
      <c r="C1028" s="11" t="inlineStr">
        <is>
          <t>list1</t>
        </is>
      </c>
      <c r="D1028" s="11" t="inlineStr">
        <is>
          <t>verified</t>
        </is>
      </c>
      <c r="E1028" s="11" t="inlineStr">
        <is>
          <t>overruled</t>
        </is>
      </c>
      <c r="F1028" s="2" t="inlineStr">
        <is>
          <t>Indian Hume Pipe Co. Limited v. P.S. Malvankar and others</t>
        </is>
      </c>
      <c r="G1028" s="11" t="inlineStr"/>
      <c r="H1028" s="11" t="inlineStr">
        <is>
          <t>unknown</t>
        </is>
      </c>
      <c r="I1028" s="2" t="inlineStr">
        <is>
          <t>(1983) 140 ITR 392; (1983) 1 LLJ 174</t>
        </is>
      </c>
      <c r="J1028" s="11" t="n">
        <v>1983</v>
      </c>
      <c r="K1028" s="2" t="inlineStr">
        <is>
          <t>Sarva Shramik Sangh, Bombay v. Indian Hume Pipe Co. Ltd. and Another</t>
        </is>
      </c>
      <c r="L1028" s="11" t="inlineStr">
        <is>
          <t>Supreme Court</t>
        </is>
      </c>
      <c r="M1028" s="2" t="inlineStr">
        <is>
          <t>(1993) 4 JT 40; (1993) LabIC 870; (1993) 1 LLJ 965; (1993) 1 SCALE 596; (1993) 2 SCC 386</t>
        </is>
      </c>
      <c r="N1028" s="11" t="n">
        <v>1993</v>
      </c>
      <c r="O1028" s="11" t="n"/>
      <c r="P1028" s="11" t="n"/>
      <c r="Q1028" s="11" t="n"/>
      <c r="R1028" s="2" t="n"/>
      <c r="S1028" s="2" t="n"/>
      <c r="T1028" s="11" t="inlineStr"/>
      <c r="U1028" s="11" t="inlineStr"/>
      <c r="V1028" s="11" t="inlineStr">
        <is>
          <t>outside_list</t>
        </is>
      </c>
      <c r="W1028" s="11" t="n"/>
      <c r="X1028" s="11" t="n"/>
      <c r="Y1028" s="11" t="n"/>
      <c r="Z1028" s="11" t="inlineStr">
        <is>
          <t>Mr. Advocate</t>
        </is>
      </c>
      <c r="AA1028" s="11" t="inlineStr">
        <is>
          <t>2026-10-07</t>
        </is>
      </c>
      <c r="AB1028" s="11" t="inlineStr">
        <is>
          <t>name_year</t>
        </is>
      </c>
      <c r="AC1028" s="2" t="inlineStr"/>
      <c r="AD1028" s="2" t="inlineStr">
        <is>
          <t>Indian Hume Pipe Co. Limited v. P.S. Malvankar and others (1983) was overruled by Sarva Shramik Sangh, Bombay v. Indian Hume Pipe Co. Ltd. and Another (1993).</t>
        </is>
      </c>
      <c r="AE1028" s="2" t="n"/>
      <c r="AF1028" s="11" t="inlineStr">
        <is>
          <t>created from list 1</t>
        </is>
      </c>
    </row>
    <row r="1029">
      <c r="A1029" s="11" t="inlineStr">
        <is>
          <t>L1-1028</t>
        </is>
      </c>
      <c r="B1029" s="11" t="inlineStr">
        <is>
          <t>List 1 (to ~2015)</t>
        </is>
      </c>
      <c r="C1029" s="11" t="inlineStr">
        <is>
          <t>list1</t>
        </is>
      </c>
      <c r="D1029" s="11" t="inlineStr">
        <is>
          <t>verified</t>
        </is>
      </c>
      <c r="E1029" s="11" t="inlineStr">
        <is>
          <t>reversed_on_appeal</t>
        </is>
      </c>
      <c r="F1029" s="2" t="inlineStr">
        <is>
          <t>Century Spining and Manufacturing Co. v. Union of India</t>
        </is>
      </c>
      <c r="G1029" s="11" t="inlineStr"/>
      <c r="H1029" s="11" t="inlineStr">
        <is>
          <t>unknown</t>
        </is>
      </c>
      <c r="I1029" s="2" t="inlineStr">
        <is>
          <t>(1979) 4 ELT 199</t>
        </is>
      </c>
      <c r="J1029" s="11" t="n">
        <v>1979</v>
      </c>
      <c r="K1029" s="2" t="inlineStr">
        <is>
          <t>Union of India and another v. The Century Manufacturing Company Ltd.</t>
        </is>
      </c>
      <c r="L1029" s="11" t="inlineStr">
        <is>
          <t>Supreme Court</t>
        </is>
      </c>
      <c r="M1029" s="2" t="inlineStr">
        <is>
          <t>AIR 1992 SC 2055; (1992) 40 ECC 164; (1992) 41 ECR 193; (1992) 60 ELT 3; (1992) 3 JT 382; (1992) 1 SCALE 1200; (1992) 3 SCC 418; (1992) 3 SCR 282</t>
        </is>
      </c>
      <c r="N1029" s="11" t="n">
        <v>1992</v>
      </c>
      <c r="O1029" s="11" t="n"/>
      <c r="P1029" s="11" t="n"/>
      <c r="Q1029" s="11" t="n"/>
      <c r="R1029" s="2" t="n"/>
      <c r="S1029" s="2" t="n"/>
      <c r="T1029" s="11" t="inlineStr">
        <is>
          <t>yes</t>
        </is>
      </c>
      <c r="U1029" s="11" t="inlineStr"/>
      <c r="V1029" s="11" t="inlineStr">
        <is>
          <t>outside_list</t>
        </is>
      </c>
      <c r="W1029" s="11" t="n"/>
      <c r="X1029" s="11" t="n"/>
      <c r="Y1029" s="11" t="n"/>
      <c r="Z1029" s="11" t="inlineStr">
        <is>
          <t>Mr. Advocate</t>
        </is>
      </c>
      <c r="AA1029" s="11" t="inlineStr">
        <is>
          <t>2026-10-07</t>
        </is>
      </c>
      <c r="AB1029" s="11" t="inlineStr">
        <is>
          <t>name_year</t>
        </is>
      </c>
      <c r="AC1029" s="2" t="inlineStr"/>
      <c r="AD1029" s="2" t="inlineStr">
        <is>
          <t>Century Spining and Manufacturing Co. v. Union of India (1979) was reversed on appeal by the Supreme Court in Union of India and another v. The Century Manufacturing Company Ltd. (1992).</t>
        </is>
      </c>
      <c r="AE1029" s="2" t="n"/>
      <c r="AF1029" s="11" t="inlineStr">
        <is>
          <t>created from list 1</t>
        </is>
      </c>
    </row>
    <row r="1030">
      <c r="A1030" s="11" t="inlineStr">
        <is>
          <t>L1-1029</t>
        </is>
      </c>
      <c r="B1030" s="11" t="inlineStr">
        <is>
          <t>List 1 (to ~2015)</t>
        </is>
      </c>
      <c r="C1030" s="11" t="inlineStr">
        <is>
          <t>list1</t>
        </is>
      </c>
      <c r="D1030" s="11" t="inlineStr">
        <is>
          <t>verified</t>
        </is>
      </c>
      <c r="E1030" s="11" t="inlineStr">
        <is>
          <t>overruled</t>
        </is>
      </c>
      <c r="F1030" s="2" t="inlineStr">
        <is>
          <t>Shri Humberto Luis and another v. Shri Floriano Armando Luis and another</t>
        </is>
      </c>
      <c r="G1030" s="11" t="inlineStr"/>
      <c r="H1030" s="11" t="inlineStr">
        <is>
          <t>unknown</t>
        </is>
      </c>
      <c r="I1030" s="2" t="inlineStr">
        <is>
          <t>(2000) 1 ALLMR 648; (2000) 2 BomCR 754; (2000) 1 MhLj 690</t>
        </is>
      </c>
      <c r="J1030" s="11" t="n">
        <v>2000</v>
      </c>
      <c r="K1030" s="2" t="inlineStr">
        <is>
          <t>Janki Vashdeo Bhojwani and Another v. Indusind Bank Ltd. and Others</t>
        </is>
      </c>
      <c r="L1030" s="11" t="inlineStr">
        <is>
          <t>Supreme Court</t>
        </is>
      </c>
      <c r="M1030" s="2" t="inlineStr">
        <is>
          <t>AIR 2005 SC 439; (2005) 123 CompCas 154; (2005) 3 CTC 128; (2004) 10 JT 264; (2005) 140 PLR 1; (2004) 10 SCALE 244; (2005) 2 SCC 217; (2004) AIRSCW 7064; (2005) 3 Supreme 275</t>
        </is>
      </c>
      <c r="N1030" s="11" t="n">
        <v>2005</v>
      </c>
      <c r="O1030" s="11" t="n"/>
      <c r="P1030" s="11" t="n"/>
      <c r="Q1030" s="11" t="n"/>
      <c r="R1030" s="2" t="n"/>
      <c r="S1030" s="2" t="n"/>
      <c r="T1030" s="11" t="inlineStr"/>
      <c r="U1030" s="11" t="inlineStr"/>
      <c r="V1030" s="11" t="inlineStr">
        <is>
          <t>outside_list</t>
        </is>
      </c>
      <c r="W1030" s="11" t="n"/>
      <c r="X1030" s="11" t="n"/>
      <c r="Y1030" s="11" t="n"/>
      <c r="Z1030" s="11" t="inlineStr">
        <is>
          <t>Mr. Advocate</t>
        </is>
      </c>
      <c r="AA1030" s="11" t="inlineStr">
        <is>
          <t>2026-10-07</t>
        </is>
      </c>
      <c r="AB1030" s="11" t="inlineStr">
        <is>
          <t>name_year</t>
        </is>
      </c>
      <c r="AC1030" s="2" t="inlineStr"/>
      <c r="AD1030" s="2" t="inlineStr">
        <is>
          <t>Shri Humberto Luis and another v. Shri Floriano Armando Luis and another (2000) was overruled by Janki Vashdeo Bhojwani and Another v. Indusind Bank Ltd. and Others (2005).</t>
        </is>
      </c>
      <c r="AE1030" s="2" t="n"/>
      <c r="AF1030" s="11" t="inlineStr">
        <is>
          <t>created from list 1</t>
        </is>
      </c>
    </row>
    <row r="1031">
      <c r="A1031" s="11" t="inlineStr">
        <is>
          <t>L1-1030</t>
        </is>
      </c>
      <c r="B1031" s="11" t="inlineStr">
        <is>
          <t>List 1 (to ~2015)</t>
        </is>
      </c>
      <c r="C1031" s="11" t="inlineStr">
        <is>
          <t>list1</t>
        </is>
      </c>
      <c r="D1031" s="11" t="inlineStr">
        <is>
          <t>verified</t>
        </is>
      </c>
      <c r="E1031" s="11" t="inlineStr">
        <is>
          <t>overruled</t>
        </is>
      </c>
      <c r="F1031" s="2" t="inlineStr">
        <is>
          <t>K.T. Rolling Mills Pvt. Ltd. v. R.M. Gandhi and Others</t>
        </is>
      </c>
      <c r="G1031" s="11" t="inlineStr"/>
      <c r="H1031" s="11" t="inlineStr">
        <is>
          <t>unknown</t>
        </is>
      </c>
      <c r="I1031" s="2" t="inlineStr">
        <is>
          <t>(1994) 1 BomCR 75; (1994) 68 FLR 562; (1994) 1 LLJ 66; (1993) 1 MhLj 947</t>
        </is>
      </c>
      <c r="J1031" s="11" t="n">
        <v>1993</v>
      </c>
      <c r="K1031" s="2" t="inlineStr">
        <is>
          <t>M/s. Hindustan Times Limited v. Union of India and Others</t>
        </is>
      </c>
      <c r="L1031" s="11" t="inlineStr">
        <is>
          <t>unknown</t>
        </is>
      </c>
      <c r="M1031" s="2" t="inlineStr">
        <is>
          <t>(1998) 1 JT 18(1); (1998) 1 SCALE 34; (1998) 2 SCC 242; (1998) 1 SCR 4; (1998) 1 UJ 368; (1998) AIRSCW 352; (1998) 1 Supreme 174</t>
        </is>
      </c>
      <c r="N1031" s="11" t="n">
        <v>1998</v>
      </c>
      <c r="O1031" s="11" t="n"/>
      <c r="P1031" s="11" t="n"/>
      <c r="Q1031" s="11" t="n"/>
      <c r="R1031" s="2" t="n"/>
      <c r="S1031" s="2" t="n"/>
      <c r="T1031" s="11" t="inlineStr"/>
      <c r="U1031" s="11" t="inlineStr"/>
      <c r="V1031" s="11" t="inlineStr">
        <is>
          <t>outside_list</t>
        </is>
      </c>
      <c r="W1031" s="11" t="n"/>
      <c r="X1031" s="11" t="n"/>
      <c r="Y1031" s="11" t="n"/>
      <c r="Z1031" s="11" t="inlineStr">
        <is>
          <t>Mr. Advocate</t>
        </is>
      </c>
      <c r="AA1031" s="11" t="inlineStr">
        <is>
          <t>2026-10-07</t>
        </is>
      </c>
      <c r="AB1031" s="11" t="inlineStr">
        <is>
          <t>name_year</t>
        </is>
      </c>
      <c r="AC1031" s="2" t="inlineStr"/>
      <c r="AD1031" s="2" t="inlineStr">
        <is>
          <t>K.T. Rolling Mills Pvt. Ltd. v. R.M. Gandhi and Others (1993) was overruled by M/s. Hindustan Times Limited v. Union of India and Others (1998).</t>
        </is>
      </c>
      <c r="AE1031" s="2" t="n"/>
      <c r="AF1031" s="11" t="inlineStr">
        <is>
          <t>created from list 1</t>
        </is>
      </c>
    </row>
    <row r="1032">
      <c r="A1032" s="11" t="inlineStr">
        <is>
          <t>L1-1031</t>
        </is>
      </c>
      <c r="B1032" s="11" t="inlineStr">
        <is>
          <t>List 1 (to ~2015)</t>
        </is>
      </c>
      <c r="C1032" s="11" t="inlineStr">
        <is>
          <t>list1</t>
        </is>
      </c>
      <c r="D1032" s="11" t="inlineStr">
        <is>
          <t>verified</t>
        </is>
      </c>
      <c r="E1032" s="11" t="inlineStr">
        <is>
          <t>reversed_on_appeal</t>
        </is>
      </c>
      <c r="F1032" s="2" t="inlineStr">
        <is>
          <t>Goa, Daman and Diu Housing Board v. Ramakant V.P. Darvotkar</t>
        </is>
      </c>
      <c r="G1032" s="11" t="inlineStr"/>
      <c r="H1032" s="11" t="inlineStr">
        <is>
          <t>Bombay</t>
        </is>
      </c>
      <c r="I1032" s="2" t="inlineStr">
        <is>
          <t>AIR 1984 Bom 120</t>
        </is>
      </c>
      <c r="J1032" s="11" t="n">
        <v>1984</v>
      </c>
      <c r="K1032" s="2" t="inlineStr">
        <is>
          <t>Goa, Daman and Diu Housing Board v. Ramakant V.P. Darvotkar</t>
        </is>
      </c>
      <c r="L1032" s="11" t="inlineStr">
        <is>
          <t>Supreme Court</t>
        </is>
      </c>
      <c r="M1032" s="2" t="inlineStr">
        <is>
          <t>AIR 1991 SC 2089; (1991) 3 JT 604; (1991) 2 SCALE 488; (1991) 4 SCC 293; (1991) 3 SCR 904; (1991) 2 UJ 664</t>
        </is>
      </c>
      <c r="N1032" s="11" t="n">
        <v>1991</v>
      </c>
      <c r="O1032" s="11" t="n"/>
      <c r="P1032" s="11" t="n"/>
      <c r="Q1032" s="11" t="n"/>
      <c r="R1032" s="2" t="n"/>
      <c r="S1032" s="2" t="n"/>
      <c r="T1032" s="11" t="inlineStr">
        <is>
          <t>yes</t>
        </is>
      </c>
      <c r="U1032" s="11" t="inlineStr"/>
      <c r="V1032" s="11" t="inlineStr">
        <is>
          <t>outside_list</t>
        </is>
      </c>
      <c r="W1032" s="11" t="n"/>
      <c r="X1032" s="11" t="n"/>
      <c r="Y1032" s="11" t="n"/>
      <c r="Z1032" s="11" t="inlineStr">
        <is>
          <t>Mr. Advocate</t>
        </is>
      </c>
      <c r="AA1032" s="11" t="inlineStr">
        <is>
          <t>2026-10-07</t>
        </is>
      </c>
      <c r="AB1032" s="11" t="inlineStr">
        <is>
          <t>name_year</t>
        </is>
      </c>
      <c r="AC1032" s="2" t="inlineStr"/>
      <c r="AD1032" s="2" t="inlineStr">
        <is>
          <t>Goa, Daman and Diu Housing Board v. Ramakant V.P. Darvotkar (1984) was reversed on appeal by the Supreme Court in Goa, Daman and Diu Housing Board v. Ramakant V.P. Darvotkar (1991).</t>
        </is>
      </c>
      <c r="AE1032" s="2" t="n"/>
      <c r="AF1032" s="11" t="inlineStr">
        <is>
          <t>created from list 1</t>
        </is>
      </c>
    </row>
    <row r="1033">
      <c r="A1033" s="11" t="inlineStr">
        <is>
          <t>L1-1032</t>
        </is>
      </c>
      <c r="B1033" s="11" t="inlineStr">
        <is>
          <t>List 1 (to ~2015)</t>
        </is>
      </c>
      <c r="C1033" s="11" t="inlineStr">
        <is>
          <t>list1</t>
        </is>
      </c>
      <c r="D1033" s="11" t="inlineStr">
        <is>
          <t>verified</t>
        </is>
      </c>
      <c r="E1033" s="11" t="inlineStr">
        <is>
          <t>overruled</t>
        </is>
      </c>
      <c r="F1033" s="2" t="inlineStr">
        <is>
          <t>Udaysingh Ganpatrao Naik Nimbalkar v. Governor, State of Maharashtra and Others</t>
        </is>
      </c>
      <c r="G1033" s="11" t="inlineStr"/>
      <c r="H1033" s="11" t="inlineStr">
        <is>
          <t>unknown</t>
        </is>
      </c>
      <c r="I1033" s="2" t="inlineStr">
        <is>
          <t>(1997) 1 BomCR 57; (1996) 2 MhLj 787</t>
        </is>
      </c>
      <c r="J1033" s="11" t="n">
        <v>1996</v>
      </c>
      <c r="K1033" s="2" t="inlineStr">
        <is>
          <t>High Court of Judicature at Bombay through ite Registrar v. Udaysingh Nimbalkar and Others</t>
        </is>
      </c>
      <c r="L1033" s="11" t="inlineStr">
        <is>
          <t>Supreme Court</t>
        </is>
      </c>
      <c r="M1033" s="2" t="inlineStr">
        <is>
          <t>AIR 1997 SC 2286; (1997) 5 JT 298; (1997) 4 SCALE 26; (1997) 5 SCC 129; (1997) SCC(L&amp;S) 1132; (1997) 3 SCR 803; (1997) 2 UJ 66; (1997) AIRSCW 2159; (1997) 5 Supreme 123</t>
        </is>
      </c>
      <c r="N1033" s="11" t="n">
        <v>1997</v>
      </c>
      <c r="O1033" s="11" t="n"/>
      <c r="P1033" s="11" t="n"/>
      <c r="Q1033" s="11" t="n"/>
      <c r="R1033" s="2" t="n"/>
      <c r="S1033" s="2" t="n"/>
      <c r="T1033" s="11" t="inlineStr"/>
      <c r="U1033" s="11" t="inlineStr"/>
      <c r="V1033" s="11" t="inlineStr">
        <is>
          <t>outside_list</t>
        </is>
      </c>
      <c r="W1033" s="11" t="n"/>
      <c r="X1033" s="11" t="n"/>
      <c r="Y1033" s="11" t="n"/>
      <c r="Z1033" s="11" t="inlineStr">
        <is>
          <t>Mr. Advocate</t>
        </is>
      </c>
      <c r="AA1033" s="11" t="inlineStr">
        <is>
          <t>2026-10-07</t>
        </is>
      </c>
      <c r="AB1033" s="11" t="inlineStr">
        <is>
          <t>name_year</t>
        </is>
      </c>
      <c r="AC1033" s="2" t="inlineStr"/>
      <c r="AD1033" s="2" t="inlineStr">
        <is>
          <t>Udaysingh Ganpatrao Naik Nimbalkar v. Governor, State of Maharashtra and Others (1996) was overruled by High Court of Judicature at Bombay through ite Registrar v. Udaysingh Nimbalkar and Others (1997).</t>
        </is>
      </c>
      <c r="AE1033" s="2" t="n"/>
      <c r="AF1033" s="11" t="inlineStr">
        <is>
          <t>created from list 1</t>
        </is>
      </c>
    </row>
    <row r="1034">
      <c r="A1034" s="11" t="inlineStr">
        <is>
          <t>L1-1033</t>
        </is>
      </c>
      <c r="B1034" s="11" t="inlineStr">
        <is>
          <t>List 1 (to ~2015)</t>
        </is>
      </c>
      <c r="C1034" s="11" t="inlineStr">
        <is>
          <t>list1</t>
        </is>
      </c>
      <c r="D1034" s="11" t="inlineStr">
        <is>
          <t>verified</t>
        </is>
      </c>
      <c r="E1034" s="11" t="inlineStr">
        <is>
          <t>overruled</t>
        </is>
      </c>
      <c r="F1034" s="2" t="inlineStr">
        <is>
          <t>Sardar Dastur Schools Trust and Others v. Adil Jamshed, Frenchman since deceased through his legal heirs and representatives Smt. Roshan Adil Frenchman and Others</t>
        </is>
      </c>
      <c r="G1034" s="11" t="inlineStr"/>
      <c r="H1034" s="11" t="inlineStr">
        <is>
          <t>unknown</t>
        </is>
      </c>
      <c r="I1034" s="2" t="inlineStr">
        <is>
          <t>(2002) 4 ALLMR 338; (2003) 1 MhLj 226</t>
        </is>
      </c>
      <c r="J1034" s="11" t="n">
        <v>2002</v>
      </c>
      <c r="K1034" s="2" t="inlineStr">
        <is>
          <t>ADIL Jamshed Frenchman (D) by LRs. v. Sardar Dastur Schools Trust and Others</t>
        </is>
      </c>
      <c r="L1034" s="11" t="inlineStr">
        <is>
          <t>Supreme Court</t>
        </is>
      </c>
      <c r="M1034" s="2" t="inlineStr">
        <is>
          <t>AIR 2005 SC 996; (2005) 1 CTC 718; (2005) 2 JT 332; (2005) 141 PLR 227; (2005) 2 SCC 476; (2005) 2 UJ 781</t>
        </is>
      </c>
      <c r="N1034" s="11" t="n">
        <v>2005</v>
      </c>
      <c r="O1034" s="11" t="n"/>
      <c r="P1034" s="11" t="n"/>
      <c r="Q1034" s="11" t="n"/>
      <c r="R1034" s="2" t="n"/>
      <c r="S1034" s="2" t="n"/>
      <c r="T1034" s="11" t="inlineStr"/>
      <c r="U1034" s="11" t="inlineStr"/>
      <c r="V1034" s="11" t="inlineStr">
        <is>
          <t>outside_list</t>
        </is>
      </c>
      <c r="W1034" s="11" t="n"/>
      <c r="X1034" s="11" t="n"/>
      <c r="Y1034" s="11" t="n"/>
      <c r="Z1034" s="11" t="inlineStr">
        <is>
          <t>Mr. Advocate</t>
        </is>
      </c>
      <c r="AA1034" s="11" t="inlineStr">
        <is>
          <t>2026-10-07</t>
        </is>
      </c>
      <c r="AB1034" s="11" t="inlineStr">
        <is>
          <t>name_year</t>
        </is>
      </c>
      <c r="AC1034" s="2" t="inlineStr"/>
      <c r="AD1034" s="2" t="inlineStr">
        <is>
          <t>Sardar Dastur Schools Trust and Others v. Adil Jamshed, Frenchman since deceased through his legal heirs and representatives Smt. Roshan Adil Frenchman and Others (2002) was overruled by ADIL Jamshed Frenchman (D) by LRs. v. Sardar Dastur Schools Trust and Others (2005).</t>
        </is>
      </c>
      <c r="AE1034" s="2" t="n"/>
      <c r="AF1034" s="11" t="inlineStr">
        <is>
          <t>created from list 1</t>
        </is>
      </c>
    </row>
    <row r="1035">
      <c r="A1035" s="11" t="inlineStr">
        <is>
          <t>L1-1034</t>
        </is>
      </c>
      <c r="B1035" s="11" t="inlineStr">
        <is>
          <t>List 1 (to ~2015)</t>
        </is>
      </c>
      <c r="C1035" s="11" t="inlineStr">
        <is>
          <t>list1</t>
        </is>
      </c>
      <c r="D1035" s="11" t="inlineStr">
        <is>
          <t>verified</t>
        </is>
      </c>
      <c r="E1035" s="11" t="inlineStr">
        <is>
          <t>overruled</t>
        </is>
      </c>
      <c r="F1035" s="2" t="inlineStr">
        <is>
          <t>Maharashtra General Kamgar Union v. Glass Containers Pvt. Ltd. and another</t>
        </is>
      </c>
      <c r="G1035" s="11" t="inlineStr"/>
      <c r="H1035" s="11" t="inlineStr">
        <is>
          <t>unknown</t>
        </is>
      </c>
      <c r="I1035" s="2" t="inlineStr">
        <is>
          <t>(1983) 1 LLJ 326</t>
        </is>
      </c>
      <c r="J1035" s="11" t="n">
        <v>1983</v>
      </c>
      <c r="K1035" s="2" t="inlineStr">
        <is>
          <t>S.G. Chemicals and Dyes Trading Employees’ Union v. S.G. Chemicals and Dyes Trading Limited and Another</t>
        </is>
      </c>
      <c r="L1035" s="11" t="inlineStr">
        <is>
          <t>Supreme Court</t>
        </is>
      </c>
      <c r="M1035" s="2" t="inlineStr">
        <is>
          <t>(1986) 52 FLR 661; (1986) LabIC 863; (1986) 1 LLJ 490; (1986) 1 SCALE 1048; (1986) 2 SCC 624; (1986) 2 SCR 126; (1986) 3 SLJ 29</t>
        </is>
      </c>
      <c r="N1035" s="11" t="n">
        <v>1986</v>
      </c>
      <c r="O1035" s="11" t="n"/>
      <c r="P1035" s="11" t="n"/>
      <c r="Q1035" s="11" t="n"/>
      <c r="R1035" s="2" t="n"/>
      <c r="S1035" s="2" t="n"/>
      <c r="T1035" s="11" t="inlineStr"/>
      <c r="U1035" s="11" t="inlineStr"/>
      <c r="V1035" s="11" t="inlineStr">
        <is>
          <t>outside_list</t>
        </is>
      </c>
      <c r="W1035" s="11" t="n"/>
      <c r="X1035" s="11" t="n"/>
      <c r="Y1035" s="11" t="n"/>
      <c r="Z1035" s="11" t="inlineStr">
        <is>
          <t>Mr. Advocate</t>
        </is>
      </c>
      <c r="AA1035" s="11" t="inlineStr">
        <is>
          <t>2026-10-07</t>
        </is>
      </c>
      <c r="AB1035" s="11" t="inlineStr">
        <is>
          <t>name_year</t>
        </is>
      </c>
      <c r="AC1035" s="2" t="inlineStr"/>
      <c r="AD1035" s="2" t="inlineStr">
        <is>
          <t>Maharashtra General Kamgar Union v. Glass Containers Pvt. Ltd. and another (1983) was overruled by S.G. Chemicals and Dyes Trading Employees’ Union v. S.G. Chemicals and Dyes Trading Limited and Another (1986).</t>
        </is>
      </c>
      <c r="AE1035" s="2" t="n"/>
      <c r="AF1035" s="11" t="inlineStr">
        <is>
          <t>created from list 1</t>
        </is>
      </c>
    </row>
    <row r="1036">
      <c r="A1036" s="11" t="inlineStr">
        <is>
          <t>L1-1035</t>
        </is>
      </c>
      <c r="B1036" s="11" t="inlineStr">
        <is>
          <t>List 1 (to ~2015)</t>
        </is>
      </c>
      <c r="C1036" s="11" t="inlineStr">
        <is>
          <t>list1</t>
        </is>
      </c>
      <c r="D1036" s="11" t="inlineStr">
        <is>
          <t>verified</t>
        </is>
      </c>
      <c r="E1036" s="11" t="inlineStr">
        <is>
          <t>overruled</t>
        </is>
      </c>
      <c r="F1036" s="2" t="inlineStr">
        <is>
          <t>Central Bureau of Investigation v. Mulangi Krishnaswamy Ashok Kumar and others</t>
        </is>
      </c>
      <c r="G1036" s="11" t="inlineStr"/>
      <c r="H1036" s="11" t="inlineStr">
        <is>
          <t>unknown</t>
        </is>
      </c>
      <c r="I1036" s="2" t="inlineStr">
        <is>
          <t>(1999) 1 ALLMR 126; (1999) 2 BomCR 771; (1998) 3 BOMLR 228</t>
        </is>
      </c>
      <c r="J1036" s="11" t="n">
        <v>1998</v>
      </c>
      <c r="K1036" s="2" t="inlineStr">
        <is>
          <t>S. Mohan v. Central Bureau of Investigation</t>
        </is>
      </c>
      <c r="L1036" s="11" t="inlineStr">
        <is>
          <t>unknown</t>
        </is>
      </c>
      <c r="M1036" s="2" t="inlineStr">
        <is>
          <t>(2008) 106 CLT 360; (2008) 8 SCALE 66; (2008) 7 SCC 1; (2008) 84 SCL 443; (2008) AIRSCW 3557; (2008) 4 Supreme 10</t>
        </is>
      </c>
      <c r="N1036" s="11" t="n">
        <v>2008</v>
      </c>
      <c r="O1036" s="11" t="n"/>
      <c r="P1036" s="11" t="n"/>
      <c r="Q1036" s="11" t="n"/>
      <c r="R1036" s="2" t="n"/>
      <c r="S1036" s="2" t="n"/>
      <c r="T1036" s="11" t="inlineStr"/>
      <c r="U1036" s="11" t="inlineStr"/>
      <c r="V1036" s="11" t="inlineStr">
        <is>
          <t>outside_list</t>
        </is>
      </c>
      <c r="W1036" s="11" t="n"/>
      <c r="X1036" s="11" t="n"/>
      <c r="Y1036" s="11" t="n"/>
      <c r="Z1036" s="11" t="inlineStr">
        <is>
          <t>Mr. Advocate</t>
        </is>
      </c>
      <c r="AA1036" s="11" t="inlineStr">
        <is>
          <t>2026-10-07</t>
        </is>
      </c>
      <c r="AB1036" s="11" t="inlineStr">
        <is>
          <t>name_year</t>
        </is>
      </c>
      <c r="AC1036" s="2" t="inlineStr"/>
      <c r="AD1036" s="2" t="inlineStr">
        <is>
          <t>Central Bureau of Investigation v. Mulangi Krishnaswamy Ashok Kumar and others (1998) was overruled by S. Mohan v. Central Bureau of Investigation (2008).</t>
        </is>
      </c>
      <c r="AE1036" s="2" t="n"/>
      <c r="AF1036" s="11" t="inlineStr">
        <is>
          <t>created from list 1</t>
        </is>
      </c>
    </row>
    <row r="1037">
      <c r="A1037" s="11" t="inlineStr">
        <is>
          <t>L1-1036</t>
        </is>
      </c>
      <c r="B1037" s="11" t="inlineStr">
        <is>
          <t>List 1 (to ~2015)</t>
        </is>
      </c>
      <c r="C1037" s="11" t="inlineStr">
        <is>
          <t>list1</t>
        </is>
      </c>
      <c r="D1037" s="11" t="inlineStr">
        <is>
          <t>verified</t>
        </is>
      </c>
      <c r="E1037" s="11" t="inlineStr">
        <is>
          <t>overruled</t>
        </is>
      </c>
      <c r="F1037" s="2" t="inlineStr">
        <is>
          <t>Swam Mills Ltd. v. The Union of India (UOI), Ministry of Finance, Law and Justice, The Commissioner of Central Excise and The Superintendent of Central Excise, Range-05</t>
        </is>
      </c>
      <c r="G1037" s="11" t="inlineStr"/>
      <c r="H1037" s="11" t="inlineStr">
        <is>
          <t>unknown</t>
        </is>
      </c>
      <c r="I1037" s="2" t="inlineStr"/>
      <c r="J1037" s="11" t="n"/>
      <c r="K1037" s="2" t="inlineStr">
        <is>
          <t>Swan Mills Ltd. v. Union of India (UOI) and Others</t>
        </is>
      </c>
      <c r="L1037" s="11" t="inlineStr">
        <is>
          <t>Supreme Court</t>
        </is>
      </c>
      <c r="M1037" s="2" t="inlineStr">
        <is>
          <t>(2007) 211 CTR 78; (2007) 120 ECC 140; (2007) ECR 140; (2007) 214 ELT 322; (2007) 9 JT 415; (2007) 7 SCC 29; (2007) 9 SCR 531; (2007) 2 UJ 907</t>
        </is>
      </c>
      <c r="N1037" s="11" t="n">
        <v>2007</v>
      </c>
      <c r="O1037" s="11" t="n"/>
      <c r="P1037" s="11" t="n"/>
      <c r="Q1037" s="11" t="n"/>
      <c r="R1037" s="2" t="n"/>
      <c r="S1037" s="2" t="n"/>
      <c r="T1037" s="11" t="inlineStr"/>
      <c r="U1037" s="11" t="inlineStr">
        <is>
          <t>no_citation_or_year_for_overruled, needs_citation_or_year</t>
        </is>
      </c>
      <c r="V1037" s="11" t="inlineStr">
        <is>
          <t>outside_list</t>
        </is>
      </c>
      <c r="W1037" s="11" t="n"/>
      <c r="X1037" s="11" t="n"/>
      <c r="Y1037" s="11" t="n"/>
      <c r="Z1037" s="11" t="inlineStr">
        <is>
          <t>Mr. Advocate</t>
        </is>
      </c>
      <c r="AA1037" s="11" t="inlineStr">
        <is>
          <t>2026-10-07</t>
        </is>
      </c>
      <c r="AB1037" s="11" t="inlineStr">
        <is>
          <t>weak</t>
        </is>
      </c>
      <c r="AC1037" s="2" t="inlineStr"/>
      <c r="AD1037" s="2" t="inlineStr">
        <is>
          <t>Swam Mills Ltd. v. The Union of India (UOI), Ministry of Finance, Law and Justice, The Commissioner of Central Excise and The Superintendent of Central Excise, Range-05 was overruled by Swan Mills Ltd. v. Union of India (UOI) and Others (2007).</t>
        </is>
      </c>
      <c r="AE1037" s="2" t="n"/>
      <c r="AF1037" s="11" t="inlineStr">
        <is>
          <t>created from list 1</t>
        </is>
      </c>
    </row>
    <row r="1038">
      <c r="A1038" s="11" t="inlineStr">
        <is>
          <t>L1-1037</t>
        </is>
      </c>
      <c r="B1038" s="11" t="inlineStr">
        <is>
          <t>List 1 (to ~2015)</t>
        </is>
      </c>
      <c r="C1038" s="11" t="inlineStr">
        <is>
          <t>list1</t>
        </is>
      </c>
      <c r="D1038" s="11" t="inlineStr">
        <is>
          <t>verified</t>
        </is>
      </c>
      <c r="E1038" s="11" t="inlineStr">
        <is>
          <t>overruled</t>
        </is>
      </c>
      <c r="F1038" s="2" t="inlineStr">
        <is>
          <t>Bandu Kesu Jagadale and Others v. Gopinath Ramchandra Inamdar and Another</t>
        </is>
      </c>
      <c r="G1038" s="11" t="inlineStr"/>
      <c r="H1038" s="11" t="inlineStr">
        <is>
          <t>Bombay</t>
        </is>
      </c>
      <c r="I1038" s="2" t="inlineStr">
        <is>
          <t>AIR 1976 Bom 216; (1977) MhLj 46</t>
        </is>
      </c>
      <c r="J1038" s="11" t="n">
        <v>1976</v>
      </c>
      <c r="K1038" s="2" t="inlineStr">
        <is>
          <t>Moreshwar Balkrishna Pandare and Others v. Vithal Vyanku Chavan and Others</t>
        </is>
      </c>
      <c r="L1038" s="11" t="inlineStr">
        <is>
          <t>Supreme Court</t>
        </is>
      </c>
      <c r="M1038" s="2" t="inlineStr">
        <is>
          <t>AIR 2001 SC 2211; (2001) 1 JT 49 Supp; (2001) 4 SCALE 181; (2001) 5 SCC 551; (2001) 3 SCR 712; (2001) AIRSCW 2131; (2001) 4 Supreme 190</t>
        </is>
      </c>
      <c r="N1038" s="11" t="n">
        <v>2001</v>
      </c>
      <c r="O1038" s="11" t="n"/>
      <c r="P1038" s="11" t="n"/>
      <c r="Q1038" s="11" t="n"/>
      <c r="R1038" s="2" t="n"/>
      <c r="S1038" s="2" t="n"/>
      <c r="T1038" s="11" t="inlineStr"/>
      <c r="U1038" s="11" t="inlineStr"/>
      <c r="V1038" s="11" t="inlineStr">
        <is>
          <t>outside_list</t>
        </is>
      </c>
      <c r="W1038" s="11" t="n"/>
      <c r="X1038" s="11" t="n"/>
      <c r="Y1038" s="11" t="n"/>
      <c r="Z1038" s="11" t="inlineStr">
        <is>
          <t>Mr. Advocate</t>
        </is>
      </c>
      <c r="AA1038" s="11" t="inlineStr">
        <is>
          <t>2026-10-07</t>
        </is>
      </c>
      <c r="AB1038" s="11" t="inlineStr">
        <is>
          <t>name_year</t>
        </is>
      </c>
      <c r="AC1038" s="2" t="inlineStr"/>
      <c r="AD1038" s="2" t="inlineStr">
        <is>
          <t>Bandu Kesu Jagadale and Others v. Gopinath Ramchandra Inamdar and Another (1976) was overruled by Moreshwar Balkrishna Pandare and Others v. Vithal Vyanku Chavan and Others (2001).</t>
        </is>
      </c>
      <c r="AE1038" s="2" t="n"/>
      <c r="AF1038" s="11" t="inlineStr">
        <is>
          <t>created from list 1</t>
        </is>
      </c>
    </row>
    <row r="1039">
      <c r="A1039" s="11" t="inlineStr">
        <is>
          <t>L1-1038</t>
        </is>
      </c>
      <c r="B1039" s="11" t="inlineStr">
        <is>
          <t>List 1 (to ~2015)</t>
        </is>
      </c>
      <c r="C1039" s="11" t="inlineStr">
        <is>
          <t>list1</t>
        </is>
      </c>
      <c r="D1039" s="11" t="inlineStr">
        <is>
          <t>verified</t>
        </is>
      </c>
      <c r="E1039" s="11" t="inlineStr">
        <is>
          <t>overruled</t>
        </is>
      </c>
      <c r="F1039" s="2" t="inlineStr">
        <is>
          <t>Suresh Tulsidas Kailachand and Others v. Collector of Bombay and Others</t>
        </is>
      </c>
      <c r="G1039" s="11" t="inlineStr"/>
      <c r="H1039" s="11" t="inlineStr">
        <is>
          <t>unknown</t>
        </is>
      </c>
      <c r="I1039" s="2" t="inlineStr">
        <is>
          <t>(1980) 2 LLJ 81</t>
        </is>
      </c>
      <c r="J1039" s="11" t="n">
        <v>1980</v>
      </c>
      <c r="K1039" s="2" t="inlineStr">
        <is>
          <t>Employees State Insurance Corporation v. S.K. Aggarwal and Others</t>
        </is>
      </c>
      <c r="L1039" s="11" t="inlineStr">
        <is>
          <t>Supreme Court</t>
        </is>
      </c>
      <c r="M1039" s="2" t="inlineStr">
        <is>
          <t>(1998) 5 AD 588; AIR 1998 SC 2676; (1998) 94 CompCas 75; (1998) CriLJ 4027; (1998) 5 JT 233; (1998) 2 LLJ 794; (1998) 4 SCALE 328; (1998) 6 SCC 288; (1999) 2 SLJ 119; (1998) AIRSCW 2717; (1998) 6 Supreme 197</t>
        </is>
      </c>
      <c r="N1039" s="11" t="n">
        <v>1998</v>
      </c>
      <c r="O1039" s="11" t="n"/>
      <c r="P1039" s="11" t="n"/>
      <c r="Q1039" s="11" t="n"/>
      <c r="R1039" s="2" t="n"/>
      <c r="S1039" s="2" t="n"/>
      <c r="T1039" s="11" t="inlineStr"/>
      <c r="U1039" s="11" t="inlineStr"/>
      <c r="V1039" s="11" t="inlineStr">
        <is>
          <t>outside_list</t>
        </is>
      </c>
      <c r="W1039" s="11" t="n"/>
      <c r="X1039" s="11" t="n"/>
      <c r="Y1039" s="11" t="n"/>
      <c r="Z1039" s="11" t="inlineStr">
        <is>
          <t>Mr. Advocate</t>
        </is>
      </c>
      <c r="AA1039" s="11" t="inlineStr">
        <is>
          <t>2026-10-07</t>
        </is>
      </c>
      <c r="AB1039" s="11" t="inlineStr">
        <is>
          <t>name_year</t>
        </is>
      </c>
      <c r="AC1039" s="2" t="inlineStr"/>
      <c r="AD1039" s="2" t="inlineStr">
        <is>
          <t>Suresh Tulsidas Kailachand and Others v. Collector of Bombay and Others (1980) was overruled by Employees State Insurance Corporation v. S.K. Aggarwal and Others (1998).</t>
        </is>
      </c>
      <c r="AE1039" s="2" t="n"/>
      <c r="AF1039" s="11" t="inlineStr">
        <is>
          <t>created from list 1</t>
        </is>
      </c>
    </row>
    <row r="1040">
      <c r="A1040" s="11" t="inlineStr">
        <is>
          <t>L1-1039</t>
        </is>
      </c>
      <c r="B1040" s="11" t="inlineStr">
        <is>
          <t>List 1 (to ~2015)</t>
        </is>
      </c>
      <c r="C1040" s="11" t="inlineStr">
        <is>
          <t>list1</t>
        </is>
      </c>
      <c r="D1040" s="11" t="inlineStr">
        <is>
          <t>verified</t>
        </is>
      </c>
      <c r="E1040" s="11" t="inlineStr">
        <is>
          <t>overruled</t>
        </is>
      </c>
      <c r="F1040" s="2" t="inlineStr">
        <is>
          <t>Totaram Teckchand v. H.K. Choudhary, Regional Settlement Commissioner, Ministry of Rehabilitation, Govt. of India</t>
        </is>
      </c>
      <c r="G1040" s="11" t="inlineStr"/>
      <c r="H1040" s="11" t="inlineStr">
        <is>
          <t>Bombay</t>
        </is>
      </c>
      <c r="I1040" s="2" t="inlineStr">
        <is>
          <t>AIR 1960 Bom 528; (1960) 62 BOMLR 439</t>
        </is>
      </c>
      <c r="J1040" s="11" t="n">
        <v>1960</v>
      </c>
      <c r="K1040" s="2" t="inlineStr">
        <is>
          <t>The Regional Settlement Commissioner v. Sunderdas Bhasin</t>
        </is>
      </c>
      <c r="L1040" s="11" t="inlineStr">
        <is>
          <t>Supreme Court</t>
        </is>
      </c>
      <c r="M1040" s="2" t="inlineStr">
        <is>
          <t>AIR 1963 SC 181; (1963) 2 SCR 534</t>
        </is>
      </c>
      <c r="N1040" s="11" t="n">
        <v>1963</v>
      </c>
      <c r="O1040" s="11" t="n"/>
      <c r="P1040" s="11" t="n"/>
      <c r="Q1040" s="11" t="n"/>
      <c r="R1040" s="2" t="n"/>
      <c r="S1040" s="2" t="n"/>
      <c r="T1040" s="11" t="inlineStr"/>
      <c r="U1040" s="11" t="inlineStr"/>
      <c r="V1040" s="11" t="inlineStr">
        <is>
          <t>outside_list</t>
        </is>
      </c>
      <c r="W1040" s="11" t="n"/>
      <c r="X1040" s="11" t="n"/>
      <c r="Y1040" s="11" t="n"/>
      <c r="Z1040" s="11" t="inlineStr">
        <is>
          <t>Mr. Advocate</t>
        </is>
      </c>
      <c r="AA1040" s="11" t="inlineStr">
        <is>
          <t>2026-10-07</t>
        </is>
      </c>
      <c r="AB1040" s="11" t="inlineStr">
        <is>
          <t>name_year</t>
        </is>
      </c>
      <c r="AC1040" s="2" t="inlineStr"/>
      <c r="AD1040" s="2" t="inlineStr">
        <is>
          <t>Totaram Teckchand v. H.K. Choudhary, Regional Settlement Commissioner, Ministry of Rehabilitation, Govt. of India (1960) was overruled by The Regional Settlement Commissioner v. Sunderdas Bhasin (1963).</t>
        </is>
      </c>
      <c r="AE1040" s="2" t="n"/>
      <c r="AF1040" s="11" t="inlineStr">
        <is>
          <t>created from list 1</t>
        </is>
      </c>
    </row>
    <row r="1041">
      <c r="A1041" s="11" t="inlineStr">
        <is>
          <t>L1-1040</t>
        </is>
      </c>
      <c r="B1041" s="11" t="inlineStr">
        <is>
          <t>List 1 (to ~2015)</t>
        </is>
      </c>
      <c r="C1041" s="11" t="inlineStr">
        <is>
          <t>list1</t>
        </is>
      </c>
      <c r="D1041" s="11" t="inlineStr">
        <is>
          <t>verified</t>
        </is>
      </c>
      <c r="E1041" s="11" t="inlineStr">
        <is>
          <t>overruled</t>
        </is>
      </c>
      <c r="F1041" s="2" t="inlineStr">
        <is>
          <t>Bisesar House v. State of Bombay and Others</t>
        </is>
      </c>
      <c r="G1041" s="11" t="inlineStr"/>
      <c r="H1041" s="11" t="inlineStr">
        <is>
          <t>Bombay</t>
        </is>
      </c>
      <c r="I1041" s="2" t="inlineStr">
        <is>
          <t>AIR 1959 Bom 130; (1958) 60 BOMLR 1395; (1959) ILR (Bom) 620; (1958) 9 STC 654</t>
        </is>
      </c>
      <c r="J1041" s="11" t="n">
        <v>1959</v>
      </c>
      <c r="K1041" s="2" t="inlineStr">
        <is>
          <t>I.N. Subba Reddy v. Andhra University and Others</t>
        </is>
      </c>
      <c r="L1041" s="11" t="inlineStr">
        <is>
          <t>Supreme Court</t>
        </is>
      </c>
      <c r="M1041" s="2" t="inlineStr">
        <is>
          <t>AIR 1976 SC 2049; (1977) 1 SCC 554; (1976) 3 SCR 1013</t>
        </is>
      </c>
      <c r="N1041" s="11" t="n">
        <v>1976</v>
      </c>
      <c r="O1041" s="11" t="n"/>
      <c r="P1041" s="11" t="n"/>
      <c r="Q1041" s="11" t="n"/>
      <c r="R1041" s="2" t="n"/>
      <c r="S1041" s="2" t="n"/>
      <c r="T1041" s="11" t="inlineStr"/>
      <c r="U1041" s="11" t="inlineStr"/>
      <c r="V1041" s="11" t="inlineStr">
        <is>
          <t>outside_list</t>
        </is>
      </c>
      <c r="W1041" s="11" t="n"/>
      <c r="X1041" s="11" t="n"/>
      <c r="Y1041" s="11" t="n"/>
      <c r="Z1041" s="11" t="inlineStr">
        <is>
          <t>Mr. Advocate</t>
        </is>
      </c>
      <c r="AA1041" s="11" t="inlineStr">
        <is>
          <t>2026-10-07</t>
        </is>
      </c>
      <c r="AB1041" s="11" t="inlineStr">
        <is>
          <t>name_year</t>
        </is>
      </c>
      <c r="AC1041" s="2" t="inlineStr"/>
      <c r="AD1041" s="2" t="inlineStr">
        <is>
          <t>Bisesar House v. State of Bombay and Others (1959) was overruled by I.N. Subba Reddy v. Andhra University and Others (1976).</t>
        </is>
      </c>
      <c r="AE1041" s="2" t="n"/>
      <c r="AF1041" s="11" t="inlineStr">
        <is>
          <t>created from list 1</t>
        </is>
      </c>
    </row>
    <row r="1042">
      <c r="A1042" s="11" t="inlineStr">
        <is>
          <t>L1-1041</t>
        </is>
      </c>
      <c r="B1042" s="11" t="inlineStr">
        <is>
          <t>List 1 (to ~2015)</t>
        </is>
      </c>
      <c r="C1042" s="11" t="inlineStr">
        <is>
          <t>list1</t>
        </is>
      </c>
      <c r="D1042" s="11" t="inlineStr">
        <is>
          <t>verified</t>
        </is>
      </c>
      <c r="E1042" s="11" t="inlineStr">
        <is>
          <t>overruled</t>
        </is>
      </c>
      <c r="F1042" s="2" t="inlineStr">
        <is>
          <t>Sadanand Sahadeo Rawool v. Sulochana Sadanand Rawool</t>
        </is>
      </c>
      <c r="G1042" s="11" t="inlineStr"/>
      <c r="H1042" s="11" t="inlineStr">
        <is>
          <t>Bombay</t>
        </is>
      </c>
      <c r="I1042" s="2" t="inlineStr">
        <is>
          <t>AIR 1989 Bom 220; (1989) 91 BOMLR 118; (1989) MhLj 337</t>
        </is>
      </c>
      <c r="J1042" s="11" t="n">
        <v>1989</v>
      </c>
      <c r="K1042" s="2" t="inlineStr">
        <is>
          <t>Chand Dhawan (Smt) v. Jawaharlal Dhawan</t>
        </is>
      </c>
      <c r="L1042" s="11" t="inlineStr">
        <is>
          <t>Supreme Court</t>
        </is>
      </c>
      <c r="M1042" s="2" t="inlineStr">
        <is>
          <t>(1993) CriLJ 2930; (1993) 2 DMC 110; (1993) 4 JT 22; (1993) 3 SCALE 1; (1993) 3 SCC 406; (1993) 3 SCR 954</t>
        </is>
      </c>
      <c r="N1042" s="11" t="n">
        <v>1993</v>
      </c>
      <c r="O1042" s="11" t="n"/>
      <c r="P1042" s="11" t="n"/>
      <c r="Q1042" s="11" t="n"/>
      <c r="R1042" s="2" t="n"/>
      <c r="S1042" s="2" t="n"/>
      <c r="T1042" s="11" t="inlineStr"/>
      <c r="U1042" s="11" t="inlineStr"/>
      <c r="V1042" s="11" t="inlineStr">
        <is>
          <t>outside_list</t>
        </is>
      </c>
      <c r="W1042" s="11" t="n"/>
      <c r="X1042" s="11" t="n"/>
      <c r="Y1042" s="11" t="n"/>
      <c r="Z1042" s="11" t="inlineStr">
        <is>
          <t>Mr. Advocate</t>
        </is>
      </c>
      <c r="AA1042" s="11" t="inlineStr">
        <is>
          <t>2026-10-07</t>
        </is>
      </c>
      <c r="AB1042" s="11" t="inlineStr">
        <is>
          <t>name_year</t>
        </is>
      </c>
      <c r="AC1042" s="2" t="inlineStr"/>
      <c r="AD1042" s="2" t="inlineStr">
        <is>
          <t>Sadanand Sahadeo Rawool v. Sulochana Sadanand Rawool (1989) was overruled by Chand Dhawan (Smt) v. Jawaharlal Dhawan (1993).</t>
        </is>
      </c>
      <c r="AE1042" s="2" t="n"/>
      <c r="AF1042" s="11" t="inlineStr">
        <is>
          <t>created from list 1</t>
        </is>
      </c>
    </row>
    <row r="1043">
      <c r="A1043" s="11" t="inlineStr">
        <is>
          <t>L1-1042</t>
        </is>
      </c>
      <c r="B1043" s="11" t="inlineStr">
        <is>
          <t>List 1 (to ~2015)</t>
        </is>
      </c>
      <c r="C1043" s="11" t="inlineStr">
        <is>
          <t>list1</t>
        </is>
      </c>
      <c r="D1043" s="11" t="inlineStr">
        <is>
          <t>verified</t>
        </is>
      </c>
      <c r="E1043" s="11" t="inlineStr">
        <is>
          <t>overruled</t>
        </is>
      </c>
      <c r="F1043" s="2" t="inlineStr">
        <is>
          <t>Paritosh Bhupeshkumar Sheth and Others etc. v. The Maharashtra State Board of Secondary and Higher Secondary Education, Pune and Another</t>
        </is>
      </c>
      <c r="G1043" s="11" t="inlineStr"/>
      <c r="H1043" s="11" t="inlineStr">
        <is>
          <t>Bombay</t>
        </is>
      </c>
      <c r="I1043" s="2" t="inlineStr">
        <is>
          <t>AIR 1981 Bom 95; (1981) MhLj 587</t>
        </is>
      </c>
      <c r="J1043" s="11" t="n">
        <v>1981</v>
      </c>
      <c r="K1043" s="2" t="inlineStr">
        <is>
          <t>Goa, Daman and Diu Board of Secondary Education v. Kumari Hema Laad and Others</t>
        </is>
      </c>
      <c r="L1043" s="11" t="inlineStr">
        <is>
          <t>Supreme Court</t>
        </is>
      </c>
      <c r="M1043" s="2" t="inlineStr">
        <is>
          <t>AIR 1984 SC 1584; (1984) 2 SCALE 171; (1984) 4 SCC 58; (1985) 1 SCR 430; (1984) 16 UJ 1108</t>
        </is>
      </c>
      <c r="N1043" s="11" t="n">
        <v>1984</v>
      </c>
      <c r="O1043" s="11" t="n"/>
      <c r="P1043" s="11" t="n"/>
      <c r="Q1043" s="11" t="n"/>
      <c r="R1043" s="2" t="n"/>
      <c r="S1043" s="2" t="n"/>
      <c r="T1043" s="11" t="inlineStr"/>
      <c r="U1043" s="11" t="inlineStr"/>
      <c r="V1043" s="11" t="inlineStr">
        <is>
          <t>outside_list</t>
        </is>
      </c>
      <c r="W1043" s="11" t="n"/>
      <c r="X1043" s="11" t="n"/>
      <c r="Y1043" s="11" t="n"/>
      <c r="Z1043" s="11" t="inlineStr">
        <is>
          <t>Mr. Advocate</t>
        </is>
      </c>
      <c r="AA1043" s="11" t="inlineStr">
        <is>
          <t>2026-10-07</t>
        </is>
      </c>
      <c r="AB1043" s="11" t="inlineStr">
        <is>
          <t>name_year</t>
        </is>
      </c>
      <c r="AC1043" s="2" t="inlineStr"/>
      <c r="AD1043" s="2" t="inlineStr">
        <is>
          <t>Paritosh Bhupeshkumar Sheth and Others etc. v. The Maharashtra State Board of Secondary and Higher Secondary Education, Pune and Another (1981) was overruled by Goa, Daman and Diu Board of Secondary Education v. Kumari Hema Laad and Others (1984).</t>
        </is>
      </c>
      <c r="AE1043" s="2" t="n"/>
      <c r="AF1043" s="11" t="inlineStr">
        <is>
          <t>created from list 1</t>
        </is>
      </c>
    </row>
    <row r="1044">
      <c r="A1044" s="11" t="inlineStr">
        <is>
          <t>L1-1043</t>
        </is>
      </c>
      <c r="B1044" s="11" t="inlineStr">
        <is>
          <t>List 1 (to ~2015)</t>
        </is>
      </c>
      <c r="C1044" s="11" t="inlineStr">
        <is>
          <t>list1</t>
        </is>
      </c>
      <c r="D1044" s="11" t="inlineStr">
        <is>
          <t>verified</t>
        </is>
      </c>
      <c r="E1044" s="11" t="inlineStr">
        <is>
          <t>overruled</t>
        </is>
      </c>
      <c r="F1044" s="2" t="inlineStr">
        <is>
          <t>Annat Gopalrao Shende v. Jankibai Gopalrao Shende and Others</t>
        </is>
      </c>
      <c r="G1044" s="11" t="inlineStr"/>
      <c r="H1044" s="11" t="inlineStr">
        <is>
          <t>Bombay</t>
        </is>
      </c>
      <c r="I1044" s="2" t="inlineStr">
        <is>
          <t>AIR 1984 Bom 319; (1983) 86 BOMLR 123; (1984) MhLj 183</t>
        </is>
      </c>
      <c r="J1044" s="11" t="n">
        <v>1984</v>
      </c>
      <c r="K1044" s="2" t="inlineStr">
        <is>
          <t>Narashimaha Murthy v. Smt. Susheelabai and others</t>
        </is>
      </c>
      <c r="L1044" s="11" t="inlineStr">
        <is>
          <t>Supreme Court</t>
        </is>
      </c>
      <c r="M1044" s="2" t="inlineStr">
        <is>
          <t>(1996) 4 AD 243; AIR 1996 SC 1826; (1996) 4 JT 300; (1996) 113 PLR 376; (1996) 3 SCALE 625; (1996) 3 SCC 644; (1996) 1 SCR 414 Supp</t>
        </is>
      </c>
      <c r="N1044" s="11" t="n">
        <v>1996</v>
      </c>
      <c r="O1044" s="11" t="n"/>
      <c r="P1044" s="11" t="n"/>
      <c r="Q1044" s="11" t="n"/>
      <c r="R1044" s="2" t="n"/>
      <c r="S1044" s="2" t="n"/>
      <c r="T1044" s="11" t="inlineStr"/>
      <c r="U1044" s="11" t="inlineStr"/>
      <c r="V1044" s="11" t="inlineStr">
        <is>
          <t>outside_list</t>
        </is>
      </c>
      <c r="W1044" s="11" t="n"/>
      <c r="X1044" s="11" t="n"/>
      <c r="Y1044" s="11" t="n"/>
      <c r="Z1044" s="11" t="inlineStr">
        <is>
          <t>Mr. Advocate</t>
        </is>
      </c>
      <c r="AA1044" s="11" t="inlineStr">
        <is>
          <t>2026-10-07</t>
        </is>
      </c>
      <c r="AB1044" s="11" t="inlineStr">
        <is>
          <t>name_year</t>
        </is>
      </c>
      <c r="AC1044" s="2" t="inlineStr"/>
      <c r="AD1044" s="2" t="inlineStr">
        <is>
          <t>Annat Gopalrao Shende v. Jankibai Gopalrao Shende and Others (1984) was overruled by Narashimaha Murthy v. Smt. Susheelabai and others (1996).</t>
        </is>
      </c>
      <c r="AE1044" s="2" t="n"/>
      <c r="AF1044" s="11" t="inlineStr">
        <is>
          <t>created from list 1</t>
        </is>
      </c>
    </row>
    <row r="1045">
      <c r="A1045" s="11" t="inlineStr">
        <is>
          <t>L1-1044</t>
        </is>
      </c>
      <c r="B1045" s="11" t="inlineStr">
        <is>
          <t>List 1 (to ~2015)</t>
        </is>
      </c>
      <c r="C1045" s="11" t="inlineStr">
        <is>
          <t>list1</t>
        </is>
      </c>
      <c r="D1045" s="11" t="inlineStr">
        <is>
          <t>verified</t>
        </is>
      </c>
      <c r="E1045" s="11" t="inlineStr">
        <is>
          <t>overruled</t>
        </is>
      </c>
      <c r="F1045" s="2" t="inlineStr">
        <is>
          <t>Reliance Energy Ltd. v. MSRDC Ltd. and Others</t>
        </is>
      </c>
      <c r="G1045" s="11" t="inlineStr"/>
      <c r="H1045" s="11" t="inlineStr">
        <is>
          <t>unknown</t>
        </is>
      </c>
      <c r="I1045" s="2" t="inlineStr">
        <is>
          <t>(2007) 4 ALLMR 566; (2007) 4 BomCR 93; (2007) 109 BOMLR 1042; (2007) 5 MhLj 769</t>
        </is>
      </c>
      <c r="J1045" s="11" t="n">
        <v>2007</v>
      </c>
      <c r="K1045" s="2" t="inlineStr">
        <is>
          <t>Reliance Energy Limited and Another v. Maharashtra State Road Development Corporation Ltd. and Others</t>
        </is>
      </c>
      <c r="L1045" s="11" t="inlineStr">
        <is>
          <t>Supreme Court</t>
        </is>
      </c>
      <c r="M1045" s="2" t="inlineStr">
        <is>
          <t>(2007) 4 BC 391; (2007) 2 CTLJ 140; (2007) 11 JT 1; (2007) 11 SCALE 49; (2007) 8 SCC 1; (2008) 85 SCL 320; (2007) 9 SCR 853</t>
        </is>
      </c>
      <c r="N1045" s="11" t="n">
        <v>2007</v>
      </c>
      <c r="O1045" s="11" t="n"/>
      <c r="P1045" s="11" t="n"/>
      <c r="Q1045" s="11" t="n"/>
      <c r="R1045" s="2" t="n"/>
      <c r="S1045" s="2" t="n"/>
      <c r="T1045" s="11" t="inlineStr"/>
      <c r="U1045" s="11" t="inlineStr"/>
      <c r="V1045" s="11" t="inlineStr">
        <is>
          <t>outside_list</t>
        </is>
      </c>
      <c r="W1045" s="11" t="n"/>
      <c r="X1045" s="11" t="n"/>
      <c r="Y1045" s="11" t="n"/>
      <c r="Z1045" s="11" t="inlineStr">
        <is>
          <t>Mr. Advocate</t>
        </is>
      </c>
      <c r="AA1045" s="11" t="inlineStr">
        <is>
          <t>2026-10-07</t>
        </is>
      </c>
      <c r="AB1045" s="11" t="inlineStr">
        <is>
          <t>name_year</t>
        </is>
      </c>
      <c r="AC1045" s="2" t="inlineStr"/>
      <c r="AD1045" s="2" t="inlineStr">
        <is>
          <t>Reliance Energy Ltd. v. MSRDC Ltd. and Others (2007) was overruled by Reliance Energy Limited and Another v. Maharashtra State Road Development Corporation Ltd. and Others (2007).</t>
        </is>
      </c>
      <c r="AE1045" s="2" t="n"/>
      <c r="AF1045" s="11" t="inlineStr">
        <is>
          <t>created from list 1</t>
        </is>
      </c>
    </row>
    <row r="1046">
      <c r="A1046" s="11" t="inlineStr">
        <is>
          <t>L1-1045</t>
        </is>
      </c>
      <c r="B1046" s="11" t="inlineStr">
        <is>
          <t>List 1 (to ~2015)</t>
        </is>
      </c>
      <c r="C1046" s="11" t="inlineStr">
        <is>
          <t>list1</t>
        </is>
      </c>
      <c r="D1046" s="11" t="inlineStr">
        <is>
          <t>verified</t>
        </is>
      </c>
      <c r="E1046" s="11" t="inlineStr">
        <is>
          <t>reversed_on_appeal</t>
        </is>
      </c>
      <c r="F1046" s="2" t="inlineStr">
        <is>
          <t>Union of India (UOI) and Others v. Godrej Soaps (P) Ltd. and Another</t>
        </is>
      </c>
      <c r="G1046" s="11" t="inlineStr"/>
      <c r="H1046" s="11" t="inlineStr">
        <is>
          <t>unknown</t>
        </is>
      </c>
      <c r="I1046" s="2" t="inlineStr">
        <is>
          <t>(1987) 2 BomCR 282; (1986) 88 BOMLR 502; (1986) 10 ECC 343; (1990) ECR 192; (1987) 11 ECR 44</t>
        </is>
      </c>
      <c r="J1046" s="11" t="n">
        <v>1986</v>
      </c>
      <c r="K1046" s="2" t="inlineStr">
        <is>
          <t>Union of India (UOI) v. Godrej Soaps Pvt. Ltd. and Another</t>
        </is>
      </c>
      <c r="L1046" s="11" t="inlineStr">
        <is>
          <t>Supreme Court</t>
        </is>
      </c>
      <c r="M1046" s="2" t="inlineStr">
        <is>
          <t>AIR 1987 SC 175; (1986) 10 ECC 396; (1986) ECR 1; (1986) 26 ELT 465; (1986) JT 408; (1986) 2 SCALE 409; (1986) 4 SCC 260; (1986) 3 SCR 771; (1986) 2 UJ 734</t>
        </is>
      </c>
      <c r="N1046" s="11" t="n">
        <v>1987</v>
      </c>
      <c r="O1046" s="11" t="n"/>
      <c r="P1046" s="11" t="n"/>
      <c r="Q1046" s="11" t="n"/>
      <c r="R1046" s="2" t="n"/>
      <c r="S1046" s="2" t="n"/>
      <c r="T1046" s="11" t="inlineStr">
        <is>
          <t>yes</t>
        </is>
      </c>
      <c r="U1046" s="11" t="inlineStr"/>
      <c r="V1046" s="11" t="inlineStr">
        <is>
          <t>outside_list</t>
        </is>
      </c>
      <c r="W1046" s="11" t="n"/>
      <c r="X1046" s="11" t="n"/>
      <c r="Y1046" s="11" t="n"/>
      <c r="Z1046" s="11" t="inlineStr">
        <is>
          <t>Mr. Advocate</t>
        </is>
      </c>
      <c r="AA1046" s="11" t="inlineStr">
        <is>
          <t>2026-10-07</t>
        </is>
      </c>
      <c r="AB1046" s="11" t="inlineStr">
        <is>
          <t>name_year</t>
        </is>
      </c>
      <c r="AC1046" s="2" t="inlineStr"/>
      <c r="AD1046" s="2" t="inlineStr">
        <is>
          <t>Union of India (UOI) and Others v. Godrej Soaps (P) Ltd. and Another (1986) was reversed on appeal by the Supreme Court in Union of India (UOI) v. Godrej Soaps Pvt. Ltd. and Another (1987).</t>
        </is>
      </c>
      <c r="AE1046" s="2" t="n"/>
      <c r="AF1046" s="11" t="inlineStr">
        <is>
          <t>created from list 1</t>
        </is>
      </c>
    </row>
    <row r="1047">
      <c r="A1047" s="11" t="inlineStr">
        <is>
          <t>L1-1046</t>
        </is>
      </c>
      <c r="B1047" s="11" t="inlineStr">
        <is>
          <t>List 1 (to ~2015)</t>
        </is>
      </c>
      <c r="C1047" s="11" t="inlineStr">
        <is>
          <t>list1</t>
        </is>
      </c>
      <c r="D1047" s="11" t="inlineStr">
        <is>
          <t>verified</t>
        </is>
      </c>
      <c r="E1047" s="11" t="inlineStr">
        <is>
          <t>overruled</t>
        </is>
      </c>
      <c r="F1047" s="2" t="inlineStr">
        <is>
          <t>Abhinava Sahakar Education Society v. The State of Maharashtra and Others</t>
        </is>
      </c>
      <c r="G1047" s="11" t="inlineStr"/>
      <c r="H1047" s="11" t="inlineStr">
        <is>
          <t>unknown</t>
        </is>
      </c>
      <c r="I1047" s="2" t="inlineStr">
        <is>
          <t>(2006) 1 BomCR 312</t>
        </is>
      </c>
      <c r="J1047" s="11" t="n">
        <v>2006</v>
      </c>
      <c r="K1047" s="2" t="inlineStr">
        <is>
          <t>MIG Cricket Club v. Abhinav Sahakar Education Society and Others</t>
        </is>
      </c>
      <c r="L1047" s="11" t="inlineStr">
        <is>
          <t>Supreme Court</t>
        </is>
      </c>
      <c r="M1047" s="2" t="inlineStr">
        <is>
          <t>(2011) 10 JT 394; (2012) 1 RCR(Civil) 715; (2011) 10 SCALE 8; (2011) 9 SCC 97; (2011) 11 SCR 141; (2011) 5 UJ 3277</t>
        </is>
      </c>
      <c r="N1047" s="11" t="n">
        <v>2011</v>
      </c>
      <c r="O1047" s="11" t="n"/>
      <c r="P1047" s="11" t="n"/>
      <c r="Q1047" s="11" t="n"/>
      <c r="R1047" s="2" t="n"/>
      <c r="S1047" s="2" t="n"/>
      <c r="T1047" s="11" t="inlineStr"/>
      <c r="U1047" s="11" t="inlineStr"/>
      <c r="V1047" s="11" t="inlineStr">
        <is>
          <t>outside_list</t>
        </is>
      </c>
      <c r="W1047" s="11" t="n"/>
      <c r="X1047" s="11" t="n"/>
      <c r="Y1047" s="11" t="n"/>
      <c r="Z1047" s="11" t="inlineStr">
        <is>
          <t>Mr. Advocate</t>
        </is>
      </c>
      <c r="AA1047" s="11" t="inlineStr">
        <is>
          <t>2026-10-07</t>
        </is>
      </c>
      <c r="AB1047" s="11" t="inlineStr">
        <is>
          <t>name_year</t>
        </is>
      </c>
      <c r="AC1047" s="2" t="inlineStr"/>
      <c r="AD1047" s="2" t="inlineStr">
        <is>
          <t>Abhinava Sahakar Education Society v. The State of Maharashtra and Others (2006) was overruled by MIG Cricket Club v. Abhinav Sahakar Education Society and Others (2011).</t>
        </is>
      </c>
      <c r="AE1047" s="2" t="n"/>
      <c r="AF1047" s="11" t="inlineStr">
        <is>
          <t>created from list 1</t>
        </is>
      </c>
    </row>
    <row r="1048">
      <c r="A1048" s="11" t="inlineStr">
        <is>
          <t>L1-1047</t>
        </is>
      </c>
      <c r="B1048" s="11" t="inlineStr">
        <is>
          <t>List 1 (to ~2015)</t>
        </is>
      </c>
      <c r="C1048" s="11" t="inlineStr">
        <is>
          <t>list1</t>
        </is>
      </c>
      <c r="D1048" s="11" t="inlineStr">
        <is>
          <t>verified</t>
        </is>
      </c>
      <c r="E1048" s="11" t="inlineStr">
        <is>
          <t>reversed_on_appeal</t>
        </is>
      </c>
      <c r="F1048" s="2" t="inlineStr">
        <is>
          <t>Public Concern for Governance Trust Charitable v. The State of Maharashtra and Others</t>
        </is>
      </c>
      <c r="G1048" s="11" t="inlineStr"/>
      <c r="H1048" s="11" t="inlineStr">
        <is>
          <t>unknown</t>
        </is>
      </c>
      <c r="I1048" s="2" t="inlineStr"/>
      <c r="J1048" s="11" t="n"/>
      <c r="K1048" s="2" t="inlineStr">
        <is>
          <t>State of Maharashtra v. Public Concern for Governance Trust and Others</t>
        </is>
      </c>
      <c r="L1048" s="11" t="inlineStr">
        <is>
          <t>unknown</t>
        </is>
      </c>
      <c r="M1048" s="2" t="inlineStr">
        <is>
          <t>(2007) 1 SCALE 72; (2007) 3 SCC 587; (2007) 2 SCR 87; (2007) AIRSCW 474; (2007) 1 Supreme 8</t>
        </is>
      </c>
      <c r="N1048" s="11" t="n">
        <v>2007</v>
      </c>
      <c r="O1048" s="11" t="n"/>
      <c r="P1048" s="11" t="n"/>
      <c r="Q1048" s="11" t="n"/>
      <c r="R1048" s="2" t="n"/>
      <c r="S1048" s="2" t="n"/>
      <c r="T1048" s="11" t="inlineStr">
        <is>
          <t>yes</t>
        </is>
      </c>
      <c r="U1048" s="11" t="inlineStr">
        <is>
          <t>no_citation_or_year_for_overruled, needs_citation_or_year</t>
        </is>
      </c>
      <c r="V1048" s="11" t="inlineStr">
        <is>
          <t>outside_list</t>
        </is>
      </c>
      <c r="W1048" s="11" t="n"/>
      <c r="X1048" s="11" t="n"/>
      <c r="Y1048" s="11" t="n"/>
      <c r="Z1048" s="11" t="inlineStr">
        <is>
          <t>Mr. Advocate</t>
        </is>
      </c>
      <c r="AA1048" s="11" t="inlineStr">
        <is>
          <t>2026-10-07</t>
        </is>
      </c>
      <c r="AB1048" s="11" t="inlineStr">
        <is>
          <t>weak</t>
        </is>
      </c>
      <c r="AC1048" s="2" t="inlineStr"/>
      <c r="AD1048" s="2" t="inlineStr">
        <is>
          <t>Public Concern for Governance Trust Charitable v. The State of Maharashtra and Others was reversed on appeal by the Supreme Court in State of Maharashtra v. Public Concern for Governance Trust and Others (2007).</t>
        </is>
      </c>
      <c r="AE1048" s="2" t="n"/>
      <c r="AF1048" s="11" t="inlineStr">
        <is>
          <t>created from list 1</t>
        </is>
      </c>
    </row>
    <row r="1049">
      <c r="A1049" s="11" t="inlineStr">
        <is>
          <t>L1-1048</t>
        </is>
      </c>
      <c r="B1049" s="11" t="inlineStr">
        <is>
          <t>List 1 (to ~2015)</t>
        </is>
      </c>
      <c r="C1049" s="11" t="inlineStr">
        <is>
          <t>list1</t>
        </is>
      </c>
      <c r="D1049" s="11" t="inlineStr">
        <is>
          <t>verified</t>
        </is>
      </c>
      <c r="E1049" s="11" t="inlineStr">
        <is>
          <t>overruled</t>
        </is>
      </c>
      <c r="F1049" s="2" t="inlineStr">
        <is>
          <t>Kirloskar Pneumatic Co. Ltd. v. V.A. More and others</t>
        </is>
      </c>
      <c r="G1049" s="11" t="inlineStr"/>
      <c r="H1049" s="11" t="inlineStr">
        <is>
          <t>unknown</t>
        </is>
      </c>
      <c r="I1049" s="2" t="inlineStr">
        <is>
          <t>(1993) 1 BomCR 560; (1992) 94 BOMLR 297; (1992) 65 FLR 790; (1993) 3 LLJ 320</t>
        </is>
      </c>
      <c r="J1049" s="11" t="n">
        <v>1992</v>
      </c>
      <c r="K1049" s="2" t="inlineStr">
        <is>
          <t>J.K. Industries Ltd. and Others v. Chief Inspector of Factories and Boilers and Others</t>
        </is>
      </c>
      <c r="L1049" s="11" t="inlineStr">
        <is>
          <t>Supreme Court</t>
        </is>
      </c>
      <c r="M1049" s="2" t="inlineStr">
        <is>
          <t>(1996) 7 AD 125; (1997) 88 CompCas 285; (1996) 74 FLR 2608; (1996) 9 JT 27; (1997) 1 LLJ 722; (1996) 7 SCALE 247; (1996) 6 SCC 665; (1997) SCC(L&amp;S) 1; (1996) 6 SCR 798 Supp; (1996) 89 TAXMAN 321</t>
        </is>
      </c>
      <c r="N1049" s="11" t="n">
        <v>1996</v>
      </c>
      <c r="O1049" s="11" t="n"/>
      <c r="P1049" s="11" t="n"/>
      <c r="Q1049" s="11" t="n"/>
      <c r="R1049" s="2" t="n"/>
      <c r="S1049" s="2" t="n"/>
      <c r="T1049" s="11" t="inlineStr"/>
      <c r="U1049" s="11" t="inlineStr"/>
      <c r="V1049" s="11" t="inlineStr">
        <is>
          <t>outside_list</t>
        </is>
      </c>
      <c r="W1049" s="11" t="n"/>
      <c r="X1049" s="11" t="n"/>
      <c r="Y1049" s="11" t="n"/>
      <c r="Z1049" s="11" t="inlineStr">
        <is>
          <t>Mr. Advocate</t>
        </is>
      </c>
      <c r="AA1049" s="11" t="inlineStr">
        <is>
          <t>2026-10-07</t>
        </is>
      </c>
      <c r="AB1049" s="11" t="inlineStr">
        <is>
          <t>name_year</t>
        </is>
      </c>
      <c r="AC1049" s="2" t="inlineStr"/>
      <c r="AD1049" s="2" t="inlineStr">
        <is>
          <t>Kirloskar Pneumatic Co. Ltd. v. V.A. More and others (1992) was overruled by J.K. Industries Ltd. and Others v. Chief Inspector of Factories and Boilers and Others (1996).</t>
        </is>
      </c>
      <c r="AE1049" s="2" t="n"/>
      <c r="AF1049" s="11" t="inlineStr">
        <is>
          <t>created from list 1</t>
        </is>
      </c>
    </row>
    <row r="1050">
      <c r="A1050" s="11" t="inlineStr">
        <is>
          <t>L1-1049</t>
        </is>
      </c>
      <c r="B1050" s="11" t="inlineStr">
        <is>
          <t>List 1 (to ~2015)</t>
        </is>
      </c>
      <c r="C1050" s="11" t="inlineStr">
        <is>
          <t>list1</t>
        </is>
      </c>
      <c r="D1050" s="11" t="inlineStr">
        <is>
          <t>verified</t>
        </is>
      </c>
      <c r="E1050" s="11" t="inlineStr">
        <is>
          <t>overruled</t>
        </is>
      </c>
      <c r="F1050" s="2" t="inlineStr">
        <is>
          <t>Dhirendra Bhanu Sanghvi v. ICDS Limited</t>
        </is>
      </c>
      <c r="G1050" s="11" t="inlineStr"/>
      <c r="H1050" s="11" t="inlineStr">
        <is>
          <t>unknown</t>
        </is>
      </c>
      <c r="I1050" s="2" t="inlineStr">
        <is>
          <t>(2003) 3 ARBLR 82; (2003) 5 BomCR 161; (2003) 3 MhLj 536</t>
        </is>
      </c>
      <c r="J1050" s="11" t="n">
        <v>2003</v>
      </c>
      <c r="K1050" s="2" t="inlineStr">
        <is>
          <t>Paramjeet Singh Patheja v. ICDS Ltd.</t>
        </is>
      </c>
      <c r="L1050" s="11" t="inlineStr">
        <is>
          <t>Supreme Court</t>
        </is>
      </c>
      <c r="M1050" s="2" t="inlineStr">
        <is>
          <t>AIR 2007 SC 168; (2006) 4 ARBLR 202; (2006) 6 CompLJ 425; (2006) 5 CTC 357; (2006) 10 JT 41; (2006) 11 SCALE 459; (2006) 8 SCR 178 Supp</t>
        </is>
      </c>
      <c r="N1050" s="11" t="n">
        <v>2007</v>
      </c>
      <c r="O1050" s="11" t="n"/>
      <c r="P1050" s="11" t="n"/>
      <c r="Q1050" s="11" t="n"/>
      <c r="R1050" s="2" t="n"/>
      <c r="S1050" s="2" t="n"/>
      <c r="T1050" s="11" t="inlineStr"/>
      <c r="U1050" s="11" t="inlineStr"/>
      <c r="V1050" s="11" t="inlineStr">
        <is>
          <t>outside_list</t>
        </is>
      </c>
      <c r="W1050" s="11" t="n"/>
      <c r="X1050" s="11" t="n"/>
      <c r="Y1050" s="11" t="n"/>
      <c r="Z1050" s="11" t="inlineStr">
        <is>
          <t>Mr. Advocate</t>
        </is>
      </c>
      <c r="AA1050" s="11" t="inlineStr">
        <is>
          <t>2026-10-07</t>
        </is>
      </c>
      <c r="AB1050" s="11" t="inlineStr">
        <is>
          <t>name_year</t>
        </is>
      </c>
      <c r="AC1050" s="2" t="inlineStr"/>
      <c r="AD1050" s="2" t="inlineStr">
        <is>
          <t>Dhirendra Bhanu Sanghvi v. ICDS Limited (2003) was overruled by Paramjeet Singh Patheja v. ICDS Ltd. (2007).</t>
        </is>
      </c>
      <c r="AE1050" s="2" t="n"/>
      <c r="AF1050" s="11" t="inlineStr">
        <is>
          <t>created from list 1</t>
        </is>
      </c>
    </row>
    <row r="1051">
      <c r="A1051" s="11" t="inlineStr">
        <is>
          <t>L1-1050</t>
        </is>
      </c>
      <c r="B1051" s="11" t="inlineStr">
        <is>
          <t>List 1 (to ~2015)</t>
        </is>
      </c>
      <c r="C1051" s="11" t="inlineStr">
        <is>
          <t>list1</t>
        </is>
      </c>
      <c r="D1051" s="11" t="inlineStr">
        <is>
          <t>verified</t>
        </is>
      </c>
      <c r="E1051" s="11" t="inlineStr">
        <is>
          <t>overruled</t>
        </is>
      </c>
      <c r="F1051" s="2" t="inlineStr">
        <is>
          <t>The Government of Goa and The Dy. Collector South-II and Land Acquisition Officer v. Ivo Agnelo Santimano Fernandes, Herbert Santimano Fernandes, Nancy Fernandes Vieira Menezes, Filomena Vieira Menezes, Celina Barbosa Fernandes and Ramira Fernandes</t>
        </is>
      </c>
      <c r="G1051" s="11" t="inlineStr"/>
      <c r="H1051" s="11" t="inlineStr">
        <is>
          <t>unknown</t>
        </is>
      </c>
      <c r="I1051" s="2" t="inlineStr">
        <is>
          <t>(2003) 2 BomCR 434; (2003) 1 BOMLR 266; (2003) 1 MhLj 703</t>
        </is>
      </c>
      <c r="J1051" s="11" t="n">
        <v>2003</v>
      </c>
      <c r="K1051" s="2" t="inlineStr">
        <is>
          <t>Ivo Agnelo Santimano Fernandes and Others v. Government of Goa and Another</t>
        </is>
      </c>
      <c r="L1051" s="11" t="inlineStr">
        <is>
          <t>Supreme Court</t>
        </is>
      </c>
      <c r="M1051" s="2" t="inlineStr">
        <is>
          <t>(2011) 5 SCALE 252; (2011) 11 SCC 506; (2011) 2 SCR 1142</t>
        </is>
      </c>
      <c r="N1051" s="11" t="n">
        <v>2011</v>
      </c>
      <c r="O1051" s="11" t="n"/>
      <c r="P1051" s="11" t="n"/>
      <c r="Q1051" s="11" t="n"/>
      <c r="R1051" s="2" t="n"/>
      <c r="S1051" s="2" t="n"/>
      <c r="T1051" s="11" t="inlineStr"/>
      <c r="U1051" s="11" t="inlineStr"/>
      <c r="V1051" s="11" t="inlineStr">
        <is>
          <t>outside_list</t>
        </is>
      </c>
      <c r="W1051" s="11" t="n"/>
      <c r="X1051" s="11" t="n"/>
      <c r="Y1051" s="11" t="n"/>
      <c r="Z1051" s="11" t="inlineStr">
        <is>
          <t>Mr. Advocate</t>
        </is>
      </c>
      <c r="AA1051" s="11" t="inlineStr">
        <is>
          <t>2026-10-07</t>
        </is>
      </c>
      <c r="AB1051" s="11" t="inlineStr">
        <is>
          <t>name_year</t>
        </is>
      </c>
      <c r="AC1051" s="2" t="inlineStr"/>
      <c r="AD1051" s="2" t="inlineStr">
        <is>
          <t>The Government of Goa and The Dy. Collector South-II and Land Acquisition Officer v. Ivo Agnelo Santimano Fernandes, Herbert Santimano Fernandes, Nancy Fernandes Vieira Menezes, Filomena Vieira Menezes, Celina Barbosa Fernandes and Ramira Fernandes (2003) was overruled by Ivo Agnelo Santimano Fernandes and Others v. Government of Goa and Another (2011).</t>
        </is>
      </c>
      <c r="AE1051" s="2" t="n"/>
      <c r="AF1051" s="11" t="inlineStr">
        <is>
          <t>created from list 1</t>
        </is>
      </c>
    </row>
    <row r="1052">
      <c r="A1052" s="11" t="inlineStr">
        <is>
          <t>L1-1051</t>
        </is>
      </c>
      <c r="B1052" s="11" t="inlineStr">
        <is>
          <t>List 1 (to ~2015)</t>
        </is>
      </c>
      <c r="C1052" s="11" t="inlineStr">
        <is>
          <t>list1</t>
        </is>
      </c>
      <c r="D1052" s="11" t="inlineStr">
        <is>
          <t>verified</t>
        </is>
      </c>
      <c r="E1052" s="11" t="inlineStr">
        <is>
          <t>overruled</t>
        </is>
      </c>
      <c r="F1052" s="2" t="inlineStr">
        <is>
          <t>Victory Plastics Pvt. Ltd. v. Collector of Customs</t>
        </is>
      </c>
      <c r="G1052" s="11" t="inlineStr"/>
      <c r="H1052" s="11" t="inlineStr">
        <is>
          <t>unknown</t>
        </is>
      </c>
      <c r="I1052" s="2" t="inlineStr">
        <is>
          <t>(1993) 48 ECR 381; (1993) 67 ELT 467</t>
        </is>
      </c>
      <c r="J1052" s="11" t="n">
        <v>1993</v>
      </c>
      <c r="K1052" s="2" t="inlineStr">
        <is>
          <t>Union of India (UOI) v. Victory Plastic Pvt. Ltd. and Another</t>
        </is>
      </c>
      <c r="L1052" s="11" t="inlineStr">
        <is>
          <t>Supreme Court</t>
        </is>
      </c>
      <c r="M1052" s="2" t="inlineStr">
        <is>
          <t>(1996) 3 AD 64; (1996) 83 ELT 481; (1996) 2 SCALE 697; (1996) 8 SCC 41; (1996) 2 SCR 568</t>
        </is>
      </c>
      <c r="N1052" s="11" t="n">
        <v>1996</v>
      </c>
      <c r="O1052" s="11" t="n"/>
      <c r="P1052" s="11" t="n"/>
      <c r="Q1052" s="11" t="n"/>
      <c r="R1052" s="2" t="n"/>
      <c r="S1052" s="2" t="n"/>
      <c r="T1052" s="11" t="inlineStr"/>
      <c r="U1052" s="11" t="inlineStr"/>
      <c r="V1052" s="11" t="inlineStr">
        <is>
          <t>outside_list</t>
        </is>
      </c>
      <c r="W1052" s="11" t="n"/>
      <c r="X1052" s="11" t="n"/>
      <c r="Y1052" s="11" t="n"/>
      <c r="Z1052" s="11" t="inlineStr">
        <is>
          <t>Mr. Advocate</t>
        </is>
      </c>
      <c r="AA1052" s="11" t="inlineStr">
        <is>
          <t>2026-10-07</t>
        </is>
      </c>
      <c r="AB1052" s="11" t="inlineStr">
        <is>
          <t>name_year</t>
        </is>
      </c>
      <c r="AC1052" s="2" t="inlineStr"/>
      <c r="AD1052" s="2" t="inlineStr">
        <is>
          <t>Victory Plastics Pvt. Ltd. v. Collector of Customs (1993) was overruled by Union of India (UOI) v. Victory Plastic Pvt. Ltd. and Another (1996).</t>
        </is>
      </c>
      <c r="AE1052" s="2" t="n"/>
      <c r="AF1052" s="11" t="inlineStr">
        <is>
          <t>created from list 1</t>
        </is>
      </c>
    </row>
    <row r="1053">
      <c r="A1053" s="11" t="inlineStr">
        <is>
          <t>L1-1052</t>
        </is>
      </c>
      <c r="B1053" s="11" t="inlineStr">
        <is>
          <t>List 1 (to ~2015)</t>
        </is>
      </c>
      <c r="C1053" s="11" t="inlineStr">
        <is>
          <t>list1</t>
        </is>
      </c>
      <c r="D1053" s="11" t="inlineStr">
        <is>
          <t>verified</t>
        </is>
      </c>
      <c r="E1053" s="11" t="inlineStr">
        <is>
          <t>reversed_on_appeal</t>
        </is>
      </c>
      <c r="F1053" s="2" t="inlineStr">
        <is>
          <t>Murlidhar Ramchandra Sonar v. Ramchandra Pandurang Sonar since deceased</t>
        </is>
      </c>
      <c r="G1053" s="11" t="inlineStr"/>
      <c r="H1053" s="11" t="inlineStr">
        <is>
          <t>unknown</t>
        </is>
      </c>
      <c r="I1053" s="2" t="inlineStr">
        <is>
          <t>(1987) 2 BomCR 301</t>
        </is>
      </c>
      <c r="J1053" s="11" t="n">
        <v>1987</v>
      </c>
      <c r="K1053" s="2" t="inlineStr">
        <is>
          <t>Ramchandra Pandurang Sonar (Deceased by L.R’s.) and other v. Murlidhar Ramchandra Sonar and others</t>
        </is>
      </c>
      <c r="L1053" s="11" t="inlineStr">
        <is>
          <t>Supreme Court</t>
        </is>
      </c>
      <c r="M1053" s="2" t="inlineStr">
        <is>
          <t>AIR 1990 SC 1973; (1990) 3 JT 202; (1990) 2 SCALE 85; (1990) 4 SCC 45; (1990) 3 SCR 435; (1990) 2 UJ 463</t>
        </is>
      </c>
      <c r="N1053" s="11" t="n">
        <v>1990</v>
      </c>
      <c r="O1053" s="11" t="n"/>
      <c r="P1053" s="11" t="n"/>
      <c r="Q1053" s="11" t="n"/>
      <c r="R1053" s="2" t="n"/>
      <c r="S1053" s="2" t="n"/>
      <c r="T1053" s="11" t="inlineStr">
        <is>
          <t>yes</t>
        </is>
      </c>
      <c r="U1053" s="11" t="inlineStr"/>
      <c r="V1053" s="11" t="inlineStr">
        <is>
          <t>outside_list</t>
        </is>
      </c>
      <c r="W1053" s="11" t="n"/>
      <c r="X1053" s="11" t="n"/>
      <c r="Y1053" s="11" t="n"/>
      <c r="Z1053" s="11" t="inlineStr">
        <is>
          <t>Mr. Advocate</t>
        </is>
      </c>
      <c r="AA1053" s="11" t="inlineStr">
        <is>
          <t>2026-10-07</t>
        </is>
      </c>
      <c r="AB1053" s="11" t="inlineStr">
        <is>
          <t>name_year</t>
        </is>
      </c>
      <c r="AC1053" s="2" t="inlineStr"/>
      <c r="AD1053" s="2" t="inlineStr">
        <is>
          <t>Murlidhar Ramchandra Sonar v. Ramchandra Pandurang Sonar since deceased (1987) was reversed on appeal by the Supreme Court in Ramchandra Pandurang Sonar (Deceased by L.R’s.) and other v. Murlidhar Ramchandra Sonar and others (1990).</t>
        </is>
      </c>
      <c r="AE1053" s="2" t="n"/>
      <c r="AF1053" s="11" t="inlineStr">
        <is>
          <t>created from list 1</t>
        </is>
      </c>
    </row>
    <row r="1054">
      <c r="A1054" s="11" t="inlineStr">
        <is>
          <t>L1-1053</t>
        </is>
      </c>
      <c r="B1054" s="11" t="inlineStr">
        <is>
          <t>List 1 (to ~2015)</t>
        </is>
      </c>
      <c r="C1054" s="11" t="inlineStr">
        <is>
          <t>list1</t>
        </is>
      </c>
      <c r="D1054" s="11" t="inlineStr">
        <is>
          <t>verified</t>
        </is>
      </c>
      <c r="E1054" s="11" t="inlineStr">
        <is>
          <t>reversed_on_appeal</t>
        </is>
      </c>
      <c r="F1054" s="2" t="inlineStr">
        <is>
          <t>Banibrata Ghosh v. State of West Bengal and Others</t>
        </is>
      </c>
      <c r="G1054" s="11" t="inlineStr"/>
      <c r="H1054" s="11" t="inlineStr">
        <is>
          <t>unknown</t>
        </is>
      </c>
      <c r="I1054" s="2" t="inlineStr">
        <is>
          <t>(2007) 3 CALLT 390; 111 CWN 495</t>
        </is>
      </c>
      <c r="J1054" s="11" t="n">
        <v>2007</v>
      </c>
      <c r="K1054" s="2" t="inlineStr">
        <is>
          <t>State of West Bengal and Others v. Banibrata Ghosh and Others</t>
        </is>
      </c>
      <c r="L1054" s="11" t="inlineStr">
        <is>
          <t>Supreme Court</t>
        </is>
      </c>
      <c r="M1054" s="2" t="inlineStr">
        <is>
          <t>AIR 2009 SC 1845; (2009) 121 FLR 220; (2009) 2 JT 159; (2009) 2 SCALE 170; (2009) 3 SCC 250; (2009) 1 SCC(L&amp;S) 638; (2009) 2 SCR 790; (2009) 5 SLR 1</t>
        </is>
      </c>
      <c r="N1054" s="11" t="n">
        <v>2009</v>
      </c>
      <c r="O1054" s="11" t="n"/>
      <c r="P1054" s="11" t="n"/>
      <c r="Q1054" s="11" t="n"/>
      <c r="R1054" s="2" t="n"/>
      <c r="S1054" s="2" t="n"/>
      <c r="T1054" s="11" t="inlineStr">
        <is>
          <t>yes</t>
        </is>
      </c>
      <c r="U1054" s="11" t="inlineStr"/>
      <c r="V1054" s="11" t="inlineStr">
        <is>
          <t>outside_list</t>
        </is>
      </c>
      <c r="W1054" s="11" t="n"/>
      <c r="X1054" s="11" t="n"/>
      <c r="Y1054" s="11" t="n"/>
      <c r="Z1054" s="11" t="inlineStr">
        <is>
          <t>Mr. Advocate</t>
        </is>
      </c>
      <c r="AA1054" s="11" t="inlineStr">
        <is>
          <t>2026-10-07</t>
        </is>
      </c>
      <c r="AB1054" s="11" t="inlineStr">
        <is>
          <t>name_year</t>
        </is>
      </c>
      <c r="AC1054" s="2" t="inlineStr"/>
      <c r="AD1054" s="2" t="inlineStr">
        <is>
          <t>Banibrata Ghosh v. State of West Bengal and Others (2007) was reversed on appeal by the Supreme Court in State of West Bengal and Others v. Banibrata Ghosh and Others (2009).</t>
        </is>
      </c>
      <c r="AE1054" s="2" t="n"/>
      <c r="AF1054" s="11" t="inlineStr">
        <is>
          <t>created from list 1</t>
        </is>
      </c>
    </row>
    <row r="1055">
      <c r="A1055" s="11" t="inlineStr">
        <is>
          <t>L1-1054</t>
        </is>
      </c>
      <c r="B1055" s="11" t="inlineStr">
        <is>
          <t>List 1 (to ~2015)</t>
        </is>
      </c>
      <c r="C1055" s="11" t="inlineStr">
        <is>
          <t>list1</t>
        </is>
      </c>
      <c r="D1055" s="11" t="inlineStr">
        <is>
          <t>verified</t>
        </is>
      </c>
      <c r="E1055" s="11" t="inlineStr">
        <is>
          <t>overruled</t>
        </is>
      </c>
      <c r="F1055" s="2" t="inlineStr">
        <is>
          <t>Allan John Waters and Duncan Alexander Grant v. State of Maharashtra and Maharukh Adenwalla</t>
        </is>
      </c>
      <c r="G1055" s="11" t="inlineStr"/>
      <c r="H1055" s="11" t="inlineStr">
        <is>
          <t>unknown</t>
        </is>
      </c>
      <c r="I1055" s="2" t="inlineStr"/>
      <c r="J1055" s="11" t="n"/>
      <c r="K1055" s="2" t="inlineStr">
        <is>
          <t>Childline India Foundation and Another v. Allan John Waters and Others</t>
        </is>
      </c>
      <c r="L1055" s="11" t="inlineStr">
        <is>
          <t>Supreme Court</t>
        </is>
      </c>
      <c r="M1055" s="2" t="inlineStr">
        <is>
          <t>(2011) CriLJ 2305; (2011) 2 Crimes 72; (2011) 3 JT 570; (2011) 2 RCR(Criminal) 339; (2011) 3 SCALE 639; (2011) 6 SCC 261; (2011) 2 SCC(Cri) 900; (2011) 2 UJ 1065</t>
        </is>
      </c>
      <c r="N1055" s="11" t="n">
        <v>2011</v>
      </c>
      <c r="O1055" s="11" t="n"/>
      <c r="P1055" s="11" t="n"/>
      <c r="Q1055" s="11" t="n"/>
      <c r="R1055" s="2" t="n"/>
      <c r="S1055" s="2" t="n"/>
      <c r="T1055" s="11" t="inlineStr"/>
      <c r="U1055" s="11" t="inlineStr">
        <is>
          <t>no_citation_or_year_for_overruled, needs_citation_or_year</t>
        </is>
      </c>
      <c r="V1055" s="11" t="inlineStr">
        <is>
          <t>outside_list</t>
        </is>
      </c>
      <c r="W1055" s="11" t="n"/>
      <c r="X1055" s="11" t="n"/>
      <c r="Y1055" s="11" t="n"/>
      <c r="Z1055" s="11" t="inlineStr">
        <is>
          <t>Mr. Advocate</t>
        </is>
      </c>
      <c r="AA1055" s="11" t="inlineStr">
        <is>
          <t>2026-10-07</t>
        </is>
      </c>
      <c r="AB1055" s="11" t="inlineStr">
        <is>
          <t>weak</t>
        </is>
      </c>
      <c r="AC1055" s="2" t="inlineStr"/>
      <c r="AD1055" s="2" t="inlineStr">
        <is>
          <t>Allan John Waters and Duncan Alexander Grant v. State of Maharashtra and Maharukh Adenwalla was overruled by Childline India Foundation and Another v. Allan John Waters and Others (2011).</t>
        </is>
      </c>
      <c r="AE1055" s="2" t="n"/>
      <c r="AF1055" s="11" t="inlineStr">
        <is>
          <t>created from list 1</t>
        </is>
      </c>
    </row>
    <row r="1056">
      <c r="A1056" s="11" t="inlineStr">
        <is>
          <t>L1-1055</t>
        </is>
      </c>
      <c r="B1056" s="11" t="inlineStr">
        <is>
          <t>List 1 (to ~2015)</t>
        </is>
      </c>
      <c r="C1056" s="11" t="inlineStr">
        <is>
          <t>list1</t>
        </is>
      </c>
      <c r="D1056" s="11" t="inlineStr">
        <is>
          <t>verified</t>
        </is>
      </c>
      <c r="E1056" s="11" t="inlineStr">
        <is>
          <t>reversed_on_appeal</t>
        </is>
      </c>
      <c r="F1056" s="2" t="inlineStr">
        <is>
          <t>Rushikesh Tanaji Bhoite v. The State of Maharashtra and Others</t>
        </is>
      </c>
      <c r="G1056" s="11" t="inlineStr"/>
      <c r="H1056" s="11" t="inlineStr">
        <is>
          <t>unknown</t>
        </is>
      </c>
      <c r="I1056" s="2" t="inlineStr">
        <is>
          <t>(2012) BomCR(Cri) 99; (2011) 113 BOMLR 1963</t>
        </is>
      </c>
      <c r="J1056" s="11" t="n">
        <v>2011</v>
      </c>
      <c r="K1056" s="2" t="inlineStr">
        <is>
          <t>Rushikesh Tanaji Bhoite v. State of Maharashtra and Others</t>
        </is>
      </c>
      <c r="L1056" s="11" t="inlineStr">
        <is>
          <t>Supreme Court</t>
        </is>
      </c>
      <c r="M1056" s="2" t="inlineStr">
        <is>
          <t>AIR 2012 SC 890; (2012) CriLJ 1334; (2012) 1 JT 1; (2012) 1 RCR(Civil) 863; (2012) 1 SCALE 53; (2012) 2 SCC 72; (2013) AIRSCW 209; (2012) AIRSCW 677; (2012) 1 Supreme 30</t>
        </is>
      </c>
      <c r="N1056" s="11" t="n">
        <v>2012</v>
      </c>
      <c r="O1056" s="11" t="n"/>
      <c r="P1056" s="11" t="n"/>
      <c r="Q1056" s="11" t="n"/>
      <c r="R1056" s="2" t="n"/>
      <c r="S1056" s="2" t="n"/>
      <c r="T1056" s="11" t="inlineStr">
        <is>
          <t>yes</t>
        </is>
      </c>
      <c r="U1056" s="11" t="inlineStr"/>
      <c r="V1056" s="11" t="inlineStr">
        <is>
          <t>outside_list</t>
        </is>
      </c>
      <c r="W1056" s="11" t="n"/>
      <c r="X1056" s="11" t="n"/>
      <c r="Y1056" s="11" t="n"/>
      <c r="Z1056" s="11" t="inlineStr">
        <is>
          <t>Mr. Advocate</t>
        </is>
      </c>
      <c r="AA1056" s="11" t="inlineStr">
        <is>
          <t>2026-10-07</t>
        </is>
      </c>
      <c r="AB1056" s="11" t="inlineStr">
        <is>
          <t>name_year</t>
        </is>
      </c>
      <c r="AC1056" s="2" t="inlineStr"/>
      <c r="AD1056" s="2" t="inlineStr">
        <is>
          <t>Rushikesh Tanaji Bhoite v. The State of Maharashtra and Others (2011) was reversed on appeal by the Supreme Court in Rushikesh Tanaji Bhoite v. State of Maharashtra and Others (2012).</t>
        </is>
      </c>
      <c r="AE1056" s="2" t="n"/>
      <c r="AF1056" s="11" t="inlineStr">
        <is>
          <t>created from list 1</t>
        </is>
      </c>
    </row>
    <row r="1057">
      <c r="A1057" s="11" t="inlineStr">
        <is>
          <t>L1-1056</t>
        </is>
      </c>
      <c r="B1057" s="11" t="inlineStr">
        <is>
          <t>List 1 (to ~2015)</t>
        </is>
      </c>
      <c r="C1057" s="11" t="inlineStr">
        <is>
          <t>list1</t>
        </is>
      </c>
      <c r="D1057" s="11" t="inlineStr">
        <is>
          <t>verified</t>
        </is>
      </c>
      <c r="E1057" s="11" t="inlineStr">
        <is>
          <t>reversed_on_appeal</t>
        </is>
      </c>
      <c r="F1057" s="2" t="inlineStr">
        <is>
          <t>Dr. P.B. Desai and Others v. The State of Maharashtra</t>
        </is>
      </c>
      <c r="G1057" s="11" t="inlineStr"/>
      <c r="H1057" s="11" t="inlineStr">
        <is>
          <t>unknown</t>
        </is>
      </c>
      <c r="I1057" s="2" t="inlineStr"/>
      <c r="J1057" s="11" t="n"/>
      <c r="K1057" s="2" t="inlineStr">
        <is>
          <t>The State of Maharashtra and P.C. Singh v. Dr. Praful B. Desai and Another</t>
        </is>
      </c>
      <c r="L1057" s="11" t="inlineStr">
        <is>
          <t>Supreme Court</t>
        </is>
      </c>
      <c r="M1057" s="2" t="inlineStr">
        <is>
          <t>AIR 2003 SC 2053; (2003) CriLJ 2033; (2003) 2 CTC 787; (2003) 3 JT 382; (2003) 3 SCALE 554; (2003) 4 SCC 601; (2003) 3 SCR 244; (2003) 2 UJ 769; (2003) AIRSCW 1885; (2003) 3 Supreme 19</t>
        </is>
      </c>
      <c r="N1057" s="11" t="n">
        <v>2003</v>
      </c>
      <c r="O1057" s="11" t="n"/>
      <c r="P1057" s="11" t="n"/>
      <c r="Q1057" s="11" t="n"/>
      <c r="R1057" s="2" t="n"/>
      <c r="S1057" s="2" t="n"/>
      <c r="T1057" s="11" t="inlineStr">
        <is>
          <t>yes</t>
        </is>
      </c>
      <c r="U1057" s="11" t="inlineStr">
        <is>
          <t>no_citation_or_year_for_overruled, needs_citation_or_year</t>
        </is>
      </c>
      <c r="V1057" s="11" t="inlineStr">
        <is>
          <t>outside_list</t>
        </is>
      </c>
      <c r="W1057" s="11" t="n"/>
      <c r="X1057" s="11" t="n"/>
      <c r="Y1057" s="11" t="n"/>
      <c r="Z1057" s="11" t="inlineStr">
        <is>
          <t>Mr. Advocate</t>
        </is>
      </c>
      <c r="AA1057" s="11" t="inlineStr">
        <is>
          <t>2026-10-07</t>
        </is>
      </c>
      <c r="AB1057" s="11" t="inlineStr">
        <is>
          <t>weak</t>
        </is>
      </c>
      <c r="AC1057" s="2" t="inlineStr"/>
      <c r="AD1057" s="2" t="inlineStr">
        <is>
          <t>Dr. P.B. Desai and Others v. The State of Maharashtra was reversed on appeal by the Supreme Court in The State of Maharashtra and P.C. Singh v. Dr. Praful B. Desai and Another (2003).</t>
        </is>
      </c>
      <c r="AE1057" s="2" t="n"/>
      <c r="AF1057" s="11" t="inlineStr">
        <is>
          <t>created from list 1</t>
        </is>
      </c>
    </row>
    <row r="1058">
      <c r="A1058" s="11" t="inlineStr">
        <is>
          <t>L1-1057</t>
        </is>
      </c>
      <c r="B1058" s="11" t="inlineStr">
        <is>
          <t>List 1 (to ~2015)</t>
        </is>
      </c>
      <c r="C1058" s="11" t="inlineStr">
        <is>
          <t>list1</t>
        </is>
      </c>
      <c r="D1058" s="11" t="inlineStr">
        <is>
          <t>verified</t>
        </is>
      </c>
      <c r="E1058" s="11" t="inlineStr">
        <is>
          <t>reversed_on_appeal</t>
        </is>
      </c>
      <c r="F1058" s="2" t="inlineStr">
        <is>
          <t>Satchikitsa Prasarak Mandal and Others v. Maharashtra University of Health Sciences and Others</t>
        </is>
      </c>
      <c r="G1058" s="11" t="inlineStr"/>
      <c r="H1058" s="11" t="inlineStr">
        <is>
          <t>unknown</t>
        </is>
      </c>
      <c r="I1058" s="2" t="inlineStr">
        <is>
          <t>(2007) 5 ALLMR 499; (2007) 5 BomCR 147</t>
        </is>
      </c>
      <c r="J1058" s="11" t="n">
        <v>2007</v>
      </c>
      <c r="K1058" s="2" t="inlineStr">
        <is>
          <t>Maharashtra University of Health Sciences and Others v. Satchikitsa Prasarak Mandal and Others</t>
        </is>
      </c>
      <c r="L1058" s="11" t="inlineStr">
        <is>
          <t>Supreme Court</t>
        </is>
      </c>
      <c r="M1058" s="2" t="inlineStr">
        <is>
          <t>AIR 2010 SC 1325; (2010) 124 FLR 1082; (2010) 2 JT 397; (2010) 3 SCC 786; (2010) 1 SCC(L&amp;S) 894; (2010) 3 SCR 91; (2010) 2 SLR 482; (2010) 3 UJ 1288</t>
        </is>
      </c>
      <c r="N1058" s="11" t="n">
        <v>2010</v>
      </c>
      <c r="O1058" s="11" t="n"/>
      <c r="P1058" s="11" t="n"/>
      <c r="Q1058" s="11" t="n"/>
      <c r="R1058" s="2" t="n"/>
      <c r="S1058" s="2" t="n"/>
      <c r="T1058" s="11" t="inlineStr">
        <is>
          <t>yes</t>
        </is>
      </c>
      <c r="U1058" s="11" t="inlineStr"/>
      <c r="V1058" s="11" t="inlineStr">
        <is>
          <t>outside_list</t>
        </is>
      </c>
      <c r="W1058" s="11" t="n"/>
      <c r="X1058" s="11" t="n"/>
      <c r="Y1058" s="11" t="n"/>
      <c r="Z1058" s="11" t="inlineStr">
        <is>
          <t>Mr. Advocate</t>
        </is>
      </c>
      <c r="AA1058" s="11" t="inlineStr">
        <is>
          <t>2026-10-07</t>
        </is>
      </c>
      <c r="AB1058" s="11" t="inlineStr">
        <is>
          <t>name_year</t>
        </is>
      </c>
      <c r="AC1058" s="2" t="inlineStr"/>
      <c r="AD1058" s="2" t="inlineStr">
        <is>
          <t>Satchikitsa Prasarak Mandal and Others v. Maharashtra University of Health Sciences and Others (2007) was reversed on appeal by the Supreme Court in Maharashtra University of Health Sciences and Others v. Satchikitsa Prasarak Mandal and Others (2010).</t>
        </is>
      </c>
      <c r="AE1058" s="2" t="n"/>
      <c r="AF1058" s="11" t="inlineStr">
        <is>
          <t>created from list 1</t>
        </is>
      </c>
    </row>
    <row r="1059">
      <c r="A1059" s="11" t="inlineStr">
        <is>
          <t>L1-1058</t>
        </is>
      </c>
      <c r="B1059" s="11" t="inlineStr">
        <is>
          <t>List 1 (to ~2015)</t>
        </is>
      </c>
      <c r="C1059" s="11" t="inlineStr">
        <is>
          <t>list1</t>
        </is>
      </c>
      <c r="D1059" s="11" t="inlineStr">
        <is>
          <t>verified</t>
        </is>
      </c>
      <c r="E1059" s="11" t="inlineStr">
        <is>
          <t>overruled</t>
        </is>
      </c>
      <c r="F1059" s="2" t="inlineStr">
        <is>
          <t>Parmal Ghosh v. State of West Bengal and Others</t>
        </is>
      </c>
      <c r="G1059" s="11" t="inlineStr"/>
      <c r="H1059" s="11" t="inlineStr">
        <is>
          <t>unknown</t>
        </is>
      </c>
      <c r="I1059" s="2" t="inlineStr">
        <is>
          <t>(1984) 1 CALLT 54; (1984) CriLJ 1302</t>
        </is>
      </c>
      <c r="J1059" s="11" t="n">
        <v>1984</v>
      </c>
      <c r="K1059" s="2" t="inlineStr">
        <is>
          <t>Prithvi Raj and Others v. Kamlesh Kumar and Another</t>
        </is>
      </c>
      <c r="L1059" s="11" t="inlineStr">
        <is>
          <t>Supreme Court</t>
        </is>
      </c>
      <c r="M1059" s="2" t="inlineStr">
        <is>
          <t>AIR 2004 SC 4401; (2004) CriLJ 4238; (2004) 8 SCALE 82; (2004) 8 SCC 303; (2005) 1 UJ 265; (2004) AIRSCW 5219; (2004) 7 Supreme 16</t>
        </is>
      </c>
      <c r="N1059" s="11" t="n">
        <v>2004</v>
      </c>
      <c r="O1059" s="11" t="n"/>
      <c r="P1059" s="11" t="n"/>
      <c r="Q1059" s="11" t="n"/>
      <c r="R1059" s="2" t="n"/>
      <c r="S1059" s="2" t="n"/>
      <c r="T1059" s="11" t="inlineStr"/>
      <c r="U1059" s="11" t="inlineStr"/>
      <c r="V1059" s="11" t="inlineStr">
        <is>
          <t>outside_list</t>
        </is>
      </c>
      <c r="W1059" s="11" t="n"/>
      <c r="X1059" s="11" t="n"/>
      <c r="Y1059" s="11" t="n"/>
      <c r="Z1059" s="11" t="inlineStr">
        <is>
          <t>Mr. Advocate</t>
        </is>
      </c>
      <c r="AA1059" s="11" t="inlineStr">
        <is>
          <t>2026-10-07</t>
        </is>
      </c>
      <c r="AB1059" s="11" t="inlineStr">
        <is>
          <t>name_year</t>
        </is>
      </c>
      <c r="AC1059" s="2" t="inlineStr"/>
      <c r="AD1059" s="2" t="inlineStr">
        <is>
          <t>Parmal Ghosh v. State of West Bengal and Others (1984) was overruled by Prithvi Raj and Others v. Kamlesh Kumar and Another (2004).</t>
        </is>
      </c>
      <c r="AE1059" s="2" t="n"/>
      <c r="AF1059" s="11" t="inlineStr">
        <is>
          <t>created from list 1</t>
        </is>
      </c>
    </row>
    <row r="1060">
      <c r="A1060" s="11" t="inlineStr">
        <is>
          <t>L1-1059</t>
        </is>
      </c>
      <c r="B1060" s="11" t="inlineStr">
        <is>
          <t>List 1 (to ~2015)</t>
        </is>
      </c>
      <c r="C1060" s="11" t="inlineStr">
        <is>
          <t>list1</t>
        </is>
      </c>
      <c r="D1060" s="11" t="inlineStr">
        <is>
          <t>verified</t>
        </is>
      </c>
      <c r="E1060" s="11" t="inlineStr">
        <is>
          <t>overruled</t>
        </is>
      </c>
      <c r="F1060" s="2" t="inlineStr">
        <is>
          <t>Girish Jantilal Vaghela v. Union of India (UOI) and Others</t>
        </is>
      </c>
      <c r="G1060" s="11" t="inlineStr"/>
      <c r="H1060" s="11" t="inlineStr">
        <is>
          <t>unknown</t>
        </is>
      </c>
      <c r="I1060" s="2" t="inlineStr">
        <is>
          <t>(2003) 2 SLJ 140</t>
        </is>
      </c>
      <c r="J1060" s="11" t="n">
        <v>2003</v>
      </c>
      <c r="K1060" s="2" t="inlineStr">
        <is>
          <t>Union Public Service Commission v. Girish Jayanti Lal Vaghela and Others</t>
        </is>
      </c>
      <c r="L1060" s="11" t="inlineStr">
        <is>
          <t>Supreme Court</t>
        </is>
      </c>
      <c r="M1060" s="2" t="inlineStr">
        <is>
          <t>AIR 2006 SC 1165; (2006) 6 CompLJ 296; (2006) 108 FLR 996; (2006) 2 JT 137; (2006) 2 SCALE 115; (2006) 2 SCC 482; (2006) SCC(L&amp;S) 339; (2006) 1 SCR 1006; (2006) 3 SLJ 28; (2006) AIRSCW 844; (2006) 2 Supreme 221</t>
        </is>
      </c>
      <c r="N1060" s="11" t="n">
        <v>2006</v>
      </c>
      <c r="O1060" s="11" t="n"/>
      <c r="P1060" s="11" t="n"/>
      <c r="Q1060" s="11" t="n"/>
      <c r="R1060" s="2" t="n"/>
      <c r="S1060" s="2" t="n"/>
      <c r="T1060" s="11" t="inlineStr"/>
      <c r="U1060" s="11" t="inlineStr"/>
      <c r="V1060" s="11" t="inlineStr">
        <is>
          <t>outside_list</t>
        </is>
      </c>
      <c r="W1060" s="11" t="n"/>
      <c r="X1060" s="11" t="n"/>
      <c r="Y1060" s="11" t="n"/>
      <c r="Z1060" s="11" t="inlineStr">
        <is>
          <t>Mr. Advocate</t>
        </is>
      </c>
      <c r="AA1060" s="11" t="inlineStr">
        <is>
          <t>2026-10-07</t>
        </is>
      </c>
      <c r="AB1060" s="11" t="inlineStr">
        <is>
          <t>name_year</t>
        </is>
      </c>
      <c r="AC1060" s="2" t="inlineStr"/>
      <c r="AD1060" s="2" t="inlineStr">
        <is>
          <t>Girish Jantilal Vaghela v. Union of India (UOI) and Others (2003) was overruled by Union Public Service Commission v. Girish Jayanti Lal Vaghela and Others (2006).</t>
        </is>
      </c>
      <c r="AE1060" s="2" t="n"/>
      <c r="AF1060" s="11" t="inlineStr">
        <is>
          <t>created from list 1</t>
        </is>
      </c>
    </row>
    <row r="1061">
      <c r="A1061" s="11" t="inlineStr">
        <is>
          <t>L1-1060</t>
        </is>
      </c>
      <c r="B1061" s="11" t="inlineStr">
        <is>
          <t>List 1 (to ~2015)</t>
        </is>
      </c>
      <c r="C1061" s="11" t="inlineStr">
        <is>
          <t>list1</t>
        </is>
      </c>
      <c r="D1061" s="11" t="inlineStr">
        <is>
          <t>verified</t>
        </is>
      </c>
      <c r="E1061" s="11" t="inlineStr">
        <is>
          <t>overruled</t>
        </is>
      </c>
      <c r="F1061" s="2" t="inlineStr">
        <is>
          <t>Solar Pesticides Pvt. Ltd. v. Union of India (UOI)</t>
        </is>
      </c>
      <c r="G1061" s="11" t="inlineStr"/>
      <c r="H1061" s="11" t="inlineStr">
        <is>
          <t>unknown</t>
        </is>
      </c>
      <c r="I1061" s="2" t="inlineStr">
        <is>
          <t>(1992) 57 ELT 201</t>
        </is>
      </c>
      <c r="J1061" s="11" t="n">
        <v>1992</v>
      </c>
      <c r="K1061" s="2" t="inlineStr">
        <is>
          <t>Union of India and others v. Solar Pesticide Pvt. Ltd. and Another</t>
        </is>
      </c>
      <c r="L1061" s="11" t="inlineStr">
        <is>
          <t>Supreme Court</t>
        </is>
      </c>
      <c r="M1061" s="2" t="inlineStr">
        <is>
          <t>AIR 2000 SC 862; (2000) 68 ECC 25; (2000) 116 ELT 401; (2000) 1 JT 577; (2000) 1 SCALE 423; (2000) 2 SCC 705; (2000) 1 SCR 629; (2000) 1 UJ 414; (2000) AIRSCW 444; (2000) AIRSCW 4034; (2000) 2 Supreme 353</t>
        </is>
      </c>
      <c r="N1061" s="11" t="n">
        <v>2000</v>
      </c>
      <c r="O1061" s="11" t="n"/>
      <c r="P1061" s="11" t="n"/>
      <c r="Q1061" s="11" t="n"/>
      <c r="R1061" s="2" t="n"/>
      <c r="S1061" s="2" t="n"/>
      <c r="T1061" s="11" t="inlineStr"/>
      <c r="U1061" s="11" t="inlineStr"/>
      <c r="V1061" s="11" t="inlineStr">
        <is>
          <t>outside_list</t>
        </is>
      </c>
      <c r="W1061" s="11" t="n"/>
      <c r="X1061" s="11" t="n"/>
      <c r="Y1061" s="11" t="n"/>
      <c r="Z1061" s="11" t="inlineStr">
        <is>
          <t>Mr. Advocate</t>
        </is>
      </c>
      <c r="AA1061" s="11" t="inlineStr">
        <is>
          <t>2026-10-07</t>
        </is>
      </c>
      <c r="AB1061" s="11" t="inlineStr">
        <is>
          <t>name_year</t>
        </is>
      </c>
      <c r="AC1061" s="2" t="inlineStr"/>
      <c r="AD1061" s="2" t="inlineStr">
        <is>
          <t>Solar Pesticides Pvt. Ltd. v. Union of India (UOI) (1992) was overruled by Union of India and others v. Solar Pesticide Pvt. Ltd. and Another (2000).</t>
        </is>
      </c>
      <c r="AE1061" s="2" t="n"/>
      <c r="AF1061" s="11" t="inlineStr">
        <is>
          <t>created from list 1</t>
        </is>
      </c>
    </row>
    <row r="1062">
      <c r="A1062" s="11" t="inlineStr">
        <is>
          <t>L1-1061</t>
        </is>
      </c>
      <c r="B1062" s="11" t="inlineStr">
        <is>
          <t>List 1 (to ~2015)</t>
        </is>
      </c>
      <c r="C1062" s="11" t="inlineStr">
        <is>
          <t>list1</t>
        </is>
      </c>
      <c r="D1062" s="11" t="inlineStr">
        <is>
          <t>verified</t>
        </is>
      </c>
      <c r="E1062" s="11" t="inlineStr">
        <is>
          <t>reversed_on_appeal</t>
        </is>
      </c>
      <c r="F1062" s="2" t="inlineStr">
        <is>
          <t>Avinash D. Mandvikar v. Bank of India and Others</t>
        </is>
      </c>
      <c r="G1062" s="11" t="inlineStr"/>
      <c r="H1062" s="11" t="inlineStr">
        <is>
          <t>unknown</t>
        </is>
      </c>
      <c r="I1062" s="2" t="inlineStr">
        <is>
          <t>(2003) 96 FLR 282; (2003) 1 LLJ 439</t>
        </is>
      </c>
      <c r="J1062" s="11" t="n">
        <v>2003</v>
      </c>
      <c r="K1062" s="2" t="inlineStr">
        <is>
          <t>Bank of India and Another v. Avinash D. Mandivikar and Others</t>
        </is>
      </c>
      <c r="L1062" s="11" t="inlineStr">
        <is>
          <t>Supreme Court</t>
        </is>
      </c>
      <c r="M1062" s="2" t="inlineStr">
        <is>
          <t>AIR 2005 SC 3395; (2005) 107 FLR 610; (2005) 8 JT 326; (2005) 7 SCC 690; (2005) SCC(L&amp;S) 1011; (2005) 3 SCR 170 Supp; (2006) 1 SLJ 47; (2005) 2 UJ 1332</t>
        </is>
      </c>
      <c r="N1062" s="11" t="n">
        <v>2005</v>
      </c>
      <c r="O1062" s="11" t="n"/>
      <c r="P1062" s="11" t="n"/>
      <c r="Q1062" s="11" t="n"/>
      <c r="R1062" s="2" t="n"/>
      <c r="S1062" s="2" t="n"/>
      <c r="T1062" s="11" t="inlineStr">
        <is>
          <t>yes</t>
        </is>
      </c>
      <c r="U1062" s="11" t="inlineStr"/>
      <c r="V1062" s="11" t="inlineStr">
        <is>
          <t>outside_list</t>
        </is>
      </c>
      <c r="W1062" s="11" t="n"/>
      <c r="X1062" s="11" t="n"/>
      <c r="Y1062" s="11" t="n"/>
      <c r="Z1062" s="11" t="inlineStr">
        <is>
          <t>Mr. Advocate</t>
        </is>
      </c>
      <c r="AA1062" s="11" t="inlineStr">
        <is>
          <t>2026-10-07</t>
        </is>
      </c>
      <c r="AB1062" s="11" t="inlineStr">
        <is>
          <t>name_year</t>
        </is>
      </c>
      <c r="AC1062" s="2" t="inlineStr"/>
      <c r="AD1062" s="2" t="inlineStr">
        <is>
          <t>Avinash D. Mandvikar v. Bank of India and Others (2003) was reversed on appeal by the Supreme Court in Bank of India and Another v. Avinash D. Mandivikar and Others (2005).</t>
        </is>
      </c>
      <c r="AE1062" s="2" t="n"/>
      <c r="AF1062" s="11" t="inlineStr">
        <is>
          <t>created from list 1</t>
        </is>
      </c>
    </row>
    <row r="1063">
      <c r="A1063" s="11" t="inlineStr">
        <is>
          <t>L1-1062</t>
        </is>
      </c>
      <c r="B1063" s="11" t="inlineStr">
        <is>
          <t>List 1 (to ~2015)</t>
        </is>
      </c>
      <c r="C1063" s="11" t="inlineStr">
        <is>
          <t>list1</t>
        </is>
      </c>
      <c r="D1063" s="11" t="inlineStr">
        <is>
          <t>verified</t>
        </is>
      </c>
      <c r="E1063" s="11" t="inlineStr">
        <is>
          <t>reversed_on_appeal</t>
        </is>
      </c>
      <c r="F1063" s="2" t="inlineStr">
        <is>
          <t>Nivrutti Gangaram Pawar, since deceased, through his heirs and LRs Prakash Nivrutti Pawar and Others v. Dinkar Maruti Jadhav</t>
        </is>
      </c>
      <c r="G1063" s="11" t="inlineStr"/>
      <c r="H1063" s="11" t="inlineStr">
        <is>
          <t>unknown</t>
        </is>
      </c>
      <c r="I1063" s="2" t="inlineStr">
        <is>
          <t>(2004) 2 ALLMR 193; (2012) 2 MhLj 219; (2004) 2 MhLj 674</t>
        </is>
      </c>
      <c r="J1063" s="11" t="n">
        <v>2004</v>
      </c>
      <c r="K1063" s="2" t="inlineStr">
        <is>
          <t>Dinkar Maruti Jadhav v. Nivrutti Gangaram Pawar (dead) by Lrs. and Others</t>
        </is>
      </c>
      <c r="L1063" s="11" t="inlineStr">
        <is>
          <t>Supreme Court</t>
        </is>
      </c>
      <c r="M1063" s="2" t="inlineStr">
        <is>
          <t>(2008) 3 CLT 108; (2008) 1 SCALE 526; (2008) 5 SCC 489</t>
        </is>
      </c>
      <c r="N1063" s="11" t="n">
        <v>2008</v>
      </c>
      <c r="O1063" s="11" t="n"/>
      <c r="P1063" s="11" t="n"/>
      <c r="Q1063" s="11" t="n"/>
      <c r="R1063" s="2" t="n"/>
      <c r="S1063" s="2" t="n"/>
      <c r="T1063" s="11" t="inlineStr">
        <is>
          <t>yes</t>
        </is>
      </c>
      <c r="U1063" s="11" t="inlineStr">
        <is>
          <t>needs_citation_or_year</t>
        </is>
      </c>
      <c r="V1063" s="11" t="inlineStr">
        <is>
          <t>outside_list</t>
        </is>
      </c>
      <c r="W1063" s="11" t="n"/>
      <c r="X1063" s="11" t="n"/>
      <c r="Y1063" s="11" t="n"/>
      <c r="Z1063" s="11" t="inlineStr">
        <is>
          <t>Mr. Advocate</t>
        </is>
      </c>
      <c r="AA1063" s="11" t="inlineStr">
        <is>
          <t>2026-10-07</t>
        </is>
      </c>
      <c r="AB1063" s="11" t="inlineStr">
        <is>
          <t>none</t>
        </is>
      </c>
      <c r="AC1063" s="2" t="inlineStr"/>
      <c r="AD1063" s="2" t="inlineStr">
        <is>
          <t>Nivrutti Gangaram Pawar, since deceased, through his heirs and LRs Prakash Nivrutti Pawar and Others v. Dinkar Maruti Jadhav (2004) was reversed on appeal by the Supreme Court in Dinkar Maruti Jadhav v. Nivrutti Gangaram Pawar (dead) by Lrs. and Others (2008).</t>
        </is>
      </c>
      <c r="AE1063" s="2" t="n"/>
      <c r="AF1063" s="11" t="inlineStr">
        <is>
          <t>created from list 1</t>
        </is>
      </c>
    </row>
    <row r="1064">
      <c r="A1064" s="11" t="inlineStr">
        <is>
          <t>L1-1063</t>
        </is>
      </c>
      <c r="B1064" s="11" t="inlineStr">
        <is>
          <t>List 1 (to ~2015)</t>
        </is>
      </c>
      <c r="C1064" s="11" t="inlineStr">
        <is>
          <t>list1</t>
        </is>
      </c>
      <c r="D1064" s="11" t="inlineStr">
        <is>
          <t>verified</t>
        </is>
      </c>
      <c r="E1064" s="11" t="inlineStr">
        <is>
          <t>overruled</t>
        </is>
      </c>
      <c r="F1064" s="2" t="inlineStr">
        <is>
          <t>Jagannath Khan and Others v. Bajrang Das Agarwala</t>
        </is>
      </c>
      <c r="G1064" s="11" t="inlineStr"/>
      <c r="H1064" s="11" t="inlineStr">
        <is>
          <t>Calcutta</t>
        </is>
      </c>
      <c r="I1064" s="2" t="inlineStr">
        <is>
          <t>AIR 1921 Cal 208; 62 Ind. Cas. 97</t>
        </is>
      </c>
      <c r="J1064" s="11" t="n">
        <v>1921</v>
      </c>
      <c r="K1064" s="2" t="inlineStr">
        <is>
          <t>N. Kamalam (Dead) and Another v. Ayyasamy and Another</t>
        </is>
      </c>
      <c r="L1064" s="11" t="inlineStr">
        <is>
          <t>Supreme Court</t>
        </is>
      </c>
      <c r="M1064" s="2" t="inlineStr">
        <is>
          <t>(2001) 6 AD 37; AIR 2001 SC 2802; (2001) 6 JT 219; (2001) 5 SCALE 65; (2001) 7 SCC 503; (2001) AIRSCW 2907; (2001) 5 Supreme 689</t>
        </is>
      </c>
      <c r="N1064" s="11" t="n">
        <v>2001</v>
      </c>
      <c r="O1064" s="11" t="n"/>
      <c r="P1064" s="11" t="n"/>
      <c r="Q1064" s="11" t="n"/>
      <c r="R1064" s="2" t="n"/>
      <c r="S1064" s="2" t="n"/>
      <c r="T1064" s="11" t="inlineStr"/>
      <c r="U1064" s="11" t="inlineStr"/>
      <c r="V1064" s="11" t="inlineStr">
        <is>
          <t>outside_list</t>
        </is>
      </c>
      <c r="W1064" s="11" t="n"/>
      <c r="X1064" s="11" t="n"/>
      <c r="Y1064" s="11" t="n"/>
      <c r="Z1064" s="11" t="inlineStr">
        <is>
          <t>Mr. Advocate</t>
        </is>
      </c>
      <c r="AA1064" s="11" t="inlineStr">
        <is>
          <t>2026-10-07</t>
        </is>
      </c>
      <c r="AB1064" s="11" t="inlineStr">
        <is>
          <t>name_year</t>
        </is>
      </c>
      <c r="AC1064" s="2" t="inlineStr"/>
      <c r="AD1064" s="2" t="inlineStr">
        <is>
          <t>Jagannath Khan and Others v. Bajrang Das Agarwala (1921) was overruled by N. Kamalam (Dead) and Another v. Ayyasamy and Another (2001).</t>
        </is>
      </c>
      <c r="AE1064" s="2" t="n"/>
      <c r="AF1064" s="11" t="inlineStr">
        <is>
          <t>created from list 1</t>
        </is>
      </c>
    </row>
    <row r="1065">
      <c r="A1065" s="11" t="inlineStr">
        <is>
          <t>L1-1064</t>
        </is>
      </c>
      <c r="B1065" s="11" t="inlineStr">
        <is>
          <t>List 1 (to ~2015)</t>
        </is>
      </c>
      <c r="C1065" s="11" t="inlineStr">
        <is>
          <t>list1</t>
        </is>
      </c>
      <c r="D1065" s="11" t="inlineStr">
        <is>
          <t>verified</t>
        </is>
      </c>
      <c r="E1065" s="11" t="inlineStr">
        <is>
          <t>reversed_on_appeal</t>
        </is>
      </c>
      <c r="F1065" s="2" t="inlineStr">
        <is>
          <t>State of M.P. v. Bhagwan Singh and Others</t>
        </is>
      </c>
      <c r="G1065" s="11" t="inlineStr"/>
      <c r="H1065" s="11" t="inlineStr">
        <is>
          <t>unknown</t>
        </is>
      </c>
      <c r="I1065" s="2" t="inlineStr">
        <is>
          <t>(2002) CriLJ 3169; (2002) 3 MPHT 130; (2002) 3 MPLJ 67</t>
        </is>
      </c>
      <c r="J1065" s="11" t="n">
        <v>2002</v>
      </c>
      <c r="K1065" s="2" t="inlineStr">
        <is>
          <t>Bhagwan Singh and Others v. State of M.P.</t>
        </is>
      </c>
      <c r="L1065" s="11" t="inlineStr">
        <is>
          <t>Supreme Court</t>
        </is>
      </c>
      <c r="M1065" s="2" t="inlineStr">
        <is>
          <t>AIR 2003 SC 1088; (2003) CriLJ 1262; (2003) 3 JT 599; (2003) 1 SCALE 407; (2003) 3 SCC 21; (2003) 1 SCR 506; (2003) AIRSCW 617; (2003) 1 Supreme 698</t>
        </is>
      </c>
      <c r="N1065" s="11" t="n">
        <v>2003</v>
      </c>
      <c r="O1065" s="11" t="n"/>
      <c r="P1065" s="11" t="n"/>
      <c r="Q1065" s="11" t="n"/>
      <c r="R1065" s="2" t="n"/>
      <c r="S1065" s="2" t="n"/>
      <c r="T1065" s="11" t="inlineStr">
        <is>
          <t>yes</t>
        </is>
      </c>
      <c r="U1065" s="11" t="inlineStr"/>
      <c r="V1065" s="11" t="inlineStr">
        <is>
          <t>outside_list</t>
        </is>
      </c>
      <c r="W1065" s="11" t="n"/>
      <c r="X1065" s="11" t="n"/>
      <c r="Y1065" s="11" t="n"/>
      <c r="Z1065" s="11" t="inlineStr">
        <is>
          <t>Mr. Advocate</t>
        </is>
      </c>
      <c r="AA1065" s="11" t="inlineStr">
        <is>
          <t>2026-10-07</t>
        </is>
      </c>
      <c r="AB1065" s="11" t="inlineStr">
        <is>
          <t>name_year</t>
        </is>
      </c>
      <c r="AC1065" s="2" t="inlineStr"/>
      <c r="AD1065" s="2" t="inlineStr">
        <is>
          <t>State of M.P. v. Bhagwan Singh and Others (2002) was reversed on appeal by the Supreme Court in Bhagwan Singh and Others v. State of M.P. (2003).</t>
        </is>
      </c>
      <c r="AE1065" s="2" t="n"/>
      <c r="AF1065" s="11" t="inlineStr">
        <is>
          <t>created from list 1</t>
        </is>
      </c>
    </row>
    <row r="1066">
      <c r="A1066" s="11" t="inlineStr">
        <is>
          <t>L1-1065</t>
        </is>
      </c>
      <c r="B1066" s="11" t="inlineStr">
        <is>
          <t>List 1 (to ~2015)</t>
        </is>
      </c>
      <c r="C1066" s="11" t="inlineStr">
        <is>
          <t>list1</t>
        </is>
      </c>
      <c r="D1066" s="11" t="inlineStr">
        <is>
          <t>verified</t>
        </is>
      </c>
      <c r="E1066" s="11" t="inlineStr">
        <is>
          <t>reversed_on_appeal</t>
        </is>
      </c>
      <c r="F1066" s="2" t="inlineStr">
        <is>
          <t>Jay Engineering Works Ltd. v. Industry Facilitation Council and Another</t>
        </is>
      </c>
      <c r="G1066" s="11" t="inlineStr"/>
      <c r="H1066" s="11" t="inlineStr">
        <is>
          <t>unknown</t>
        </is>
      </c>
      <c r="I1066" s="2" t="inlineStr">
        <is>
          <t>(2005) 4 BC 64; (2005) 2 JLJ 9</t>
        </is>
      </c>
      <c r="J1066" s="11" t="n">
        <v>2005</v>
      </c>
      <c r="K1066" s="2" t="inlineStr">
        <is>
          <t>Jay Engineering Works Ltd. v. Industry Facilitation Council and Another</t>
        </is>
      </c>
      <c r="L1066" s="11" t="inlineStr">
        <is>
          <t>Supreme Court</t>
        </is>
      </c>
      <c r="M1066" s="2" t="inlineStr">
        <is>
          <t>AIR 2006 SC 3252; (2006) 3 ARBLR 594; (2006) 133 CompCas 670; (2006) 6 CompLJ 209; (2006) 12 JT 171; (2006) 9 SCALE 285; (2006) 8 SCC 677; (2006) 71 SCL 189; (2006) 6 SCR 189 Supp; (2006) 2 UJ 1252; (2006) AIRSCW 4783; (2006) 8 Supreme 434</t>
        </is>
      </c>
      <c r="N1066" s="11" t="n">
        <v>2006</v>
      </c>
      <c r="O1066" s="11" t="n"/>
      <c r="P1066" s="11" t="n"/>
      <c r="Q1066" s="11" t="n"/>
      <c r="R1066" s="2" t="n"/>
      <c r="S1066" s="2" t="n"/>
      <c r="T1066" s="11" t="inlineStr">
        <is>
          <t>yes</t>
        </is>
      </c>
      <c r="U1066" s="11" t="inlineStr"/>
      <c r="V1066" s="11" t="inlineStr">
        <is>
          <t>outside_list</t>
        </is>
      </c>
      <c r="W1066" s="11" t="n"/>
      <c r="X1066" s="11" t="n"/>
      <c r="Y1066" s="11" t="n"/>
      <c r="Z1066" s="11" t="inlineStr">
        <is>
          <t>Mr. Advocate</t>
        </is>
      </c>
      <c r="AA1066" s="11" t="inlineStr">
        <is>
          <t>2026-10-07</t>
        </is>
      </c>
      <c r="AB1066" s="11" t="inlineStr">
        <is>
          <t>name_year</t>
        </is>
      </c>
      <c r="AC1066" s="2" t="inlineStr"/>
      <c r="AD1066" s="2" t="inlineStr">
        <is>
          <t>Jay Engineering Works Ltd. v. Industry Facilitation Council and Another (2005) was reversed on appeal by the Supreme Court in Jay Engineering Works Ltd. v. Industry Facilitation Council and Another (2006).</t>
        </is>
      </c>
      <c r="AE1066" s="2" t="n"/>
      <c r="AF1066" s="11" t="inlineStr">
        <is>
          <t>created from list 1</t>
        </is>
      </c>
    </row>
    <row r="1067">
      <c r="A1067" s="11" t="inlineStr">
        <is>
          <t>L1-1066</t>
        </is>
      </c>
      <c r="B1067" s="11" t="inlineStr">
        <is>
          <t>List 1 (to ~2015)</t>
        </is>
      </c>
      <c r="C1067" s="11" t="inlineStr">
        <is>
          <t>list1</t>
        </is>
      </c>
      <c r="D1067" s="11" t="inlineStr">
        <is>
          <t>verified</t>
        </is>
      </c>
      <c r="E1067" s="11" t="inlineStr">
        <is>
          <t>overruled</t>
        </is>
      </c>
      <c r="F1067" s="2" t="inlineStr">
        <is>
          <t>Kashiram and Others v. State of Madhya Pradesh</t>
        </is>
      </c>
      <c r="G1067" s="11" t="inlineStr"/>
      <c r="H1067" s="11" t="inlineStr">
        <is>
          <t>unknown</t>
        </is>
      </c>
      <c r="I1067" s="2" t="inlineStr"/>
      <c r="J1067" s="11" t="n"/>
      <c r="K1067" s="2" t="inlineStr">
        <is>
          <t>State of M.P. v. Kashiram and Others</t>
        </is>
      </c>
      <c r="L1067" s="11" t="inlineStr">
        <is>
          <t>Supreme Court</t>
        </is>
      </c>
      <c r="M1067" s="2" t="inlineStr">
        <is>
          <t>AIR 2009 SC 1642; (2009) CLT 522; (2009) CriLJ 1530; (2009) 2 JT 140; (2009) 2 SCALE 118; (2009) 4 SCC 26; (2009) 1 SCR 806; (2009) 3 UJ 1141; (2009) AIRSCW 1125</t>
        </is>
      </c>
      <c r="N1067" s="11" t="n">
        <v>2009</v>
      </c>
      <c r="O1067" s="11" t="n"/>
      <c r="P1067" s="11" t="n"/>
      <c r="Q1067" s="11" t="n"/>
      <c r="R1067" s="2" t="n"/>
      <c r="S1067" s="2" t="n"/>
      <c r="T1067" s="11" t="inlineStr"/>
      <c r="U1067" s="11" t="inlineStr">
        <is>
          <t>no_citation_or_year_for_overruled, needs_citation_or_year</t>
        </is>
      </c>
      <c r="V1067" s="11" t="inlineStr">
        <is>
          <t>outside_list</t>
        </is>
      </c>
      <c r="W1067" s="11" t="n"/>
      <c r="X1067" s="11" t="n"/>
      <c r="Y1067" s="11" t="n"/>
      <c r="Z1067" s="11" t="inlineStr">
        <is>
          <t>Mr. Advocate</t>
        </is>
      </c>
      <c r="AA1067" s="11" t="inlineStr">
        <is>
          <t>2026-10-07</t>
        </is>
      </c>
      <c r="AB1067" s="11" t="inlineStr">
        <is>
          <t>none</t>
        </is>
      </c>
      <c r="AC1067" s="2" t="inlineStr"/>
      <c r="AD1067" s="2" t="inlineStr">
        <is>
          <t>Kashiram and Others v. State of Madhya Pradesh was overruled by State of M.P. v. Kashiram and Others (2009).</t>
        </is>
      </c>
      <c r="AE1067" s="2" t="n"/>
      <c r="AF1067" s="11" t="inlineStr">
        <is>
          <t>created from list 1</t>
        </is>
      </c>
    </row>
    <row r="1068">
      <c r="A1068" s="11" t="inlineStr">
        <is>
          <t>L1-1067</t>
        </is>
      </c>
      <c r="B1068" s="11" t="inlineStr">
        <is>
          <t>List 1 (to ~2015)</t>
        </is>
      </c>
      <c r="C1068" s="11" t="inlineStr">
        <is>
          <t>list1</t>
        </is>
      </c>
      <c r="D1068" s="11" t="inlineStr">
        <is>
          <t>verified</t>
        </is>
      </c>
      <c r="E1068" s="11" t="inlineStr">
        <is>
          <t>reversed_on_appeal</t>
        </is>
      </c>
      <c r="F1068" s="2" t="inlineStr">
        <is>
          <t>Commissioner of Income Tax v. Ralson Industries Ltd.</t>
        </is>
      </c>
      <c r="G1068" s="11" t="inlineStr"/>
      <c r="H1068" s="11" t="inlineStr">
        <is>
          <t>unknown</t>
        </is>
      </c>
      <c r="I1068" s="2" t="inlineStr">
        <is>
          <t>(2005) 197 CTR 680; (2005) 276 ITR 368</t>
        </is>
      </c>
      <c r="J1068" s="11" t="n">
        <v>2005</v>
      </c>
      <c r="K1068" s="2" t="inlineStr">
        <is>
          <t>Commissioner of Income Tax, Bhopal v. Ralson Industries Ltd.</t>
        </is>
      </c>
      <c r="L1068" s="11" t="inlineStr">
        <is>
          <t>Supreme Court</t>
        </is>
      </c>
      <c r="M1068" s="2" t="inlineStr">
        <is>
          <t>AIR 2007 SC 668; (2007) 207 CTR 201; (2007) 214 ELT 166; (2007) 288 ITR 322; (2007) 1 JT 356; (2007) 1 SCALE 44; (2007) 2 SCC 326; (2007) 1 SCR 53; (2007) 7 STR 497; (2007) 1 UJ 69</t>
        </is>
      </c>
      <c r="N1068" s="11" t="n">
        <v>2007</v>
      </c>
      <c r="O1068" s="11" t="n"/>
      <c r="P1068" s="11" t="n"/>
      <c r="Q1068" s="11" t="n"/>
      <c r="R1068" s="2" t="n"/>
      <c r="S1068" s="2" t="n"/>
      <c r="T1068" s="11" t="inlineStr">
        <is>
          <t>yes</t>
        </is>
      </c>
      <c r="U1068" s="11" t="inlineStr"/>
      <c r="V1068" s="11" t="inlineStr">
        <is>
          <t>outside_list</t>
        </is>
      </c>
      <c r="W1068" s="11" t="n"/>
      <c r="X1068" s="11" t="n"/>
      <c r="Y1068" s="11" t="n"/>
      <c r="Z1068" s="11" t="inlineStr">
        <is>
          <t>Mr. Advocate</t>
        </is>
      </c>
      <c r="AA1068" s="11" t="inlineStr">
        <is>
          <t>2026-10-07</t>
        </is>
      </c>
      <c r="AB1068" s="11" t="inlineStr">
        <is>
          <t>name_year</t>
        </is>
      </c>
      <c r="AC1068" s="2" t="inlineStr"/>
      <c r="AD1068" s="2" t="inlineStr">
        <is>
          <t>Commissioner of Income Tax v. Ralson Industries Ltd. (2005) was reversed on appeal by the Supreme Court in Commissioner of Income Tax, Bhopal v. Ralson Industries Ltd. (2007).</t>
        </is>
      </c>
      <c r="AE1068" s="2" t="n"/>
      <c r="AF1068" s="11" t="inlineStr">
        <is>
          <t>created from list 1</t>
        </is>
      </c>
    </row>
    <row r="1069">
      <c r="A1069" s="11" t="inlineStr">
        <is>
          <t>L1-1068</t>
        </is>
      </c>
      <c r="B1069" s="11" t="inlineStr">
        <is>
          <t>List 1 (to ~2015)</t>
        </is>
      </c>
      <c r="C1069" s="11" t="inlineStr">
        <is>
          <t>list1</t>
        </is>
      </c>
      <c r="D1069" s="11" t="inlineStr">
        <is>
          <t>verified</t>
        </is>
      </c>
      <c r="E1069" s="11" t="inlineStr">
        <is>
          <t>overruled</t>
        </is>
      </c>
      <c r="F1069" s="2" t="inlineStr">
        <is>
          <t>Badri Singh Thakur and Others v. National Thermal Power Corporation and Others</t>
        </is>
      </c>
      <c r="G1069" s="11" t="inlineStr"/>
      <c r="H1069" s="11" t="inlineStr">
        <is>
          <t>unknown</t>
        </is>
      </c>
      <c r="I1069" s="2" t="inlineStr">
        <is>
          <t>(2004) 102 FLR 468; (2004) 2 LLJ 1101; (2004) 3 MPHT 96; (2004) 2 MPLJ 348</t>
        </is>
      </c>
      <c r="J1069" s="11" t="n">
        <v>2004</v>
      </c>
      <c r="K1069" s="2" t="inlineStr">
        <is>
          <t>N.T.P.C. and Others v. Badri Singh Thakur and Others</t>
        </is>
      </c>
      <c r="L1069" s="11" t="inlineStr">
        <is>
          <t>Supreme Court</t>
        </is>
      </c>
      <c r="M1069" s="2" t="inlineStr">
        <is>
          <t>(2009) 120 FLR 153; (2008) 10 JT 550; (2009) 1 LLJ 198; (2008) 11 SCALE 275; (2008) 9 SCC 377; (2008) 2 SCC(L&amp;S) 903; (2009) 1 SLJ 484; (2009) 1 SLR 391</t>
        </is>
      </c>
      <c r="N1069" s="11" t="n">
        <v>2008</v>
      </c>
      <c r="O1069" s="11" t="n"/>
      <c r="P1069" s="11" t="n"/>
      <c r="Q1069" s="11" t="n"/>
      <c r="R1069" s="2" t="n"/>
      <c r="S1069" s="2" t="n"/>
      <c r="T1069" s="11" t="inlineStr"/>
      <c r="U1069" s="11" t="inlineStr"/>
      <c r="V1069" s="11" t="inlineStr">
        <is>
          <t>outside_list</t>
        </is>
      </c>
      <c r="W1069" s="11" t="n"/>
      <c r="X1069" s="11" t="n"/>
      <c r="Y1069" s="11" t="n"/>
      <c r="Z1069" s="11" t="inlineStr">
        <is>
          <t>Mr. Advocate</t>
        </is>
      </c>
      <c r="AA1069" s="11" t="inlineStr">
        <is>
          <t>2026-10-07</t>
        </is>
      </c>
      <c r="AB1069" s="11" t="inlineStr">
        <is>
          <t>name_year</t>
        </is>
      </c>
      <c r="AC1069" s="2" t="inlineStr"/>
      <c r="AD1069" s="2" t="inlineStr">
        <is>
          <t>Badri Singh Thakur and Others v. National Thermal Power Corporation and Others (2004) was overruled by N.T.P.C. and Others v. Badri Singh Thakur and Others (2008).</t>
        </is>
      </c>
      <c r="AE1069" s="2" t="n"/>
      <c r="AF1069" s="11" t="inlineStr">
        <is>
          <t>created from list 1</t>
        </is>
      </c>
    </row>
    <row r="1070">
      <c r="A1070" s="11" t="inlineStr">
        <is>
          <t>L1-1069</t>
        </is>
      </c>
      <c r="B1070" s="11" t="inlineStr">
        <is>
          <t>List 1 (to ~2015)</t>
        </is>
      </c>
      <c r="C1070" s="11" t="inlineStr">
        <is>
          <t>list1</t>
        </is>
      </c>
      <c r="D1070" s="11" t="inlineStr">
        <is>
          <t>verified</t>
        </is>
      </c>
      <c r="E1070" s="11" t="inlineStr">
        <is>
          <t>overruled</t>
        </is>
      </c>
      <c r="F1070" s="2" t="inlineStr">
        <is>
          <t>The Gwalior Rayon Silk Manufacturing (Wvg.) Co. Ltd., Birlagram, Ujjain v. The Textiles Committee, Bombay and Another</t>
        </is>
      </c>
      <c r="G1070" s="11" t="inlineStr"/>
      <c r="H1070" s="11" t="inlineStr">
        <is>
          <t>Madhya Pradesh</t>
        </is>
      </c>
      <c r="I1070" s="2" t="inlineStr">
        <is>
          <t>AIR 1980 MP 69; (1980) MPLJ 272</t>
        </is>
      </c>
      <c r="J1070" s="11" t="n">
        <v>1980</v>
      </c>
      <c r="K1070" s="2" t="inlineStr">
        <is>
          <t>Sirsilk Ltd. v. Textiles Committee and Others</t>
        </is>
      </c>
      <c r="L1070" s="11" t="inlineStr">
        <is>
          <t>Supreme Court</t>
        </is>
      </c>
      <c r="M1070" s="2" t="inlineStr">
        <is>
          <t>AIR 1989 SC 317; (1988) 4 JT 92; (1988) 2 SCALE 975; (1989) 1 SCC 168 Supp; (1988) 2 SCR 880 Supp</t>
        </is>
      </c>
      <c r="N1070" s="11" t="n">
        <v>1989</v>
      </c>
      <c r="O1070" s="11" t="n"/>
      <c r="P1070" s="11" t="n"/>
      <c r="Q1070" s="11" t="n"/>
      <c r="R1070" s="2" t="n"/>
      <c r="S1070" s="2" t="n"/>
      <c r="T1070" s="11" t="inlineStr"/>
      <c r="U1070" s="11" t="inlineStr"/>
      <c r="V1070" s="11" t="inlineStr">
        <is>
          <t>outside_list</t>
        </is>
      </c>
      <c r="W1070" s="11" t="n"/>
      <c r="X1070" s="11" t="n"/>
      <c r="Y1070" s="11" t="n"/>
      <c r="Z1070" s="11" t="inlineStr">
        <is>
          <t>Mr. Advocate</t>
        </is>
      </c>
      <c r="AA1070" s="11" t="inlineStr">
        <is>
          <t>2026-10-07</t>
        </is>
      </c>
      <c r="AB1070" s="11" t="inlineStr">
        <is>
          <t>name_year</t>
        </is>
      </c>
      <c r="AC1070" s="2" t="inlineStr"/>
      <c r="AD1070" s="2" t="inlineStr">
        <is>
          <t>The Gwalior Rayon Silk Manufacturing (Wvg.) Co. Ltd., Birlagram, Ujjain v. The Textiles Committee, Bombay and Another (1980) was overruled by Sirsilk Ltd. v. Textiles Committee and Others (1989).</t>
        </is>
      </c>
      <c r="AE1070" s="2" t="n"/>
      <c r="AF1070" s="11" t="inlineStr">
        <is>
          <t>created from list 1</t>
        </is>
      </c>
    </row>
    <row r="1071">
      <c r="A1071" s="11" t="inlineStr">
        <is>
          <t>L1-1070</t>
        </is>
      </c>
      <c r="B1071" s="11" t="inlineStr">
        <is>
          <t>List 1 (to ~2015)</t>
        </is>
      </c>
      <c r="C1071" s="11" t="inlineStr">
        <is>
          <t>list1</t>
        </is>
      </c>
      <c r="D1071" s="11" t="inlineStr">
        <is>
          <t>verified</t>
        </is>
      </c>
      <c r="E1071" s="11" t="inlineStr">
        <is>
          <t>overruled</t>
        </is>
      </c>
      <c r="F1071" s="2" t="inlineStr">
        <is>
          <t>Ramraj Singh v. State of M.P. and Another</t>
        </is>
      </c>
      <c r="G1071" s="11" t="inlineStr"/>
      <c r="H1071" s="11" t="inlineStr">
        <is>
          <t>unknown</t>
        </is>
      </c>
      <c r="I1071" s="2" t="inlineStr">
        <is>
          <t>(2003) 1 BC 384; (2003) 1 JLJ 227; (2003) 1 MPHT 178</t>
        </is>
      </c>
      <c r="J1071" s="11" t="n">
        <v>2003</v>
      </c>
      <c r="K1071" s="2" t="inlineStr">
        <is>
          <t>Ramrajsingh v. State of M.P. and Another</t>
        </is>
      </c>
      <c r="L1071" s="11" t="inlineStr">
        <is>
          <t>Supreme Court</t>
        </is>
      </c>
      <c r="M1071" s="2" t="inlineStr">
        <is>
          <t>(2009) 152 CompCas 346; (2009) 5 JT 649; (2009) 5 SCALE 670; (2009) 6 SCC 729; (2009) 5 SCR 1130</t>
        </is>
      </c>
      <c r="N1071" s="11" t="n">
        <v>2009</v>
      </c>
      <c r="O1071" s="11" t="n"/>
      <c r="P1071" s="11" t="n"/>
      <c r="Q1071" s="11" t="n"/>
      <c r="R1071" s="2" t="n"/>
      <c r="S1071" s="2" t="n"/>
      <c r="T1071" s="11" t="inlineStr"/>
      <c r="U1071" s="11" t="inlineStr"/>
      <c r="V1071" s="11" t="inlineStr">
        <is>
          <t>outside_list</t>
        </is>
      </c>
      <c r="W1071" s="11" t="n"/>
      <c r="X1071" s="11" t="n"/>
      <c r="Y1071" s="11" t="n"/>
      <c r="Z1071" s="11" t="inlineStr">
        <is>
          <t>Mr. Advocate</t>
        </is>
      </c>
      <c r="AA1071" s="11" t="inlineStr">
        <is>
          <t>2026-10-07</t>
        </is>
      </c>
      <c r="AB1071" s="11" t="inlineStr">
        <is>
          <t>name_year</t>
        </is>
      </c>
      <c r="AC1071" s="2" t="inlineStr"/>
      <c r="AD1071" s="2" t="inlineStr">
        <is>
          <t>Ramraj Singh v. State of M.P. and Another (2003) was overruled by Ramrajsingh v. State of M.P. and Another (2009).</t>
        </is>
      </c>
      <c r="AE1071" s="2" t="n"/>
      <c r="AF1071" s="11" t="inlineStr">
        <is>
          <t>created from list 1</t>
        </is>
      </c>
    </row>
    <row r="1072">
      <c r="A1072" s="11" t="inlineStr">
        <is>
          <t>L1-1071</t>
        </is>
      </c>
      <c r="B1072" s="11" t="inlineStr">
        <is>
          <t>List 1 (to ~2015)</t>
        </is>
      </c>
      <c r="C1072" s="11" t="inlineStr">
        <is>
          <t>list1</t>
        </is>
      </c>
      <c r="D1072" s="11" t="inlineStr">
        <is>
          <t>verified</t>
        </is>
      </c>
      <c r="E1072" s="11" t="inlineStr">
        <is>
          <t>reversed_on_appeal</t>
        </is>
      </c>
      <c r="F1072" s="2" t="inlineStr">
        <is>
          <t>Deepak Jain v. Century Textiles Industries Company and Another</t>
        </is>
      </c>
      <c r="G1072" s="11" t="inlineStr"/>
      <c r="H1072" s="11" t="inlineStr">
        <is>
          <t>unknown</t>
        </is>
      </c>
      <c r="I1072" s="2" t="inlineStr">
        <is>
          <t>(2005) ILR (MP) 364; (2005) 1 MPHT 241; (2005) 1 MPLJ 464</t>
        </is>
      </c>
      <c r="J1072" s="11" t="n">
        <v>2005</v>
      </c>
      <c r="K1072" s="2" t="inlineStr">
        <is>
          <t>Century Textiles Industries Ltd. v. Deepak Jain and Another</t>
        </is>
      </c>
      <c r="L1072" s="11" t="inlineStr">
        <is>
          <t>Supreme Court</t>
        </is>
      </c>
      <c r="M1072" s="2" t="inlineStr">
        <is>
          <t>(2009) 4 JT 342; (2009) 4 SCALE 501; (2009) 5 SCC 634; (2009) 4 SCR 750; (2009) 4 UJ 1798</t>
        </is>
      </c>
      <c r="N1072" s="11" t="n">
        <v>2009</v>
      </c>
      <c r="O1072" s="11" t="n"/>
      <c r="P1072" s="11" t="n"/>
      <c r="Q1072" s="11" t="n"/>
      <c r="R1072" s="2" t="n"/>
      <c r="S1072" s="2" t="n"/>
      <c r="T1072" s="11" t="inlineStr">
        <is>
          <t>yes</t>
        </is>
      </c>
      <c r="U1072" s="11" t="inlineStr"/>
      <c r="V1072" s="11" t="inlineStr">
        <is>
          <t>outside_list</t>
        </is>
      </c>
      <c r="W1072" s="11" t="n"/>
      <c r="X1072" s="11" t="n"/>
      <c r="Y1072" s="11" t="n"/>
      <c r="Z1072" s="11" t="inlineStr">
        <is>
          <t>Mr. Advocate</t>
        </is>
      </c>
      <c r="AA1072" s="11" t="inlineStr">
        <is>
          <t>2026-10-07</t>
        </is>
      </c>
      <c r="AB1072" s="11" t="inlineStr">
        <is>
          <t>name_year</t>
        </is>
      </c>
      <c r="AC1072" s="2" t="inlineStr"/>
      <c r="AD1072" s="2" t="inlineStr">
        <is>
          <t>Deepak Jain v. Century Textiles Industries Company and Another (2005) was reversed on appeal by the Supreme Court in Century Textiles Industries Ltd. v. Deepak Jain and Another (2009).</t>
        </is>
      </c>
      <c r="AE1072" s="2" t="n"/>
      <c r="AF1072" s="11" t="inlineStr">
        <is>
          <t>created from list 1</t>
        </is>
      </c>
    </row>
    <row r="1073">
      <c r="A1073" s="11" t="inlineStr">
        <is>
          <t>L1-1072</t>
        </is>
      </c>
      <c r="B1073" s="11" t="inlineStr">
        <is>
          <t>List 1 (to ~2015)</t>
        </is>
      </c>
      <c r="C1073" s="11" t="inlineStr">
        <is>
          <t>list1</t>
        </is>
      </c>
      <c r="D1073" s="11" t="inlineStr">
        <is>
          <t>verified</t>
        </is>
      </c>
      <c r="E1073" s="11" t="inlineStr">
        <is>
          <t>overruled</t>
        </is>
      </c>
      <c r="F1073" s="2" t="inlineStr">
        <is>
          <t>Abdul Haq v. Yasmin Talat</t>
        </is>
      </c>
      <c r="G1073" s="11" t="inlineStr"/>
      <c r="H1073" s="11" t="inlineStr">
        <is>
          <t>unknown</t>
        </is>
      </c>
      <c r="I1073" s="2" t="inlineStr">
        <is>
          <t>(1998) CriLJ 3433; (1998) ILR (MP) 435</t>
        </is>
      </c>
      <c r="J1073" s="11" t="n">
        <v>1998</v>
      </c>
      <c r="K1073" s="2" t="inlineStr">
        <is>
          <t>Danial Latifi and Another v. Union of India</t>
        </is>
      </c>
      <c r="L1073" s="11" t="inlineStr">
        <is>
          <t>Supreme Court</t>
        </is>
      </c>
      <c r="M1073" s="2" t="inlineStr">
        <is>
          <t>(2001) 8 AD 1; AIR 2001 SC 3958; (2001) CriLJ 4660; (2001) 2 DMC 714; (2001) 8 JT 218; (2001) 6 SCALE 537; (2001) 7 SCC 740; (2001) AIRSCW 3932; (2001) 7 Supreme 297</t>
        </is>
      </c>
      <c r="N1073" s="11" t="n">
        <v>2001</v>
      </c>
      <c r="O1073" s="11" t="n"/>
      <c r="P1073" s="11" t="n"/>
      <c r="Q1073" s="11" t="n"/>
      <c r="R1073" s="2" t="n"/>
      <c r="S1073" s="2" t="n"/>
      <c r="T1073" s="11" t="inlineStr"/>
      <c r="U1073" s="11" t="inlineStr"/>
      <c r="V1073" s="11" t="inlineStr">
        <is>
          <t>outside_list</t>
        </is>
      </c>
      <c r="W1073" s="11" t="n"/>
      <c r="X1073" s="11" t="n"/>
      <c r="Y1073" s="11" t="n"/>
      <c r="Z1073" s="11" t="inlineStr">
        <is>
          <t>Mr. Advocate</t>
        </is>
      </c>
      <c r="AA1073" s="11" t="inlineStr">
        <is>
          <t>2026-10-07</t>
        </is>
      </c>
      <c r="AB1073" s="11" t="inlineStr">
        <is>
          <t>name_year</t>
        </is>
      </c>
      <c r="AC1073" s="2" t="inlineStr"/>
      <c r="AD1073" s="2" t="inlineStr">
        <is>
          <t>Abdul Haq v. Yasmin Talat (1998) was overruled by Danial Latifi and Another v. Union of India (2001).</t>
        </is>
      </c>
      <c r="AE1073" s="2" t="n"/>
      <c r="AF1073" s="11" t="inlineStr">
        <is>
          <t>created from list 1</t>
        </is>
      </c>
    </row>
    <row r="1074">
      <c r="A1074" s="11" t="inlineStr">
        <is>
          <t>L1-1073</t>
        </is>
      </c>
      <c r="B1074" s="11" t="inlineStr">
        <is>
          <t>List 1 (to ~2015)</t>
        </is>
      </c>
      <c r="C1074" s="11" t="inlineStr">
        <is>
          <t>list1</t>
        </is>
      </c>
      <c r="D1074" s="11" t="inlineStr">
        <is>
          <t>verified</t>
        </is>
      </c>
      <c r="E1074" s="11" t="inlineStr">
        <is>
          <t>overruled</t>
        </is>
      </c>
      <c r="F1074" s="2" t="inlineStr">
        <is>
          <t>Cine Exhibitors Pvt. Ltd. v. Gwalior Development Authority and Others</t>
        </is>
      </c>
      <c r="G1074" s="11" t="inlineStr"/>
      <c r="H1074" s="11" t="inlineStr">
        <is>
          <t>unknown</t>
        </is>
      </c>
      <c r="I1074" s="2" t="inlineStr">
        <is>
          <t>(2008) ILR (MP) 1872; (2008) 2 JLJ 172; (2008) 3 MPHT 91; (2008) 3 MPJR 21; (2008) 3 MPLJ 389</t>
        </is>
      </c>
      <c r="J1074" s="11" t="n">
        <v>2008</v>
      </c>
      <c r="K1074" s="2" t="inlineStr">
        <is>
          <t>Collector, Distt. Gwalior and Another v. Cine Exhibitors P. Ltd. and Another</t>
        </is>
      </c>
      <c r="L1074" s="11" t="inlineStr">
        <is>
          <t>Supreme Court</t>
        </is>
      </c>
      <c r="M1074" s="2" t="inlineStr">
        <is>
          <t>AIR 2012 SC 1239; (2012) 4 SCC 441; (2012) AIRSCW 1281</t>
        </is>
      </c>
      <c r="N1074" s="11" t="n">
        <v>2012</v>
      </c>
      <c r="O1074" s="11" t="n"/>
      <c r="P1074" s="11" t="n"/>
      <c r="Q1074" s="11" t="n"/>
      <c r="R1074" s="2" t="n"/>
      <c r="S1074" s="2" t="n"/>
      <c r="T1074" s="11" t="inlineStr"/>
      <c r="U1074" s="11" t="inlineStr"/>
      <c r="V1074" s="11" t="inlineStr">
        <is>
          <t>outside_list</t>
        </is>
      </c>
      <c r="W1074" s="11" t="n"/>
      <c r="X1074" s="11" t="n"/>
      <c r="Y1074" s="11" t="n"/>
      <c r="Z1074" s="11" t="inlineStr">
        <is>
          <t>Mr. Advocate</t>
        </is>
      </c>
      <c r="AA1074" s="11" t="inlineStr">
        <is>
          <t>2026-10-07</t>
        </is>
      </c>
      <c r="AB1074" s="11" t="inlineStr">
        <is>
          <t>name_year</t>
        </is>
      </c>
      <c r="AC1074" s="2" t="inlineStr"/>
      <c r="AD1074" s="2" t="inlineStr">
        <is>
          <t>Cine Exhibitors Pvt. Ltd. v. Gwalior Development Authority and Others (2008) was overruled by Collector, Distt. Gwalior and Another v. Cine Exhibitors P. Ltd. and Another (2012).</t>
        </is>
      </c>
      <c r="AE1074" s="2" t="n"/>
      <c r="AF1074" s="11" t="inlineStr">
        <is>
          <t>created from list 1</t>
        </is>
      </c>
    </row>
    <row r="1075">
      <c r="A1075" s="11" t="inlineStr">
        <is>
          <t>L1-1074</t>
        </is>
      </c>
      <c r="B1075" s="11" t="inlineStr">
        <is>
          <t>List 1 (to ~2015)</t>
        </is>
      </c>
      <c r="C1075" s="11" t="inlineStr">
        <is>
          <t>list1</t>
        </is>
      </c>
      <c r="D1075" s="11" t="inlineStr">
        <is>
          <t>verified</t>
        </is>
      </c>
      <c r="E1075" s="11" t="inlineStr">
        <is>
          <t>reversed_on_appeal</t>
        </is>
      </c>
      <c r="F1075" s="2" t="inlineStr">
        <is>
          <t>Kabushiki Kaisha Toshiba (Toshiba Corporation) v. Toshiba Appliances Co. and Others</t>
        </is>
      </c>
      <c r="G1075" s="11" t="inlineStr"/>
      <c r="H1075" s="11" t="inlineStr">
        <is>
          <t>unknown</t>
        </is>
      </c>
      <c r="I1075" s="2" t="inlineStr">
        <is>
          <t>(2006) 1 CALLT 601; (2006) 1 CHN 487; 110 CWN 352; (2006) 32 PTC 243</t>
        </is>
      </c>
      <c r="J1075" s="11" t="n">
        <v>2006</v>
      </c>
      <c r="K1075" s="2" t="inlineStr">
        <is>
          <t>Kabushiki Kaisha Toshiba v. TOSIBA Appliances Co. and Others</t>
        </is>
      </c>
      <c r="L1075" s="11" t="inlineStr">
        <is>
          <t>Supreme Court</t>
        </is>
      </c>
      <c r="M1075" s="2" t="inlineStr">
        <is>
          <t>AIR 2009 SC 892; (2008) 37 PTC 394; (2008) 8 SCALE 354; (2008) 10 SCC 766</t>
        </is>
      </c>
      <c r="N1075" s="11" t="n">
        <v>2009</v>
      </c>
      <c r="O1075" s="11" t="n"/>
      <c r="P1075" s="11" t="n"/>
      <c r="Q1075" s="11" t="n"/>
      <c r="R1075" s="2" t="n"/>
      <c r="S1075" s="2" t="n"/>
      <c r="T1075" s="11" t="inlineStr">
        <is>
          <t>yes</t>
        </is>
      </c>
      <c r="U1075" s="11" t="inlineStr"/>
      <c r="V1075" s="11" t="inlineStr">
        <is>
          <t>outside_list</t>
        </is>
      </c>
      <c r="W1075" s="11" t="n"/>
      <c r="X1075" s="11" t="n"/>
      <c r="Y1075" s="11" t="n"/>
      <c r="Z1075" s="11" t="inlineStr">
        <is>
          <t>Mr. Advocate</t>
        </is>
      </c>
      <c r="AA1075" s="11" t="inlineStr">
        <is>
          <t>2026-10-07</t>
        </is>
      </c>
      <c r="AB1075" s="11" t="inlineStr">
        <is>
          <t>name_year</t>
        </is>
      </c>
      <c r="AC1075" s="2" t="inlineStr"/>
      <c r="AD1075" s="2" t="inlineStr">
        <is>
          <t>Kabushiki Kaisha Toshiba (Toshiba Corporation) v. Toshiba Appliances Co. and Others (2006) was reversed on appeal by the Supreme Court in Kabushiki Kaisha Toshiba v. TOSIBA Appliances Co. and Others (2009).</t>
        </is>
      </c>
      <c r="AE1075" s="2" t="n"/>
      <c r="AF1075" s="11" t="inlineStr">
        <is>
          <t>created from list 1</t>
        </is>
      </c>
    </row>
    <row r="1076">
      <c r="A1076" s="11" t="inlineStr">
        <is>
          <t>L1-1075</t>
        </is>
      </c>
      <c r="B1076" s="11" t="inlineStr">
        <is>
          <t>List 1 (to ~2015)</t>
        </is>
      </c>
      <c r="C1076" s="11" t="inlineStr">
        <is>
          <t>list1</t>
        </is>
      </c>
      <c r="D1076" s="11" t="inlineStr">
        <is>
          <t>verified</t>
        </is>
      </c>
      <c r="E1076" s="11" t="inlineStr">
        <is>
          <t>reversed_on_appeal</t>
        </is>
      </c>
      <c r="F1076" s="2" t="inlineStr">
        <is>
          <t>Commissioner of Income Tax v. Shri Manakram</t>
        </is>
      </c>
      <c r="G1076" s="11" t="inlineStr"/>
      <c r="H1076" s="11" t="inlineStr">
        <is>
          <t>unknown</t>
        </is>
      </c>
      <c r="I1076" s="2" t="inlineStr">
        <is>
          <t>(1990) 183 ITR 382; (1990) MPLJ 727; (1990) 53 TAXMAN 448</t>
        </is>
      </c>
      <c r="J1076" s="11" t="n">
        <v>1990</v>
      </c>
      <c r="K1076" s="2" t="inlineStr">
        <is>
          <t>Commissioner of Income Tax, Ludhiana, etc.etc. v. Shri Om Prakash, etc.</t>
        </is>
      </c>
      <c r="L1076" s="11" t="inlineStr">
        <is>
          <t>Supreme Court</t>
        </is>
      </c>
      <c r="M1076" s="2" t="inlineStr">
        <is>
          <t>(1996) 1 AD 205; AIR 1996 SC 593; AIR 1995 SC 593; (1996) 130 CTR 82; (1996) 217 ITR 785; (1995) 8 JT 245; (1995) 6 SCALE 487; (1995) 4 SCC 737 Supp; (1995) 5 SCR 346 Supp; (1996) 84 TAXMAN 156</t>
        </is>
      </c>
      <c r="N1076" s="11" t="n">
        <v>1996</v>
      </c>
      <c r="O1076" s="11" t="n"/>
      <c r="P1076" s="11" t="n"/>
      <c r="Q1076" s="11" t="n"/>
      <c r="R1076" s="2" t="n"/>
      <c r="S1076" s="2" t="n"/>
      <c r="T1076" s="11" t="inlineStr">
        <is>
          <t>yes</t>
        </is>
      </c>
      <c r="U1076" s="11" t="inlineStr">
        <is>
          <t>needs_citation_or_year</t>
        </is>
      </c>
      <c r="V1076" s="11" t="inlineStr">
        <is>
          <t>outside_list</t>
        </is>
      </c>
      <c r="W1076" s="11" t="n"/>
      <c r="X1076" s="11" t="n"/>
      <c r="Y1076" s="11" t="n"/>
      <c r="Z1076" s="11" t="inlineStr">
        <is>
          <t>Mr. Advocate</t>
        </is>
      </c>
      <c r="AA1076" s="11" t="inlineStr">
        <is>
          <t>2026-10-07</t>
        </is>
      </c>
      <c r="AB1076" s="11" t="inlineStr">
        <is>
          <t>none</t>
        </is>
      </c>
      <c r="AC1076" s="2" t="inlineStr"/>
      <c r="AD1076" s="2" t="inlineStr">
        <is>
          <t>Commissioner of Income Tax v. Shri Manakram (1990) was reversed on appeal by the Supreme Court in Commissioner of Income Tax, Ludhiana, etc.etc. v. Shri Om Prakash, etc. (1996).</t>
        </is>
      </c>
      <c r="AE1076" s="2" t="n"/>
      <c r="AF1076" s="11" t="inlineStr">
        <is>
          <t>created from list 1</t>
        </is>
      </c>
    </row>
    <row r="1077">
      <c r="A1077" s="11" t="inlineStr">
        <is>
          <t>L1-1076</t>
        </is>
      </c>
      <c r="B1077" s="11" t="inlineStr">
        <is>
          <t>List 1 (to ~2015)</t>
        </is>
      </c>
      <c r="C1077" s="11" t="inlineStr">
        <is>
          <t>list1</t>
        </is>
      </c>
      <c r="D1077" s="11" t="inlineStr">
        <is>
          <t>verified</t>
        </is>
      </c>
      <c r="E1077" s="11" t="inlineStr">
        <is>
          <t>overruled</t>
        </is>
      </c>
      <c r="F1077" s="2" t="inlineStr">
        <is>
          <t>Ramji Porte and Others v. Premabai Patel and Others</t>
        </is>
      </c>
      <c r="G1077" s="11" t="inlineStr"/>
      <c r="H1077" s="11" t="inlineStr">
        <is>
          <t>Madhya Pradesh</t>
        </is>
      </c>
      <c r="I1077" s="2" t="inlineStr">
        <is>
          <t>(2000) ACJ 1359; AIR 1998 MP 257; (1998) ILR (MP) 118; (1998) 2 JLJ 34; (1998) 2 MPLJ 442</t>
        </is>
      </c>
      <c r="J1077" s="11" t="n">
        <v>1998</v>
      </c>
      <c r="K1077" s="2" t="inlineStr">
        <is>
          <t>National Insurance Co. Ltd. v. Prembai Patel and Others</t>
        </is>
      </c>
      <c r="L1077" s="11" t="inlineStr">
        <is>
          <t>Supreme Court</t>
        </is>
      </c>
      <c r="M1077" s="2" t="inlineStr">
        <is>
          <t>(2005) 2 ACC 361; (2005) ACJ 1323; AIR 2005 SC 2337; (2005) 125 CompCas 86; (2005) 3 CTC 569; (2005) 4 JT 399; (2005) 2 LLJ 1109; (2005) 6 SCC 172; (2005) SCC(L&amp;S) 819; (2005) 3 SCR 655; (2005) AIRSCW 2254; (2005) 3 Supreme 587</t>
        </is>
      </c>
      <c r="N1077" s="11" t="n">
        <v>2005</v>
      </c>
      <c r="O1077" s="11" t="n"/>
      <c r="P1077" s="11" t="n"/>
      <c r="Q1077" s="11" t="n"/>
      <c r="R1077" s="2" t="n"/>
      <c r="S1077" s="2" t="n"/>
      <c r="T1077" s="11" t="inlineStr"/>
      <c r="U1077" s="11" t="inlineStr"/>
      <c r="V1077" s="11" t="inlineStr">
        <is>
          <t>outside_list</t>
        </is>
      </c>
      <c r="W1077" s="11" t="n"/>
      <c r="X1077" s="11" t="n"/>
      <c r="Y1077" s="11" t="n"/>
      <c r="Z1077" s="11" t="inlineStr">
        <is>
          <t>Mr. Advocate</t>
        </is>
      </c>
      <c r="AA1077" s="11" t="inlineStr">
        <is>
          <t>2026-10-07</t>
        </is>
      </c>
      <c r="AB1077" s="11" t="inlineStr">
        <is>
          <t>name_year</t>
        </is>
      </c>
      <c r="AC1077" s="2" t="inlineStr"/>
      <c r="AD1077" s="2" t="inlineStr">
        <is>
          <t>Ramji Porte and Others v. Premabai Patel and Others (1998) was overruled by National Insurance Co. Ltd. v. Prembai Patel and Others (2005).</t>
        </is>
      </c>
      <c r="AE1077" s="2" t="n"/>
      <c r="AF1077" s="11" t="inlineStr">
        <is>
          <t>created from list 1</t>
        </is>
      </c>
    </row>
    <row r="1078">
      <c r="A1078" s="11" t="inlineStr">
        <is>
          <t>L1-1077</t>
        </is>
      </c>
      <c r="B1078" s="11" t="inlineStr">
        <is>
          <t>List 1 (to ~2015)</t>
        </is>
      </c>
      <c r="C1078" s="11" t="inlineStr">
        <is>
          <t>list1</t>
        </is>
      </c>
      <c r="D1078" s="11" t="inlineStr">
        <is>
          <t>verified</t>
        </is>
      </c>
      <c r="E1078" s="11" t="inlineStr">
        <is>
          <t>reversed_on_appeal</t>
        </is>
      </c>
      <c r="F1078" s="2" t="inlineStr">
        <is>
          <t>M/s Kalpataru Agroforest Enterprises v. Union of India</t>
        </is>
      </c>
      <c r="G1078" s="11" t="inlineStr"/>
      <c r="H1078" s="11" t="inlineStr">
        <is>
          <t>unknown</t>
        </is>
      </c>
      <c r="I1078" s="2" t="inlineStr">
        <is>
          <t>(2001) 4 MPHT 76</t>
        </is>
      </c>
      <c r="J1078" s="11" t="n">
        <v>2001</v>
      </c>
      <c r="K1078" s="2" t="inlineStr">
        <is>
          <t>Kalpataru Agroforest Enterprises v. Union of India</t>
        </is>
      </c>
      <c r="L1078" s="11" t="inlineStr">
        <is>
          <t>Supreme Court</t>
        </is>
      </c>
      <c r="M1078" s="2" t="inlineStr">
        <is>
          <t>(2002) 1 ACC 680; (2002) ACJ 680; AIR 2002 SC 1402; (2002) 3 JT 16; (2002) 2 SCALE 483; (2002) 3 SCC 692; (2002) 2 SCR 298; (2002) AIRSCW 1245; (2002) 2 Supreme 294</t>
        </is>
      </c>
      <c r="N1078" s="11" t="n">
        <v>2002</v>
      </c>
      <c r="O1078" s="11" t="n"/>
      <c r="P1078" s="11" t="n"/>
      <c r="Q1078" s="11" t="n"/>
      <c r="R1078" s="2" t="n"/>
      <c r="S1078" s="2" t="n"/>
      <c r="T1078" s="11" t="inlineStr">
        <is>
          <t>yes</t>
        </is>
      </c>
      <c r="U1078" s="11" t="inlineStr"/>
      <c r="V1078" s="11" t="inlineStr">
        <is>
          <t>outside_list</t>
        </is>
      </c>
      <c r="W1078" s="11" t="n"/>
      <c r="X1078" s="11" t="n"/>
      <c r="Y1078" s="11" t="n"/>
      <c r="Z1078" s="11" t="inlineStr">
        <is>
          <t>Mr. Advocate</t>
        </is>
      </c>
      <c r="AA1078" s="11" t="inlineStr">
        <is>
          <t>2026-10-07</t>
        </is>
      </c>
      <c r="AB1078" s="11" t="inlineStr">
        <is>
          <t>name_year</t>
        </is>
      </c>
      <c r="AC1078" s="2" t="inlineStr"/>
      <c r="AD1078" s="2" t="inlineStr">
        <is>
          <t>M/s Kalpataru Agroforest Enterprises v. Union of India (2001) was reversed on appeal by the Supreme Court in Kalpataru Agroforest Enterprises v. Union of India (2002).</t>
        </is>
      </c>
      <c r="AE1078" s="2" t="n"/>
      <c r="AF1078" s="11" t="inlineStr">
        <is>
          <t>created from list 1</t>
        </is>
      </c>
    </row>
    <row r="1079">
      <c r="A1079" s="11" t="inlineStr">
        <is>
          <t>L1-1078</t>
        </is>
      </c>
      <c r="B1079" s="11" t="inlineStr">
        <is>
          <t>List 1 (to ~2015)</t>
        </is>
      </c>
      <c r="C1079" s="11" t="inlineStr">
        <is>
          <t>list1</t>
        </is>
      </c>
      <c r="D1079" s="11" t="inlineStr">
        <is>
          <t>verified</t>
        </is>
      </c>
      <c r="E1079" s="11" t="inlineStr">
        <is>
          <t>overruled</t>
        </is>
      </c>
      <c r="F1079" s="2" t="inlineStr">
        <is>
          <t>Jagdamba Industries and Others v. The State of Madhya Pradesh and Others</t>
        </is>
      </c>
      <c r="G1079" s="11" t="inlineStr"/>
      <c r="H1079" s="11" t="inlineStr">
        <is>
          <t>unknown</t>
        </is>
      </c>
      <c r="I1079" s="2" t="inlineStr">
        <is>
          <t>(1989) ILR (MP) 502; (1988) JLJ 701; (1988) MPLJ 620; (1988) 69 STC 1</t>
        </is>
      </c>
      <c r="J1079" s="11" t="n">
        <v>1988</v>
      </c>
      <c r="K1079" s="2" t="inlineStr">
        <is>
          <t>State of Madhya Pradesh and another v. G.S. Dall and Flour Mills and Others</t>
        </is>
      </c>
      <c r="L1079" s="11" t="inlineStr">
        <is>
          <t>Supreme Court</t>
        </is>
      </c>
      <c r="M1079" s="2" t="inlineStr">
        <is>
          <t>AIR 1991 SC 772; (1991) 187 ITR 478; (1990) 4 JT 430; (1990) 2 SCALE 756; (1992) 1 SCC 150 Supp; (1990) 1 SCR 590 Supp; (1991) 80 STC 138</t>
        </is>
      </c>
      <c r="N1079" s="11" t="n">
        <v>1991</v>
      </c>
      <c r="O1079" s="11" t="n"/>
      <c r="P1079" s="11" t="n"/>
      <c r="Q1079" s="11" t="n"/>
      <c r="R1079" s="2" t="n"/>
      <c r="S1079" s="2" t="n"/>
      <c r="T1079" s="11" t="inlineStr"/>
      <c r="U1079" s="11" t="inlineStr"/>
      <c r="V1079" s="11" t="inlineStr">
        <is>
          <t>outside_list</t>
        </is>
      </c>
      <c r="W1079" s="11" t="n"/>
      <c r="X1079" s="11" t="n"/>
      <c r="Y1079" s="11" t="n"/>
      <c r="Z1079" s="11" t="inlineStr">
        <is>
          <t>Mr. Advocate</t>
        </is>
      </c>
      <c r="AA1079" s="11" t="inlineStr">
        <is>
          <t>2026-10-07</t>
        </is>
      </c>
      <c r="AB1079" s="11" t="inlineStr">
        <is>
          <t>name_year</t>
        </is>
      </c>
      <c r="AC1079" s="2" t="inlineStr"/>
      <c r="AD1079" s="2" t="inlineStr">
        <is>
          <t>Jagdamba Industries and Others v. The State of Madhya Pradesh and Others (1988) was overruled by State of Madhya Pradesh and another v. G.S. Dall and Flour Mills and Others (1991).</t>
        </is>
      </c>
      <c r="AE1079" s="2" t="n"/>
      <c r="AF1079" s="11" t="inlineStr">
        <is>
          <t>created from list 1</t>
        </is>
      </c>
    </row>
    <row r="1080">
      <c r="A1080" s="11" t="inlineStr">
        <is>
          <t>L1-1079</t>
        </is>
      </c>
      <c r="B1080" s="11" t="inlineStr">
        <is>
          <t>List 1 (to ~2015)</t>
        </is>
      </c>
      <c r="C1080" s="11" t="inlineStr">
        <is>
          <t>list1</t>
        </is>
      </c>
      <c r="D1080" s="11" t="inlineStr">
        <is>
          <t>verified</t>
        </is>
      </c>
      <c r="E1080" s="11" t="inlineStr">
        <is>
          <t>reversed_on_appeal</t>
        </is>
      </c>
      <c r="F1080" s="2" t="inlineStr">
        <is>
          <t>Premlal Shrivas v. State of M.P. and Others</t>
        </is>
      </c>
      <c r="G1080" s="11" t="inlineStr"/>
      <c r="H1080" s="11" t="inlineStr">
        <is>
          <t>unknown</t>
        </is>
      </c>
      <c r="I1080" s="2" t="inlineStr">
        <is>
          <t>(2003) ILR (MP) 1195; (2002) 2 JLJ 131; (2002) 2 MPHT 473; (2002) 1 MPJR 214; (2002) 3 MPLJ 82</t>
        </is>
      </c>
      <c r="J1080" s="11" t="n">
        <v>2002</v>
      </c>
      <c r="K1080" s="2" t="inlineStr">
        <is>
          <t>State of M.P. and Others v. Premlal Shrivas</t>
        </is>
      </c>
      <c r="L1080" s="11" t="inlineStr">
        <is>
          <t>Supreme Court</t>
        </is>
      </c>
      <c r="M1080" s="2" t="inlineStr">
        <is>
          <t>AIR 2011 SC 3418; (2011) 131 FLR 361; (2011) 10 JT 519; (2011) 10 SCALE 600; (2011) 11 SCR 444; (2012) 1 SLJ 31; (2011) 6 UJ 3598; (2011) AIRSCW 5398</t>
        </is>
      </c>
      <c r="N1080" s="11" t="n">
        <v>2011</v>
      </c>
      <c r="O1080" s="11" t="n"/>
      <c r="P1080" s="11" t="n"/>
      <c r="Q1080" s="11" t="n"/>
      <c r="R1080" s="2" t="n"/>
      <c r="S1080" s="2" t="n"/>
      <c r="T1080" s="11" t="inlineStr">
        <is>
          <t>yes</t>
        </is>
      </c>
      <c r="U1080" s="11" t="inlineStr"/>
      <c r="V1080" s="11" t="inlineStr">
        <is>
          <t>outside_list</t>
        </is>
      </c>
      <c r="W1080" s="11" t="n"/>
      <c r="X1080" s="11" t="n"/>
      <c r="Y1080" s="11" t="n"/>
      <c r="Z1080" s="11" t="inlineStr">
        <is>
          <t>Mr. Advocate</t>
        </is>
      </c>
      <c r="AA1080" s="11" t="inlineStr">
        <is>
          <t>2026-10-07</t>
        </is>
      </c>
      <c r="AB1080" s="11" t="inlineStr">
        <is>
          <t>name_year</t>
        </is>
      </c>
      <c r="AC1080" s="2" t="inlineStr"/>
      <c r="AD1080" s="2" t="inlineStr">
        <is>
          <t>Premlal Shrivas v. State of M.P. and Others (2002) was reversed on appeal by the Supreme Court in State of M.P. and Others v. Premlal Shrivas (2011).</t>
        </is>
      </c>
      <c r="AE1080" s="2" t="n"/>
      <c r="AF1080" s="11" t="inlineStr">
        <is>
          <t>created from list 1</t>
        </is>
      </c>
    </row>
    <row r="1081">
      <c r="A1081" s="11" t="inlineStr">
        <is>
          <t>L1-1080</t>
        </is>
      </c>
      <c r="B1081" s="11" t="inlineStr">
        <is>
          <t>List 1 (to ~2015)</t>
        </is>
      </c>
      <c r="C1081" s="11" t="inlineStr">
        <is>
          <t>list1</t>
        </is>
      </c>
      <c r="D1081" s="11" t="inlineStr">
        <is>
          <t>verified</t>
        </is>
      </c>
      <c r="E1081" s="11" t="inlineStr">
        <is>
          <t>reversed_on_appeal</t>
        </is>
      </c>
      <c r="F1081" s="2" t="inlineStr">
        <is>
          <t>Navnit Kumar Potdar and Others v. M.P. Public Service Commission and Another</t>
        </is>
      </c>
      <c r="G1081" s="11" t="inlineStr"/>
      <c r="H1081" s="11" t="inlineStr">
        <is>
          <t>unknown</t>
        </is>
      </c>
      <c r="I1081" s="2" t="inlineStr">
        <is>
          <t>(1993) 3 LLJ 813; (1989) MPJR 340; (1989) MPLJ 620</t>
        </is>
      </c>
      <c r="J1081" s="11" t="n">
        <v>1989</v>
      </c>
      <c r="K1081" s="2" t="inlineStr">
        <is>
          <t>Madhya Pradesh Public Service Commission v. Navnit Kumar Potdar and another</t>
        </is>
      </c>
      <c r="L1081" s="11" t="inlineStr">
        <is>
          <t>Supreme Court</t>
        </is>
      </c>
      <c r="M1081" s="2" t="inlineStr">
        <is>
          <t>AIR 1995 SC 77; (1994) 6 JT 302; (1995) 1 LLJ 180; (1994) 4 SCALE 251; (1994) 6 SCC 293; (1994) 3 SCR 665 Supp; (1995) 1 SLJ 134; (1995) 1 UJ 115</t>
        </is>
      </c>
      <c r="N1081" s="11" t="n">
        <v>1995</v>
      </c>
      <c r="O1081" s="11" t="n"/>
      <c r="P1081" s="11" t="n"/>
      <c r="Q1081" s="11" t="n"/>
      <c r="R1081" s="2" t="n"/>
      <c r="S1081" s="2" t="n"/>
      <c r="T1081" s="11" t="inlineStr">
        <is>
          <t>yes</t>
        </is>
      </c>
      <c r="U1081" s="11" t="inlineStr"/>
      <c r="V1081" s="11" t="inlineStr">
        <is>
          <t>outside_list</t>
        </is>
      </c>
      <c r="W1081" s="11" t="n"/>
      <c r="X1081" s="11" t="n"/>
      <c r="Y1081" s="11" t="n"/>
      <c r="Z1081" s="11" t="inlineStr">
        <is>
          <t>Mr. Advocate</t>
        </is>
      </c>
      <c r="AA1081" s="11" t="inlineStr">
        <is>
          <t>2026-10-07</t>
        </is>
      </c>
      <c r="AB1081" s="11" t="inlineStr">
        <is>
          <t>name_year</t>
        </is>
      </c>
      <c r="AC1081" s="2" t="inlineStr"/>
      <c r="AD1081" s="2" t="inlineStr">
        <is>
          <t>Navnit Kumar Potdar and Others v. M.P. Public Service Commission and Another (1989) was reversed on appeal by the Supreme Court in Madhya Pradesh Public Service Commission v. Navnit Kumar Potdar and another (1995).</t>
        </is>
      </c>
      <c r="AE1081" s="2" t="n"/>
      <c r="AF1081" s="11" t="inlineStr">
        <is>
          <t>created from list 1</t>
        </is>
      </c>
    </row>
    <row r="1082">
      <c r="A1082" s="11" t="inlineStr">
        <is>
          <t>L1-1081</t>
        </is>
      </c>
      <c r="B1082" s="11" t="inlineStr">
        <is>
          <t>List 1 (to ~2015)</t>
        </is>
      </c>
      <c r="C1082" s="11" t="inlineStr">
        <is>
          <t>list1</t>
        </is>
      </c>
      <c r="D1082" s="11" t="inlineStr">
        <is>
          <t>verified</t>
        </is>
      </c>
      <c r="E1082" s="11" t="inlineStr">
        <is>
          <t>overruled</t>
        </is>
      </c>
      <c r="F1082" s="2" t="inlineStr">
        <is>
          <t>Gwalior Rayon Silk Manufacturing (Weaving) Company Ltd. v. Union of India (UOI) and Others</t>
        </is>
      </c>
      <c r="G1082" s="11" t="inlineStr"/>
      <c r="H1082" s="11" t="inlineStr">
        <is>
          <t>unknown</t>
        </is>
      </c>
      <c r="I1082" s="2" t="inlineStr">
        <is>
          <t>(1981) 8 ELT 52; (1980) MPLJ 581</t>
        </is>
      </c>
      <c r="J1082" s="11" t="n">
        <v>1980</v>
      </c>
      <c r="K1082" s="2" t="inlineStr">
        <is>
          <t>Union of India and another v. The Century Manufacturing Company Ltd.</t>
        </is>
      </c>
      <c r="L1082" s="11" t="inlineStr">
        <is>
          <t>Supreme Court</t>
        </is>
      </c>
      <c r="M1082" s="2" t="inlineStr">
        <is>
          <t>AIR 1992 SC 2055; (1992) 40 ECC 164; (1992) 41 ECR 193; (1992) 60 ELT 3; (1992) 3 JT 382; (1992) 1 SCALE 1200; (1992) 3 SCC 418; (1992) 3 SCR 282</t>
        </is>
      </c>
      <c r="N1082" s="11" t="n">
        <v>1992</v>
      </c>
      <c r="O1082" s="11" t="n"/>
      <c r="P1082" s="11" t="n"/>
      <c r="Q1082" s="11" t="n"/>
      <c r="R1082" s="2" t="n"/>
      <c r="S1082" s="2" t="n"/>
      <c r="T1082" s="11" t="inlineStr"/>
      <c r="U1082" s="11" t="inlineStr"/>
      <c r="V1082" s="11" t="inlineStr">
        <is>
          <t>outside_list</t>
        </is>
      </c>
      <c r="W1082" s="11" t="n"/>
      <c r="X1082" s="11" t="n"/>
      <c r="Y1082" s="11" t="n"/>
      <c r="Z1082" s="11" t="inlineStr">
        <is>
          <t>Mr. Advocate</t>
        </is>
      </c>
      <c r="AA1082" s="11" t="inlineStr">
        <is>
          <t>2026-10-07</t>
        </is>
      </c>
      <c r="AB1082" s="11" t="inlineStr">
        <is>
          <t>name_year</t>
        </is>
      </c>
      <c r="AC1082" s="2" t="inlineStr"/>
      <c r="AD1082" s="2" t="inlineStr">
        <is>
          <t>Gwalior Rayon Silk Manufacturing (Weaving) Company Ltd. v. Union of India (UOI) and Others (1980) was overruled by Union of India and another v. The Century Manufacturing Company Ltd. (1992).</t>
        </is>
      </c>
      <c r="AE1082" s="2" t="n"/>
      <c r="AF1082" s="11" t="inlineStr">
        <is>
          <t>created from list 1</t>
        </is>
      </c>
    </row>
    <row r="1083">
      <c r="A1083" s="11" t="inlineStr">
        <is>
          <t>L1-1082</t>
        </is>
      </c>
      <c r="B1083" s="11" t="inlineStr">
        <is>
          <t>List 1 (to ~2015)</t>
        </is>
      </c>
      <c r="C1083" s="11" t="inlineStr">
        <is>
          <t>list1</t>
        </is>
      </c>
      <c r="D1083" s="11" t="inlineStr">
        <is>
          <t>verified</t>
        </is>
      </c>
      <c r="E1083" s="11" t="inlineStr">
        <is>
          <t>overruled</t>
        </is>
      </c>
      <c r="F1083" s="2" t="inlineStr">
        <is>
          <t>Vidya Charan Shukla v. G.P. Tiwari and Others</t>
        </is>
      </c>
      <c r="G1083" s="11" t="inlineStr"/>
      <c r="H1083" s="11" t="inlineStr">
        <is>
          <t>Madhya Pradesh</t>
        </is>
      </c>
      <c r="I1083" s="2" t="inlineStr">
        <is>
          <t>AIR 1963 MP 356; (1964) ILR (MP) 9</t>
        </is>
      </c>
      <c r="J1083" s="11" t="n">
        <v>1963</v>
      </c>
      <c r="K1083" s="2" t="inlineStr">
        <is>
          <t>Dhartipakar Madan Lal Agarwal v. Rajiv Gandhi</t>
        </is>
      </c>
      <c r="L1083" s="11" t="inlineStr">
        <is>
          <t>Supreme Court</t>
        </is>
      </c>
      <c r="M1083" s="2" t="inlineStr">
        <is>
          <t>AIR 1987 SC 1577; (1987) 2 JT 402; (1987) 1 SCALE 1086; (1987) 1 SCC 93 Supp; (1987) SCC 93 Supp; (1987) 3 SCR 369; (1987) 2 UJ 671</t>
        </is>
      </c>
      <c r="N1083" s="11" t="n">
        <v>1987</v>
      </c>
      <c r="O1083" s="11" t="n"/>
      <c r="P1083" s="11" t="n"/>
      <c r="Q1083" s="11" t="n"/>
      <c r="R1083" s="2" t="n"/>
      <c r="S1083" s="2" t="n"/>
      <c r="T1083" s="11" t="inlineStr"/>
      <c r="U1083" s="11" t="inlineStr"/>
      <c r="V1083" s="11" t="inlineStr">
        <is>
          <t>outside_list</t>
        </is>
      </c>
      <c r="W1083" s="11" t="n"/>
      <c r="X1083" s="11" t="n"/>
      <c r="Y1083" s="11" t="n"/>
      <c r="Z1083" s="11" t="inlineStr">
        <is>
          <t>Mr. Advocate</t>
        </is>
      </c>
      <c r="AA1083" s="11" t="inlineStr">
        <is>
          <t>2026-10-07</t>
        </is>
      </c>
      <c r="AB1083" s="11" t="inlineStr">
        <is>
          <t>name_year</t>
        </is>
      </c>
      <c r="AC1083" s="2" t="inlineStr"/>
      <c r="AD1083" s="2" t="inlineStr">
        <is>
          <t>Vidya Charan Shukla v. G.P. Tiwari and Others (1963) was overruled by Dhartipakar Madan Lal Agarwal v. Rajiv Gandhi (1987).</t>
        </is>
      </c>
      <c r="AE1083" s="2" t="n"/>
      <c r="AF1083" s="11" t="inlineStr">
        <is>
          <t>created from list 1</t>
        </is>
      </c>
    </row>
    <row r="1084">
      <c r="A1084" s="11" t="inlineStr">
        <is>
          <t>L1-1083</t>
        </is>
      </c>
      <c r="B1084" s="11" t="inlineStr">
        <is>
          <t>List 1 (to ~2015)</t>
        </is>
      </c>
      <c r="C1084" s="11" t="inlineStr">
        <is>
          <t>list1</t>
        </is>
      </c>
      <c r="D1084" s="11" t="inlineStr">
        <is>
          <t>verified</t>
        </is>
      </c>
      <c r="E1084" s="11" t="inlineStr">
        <is>
          <t>overruled</t>
        </is>
      </c>
      <c r="F1084" s="2" t="inlineStr">
        <is>
          <t>Commissioner of Income Tax v. Dusad Industries</t>
        </is>
      </c>
      <c r="G1084" s="11" t="inlineStr"/>
      <c r="H1084" s="11" t="inlineStr">
        <is>
          <t>unknown</t>
        </is>
      </c>
      <c r="I1084" s="2" t="inlineStr">
        <is>
          <t>(1986) 51 CTR 217; (1986) 162 ITR 784; (1986) 27 TAXMAN 4</t>
        </is>
      </c>
      <c r="J1084" s="11" t="n">
        <v>1986</v>
      </c>
      <c r="K1084" s="2" t="inlineStr">
        <is>
          <t>M/s. Sahney Steel and Press Works Ltd., Hyderabad etc. etc. v. Commissioner of Income Tax, Andhra Pradesh-I, Hyderabad</t>
        </is>
      </c>
      <c r="L1084" s="11" t="inlineStr">
        <is>
          <t>Supreme Court</t>
        </is>
      </c>
      <c r="M1084" s="2" t="inlineStr">
        <is>
          <t>AIR 1997 SC 3968; (1997) 142 CTR 261; (1997) 72 ECR 787; (1997) 228 ITR 253; (1997) 8 JT 173; (1997) 6 SCALE 175; (1997) 7 SCC 764; (1997) 4 SCR 189 Supp; (1997) 94 TAXMAN 368</t>
        </is>
      </c>
      <c r="N1084" s="11" t="n">
        <v>1997</v>
      </c>
      <c r="O1084" s="11" t="n"/>
      <c r="P1084" s="11" t="n"/>
      <c r="Q1084" s="11" t="n"/>
      <c r="R1084" s="2" t="n"/>
      <c r="S1084" s="2" t="n"/>
      <c r="T1084" s="11" t="inlineStr"/>
      <c r="U1084" s="11" t="inlineStr"/>
      <c r="V1084" s="11" t="inlineStr">
        <is>
          <t>outside_list</t>
        </is>
      </c>
      <c r="W1084" s="11" t="n"/>
      <c r="X1084" s="11" t="n"/>
      <c r="Y1084" s="11" t="n"/>
      <c r="Z1084" s="11" t="inlineStr">
        <is>
          <t>Mr. Advocate</t>
        </is>
      </c>
      <c r="AA1084" s="11" t="inlineStr">
        <is>
          <t>2026-10-07</t>
        </is>
      </c>
      <c r="AB1084" s="11" t="inlineStr">
        <is>
          <t>name_year</t>
        </is>
      </c>
      <c r="AC1084" s="2" t="inlineStr"/>
      <c r="AD1084" s="2" t="inlineStr">
        <is>
          <t>Commissioner of Income Tax v. Dusad Industries (1986) was overruled by M/s. Sahney Steel and Press Works Ltd., Hyderabad etc. etc. v. Commissioner of Income Tax, Andhra Pradesh-I, Hyderabad (1997).</t>
        </is>
      </c>
      <c r="AE1084" s="2" t="n"/>
      <c r="AF1084" s="11" t="inlineStr">
        <is>
          <t>created from list 1</t>
        </is>
      </c>
    </row>
    <row r="1085">
      <c r="A1085" s="11" t="inlineStr">
        <is>
          <t>L1-1084</t>
        </is>
      </c>
      <c r="B1085" s="11" t="inlineStr">
        <is>
          <t>List 1 (to ~2015)</t>
        </is>
      </c>
      <c r="C1085" s="11" t="inlineStr">
        <is>
          <t>list1</t>
        </is>
      </c>
      <c r="D1085" s="11" t="inlineStr">
        <is>
          <t>verified</t>
        </is>
      </c>
      <c r="E1085" s="11" t="inlineStr">
        <is>
          <t>overruled</t>
        </is>
      </c>
      <c r="F1085" s="2" t="inlineStr">
        <is>
          <t>Gopibai Manaklal and Others v. Mohammed Hussain and Others</t>
        </is>
      </c>
      <c r="G1085" s="11" t="inlineStr"/>
      <c r="H1085" s="11" t="inlineStr">
        <is>
          <t>Madhya Pradesh</t>
        </is>
      </c>
      <c r="I1085" s="2" t="inlineStr">
        <is>
          <t>AIR 1993 MP 21; (1992) 1 MPJR 233; (1992) 37 MPLJ 757; (1992) MPLJ 757</t>
        </is>
      </c>
      <c r="J1085" s="11" t="n">
        <v>1993</v>
      </c>
      <c r="K1085" s="2" t="inlineStr">
        <is>
          <t>Mohd. Hussain (dead) by LRs and Others v. Occhavlal and Others</t>
        </is>
      </c>
      <c r="L1085" s="11" t="inlineStr">
        <is>
          <t>Supreme Court</t>
        </is>
      </c>
      <c r="M1085" s="2" t="inlineStr">
        <is>
          <t>AIR 2008 SC 1462; (2008) 3 JT 58; (2008) 3 SCC 233; (2008) 1 UJ 457; (2008) AIRSCW 1513; (2008) 2 Supreme 111</t>
        </is>
      </c>
      <c r="N1085" s="11" t="n">
        <v>2008</v>
      </c>
      <c r="O1085" s="11" t="n"/>
      <c r="P1085" s="11" t="n"/>
      <c r="Q1085" s="11" t="n"/>
      <c r="R1085" s="2" t="n"/>
      <c r="S1085" s="2" t="n"/>
      <c r="T1085" s="11" t="inlineStr"/>
      <c r="U1085" s="11" t="inlineStr"/>
      <c r="V1085" s="11" t="inlineStr">
        <is>
          <t>outside_list</t>
        </is>
      </c>
      <c r="W1085" s="11" t="n"/>
      <c r="X1085" s="11" t="n"/>
      <c r="Y1085" s="11" t="n"/>
      <c r="Z1085" s="11" t="inlineStr">
        <is>
          <t>Mr. Advocate</t>
        </is>
      </c>
      <c r="AA1085" s="11" t="inlineStr">
        <is>
          <t>2026-10-07</t>
        </is>
      </c>
      <c r="AB1085" s="11" t="inlineStr">
        <is>
          <t>name_year</t>
        </is>
      </c>
      <c r="AC1085" s="2" t="inlineStr"/>
      <c r="AD1085" s="2" t="inlineStr">
        <is>
          <t>Gopibai Manaklal and Others v. Mohammed Hussain and Others (1993) was overruled by Mohd. Hussain (dead) by LRs and Others v. Occhavlal and Others (2008).</t>
        </is>
      </c>
      <c r="AE1085" s="2" t="n"/>
      <c r="AF1085" s="11" t="inlineStr">
        <is>
          <t>created from list 1</t>
        </is>
      </c>
    </row>
    <row r="1086">
      <c r="A1086" s="11" t="inlineStr">
        <is>
          <t>L1-1085</t>
        </is>
      </c>
      <c r="B1086" s="11" t="inlineStr">
        <is>
          <t>List 1 (to ~2015)</t>
        </is>
      </c>
      <c r="C1086" s="11" t="inlineStr">
        <is>
          <t>list1</t>
        </is>
      </c>
      <c r="D1086" s="11" t="inlineStr">
        <is>
          <t>verified</t>
        </is>
      </c>
      <c r="E1086" s="11" t="inlineStr">
        <is>
          <t>overruled</t>
        </is>
      </c>
      <c r="F1086" s="2" t="inlineStr">
        <is>
          <t>Commissioner of Sales Tax v. Bakhat Rai and Co.</t>
        </is>
      </c>
      <c r="G1086" s="11" t="inlineStr"/>
      <c r="H1086" s="11" t="inlineStr">
        <is>
          <t>unknown</t>
        </is>
      </c>
      <c r="I1086" s="2" t="inlineStr">
        <is>
          <t>(1970) ILR (MP) 1020; (1966) JLJ 772; (1966) 11 MPLJ 977; (1966) 18 STC 285</t>
        </is>
      </c>
      <c r="J1086" s="11" t="n">
        <v>1966</v>
      </c>
      <c r="K1086" s="2" t="inlineStr">
        <is>
          <t>The State of Orissa v. Dinabandhu Sahu and Sons</t>
        </is>
      </c>
      <c r="L1086" s="11" t="inlineStr">
        <is>
          <t>Supreme Court</t>
        </is>
      </c>
      <c r="M1086" s="2" t="inlineStr">
        <is>
          <t>AIR 1976 SC 1561; (1976) 4 SCC 431; (1976) 3 SCR 966; (1976) 37 STC 583</t>
        </is>
      </c>
      <c r="N1086" s="11" t="n">
        <v>1976</v>
      </c>
      <c r="O1086" s="11" t="n"/>
      <c r="P1086" s="11" t="n"/>
      <c r="Q1086" s="11" t="n"/>
      <c r="R1086" s="2" t="n"/>
      <c r="S1086" s="2" t="n"/>
      <c r="T1086" s="11" t="inlineStr"/>
      <c r="U1086" s="11" t="inlineStr"/>
      <c r="V1086" s="11" t="inlineStr">
        <is>
          <t>outside_list</t>
        </is>
      </c>
      <c r="W1086" s="11" t="n"/>
      <c r="X1086" s="11" t="n"/>
      <c r="Y1086" s="11" t="n"/>
      <c r="Z1086" s="11" t="inlineStr">
        <is>
          <t>Mr. Advocate</t>
        </is>
      </c>
      <c r="AA1086" s="11" t="inlineStr">
        <is>
          <t>2026-10-07</t>
        </is>
      </c>
      <c r="AB1086" s="11" t="inlineStr">
        <is>
          <t>name_year</t>
        </is>
      </c>
      <c r="AC1086" s="2" t="inlineStr"/>
      <c r="AD1086" s="2" t="inlineStr">
        <is>
          <t>Commissioner of Sales Tax v. Bakhat Rai and Co. (1966) was overruled by The State of Orissa v. Dinabandhu Sahu and Sons (1976).</t>
        </is>
      </c>
      <c r="AE1086" s="2" t="n"/>
      <c r="AF1086" s="11" t="inlineStr">
        <is>
          <t>created from list 1</t>
        </is>
      </c>
    </row>
    <row r="1087">
      <c r="A1087" s="11" t="inlineStr">
        <is>
          <t>L1-1086</t>
        </is>
      </c>
      <c r="B1087" s="11" t="inlineStr">
        <is>
          <t>List 1 (to ~2015)</t>
        </is>
      </c>
      <c r="C1087" s="11" t="inlineStr">
        <is>
          <t>list1</t>
        </is>
      </c>
      <c r="D1087" s="11" t="inlineStr">
        <is>
          <t>verified</t>
        </is>
      </c>
      <c r="E1087" s="11" t="inlineStr">
        <is>
          <t>overruled</t>
        </is>
      </c>
      <c r="F1087" s="2" t="inlineStr">
        <is>
          <t>Visva Bharati v. Regional Provident Fund Commissioner</t>
        </is>
      </c>
      <c r="G1087" s="11" t="inlineStr"/>
      <c r="H1087" s="11" t="inlineStr">
        <is>
          <t>unknown</t>
        </is>
      </c>
      <c r="I1087" s="2" t="inlineStr">
        <is>
          <t>(1983) 1 LLJ 332</t>
        </is>
      </c>
      <c r="J1087" s="11" t="n">
        <v>1983</v>
      </c>
      <c r="K1087" s="2" t="inlineStr">
        <is>
          <t>Andhra University v. Regional Provident Fund Commissioner of Andhra Pradesh and Others</t>
        </is>
      </c>
      <c r="L1087" s="11" t="inlineStr">
        <is>
          <t>Supreme Court</t>
        </is>
      </c>
      <c r="M1087" s="2" t="inlineStr">
        <is>
          <t>AIR 1986 SC 463; (1985) 51 FLR 605; (1986) LabIC 103; (1986) 1 LLJ 155; (1985) 2 SCALE 752; (1985) 4 SCC 509; (1985) 3 SCR 582 Supp; (1986) 1 UJ 31</t>
        </is>
      </c>
      <c r="N1087" s="11" t="n">
        <v>1986</v>
      </c>
      <c r="O1087" s="11" t="n"/>
      <c r="P1087" s="11" t="n"/>
      <c r="Q1087" s="11" t="n"/>
      <c r="R1087" s="2" t="n"/>
      <c r="S1087" s="2" t="n"/>
      <c r="T1087" s="11" t="inlineStr"/>
      <c r="U1087" s="11" t="inlineStr"/>
      <c r="V1087" s="11" t="inlineStr">
        <is>
          <t>outside_list</t>
        </is>
      </c>
      <c r="W1087" s="11" t="n"/>
      <c r="X1087" s="11" t="n"/>
      <c r="Y1087" s="11" t="n"/>
      <c r="Z1087" s="11" t="inlineStr">
        <is>
          <t>Mr. Advocate</t>
        </is>
      </c>
      <c r="AA1087" s="11" t="inlineStr">
        <is>
          <t>2026-10-07</t>
        </is>
      </c>
      <c r="AB1087" s="11" t="inlineStr">
        <is>
          <t>name_year</t>
        </is>
      </c>
      <c r="AC1087" s="2" t="inlineStr"/>
      <c r="AD1087" s="2" t="inlineStr">
        <is>
          <t>Visva Bharati v. Regional Provident Fund Commissioner (1983) was overruled by Andhra University v. Regional Provident Fund Commissioner of Andhra Pradesh and Others (1986).</t>
        </is>
      </c>
      <c r="AE1087" s="2" t="n"/>
      <c r="AF1087" s="11" t="inlineStr">
        <is>
          <t>created from list 1</t>
        </is>
      </c>
    </row>
    <row r="1088">
      <c r="A1088" s="11" t="inlineStr">
        <is>
          <t>L1-1087</t>
        </is>
      </c>
      <c r="B1088" s="11" t="inlineStr">
        <is>
          <t>List 1 (to ~2015)</t>
        </is>
      </c>
      <c r="C1088" s="11" t="inlineStr">
        <is>
          <t>list1</t>
        </is>
      </c>
      <c r="D1088" s="11" t="inlineStr">
        <is>
          <t>verified</t>
        </is>
      </c>
      <c r="E1088" s="11" t="inlineStr">
        <is>
          <t>overruled</t>
        </is>
      </c>
      <c r="F1088" s="2" t="inlineStr">
        <is>
          <t>Bimal Kumar Gupta v. Special Police Establishment Lokayukt</t>
        </is>
      </c>
      <c r="G1088" s="11" t="inlineStr"/>
      <c r="H1088" s="11" t="inlineStr">
        <is>
          <t>unknown</t>
        </is>
      </c>
      <c r="I1088" s="2" t="inlineStr">
        <is>
          <t>(2001) 1 JLJ 267; (2001) 1 MPHT 330</t>
        </is>
      </c>
      <c r="J1088" s="11" t="n">
        <v>2001</v>
      </c>
      <c r="K1088" s="2" t="inlineStr">
        <is>
          <t>Naresh Kumar Madan v. State of Madhya Pradesh</t>
        </is>
      </c>
      <c r="L1088" s="11" t="inlineStr">
        <is>
          <t>Supreme Court</t>
        </is>
      </c>
      <c r="M1088" s="2" t="inlineStr">
        <is>
          <t>AIR 2008 SC 385; (2007) 5 JT 544; (2007) 5 SCALE 510; (2007) 4 SCC 766; (2007) 4 SCR 1040; (2007) AIRSCW 5586; (2007) 6 Supreme 282</t>
        </is>
      </c>
      <c r="N1088" s="11" t="n">
        <v>2008</v>
      </c>
      <c r="O1088" s="11" t="n"/>
      <c r="P1088" s="11" t="n"/>
      <c r="Q1088" s="11" t="n"/>
      <c r="R1088" s="2" t="n"/>
      <c r="S1088" s="2" t="n"/>
      <c r="T1088" s="11" t="inlineStr"/>
      <c r="U1088" s="11" t="inlineStr"/>
      <c r="V1088" s="11" t="inlineStr">
        <is>
          <t>outside_list</t>
        </is>
      </c>
      <c r="W1088" s="11" t="n"/>
      <c r="X1088" s="11" t="n"/>
      <c r="Y1088" s="11" t="n"/>
      <c r="Z1088" s="11" t="inlineStr">
        <is>
          <t>Mr. Advocate</t>
        </is>
      </c>
      <c r="AA1088" s="11" t="inlineStr">
        <is>
          <t>2026-10-07</t>
        </is>
      </c>
      <c r="AB1088" s="11" t="inlineStr">
        <is>
          <t>name_year</t>
        </is>
      </c>
      <c r="AC1088" s="2" t="inlineStr"/>
      <c r="AD1088" s="2" t="inlineStr">
        <is>
          <t>Bimal Kumar Gupta v. Special Police Establishment Lokayukt (2001) was overruled by Naresh Kumar Madan v. State of Madhya Pradesh (2008).</t>
        </is>
      </c>
      <c r="AE1088" s="2" t="n"/>
      <c r="AF1088" s="11" t="inlineStr">
        <is>
          <t>created from list 1</t>
        </is>
      </c>
    </row>
    <row r="1089">
      <c r="A1089" s="11" t="inlineStr">
        <is>
          <t>L1-1088</t>
        </is>
      </c>
      <c r="B1089" s="11" t="inlineStr">
        <is>
          <t>List 1 (to ~2015)</t>
        </is>
      </c>
      <c r="C1089" s="11" t="inlineStr">
        <is>
          <t>list1</t>
        </is>
      </c>
      <c r="D1089" s="11" t="inlineStr">
        <is>
          <t>verified</t>
        </is>
      </c>
      <c r="E1089" s="11" t="inlineStr">
        <is>
          <t>overruled</t>
        </is>
      </c>
      <c r="F1089" s="2" t="inlineStr">
        <is>
          <t>Commissioner of Sales Tax v. Nathani Brothers</t>
        </is>
      </c>
      <c r="G1089" s="11" t="inlineStr"/>
      <c r="H1089" s="11" t="inlineStr">
        <is>
          <t>Madhya Pradesh</t>
        </is>
      </c>
      <c r="I1089" s="2" t="inlineStr">
        <is>
          <t>AIR 1968 MP 135; (1968) JLJ 410; (1968) 13 MPLJ 107; (1968) MPLJ 107; (1968) 21 STC 465</t>
        </is>
      </c>
      <c r="J1089" s="11" t="n">
        <v>1968</v>
      </c>
      <c r="K1089" s="2" t="inlineStr">
        <is>
          <t>Hanuman Mining Corporation Ltd. v. The Commissioner of Sales Tax, Madhya Pradesh, Indore</t>
        </is>
      </c>
      <c r="L1089" s="11" t="inlineStr">
        <is>
          <t>Supreme Court</t>
        </is>
      </c>
      <c r="M1089" s="2" t="inlineStr">
        <is>
          <t>(1969) 3 SCC 648; (1970) 25 STC 60</t>
        </is>
      </c>
      <c r="N1089" s="11" t="n">
        <v>1969</v>
      </c>
      <c r="O1089" s="11" t="n"/>
      <c r="P1089" s="11" t="n"/>
      <c r="Q1089" s="11" t="n"/>
      <c r="R1089" s="2" t="n"/>
      <c r="S1089" s="2" t="n"/>
      <c r="T1089" s="11" t="inlineStr"/>
      <c r="U1089" s="11" t="inlineStr"/>
      <c r="V1089" s="11" t="inlineStr">
        <is>
          <t>outside_list</t>
        </is>
      </c>
      <c r="W1089" s="11" t="n"/>
      <c r="X1089" s="11" t="n"/>
      <c r="Y1089" s="11" t="n"/>
      <c r="Z1089" s="11" t="inlineStr">
        <is>
          <t>Mr. Advocate</t>
        </is>
      </c>
      <c r="AA1089" s="11" t="inlineStr">
        <is>
          <t>2026-10-07</t>
        </is>
      </c>
      <c r="AB1089" s="11" t="inlineStr">
        <is>
          <t>name_year</t>
        </is>
      </c>
      <c r="AC1089" s="2" t="inlineStr"/>
      <c r="AD1089" s="2" t="inlineStr">
        <is>
          <t>Commissioner of Sales Tax v. Nathani Brothers (1968) was overruled by Hanuman Mining Corporation Ltd. v. The Commissioner of Sales Tax, Madhya Pradesh, Indore (1969).</t>
        </is>
      </c>
      <c r="AE1089" s="2" t="n"/>
      <c r="AF1089" s="11" t="inlineStr">
        <is>
          <t>created from list 1</t>
        </is>
      </c>
    </row>
    <row r="1090">
      <c r="A1090" s="11" t="inlineStr">
        <is>
          <t>L1-1089</t>
        </is>
      </c>
      <c r="B1090" s="11" t="inlineStr">
        <is>
          <t>List 1 (to ~2015)</t>
        </is>
      </c>
      <c r="C1090" s="11" t="inlineStr">
        <is>
          <t>list1</t>
        </is>
      </c>
      <c r="D1090" s="11" t="inlineStr">
        <is>
          <t>verified</t>
        </is>
      </c>
      <c r="E1090" s="11" t="inlineStr">
        <is>
          <t>overruled</t>
        </is>
      </c>
      <c r="F1090" s="2" t="inlineStr">
        <is>
          <t>Birla Jute Manufacturing Co. Ltd. v. The State of Madhya Pradesh and Others</t>
        </is>
      </c>
      <c r="G1090" s="11" t="inlineStr"/>
      <c r="H1090" s="11" t="inlineStr">
        <is>
          <t>Madhya Pradesh</t>
        </is>
      </c>
      <c r="I1090" s="2" t="inlineStr">
        <is>
          <t>AIR 1982 MP 225; (1983) ILR (MP) 366; (1982) 27 MPLJ 443</t>
        </is>
      </c>
      <c r="J1090" s="11" t="n">
        <v>1982</v>
      </c>
      <c r="K1090" s="2" t="inlineStr">
        <is>
          <t>Chairman and Managing Director, SIPCOT, and Madras and others v. Contromix Pvt. Ltd. by its Director (Finance) Seetharaman, Madras and another</t>
        </is>
      </c>
      <c r="L1090" s="11" t="inlineStr">
        <is>
          <t>Supreme Court</t>
        </is>
      </c>
      <c r="M1090" s="2" t="inlineStr">
        <is>
          <t>AIR 1995 SC 1632; (1995) 84 CompCas 110; (1995) 6 JT 283; (1995) 3 SCALE 717; (1995) 4 SCC 595; (1995) 1 SCR 415 Supp; (1995) 2 UJ 602</t>
        </is>
      </c>
      <c r="N1090" s="11" t="n">
        <v>1995</v>
      </c>
      <c r="O1090" s="11" t="n"/>
      <c r="P1090" s="11" t="n"/>
      <c r="Q1090" s="11" t="n"/>
      <c r="R1090" s="2" t="n"/>
      <c r="S1090" s="2" t="n"/>
      <c r="T1090" s="11" t="inlineStr"/>
      <c r="U1090" s="11" t="inlineStr"/>
      <c r="V1090" s="11" t="inlineStr">
        <is>
          <t>outside_list</t>
        </is>
      </c>
      <c r="W1090" s="11" t="n"/>
      <c r="X1090" s="11" t="n"/>
      <c r="Y1090" s="11" t="n"/>
      <c r="Z1090" s="11" t="inlineStr">
        <is>
          <t>Mr. Advocate</t>
        </is>
      </c>
      <c r="AA1090" s="11" t="inlineStr">
        <is>
          <t>2026-10-07</t>
        </is>
      </c>
      <c r="AB1090" s="11" t="inlineStr">
        <is>
          <t>name_year</t>
        </is>
      </c>
      <c r="AC1090" s="2" t="inlineStr"/>
      <c r="AD1090" s="2" t="inlineStr">
        <is>
          <t>Birla Jute Manufacturing Co. Ltd. v. The State of Madhya Pradesh and Others (1982) was overruled by Chairman and Managing Director, SIPCOT, and Madras and others v. Contromix Pvt. Ltd. by its Director (Finance) Seetharaman, Madras and another (1995).</t>
        </is>
      </c>
      <c r="AE1090" s="2" t="n"/>
      <c r="AF1090" s="11" t="inlineStr">
        <is>
          <t>created from list 1</t>
        </is>
      </c>
    </row>
    <row r="1091">
      <c r="A1091" s="11" t="inlineStr">
        <is>
          <t>L1-1090</t>
        </is>
      </c>
      <c r="B1091" s="11" t="inlineStr">
        <is>
          <t>List 1 (to ~2015)</t>
        </is>
      </c>
      <c r="C1091" s="11" t="inlineStr">
        <is>
          <t>list1</t>
        </is>
      </c>
      <c r="D1091" s="11" t="inlineStr">
        <is>
          <t>verified</t>
        </is>
      </c>
      <c r="E1091" s="11" t="inlineStr">
        <is>
          <t>overruled</t>
        </is>
      </c>
      <c r="F1091" s="2" t="inlineStr">
        <is>
          <t>Dhaniram and Another v. The Janapad Sabha and Others</t>
        </is>
      </c>
      <c r="G1091" s="11" t="inlineStr"/>
      <c r="H1091" s="11" t="inlineStr">
        <is>
          <t>Madhya Pradesh</t>
        </is>
      </c>
      <c r="I1091" s="2" t="inlineStr">
        <is>
          <t>AIR 1965 MP 219(1); (1966) ILR (MP) 521; (1965) JLJ 346; (1965) 10 MPLJ 408; (1965) MPLJ 408</t>
        </is>
      </c>
      <c r="J1091" s="11" t="n">
        <v>1965</v>
      </c>
      <c r="K1091" s="2" t="inlineStr">
        <is>
          <t>Munnicipal Council, Waraseoni and Another and Shri Krishan Lal and Others v. Satish Chandra Jain and Another and Nagarpalika Parishad, Wara-seoni</t>
        </is>
      </c>
      <c r="L1091" s="11" t="inlineStr">
        <is>
          <t>Supreme Court</t>
        </is>
      </c>
      <c r="M1091" s="2" t="inlineStr">
        <is>
          <t>AIR 1996 SC 599; AIR 1995 SC 599; (1995) 8 JT 176; (1995) 6 SCALE 421; (1996) 7 SCC 29; (1995) 5 SCR 274 Supp</t>
        </is>
      </c>
      <c r="N1091" s="11" t="n">
        <v>1996</v>
      </c>
      <c r="O1091" s="11" t="n"/>
      <c r="P1091" s="11" t="n"/>
      <c r="Q1091" s="11" t="n"/>
      <c r="R1091" s="2" t="n"/>
      <c r="S1091" s="2" t="n"/>
      <c r="T1091" s="11" t="inlineStr"/>
      <c r="U1091" s="11" t="inlineStr"/>
      <c r="V1091" s="11" t="inlineStr">
        <is>
          <t>outside_list</t>
        </is>
      </c>
      <c r="W1091" s="11" t="n"/>
      <c r="X1091" s="11" t="n"/>
      <c r="Y1091" s="11" t="n"/>
      <c r="Z1091" s="11" t="inlineStr">
        <is>
          <t>Mr. Advocate</t>
        </is>
      </c>
      <c r="AA1091" s="11" t="inlineStr">
        <is>
          <t>2026-10-07</t>
        </is>
      </c>
      <c r="AB1091" s="11" t="inlineStr">
        <is>
          <t>name_year</t>
        </is>
      </c>
      <c r="AC1091" s="2" t="inlineStr"/>
      <c r="AD1091" s="2" t="inlineStr">
        <is>
          <t>Dhaniram and Another v. The Janapad Sabha and Others (1965) was overruled by Munnicipal Council, Waraseoni and Another and Shri Krishan Lal and Others v. Satish Chandra Jain and Another and Nagarpalika Parishad, Wara-seoni (1996).</t>
        </is>
      </c>
      <c r="AE1091" s="2" t="n"/>
      <c r="AF1091" s="11" t="inlineStr">
        <is>
          <t>created from list 1</t>
        </is>
      </c>
    </row>
    <row r="1092">
      <c r="A1092" s="11" t="inlineStr">
        <is>
          <t>L1-1091</t>
        </is>
      </c>
      <c r="B1092" s="11" t="inlineStr">
        <is>
          <t>List 1 (to ~2015)</t>
        </is>
      </c>
      <c r="C1092" s="11" t="inlineStr">
        <is>
          <t>list1</t>
        </is>
      </c>
      <c r="D1092" s="11" t="inlineStr">
        <is>
          <t>verified</t>
        </is>
      </c>
      <c r="E1092" s="11" t="inlineStr">
        <is>
          <t>overruled</t>
        </is>
      </c>
      <c r="F1092" s="2" t="inlineStr">
        <is>
          <t>Shyamlal v. State of Madhya Pradesh and Others</t>
        </is>
      </c>
      <c r="G1092" s="11" t="inlineStr"/>
      <c r="H1092" s="11" t="inlineStr">
        <is>
          <t>Madhya Pradesh</t>
        </is>
      </c>
      <c r="I1092" s="2" t="inlineStr">
        <is>
          <t>AIR 1971 MP 176; (1971) JLJ 305; (1971) MPLJ 274</t>
        </is>
      </c>
      <c r="J1092" s="11" t="n">
        <v>1971</v>
      </c>
      <c r="K1092" s="2" t="inlineStr">
        <is>
          <t>Rajbali Singh and Others v. Shyamlal and Others</t>
        </is>
      </c>
      <c r="L1092" s="11" t="inlineStr">
        <is>
          <t>Supreme Court</t>
        </is>
      </c>
      <c r="M1092" s="2" t="inlineStr">
        <is>
          <t>AIR 1973 SC 276; (1973) 3 SCC 715; (1973) 1 SCR 59; (1972) 4 UJ 868</t>
        </is>
      </c>
      <c r="N1092" s="11" t="n">
        <v>1973</v>
      </c>
      <c r="O1092" s="11" t="n"/>
      <c r="P1092" s="11" t="n"/>
      <c r="Q1092" s="11" t="n"/>
      <c r="R1092" s="2" t="n"/>
      <c r="S1092" s="2" t="n"/>
      <c r="T1092" s="11" t="inlineStr"/>
      <c r="U1092" s="11" t="inlineStr"/>
      <c r="V1092" s="11" t="inlineStr">
        <is>
          <t>outside_list</t>
        </is>
      </c>
      <c r="W1092" s="11" t="n"/>
      <c r="X1092" s="11" t="n"/>
      <c r="Y1092" s="11" t="n"/>
      <c r="Z1092" s="11" t="inlineStr">
        <is>
          <t>Mr. Advocate</t>
        </is>
      </c>
      <c r="AA1092" s="11" t="inlineStr">
        <is>
          <t>2026-10-07</t>
        </is>
      </c>
      <c r="AB1092" s="11" t="inlineStr">
        <is>
          <t>citation</t>
        </is>
      </c>
      <c r="AC1092" s="2" t="inlineStr"/>
      <c r="AD1092" s="2" t="inlineStr">
        <is>
          <t>Shyamlal v. State of Madhya Pradesh and Others (1971) was overruled by Rajbali Singh and Others v. Shyamlal and Others (1973).</t>
        </is>
      </c>
      <c r="AE1092" s="2" t="n"/>
      <c r="AF1092" s="11" t="inlineStr">
        <is>
          <t>created from list 1</t>
        </is>
      </c>
    </row>
    <row r="1093">
      <c r="A1093" s="11" t="inlineStr">
        <is>
          <t>L1-1092</t>
        </is>
      </c>
      <c r="B1093" s="11" t="inlineStr">
        <is>
          <t>List 1 (to ~2015)</t>
        </is>
      </c>
      <c r="C1093" s="11" t="inlineStr">
        <is>
          <t>list1</t>
        </is>
      </c>
      <c r="D1093" s="11" t="inlineStr">
        <is>
          <t>verified</t>
        </is>
      </c>
      <c r="E1093" s="11" t="inlineStr">
        <is>
          <t>overruled</t>
        </is>
      </c>
      <c r="F1093" s="2" t="inlineStr">
        <is>
          <t>Additional Commissioner of Income Tax v. Ratanchand Sewakram</t>
        </is>
      </c>
      <c r="G1093" s="11" t="inlineStr"/>
      <c r="H1093" s="11" t="inlineStr">
        <is>
          <t>unknown</t>
        </is>
      </c>
      <c r="I1093" s="2" t="inlineStr">
        <is>
          <t>(1985) 151 ITR 112</t>
        </is>
      </c>
      <c r="J1093" s="11" t="n">
        <v>1985</v>
      </c>
      <c r="K1093" s="2" t="inlineStr">
        <is>
          <t>Commissioner of Income Tax, Lucknow v. M/s. Onkar Saran and Sons</t>
        </is>
      </c>
      <c r="L1093" s="11" t="inlineStr">
        <is>
          <t>Supreme Court</t>
        </is>
      </c>
      <c r="M1093" s="2" t="inlineStr">
        <is>
          <t>AIR 1992 SC 1139; (1992) 103 CTR 293; (1992) 195 ITR 1; (1992) 2 JT 567; (1992) 1 SCALE 651; (1992) 2 SCC 514; (1992) 2 SCR 187; (1992) 62 TAXMAN 440</t>
        </is>
      </c>
      <c r="N1093" s="11" t="n">
        <v>1992</v>
      </c>
      <c r="O1093" s="11" t="n"/>
      <c r="P1093" s="11" t="n"/>
      <c r="Q1093" s="11" t="n"/>
      <c r="R1093" s="2" t="n"/>
      <c r="S1093" s="2" t="n"/>
      <c r="T1093" s="11" t="inlineStr"/>
      <c r="U1093" s="11" t="inlineStr"/>
      <c r="V1093" s="11" t="inlineStr">
        <is>
          <t>outside_list</t>
        </is>
      </c>
      <c r="W1093" s="11" t="n"/>
      <c r="X1093" s="11" t="n"/>
      <c r="Y1093" s="11" t="n"/>
      <c r="Z1093" s="11" t="inlineStr">
        <is>
          <t>Mr. Advocate</t>
        </is>
      </c>
      <c r="AA1093" s="11" t="inlineStr">
        <is>
          <t>2026-10-07</t>
        </is>
      </c>
      <c r="AB1093" s="11" t="inlineStr">
        <is>
          <t>name_year</t>
        </is>
      </c>
      <c r="AC1093" s="2" t="inlineStr"/>
      <c r="AD1093" s="2" t="inlineStr">
        <is>
          <t>Additional Commissioner of Income Tax v. Ratanchand Sewakram (1985) was overruled by Commissioner of Income Tax, Lucknow v. M/s. Onkar Saran and Sons (1992).</t>
        </is>
      </c>
      <c r="AE1093" s="2" t="n"/>
      <c r="AF1093" s="11" t="inlineStr">
        <is>
          <t>created from list 1</t>
        </is>
      </c>
    </row>
    <row r="1094">
      <c r="A1094" s="11" t="inlineStr">
        <is>
          <t>L1-1093</t>
        </is>
      </c>
      <c r="B1094" s="11" t="inlineStr">
        <is>
          <t>List 1 (to ~2015)</t>
        </is>
      </c>
      <c r="C1094" s="11" t="inlineStr">
        <is>
          <t>list1</t>
        </is>
      </c>
      <c r="D1094" s="11" t="inlineStr">
        <is>
          <t>verified</t>
        </is>
      </c>
      <c r="E1094" s="11" t="inlineStr">
        <is>
          <t>reversed_on_appeal</t>
        </is>
      </c>
      <c r="F1094" s="2" t="inlineStr">
        <is>
          <t>Abdul Hussain H.M. Hasanbhai v. The Shalimar Rope Works Ltd. and Another</t>
        </is>
      </c>
      <c r="G1094" s="11" t="inlineStr"/>
      <c r="H1094" s="11" t="inlineStr">
        <is>
          <t>Madhya Pradesh</t>
        </is>
      </c>
      <c r="I1094" s="2" t="inlineStr">
        <is>
          <t>AIR 1978 MP 157; (1980) ILR (MP) 72; (1978) MPLJ 43</t>
        </is>
      </c>
      <c r="J1094" s="11" t="n">
        <v>1978</v>
      </c>
      <c r="K1094" s="2" t="inlineStr">
        <is>
          <t>Shalimar Rope Works Ltd. v. Abdul Hussain H.M. Hasanbhai Rassiwala and Others</t>
        </is>
      </c>
      <c r="L1094" s="11" t="inlineStr">
        <is>
          <t>Supreme Court</t>
        </is>
      </c>
      <c r="M1094" s="2" t="inlineStr">
        <is>
          <t>AIR 1980 SC 1163; (1980) 3 SCC 595; (1980) 3 SCR 1028; (1980) 12 UJ 606</t>
        </is>
      </c>
      <c r="N1094" s="11" t="n">
        <v>1980</v>
      </c>
      <c r="O1094" s="11" t="n"/>
      <c r="P1094" s="11" t="n"/>
      <c r="Q1094" s="11" t="n"/>
      <c r="R1094" s="2" t="n"/>
      <c r="S1094" s="2" t="n"/>
      <c r="T1094" s="11" t="inlineStr">
        <is>
          <t>yes</t>
        </is>
      </c>
      <c r="U1094" s="11" t="inlineStr"/>
      <c r="V1094" s="11" t="inlineStr">
        <is>
          <t>outside_list</t>
        </is>
      </c>
      <c r="W1094" s="11" t="n"/>
      <c r="X1094" s="11" t="n"/>
      <c r="Y1094" s="11" t="n"/>
      <c r="Z1094" s="11" t="inlineStr">
        <is>
          <t>Mr. Advocate</t>
        </is>
      </c>
      <c r="AA1094" s="11" t="inlineStr">
        <is>
          <t>2026-10-07</t>
        </is>
      </c>
      <c r="AB1094" s="11" t="inlineStr">
        <is>
          <t>name_year</t>
        </is>
      </c>
      <c r="AC1094" s="2" t="inlineStr"/>
      <c r="AD1094" s="2" t="inlineStr">
        <is>
          <t>Abdul Hussain H.M. Hasanbhai v. The Shalimar Rope Works Ltd. and Another (1978) was reversed on appeal by the Supreme Court in Shalimar Rope Works Ltd. v. Abdul Hussain H.M. Hasanbhai Rassiwala and Others (1980).</t>
        </is>
      </c>
      <c r="AE1094" s="2" t="n"/>
      <c r="AF1094" s="11" t="inlineStr">
        <is>
          <t>created from list 1</t>
        </is>
      </c>
    </row>
    <row r="1095">
      <c r="A1095" s="11" t="inlineStr">
        <is>
          <t>L1-1094</t>
        </is>
      </c>
      <c r="B1095" s="11" t="inlineStr">
        <is>
          <t>List 1 (to ~2015)</t>
        </is>
      </c>
      <c r="C1095" s="11" t="inlineStr">
        <is>
          <t>list1</t>
        </is>
      </c>
      <c r="D1095" s="11" t="inlineStr">
        <is>
          <t>verified</t>
        </is>
      </c>
      <c r="E1095" s="11" t="inlineStr">
        <is>
          <t>reversed_on_appeal</t>
        </is>
      </c>
      <c r="F1095" s="2" t="inlineStr">
        <is>
          <t>Madhya Pradesh State Road Transport Corporation, Indore v. Cantonment Board, Mhow and Another</t>
        </is>
      </c>
      <c r="G1095" s="11" t="inlineStr"/>
      <c r="H1095" s="11" t="inlineStr">
        <is>
          <t>Madhya Pradesh</t>
        </is>
      </c>
      <c r="I1095" s="2" t="inlineStr">
        <is>
          <t>AIR 1988 MP 166; (1988) MPLJ 373</t>
        </is>
      </c>
      <c r="J1095" s="11" t="n">
        <v>1988</v>
      </c>
      <c r="K1095" s="2" t="inlineStr">
        <is>
          <t>Cantonment Board, Mhow and Another v. M.P. State Road Transport Corpn.</t>
        </is>
      </c>
      <c r="L1095" s="11" t="inlineStr">
        <is>
          <t>Supreme Court</t>
        </is>
      </c>
      <c r="M1095" s="2" t="inlineStr">
        <is>
          <t>(1997) 1 ACC 586; AIR 1997 SC 2013; (1997) 4 JT 561; (1997) 3 SCALE 484; (1997) 9 SCC 450; (1997) 3 SCR 813; (1997) AIRSCW 1801; (1997) 4 Supreme 36</t>
        </is>
      </c>
      <c r="N1095" s="11" t="n">
        <v>1997</v>
      </c>
      <c r="O1095" s="11" t="n"/>
      <c r="P1095" s="11" t="n"/>
      <c r="Q1095" s="11" t="n"/>
      <c r="R1095" s="2" t="n"/>
      <c r="S1095" s="2" t="n"/>
      <c r="T1095" s="11" t="inlineStr">
        <is>
          <t>yes</t>
        </is>
      </c>
      <c r="U1095" s="11" t="inlineStr"/>
      <c r="V1095" s="11" t="inlineStr">
        <is>
          <t>outside_list</t>
        </is>
      </c>
      <c r="W1095" s="11" t="n"/>
      <c r="X1095" s="11" t="n"/>
      <c r="Y1095" s="11" t="n"/>
      <c r="Z1095" s="11" t="inlineStr">
        <is>
          <t>Mr. Advocate</t>
        </is>
      </c>
      <c r="AA1095" s="11" t="inlineStr">
        <is>
          <t>2026-10-07</t>
        </is>
      </c>
      <c r="AB1095" s="11" t="inlineStr">
        <is>
          <t>name_year</t>
        </is>
      </c>
      <c r="AC1095" s="2" t="inlineStr"/>
      <c r="AD1095" s="2" t="inlineStr">
        <is>
          <t>Madhya Pradesh State Road Transport Corporation, Indore v. Cantonment Board, Mhow and Another (1988) was reversed on appeal by the Supreme Court in Cantonment Board, Mhow and Another v. M.P. State Road Transport Corpn. (1997).</t>
        </is>
      </c>
      <c r="AE1095" s="2" t="n"/>
      <c r="AF1095" s="11" t="inlineStr">
        <is>
          <t>created from list 1</t>
        </is>
      </c>
    </row>
    <row r="1096">
      <c r="A1096" s="11" t="inlineStr">
        <is>
          <t>L1-1095</t>
        </is>
      </c>
      <c r="B1096" s="11" t="inlineStr">
        <is>
          <t>List 1 (to ~2015)</t>
        </is>
      </c>
      <c r="C1096" s="11" t="inlineStr">
        <is>
          <t>list1</t>
        </is>
      </c>
      <c r="D1096" s="11" t="inlineStr">
        <is>
          <t>verified</t>
        </is>
      </c>
      <c r="E1096" s="11" t="inlineStr">
        <is>
          <t>reversed_on_appeal</t>
        </is>
      </c>
      <c r="F1096" s="2" t="inlineStr">
        <is>
          <t>Owners and Parties Interested in the Vessel M.V. “Fortune Express” Another v. Maavar (HK) Ltd. and Others</t>
        </is>
      </c>
      <c r="G1096" s="11" t="inlineStr"/>
      <c r="H1096" s="11" t="inlineStr">
        <is>
          <t>unknown</t>
        </is>
      </c>
      <c r="I1096" s="2" t="inlineStr">
        <is>
          <t>(2005) 1 CHN 204</t>
        </is>
      </c>
      <c r="J1096" s="11" t="n">
        <v>2005</v>
      </c>
      <c r="K1096" s="2" t="inlineStr">
        <is>
          <t>Mayar (H.K.) Ltd. and Others v. Owners and Parties, Vessel M.V. Fortune Express and Others</t>
        </is>
      </c>
      <c r="L1096" s="11" t="inlineStr">
        <is>
          <t>Supreme Court</t>
        </is>
      </c>
      <c r="M1096" s="2" t="inlineStr">
        <is>
          <t>AIR 2006 SC 1828; (2006) 3 BC 156; (2006) 2 JT 48; (2006) 2 SCALE 30; (2006) 3 SCC 100; (2006) 1 SCR 860; (2006) AIRSCW 863; (2006) 1 Supreme 677</t>
        </is>
      </c>
      <c r="N1096" s="11" t="n">
        <v>2006</v>
      </c>
      <c r="O1096" s="11" t="n"/>
      <c r="P1096" s="11" t="n"/>
      <c r="Q1096" s="11" t="n"/>
      <c r="R1096" s="2" t="n"/>
      <c r="S1096" s="2" t="n"/>
      <c r="T1096" s="11" t="inlineStr">
        <is>
          <t>yes</t>
        </is>
      </c>
      <c r="U1096" s="11" t="inlineStr">
        <is>
          <t>needs_citation_or_year</t>
        </is>
      </c>
      <c r="V1096" s="11" t="inlineStr">
        <is>
          <t>outside_list</t>
        </is>
      </c>
      <c r="W1096" s="11" t="n"/>
      <c r="X1096" s="11" t="n"/>
      <c r="Y1096" s="11" t="n"/>
      <c r="Z1096" s="11" t="inlineStr">
        <is>
          <t>Mr. Advocate</t>
        </is>
      </c>
      <c r="AA1096" s="11" t="inlineStr">
        <is>
          <t>2026-10-07</t>
        </is>
      </c>
      <c r="AB1096" s="11" t="inlineStr">
        <is>
          <t>none</t>
        </is>
      </c>
      <c r="AC1096" s="2" t="inlineStr"/>
      <c r="AD1096" s="2" t="inlineStr">
        <is>
          <t>Owners and Parties Interested in the Vessel M.V. “Fortune Express” Another v. Maavar (HK) Ltd. and Others (2005) was reversed on appeal by the Supreme Court in Mayar (H.K.) Ltd. and Others v. Owners and Parties, Vessel M.V. Fortune Express and Others (2006).</t>
        </is>
      </c>
      <c r="AE1096" s="2" t="n"/>
      <c r="AF1096" s="11" t="inlineStr">
        <is>
          <t>created from list 1</t>
        </is>
      </c>
    </row>
    <row r="1097">
      <c r="A1097" s="11" t="inlineStr">
        <is>
          <t>L1-1096</t>
        </is>
      </c>
      <c r="B1097" s="11" t="inlineStr">
        <is>
          <t>List 1 (to ~2015)</t>
        </is>
      </c>
      <c r="C1097" s="11" t="inlineStr">
        <is>
          <t>list1</t>
        </is>
      </c>
      <c r="D1097" s="11" t="inlineStr">
        <is>
          <t>verified</t>
        </is>
      </c>
      <c r="E1097" s="11" t="inlineStr">
        <is>
          <t>reversed_on_appeal</t>
        </is>
      </c>
      <c r="F1097" s="2" t="inlineStr">
        <is>
          <t>State of Madhya Pradesh and Others v. Ramesh Chandra Bajpai</t>
        </is>
      </c>
      <c r="G1097" s="11" t="inlineStr"/>
      <c r="H1097" s="11" t="inlineStr">
        <is>
          <t>unknown</t>
        </is>
      </c>
      <c r="I1097" s="2" t="inlineStr">
        <is>
          <t>(2008) ILR (MP) 1350</t>
        </is>
      </c>
      <c r="J1097" s="11" t="n">
        <v>2008</v>
      </c>
      <c r="K1097" s="2" t="inlineStr">
        <is>
          <t>State of Madhya Pradesh and Others v. Ramesh Chandra Bajpai</t>
        </is>
      </c>
      <c r="L1097" s="11" t="inlineStr">
        <is>
          <t>Supreme Court</t>
        </is>
      </c>
      <c r="M1097" s="2" t="inlineStr">
        <is>
          <t>(2009) 123 FLR 525; (2009) 11 JT 526; (2009) 11 SCALE 619; (2009) 13 SCC 635; (2010) 1 SCC(L&amp;S) 287; (2009) 13 SCR 23; (2010) 1 SLJ 271; (2009) 7 SLR 341</t>
        </is>
      </c>
      <c r="N1097" s="11" t="n">
        <v>2009</v>
      </c>
      <c r="O1097" s="11" t="n"/>
      <c r="P1097" s="11" t="n"/>
      <c r="Q1097" s="11" t="n"/>
      <c r="R1097" s="2" t="n"/>
      <c r="S1097" s="2" t="n"/>
      <c r="T1097" s="11" t="inlineStr">
        <is>
          <t>yes</t>
        </is>
      </c>
      <c r="U1097" s="11" t="inlineStr"/>
      <c r="V1097" s="11" t="inlineStr">
        <is>
          <t>outside_list</t>
        </is>
      </c>
      <c r="W1097" s="11" t="n"/>
      <c r="X1097" s="11" t="n"/>
      <c r="Y1097" s="11" t="n"/>
      <c r="Z1097" s="11" t="inlineStr">
        <is>
          <t>Mr. Advocate</t>
        </is>
      </c>
      <c r="AA1097" s="11" t="inlineStr">
        <is>
          <t>2026-10-07</t>
        </is>
      </c>
      <c r="AB1097" s="11" t="inlineStr">
        <is>
          <t>name_year</t>
        </is>
      </c>
      <c r="AC1097" s="2" t="inlineStr"/>
      <c r="AD1097" s="2" t="inlineStr">
        <is>
          <t>State of Madhya Pradesh and Others v. Ramesh Chandra Bajpai (2008) was reversed on appeal by the Supreme Court in State of Madhya Pradesh and Others v. Ramesh Chandra Bajpai (2009).</t>
        </is>
      </c>
      <c r="AE1097" s="2" t="n"/>
      <c r="AF1097" s="11" t="inlineStr">
        <is>
          <t>created from list 1</t>
        </is>
      </c>
    </row>
    <row r="1098">
      <c r="A1098" s="11" t="inlineStr">
        <is>
          <t>L1-1097</t>
        </is>
      </c>
      <c r="B1098" s="11" t="inlineStr">
        <is>
          <t>List 1 (to ~2015)</t>
        </is>
      </c>
      <c r="C1098" s="11" t="inlineStr">
        <is>
          <t>list1</t>
        </is>
      </c>
      <c r="D1098" s="11" t="inlineStr">
        <is>
          <t>verified</t>
        </is>
      </c>
      <c r="E1098" s="11" t="inlineStr">
        <is>
          <t>reversed_on_appeal</t>
        </is>
      </c>
      <c r="F1098" s="2" t="inlineStr">
        <is>
          <t>Kailash Chandra Pandey v. State of West Bengal</t>
        </is>
      </c>
      <c r="G1098" s="11" t="inlineStr"/>
      <c r="H1098" s="11" t="inlineStr">
        <is>
          <t>unknown</t>
        </is>
      </c>
      <c r="I1098" s="2" t="inlineStr">
        <is>
          <t>(2003) 2 CALLT 430; (2003) CriLJ 4286</t>
        </is>
      </c>
      <c r="J1098" s="11" t="n">
        <v>2003</v>
      </c>
      <c r="K1098" s="2" t="inlineStr">
        <is>
          <t>State of West Bengal v. Kailash Chandra Pandey</t>
        </is>
      </c>
      <c r="L1098" s="11" t="inlineStr">
        <is>
          <t>Supreme Court</t>
        </is>
      </c>
      <c r="M1098" s="2" t="inlineStr">
        <is>
          <t>AIR 2005 SC 119; (2005) CriLJ 135; (2004) 9 JT 149; (2004) 8 SCALE 749; (2004) 12 SCC 29</t>
        </is>
      </c>
      <c r="N1098" s="11" t="n">
        <v>2005</v>
      </c>
      <c r="O1098" s="11" t="n"/>
      <c r="P1098" s="11" t="n"/>
      <c r="Q1098" s="11" t="n"/>
      <c r="R1098" s="2" t="n"/>
      <c r="S1098" s="2" t="n"/>
      <c r="T1098" s="11" t="inlineStr">
        <is>
          <t>yes</t>
        </is>
      </c>
      <c r="U1098" s="11" t="inlineStr"/>
      <c r="V1098" s="11" t="inlineStr">
        <is>
          <t>outside_list</t>
        </is>
      </c>
      <c r="W1098" s="11" t="n"/>
      <c r="X1098" s="11" t="n"/>
      <c r="Y1098" s="11" t="n"/>
      <c r="Z1098" s="11" t="inlineStr">
        <is>
          <t>Mr. Advocate</t>
        </is>
      </c>
      <c r="AA1098" s="11" t="inlineStr">
        <is>
          <t>2026-10-07</t>
        </is>
      </c>
      <c r="AB1098" s="11" t="inlineStr">
        <is>
          <t>name_year</t>
        </is>
      </c>
      <c r="AC1098" s="2" t="inlineStr"/>
      <c r="AD1098" s="2" t="inlineStr">
        <is>
          <t>Kailash Chandra Pandey v. State of West Bengal (2003) was reversed on appeal by the Supreme Court in State of West Bengal v. Kailash Chandra Pandey (2005).</t>
        </is>
      </c>
      <c r="AE1098" s="2" t="n"/>
      <c r="AF1098" s="11" t="inlineStr">
        <is>
          <t>created from list 1</t>
        </is>
      </c>
    </row>
    <row r="1099">
      <c r="A1099" s="11" t="inlineStr">
        <is>
          <t>L1-1098</t>
        </is>
      </c>
      <c r="B1099" s="11" t="inlineStr">
        <is>
          <t>List 1 (to ~2015)</t>
        </is>
      </c>
      <c r="C1099" s="11" t="inlineStr">
        <is>
          <t>list1</t>
        </is>
      </c>
      <c r="D1099" s="11" t="inlineStr">
        <is>
          <t>verified</t>
        </is>
      </c>
      <c r="E1099" s="11" t="inlineStr">
        <is>
          <t>reversed_on_appeal</t>
        </is>
      </c>
      <c r="F1099" s="2" t="inlineStr">
        <is>
          <t>Kumari Nivedita Jain v. State of Madhya Pradesh and Others</t>
        </is>
      </c>
      <c r="G1099" s="11" t="inlineStr"/>
      <c r="H1099" s="11" t="inlineStr">
        <is>
          <t>Madhya Pradesh</t>
        </is>
      </c>
      <c r="I1099" s="2" t="inlineStr">
        <is>
          <t>AIR 1981 MP 129; (1981) 26 MPLJ 244; (1981) MPLJ 244</t>
        </is>
      </c>
      <c r="J1099" s="11" t="n">
        <v>1981</v>
      </c>
      <c r="K1099" s="2" t="inlineStr">
        <is>
          <t>State of Madhya Pradesh and Another v. Kumari Nivedita Jain and Others</t>
        </is>
      </c>
      <c r="L1099" s="11" t="inlineStr">
        <is>
          <t>Supreme Court</t>
        </is>
      </c>
      <c r="M1099" s="2" t="inlineStr">
        <is>
          <t>AIR 1981 SC 2045; (1981) 3 SCALE 1512; (1981) 4 SCC 296; (1982) 1 SCR 759</t>
        </is>
      </c>
      <c r="N1099" s="11" t="n">
        <v>1981</v>
      </c>
      <c r="O1099" s="11" t="n"/>
      <c r="P1099" s="11" t="n"/>
      <c r="Q1099" s="11" t="n"/>
      <c r="R1099" s="2" t="n"/>
      <c r="S1099" s="2" t="n"/>
      <c r="T1099" s="11" t="inlineStr">
        <is>
          <t>yes</t>
        </is>
      </c>
      <c r="U1099" s="11" t="inlineStr"/>
      <c r="V1099" s="11" t="inlineStr">
        <is>
          <t>outside_list</t>
        </is>
      </c>
      <c r="W1099" s="11" t="n"/>
      <c r="X1099" s="11" t="n"/>
      <c r="Y1099" s="11" t="n"/>
      <c r="Z1099" s="11" t="inlineStr">
        <is>
          <t>Mr. Advocate</t>
        </is>
      </c>
      <c r="AA1099" s="11" t="inlineStr">
        <is>
          <t>2026-10-07</t>
        </is>
      </c>
      <c r="AB1099" s="11" t="inlineStr">
        <is>
          <t>name_year</t>
        </is>
      </c>
      <c r="AC1099" s="2" t="inlineStr"/>
      <c r="AD1099" s="2" t="inlineStr">
        <is>
          <t>Kumari Nivedita Jain v. State of Madhya Pradesh and Others (1981) was reversed on appeal by the Supreme Court in State of Madhya Pradesh and Another v. Kumari Nivedita Jain and Others (1981).</t>
        </is>
      </c>
      <c r="AE1099" s="2" t="n"/>
      <c r="AF1099" s="11" t="inlineStr">
        <is>
          <t>created from list 1</t>
        </is>
      </c>
    </row>
    <row r="1100">
      <c r="A1100" s="11" t="inlineStr">
        <is>
          <t>L1-1099</t>
        </is>
      </c>
      <c r="B1100" s="11" t="inlineStr">
        <is>
          <t>List 1 (to ~2015)</t>
        </is>
      </c>
      <c r="C1100" s="11" t="inlineStr">
        <is>
          <t>list1</t>
        </is>
      </c>
      <c r="D1100" s="11" t="inlineStr">
        <is>
          <t>verified</t>
        </is>
      </c>
      <c r="E1100" s="11" t="inlineStr">
        <is>
          <t>overruled</t>
        </is>
      </c>
      <c r="F1100" s="2" t="inlineStr">
        <is>
          <t>Smt. Chandan Bai v. Surjan</t>
        </is>
      </c>
      <c r="G1100" s="11" t="inlineStr"/>
      <c r="H1100" s="11" t="inlineStr">
        <is>
          <t>Madhya Pradesh</t>
        </is>
      </c>
      <c r="I1100" s="2" t="inlineStr">
        <is>
          <t>AIR 1972 MP 106; (1972) JLJ 251; (1972) 17 MPLJ 216</t>
        </is>
      </c>
      <c r="J1100" s="11" t="n">
        <v>1972</v>
      </c>
      <c r="K1100" s="2" t="inlineStr">
        <is>
          <t>Roshan Lal and Another v. Madan Lal and Others</t>
        </is>
      </c>
      <c r="L1100" s="11" t="inlineStr">
        <is>
          <t>Supreme Court</t>
        </is>
      </c>
      <c r="M1100" s="2" t="inlineStr">
        <is>
          <t>AIR 1975 SC 2130; (1975) 2 SCC 785; (1976) 1 SCR 878; (1975) 7 UJ 936</t>
        </is>
      </c>
      <c r="N1100" s="11" t="n">
        <v>1975</v>
      </c>
      <c r="O1100" s="11" t="n"/>
      <c r="P1100" s="11" t="n"/>
      <c r="Q1100" s="11" t="n"/>
      <c r="R1100" s="2" t="n"/>
      <c r="S1100" s="2" t="n"/>
      <c r="T1100" s="11" t="inlineStr"/>
      <c r="U1100" s="11" t="inlineStr"/>
      <c r="V1100" s="11" t="inlineStr">
        <is>
          <t>outside_list</t>
        </is>
      </c>
      <c r="W1100" s="11" t="n"/>
      <c r="X1100" s="11" t="n"/>
      <c r="Y1100" s="11" t="n"/>
      <c r="Z1100" s="11" t="inlineStr">
        <is>
          <t>Mr. Advocate</t>
        </is>
      </c>
      <c r="AA1100" s="11" t="inlineStr">
        <is>
          <t>2026-10-07</t>
        </is>
      </c>
      <c r="AB1100" s="11" t="inlineStr">
        <is>
          <t>name_year</t>
        </is>
      </c>
      <c r="AC1100" s="2" t="inlineStr"/>
      <c r="AD1100" s="2" t="inlineStr">
        <is>
          <t>Smt. Chandan Bai v. Surjan (1972) was overruled by Roshan Lal and Another v. Madan Lal and Others (1975).</t>
        </is>
      </c>
      <c r="AE1100" s="2" t="n"/>
      <c r="AF1100" s="11" t="inlineStr">
        <is>
          <t>created from list 1</t>
        </is>
      </c>
    </row>
    <row r="1101">
      <c r="A1101" s="11" t="inlineStr">
        <is>
          <t>L1-1100</t>
        </is>
      </c>
      <c r="B1101" s="11" t="inlineStr">
        <is>
          <t>List 1 (to ~2015)</t>
        </is>
      </c>
      <c r="C1101" s="11" t="inlineStr">
        <is>
          <t>list1</t>
        </is>
      </c>
      <c r="D1101" s="11" t="inlineStr">
        <is>
          <t>verified</t>
        </is>
      </c>
      <c r="E1101" s="11" t="inlineStr">
        <is>
          <t>overruled</t>
        </is>
      </c>
      <c r="F1101" s="2" t="inlineStr">
        <is>
          <t>Jai Bhan Singh Pawaiya v. Madhavrao and Others</t>
        </is>
      </c>
      <c r="G1101" s="11" t="inlineStr"/>
      <c r="H1101" s="11" t="inlineStr">
        <is>
          <t>Madhya Pradesh</t>
        </is>
      </c>
      <c r="I1101" s="2" t="inlineStr">
        <is>
          <t>AIR 2000 MP 111; (2000) ILR (MP) 1103; (2000) 1 MPHT 348; (1999) 2 MPJR 326</t>
        </is>
      </c>
      <c r="J1101" s="11" t="n">
        <v>2000</v>
      </c>
      <c r="K1101" s="2" t="inlineStr">
        <is>
          <t>Dr. Vijay Laxmi Sadho v. Jagdish</t>
        </is>
      </c>
      <c r="L1101" s="11" t="inlineStr">
        <is>
          <t>Supreme Court</t>
        </is>
      </c>
      <c r="M1101" s="2" t="inlineStr">
        <is>
          <t>(2001) 1 JT 382; (2001) 1 SCALE 63; (2001) 2 SCC 247; (2001) 1 SCR 95</t>
        </is>
      </c>
      <c r="N1101" s="11" t="n">
        <v>2001</v>
      </c>
      <c r="O1101" s="11" t="n"/>
      <c r="P1101" s="11" t="n"/>
      <c r="Q1101" s="11" t="n"/>
      <c r="R1101" s="2" t="n"/>
      <c r="S1101" s="2" t="n"/>
      <c r="T1101" s="11" t="inlineStr"/>
      <c r="U1101" s="11" t="inlineStr"/>
      <c r="V1101" s="11" t="inlineStr">
        <is>
          <t>outside_list</t>
        </is>
      </c>
      <c r="W1101" s="11" t="n"/>
      <c r="X1101" s="11" t="n"/>
      <c r="Y1101" s="11" t="n"/>
      <c r="Z1101" s="11" t="inlineStr">
        <is>
          <t>Mr. Advocate</t>
        </is>
      </c>
      <c r="AA1101" s="11" t="inlineStr">
        <is>
          <t>2026-10-07</t>
        </is>
      </c>
      <c r="AB1101" s="11" t="inlineStr">
        <is>
          <t>name_year</t>
        </is>
      </c>
      <c r="AC1101" s="2" t="inlineStr"/>
      <c r="AD1101" s="2" t="inlineStr">
        <is>
          <t>Jai Bhan Singh Pawaiya v. Madhavrao and Others (2000) was overruled by Dr. Vijay Laxmi Sadho v. Jagdish (2001).</t>
        </is>
      </c>
      <c r="AE1101" s="2" t="n"/>
      <c r="AF1101" s="11" t="inlineStr">
        <is>
          <t>created from list 1</t>
        </is>
      </c>
    </row>
    <row r="1102">
      <c r="A1102" s="11" t="inlineStr">
        <is>
          <t>L1-1101</t>
        </is>
      </c>
      <c r="B1102" s="11" t="inlineStr">
        <is>
          <t>List 1 (to ~2015)</t>
        </is>
      </c>
      <c r="C1102" s="11" t="inlineStr">
        <is>
          <t>list1</t>
        </is>
      </c>
      <c r="D1102" s="11" t="inlineStr">
        <is>
          <t>verified</t>
        </is>
      </c>
      <c r="E1102" s="11" t="inlineStr">
        <is>
          <t>reversed_on_appeal</t>
        </is>
      </c>
      <c r="F1102" s="2" t="inlineStr">
        <is>
          <t>Shardul Singh v. The State of Madhya Pradesh and Others</t>
        </is>
      </c>
      <c r="G1102" s="11" t="inlineStr"/>
      <c r="H1102" s="11" t="inlineStr">
        <is>
          <t>Madhya Pradesh</t>
        </is>
      </c>
      <c r="I1102" s="2" t="inlineStr">
        <is>
          <t>AIR 1966 MP 193; (1967) JLJ 21; (1968) 2 LLJ 274; (1966) 11 MPLJ 144</t>
        </is>
      </c>
      <c r="J1102" s="11" t="n">
        <v>1966</v>
      </c>
      <c r="K1102" s="2" t="inlineStr">
        <is>
          <t>State of Madhya Pradesh and Others v. Shardul Singh</t>
        </is>
      </c>
      <c r="L1102" s="11" t="inlineStr">
        <is>
          <t>Supreme Court</t>
        </is>
      </c>
      <c r="M1102" s="2" t="inlineStr">
        <is>
          <t>(1970) 20 FLR 81; (1970) 1 SCC 108; (1970) 3 SCR 302</t>
        </is>
      </c>
      <c r="N1102" s="11" t="n">
        <v>1970</v>
      </c>
      <c r="O1102" s="11" t="n"/>
      <c r="P1102" s="11" t="n"/>
      <c r="Q1102" s="11" t="n"/>
      <c r="R1102" s="2" t="n"/>
      <c r="S1102" s="2" t="n"/>
      <c r="T1102" s="11" t="inlineStr">
        <is>
          <t>yes</t>
        </is>
      </c>
      <c r="U1102" s="11" t="inlineStr"/>
      <c r="V1102" s="11" t="inlineStr">
        <is>
          <t>outside_list</t>
        </is>
      </c>
      <c r="W1102" s="11" t="n"/>
      <c r="X1102" s="11" t="n"/>
      <c r="Y1102" s="11" t="n"/>
      <c r="Z1102" s="11" t="inlineStr">
        <is>
          <t>Mr. Advocate</t>
        </is>
      </c>
      <c r="AA1102" s="11" t="inlineStr">
        <is>
          <t>2026-10-07</t>
        </is>
      </c>
      <c r="AB1102" s="11" t="inlineStr">
        <is>
          <t>name_year</t>
        </is>
      </c>
      <c r="AC1102" s="2" t="inlineStr"/>
      <c r="AD1102" s="2" t="inlineStr">
        <is>
          <t>Shardul Singh v. The State of Madhya Pradesh and Others (1966) was reversed on appeal by the Supreme Court in State of Madhya Pradesh and Others v. Shardul Singh (1970).</t>
        </is>
      </c>
      <c r="AE1102" s="2" t="n"/>
      <c r="AF1102" s="11" t="inlineStr">
        <is>
          <t>created from list 1</t>
        </is>
      </c>
    </row>
    <row r="1103">
      <c r="A1103" s="11" t="inlineStr">
        <is>
          <t>L1-1102</t>
        </is>
      </c>
      <c r="B1103" s="11" t="inlineStr">
        <is>
          <t>List 1 (to ~2015)</t>
        </is>
      </c>
      <c r="C1103" s="11" t="inlineStr">
        <is>
          <t>list1</t>
        </is>
      </c>
      <c r="D1103" s="11" t="inlineStr">
        <is>
          <t>verified</t>
        </is>
      </c>
      <c r="E1103" s="11" t="inlineStr">
        <is>
          <t>overruled</t>
        </is>
      </c>
      <c r="F1103" s="2" t="inlineStr">
        <is>
          <t>R.P. Shukla and Others v. Central Officer Commanding-in-Chief, Lucknow and Others</t>
        </is>
      </c>
      <c r="G1103" s="11" t="inlineStr"/>
      <c r="H1103" s="11" t="inlineStr">
        <is>
          <t>Madhya Pradesh</t>
        </is>
      </c>
      <c r="I1103" s="2" t="inlineStr">
        <is>
          <t>AIR 1996 MP 233; (1996) ILR (MP) 68</t>
        </is>
      </c>
      <c r="J1103" s="11" t="n">
        <v>1996</v>
      </c>
      <c r="K1103" s="2" t="inlineStr">
        <is>
          <t>Gen. Officer Comm. in Chief, Lucknow and Others v. R.P. Shukla (Dead) by LRs. and Others</t>
        </is>
      </c>
      <c r="L1103" s="11" t="inlineStr">
        <is>
          <t>Supreme Court</t>
        </is>
      </c>
      <c r="M1103" s="2" t="inlineStr">
        <is>
          <t>AIR 2006 SC 2127; (2006) 6 SCALE 268; (2006) 10 SCC 294; (2007) 1 SCC(L&amp;S) 109; (2006) 2 SCR 859 Supp; (2007) 1 SLJ 49; (2006) AIRSCW 2724; (2006) 4 Supreme 585</t>
        </is>
      </c>
      <c r="N1103" s="11" t="n">
        <v>2006</v>
      </c>
      <c r="O1103" s="11" t="n"/>
      <c r="P1103" s="11" t="n"/>
      <c r="Q1103" s="11" t="n"/>
      <c r="R1103" s="2" t="n"/>
      <c r="S1103" s="2" t="n"/>
      <c r="T1103" s="11" t="inlineStr"/>
      <c r="U1103" s="11" t="inlineStr"/>
      <c r="V1103" s="11" t="inlineStr">
        <is>
          <t>outside_list</t>
        </is>
      </c>
      <c r="W1103" s="11" t="n"/>
      <c r="X1103" s="11" t="n"/>
      <c r="Y1103" s="11" t="n"/>
      <c r="Z1103" s="11" t="inlineStr">
        <is>
          <t>Mr. Advocate</t>
        </is>
      </c>
      <c r="AA1103" s="11" t="inlineStr">
        <is>
          <t>2026-10-07</t>
        </is>
      </c>
      <c r="AB1103" s="11" t="inlineStr">
        <is>
          <t>name_year</t>
        </is>
      </c>
      <c r="AC1103" s="2" t="inlineStr"/>
      <c r="AD1103" s="2" t="inlineStr">
        <is>
          <t>R.P. Shukla and Others v. Central Officer Commanding-in-Chief, Lucknow and Others (1996) was overruled by Gen. Officer Comm. in Chief, Lucknow and Others v. R.P. Shukla (Dead) by LRs. and Others (2006).</t>
        </is>
      </c>
      <c r="AE1103" s="2" t="n"/>
      <c r="AF1103" s="11" t="inlineStr">
        <is>
          <t>created from list 1</t>
        </is>
      </c>
    </row>
    <row r="1104">
      <c r="A1104" s="11" t="inlineStr">
        <is>
          <t>L1-1103</t>
        </is>
      </c>
      <c r="B1104" s="11" t="inlineStr">
        <is>
          <t>List 1 (to ~2015)</t>
        </is>
      </c>
      <c r="C1104" s="11" t="inlineStr">
        <is>
          <t>list1</t>
        </is>
      </c>
      <c r="D1104" s="11" t="inlineStr">
        <is>
          <t>verified</t>
        </is>
      </c>
      <c r="E1104" s="11" t="inlineStr">
        <is>
          <t>overruled</t>
        </is>
      </c>
      <c r="F1104" s="2" t="inlineStr">
        <is>
          <t>Hafiz Mohammad Anwar Khan and Another v. State of Madhya Pradesh and Others</t>
        </is>
      </c>
      <c r="G1104" s="11" t="inlineStr"/>
      <c r="H1104" s="11" t="inlineStr">
        <is>
          <t>Madhya Pradesh</t>
        </is>
      </c>
      <c r="I1104" s="2" t="inlineStr">
        <is>
          <t>AIR 1967 MP 257; (1969) ILR (MP) 183; (1967) JLJ 559</t>
        </is>
      </c>
      <c r="J1104" s="11" t="n">
        <v>1967</v>
      </c>
      <c r="K1104" s="2" t="inlineStr">
        <is>
          <t>P.T. Rajan v. T.P.M. Sahir and Others</t>
        </is>
      </c>
      <c r="L1104" s="11" t="inlineStr">
        <is>
          <t>Supreme Court</t>
        </is>
      </c>
      <c r="M1104" s="2" t="inlineStr">
        <is>
          <t>AIR 2003 SC 4603; (2003) 2 JT 613 Supp; (2003) 8 SCALE 165; (2003) 8 SCC 498; (2003) 4 SCR 84 Supp; (2003) AIRSCW 5396; (2003) 7 Supreme 124</t>
        </is>
      </c>
      <c r="N1104" s="11" t="n">
        <v>2003</v>
      </c>
      <c r="O1104" s="11" t="n"/>
      <c r="P1104" s="11" t="n"/>
      <c r="Q1104" s="11" t="n"/>
      <c r="R1104" s="2" t="n"/>
      <c r="S1104" s="2" t="n"/>
      <c r="T1104" s="11" t="inlineStr"/>
      <c r="U1104" s="11" t="inlineStr"/>
      <c r="V1104" s="11" t="inlineStr">
        <is>
          <t>outside_list</t>
        </is>
      </c>
      <c r="W1104" s="11" t="n"/>
      <c r="X1104" s="11" t="n"/>
      <c r="Y1104" s="11" t="n"/>
      <c r="Z1104" s="11" t="inlineStr">
        <is>
          <t>Mr. Advocate</t>
        </is>
      </c>
      <c r="AA1104" s="11" t="inlineStr">
        <is>
          <t>2026-10-07</t>
        </is>
      </c>
      <c r="AB1104" s="11" t="inlineStr">
        <is>
          <t>name_year</t>
        </is>
      </c>
      <c r="AC1104" s="2" t="inlineStr"/>
      <c r="AD1104" s="2" t="inlineStr">
        <is>
          <t>Hafiz Mohammad Anwar Khan and Another v. State of Madhya Pradesh and Others (1967) was overruled by P.T. Rajan v. T.P.M. Sahir and Others (2003).</t>
        </is>
      </c>
      <c r="AE1104" s="2" t="n"/>
      <c r="AF1104" s="11" t="inlineStr">
        <is>
          <t>created from list 1</t>
        </is>
      </c>
    </row>
    <row r="1105">
      <c r="A1105" s="11" t="inlineStr">
        <is>
          <t>L1-1104</t>
        </is>
      </c>
      <c r="B1105" s="11" t="inlineStr">
        <is>
          <t>List 1 (to ~2015)</t>
        </is>
      </c>
      <c r="C1105" s="11" t="inlineStr">
        <is>
          <t>list1</t>
        </is>
      </c>
      <c r="D1105" s="11" t="inlineStr">
        <is>
          <t>verified</t>
        </is>
      </c>
      <c r="E1105" s="11" t="inlineStr">
        <is>
          <t>reversed_on_appeal</t>
        </is>
      </c>
      <c r="F1105" s="2" t="inlineStr">
        <is>
          <t>M.P. Special Police Establishment v. State of M.P. and Others</t>
        </is>
      </c>
      <c r="G1105" s="11" t="inlineStr"/>
      <c r="H1105" s="11" t="inlineStr">
        <is>
          <t>unknown</t>
        </is>
      </c>
      <c r="I1105" s="2" t="inlineStr">
        <is>
          <t>(2003) CriLJ 4610; (2003) 3 MPHT 9; (2003) 2 MPLJ 204</t>
        </is>
      </c>
      <c r="J1105" s="11" t="n">
        <v>2003</v>
      </c>
      <c r="K1105" s="2" t="inlineStr">
        <is>
          <t>Madhya Pradesh Special Police Establishment v. State of Madhya Pradesh and Others</t>
        </is>
      </c>
      <c r="L1105" s="11" t="inlineStr">
        <is>
          <t>Supreme Court</t>
        </is>
      </c>
      <c r="M1105" s="2" t="inlineStr">
        <is>
          <t>AIR 2005 SC 325; (2004) 5 CTC 454; (2004) 9 SCALE 302; (2004) 8 SCC 788; (2005) 1 UJ 165; (2004) AIRSCW 6843; (2004) 8 Supreme 147</t>
        </is>
      </c>
      <c r="N1105" s="11" t="n">
        <v>2005</v>
      </c>
      <c r="O1105" s="11" t="n"/>
      <c r="P1105" s="11" t="n"/>
      <c r="Q1105" s="11" t="n"/>
      <c r="R1105" s="2" t="n"/>
      <c r="S1105" s="2" t="n"/>
      <c r="T1105" s="11" t="inlineStr">
        <is>
          <t>yes</t>
        </is>
      </c>
      <c r="U1105" s="11" t="inlineStr"/>
      <c r="V1105" s="11" t="inlineStr">
        <is>
          <t>outside_list</t>
        </is>
      </c>
      <c r="W1105" s="11" t="n"/>
      <c r="X1105" s="11" t="n"/>
      <c r="Y1105" s="11" t="n"/>
      <c r="Z1105" s="11" t="inlineStr">
        <is>
          <t>Mr. Advocate</t>
        </is>
      </c>
      <c r="AA1105" s="11" t="inlineStr">
        <is>
          <t>2026-10-07</t>
        </is>
      </c>
      <c r="AB1105" s="11" t="inlineStr">
        <is>
          <t>name_year</t>
        </is>
      </c>
      <c r="AC1105" s="2" t="inlineStr"/>
      <c r="AD1105" s="2" t="inlineStr">
        <is>
          <t>M.P. Special Police Establishment v. State of M.P. and Others (2003) was reversed on appeal by the Supreme Court in Madhya Pradesh Special Police Establishment v. State of Madhya Pradesh and Others (2005).</t>
        </is>
      </c>
      <c r="AE1105" s="2" t="n"/>
      <c r="AF1105" s="11" t="inlineStr">
        <is>
          <t>created from list 1</t>
        </is>
      </c>
    </row>
    <row r="1106">
      <c r="A1106" s="11" t="inlineStr">
        <is>
          <t>L1-1105</t>
        </is>
      </c>
      <c r="B1106" s="11" t="inlineStr">
        <is>
          <t>List 1 (to ~2015)</t>
        </is>
      </c>
      <c r="C1106" s="11" t="inlineStr">
        <is>
          <t>list1</t>
        </is>
      </c>
      <c r="D1106" s="11" t="inlineStr">
        <is>
          <t>verified</t>
        </is>
      </c>
      <c r="E1106" s="11" t="inlineStr">
        <is>
          <t>overruled</t>
        </is>
      </c>
      <c r="F1106" s="2" t="inlineStr">
        <is>
          <t>Commissioner of Sales Tax v. Shivnarayan Jagatnarayan</t>
        </is>
      </c>
      <c r="G1106" s="11" t="inlineStr"/>
      <c r="H1106" s="11" t="inlineStr">
        <is>
          <t>unknown</t>
        </is>
      </c>
      <c r="I1106" s="2" t="inlineStr">
        <is>
          <t>(1981) ILR (MP) 255; (1978) 42 STC 315</t>
        </is>
      </c>
      <c r="J1106" s="11" t="n">
        <v>1978</v>
      </c>
      <c r="K1106" s="2" t="inlineStr">
        <is>
          <t>Phool Chand Gupta v. State of Andhra Pradesh</t>
        </is>
      </c>
      <c r="L1106" s="11" t="inlineStr">
        <is>
          <t>Supreme Court</t>
        </is>
      </c>
      <c r="M1106" s="2" t="inlineStr">
        <is>
          <t>AIR 1997 SC 914; (1997) 1 JT 700; (1997) 1 SCALE 419; (1997) 2 SCC 591; (1997) 1 SCR 420; (1997) 104 STC 601; (1997) AIRSCW 805; (1997) 2 Supreme 18</t>
        </is>
      </c>
      <c r="N1106" s="11" t="n">
        <v>1997</v>
      </c>
      <c r="O1106" s="11" t="n"/>
      <c r="P1106" s="11" t="n"/>
      <c r="Q1106" s="11" t="n"/>
      <c r="R1106" s="2" t="n"/>
      <c r="S1106" s="2" t="n"/>
      <c r="T1106" s="11" t="inlineStr"/>
      <c r="U1106" s="11" t="inlineStr"/>
      <c r="V1106" s="11" t="inlineStr">
        <is>
          <t>outside_list</t>
        </is>
      </c>
      <c r="W1106" s="11" t="n"/>
      <c r="X1106" s="11" t="n"/>
      <c r="Y1106" s="11" t="n"/>
      <c r="Z1106" s="11" t="inlineStr">
        <is>
          <t>Mr. Advocate</t>
        </is>
      </c>
      <c r="AA1106" s="11" t="inlineStr">
        <is>
          <t>2026-10-07</t>
        </is>
      </c>
      <c r="AB1106" s="11" t="inlineStr">
        <is>
          <t>name_year</t>
        </is>
      </c>
      <c r="AC1106" s="2" t="inlineStr"/>
      <c r="AD1106" s="2" t="inlineStr">
        <is>
          <t>Commissioner of Sales Tax v. Shivnarayan Jagatnarayan (1978) was overruled by Phool Chand Gupta v. State of Andhra Pradesh (1997).</t>
        </is>
      </c>
      <c r="AE1106" s="2" t="n"/>
      <c r="AF1106" s="11" t="inlineStr">
        <is>
          <t>created from list 1</t>
        </is>
      </c>
    </row>
    <row r="1107">
      <c r="A1107" s="11" t="inlineStr">
        <is>
          <t>L1-1106</t>
        </is>
      </c>
      <c r="B1107" s="11" t="inlineStr">
        <is>
          <t>List 1 (to ~2015)</t>
        </is>
      </c>
      <c r="C1107" s="11" t="inlineStr">
        <is>
          <t>list1</t>
        </is>
      </c>
      <c r="D1107" s="11" t="inlineStr">
        <is>
          <t>verified</t>
        </is>
      </c>
      <c r="E1107" s="11" t="inlineStr">
        <is>
          <t>overruled</t>
        </is>
      </c>
      <c r="F1107" s="2" t="inlineStr">
        <is>
          <t>Commissioner of Wealth-tax v. Smt. Sonal K. Amin</t>
        </is>
      </c>
      <c r="G1107" s="11" t="inlineStr"/>
      <c r="H1107" s="11" t="inlineStr">
        <is>
          <t>unknown</t>
        </is>
      </c>
      <c r="I1107" s="2" t="inlineStr">
        <is>
          <t>(1980) 16 CTR 391; (1981) 127 ITR 427; (1980) JLJ 307; (1980) MPLJ 425</t>
        </is>
      </c>
      <c r="J1107" s="11" t="n">
        <v>1980</v>
      </c>
      <c r="K1107" s="2" t="inlineStr">
        <is>
          <t>Commissioner of Wealth-tax, Orissa, Bhubaneswar v. Smt. Binapani Chakravarty</t>
        </is>
      </c>
      <c r="L1107" s="11" t="inlineStr">
        <is>
          <t>Supreme Court</t>
        </is>
      </c>
      <c r="M1107" s="2" t="inlineStr">
        <is>
          <t>AIR 1995 SC 1380; (1995) 125 CTR 119; (1995) 214 ITR 721; (1995) 3 JT 506; (1995) 2 SCALE 496; (1995) 2 SCC 262 Supp</t>
        </is>
      </c>
      <c r="N1107" s="11" t="n">
        <v>1995</v>
      </c>
      <c r="O1107" s="11" t="n"/>
      <c r="P1107" s="11" t="n"/>
      <c r="Q1107" s="11" t="n"/>
      <c r="R1107" s="2" t="n"/>
      <c r="S1107" s="2" t="n"/>
      <c r="T1107" s="11" t="inlineStr"/>
      <c r="U1107" s="11" t="inlineStr"/>
      <c r="V1107" s="11" t="inlineStr">
        <is>
          <t>outside_list</t>
        </is>
      </c>
      <c r="W1107" s="11" t="n"/>
      <c r="X1107" s="11" t="n"/>
      <c r="Y1107" s="11" t="n"/>
      <c r="Z1107" s="11" t="inlineStr">
        <is>
          <t>Mr. Advocate</t>
        </is>
      </c>
      <c r="AA1107" s="11" t="inlineStr">
        <is>
          <t>2026-10-07</t>
        </is>
      </c>
      <c r="AB1107" s="11" t="inlineStr">
        <is>
          <t>name_year</t>
        </is>
      </c>
      <c r="AC1107" s="2" t="inlineStr"/>
      <c r="AD1107" s="2" t="inlineStr">
        <is>
          <t>Commissioner of Wealth-tax v. Smt. Sonal K. Amin (1980) was overruled by Commissioner of Wealth-tax, Orissa, Bhubaneswar v. Smt. Binapani Chakravarty (1995).</t>
        </is>
      </c>
      <c r="AE1107" s="2" t="n"/>
      <c r="AF1107" s="11" t="inlineStr">
        <is>
          <t>created from list 1</t>
        </is>
      </c>
    </row>
    <row r="1108">
      <c r="A1108" s="11" t="inlineStr">
        <is>
          <t>L1-1107</t>
        </is>
      </c>
      <c r="B1108" s="11" t="inlineStr">
        <is>
          <t>List 1 (to ~2015)</t>
        </is>
      </c>
      <c r="C1108" s="11" t="inlineStr">
        <is>
          <t>list1</t>
        </is>
      </c>
      <c r="D1108" s="11" t="inlineStr">
        <is>
          <t>verified</t>
        </is>
      </c>
      <c r="E1108" s="11" t="inlineStr">
        <is>
          <t>reversed_on_appeal</t>
        </is>
      </c>
      <c r="F1108" s="2" t="inlineStr">
        <is>
          <t>Commissioner of Income Tax v. Nirbheram Daluram</t>
        </is>
      </c>
      <c r="G1108" s="11" t="inlineStr"/>
      <c r="H1108" s="11" t="inlineStr">
        <is>
          <t>unknown</t>
        </is>
      </c>
      <c r="I1108" s="2" t="inlineStr">
        <is>
          <t>(1980) 17 CTR 281; (1981) 127 ITR 491; (1980) JLJ 643</t>
        </is>
      </c>
      <c r="J1108" s="11" t="n">
        <v>1980</v>
      </c>
      <c r="K1108" s="2" t="inlineStr">
        <is>
          <t>Commissioner of Income Tax, M.P., Bhopal v. M/s. Nirbheram Deluram</t>
        </is>
      </c>
      <c r="L1108" s="11" t="inlineStr">
        <is>
          <t>Supreme Court</t>
        </is>
      </c>
      <c r="M1108" s="2" t="inlineStr">
        <is>
          <t>AIR 1997 SC 1971; (1997) 224 ITR 610; (1997) 3 JT 688; (1997) 2 SCALE 717; (1997) 10 SCC 373; (1997) 91 TAXMAN 181; (1997) AIRSCW 1744</t>
        </is>
      </c>
      <c r="N1108" s="11" t="n">
        <v>1997</v>
      </c>
      <c r="O1108" s="11" t="n"/>
      <c r="P1108" s="11" t="n"/>
      <c r="Q1108" s="11" t="n"/>
      <c r="R1108" s="2" t="n"/>
      <c r="S1108" s="2" t="n"/>
      <c r="T1108" s="11" t="inlineStr">
        <is>
          <t>yes</t>
        </is>
      </c>
      <c r="U1108" s="11" t="inlineStr"/>
      <c r="V1108" s="11" t="inlineStr">
        <is>
          <t>outside_list</t>
        </is>
      </c>
      <c r="W1108" s="11" t="n"/>
      <c r="X1108" s="11" t="n"/>
      <c r="Y1108" s="11" t="n"/>
      <c r="Z1108" s="11" t="inlineStr">
        <is>
          <t>Mr. Advocate</t>
        </is>
      </c>
      <c r="AA1108" s="11" t="inlineStr">
        <is>
          <t>2026-10-07</t>
        </is>
      </c>
      <c r="AB1108" s="11" t="inlineStr">
        <is>
          <t>name_year</t>
        </is>
      </c>
      <c r="AC1108" s="2" t="inlineStr"/>
      <c r="AD1108" s="2" t="inlineStr">
        <is>
          <t>Commissioner of Income Tax v. Nirbheram Daluram (1980) was reversed on appeal by the Supreme Court in Commissioner of Income Tax, M.P., Bhopal v. M/s. Nirbheram Deluram (1997).</t>
        </is>
      </c>
      <c r="AE1108" s="2" t="n"/>
      <c r="AF1108" s="11" t="inlineStr">
        <is>
          <t>created from list 1</t>
        </is>
      </c>
    </row>
    <row r="1109">
      <c r="A1109" s="11" t="inlineStr">
        <is>
          <t>L1-1108</t>
        </is>
      </c>
      <c r="B1109" s="11" t="inlineStr">
        <is>
          <t>List 1 (to ~2015)</t>
        </is>
      </c>
      <c r="C1109" s="11" t="inlineStr">
        <is>
          <t>list1</t>
        </is>
      </c>
      <c r="D1109" s="11" t="inlineStr">
        <is>
          <t>verified</t>
        </is>
      </c>
      <c r="E1109" s="11" t="inlineStr">
        <is>
          <t>overruled</t>
        </is>
      </c>
      <c r="F1109" s="2" t="inlineStr">
        <is>
          <t>Noorunnisha Maqsood Ahmad and Another v. Maqsood Ahmad Haji Hafiz Abdul Wahid</t>
        </is>
      </c>
      <c r="G1109" s="11" t="inlineStr"/>
      <c r="H1109" s="11" t="inlineStr">
        <is>
          <t>unknown</t>
        </is>
      </c>
      <c r="I1109" s="2" t="inlineStr">
        <is>
          <t>(1995) 1 DMC 385; (1994) 39 MPLJ 701; (1994) MPLJ 701</t>
        </is>
      </c>
      <c r="J1109" s="11" t="n">
        <v>1994</v>
      </c>
      <c r="K1109" s="2" t="inlineStr">
        <is>
          <t>Danial Latifi and Another v. Union of India</t>
        </is>
      </c>
      <c r="L1109" s="11" t="inlineStr">
        <is>
          <t>Supreme Court</t>
        </is>
      </c>
      <c r="M1109" s="2" t="inlineStr">
        <is>
          <t>(2001) 8 AD 1; AIR 2001 SC 3958; (2001) CriLJ 4660; (2001) 2 DMC 714; (2001) 8 JT 218; (2001) 6 SCALE 537; (2001) 7 SCC 740; (2001) AIRSCW 3932; (2001) 7 Supreme 297</t>
        </is>
      </c>
      <c r="N1109" s="11" t="n">
        <v>2001</v>
      </c>
      <c r="O1109" s="11" t="n"/>
      <c r="P1109" s="11" t="n"/>
      <c r="Q1109" s="11" t="n"/>
      <c r="R1109" s="2" t="n"/>
      <c r="S1109" s="2" t="n"/>
      <c r="T1109" s="11" t="inlineStr"/>
      <c r="U1109" s="11" t="inlineStr"/>
      <c r="V1109" s="11" t="inlineStr">
        <is>
          <t>outside_list</t>
        </is>
      </c>
      <c r="W1109" s="11" t="n"/>
      <c r="X1109" s="11" t="n"/>
      <c r="Y1109" s="11" t="n"/>
      <c r="Z1109" s="11" t="inlineStr">
        <is>
          <t>Mr. Advocate</t>
        </is>
      </c>
      <c r="AA1109" s="11" t="inlineStr">
        <is>
          <t>2026-10-07</t>
        </is>
      </c>
      <c r="AB1109" s="11" t="inlineStr">
        <is>
          <t>name_year</t>
        </is>
      </c>
      <c r="AC1109" s="2" t="inlineStr"/>
      <c r="AD1109" s="2" t="inlineStr">
        <is>
          <t>Noorunnisha Maqsood Ahmad and Another v. Maqsood Ahmad Haji Hafiz Abdul Wahid (1994) was overruled by Danial Latifi and Another v. Union of India (2001).</t>
        </is>
      </c>
      <c r="AE1109" s="2" t="n"/>
      <c r="AF1109" s="11" t="inlineStr">
        <is>
          <t>created from list 1</t>
        </is>
      </c>
    </row>
    <row r="1110">
      <c r="A1110" s="11" t="inlineStr">
        <is>
          <t>L1-1109</t>
        </is>
      </c>
      <c r="B1110" s="11" t="inlineStr">
        <is>
          <t>List 1 (to ~2015)</t>
        </is>
      </c>
      <c r="C1110" s="11" t="inlineStr">
        <is>
          <t>list1</t>
        </is>
      </c>
      <c r="D1110" s="11" t="inlineStr">
        <is>
          <t>verified</t>
        </is>
      </c>
      <c r="E1110" s="11" t="inlineStr">
        <is>
          <t>reversed_on_appeal</t>
        </is>
      </c>
      <c r="F1110" s="2" t="inlineStr">
        <is>
          <t>Biecco Lawrie Ltd. and Another v. State of West Bengal and Others</t>
        </is>
      </c>
      <c r="G1110" s="11" t="inlineStr"/>
      <c r="H1110" s="11" t="inlineStr">
        <is>
          <t>unknown</t>
        </is>
      </c>
      <c r="I1110" s="2" t="inlineStr">
        <is>
          <t>(2006) 108 FLR 255; (2006) 2 LLJ 353</t>
        </is>
      </c>
      <c r="J1110" s="11" t="n">
        <v>2006</v>
      </c>
      <c r="K1110" s="2" t="inlineStr">
        <is>
          <t>Biecco Lawrie Ltd. and Another v. State of West Bengal and Another</t>
        </is>
      </c>
      <c r="L1110" s="11" t="inlineStr">
        <is>
          <t>Supreme Court</t>
        </is>
      </c>
      <c r="M1110" s="2" t="inlineStr">
        <is>
          <t>AIR 2010 SC 142; (2010) 124 FLR 108; (2009) 10 JT 340; (2009) 4 LLJ 644; (2009) 10 SCALE 334; (2009) 10 SCC 32; (2009) 2 SCC(L&amp;S) 729; (2009) 11 SCR 972; (2010) 1 SLR 649</t>
        </is>
      </c>
      <c r="N1110" s="11" t="n">
        <v>2010</v>
      </c>
      <c r="O1110" s="11" t="n"/>
      <c r="P1110" s="11" t="n"/>
      <c r="Q1110" s="11" t="n"/>
      <c r="R1110" s="2" t="n"/>
      <c r="S1110" s="2" t="n"/>
      <c r="T1110" s="11" t="inlineStr">
        <is>
          <t>yes</t>
        </is>
      </c>
      <c r="U1110" s="11" t="inlineStr"/>
      <c r="V1110" s="11" t="inlineStr">
        <is>
          <t>outside_list</t>
        </is>
      </c>
      <c r="W1110" s="11" t="n"/>
      <c r="X1110" s="11" t="n"/>
      <c r="Y1110" s="11" t="n"/>
      <c r="Z1110" s="11" t="inlineStr">
        <is>
          <t>Mr. Advocate</t>
        </is>
      </c>
      <c r="AA1110" s="11" t="inlineStr">
        <is>
          <t>2026-10-07</t>
        </is>
      </c>
      <c r="AB1110" s="11" t="inlineStr">
        <is>
          <t>name_year</t>
        </is>
      </c>
      <c r="AC1110" s="2" t="inlineStr"/>
      <c r="AD1110" s="2" t="inlineStr">
        <is>
          <t>Biecco Lawrie Ltd. and Another v. State of West Bengal and Others (2006) was reversed on appeal by the Supreme Court in Biecco Lawrie Ltd. and Another v. State of West Bengal and Another (2010).</t>
        </is>
      </c>
      <c r="AE1110" s="2" t="n"/>
      <c r="AF1110" s="11" t="inlineStr">
        <is>
          <t>created from list 1</t>
        </is>
      </c>
    </row>
    <row r="1111">
      <c r="A1111" s="11" t="inlineStr">
        <is>
          <t>L1-1110</t>
        </is>
      </c>
      <c r="B1111" s="11" t="inlineStr">
        <is>
          <t>List 1 (to ~2015)</t>
        </is>
      </c>
      <c r="C1111" s="11" t="inlineStr">
        <is>
          <t>list1</t>
        </is>
      </c>
      <c r="D1111" s="11" t="inlineStr">
        <is>
          <t>verified</t>
        </is>
      </c>
      <c r="E1111" s="11" t="inlineStr">
        <is>
          <t>overruled</t>
        </is>
      </c>
      <c r="F1111" s="2" t="inlineStr">
        <is>
          <t>Sajeda Bano and Others v. Mushir Mohammad Khan</t>
        </is>
      </c>
      <c r="G1111" s="11" t="inlineStr"/>
      <c r="H1111" s="11" t="inlineStr">
        <is>
          <t>unknown</t>
        </is>
      </c>
      <c r="I1111" s="2" t="inlineStr">
        <is>
          <t>(1993) MPLJ 684</t>
        </is>
      </c>
      <c r="J1111" s="11" t="n">
        <v>1993</v>
      </c>
      <c r="K1111" s="2" t="inlineStr">
        <is>
          <t>Mushir Mohammed Khan (Dead) By LRS. v. Smt. Sajeda Bano and Others</t>
        </is>
      </c>
      <c r="L1111" s="11" t="inlineStr">
        <is>
          <t>Supreme Court</t>
        </is>
      </c>
      <c r="M1111" s="2" t="inlineStr">
        <is>
          <t>AIR 2000 SC 1085; (2000) 2 JT 609; (2000) 2 SCALE 208; (2000) 3 SCC 536; (2000) 2 SCR 65; (2001) AIRSCW 2246; (2000) AIRSCW 798; (2000) 3 Supreme 286</t>
        </is>
      </c>
      <c r="N1111" s="11" t="n">
        <v>2000</v>
      </c>
      <c r="O1111" s="11" t="n"/>
      <c r="P1111" s="11" t="n"/>
      <c r="Q1111" s="11" t="n"/>
      <c r="R1111" s="2" t="n"/>
      <c r="S1111" s="2" t="n"/>
      <c r="T1111" s="11" t="inlineStr"/>
      <c r="U1111" s="11" t="inlineStr"/>
      <c r="V1111" s="11" t="inlineStr">
        <is>
          <t>outside_list</t>
        </is>
      </c>
      <c r="W1111" s="11" t="n"/>
      <c r="X1111" s="11" t="n"/>
      <c r="Y1111" s="11" t="n"/>
      <c r="Z1111" s="11" t="inlineStr">
        <is>
          <t>Mr. Advocate</t>
        </is>
      </c>
      <c r="AA1111" s="11" t="inlineStr">
        <is>
          <t>2026-10-07</t>
        </is>
      </c>
      <c r="AB1111" s="11" t="inlineStr">
        <is>
          <t>name_year</t>
        </is>
      </c>
      <c r="AC1111" s="2" t="inlineStr"/>
      <c r="AD1111" s="2" t="inlineStr">
        <is>
          <t>Sajeda Bano and Others v. Mushir Mohammad Khan (1993) was overruled by Mushir Mohammed Khan (Dead) By LRS. v. Smt. Sajeda Bano and Others (2000).</t>
        </is>
      </c>
      <c r="AE1111" s="2" t="n"/>
      <c r="AF1111" s="11" t="inlineStr">
        <is>
          <t>created from list 1</t>
        </is>
      </c>
    </row>
    <row r="1112">
      <c r="A1112" s="11" t="inlineStr">
        <is>
          <t>L1-1111</t>
        </is>
      </c>
      <c r="B1112" s="11" t="inlineStr">
        <is>
          <t>List 1 (to ~2015)</t>
        </is>
      </c>
      <c r="C1112" s="11" t="inlineStr">
        <is>
          <t>list1</t>
        </is>
      </c>
      <c r="D1112" s="11" t="inlineStr">
        <is>
          <t>verified</t>
        </is>
      </c>
      <c r="E1112" s="11" t="inlineStr">
        <is>
          <t>reversed_on_appeal</t>
        </is>
      </c>
      <c r="F1112" s="2" t="inlineStr">
        <is>
          <t>Sanjay Batham v. Munnalal Parihar and Others</t>
        </is>
      </c>
      <c r="G1112" s="11" t="inlineStr"/>
      <c r="H1112" s="11" t="inlineStr">
        <is>
          <t>unknown</t>
        </is>
      </c>
      <c r="I1112" s="2" t="inlineStr">
        <is>
          <t>(2010) ACJ 1117</t>
        </is>
      </c>
      <c r="J1112" s="11" t="n">
        <v>2010</v>
      </c>
      <c r="K1112" s="2" t="inlineStr">
        <is>
          <t>Sanjay Batham v. Munnalal Parihar and Others</t>
        </is>
      </c>
      <c r="L1112" s="11" t="inlineStr">
        <is>
          <t>Supreme Court</t>
        </is>
      </c>
      <c r="M1112" s="2" t="inlineStr">
        <is>
          <t>AIR 2012 SC 459; (2011) 13 JT 32; (2011) 4 RCR(Civil) 937; (2011) 2 SCALE 328; (2012) 1 TAC 12; (2012) AIRSCW 93; (2011) 7 Supreme 459</t>
        </is>
      </c>
      <c r="N1112" s="11" t="n">
        <v>2012</v>
      </c>
      <c r="O1112" s="11" t="n"/>
      <c r="P1112" s="11" t="n"/>
      <c r="Q1112" s="11" t="n"/>
      <c r="R1112" s="2" t="n"/>
      <c r="S1112" s="2" t="n"/>
      <c r="T1112" s="11" t="inlineStr">
        <is>
          <t>yes</t>
        </is>
      </c>
      <c r="U1112" s="11" t="inlineStr"/>
      <c r="V1112" s="11" t="inlineStr">
        <is>
          <t>outside_list</t>
        </is>
      </c>
      <c r="W1112" s="11" t="n"/>
      <c r="X1112" s="11" t="n"/>
      <c r="Y1112" s="11" t="n"/>
      <c r="Z1112" s="11" t="inlineStr">
        <is>
          <t>Mr. Advocate</t>
        </is>
      </c>
      <c r="AA1112" s="11" t="inlineStr">
        <is>
          <t>2026-10-07</t>
        </is>
      </c>
      <c r="AB1112" s="11" t="inlineStr">
        <is>
          <t>name_year</t>
        </is>
      </c>
      <c r="AC1112" s="2" t="inlineStr"/>
      <c r="AD1112" s="2" t="inlineStr">
        <is>
          <t>Sanjay Batham v. Munnalal Parihar and Others (2010) was reversed on appeal by the Supreme Court in Sanjay Batham v. Munnalal Parihar and Others (2012).</t>
        </is>
      </c>
      <c r="AE1112" s="2" t="n"/>
      <c r="AF1112" s="11" t="inlineStr">
        <is>
          <t>created from list 1</t>
        </is>
      </c>
    </row>
    <row r="1113">
      <c r="A1113" s="11" t="inlineStr">
        <is>
          <t>L1-1112</t>
        </is>
      </c>
      <c r="B1113" s="11" t="inlineStr">
        <is>
          <t>List 1 (to ~2015)</t>
        </is>
      </c>
      <c r="C1113" s="11" t="inlineStr">
        <is>
          <t>list1</t>
        </is>
      </c>
      <c r="D1113" s="11" t="inlineStr">
        <is>
          <t>verified</t>
        </is>
      </c>
      <c r="E1113" s="11" t="inlineStr">
        <is>
          <t>reversed_on_appeal</t>
        </is>
      </c>
      <c r="F1113" s="2" t="inlineStr">
        <is>
          <t>Board of Trustees for the Port of Calcutta and Others v. Avijit Kumar Roy and Others</t>
        </is>
      </c>
      <c r="G1113" s="11" t="inlineStr"/>
      <c r="H1113" s="11" t="inlineStr">
        <is>
          <t>unknown</t>
        </is>
      </c>
      <c r="I1113" s="2" t="inlineStr">
        <is>
          <t>(2008) 1 CHN 658; (2008) 117 FLR 283</t>
        </is>
      </c>
      <c r="J1113" s="11" t="n">
        <v>2008</v>
      </c>
      <c r="K1113" s="2" t="inlineStr">
        <is>
          <t>Board of Trustees for Port of Calcutta and Others v. Avijit Kumar Ray and Others</t>
        </is>
      </c>
      <c r="L1113" s="11" t="inlineStr">
        <is>
          <t>Supreme Court</t>
        </is>
      </c>
      <c r="M1113" s="2" t="inlineStr">
        <is>
          <t>(2009) 121 FLR 399; (2008) 13 JT 337; (2009) 2 LLJ 535; (2008) 15 SCALE 450; (2009) 1 SCC 743; (2009) 1 SCC(L&amp;S) 278; (2009) 3 SLJ 132</t>
        </is>
      </c>
      <c r="N1113" s="11" t="n">
        <v>2008</v>
      </c>
      <c r="O1113" s="11" t="n"/>
      <c r="P1113" s="11" t="n"/>
      <c r="Q1113" s="11" t="n"/>
      <c r="R1113" s="2" t="n"/>
      <c r="S1113" s="2" t="n"/>
      <c r="T1113" s="11" t="inlineStr">
        <is>
          <t>yes</t>
        </is>
      </c>
      <c r="U1113" s="11" t="inlineStr"/>
      <c r="V1113" s="11" t="inlineStr">
        <is>
          <t>outside_list</t>
        </is>
      </c>
      <c r="W1113" s="11" t="n"/>
      <c r="X1113" s="11" t="n"/>
      <c r="Y1113" s="11" t="n"/>
      <c r="Z1113" s="11" t="inlineStr">
        <is>
          <t>Mr. Advocate</t>
        </is>
      </c>
      <c r="AA1113" s="11" t="inlineStr">
        <is>
          <t>2026-10-07</t>
        </is>
      </c>
      <c r="AB1113" s="11" t="inlineStr">
        <is>
          <t>name_year</t>
        </is>
      </c>
      <c r="AC1113" s="2" t="inlineStr"/>
      <c r="AD1113" s="2" t="inlineStr">
        <is>
          <t>Board of Trustees for the Port of Calcutta and Others v. Avijit Kumar Roy and Others (2008) was reversed on appeal by the Supreme Court in Board of Trustees for Port of Calcutta and Others v. Avijit Kumar Ray and Others (2008).</t>
        </is>
      </c>
      <c r="AE1113" s="2" t="n"/>
      <c r="AF1113" s="11" t="inlineStr">
        <is>
          <t>created from list 1</t>
        </is>
      </c>
    </row>
    <row r="1114">
      <c r="A1114" s="11" t="inlineStr">
        <is>
          <t>L1-1113</t>
        </is>
      </c>
      <c r="B1114" s="11" t="inlineStr">
        <is>
          <t>List 1 (to ~2015)</t>
        </is>
      </c>
      <c r="C1114" s="11" t="inlineStr">
        <is>
          <t>list1</t>
        </is>
      </c>
      <c r="D1114" s="11" t="inlineStr">
        <is>
          <t>verified</t>
        </is>
      </c>
      <c r="E1114" s="11" t="inlineStr">
        <is>
          <t>reversed_on_appeal</t>
        </is>
      </c>
      <c r="F1114" s="2" t="inlineStr">
        <is>
          <t>Commissioner of Income Tax v. Dr. T.A. Qureshi</t>
        </is>
      </c>
      <c r="G1114" s="11" t="inlineStr"/>
      <c r="H1114" s="11" t="inlineStr">
        <is>
          <t>unknown</t>
        </is>
      </c>
      <c r="I1114" s="2" t="inlineStr">
        <is>
          <t>(2005) 197 CTR 683; (2005) 275 ITR 352</t>
        </is>
      </c>
      <c r="J1114" s="11" t="n">
        <v>2005</v>
      </c>
      <c r="K1114" s="2" t="inlineStr">
        <is>
          <t>Dr. T.A. Quereshi v. Commissioner of Income Tax, Bhopal</t>
        </is>
      </c>
      <c r="L1114" s="11" t="inlineStr">
        <is>
          <t>Supreme Court</t>
        </is>
      </c>
      <c r="M1114" s="2" t="inlineStr">
        <is>
          <t>(2006) 206 CTR 489; (2006) 287 ITR 547; (2006) 13 SCALE 182; (2007) 2 SCC 759; (2006) 10 SCR 311 Supp</t>
        </is>
      </c>
      <c r="N1114" s="11" t="n">
        <v>2006</v>
      </c>
      <c r="O1114" s="11" t="n"/>
      <c r="P1114" s="11" t="n"/>
      <c r="Q1114" s="11" t="n"/>
      <c r="R1114" s="2" t="n"/>
      <c r="S1114" s="2" t="n"/>
      <c r="T1114" s="11" t="inlineStr">
        <is>
          <t>yes</t>
        </is>
      </c>
      <c r="U1114" s="11" t="inlineStr"/>
      <c r="V1114" s="11" t="inlineStr">
        <is>
          <t>outside_list</t>
        </is>
      </c>
      <c r="W1114" s="11" t="n"/>
      <c r="X1114" s="11" t="n"/>
      <c r="Y1114" s="11" t="n"/>
      <c r="Z1114" s="11" t="inlineStr">
        <is>
          <t>Mr. Advocate</t>
        </is>
      </c>
      <c r="AA1114" s="11" t="inlineStr">
        <is>
          <t>2026-10-07</t>
        </is>
      </c>
      <c r="AB1114" s="11" t="inlineStr">
        <is>
          <t>name_year</t>
        </is>
      </c>
      <c r="AC1114" s="2" t="inlineStr"/>
      <c r="AD1114" s="2" t="inlineStr">
        <is>
          <t>Commissioner of Income Tax v. Dr. T.A. Qureshi (2005) was reversed on appeal by the Supreme Court in Dr. T.A. Quereshi v. Commissioner of Income Tax, Bhopal (2006).</t>
        </is>
      </c>
      <c r="AE1114" s="2" t="n"/>
      <c r="AF1114" s="11" t="inlineStr">
        <is>
          <t>created from list 1</t>
        </is>
      </c>
    </row>
    <row r="1115">
      <c r="A1115" s="11" t="inlineStr">
        <is>
          <t>L1-1114</t>
        </is>
      </c>
      <c r="B1115" s="11" t="inlineStr">
        <is>
          <t>List 1 (to ~2015)</t>
        </is>
      </c>
      <c r="C1115" s="11" t="inlineStr">
        <is>
          <t>list1</t>
        </is>
      </c>
      <c r="D1115" s="11" t="inlineStr">
        <is>
          <t>verified</t>
        </is>
      </c>
      <c r="E1115" s="11" t="inlineStr">
        <is>
          <t>reversed_on_appeal</t>
        </is>
      </c>
      <c r="F1115" s="2" t="inlineStr">
        <is>
          <t>Sanjay Chaudhary and Others v. Sanghi Brothers (Indore) Ltd.</t>
        </is>
      </c>
      <c r="G1115" s="11" t="inlineStr"/>
      <c r="H1115" s="11" t="inlineStr">
        <is>
          <t>unknown</t>
        </is>
      </c>
      <c r="I1115" s="2" t="inlineStr">
        <is>
          <t>(2007) CriLJ 4199</t>
        </is>
      </c>
      <c r="J1115" s="11" t="n">
        <v>2007</v>
      </c>
      <c r="K1115" s="2" t="inlineStr">
        <is>
          <t>Sanghi Brothers (Indore) Pvt. Ltd. v. Sanjay Choudhary and Others</t>
        </is>
      </c>
      <c r="L1115" s="11" t="inlineStr">
        <is>
          <t>Supreme Court</t>
        </is>
      </c>
      <c r="M1115" s="2" t="inlineStr">
        <is>
          <t>AIR 2009 SC 9; (2009) CriLJ 338; (2008) 11 JT 460; (2008) 13 SCALE 133; (2008) 10 SCC 681</t>
        </is>
      </c>
      <c r="N1115" s="11" t="n">
        <v>2009</v>
      </c>
      <c r="O1115" s="11" t="n"/>
      <c r="P1115" s="11" t="n"/>
      <c r="Q1115" s="11" t="n"/>
      <c r="R1115" s="2" t="n"/>
      <c r="S1115" s="2" t="n"/>
      <c r="T1115" s="11" t="inlineStr">
        <is>
          <t>yes</t>
        </is>
      </c>
      <c r="U1115" s="11" t="inlineStr"/>
      <c r="V1115" s="11" t="inlineStr">
        <is>
          <t>outside_list</t>
        </is>
      </c>
      <c r="W1115" s="11" t="n"/>
      <c r="X1115" s="11" t="n"/>
      <c r="Y1115" s="11" t="n"/>
      <c r="Z1115" s="11" t="inlineStr">
        <is>
          <t>Mr. Advocate</t>
        </is>
      </c>
      <c r="AA1115" s="11" t="inlineStr">
        <is>
          <t>2026-10-07</t>
        </is>
      </c>
      <c r="AB1115" s="11" t="inlineStr">
        <is>
          <t>name_year</t>
        </is>
      </c>
      <c r="AC1115" s="2" t="inlineStr"/>
      <c r="AD1115" s="2" t="inlineStr">
        <is>
          <t>Sanjay Chaudhary and Others v. Sanghi Brothers (Indore) Ltd. (2007) was reversed on appeal by the Supreme Court in Sanghi Brothers (Indore) Pvt. Ltd. v. Sanjay Choudhary and Others (2009).</t>
        </is>
      </c>
      <c r="AE1115" s="2" t="n"/>
      <c r="AF1115" s="11" t="inlineStr">
        <is>
          <t>created from list 1</t>
        </is>
      </c>
    </row>
    <row r="1116">
      <c r="A1116" s="11" t="inlineStr">
        <is>
          <t>L1-1115</t>
        </is>
      </c>
      <c r="B1116" s="11" t="inlineStr">
        <is>
          <t>List 1 (to ~2015)</t>
        </is>
      </c>
      <c r="C1116" s="11" t="inlineStr">
        <is>
          <t>list1</t>
        </is>
      </c>
      <c r="D1116" s="11" t="inlineStr">
        <is>
          <t>verified</t>
        </is>
      </c>
      <c r="E1116" s="11" t="inlineStr">
        <is>
          <t>reversed_on_appeal</t>
        </is>
      </c>
      <c r="F1116" s="2" t="inlineStr">
        <is>
          <t>South Malabar Gramin Bank v. Co-ordination Committee of S.M.G.B. Employees Union and Officers Federation</t>
        </is>
      </c>
      <c r="G1116" s="11" t="inlineStr"/>
      <c r="H1116" s="11" t="inlineStr">
        <is>
          <t>unknown</t>
        </is>
      </c>
      <c r="I1116" s="2" t="inlineStr">
        <is>
          <t>(1999) 1 LLJ 1280</t>
        </is>
      </c>
      <c r="J1116" s="11" t="n">
        <v>1999</v>
      </c>
      <c r="K1116" s="2" t="inlineStr">
        <is>
          <t>South Malabar Gramin Bank v. Co- ordination Committee of South Malabar Gramin Bank Employees’ Union and South Malabar Gramin Bank Officers’ Federation and Others</t>
        </is>
      </c>
      <c r="L1116" s="11" t="inlineStr">
        <is>
          <t>Supreme Court</t>
        </is>
      </c>
      <c r="M1116" s="2" t="inlineStr">
        <is>
          <t>AIR 2001 SC 1028; (2001) 2 JT 175; (2001) 1 LLJ 743; (2001) 1 SCALE 540; (2001) 4 SCC 101; (2001) SCC(L&amp;S) 669; (2001) 1 SCR 742; (2001) AIRSCW 684; (2001) 1 Supreme 528</t>
        </is>
      </c>
      <c r="N1116" s="11" t="n">
        <v>2001</v>
      </c>
      <c r="O1116" s="11" t="n"/>
      <c r="P1116" s="11" t="n"/>
      <c r="Q1116" s="11" t="n"/>
      <c r="R1116" s="2" t="n"/>
      <c r="S1116" s="2" t="n"/>
      <c r="T1116" s="11" t="inlineStr">
        <is>
          <t>yes</t>
        </is>
      </c>
      <c r="U1116" s="11" t="inlineStr"/>
      <c r="V1116" s="11" t="inlineStr">
        <is>
          <t>outside_list</t>
        </is>
      </c>
      <c r="W1116" s="11" t="n"/>
      <c r="X1116" s="11" t="n"/>
      <c r="Y1116" s="11" t="n"/>
      <c r="Z1116" s="11" t="inlineStr">
        <is>
          <t>Mr. Advocate</t>
        </is>
      </c>
      <c r="AA1116" s="11" t="inlineStr">
        <is>
          <t>2026-10-07</t>
        </is>
      </c>
      <c r="AB1116" s="11" t="inlineStr">
        <is>
          <t>name_year</t>
        </is>
      </c>
      <c r="AC1116" s="2" t="inlineStr"/>
      <c r="AD1116" s="2" t="inlineStr">
        <is>
          <t>South Malabar Gramin Bank v. Co-ordination Committee of S.M.G.B. Employees Union and Officers Federation (1999) was reversed on appeal by the Supreme Court in South Malabar Gramin Bank v. Co- ordination Committee of South Malabar Gramin Bank Employees’ Union and South Malabar Gramin Bank Officers’ Federation and Others (2001).</t>
        </is>
      </c>
      <c r="AE1116" s="2" t="n"/>
      <c r="AF1116" s="11" t="inlineStr">
        <is>
          <t>created from list 1</t>
        </is>
      </c>
    </row>
    <row r="1117">
      <c r="A1117" s="11" t="inlineStr">
        <is>
          <t>L1-1116</t>
        </is>
      </c>
      <c r="B1117" s="11" t="inlineStr">
        <is>
          <t>List 1 (to ~2015)</t>
        </is>
      </c>
      <c r="C1117" s="11" t="inlineStr">
        <is>
          <t>list1</t>
        </is>
      </c>
      <c r="D1117" s="11" t="inlineStr">
        <is>
          <t>verified</t>
        </is>
      </c>
      <c r="E1117" s="11" t="inlineStr">
        <is>
          <t>overruled</t>
        </is>
      </c>
      <c r="F1117" s="2" t="inlineStr">
        <is>
          <t>Rajendra Prabhu v. Union of India (UOI)</t>
        </is>
      </c>
      <c r="G1117" s="11" t="inlineStr"/>
      <c r="H1117" s="11" t="inlineStr">
        <is>
          <t>unknown</t>
        </is>
      </c>
      <c r="I1117" s="2" t="inlineStr">
        <is>
          <t>(1999) 107 ELT 293; (1999) 2 ILR (Ker) 258</t>
        </is>
      </c>
      <c r="J1117" s="11" t="n">
        <v>1999</v>
      </c>
      <c r="K1117" s="2" t="inlineStr">
        <is>
          <t>Union of India and Others v. Rajendra Prabha and Another</t>
        </is>
      </c>
      <c r="L1117" s="11" t="inlineStr">
        <is>
          <t>Supreme Court</t>
        </is>
      </c>
      <c r="M1117" s="2" t="inlineStr">
        <is>
          <t>AIR 2001 SC 1672; (2001) 75 ECC 3; (2001) 129 ELT 286; (2001) 4 JT 97; (2001) 2 SCALE 608; (2001) 4 SCC 472; (2001) AIRSCW 1407; (2001) 2 Supreme 545</t>
        </is>
      </c>
      <c r="N1117" s="11" t="n">
        <v>2001</v>
      </c>
      <c r="O1117" s="11" t="n"/>
      <c r="P1117" s="11" t="n"/>
      <c r="Q1117" s="11" t="n"/>
      <c r="R1117" s="2" t="n"/>
      <c r="S1117" s="2" t="n"/>
      <c r="T1117" s="11" t="inlineStr"/>
      <c r="U1117" s="11" t="inlineStr"/>
      <c r="V1117" s="11" t="inlineStr">
        <is>
          <t>outside_list</t>
        </is>
      </c>
      <c r="W1117" s="11" t="n"/>
      <c r="X1117" s="11" t="n"/>
      <c r="Y1117" s="11" t="n"/>
      <c r="Z1117" s="11" t="inlineStr">
        <is>
          <t>Mr. Advocate</t>
        </is>
      </c>
      <c r="AA1117" s="11" t="inlineStr">
        <is>
          <t>2026-10-07</t>
        </is>
      </c>
      <c r="AB1117" s="11" t="inlineStr">
        <is>
          <t>name_year</t>
        </is>
      </c>
      <c r="AC1117" s="2" t="inlineStr"/>
      <c r="AD1117" s="2" t="inlineStr">
        <is>
          <t>Rajendra Prabhu v. Union of India (UOI) (1999) was overruled by Union of India and Others v. Rajendra Prabha and Another (2001).</t>
        </is>
      </c>
      <c r="AE1117" s="2" t="n"/>
      <c r="AF1117" s="11" t="inlineStr">
        <is>
          <t>created from list 1</t>
        </is>
      </c>
    </row>
    <row r="1118">
      <c r="A1118" s="11" t="inlineStr">
        <is>
          <t>L1-1117</t>
        </is>
      </c>
      <c r="B1118" s="11" t="inlineStr">
        <is>
          <t>List 1 (to ~2015)</t>
        </is>
      </c>
      <c r="C1118" s="11" t="inlineStr">
        <is>
          <t>list1</t>
        </is>
      </c>
      <c r="D1118" s="11" t="inlineStr">
        <is>
          <t>verified</t>
        </is>
      </c>
      <c r="E1118" s="11" t="inlineStr">
        <is>
          <t>reversed_on_appeal</t>
        </is>
      </c>
      <c r="F1118" s="2" t="inlineStr">
        <is>
          <t>Jikku Paul, Student v. The M.G. University</t>
        </is>
      </c>
      <c r="G1118" s="11" t="inlineStr"/>
      <c r="H1118" s="11" t="inlineStr">
        <is>
          <t>unknown</t>
        </is>
      </c>
      <c r="I1118" s="2" t="inlineStr"/>
      <c r="J1118" s="11" t="n"/>
      <c r="K1118" s="2" t="inlineStr">
        <is>
          <t>Mahatma Gandhi University and Another v. Jikku Paul and Others etc.</t>
        </is>
      </c>
      <c r="L1118" s="11" t="inlineStr">
        <is>
          <t>Supreme Court</t>
        </is>
      </c>
      <c r="M1118" s="2" t="inlineStr">
        <is>
          <t>AIR 2011 SC 3543; (2012) 132 FLR 856; (2011) 4 SCALE 578; (2011) AIRSCW 5288; (2011) AIRSCW 5067; (2011) 5 Supreme 737</t>
        </is>
      </c>
      <c r="N1118" s="11" t="n">
        <v>2011</v>
      </c>
      <c r="O1118" s="11" t="n"/>
      <c r="P1118" s="11" t="n"/>
      <c r="Q1118" s="11" t="n"/>
      <c r="R1118" s="2" t="n"/>
      <c r="S1118" s="2" t="n"/>
      <c r="T1118" s="11" t="inlineStr">
        <is>
          <t>yes</t>
        </is>
      </c>
      <c r="U1118" s="11" t="inlineStr">
        <is>
          <t>no_citation_or_year_for_overruled, needs_citation_or_year</t>
        </is>
      </c>
      <c r="V1118" s="11" t="inlineStr">
        <is>
          <t>outside_list</t>
        </is>
      </c>
      <c r="W1118" s="11" t="n"/>
      <c r="X1118" s="11" t="n"/>
      <c r="Y1118" s="11" t="n"/>
      <c r="Z1118" s="11" t="inlineStr">
        <is>
          <t>Mr. Advocate</t>
        </is>
      </c>
      <c r="AA1118" s="11" t="inlineStr">
        <is>
          <t>2026-10-07</t>
        </is>
      </c>
      <c r="AB1118" s="11" t="inlineStr">
        <is>
          <t>weak</t>
        </is>
      </c>
      <c r="AC1118" s="2" t="inlineStr"/>
      <c r="AD1118" s="2" t="inlineStr">
        <is>
          <t>Jikku Paul, Student v. The M.G. University was reversed on appeal by the Supreme Court in Mahatma Gandhi University and Another v. Jikku Paul and Others etc. (2011).</t>
        </is>
      </c>
      <c r="AE1118" s="2" t="n"/>
      <c r="AF1118" s="11" t="inlineStr">
        <is>
          <t>created from list 1</t>
        </is>
      </c>
    </row>
    <row r="1119">
      <c r="A1119" s="11" t="inlineStr">
        <is>
          <t>L1-1118</t>
        </is>
      </c>
      <c r="B1119" s="11" t="inlineStr">
        <is>
          <t>List 1 (to ~2015)</t>
        </is>
      </c>
      <c r="C1119" s="11" t="inlineStr">
        <is>
          <t>list1</t>
        </is>
      </c>
      <c r="D1119" s="11" t="inlineStr">
        <is>
          <t>verified</t>
        </is>
      </c>
      <c r="E1119" s="11" t="inlineStr">
        <is>
          <t>reversed_on_appeal</t>
        </is>
      </c>
      <c r="F1119" s="2" t="inlineStr">
        <is>
          <t>State of Kerala v. Aluva Sugar Agency</t>
        </is>
      </c>
      <c r="G1119" s="11" t="inlineStr"/>
      <c r="H1119" s="11" t="inlineStr">
        <is>
          <t>unknown</t>
        </is>
      </c>
      <c r="I1119" s="2" t="inlineStr">
        <is>
          <t>(2007) 8 VST 726</t>
        </is>
      </c>
      <c r="J1119" s="11" t="n">
        <v>2007</v>
      </c>
      <c r="K1119" s="2" t="inlineStr">
        <is>
          <t>Aluva Sugar Agency v. State of Kerala</t>
        </is>
      </c>
      <c r="L1119" s="11" t="inlineStr">
        <is>
          <t>unknown</t>
        </is>
      </c>
      <c r="M1119" s="2" t="inlineStr">
        <is>
          <t>(2011) 188 ECR 100; (2011) 10 SCALE 167; (2011) 5 UJ 3132; (2011) AIRSCW 5650</t>
        </is>
      </c>
      <c r="N1119" s="11" t="n">
        <v>2011</v>
      </c>
      <c r="O1119" s="11" t="n"/>
      <c r="P1119" s="11" t="n"/>
      <c r="Q1119" s="11" t="n"/>
      <c r="R1119" s="2" t="n"/>
      <c r="S1119" s="2" t="n"/>
      <c r="T1119" s="11" t="inlineStr">
        <is>
          <t>yes</t>
        </is>
      </c>
      <c r="U1119" s="11" t="inlineStr"/>
      <c r="V1119" s="11" t="inlineStr">
        <is>
          <t>outside_list</t>
        </is>
      </c>
      <c r="W1119" s="11" t="n"/>
      <c r="X1119" s="11" t="n"/>
      <c r="Y1119" s="11" t="n"/>
      <c r="Z1119" s="11" t="inlineStr">
        <is>
          <t>Mr. Advocate</t>
        </is>
      </c>
      <c r="AA1119" s="11" t="inlineStr">
        <is>
          <t>2026-10-07</t>
        </is>
      </c>
      <c r="AB1119" s="11" t="inlineStr">
        <is>
          <t>name_year</t>
        </is>
      </c>
      <c r="AC1119" s="2" t="inlineStr"/>
      <c r="AD1119" s="2" t="inlineStr">
        <is>
          <t>State of Kerala v. Aluva Sugar Agency (2007) was reversed on appeal by the Supreme Court in Aluva Sugar Agency v. State of Kerala (2011).</t>
        </is>
      </c>
      <c r="AE1119" s="2" t="n"/>
      <c r="AF1119" s="11" t="inlineStr">
        <is>
          <t>created from list 1</t>
        </is>
      </c>
    </row>
    <row r="1120">
      <c r="A1120" s="11" t="inlineStr">
        <is>
          <t>L1-1119</t>
        </is>
      </c>
      <c r="B1120" s="11" t="inlineStr">
        <is>
          <t>List 1 (to ~2015)</t>
        </is>
      </c>
      <c r="C1120" s="11" t="inlineStr">
        <is>
          <t>list1</t>
        </is>
      </c>
      <c r="D1120" s="11" t="inlineStr">
        <is>
          <t>verified</t>
        </is>
      </c>
      <c r="E1120" s="11" t="inlineStr">
        <is>
          <t>overruled</t>
        </is>
      </c>
      <c r="F1120" s="2" t="inlineStr">
        <is>
          <t>Raju T.K. v. Chairman, Bharat Petroleum Corporation Ltd. and Others</t>
        </is>
      </c>
      <c r="G1120" s="11" t="inlineStr"/>
      <c r="H1120" s="11" t="inlineStr">
        <is>
          <t>unknown</t>
        </is>
      </c>
      <c r="I1120" s="2" t="inlineStr">
        <is>
          <t>(2002) 93 FLR 816; (2002) 3 LLJ 213</t>
        </is>
      </c>
      <c r="J1120" s="11" t="n">
        <v>2002</v>
      </c>
      <c r="K1120" s="2" t="inlineStr">
        <is>
          <t>Chairman and M.D., Bharat Pet. Corpn. Ltd. and Others v. T.K. Raju</t>
        </is>
      </c>
      <c r="L1120" s="11" t="inlineStr">
        <is>
          <t>Supreme Court</t>
        </is>
      </c>
      <c r="M1120" s="2" t="inlineStr">
        <is>
          <t>AIR 2006 SC 3504; (2006) 2 JT 624; (2006) 2 LLJ 113; (2006) 2 SCALE 553; (2006) 3 SCC 143; (2006) 2 SLJ 470; (2006) AIRSCW 1102; (2006) 2 Supreme 369</t>
        </is>
      </c>
      <c r="N1120" s="11" t="n">
        <v>2006</v>
      </c>
      <c r="O1120" s="11" t="n"/>
      <c r="P1120" s="11" t="n"/>
      <c r="Q1120" s="11" t="n"/>
      <c r="R1120" s="2" t="n"/>
      <c r="S1120" s="2" t="n"/>
      <c r="T1120" s="11" t="inlineStr"/>
      <c r="U1120" s="11" t="inlineStr"/>
      <c r="V1120" s="11" t="inlineStr">
        <is>
          <t>outside_list</t>
        </is>
      </c>
      <c r="W1120" s="11" t="n"/>
      <c r="X1120" s="11" t="n"/>
      <c r="Y1120" s="11" t="n"/>
      <c r="Z1120" s="11" t="inlineStr">
        <is>
          <t>Mr. Advocate</t>
        </is>
      </c>
      <c r="AA1120" s="11" t="inlineStr">
        <is>
          <t>2026-10-07</t>
        </is>
      </c>
      <c r="AB1120" s="11" t="inlineStr">
        <is>
          <t>name_year</t>
        </is>
      </c>
      <c r="AC1120" s="2" t="inlineStr"/>
      <c r="AD1120" s="2" t="inlineStr">
        <is>
          <t>Raju T.K. v. Chairman, Bharat Petroleum Corporation Ltd. and Others (2002) was overruled by Chairman and M.D., Bharat Pet. Corpn. Ltd. and Others v. T.K. Raju (2006).</t>
        </is>
      </c>
      <c r="AE1120" s="2" t="n"/>
      <c r="AF1120" s="11" t="inlineStr">
        <is>
          <t>created from list 1</t>
        </is>
      </c>
    </row>
    <row r="1121">
      <c r="A1121" s="11" t="inlineStr">
        <is>
          <t>L1-1120</t>
        </is>
      </c>
      <c r="B1121" s="11" t="inlineStr">
        <is>
          <t>List 1 (to ~2015)</t>
        </is>
      </c>
      <c r="C1121" s="11" t="inlineStr">
        <is>
          <t>list1</t>
        </is>
      </c>
      <c r="D1121" s="11" t="inlineStr">
        <is>
          <t>verified</t>
        </is>
      </c>
      <c r="E1121" s="11" t="inlineStr">
        <is>
          <t>reversed_on_appeal</t>
        </is>
      </c>
      <c r="F1121" s="2" t="inlineStr">
        <is>
          <t>Commissioner of Income Tax v. Tara Agencies</t>
        </is>
      </c>
      <c r="G1121" s="11" t="inlineStr"/>
      <c r="H1121" s="11" t="inlineStr">
        <is>
          <t>unknown</t>
        </is>
      </c>
      <c r="I1121" s="2" t="inlineStr">
        <is>
          <t>(2000) 159 CTR 325; (2000) 243 ITR 336</t>
        </is>
      </c>
      <c r="J1121" s="11" t="n">
        <v>2000</v>
      </c>
      <c r="K1121" s="2" t="inlineStr">
        <is>
          <t>Commissioner of Income Tax, Kerala v. Tara Agencies</t>
        </is>
      </c>
      <c r="L1121" s="11" t="inlineStr">
        <is>
          <t>Supreme Court</t>
        </is>
      </c>
      <c r="M1121" s="2" t="inlineStr">
        <is>
          <t>(2007) 210 CTR 454; (2007) 214 ELT 491; (2007) 292 ITR 444; (2007) 9 JT 65; (2007) 9 SCALE 100; (2007) 6 SCC 429; (2007) 8 SCR 136</t>
        </is>
      </c>
      <c r="N1121" s="11" t="n">
        <v>2007</v>
      </c>
      <c r="O1121" s="11" t="n"/>
      <c r="P1121" s="11" t="n"/>
      <c r="Q1121" s="11" t="n"/>
      <c r="R1121" s="2" t="n"/>
      <c r="S1121" s="2" t="n"/>
      <c r="T1121" s="11" t="inlineStr">
        <is>
          <t>yes</t>
        </is>
      </c>
      <c r="U1121" s="11" t="inlineStr"/>
      <c r="V1121" s="11" t="inlineStr">
        <is>
          <t>outside_list</t>
        </is>
      </c>
      <c r="W1121" s="11" t="n"/>
      <c r="X1121" s="11" t="n"/>
      <c r="Y1121" s="11" t="n"/>
      <c r="Z1121" s="11" t="inlineStr">
        <is>
          <t>Mr. Advocate</t>
        </is>
      </c>
      <c r="AA1121" s="11" t="inlineStr">
        <is>
          <t>2026-10-07</t>
        </is>
      </c>
      <c r="AB1121" s="11" t="inlineStr">
        <is>
          <t>name_year</t>
        </is>
      </c>
      <c r="AC1121" s="2" t="inlineStr"/>
      <c r="AD1121" s="2" t="inlineStr">
        <is>
          <t>Commissioner of Income Tax v. Tara Agencies (2000) was reversed on appeal by the Supreme Court in Commissioner of Income Tax, Kerala v. Tara Agencies (2007).</t>
        </is>
      </c>
      <c r="AE1121" s="2" t="n"/>
      <c r="AF1121" s="11" t="inlineStr">
        <is>
          <t>created from list 1</t>
        </is>
      </c>
    </row>
    <row r="1122">
      <c r="A1122" s="11" t="inlineStr">
        <is>
          <t>L1-1121</t>
        </is>
      </c>
      <c r="B1122" s="11" t="inlineStr">
        <is>
          <t>List 1 (to ~2015)</t>
        </is>
      </c>
      <c r="C1122" s="11" t="inlineStr">
        <is>
          <t>list1</t>
        </is>
      </c>
      <c r="D1122" s="11" t="inlineStr">
        <is>
          <t>verified</t>
        </is>
      </c>
      <c r="E1122" s="11" t="inlineStr">
        <is>
          <t>reversed_on_appeal</t>
        </is>
      </c>
      <c r="F1122" s="2" t="inlineStr">
        <is>
          <t>Haleema Zubair v. State of Kerala</t>
        </is>
      </c>
      <c r="G1122" s="11" t="inlineStr"/>
      <c r="H1122" s="11" t="inlineStr">
        <is>
          <t>unknown</t>
        </is>
      </c>
      <c r="I1122" s="2" t="inlineStr">
        <is>
          <t>(2007) 1 KLT 232; (2009) 19 VST 138</t>
        </is>
      </c>
      <c r="J1122" s="11" t="n">
        <v>2007</v>
      </c>
      <c r="K1122" s="2" t="inlineStr">
        <is>
          <t>Haleema Zubair, Tropical Traders v. State of Kerala</t>
        </is>
      </c>
      <c r="L1122" s="11" t="inlineStr">
        <is>
          <t>unknown</t>
        </is>
      </c>
      <c r="M1122" s="2" t="inlineStr">
        <is>
          <t>(2008) 13 JT 478; (2008) 15 SCALE 571; (2009) 13 STR 113; (2008) 1 UJ 86; (2009) 11 Vat Reporter 10; (2009) 19 VST 142; (2009) AIRSCW 1136; (2008) 8 Supreme 739</t>
        </is>
      </c>
      <c r="N1122" s="11" t="n">
        <v>2008</v>
      </c>
      <c r="O1122" s="11" t="n"/>
      <c r="P1122" s="11" t="n"/>
      <c r="Q1122" s="11" t="n"/>
      <c r="R1122" s="2" t="n"/>
      <c r="S1122" s="2" t="n"/>
      <c r="T1122" s="11" t="inlineStr">
        <is>
          <t>yes</t>
        </is>
      </c>
      <c r="U1122" s="11" t="inlineStr"/>
      <c r="V1122" s="11" t="inlineStr">
        <is>
          <t>outside_list</t>
        </is>
      </c>
      <c r="W1122" s="11" t="n"/>
      <c r="X1122" s="11" t="n"/>
      <c r="Y1122" s="11" t="n"/>
      <c r="Z1122" s="11" t="inlineStr">
        <is>
          <t>Mr. Advocate</t>
        </is>
      </c>
      <c r="AA1122" s="11" t="inlineStr">
        <is>
          <t>2026-10-07</t>
        </is>
      </c>
      <c r="AB1122" s="11" t="inlineStr">
        <is>
          <t>name_year</t>
        </is>
      </c>
      <c r="AC1122" s="2" t="inlineStr"/>
      <c r="AD1122" s="2" t="inlineStr">
        <is>
          <t>Haleema Zubair v. State of Kerala (2007) was reversed on appeal by the Supreme Court in Haleema Zubair, Tropical Traders v. State of Kerala (2008).</t>
        </is>
      </c>
      <c r="AE1122" s="2" t="n"/>
      <c r="AF1122" s="11" t="inlineStr">
        <is>
          <t>created from list 1</t>
        </is>
      </c>
    </row>
    <row r="1123">
      <c r="A1123" s="11" t="inlineStr">
        <is>
          <t>L1-1122</t>
        </is>
      </c>
      <c r="B1123" s="11" t="inlineStr">
        <is>
          <t>List 1 (to ~2015)</t>
        </is>
      </c>
      <c r="C1123" s="11" t="inlineStr">
        <is>
          <t>list1</t>
        </is>
      </c>
      <c r="D1123" s="11" t="inlineStr">
        <is>
          <t>verified</t>
        </is>
      </c>
      <c r="E1123" s="11" t="inlineStr">
        <is>
          <t>reversed_on_appeal</t>
        </is>
      </c>
      <c r="F1123" s="2" t="inlineStr">
        <is>
          <t>Sajeesh Babu v. N.K. Santhosh</t>
        </is>
      </c>
      <c r="G1123" s="11" t="inlineStr"/>
      <c r="H1123" s="11" t="inlineStr">
        <is>
          <t>unknown</t>
        </is>
      </c>
      <c r="I1123" s="2" t="inlineStr"/>
      <c r="J1123" s="11" t="n"/>
      <c r="K1123" s="2" t="inlineStr">
        <is>
          <t>Sajeesh Babu K. v. N.K. Santhosh and Others</t>
        </is>
      </c>
      <c r="L1123" s="11" t="inlineStr">
        <is>
          <t>Supreme Court</t>
        </is>
      </c>
      <c r="M1123" s="2" t="inlineStr">
        <is>
          <t>AIR 2013 SC 141; (2012) 10 JT 617; (2012) 10 SCALE 546; (2012) 12 SCC 106</t>
        </is>
      </c>
      <c r="N1123" s="11" t="n">
        <v>2013</v>
      </c>
      <c r="O1123" s="11" t="n"/>
      <c r="P1123" s="11" t="n"/>
      <c r="Q1123" s="11" t="n"/>
      <c r="R1123" s="2" t="n"/>
      <c r="S1123" s="2" t="n"/>
      <c r="T1123" s="11" t="inlineStr">
        <is>
          <t>yes</t>
        </is>
      </c>
      <c r="U1123" s="11" t="inlineStr">
        <is>
          <t>no_citation_or_year_for_overruled, needs_citation_or_year</t>
        </is>
      </c>
      <c r="V1123" s="11" t="inlineStr">
        <is>
          <t>outside_list</t>
        </is>
      </c>
      <c r="W1123" s="11" t="n"/>
      <c r="X1123" s="11" t="n"/>
      <c r="Y1123" s="11" t="n"/>
      <c r="Z1123" s="11" t="inlineStr">
        <is>
          <t>Mr. Advocate</t>
        </is>
      </c>
      <c r="AA1123" s="11" t="inlineStr">
        <is>
          <t>2026-10-07</t>
        </is>
      </c>
      <c r="AB1123" s="11" t="inlineStr">
        <is>
          <t>weak</t>
        </is>
      </c>
      <c r="AC1123" s="2" t="inlineStr"/>
      <c r="AD1123" s="2" t="inlineStr">
        <is>
          <t>Sajeesh Babu v. N.K. Santhosh was reversed on appeal by the Supreme Court in Sajeesh Babu K. v. N.K. Santhosh and Others (2013).</t>
        </is>
      </c>
      <c r="AE1123" s="2" t="n"/>
      <c r="AF1123" s="11" t="inlineStr">
        <is>
          <t>created from list 1</t>
        </is>
      </c>
    </row>
    <row r="1124">
      <c r="A1124" s="11" t="inlineStr">
        <is>
          <t>L1-1123</t>
        </is>
      </c>
      <c r="B1124" s="11" t="inlineStr">
        <is>
          <t>List 1 (to ~2015)</t>
        </is>
      </c>
      <c r="C1124" s="11" t="inlineStr">
        <is>
          <t>list1</t>
        </is>
      </c>
      <c r="D1124" s="11" t="inlineStr">
        <is>
          <t>verified</t>
        </is>
      </c>
      <c r="E1124" s="11" t="inlineStr">
        <is>
          <t>reversed_on_appeal</t>
        </is>
      </c>
      <c r="F1124" s="2" t="inlineStr">
        <is>
          <t>Mahadevan v. Chacko</t>
        </is>
      </c>
      <c r="G1124" s="11" t="inlineStr"/>
      <c r="H1124" s="11" t="inlineStr">
        <is>
          <t>unknown</t>
        </is>
      </c>
      <c r="I1124" s="2" t="inlineStr">
        <is>
          <t>(2001) 3 ILR (Ker) 135</t>
        </is>
      </c>
      <c r="J1124" s="11" t="n">
        <v>2001</v>
      </c>
      <c r="K1124" s="2" t="inlineStr">
        <is>
          <t>Chacko and Another v. Mahadevan</t>
        </is>
      </c>
      <c r="L1124" s="11" t="inlineStr">
        <is>
          <t>Supreme Court</t>
        </is>
      </c>
      <c r="M1124" s="2" t="inlineStr">
        <is>
          <t>AIR 2007 SC 2967; (2008) 105 CLT 139; (2007) 10 JT 461; (2007) 10 SCALE 444; (2007) 7 SCC 363; (2007) AIRSCW 5408; (2007) 5 Supreme 966</t>
        </is>
      </c>
      <c r="N1124" s="11" t="n">
        <v>2007</v>
      </c>
      <c r="O1124" s="11" t="n"/>
      <c r="P1124" s="11" t="n"/>
      <c r="Q1124" s="11" t="n"/>
      <c r="R1124" s="2" t="n"/>
      <c r="S1124" s="2" t="n"/>
      <c r="T1124" s="11" t="inlineStr">
        <is>
          <t>yes</t>
        </is>
      </c>
      <c r="U1124" s="11" t="inlineStr"/>
      <c r="V1124" s="11" t="inlineStr">
        <is>
          <t>outside_list</t>
        </is>
      </c>
      <c r="W1124" s="11" t="n"/>
      <c r="X1124" s="11" t="n"/>
      <c r="Y1124" s="11" t="n"/>
      <c r="Z1124" s="11" t="inlineStr">
        <is>
          <t>Mr. Advocate</t>
        </is>
      </c>
      <c r="AA1124" s="11" t="inlineStr">
        <is>
          <t>2026-10-07</t>
        </is>
      </c>
      <c r="AB1124" s="11" t="inlineStr">
        <is>
          <t>name_year</t>
        </is>
      </c>
      <c r="AC1124" s="2" t="inlineStr"/>
      <c r="AD1124" s="2" t="inlineStr">
        <is>
          <t>Mahadevan v. Chacko (2001) was reversed on appeal by the Supreme Court in Chacko and Another v. Mahadevan (2007).</t>
        </is>
      </c>
      <c r="AE1124" s="2" t="n"/>
      <c r="AF1124" s="11" t="inlineStr">
        <is>
          <t>created from list 1</t>
        </is>
      </c>
    </row>
    <row r="1125">
      <c r="A1125" s="11" t="inlineStr">
        <is>
          <t>L1-1124</t>
        </is>
      </c>
      <c r="B1125" s="11" t="inlineStr">
        <is>
          <t>List 1 (to ~2015)</t>
        </is>
      </c>
      <c r="C1125" s="11" t="inlineStr">
        <is>
          <t>list1</t>
        </is>
      </c>
      <c r="D1125" s="11" t="inlineStr">
        <is>
          <t>verified</t>
        </is>
      </c>
      <c r="E1125" s="11" t="inlineStr">
        <is>
          <t>reversed_on_appeal</t>
        </is>
      </c>
      <c r="F1125" s="2" t="inlineStr">
        <is>
          <t>United India Insurance Company Ltd. v. Suresh</t>
        </is>
      </c>
      <c r="G1125" s="11" t="inlineStr"/>
      <c r="H1125" s="11" t="inlineStr">
        <is>
          <t>unknown</t>
        </is>
      </c>
      <c r="I1125" s="2" t="inlineStr">
        <is>
          <t>(2007) ACJ 262; (2006) 4 ILR (Ker) 296; (2006) 4 KLT 333</t>
        </is>
      </c>
      <c r="J1125" s="11" t="n">
        <v>2006</v>
      </c>
      <c r="K1125" s="2" t="inlineStr">
        <is>
          <t>United India Insurance Co. Ltd. v. Suresh K.K. and Another</t>
        </is>
      </c>
      <c r="L1125" s="11" t="inlineStr">
        <is>
          <t>Supreme Court</t>
        </is>
      </c>
      <c r="M1125" s="2" t="inlineStr">
        <is>
          <t>(2008) ACJ 1741; AIR 2008 SC 2871; (2008) 6 JT 244; (2008) 152 PLR 387; (2008) 6 SCALE 589; (2008) 12 SCC 657; (2008) AIRSCW 4739</t>
        </is>
      </c>
      <c r="N1125" s="11" t="n">
        <v>2008</v>
      </c>
      <c r="O1125" s="11" t="n"/>
      <c r="P1125" s="11" t="n"/>
      <c r="Q1125" s="11" t="n"/>
      <c r="R1125" s="2" t="n"/>
      <c r="S1125" s="2" t="n"/>
      <c r="T1125" s="11" t="inlineStr">
        <is>
          <t>yes</t>
        </is>
      </c>
      <c r="U1125" s="11" t="inlineStr"/>
      <c r="V1125" s="11" t="inlineStr">
        <is>
          <t>outside_list</t>
        </is>
      </c>
      <c r="W1125" s="11" t="n"/>
      <c r="X1125" s="11" t="n"/>
      <c r="Y1125" s="11" t="n"/>
      <c r="Z1125" s="11" t="inlineStr">
        <is>
          <t>Mr. Advocate</t>
        </is>
      </c>
      <c r="AA1125" s="11" t="inlineStr">
        <is>
          <t>2026-10-07</t>
        </is>
      </c>
      <c r="AB1125" s="11" t="inlineStr">
        <is>
          <t>name_year</t>
        </is>
      </c>
      <c r="AC1125" s="2" t="inlineStr"/>
      <c r="AD1125" s="2" t="inlineStr">
        <is>
          <t>United India Insurance Company Ltd. v. Suresh (2006) was reversed on appeal by the Supreme Court in United India Insurance Co. Ltd. v. Suresh K.K. and Another (2008).</t>
        </is>
      </c>
      <c r="AE1125" s="2" t="n"/>
      <c r="AF1125" s="11" t="inlineStr">
        <is>
          <t>created from list 1</t>
        </is>
      </c>
    </row>
    <row r="1126">
      <c r="A1126" s="11" t="inlineStr">
        <is>
          <t>L1-1125</t>
        </is>
      </c>
      <c r="B1126" s="11" t="inlineStr">
        <is>
          <t>List 1 (to ~2015)</t>
        </is>
      </c>
      <c r="C1126" s="11" t="inlineStr">
        <is>
          <t>list1</t>
        </is>
      </c>
      <c r="D1126" s="11" t="inlineStr">
        <is>
          <t>verified</t>
        </is>
      </c>
      <c r="E1126" s="11" t="inlineStr">
        <is>
          <t>reversed_on_appeal</t>
        </is>
      </c>
      <c r="F1126" s="2" t="inlineStr">
        <is>
          <t>Manjuri Bera v. Oriental Insurance Co. Ltd. and Another</t>
        </is>
      </c>
      <c r="G1126" s="11" t="inlineStr"/>
      <c r="H1126" s="11" t="inlineStr">
        <is>
          <t>unknown</t>
        </is>
      </c>
      <c r="I1126" s="2" t="inlineStr">
        <is>
          <t>(2004) 3 ACC 15; (2005) ACJ 1622; (2004) 2 CHN 370; 108 CWN 175</t>
        </is>
      </c>
      <c r="J1126" s="11" t="n">
        <v>2004</v>
      </c>
      <c r="K1126" s="2" t="inlineStr">
        <is>
          <t>Smt. Manjuri Bera v. The Oriental Insurance Company Ltd. and Another</t>
        </is>
      </c>
      <c r="L1126" s="11" t="inlineStr">
        <is>
          <t>Supreme Court</t>
        </is>
      </c>
      <c r="M1126" s="2" t="inlineStr">
        <is>
          <t>(2007) 2 ACC 365; (2007) ACJ 1279; AIR 2007 SC 1474; (2007) 5 JT 78; (2007) 146 PLR 611; (2007) 5 SCALE 193; (2007) 10 SCC 643; (2007) 4 SCR 590</t>
        </is>
      </c>
      <c r="N1126" s="11" t="n">
        <v>2007</v>
      </c>
      <c r="O1126" s="11" t="n"/>
      <c r="P1126" s="11" t="n"/>
      <c r="Q1126" s="11" t="n"/>
      <c r="R1126" s="2" t="n"/>
      <c r="S1126" s="2" t="n"/>
      <c r="T1126" s="11" t="inlineStr">
        <is>
          <t>yes</t>
        </is>
      </c>
      <c r="U1126" s="11" t="inlineStr"/>
      <c r="V1126" s="11" t="inlineStr">
        <is>
          <t>outside_list</t>
        </is>
      </c>
      <c r="W1126" s="11" t="n"/>
      <c r="X1126" s="11" t="n"/>
      <c r="Y1126" s="11" t="n"/>
      <c r="Z1126" s="11" t="inlineStr">
        <is>
          <t>Mr. Advocate</t>
        </is>
      </c>
      <c r="AA1126" s="11" t="inlineStr">
        <is>
          <t>2026-10-07</t>
        </is>
      </c>
      <c r="AB1126" s="11" t="inlineStr">
        <is>
          <t>name_year</t>
        </is>
      </c>
      <c r="AC1126" s="2" t="inlineStr"/>
      <c r="AD1126" s="2" t="inlineStr">
        <is>
          <t>Manjuri Bera v. Oriental Insurance Co. Ltd. and Another (2004) was reversed on appeal by the Supreme Court in Smt. Manjuri Bera v. The Oriental Insurance Company Ltd. and Another (2007).</t>
        </is>
      </c>
      <c r="AE1126" s="2" t="n"/>
      <c r="AF1126" s="11" t="inlineStr">
        <is>
          <t>created from list 1</t>
        </is>
      </c>
    </row>
    <row r="1127">
      <c r="A1127" s="11" t="inlineStr">
        <is>
          <t>L1-1126</t>
        </is>
      </c>
      <c r="B1127" s="11" t="inlineStr">
        <is>
          <t>List 1 (to ~2015)</t>
        </is>
      </c>
      <c r="C1127" s="11" t="inlineStr">
        <is>
          <t>list1</t>
        </is>
      </c>
      <c r="D1127" s="11" t="inlineStr">
        <is>
          <t>verified</t>
        </is>
      </c>
      <c r="E1127" s="11" t="inlineStr">
        <is>
          <t>overruled</t>
        </is>
      </c>
      <c r="F1127" s="2" t="inlineStr">
        <is>
          <t>Food Inspector, Thakazhy Panchayat v. P. Viswanatha Pillai</t>
        </is>
      </c>
      <c r="G1127" s="11" t="inlineStr"/>
      <c r="H1127" s="11" t="inlineStr">
        <is>
          <t>unknown</t>
        </is>
      </c>
      <c r="I1127" s="2" t="inlineStr">
        <is>
          <t>(1988) CriLJ 323</t>
        </is>
      </c>
      <c r="J1127" s="11" t="n">
        <v>1988</v>
      </c>
      <c r="K1127" s="2" t="inlineStr">
        <is>
          <t>T.V. Usman v. Food Inspector, Tellicherry Municipality, Tellicherry</t>
        </is>
      </c>
      <c r="L1127" s="11" t="inlineStr">
        <is>
          <t>Supreme Court</t>
        </is>
      </c>
      <c r="M1127" s="2" t="inlineStr">
        <is>
          <t>AIR 1994 SC 1818; (1994) 1 JT 260; (1994) 1 SCALE 179; (1994) 1 SCC 754; (1994) 1 UJ 365</t>
        </is>
      </c>
      <c r="N1127" s="11" t="n">
        <v>1994</v>
      </c>
      <c r="O1127" s="11" t="n"/>
      <c r="P1127" s="11" t="n"/>
      <c r="Q1127" s="11" t="n"/>
      <c r="R1127" s="2" t="n"/>
      <c r="S1127" s="2" t="n"/>
      <c r="T1127" s="11" t="inlineStr"/>
      <c r="U1127" s="11" t="inlineStr"/>
      <c r="V1127" s="11" t="inlineStr">
        <is>
          <t>outside_list</t>
        </is>
      </c>
      <c r="W1127" s="11" t="n"/>
      <c r="X1127" s="11" t="n"/>
      <c r="Y1127" s="11" t="n"/>
      <c r="Z1127" s="11" t="inlineStr">
        <is>
          <t>Mr. Advocate</t>
        </is>
      </c>
      <c r="AA1127" s="11" t="inlineStr">
        <is>
          <t>2026-10-07</t>
        </is>
      </c>
      <c r="AB1127" s="11" t="inlineStr">
        <is>
          <t>name_year</t>
        </is>
      </c>
      <c r="AC1127" s="2" t="inlineStr"/>
      <c r="AD1127" s="2" t="inlineStr">
        <is>
          <t>Food Inspector, Thakazhy Panchayat v. P. Viswanatha Pillai (1988) was overruled by T.V. Usman v. Food Inspector, Tellicherry Municipality, Tellicherry (1994).</t>
        </is>
      </c>
      <c r="AE1127" s="2" t="n"/>
      <c r="AF1127" s="11" t="inlineStr">
        <is>
          <t>created from list 1</t>
        </is>
      </c>
    </row>
    <row r="1128">
      <c r="A1128" s="11" t="inlineStr">
        <is>
          <t>L1-1127</t>
        </is>
      </c>
      <c r="B1128" s="11" t="inlineStr">
        <is>
          <t>List 1 (to ~2015)</t>
        </is>
      </c>
      <c r="C1128" s="11" t="inlineStr">
        <is>
          <t>list1</t>
        </is>
      </c>
      <c r="D1128" s="11" t="inlineStr">
        <is>
          <t>verified</t>
        </is>
      </c>
      <c r="E1128" s="11" t="inlineStr">
        <is>
          <t>reversed_on_appeal</t>
        </is>
      </c>
      <c r="F1128" s="2" t="inlineStr">
        <is>
          <t>K.S.R.T.C. v. Varghese</t>
        </is>
      </c>
      <c r="G1128" s="11" t="inlineStr"/>
      <c r="H1128" s="11" t="inlineStr">
        <is>
          <t>unknown</t>
        </is>
      </c>
      <c r="I1128" s="2" t="inlineStr">
        <is>
          <t>(2004) 3 ILR (Ker) 134; (2004) 3 KLT 542</t>
        </is>
      </c>
      <c r="J1128" s="11" t="n">
        <v>2004</v>
      </c>
      <c r="K1128" s="2" t="inlineStr">
        <is>
          <t>Chairman and M.D., K.S.R.T.C. v. K.O. Varghese and Others</t>
        </is>
      </c>
      <c r="L1128" s="11" t="inlineStr">
        <is>
          <t>Supreme Court</t>
        </is>
      </c>
      <c r="M1128" s="2" t="inlineStr">
        <is>
          <t>(2007) 9 JT 82; (2007) 9 SCALE 115; (2007) 8 SCC 231; (2007) 2 SCC(L&amp;S) 862; (2007) 8 SCR 164; (2008) 1 SLJ 447; (2007) 2 UJ 812</t>
        </is>
      </c>
      <c r="N1128" s="11" t="n">
        <v>2007</v>
      </c>
      <c r="O1128" s="11" t="n"/>
      <c r="P1128" s="11" t="n"/>
      <c r="Q1128" s="11" t="n"/>
      <c r="R1128" s="2" t="n"/>
      <c r="S1128" s="2" t="n"/>
      <c r="T1128" s="11" t="inlineStr">
        <is>
          <t>yes</t>
        </is>
      </c>
      <c r="U1128" s="11" t="inlineStr"/>
      <c r="V1128" s="11" t="inlineStr">
        <is>
          <t>outside_list</t>
        </is>
      </c>
      <c r="W1128" s="11" t="n"/>
      <c r="X1128" s="11" t="n"/>
      <c r="Y1128" s="11" t="n"/>
      <c r="Z1128" s="11" t="inlineStr">
        <is>
          <t>Mr. Advocate</t>
        </is>
      </c>
      <c r="AA1128" s="11" t="inlineStr">
        <is>
          <t>2026-10-07</t>
        </is>
      </c>
      <c r="AB1128" s="11" t="inlineStr">
        <is>
          <t>name_year</t>
        </is>
      </c>
      <c r="AC1128" s="2" t="inlineStr"/>
      <c r="AD1128" s="2" t="inlineStr">
        <is>
          <t>K.S.R.T.C. v. Varghese (2004) was reversed on appeal by the Supreme Court in Chairman and M.D., K.S.R.T.C. v. K.O. Varghese and Others (2007).</t>
        </is>
      </c>
      <c r="AE1128" s="2" t="n"/>
      <c r="AF1128" s="11" t="inlineStr">
        <is>
          <t>created from list 1</t>
        </is>
      </c>
    </row>
    <row r="1129">
      <c r="A1129" s="11" t="inlineStr">
        <is>
          <t>L1-1128</t>
        </is>
      </c>
      <c r="B1129" s="11" t="inlineStr">
        <is>
          <t>List 1 (to ~2015)</t>
        </is>
      </c>
      <c r="C1129" s="11" t="inlineStr">
        <is>
          <t>list1</t>
        </is>
      </c>
      <c r="D1129" s="11" t="inlineStr">
        <is>
          <t>verified</t>
        </is>
      </c>
      <c r="E1129" s="11" t="inlineStr">
        <is>
          <t>reversed_on_appeal</t>
        </is>
      </c>
      <c r="F1129" s="2" t="inlineStr">
        <is>
          <t>Premkumar v. State of Kerala</t>
        </is>
      </c>
      <c r="G1129" s="11" t="inlineStr"/>
      <c r="H1129" s="11" t="inlineStr">
        <is>
          <t>unknown</t>
        </is>
      </c>
      <c r="I1129" s="2" t="inlineStr">
        <is>
          <t>(2008) 2 DMC 310</t>
        </is>
      </c>
      <c r="J1129" s="11" t="n">
        <v>2008</v>
      </c>
      <c r="K1129" s="2" t="inlineStr">
        <is>
          <t>Premkumar and Others v. State of Kerala</t>
        </is>
      </c>
      <c r="L1129" s="11" t="inlineStr">
        <is>
          <t>Supreme Court</t>
        </is>
      </c>
      <c r="M1129" s="2" t="inlineStr">
        <is>
          <t>(2009) 2 JT 314; (2009) 1 SCALE 452; (2008) 17 SCC 264</t>
        </is>
      </c>
      <c r="N1129" s="11" t="n">
        <v>2008</v>
      </c>
      <c r="O1129" s="11" t="n"/>
      <c r="P1129" s="11" t="n"/>
      <c r="Q1129" s="11" t="n"/>
      <c r="R1129" s="2" t="n"/>
      <c r="S1129" s="2" t="n"/>
      <c r="T1129" s="11" t="inlineStr">
        <is>
          <t>yes</t>
        </is>
      </c>
      <c r="U1129" s="11" t="inlineStr">
        <is>
          <t>needs_citation_or_year</t>
        </is>
      </c>
      <c r="V1129" s="11" t="inlineStr">
        <is>
          <t>outside_list</t>
        </is>
      </c>
      <c r="W1129" s="11" t="n"/>
      <c r="X1129" s="11" t="n"/>
      <c r="Y1129" s="11" t="n"/>
      <c r="Z1129" s="11" t="inlineStr">
        <is>
          <t>Mr. Advocate</t>
        </is>
      </c>
      <c r="AA1129" s="11" t="inlineStr">
        <is>
          <t>2026-10-07</t>
        </is>
      </c>
      <c r="AB1129" s="11" t="inlineStr">
        <is>
          <t>none</t>
        </is>
      </c>
      <c r="AC1129" s="2" t="inlineStr"/>
      <c r="AD1129" s="2" t="inlineStr">
        <is>
          <t>Premkumar v. State of Kerala (2008) was reversed on appeal by the Supreme Court in Premkumar and Others v. State of Kerala (2008).</t>
        </is>
      </c>
      <c r="AE1129" s="2" t="n"/>
      <c r="AF1129" s="11" t="inlineStr">
        <is>
          <t>created from list 1</t>
        </is>
      </c>
    </row>
    <row r="1130">
      <c r="A1130" s="11" t="inlineStr">
        <is>
          <t>L1-1129</t>
        </is>
      </c>
      <c r="B1130" s="11" t="inlineStr">
        <is>
          <t>List 1 (to ~2015)</t>
        </is>
      </c>
      <c r="C1130" s="11" t="inlineStr">
        <is>
          <t>list1</t>
        </is>
      </c>
      <c r="D1130" s="11" t="inlineStr">
        <is>
          <t>verified</t>
        </is>
      </c>
      <c r="E1130" s="11" t="inlineStr">
        <is>
          <t>reversed_on_appeal</t>
        </is>
      </c>
      <c r="F1130" s="2" t="inlineStr">
        <is>
          <t>State of Kerala v. Sudhakaran</t>
        </is>
      </c>
      <c r="G1130" s="11" t="inlineStr"/>
      <c r="H1130" s="11" t="inlineStr">
        <is>
          <t>unknown</t>
        </is>
      </c>
      <c r="I1130" s="2" t="inlineStr">
        <is>
          <t>(2001) CriLJ 3658; (2001) 3 ILR (Ker) 197</t>
        </is>
      </c>
      <c r="J1130" s="11" t="n">
        <v>2001</v>
      </c>
      <c r="K1130" s="2" t="inlineStr">
        <is>
          <t>K. Sudhakaran v. State of Kerala</t>
        </is>
      </c>
      <c r="L1130" s="11" t="inlineStr">
        <is>
          <t>Supreme Court</t>
        </is>
      </c>
      <c r="M1130" s="2" t="inlineStr">
        <is>
          <t>AIR 2009 SC 1898; (2009) CLT 535; (2009) CriLJ 1757; (2009) 2 JT 265; (2009) 2 SCALE 239; (2009) 4 SCC 168; (2009) 2 SCR 868; (2009) 2 UJ 688; (2009) AIRSCW 1493; (2009) 1 Supreme 745</t>
        </is>
      </c>
      <c r="N1130" s="11" t="n">
        <v>2009</v>
      </c>
      <c r="O1130" s="11" t="n"/>
      <c r="P1130" s="11" t="n"/>
      <c r="Q1130" s="11" t="n"/>
      <c r="R1130" s="2" t="n"/>
      <c r="S1130" s="2" t="n"/>
      <c r="T1130" s="11" t="inlineStr">
        <is>
          <t>yes</t>
        </is>
      </c>
      <c r="U1130" s="11" t="inlineStr">
        <is>
          <t>needs_citation_or_year</t>
        </is>
      </c>
      <c r="V1130" s="11" t="inlineStr">
        <is>
          <t>outside_list</t>
        </is>
      </c>
      <c r="W1130" s="11" t="n"/>
      <c r="X1130" s="11" t="n"/>
      <c r="Y1130" s="11" t="n"/>
      <c r="Z1130" s="11" t="inlineStr">
        <is>
          <t>Mr. Advocate</t>
        </is>
      </c>
      <c r="AA1130" s="11" t="inlineStr">
        <is>
          <t>2026-10-07</t>
        </is>
      </c>
      <c r="AB1130" s="11" t="inlineStr">
        <is>
          <t>none</t>
        </is>
      </c>
      <c r="AC1130" s="2" t="inlineStr"/>
      <c r="AD1130" s="2" t="inlineStr">
        <is>
          <t>State of Kerala v. Sudhakaran (2001) was reversed on appeal by the Supreme Court in K. Sudhakaran v. State of Kerala (2009).</t>
        </is>
      </c>
      <c r="AE1130" s="2" t="n"/>
      <c r="AF1130" s="11" t="inlineStr">
        <is>
          <t>created from list 1</t>
        </is>
      </c>
    </row>
    <row r="1131">
      <c r="A1131" s="11" t="inlineStr">
        <is>
          <t>L1-1130</t>
        </is>
      </c>
      <c r="B1131" s="11" t="inlineStr">
        <is>
          <t>List 1 (to ~2015)</t>
        </is>
      </c>
      <c r="C1131" s="11" t="inlineStr">
        <is>
          <t>list1</t>
        </is>
      </c>
      <c r="D1131" s="11" t="inlineStr">
        <is>
          <t>verified</t>
        </is>
      </c>
      <c r="E1131" s="11" t="inlineStr">
        <is>
          <t>reversed_on_appeal</t>
        </is>
      </c>
      <c r="F1131" s="2" t="inlineStr">
        <is>
          <t>Imperial Chit Funds Ltd.(In Liquidation) v. Income Tax Department</t>
        </is>
      </c>
      <c r="G1131" s="11" t="inlineStr"/>
      <c r="H1131" s="11" t="inlineStr">
        <is>
          <t>unknown</t>
        </is>
      </c>
      <c r="I1131" s="2" t="inlineStr">
        <is>
          <t>(1979) 116 ITR 176</t>
        </is>
      </c>
      <c r="J1131" s="11" t="n">
        <v>1979</v>
      </c>
      <c r="K1131" s="2" t="inlineStr">
        <is>
          <t>Imperial Chit Funds (P) Ltd. v. Income Tax Officer, Ernakulam</t>
        </is>
      </c>
      <c r="L1131" s="11" t="inlineStr">
        <is>
          <t>Supreme Court</t>
        </is>
      </c>
      <c r="M1131" s="2" t="inlineStr">
        <is>
          <t>(1996) 3 AD 488; AIR 1996 SC 1887; (1996) 1 BC 659; (1996) 86 CompCas 555; (1996) 133 CTR 505; (1996) 219 ITR 498; (1996) 3 JT 410; (1996) 3 SCALE 20; (1996) 8 SCC 303; (1996) 3 SCR 640</t>
        </is>
      </c>
      <c r="N1131" s="11" t="n">
        <v>1996</v>
      </c>
      <c r="O1131" s="11" t="n"/>
      <c r="P1131" s="11" t="n"/>
      <c r="Q1131" s="11" t="n"/>
      <c r="R1131" s="2" t="n"/>
      <c r="S1131" s="2" t="n"/>
      <c r="T1131" s="11" t="inlineStr">
        <is>
          <t>yes</t>
        </is>
      </c>
      <c r="U1131" s="11" t="inlineStr"/>
      <c r="V1131" s="11" t="inlineStr">
        <is>
          <t>outside_list</t>
        </is>
      </c>
      <c r="W1131" s="11" t="n"/>
      <c r="X1131" s="11" t="n"/>
      <c r="Y1131" s="11" t="n"/>
      <c r="Z1131" s="11" t="inlineStr">
        <is>
          <t>Mr. Advocate</t>
        </is>
      </c>
      <c r="AA1131" s="11" t="inlineStr">
        <is>
          <t>2026-10-07</t>
        </is>
      </c>
      <c r="AB1131" s="11" t="inlineStr">
        <is>
          <t>name_year</t>
        </is>
      </c>
      <c r="AC1131" s="2" t="inlineStr"/>
      <c r="AD1131" s="2" t="inlineStr">
        <is>
          <t>Imperial Chit Funds Ltd.(In Liquidation) v. Income Tax Department (1979) was reversed on appeal by the Supreme Court in Imperial Chit Funds (P) Ltd. v. Income Tax Officer, Ernakulam (1996).</t>
        </is>
      </c>
      <c r="AE1131" s="2" t="n"/>
      <c r="AF1131" s="11" t="inlineStr">
        <is>
          <t>created from list 1</t>
        </is>
      </c>
    </row>
    <row r="1132">
      <c r="A1132" s="11" t="inlineStr">
        <is>
          <t>L1-1131</t>
        </is>
      </c>
      <c r="B1132" s="11" t="inlineStr">
        <is>
          <t>List 1 (to ~2015)</t>
        </is>
      </c>
      <c r="C1132" s="11" t="inlineStr">
        <is>
          <t>list1</t>
        </is>
      </c>
      <c r="D1132" s="11" t="inlineStr">
        <is>
          <t>verified</t>
        </is>
      </c>
      <c r="E1132" s="11" t="inlineStr">
        <is>
          <t>overruled</t>
        </is>
      </c>
      <c r="F1132" s="2" t="inlineStr">
        <is>
          <t>K.P. Sahadevan v. T.K. Sreedharan</t>
        </is>
      </c>
      <c r="G1132" s="11" t="inlineStr"/>
      <c r="H1132" s="11" t="inlineStr">
        <is>
          <t>unknown</t>
        </is>
      </c>
      <c r="I1132" s="2" t="inlineStr">
        <is>
          <t>(1996) CriLJ 1223; (1996) 1 ILR (Ker) 816</t>
        </is>
      </c>
      <c r="J1132" s="11" t="n">
        <v>1996</v>
      </c>
      <c r="K1132" s="2" t="inlineStr">
        <is>
          <t>Pankajbhai Nagjibhai Patel v. The State of Gujarat and Another</t>
        </is>
      </c>
      <c r="L1132" s="11" t="inlineStr">
        <is>
          <t>Supreme Court</t>
        </is>
      </c>
      <c r="M1132" s="2" t="inlineStr">
        <is>
          <t>AIR 2001 SC 567; (2005) 3 BC 435; (2001) 104 CompCas 418; (2001) CriLJ 950; (2001) 1 JT 523; (2001) 1 SCALE 102; (2001) 1 SCR 337; (2001) 1 UJ 485; (2001) AIRSCW 184; (2001) 1 Supreme 124</t>
        </is>
      </c>
      <c r="N1132" s="11" t="n">
        <v>2001</v>
      </c>
      <c r="O1132" s="11" t="n"/>
      <c r="P1132" s="11" t="n"/>
      <c r="Q1132" s="11" t="n"/>
      <c r="R1132" s="2" t="n"/>
      <c r="S1132" s="2" t="n"/>
      <c r="T1132" s="11" t="inlineStr"/>
      <c r="U1132" s="11" t="inlineStr"/>
      <c r="V1132" s="11" t="inlineStr">
        <is>
          <t>outside_list</t>
        </is>
      </c>
      <c r="W1132" s="11" t="n"/>
      <c r="X1132" s="11" t="n"/>
      <c r="Y1132" s="11" t="n"/>
      <c r="Z1132" s="11" t="inlineStr">
        <is>
          <t>Mr. Advocate</t>
        </is>
      </c>
      <c r="AA1132" s="11" t="inlineStr">
        <is>
          <t>2026-10-07</t>
        </is>
      </c>
      <c r="AB1132" s="11" t="inlineStr">
        <is>
          <t>name_year</t>
        </is>
      </c>
      <c r="AC1132" s="2" t="inlineStr"/>
      <c r="AD1132" s="2" t="inlineStr">
        <is>
          <t>K.P. Sahadevan v. T.K. Sreedharan (1996) was overruled by Pankajbhai Nagjibhai Patel v. The State of Gujarat and Another (2001).</t>
        </is>
      </c>
      <c r="AE1132" s="2" t="n"/>
      <c r="AF1132" s="11" t="inlineStr">
        <is>
          <t>created from list 1</t>
        </is>
      </c>
    </row>
    <row r="1133">
      <c r="A1133" s="11" t="inlineStr">
        <is>
          <t>L1-1132</t>
        </is>
      </c>
      <c r="B1133" s="11" t="inlineStr">
        <is>
          <t>List 1 (to ~2015)</t>
        </is>
      </c>
      <c r="C1133" s="11" t="inlineStr">
        <is>
          <t>list1</t>
        </is>
      </c>
      <c r="D1133" s="11" t="inlineStr">
        <is>
          <t>verified</t>
        </is>
      </c>
      <c r="E1133" s="11" t="inlineStr">
        <is>
          <t>overruled</t>
        </is>
      </c>
      <c r="F1133" s="2" t="inlineStr">
        <is>
          <t>Goverdhan Hathibhai and Co. v. Appellate Assistant Commissioner of Agricultural Income Tax and Sales Tax</t>
        </is>
      </c>
      <c r="G1133" s="11" t="inlineStr"/>
      <c r="H1133" s="11" t="inlineStr">
        <is>
          <t>unknown</t>
        </is>
      </c>
      <c r="I1133" s="2" t="inlineStr">
        <is>
          <t>(1960) 4 KLJ 1508; (1960) 12 STC 464</t>
        </is>
      </c>
      <c r="J1133" s="11" t="n">
        <v>1960</v>
      </c>
      <c r="K1133" s="2" t="inlineStr">
        <is>
          <t>The Bhopal Sugar Industries Ltd. v. Sales Tax Officer, Bhopal</t>
        </is>
      </c>
      <c r="L1133" s="11" t="inlineStr">
        <is>
          <t>Supreme Court</t>
        </is>
      </c>
      <c r="M1133" s="2" t="inlineStr">
        <is>
          <t>AIR 1977 SC 1275; (1977) 6 CTR 284; (1977) 3 SCC 147; (1977) SCC 401; (1977) 3 SCR 578; (1977) 40 STC 42</t>
        </is>
      </c>
      <c r="N1133" s="11" t="n">
        <v>1977</v>
      </c>
      <c r="O1133" s="11" t="n"/>
      <c r="P1133" s="11" t="n"/>
      <c r="Q1133" s="11" t="n"/>
      <c r="R1133" s="2" t="n"/>
      <c r="S1133" s="2" t="n"/>
      <c r="T1133" s="11" t="inlineStr"/>
      <c r="U1133" s="11" t="inlineStr"/>
      <c r="V1133" s="11" t="inlineStr">
        <is>
          <t>outside_list</t>
        </is>
      </c>
      <c r="W1133" s="11" t="n"/>
      <c r="X1133" s="11" t="n"/>
      <c r="Y1133" s="11" t="n"/>
      <c r="Z1133" s="11" t="inlineStr">
        <is>
          <t>Mr. Advocate</t>
        </is>
      </c>
      <c r="AA1133" s="11" t="inlineStr">
        <is>
          <t>2026-10-07</t>
        </is>
      </c>
      <c r="AB1133" s="11" t="inlineStr">
        <is>
          <t>name_year</t>
        </is>
      </c>
      <c r="AC1133" s="2" t="inlineStr"/>
      <c r="AD1133" s="2" t="inlineStr">
        <is>
          <t>Goverdhan Hathibhai and Co. v. Appellate Assistant Commissioner of Agricultural Income Tax and Sales Tax (1960) was overruled by The Bhopal Sugar Industries Ltd. v. Sales Tax Officer, Bhopal (1977).</t>
        </is>
      </c>
      <c r="AE1133" s="2" t="n"/>
      <c r="AF1133" s="11" t="inlineStr">
        <is>
          <t>created from list 1</t>
        </is>
      </c>
    </row>
    <row r="1134">
      <c r="A1134" s="11" t="inlineStr">
        <is>
          <t>L1-1133</t>
        </is>
      </c>
      <c r="B1134" s="11" t="inlineStr">
        <is>
          <t>List 1 (to ~2015)</t>
        </is>
      </c>
      <c r="C1134" s="11" t="inlineStr">
        <is>
          <t>list1</t>
        </is>
      </c>
      <c r="D1134" s="11" t="inlineStr">
        <is>
          <t>verified</t>
        </is>
      </c>
      <c r="E1134" s="11" t="inlineStr">
        <is>
          <t>reversed_on_appeal</t>
        </is>
      </c>
      <c r="F1134" s="2" t="inlineStr">
        <is>
          <t>Deputy Commissioner of Sales Tax (Law), Board of Revenue (Taxes) v. G.S. Pai and Company</t>
        </is>
      </c>
      <c r="G1134" s="11" t="inlineStr"/>
      <c r="H1134" s="11" t="inlineStr">
        <is>
          <t>unknown</t>
        </is>
      </c>
      <c r="I1134" s="2" t="inlineStr">
        <is>
          <t>(1978) 1 ILR (Ker) 607; (1978) 41 STC 440</t>
        </is>
      </c>
      <c r="J1134" s="11" t="n">
        <v>1978</v>
      </c>
      <c r="K1134" s="2" t="inlineStr">
        <is>
          <t>Deputy Commissioner of Sales Tax (Law), Board of Revenue (Taxes), Ernakulam v. G.S. Pai and Co.</t>
        </is>
      </c>
      <c r="L1134" s="11" t="inlineStr">
        <is>
          <t>Supreme Court</t>
        </is>
      </c>
      <c r="M1134" s="2" t="inlineStr">
        <is>
          <t>AIR 1980 SC 611; (1980) 1 SCC 142; (1980) 1 SCR 938; (1980) 45 STC 58; (1980) 12 UJ 210</t>
        </is>
      </c>
      <c r="N1134" s="11" t="n">
        <v>1980</v>
      </c>
      <c r="O1134" s="11" t="n"/>
      <c r="P1134" s="11" t="n"/>
      <c r="Q1134" s="11" t="n"/>
      <c r="R1134" s="2" t="n"/>
      <c r="S1134" s="2" t="n"/>
      <c r="T1134" s="11" t="inlineStr">
        <is>
          <t>yes</t>
        </is>
      </c>
      <c r="U1134" s="11" t="inlineStr"/>
      <c r="V1134" s="11" t="inlineStr">
        <is>
          <t>outside_list</t>
        </is>
      </c>
      <c r="W1134" s="11" t="n"/>
      <c r="X1134" s="11" t="n"/>
      <c r="Y1134" s="11" t="n"/>
      <c r="Z1134" s="11" t="inlineStr">
        <is>
          <t>Mr. Advocate</t>
        </is>
      </c>
      <c r="AA1134" s="11" t="inlineStr">
        <is>
          <t>2026-10-07</t>
        </is>
      </c>
      <c r="AB1134" s="11" t="inlineStr">
        <is>
          <t>name_year</t>
        </is>
      </c>
      <c r="AC1134" s="2" t="inlineStr"/>
      <c r="AD1134" s="2" t="inlineStr">
        <is>
          <t>Deputy Commissioner of Sales Tax (Law), Board of Revenue (Taxes) v. G.S. Pai and Company (1978) was reversed on appeal by the Supreme Court in Deputy Commissioner of Sales Tax (Law), Board of Revenue (Taxes), Ernakulam v. G.S. Pai and Co. (1980).</t>
        </is>
      </c>
      <c r="AE1134" s="2" t="n"/>
      <c r="AF1134" s="11" t="inlineStr">
        <is>
          <t>created from list 1</t>
        </is>
      </c>
    </row>
    <row r="1135">
      <c r="A1135" s="11" t="inlineStr">
        <is>
          <t>L1-1134</t>
        </is>
      </c>
      <c r="B1135" s="11" t="inlineStr">
        <is>
          <t>List 1 (to ~2015)</t>
        </is>
      </c>
      <c r="C1135" s="11" t="inlineStr">
        <is>
          <t>list1</t>
        </is>
      </c>
      <c r="D1135" s="11" t="inlineStr">
        <is>
          <t>verified</t>
        </is>
      </c>
      <c r="E1135" s="11" t="inlineStr">
        <is>
          <t>reversed_on_appeal</t>
        </is>
      </c>
      <c r="F1135" s="2" t="inlineStr">
        <is>
          <t>Income Tax Officer, B-Ward and Another v. K.P. Varghese</t>
        </is>
      </c>
      <c r="G1135" s="11" t="inlineStr"/>
      <c r="H1135" s="11" t="inlineStr">
        <is>
          <t>unknown</t>
        </is>
      </c>
      <c r="I1135" s="2" t="inlineStr">
        <is>
          <t>(1973) 91 ITR 49</t>
        </is>
      </c>
      <c r="J1135" s="11" t="n">
        <v>1973</v>
      </c>
      <c r="K1135" s="2" t="inlineStr">
        <is>
          <t>K.P. Varghese v. Income Tax Officer, Ernakulam and Another</t>
        </is>
      </c>
      <c r="L1135" s="11" t="inlineStr">
        <is>
          <t>Supreme Court</t>
        </is>
      </c>
      <c r="M1135" s="2" t="inlineStr">
        <is>
          <t>AIR 1981 SC 1922; (1981) 24 CTR 358; (1981) 131 ITR 597; (1981) 3 SCALE 1315; (1981) 4 SCC 173; (1982) 1 SCR 629</t>
        </is>
      </c>
      <c r="N1135" s="11" t="n">
        <v>1981</v>
      </c>
      <c r="O1135" s="11" t="n"/>
      <c r="P1135" s="11" t="n"/>
      <c r="Q1135" s="11" t="n"/>
      <c r="R1135" s="2" t="n"/>
      <c r="S1135" s="2" t="n"/>
      <c r="T1135" s="11" t="inlineStr">
        <is>
          <t>yes</t>
        </is>
      </c>
      <c r="U1135" s="11" t="inlineStr"/>
      <c r="V1135" s="11" t="inlineStr">
        <is>
          <t>outside_list</t>
        </is>
      </c>
      <c r="W1135" s="11" t="n"/>
      <c r="X1135" s="11" t="n"/>
      <c r="Y1135" s="11" t="n"/>
      <c r="Z1135" s="11" t="inlineStr">
        <is>
          <t>Mr. Advocate</t>
        </is>
      </c>
      <c r="AA1135" s="11" t="inlineStr">
        <is>
          <t>2026-10-07</t>
        </is>
      </c>
      <c r="AB1135" s="11" t="inlineStr">
        <is>
          <t>name_year</t>
        </is>
      </c>
      <c r="AC1135" s="2" t="inlineStr"/>
      <c r="AD1135" s="2" t="inlineStr">
        <is>
          <t>Income Tax Officer, B-Ward and Another v. K.P. Varghese (1973) was reversed on appeal by the Supreme Court in K.P. Varghese v. Income Tax Officer, Ernakulam and Another (1981).</t>
        </is>
      </c>
      <c r="AE1135" s="2" t="n"/>
      <c r="AF1135" s="11" t="inlineStr">
        <is>
          <t>created from list 1</t>
        </is>
      </c>
    </row>
    <row r="1136">
      <c r="A1136" s="11" t="inlineStr">
        <is>
          <t>L1-1135</t>
        </is>
      </c>
      <c r="B1136" s="11" t="inlineStr">
        <is>
          <t>List 1 (to ~2015)</t>
        </is>
      </c>
      <c r="C1136" s="11" t="inlineStr">
        <is>
          <t>list1</t>
        </is>
      </c>
      <c r="D1136" s="11" t="inlineStr">
        <is>
          <t>verified</t>
        </is>
      </c>
      <c r="E1136" s="11" t="inlineStr">
        <is>
          <t>overruled</t>
        </is>
      </c>
      <c r="F1136" s="2" t="inlineStr">
        <is>
          <t>Varghese v. Padappu Ksheerolpadaka Sahakarana Sangham Ltd.</t>
        </is>
      </c>
      <c r="G1136" s="11" t="inlineStr"/>
      <c r="H1136" s="11" t="inlineStr">
        <is>
          <t>unknown</t>
        </is>
      </c>
      <c r="I1136" s="2" t="inlineStr">
        <is>
          <t>(2006) 109 FLR 687; (2006) 1 ILR (Ker) 837; (2006) 2 KLT 116; (2006) 2 LLJ 1052</t>
        </is>
      </c>
      <c r="J1136" s="11" t="n">
        <v>2006</v>
      </c>
      <c r="K1136" s="2" t="inlineStr">
        <is>
          <t>Secretary Padippu K.S. Sangam Ltd. v. C. Varghese</t>
        </is>
      </c>
      <c r="L1136" s="11" t="inlineStr">
        <is>
          <t>Supreme Court</t>
        </is>
      </c>
      <c r="M1136" s="2" t="inlineStr">
        <is>
          <t>(2007) 113 FLR 827; (2007) 2 LLJ 544; (2007) 4 SCALE 560; (2007) 9 SCC 301; (2007) 2 SCC(L&amp;S) 512; (2007) 4 SCR 241</t>
        </is>
      </c>
      <c r="N1136" s="11" t="n">
        <v>2007</v>
      </c>
      <c r="O1136" s="11" t="n"/>
      <c r="P1136" s="11" t="n"/>
      <c r="Q1136" s="11" t="n"/>
      <c r="R1136" s="2" t="n"/>
      <c r="S1136" s="2" t="n"/>
      <c r="T1136" s="11" t="inlineStr"/>
      <c r="U1136" s="11" t="inlineStr"/>
      <c r="V1136" s="11" t="inlineStr">
        <is>
          <t>outside_list</t>
        </is>
      </c>
      <c r="W1136" s="11" t="n"/>
      <c r="X1136" s="11" t="n"/>
      <c r="Y1136" s="11" t="n"/>
      <c r="Z1136" s="11" t="inlineStr">
        <is>
          <t>Mr. Advocate</t>
        </is>
      </c>
      <c r="AA1136" s="11" t="inlineStr">
        <is>
          <t>2026-10-07</t>
        </is>
      </c>
      <c r="AB1136" s="11" t="inlineStr">
        <is>
          <t>name_year</t>
        </is>
      </c>
      <c r="AC1136" s="2" t="inlineStr"/>
      <c r="AD1136" s="2" t="inlineStr">
        <is>
          <t>Varghese v. Padappu Ksheerolpadaka Sahakarana Sangham Ltd. (2006) was overruled by Secretary Padippu K.S. Sangam Ltd. v. C. Varghese (2007).</t>
        </is>
      </c>
      <c r="AE1136" s="2" t="n"/>
      <c r="AF1136" s="11" t="inlineStr">
        <is>
          <t>created from list 1</t>
        </is>
      </c>
    </row>
    <row r="1137">
      <c r="A1137" s="11" t="inlineStr">
        <is>
          <t>L1-1136</t>
        </is>
      </c>
      <c r="B1137" s="11" t="inlineStr">
        <is>
          <t>List 1 (to ~2015)</t>
        </is>
      </c>
      <c r="C1137" s="11" t="inlineStr">
        <is>
          <t>list1</t>
        </is>
      </c>
      <c r="D1137" s="11" t="inlineStr">
        <is>
          <t>verified</t>
        </is>
      </c>
      <c r="E1137" s="11" t="inlineStr">
        <is>
          <t>overruled</t>
        </is>
      </c>
      <c r="F1137" s="2" t="inlineStr">
        <is>
          <t>Commissioner of Income Tax v. West India Steel Co. Ltd.</t>
        </is>
      </c>
      <c r="G1137" s="11" t="inlineStr"/>
      <c r="H1137" s="11" t="inlineStr">
        <is>
          <t>unknown</t>
        </is>
      </c>
      <c r="I1137" s="2" t="inlineStr">
        <is>
          <t>(1977) 108 ITR 601</t>
        </is>
      </c>
      <c r="J1137" s="11" t="n">
        <v>1977</v>
      </c>
      <c r="K1137" s="2" t="inlineStr">
        <is>
          <t>Commissioner of Income Tax, Haryana v. M/s. Krishna Copper Steel Rolling Mills, Jagadhri etc.</t>
        </is>
      </c>
      <c r="L1137" s="11" t="inlineStr">
        <is>
          <t>Supreme Court</t>
        </is>
      </c>
      <c r="M1137" s="2" t="inlineStr">
        <is>
          <t>AIR 1992 SC 422; (1991) 3 CompLJ 367; (1991) 100 CTR 114; (1992) 193 ITR 281; (1991) 4 JT 350; (1991) 2 SCALE 1014; (1992) 1 SCC 732 Supp; (1991) 2 SCR 187 Supp; (1992) 60 TAXMAN 93</t>
        </is>
      </c>
      <c r="N1137" s="11" t="n">
        <v>1992</v>
      </c>
      <c r="O1137" s="11" t="n"/>
      <c r="P1137" s="11" t="n"/>
      <c r="Q1137" s="11" t="n"/>
      <c r="R1137" s="2" t="n"/>
      <c r="S1137" s="2" t="n"/>
      <c r="T1137" s="11" t="inlineStr"/>
      <c r="U1137" s="11" t="inlineStr"/>
      <c r="V1137" s="11" t="inlineStr">
        <is>
          <t>outside_list</t>
        </is>
      </c>
      <c r="W1137" s="11" t="n"/>
      <c r="X1137" s="11" t="n"/>
      <c r="Y1137" s="11" t="n"/>
      <c r="Z1137" s="11" t="inlineStr">
        <is>
          <t>Mr. Advocate</t>
        </is>
      </c>
      <c r="AA1137" s="11" t="inlineStr">
        <is>
          <t>2026-10-07</t>
        </is>
      </c>
      <c r="AB1137" s="11" t="inlineStr">
        <is>
          <t>name_year</t>
        </is>
      </c>
      <c r="AC1137" s="2" t="inlineStr"/>
      <c r="AD1137" s="2" t="inlineStr">
        <is>
          <t>Commissioner of Income Tax v. West India Steel Co. Ltd. (1977) was overruled by Commissioner of Income Tax, Haryana v. M/s. Krishna Copper Steel Rolling Mills, Jagadhri etc. (1992).</t>
        </is>
      </c>
      <c r="AE1137" s="2" t="n"/>
      <c r="AF1137" s="11" t="inlineStr">
        <is>
          <t>created from list 1</t>
        </is>
      </c>
    </row>
    <row r="1138">
      <c r="A1138" s="11" t="inlineStr">
        <is>
          <t>L1-1137</t>
        </is>
      </c>
      <c r="B1138" s="11" t="inlineStr">
        <is>
          <t>List 1 (to ~2015)</t>
        </is>
      </c>
      <c r="C1138" s="11" t="inlineStr">
        <is>
          <t>list1</t>
        </is>
      </c>
      <c r="D1138" s="11" t="inlineStr">
        <is>
          <t>verified</t>
        </is>
      </c>
      <c r="E1138" s="11" t="inlineStr">
        <is>
          <t>overruled</t>
        </is>
      </c>
      <c r="F1138" s="2" t="inlineStr">
        <is>
          <t>Subramonian v. Officer Commanding, Armoured Static Workshop</t>
        </is>
      </c>
      <c r="G1138" s="11" t="inlineStr"/>
      <c r="H1138" s="11" t="inlineStr">
        <is>
          <t>unknown</t>
        </is>
      </c>
      <c r="I1138" s="2" t="inlineStr">
        <is>
          <t>(1979) CriLJ 617</t>
        </is>
      </c>
      <c r="J1138" s="11" t="n">
        <v>1979</v>
      </c>
      <c r="K1138" s="2" t="inlineStr">
        <is>
          <t>Ajit kumar v. Union of India (UOI) and Others</t>
        </is>
      </c>
      <c r="L1138" s="11" t="inlineStr">
        <is>
          <t>Supreme Court</t>
        </is>
      </c>
      <c r="M1138" s="2" t="inlineStr">
        <is>
          <t>AIR 1988 SC 283; (1988) CriLJ 417; (1988) 1 Crimes 207; (1987) 4 JT 462; (1987) 2 SCALE 1113; (1987) 1 SCC 493 Supp; (1987) SCC 493 Supp; (1988) 2 SCR 40; (1988) 2 SLJ 1; (1988) 1 UJ 109</t>
        </is>
      </c>
      <c r="N1138" s="11" t="n">
        <v>1988</v>
      </c>
      <c r="O1138" s="11" t="n"/>
      <c r="P1138" s="11" t="n"/>
      <c r="Q1138" s="11" t="n"/>
      <c r="R1138" s="2" t="n"/>
      <c r="S1138" s="2" t="n"/>
      <c r="T1138" s="11" t="inlineStr"/>
      <c r="U1138" s="11" t="inlineStr"/>
      <c r="V1138" s="11" t="inlineStr">
        <is>
          <t>outside_list</t>
        </is>
      </c>
      <c r="W1138" s="11" t="n"/>
      <c r="X1138" s="11" t="n"/>
      <c r="Y1138" s="11" t="n"/>
      <c r="Z1138" s="11" t="inlineStr">
        <is>
          <t>Mr. Advocate</t>
        </is>
      </c>
      <c r="AA1138" s="11" t="inlineStr">
        <is>
          <t>2026-10-07</t>
        </is>
      </c>
      <c r="AB1138" s="11" t="inlineStr">
        <is>
          <t>name_year</t>
        </is>
      </c>
      <c r="AC1138" s="2" t="inlineStr"/>
      <c r="AD1138" s="2" t="inlineStr">
        <is>
          <t>Subramonian v. Officer Commanding, Armoured Static Workshop (1979) was overruled by Ajit kumar v. Union of India (UOI) and Others (1988).</t>
        </is>
      </c>
      <c r="AE1138" s="2" t="n"/>
      <c r="AF1138" s="11" t="inlineStr">
        <is>
          <t>created from list 1</t>
        </is>
      </c>
    </row>
    <row r="1139">
      <c r="A1139" s="11" t="inlineStr">
        <is>
          <t>L1-1138</t>
        </is>
      </c>
      <c r="B1139" s="11" t="inlineStr">
        <is>
          <t>List 1 (to ~2015)</t>
        </is>
      </c>
      <c r="C1139" s="11" t="inlineStr">
        <is>
          <t>list1</t>
        </is>
      </c>
      <c r="D1139" s="11" t="inlineStr">
        <is>
          <t>verified</t>
        </is>
      </c>
      <c r="E1139" s="11" t="inlineStr">
        <is>
          <t>overruled</t>
        </is>
      </c>
      <c r="F1139" s="2" t="inlineStr">
        <is>
          <t>The Food Inspector, Palghat Municipality v. K.M. Moose and Others</t>
        </is>
      </c>
      <c r="G1139" s="11" t="inlineStr"/>
      <c r="H1139" s="11" t="inlineStr">
        <is>
          <t>unknown</t>
        </is>
      </c>
      <c r="I1139" s="2" t="inlineStr">
        <is>
          <t>(1984) CriLJ 563; (1984) 1 ILR (Ker) 795</t>
        </is>
      </c>
      <c r="J1139" s="11" t="n">
        <v>1984</v>
      </c>
      <c r="K1139" s="2" t="inlineStr">
        <is>
          <t>T.V. Usman v. Food Inspector, Tellicherry Municipality, Tellicherry</t>
        </is>
      </c>
      <c r="L1139" s="11" t="inlineStr">
        <is>
          <t>Supreme Court</t>
        </is>
      </c>
      <c r="M1139" s="2" t="inlineStr">
        <is>
          <t>AIR 1994 SC 1818; (1994) 1 JT 260; (1994) 1 SCALE 179; (1994) 1 SCC 754; (1994) 1 UJ 365</t>
        </is>
      </c>
      <c r="N1139" s="11" t="n">
        <v>1994</v>
      </c>
      <c r="O1139" s="11" t="n"/>
      <c r="P1139" s="11" t="n"/>
      <c r="Q1139" s="11" t="n"/>
      <c r="R1139" s="2" t="n"/>
      <c r="S1139" s="2" t="n"/>
      <c r="T1139" s="11" t="inlineStr"/>
      <c r="U1139" s="11" t="inlineStr"/>
      <c r="V1139" s="11" t="inlineStr">
        <is>
          <t>outside_list</t>
        </is>
      </c>
      <c r="W1139" s="11" t="n"/>
      <c r="X1139" s="11" t="n"/>
      <c r="Y1139" s="11" t="n"/>
      <c r="Z1139" s="11" t="inlineStr">
        <is>
          <t>Mr. Advocate</t>
        </is>
      </c>
      <c r="AA1139" s="11" t="inlineStr">
        <is>
          <t>2026-10-07</t>
        </is>
      </c>
      <c r="AB1139" s="11" t="inlineStr">
        <is>
          <t>name_year</t>
        </is>
      </c>
      <c r="AC1139" s="2" t="inlineStr"/>
      <c r="AD1139" s="2" t="inlineStr">
        <is>
          <t>The Food Inspector, Palghat Municipality v. K.M. Moose and Others (1984) was overruled by T.V. Usman v. Food Inspector, Tellicherry Municipality, Tellicherry (1994).</t>
        </is>
      </c>
      <c r="AE1139" s="2" t="n"/>
      <c r="AF1139" s="11" t="inlineStr">
        <is>
          <t>created from list 1</t>
        </is>
      </c>
    </row>
    <row r="1140">
      <c r="A1140" s="11" t="inlineStr">
        <is>
          <t>L1-1139</t>
        </is>
      </c>
      <c r="B1140" s="11" t="inlineStr">
        <is>
          <t>List 1 (to ~2015)</t>
        </is>
      </c>
      <c r="C1140" s="11" t="inlineStr">
        <is>
          <t>list1</t>
        </is>
      </c>
      <c r="D1140" s="11" t="inlineStr">
        <is>
          <t>verified</t>
        </is>
      </c>
      <c r="E1140" s="11" t="inlineStr">
        <is>
          <t>reversed_on_appeal</t>
        </is>
      </c>
      <c r="F1140" s="2" t="inlineStr">
        <is>
          <t>Narayanan Sankaran Mooss v. State of Kerala and Another</t>
        </is>
      </c>
      <c r="G1140" s="11" t="inlineStr"/>
      <c r="H1140" s="11" t="inlineStr">
        <is>
          <t>Kerala</t>
        </is>
      </c>
      <c r="I1140" s="2" t="inlineStr">
        <is>
          <t>AIR 1965 Ker 253</t>
        </is>
      </c>
      <c r="J1140" s="11" t="n">
        <v>1965</v>
      </c>
      <c r="K1140" s="2" t="inlineStr">
        <is>
          <t>Narayanan Sankaran Mooss v. The State of Kerala and Another</t>
        </is>
      </c>
      <c r="L1140" s="11" t="inlineStr">
        <is>
          <t>Supreme Court</t>
        </is>
      </c>
      <c r="M1140" s="2" t="inlineStr">
        <is>
          <t>AIR 1974 SC 175; (1974) 1 SCC 68; (1974) 2 SCR 60</t>
        </is>
      </c>
      <c r="N1140" s="11" t="n">
        <v>1974</v>
      </c>
      <c r="O1140" s="11" t="n"/>
      <c r="P1140" s="11" t="n"/>
      <c r="Q1140" s="11" t="n"/>
      <c r="R1140" s="2" t="n"/>
      <c r="S1140" s="2" t="n"/>
      <c r="T1140" s="11" t="inlineStr">
        <is>
          <t>yes</t>
        </is>
      </c>
      <c r="U1140" s="11" t="inlineStr"/>
      <c r="V1140" s="11" t="inlineStr">
        <is>
          <t>outside_list</t>
        </is>
      </c>
      <c r="W1140" s="11" t="n"/>
      <c r="X1140" s="11" t="n"/>
      <c r="Y1140" s="11" t="n"/>
      <c r="Z1140" s="11" t="inlineStr">
        <is>
          <t>Mr. Advocate</t>
        </is>
      </c>
      <c r="AA1140" s="11" t="inlineStr">
        <is>
          <t>2026-10-07</t>
        </is>
      </c>
      <c r="AB1140" s="11" t="inlineStr">
        <is>
          <t>name_year</t>
        </is>
      </c>
      <c r="AC1140" s="2" t="inlineStr"/>
      <c r="AD1140" s="2" t="inlineStr">
        <is>
          <t>Narayanan Sankaran Mooss v. State of Kerala and Another (1965) was reversed on appeal by the Supreme Court in Narayanan Sankaran Mooss v. The State of Kerala and Another (1974).</t>
        </is>
      </c>
      <c r="AE1140" s="2" t="n"/>
      <c r="AF1140" s="11" t="inlineStr">
        <is>
          <t>created from list 1</t>
        </is>
      </c>
    </row>
    <row r="1141">
      <c r="A1141" s="11" t="inlineStr">
        <is>
          <t>L1-1140</t>
        </is>
      </c>
      <c r="B1141" s="11" t="inlineStr">
        <is>
          <t>List 1 (to ~2015)</t>
        </is>
      </c>
      <c r="C1141" s="11" t="inlineStr">
        <is>
          <t>list1</t>
        </is>
      </c>
      <c r="D1141" s="11" t="inlineStr">
        <is>
          <t>verified</t>
        </is>
      </c>
      <c r="E1141" s="11" t="inlineStr">
        <is>
          <t>overruled</t>
        </is>
      </c>
      <c r="F1141" s="2" t="inlineStr">
        <is>
          <t>Commissioner of Income Tax v. Cochin Refineries Limited</t>
        </is>
      </c>
      <c r="G1141" s="11" t="inlineStr"/>
      <c r="H1141" s="11" t="inlineStr">
        <is>
          <t>unknown</t>
        </is>
      </c>
      <c r="I1141" s="2" t="inlineStr">
        <is>
          <t>(1988) 70 CTR 167; (1988) 173 ITR 461</t>
        </is>
      </c>
      <c r="J1141" s="11" t="n">
        <v>1988</v>
      </c>
      <c r="K1141" s="2" t="inlineStr">
        <is>
          <t>Commissioner of Income Tax, Gujarat v. Arvind Mills Ltd.</t>
        </is>
      </c>
      <c r="L1141" s="11" t="inlineStr">
        <is>
          <t>Supreme Court</t>
        </is>
      </c>
      <c r="M1141" s="2" t="inlineStr">
        <is>
          <t>AIR 1992 SC 718; (1992) 101 CTR 91; (1992) 193 ITR 255; (1991) 5 JT 341; (1991) 2 SCALE 1320; (1992) 2 SCC 190 Supp; (1991) 3 SCR 303 Supp; (1992) 60 TAXMAN 192</t>
        </is>
      </c>
      <c r="N1141" s="11" t="n">
        <v>1992</v>
      </c>
      <c r="O1141" s="11" t="n"/>
      <c r="P1141" s="11" t="n"/>
      <c r="Q1141" s="11" t="n"/>
      <c r="R1141" s="2" t="n"/>
      <c r="S1141" s="2" t="n"/>
      <c r="T1141" s="11" t="inlineStr"/>
      <c r="U1141" s="11" t="inlineStr"/>
      <c r="V1141" s="11" t="inlineStr">
        <is>
          <t>outside_list</t>
        </is>
      </c>
      <c r="W1141" s="11" t="n"/>
      <c r="X1141" s="11" t="n"/>
      <c r="Y1141" s="11" t="n"/>
      <c r="Z1141" s="11" t="inlineStr">
        <is>
          <t>Mr. Advocate</t>
        </is>
      </c>
      <c r="AA1141" s="11" t="inlineStr">
        <is>
          <t>2026-10-07</t>
        </is>
      </c>
      <c r="AB1141" s="11" t="inlineStr">
        <is>
          <t>name_year</t>
        </is>
      </c>
      <c r="AC1141" s="2" t="inlineStr"/>
      <c r="AD1141" s="2" t="inlineStr">
        <is>
          <t>Commissioner of Income Tax v. Cochin Refineries Limited (1988) was overruled by Commissioner of Income Tax, Gujarat v. Arvind Mills Ltd. (1992).</t>
        </is>
      </c>
      <c r="AE1141" s="2" t="n"/>
      <c r="AF1141" s="11" t="inlineStr">
        <is>
          <t>created from list 1</t>
        </is>
      </c>
    </row>
    <row r="1142">
      <c r="A1142" s="11" t="inlineStr">
        <is>
          <t>L1-1141</t>
        </is>
      </c>
      <c r="B1142" s="11" t="inlineStr">
        <is>
          <t>List 1 (to ~2015)</t>
        </is>
      </c>
      <c r="C1142" s="11" t="inlineStr">
        <is>
          <t>list1</t>
        </is>
      </c>
      <c r="D1142" s="11" t="inlineStr">
        <is>
          <t>verified</t>
        </is>
      </c>
      <c r="E1142" s="11" t="inlineStr">
        <is>
          <t>reversed_on_appeal</t>
        </is>
      </c>
      <c r="F1142" s="2" t="inlineStr">
        <is>
          <t>Mohanakumaran Nair v. Vijayakumaran Nair</t>
        </is>
      </c>
      <c r="G1142" s="11" t="inlineStr"/>
      <c r="H1142" s="11" t="inlineStr">
        <is>
          <t>Kerala</t>
        </is>
      </c>
      <c r="I1142" s="2" t="inlineStr">
        <is>
          <t>AIR 2006 Ker 243; (2006) 2 ILR (Ker) 257; (2006) 2 KLT 293</t>
        </is>
      </c>
      <c r="J1142" s="11" t="n">
        <v>2006</v>
      </c>
      <c r="K1142" s="2" t="inlineStr">
        <is>
          <t>Mohannakumaran Nair v. Vijayakumaran Nair</t>
        </is>
      </c>
      <c r="L1142" s="11" t="inlineStr">
        <is>
          <t>Supreme Court</t>
        </is>
      </c>
      <c r="M1142" s="2" t="inlineStr">
        <is>
          <t>AIR 2008 SC 213; (2008) 1 BC 203; (2008) 1 CTC 74; (2007) 12 SCALE 130; (2007) 11 SCR 24; (2007) AIRSCW 6595; (2007) 7 Supreme 518</t>
        </is>
      </c>
      <c r="N1142" s="11" t="n">
        <v>2008</v>
      </c>
      <c r="O1142" s="11" t="n"/>
      <c r="P1142" s="11" t="n"/>
      <c r="Q1142" s="11" t="n"/>
      <c r="R1142" s="2" t="n"/>
      <c r="S1142" s="2" t="n"/>
      <c r="T1142" s="11" t="inlineStr">
        <is>
          <t>yes</t>
        </is>
      </c>
      <c r="U1142" s="11" t="inlineStr"/>
      <c r="V1142" s="11" t="inlineStr">
        <is>
          <t>outside_list</t>
        </is>
      </c>
      <c r="W1142" s="11" t="n"/>
      <c r="X1142" s="11" t="n"/>
      <c r="Y1142" s="11" t="n"/>
      <c r="Z1142" s="11" t="inlineStr">
        <is>
          <t>Mr. Advocate</t>
        </is>
      </c>
      <c r="AA1142" s="11" t="inlineStr">
        <is>
          <t>2026-10-07</t>
        </is>
      </c>
      <c r="AB1142" s="11" t="inlineStr">
        <is>
          <t>name_year</t>
        </is>
      </c>
      <c r="AC1142" s="2" t="inlineStr"/>
      <c r="AD1142" s="2" t="inlineStr">
        <is>
          <t>Mohanakumaran Nair v. Vijayakumaran Nair (2006) was reversed on appeal by the Supreme Court in Mohannakumaran Nair v. Vijayakumaran Nair (2008).</t>
        </is>
      </c>
      <c r="AE1142" s="2" t="n"/>
      <c r="AF1142" s="11" t="inlineStr">
        <is>
          <t>created from list 1</t>
        </is>
      </c>
    </row>
    <row r="1143">
      <c r="A1143" s="11" t="inlineStr">
        <is>
          <t>L1-1142</t>
        </is>
      </c>
      <c r="B1143" s="11" t="inlineStr">
        <is>
          <t>List 1 (to ~2015)</t>
        </is>
      </c>
      <c r="C1143" s="11" t="inlineStr">
        <is>
          <t>list1</t>
        </is>
      </c>
      <c r="D1143" s="11" t="inlineStr">
        <is>
          <t>verified</t>
        </is>
      </c>
      <c r="E1143" s="11" t="inlineStr">
        <is>
          <t>overruled</t>
        </is>
      </c>
      <c r="F1143" s="2" t="inlineStr">
        <is>
          <t>Jokkim Fernadez v. Amina Kunhi Umma</t>
        </is>
      </c>
      <c r="G1143" s="11" t="inlineStr"/>
      <c r="H1143" s="11" t="inlineStr">
        <is>
          <t>Kerala</t>
        </is>
      </c>
      <c r="I1143" s="2" t="inlineStr">
        <is>
          <t>AIR 1974 Ker 162</t>
        </is>
      </c>
      <c r="J1143" s="11" t="n">
        <v>1974</v>
      </c>
      <c r="K1143" s="2" t="inlineStr">
        <is>
          <t>Mukri Gopalan v. Cheppilat Puthanpurayil Aboobacker</t>
        </is>
      </c>
      <c r="L1143" s="11" t="inlineStr">
        <is>
          <t>Supreme Court</t>
        </is>
      </c>
      <c r="M1143" s="2" t="inlineStr">
        <is>
          <t>AIR 1995 SC 2272; (1995) 5 JT 296; (1995) 4 SCALE 438; (1995) 5 SCC 5; (1995) 2 SCR 1 Supp</t>
        </is>
      </c>
      <c r="N1143" s="11" t="n">
        <v>1995</v>
      </c>
      <c r="O1143" s="11" t="n"/>
      <c r="P1143" s="11" t="n"/>
      <c r="Q1143" s="11" t="n"/>
      <c r="R1143" s="2" t="n"/>
      <c r="S1143" s="2" t="n"/>
      <c r="T1143" s="11" t="inlineStr"/>
      <c r="U1143" s="11" t="inlineStr"/>
      <c r="V1143" s="11" t="inlineStr">
        <is>
          <t>outside_list</t>
        </is>
      </c>
      <c r="W1143" s="11" t="n"/>
      <c r="X1143" s="11" t="n"/>
      <c r="Y1143" s="11" t="n"/>
      <c r="Z1143" s="11" t="inlineStr">
        <is>
          <t>Mr. Advocate</t>
        </is>
      </c>
      <c r="AA1143" s="11" t="inlineStr">
        <is>
          <t>2026-10-07</t>
        </is>
      </c>
      <c r="AB1143" s="11" t="inlineStr">
        <is>
          <t>name_year</t>
        </is>
      </c>
      <c r="AC1143" s="2" t="inlineStr"/>
      <c r="AD1143" s="2" t="inlineStr">
        <is>
          <t>Jokkim Fernadez v. Amina Kunhi Umma (1974) was overruled by Mukri Gopalan v. Cheppilat Puthanpurayil Aboobacker (1995).</t>
        </is>
      </c>
      <c r="AE1143" s="2" t="n"/>
      <c r="AF1143" s="11" t="inlineStr">
        <is>
          <t>created from list 1</t>
        </is>
      </c>
    </row>
    <row r="1144">
      <c r="A1144" s="11" t="inlineStr">
        <is>
          <t>L1-1143</t>
        </is>
      </c>
      <c r="B1144" s="11" t="inlineStr">
        <is>
          <t>List 1 (to ~2015)</t>
        </is>
      </c>
      <c r="C1144" s="11" t="inlineStr">
        <is>
          <t>list1</t>
        </is>
      </c>
      <c r="D1144" s="11" t="inlineStr">
        <is>
          <t>verified</t>
        </is>
      </c>
      <c r="E1144" s="11" t="inlineStr">
        <is>
          <t>overruled</t>
        </is>
      </c>
      <c r="F1144" s="2" t="inlineStr">
        <is>
          <t>Vareed Ouseph v. Mary</t>
        </is>
      </c>
      <c r="G1144" s="11" t="inlineStr"/>
      <c r="H1144" s="11" t="inlineStr">
        <is>
          <t>Kerala</t>
        </is>
      </c>
      <c r="I1144" s="2" t="inlineStr">
        <is>
          <t>AIR 1969 Ker 103</t>
        </is>
      </c>
      <c r="J1144" s="11" t="n">
        <v>1969</v>
      </c>
      <c r="K1144" s="2" t="inlineStr">
        <is>
          <t>Jetha Bai and Sons, Jew Town, Cochin and Others v. Sunderdas Rathenai and Others</t>
        </is>
      </c>
      <c r="L1144" s="11" t="inlineStr">
        <is>
          <t>Supreme Court</t>
        </is>
      </c>
      <c r="M1144" s="2" t="inlineStr">
        <is>
          <t>AIR 1988 SC 812; (1988) 1 JT 329; (1988) 1 SCALE 243; (1988) 1 SCC 722; (1988) 2 SCR 871; (1988) 1 UJ 507</t>
        </is>
      </c>
      <c r="N1144" s="11" t="n">
        <v>1988</v>
      </c>
      <c r="O1144" s="11" t="n"/>
      <c r="P1144" s="11" t="n"/>
      <c r="Q1144" s="11" t="n"/>
      <c r="R1144" s="2" t="n"/>
      <c r="S1144" s="2" t="n"/>
      <c r="T1144" s="11" t="inlineStr"/>
      <c r="U1144" s="11" t="inlineStr"/>
      <c r="V1144" s="11" t="inlineStr">
        <is>
          <t>outside_list</t>
        </is>
      </c>
      <c r="W1144" s="11" t="n"/>
      <c r="X1144" s="11" t="n"/>
      <c r="Y1144" s="11" t="n"/>
      <c r="Z1144" s="11" t="inlineStr">
        <is>
          <t>Mr. Advocate</t>
        </is>
      </c>
      <c r="AA1144" s="11" t="inlineStr">
        <is>
          <t>2026-10-07</t>
        </is>
      </c>
      <c r="AB1144" s="11" t="inlineStr">
        <is>
          <t>name_year</t>
        </is>
      </c>
      <c r="AC1144" s="2" t="inlineStr"/>
      <c r="AD1144" s="2" t="inlineStr">
        <is>
          <t>Vareed Ouseph v. Mary (1969) was overruled by Jetha Bai and Sons, Jew Town, Cochin and Others v. Sunderdas Rathenai and Others (1988).</t>
        </is>
      </c>
      <c r="AE1144" s="2" t="n"/>
      <c r="AF1144" s="11" t="inlineStr">
        <is>
          <t>created from list 1</t>
        </is>
      </c>
    </row>
    <row r="1145">
      <c r="A1145" s="11" t="inlineStr">
        <is>
          <t>L1-1144</t>
        </is>
      </c>
      <c r="B1145" s="11" t="inlineStr">
        <is>
          <t>List 1 (to ~2015)</t>
        </is>
      </c>
      <c r="C1145" s="11" t="inlineStr">
        <is>
          <t>list1</t>
        </is>
      </c>
      <c r="D1145" s="11" t="inlineStr">
        <is>
          <t>verified</t>
        </is>
      </c>
      <c r="E1145" s="11" t="inlineStr">
        <is>
          <t>reversed_on_appeal</t>
        </is>
      </c>
      <c r="F1145" s="2" t="inlineStr">
        <is>
          <t>The Jay Engineering Works Ltd. v. State of Kerala</t>
        </is>
      </c>
      <c r="G1145" s="11" t="inlineStr"/>
      <c r="H1145" s="11" t="inlineStr">
        <is>
          <t>unknown</t>
        </is>
      </c>
      <c r="I1145" s="2" t="inlineStr">
        <is>
          <t>(1979) 43 STC 492</t>
        </is>
      </c>
      <c r="J1145" s="11" t="n">
        <v>1979</v>
      </c>
      <c r="K1145" s="2" t="inlineStr">
        <is>
          <t>State of Kerala v. Jay Engineering Works Limited, Ernakulam</t>
        </is>
      </c>
      <c r="L1145" s="11" t="inlineStr">
        <is>
          <t>Supreme Court</t>
        </is>
      </c>
      <c r="M1145" s="2" t="inlineStr">
        <is>
          <t>AIR 1983 SC 369; (1983) 1 SCALE 151; (1983) 2 SCC 81; (1983) 2 SCR 361; (1983) 53 STC 97</t>
        </is>
      </c>
      <c r="N1145" s="11" t="n">
        <v>1983</v>
      </c>
      <c r="O1145" s="11" t="n"/>
      <c r="P1145" s="11" t="n"/>
      <c r="Q1145" s="11" t="n"/>
      <c r="R1145" s="2" t="n"/>
      <c r="S1145" s="2" t="n"/>
      <c r="T1145" s="11" t="inlineStr">
        <is>
          <t>yes</t>
        </is>
      </c>
      <c r="U1145" s="11" t="inlineStr"/>
      <c r="V1145" s="11" t="inlineStr">
        <is>
          <t>outside_list</t>
        </is>
      </c>
      <c r="W1145" s="11" t="n"/>
      <c r="X1145" s="11" t="n"/>
      <c r="Y1145" s="11" t="n"/>
      <c r="Z1145" s="11" t="inlineStr">
        <is>
          <t>Mr. Advocate</t>
        </is>
      </c>
      <c r="AA1145" s="11" t="inlineStr">
        <is>
          <t>2026-10-07</t>
        </is>
      </c>
      <c r="AB1145" s="11" t="inlineStr">
        <is>
          <t>name_year</t>
        </is>
      </c>
      <c r="AC1145" s="2" t="inlineStr"/>
      <c r="AD1145" s="2" t="inlineStr">
        <is>
          <t>The Jay Engineering Works Ltd. v. State of Kerala (1979) was reversed on appeal by the Supreme Court in State of Kerala v. Jay Engineering Works Limited, Ernakulam (1983).</t>
        </is>
      </c>
      <c r="AE1145" s="2" t="n"/>
      <c r="AF1145" s="11" t="inlineStr">
        <is>
          <t>created from list 1</t>
        </is>
      </c>
    </row>
    <row r="1146">
      <c r="A1146" s="11" t="inlineStr">
        <is>
          <t>L1-1145</t>
        </is>
      </c>
      <c r="B1146" s="11" t="inlineStr">
        <is>
          <t>List 1 (to ~2015)</t>
        </is>
      </c>
      <c r="C1146" s="11" t="inlineStr">
        <is>
          <t>list1</t>
        </is>
      </c>
      <c r="D1146" s="11" t="inlineStr">
        <is>
          <t>verified</t>
        </is>
      </c>
      <c r="E1146" s="11" t="inlineStr">
        <is>
          <t>overruled</t>
        </is>
      </c>
      <c r="F1146" s="2" t="inlineStr">
        <is>
          <t>S. Bavajan Sahib v. State of Kerala and Others</t>
        </is>
      </c>
      <c r="G1146" s="11" t="inlineStr"/>
      <c r="H1146" s="11" t="inlineStr">
        <is>
          <t>Kerala</t>
        </is>
      </c>
      <c r="I1146" s="2" t="inlineStr">
        <is>
          <t>AIR 1988 Ker 280; (1987) KLJ 870</t>
        </is>
      </c>
      <c r="J1146" s="11" t="n">
        <v>1988</v>
      </c>
      <c r="K1146" s="2" t="inlineStr">
        <is>
          <t>Yusufbhai Noormohmed Nendoliya v. State of Gujarat and another</t>
        </is>
      </c>
      <c r="L1146" s="11" t="inlineStr">
        <is>
          <t>Supreme Court</t>
        </is>
      </c>
      <c r="M1146" s="2" t="inlineStr">
        <is>
          <t>AIR 1991 SC 2153; (1991) 2 SCALE 608; (1991) 4 SCC 531; (1991) 1 SCR 158 Supp; (1992) 1 UJ 21</t>
        </is>
      </c>
      <c r="N1146" s="11" t="n">
        <v>1991</v>
      </c>
      <c r="O1146" s="11" t="n"/>
      <c r="P1146" s="11" t="n"/>
      <c r="Q1146" s="11" t="n"/>
      <c r="R1146" s="2" t="n"/>
      <c r="S1146" s="2" t="n"/>
      <c r="T1146" s="11" t="inlineStr"/>
      <c r="U1146" s="11" t="inlineStr"/>
      <c r="V1146" s="11" t="inlineStr">
        <is>
          <t>outside_list</t>
        </is>
      </c>
      <c r="W1146" s="11" t="n"/>
      <c r="X1146" s="11" t="n"/>
      <c r="Y1146" s="11" t="n"/>
      <c r="Z1146" s="11" t="inlineStr">
        <is>
          <t>Mr. Advocate</t>
        </is>
      </c>
      <c r="AA1146" s="11" t="inlineStr">
        <is>
          <t>2026-10-07</t>
        </is>
      </c>
      <c r="AB1146" s="11" t="inlineStr">
        <is>
          <t>name_year</t>
        </is>
      </c>
      <c r="AC1146" s="2" t="inlineStr"/>
      <c r="AD1146" s="2" t="inlineStr">
        <is>
          <t>S. Bavajan Sahib v. State of Kerala and Others (1988) was overruled by Yusufbhai Noormohmed Nendoliya v. State of Gujarat and another (1991).</t>
        </is>
      </c>
      <c r="AE1146" s="2" t="n"/>
      <c r="AF1146" s="11" t="inlineStr">
        <is>
          <t>created from list 1</t>
        </is>
      </c>
    </row>
    <row r="1147">
      <c r="A1147" s="11" t="inlineStr">
        <is>
          <t>L1-1146</t>
        </is>
      </c>
      <c r="B1147" s="11" t="inlineStr">
        <is>
          <t>List 1 (to ~2015)</t>
        </is>
      </c>
      <c r="C1147" s="11" t="inlineStr">
        <is>
          <t>list1</t>
        </is>
      </c>
      <c r="D1147" s="11" t="inlineStr">
        <is>
          <t>verified</t>
        </is>
      </c>
      <c r="E1147" s="11" t="inlineStr">
        <is>
          <t>overruled</t>
        </is>
      </c>
      <c r="F1147" s="2" t="inlineStr">
        <is>
          <t>Kerala State Electricity Board v. Illippadical Parvathi Amma</t>
        </is>
      </c>
      <c r="G1147" s="11" t="inlineStr"/>
      <c r="H1147" s="11" t="inlineStr">
        <is>
          <t>Kerala</t>
        </is>
      </c>
      <c r="I1147" s="2" t="inlineStr">
        <is>
          <t>AIR 1974 Ker 202</t>
        </is>
      </c>
      <c r="J1147" s="11" t="n">
        <v>1974</v>
      </c>
      <c r="K1147" s="2" t="inlineStr">
        <is>
          <t>The Kerala State Electricity Board, Trivandrum v. T.P. Kunhaliumma</t>
        </is>
      </c>
      <c r="L1147" s="11" t="inlineStr">
        <is>
          <t>Supreme Court</t>
        </is>
      </c>
      <c r="M1147" s="2" t="inlineStr">
        <is>
          <t>AIR 1977 SC 282; (1976) 4 SCC 634; (1977) 1 SCR 996; (1977) 9 UJ 16</t>
        </is>
      </c>
      <c r="N1147" s="11" t="n">
        <v>1977</v>
      </c>
      <c r="O1147" s="11" t="n"/>
      <c r="P1147" s="11" t="n"/>
      <c r="Q1147" s="11" t="n"/>
      <c r="R1147" s="2" t="n"/>
      <c r="S1147" s="2" t="n"/>
      <c r="T1147" s="11" t="inlineStr"/>
      <c r="U1147" s="11" t="inlineStr"/>
      <c r="V1147" s="11" t="inlineStr">
        <is>
          <t>outside_list</t>
        </is>
      </c>
      <c r="W1147" s="11" t="n"/>
      <c r="X1147" s="11" t="n"/>
      <c r="Y1147" s="11" t="n"/>
      <c r="Z1147" s="11" t="inlineStr">
        <is>
          <t>Mr. Advocate</t>
        </is>
      </c>
      <c r="AA1147" s="11" t="inlineStr">
        <is>
          <t>2026-10-07</t>
        </is>
      </c>
      <c r="AB1147" s="11" t="inlineStr">
        <is>
          <t>name_year</t>
        </is>
      </c>
      <c r="AC1147" s="2" t="inlineStr"/>
      <c r="AD1147" s="2" t="inlineStr">
        <is>
          <t>Kerala State Electricity Board v. Illippadical Parvathi Amma (1974) was overruled by The Kerala State Electricity Board, Trivandrum v. T.P. Kunhaliumma (1977).</t>
        </is>
      </c>
      <c r="AE1147" s="2" t="n"/>
      <c r="AF1147" s="11" t="inlineStr">
        <is>
          <t>created from list 1</t>
        </is>
      </c>
    </row>
    <row r="1148">
      <c r="A1148" s="11" t="inlineStr">
        <is>
          <t>L1-1147</t>
        </is>
      </c>
      <c r="B1148" s="11" t="inlineStr">
        <is>
          <t>List 1 (to ~2015)</t>
        </is>
      </c>
      <c r="C1148" s="11" t="inlineStr">
        <is>
          <t>list1</t>
        </is>
      </c>
      <c r="D1148" s="11" t="inlineStr">
        <is>
          <t>verified</t>
        </is>
      </c>
      <c r="E1148" s="11" t="inlineStr">
        <is>
          <t>overruled</t>
        </is>
      </c>
      <c r="F1148" s="2" t="inlineStr">
        <is>
          <t>P. Asokan v. Western India Plywoods Ltd., Cannanore</t>
        </is>
      </c>
      <c r="G1148" s="11" t="inlineStr"/>
      <c r="H1148" s="11" t="inlineStr">
        <is>
          <t>Kerala</t>
        </is>
      </c>
      <c r="I1148" s="2" t="inlineStr">
        <is>
          <t>(1987) ACJ 358; AIR 1987 Ker 103; (1987) 1 ILR (Ker) 505; (1987) 2 LLJ 183</t>
        </is>
      </c>
      <c r="J1148" s="11" t="n">
        <v>1987</v>
      </c>
      <c r="K1148" s="2" t="inlineStr">
        <is>
          <t>Western India Plywood Limited v. P. Ashokan</t>
        </is>
      </c>
      <c r="L1148" s="11" t="inlineStr">
        <is>
          <t>Supreme Court</t>
        </is>
      </c>
      <c r="M1148" s="2" t="inlineStr">
        <is>
          <t>(1997) ACJ 1281; AIR 1997 SC 3883; (1997) 8 JT 154; (1997) 6 SCALE 169; (1997) 7 SCC 638; (1998) SCC(L&amp;S) 376; (1997) 4 SCR 180 Supp; (1998) 1 UJ 61; (1997) AIRSCW 3808; (1997) 8 Supreme 260</t>
        </is>
      </c>
      <c r="N1148" s="11" t="n">
        <v>1997</v>
      </c>
      <c r="O1148" s="11" t="n"/>
      <c r="P1148" s="11" t="n"/>
      <c r="Q1148" s="11" t="n"/>
      <c r="R1148" s="2" t="n"/>
      <c r="S1148" s="2" t="n"/>
      <c r="T1148" s="11" t="inlineStr"/>
      <c r="U1148" s="11" t="inlineStr"/>
      <c r="V1148" s="11" t="inlineStr">
        <is>
          <t>outside_list</t>
        </is>
      </c>
      <c r="W1148" s="11" t="n"/>
      <c r="X1148" s="11" t="n"/>
      <c r="Y1148" s="11" t="n"/>
      <c r="Z1148" s="11" t="inlineStr">
        <is>
          <t>Mr. Advocate</t>
        </is>
      </c>
      <c r="AA1148" s="11" t="inlineStr">
        <is>
          <t>2026-10-07</t>
        </is>
      </c>
      <c r="AB1148" s="11" t="inlineStr">
        <is>
          <t>name_year</t>
        </is>
      </c>
      <c r="AC1148" s="2" t="inlineStr"/>
      <c r="AD1148" s="2" t="inlineStr">
        <is>
          <t>P. Asokan v. Western India Plywoods Ltd., Cannanore (1987) was overruled by Western India Plywood Limited v. P. Ashokan (1997).</t>
        </is>
      </c>
      <c r="AE1148" s="2" t="n"/>
      <c r="AF1148" s="11" t="inlineStr">
        <is>
          <t>created from list 1</t>
        </is>
      </c>
    </row>
    <row r="1149">
      <c r="A1149" s="11" t="inlineStr">
        <is>
          <t>L1-1148</t>
        </is>
      </c>
      <c r="B1149" s="11" t="inlineStr">
        <is>
          <t>List 1 (to ~2015)</t>
        </is>
      </c>
      <c r="C1149" s="11" t="inlineStr">
        <is>
          <t>list1</t>
        </is>
      </c>
      <c r="D1149" s="11" t="inlineStr">
        <is>
          <t>verified</t>
        </is>
      </c>
      <c r="E1149" s="11" t="inlineStr">
        <is>
          <t>overruled</t>
        </is>
      </c>
      <c r="F1149" s="2" t="inlineStr">
        <is>
          <t>Nani Amma Nannini Amma v. State of Kerala and Others</t>
        </is>
      </c>
      <c r="G1149" s="11" t="inlineStr"/>
      <c r="H1149" s="11" t="inlineStr">
        <is>
          <t>Kerala</t>
        </is>
      </c>
      <c r="I1149" s="2" t="inlineStr">
        <is>
          <t>AIR 1963 Ker 114</t>
        </is>
      </c>
      <c r="J1149" s="11" t="n">
        <v>1963</v>
      </c>
      <c r="K1149" s="2" t="inlineStr">
        <is>
          <t>Bihari Chowdhary and Another v. State of Bihar and Others</t>
        </is>
      </c>
      <c r="L1149" s="11" t="inlineStr">
        <is>
          <t>Supreme Court</t>
        </is>
      </c>
      <c r="M1149" s="2" t="inlineStr">
        <is>
          <t>AIR 1984 SC 1043; (1984) 1 SCALE 536; (1984) 2 SCC 627; (1984) 3 SCR 309; (1984) 16 UJ 619</t>
        </is>
      </c>
      <c r="N1149" s="11" t="n">
        <v>1984</v>
      </c>
      <c r="O1149" s="11" t="n"/>
      <c r="P1149" s="11" t="n"/>
      <c r="Q1149" s="11" t="n"/>
      <c r="R1149" s="2" t="n"/>
      <c r="S1149" s="2" t="n"/>
      <c r="T1149" s="11" t="inlineStr"/>
      <c r="U1149" s="11" t="inlineStr"/>
      <c r="V1149" s="11" t="inlineStr">
        <is>
          <t>outside_list</t>
        </is>
      </c>
      <c r="W1149" s="11" t="n"/>
      <c r="X1149" s="11" t="n"/>
      <c r="Y1149" s="11" t="n"/>
      <c r="Z1149" s="11" t="inlineStr">
        <is>
          <t>Mr. Advocate</t>
        </is>
      </c>
      <c r="AA1149" s="11" t="inlineStr">
        <is>
          <t>2026-10-07</t>
        </is>
      </c>
      <c r="AB1149" s="11" t="inlineStr">
        <is>
          <t>name_year</t>
        </is>
      </c>
      <c r="AC1149" s="2" t="inlineStr"/>
      <c r="AD1149" s="2" t="inlineStr">
        <is>
          <t>Nani Amma Nannini Amma v. State of Kerala and Others (1963) was overruled by Bihari Chowdhary and Another v. State of Bihar and Others (1984).</t>
        </is>
      </c>
      <c r="AE1149" s="2" t="n"/>
      <c r="AF1149" s="11" t="inlineStr">
        <is>
          <t>created from list 1</t>
        </is>
      </c>
    </row>
    <row r="1150">
      <c r="A1150" s="11" t="inlineStr">
        <is>
          <t>L1-1149</t>
        </is>
      </c>
      <c r="B1150" s="11" t="inlineStr">
        <is>
          <t>List 1 (to ~2015)</t>
        </is>
      </c>
      <c r="C1150" s="11" t="inlineStr">
        <is>
          <t>list1</t>
        </is>
      </c>
      <c r="D1150" s="11" t="inlineStr">
        <is>
          <t>verified</t>
        </is>
      </c>
      <c r="E1150" s="11" t="inlineStr">
        <is>
          <t>reversed_on_appeal</t>
        </is>
      </c>
      <c r="F1150" s="2" t="inlineStr">
        <is>
          <t>Income Tax Officer, Assessment V v. Smt. N.K. Sarada Thampatty</t>
        </is>
      </c>
      <c r="G1150" s="11" t="inlineStr"/>
      <c r="H1150" s="11" t="inlineStr">
        <is>
          <t>unknown</t>
        </is>
      </c>
      <c r="I1150" s="2" t="inlineStr">
        <is>
          <t>(1976) 105 ITR 67</t>
        </is>
      </c>
      <c r="J1150" s="11" t="n">
        <v>1976</v>
      </c>
      <c r="K1150" s="2" t="inlineStr">
        <is>
          <t>Income Tax Officer, Calicut v. Smt. N.K. Sarada Thampatty</t>
        </is>
      </c>
      <c r="L1150" s="11" t="inlineStr">
        <is>
          <t>Supreme Court</t>
        </is>
      </c>
      <c r="M1150" s="2" t="inlineStr">
        <is>
          <t>AIR 1991 SC 2035; (1990) 89 CTR 154; (1991) 187 ITR 696; (1990) 4 JT 358; (1991) 2 SCC 737 Supp; (1990) 1 SCR 473 Supp; (1997) AIRSCW 1916</t>
        </is>
      </c>
      <c r="N1150" s="11" t="n">
        <v>1991</v>
      </c>
      <c r="O1150" s="11" t="n"/>
      <c r="P1150" s="11" t="n"/>
      <c r="Q1150" s="11" t="n"/>
      <c r="R1150" s="2" t="n"/>
      <c r="S1150" s="2" t="n"/>
      <c r="T1150" s="11" t="inlineStr">
        <is>
          <t>yes</t>
        </is>
      </c>
      <c r="U1150" s="11" t="inlineStr"/>
      <c r="V1150" s="11" t="inlineStr">
        <is>
          <t>outside_list</t>
        </is>
      </c>
      <c r="W1150" s="11" t="n"/>
      <c r="X1150" s="11" t="n"/>
      <c r="Y1150" s="11" t="n"/>
      <c r="Z1150" s="11" t="inlineStr">
        <is>
          <t>Mr. Advocate</t>
        </is>
      </c>
      <c r="AA1150" s="11" t="inlineStr">
        <is>
          <t>2026-10-07</t>
        </is>
      </c>
      <c r="AB1150" s="11" t="inlineStr">
        <is>
          <t>name_year</t>
        </is>
      </c>
      <c r="AC1150" s="2" t="inlineStr"/>
      <c r="AD1150" s="2" t="inlineStr">
        <is>
          <t>Income Tax Officer, Assessment V v. Smt. N.K. Sarada Thampatty (1976) was reversed on appeal by the Supreme Court in Income Tax Officer, Calicut v. Smt. N.K. Sarada Thampatty (1991).</t>
        </is>
      </c>
      <c r="AE1150" s="2" t="n"/>
      <c r="AF1150" s="11" t="inlineStr">
        <is>
          <t>created from list 1</t>
        </is>
      </c>
    </row>
    <row r="1151">
      <c r="A1151" s="11" t="inlineStr">
        <is>
          <t>L1-1150</t>
        </is>
      </c>
      <c r="B1151" s="11" t="inlineStr">
        <is>
          <t>List 1 (to ~2015)</t>
        </is>
      </c>
      <c r="C1151" s="11" t="inlineStr">
        <is>
          <t>list1</t>
        </is>
      </c>
      <c r="D1151" s="11" t="inlineStr">
        <is>
          <t>verified</t>
        </is>
      </c>
      <c r="E1151" s="11" t="inlineStr">
        <is>
          <t>reversed_on_appeal</t>
        </is>
      </c>
      <c r="F1151" s="2" t="inlineStr">
        <is>
          <t>Aravind Ramakant Modawdekar and Others v. State of Kerala and Others</t>
        </is>
      </c>
      <c r="G1151" s="11" t="inlineStr"/>
      <c r="H1151" s="11" t="inlineStr">
        <is>
          <t>Kerala</t>
        </is>
      </c>
      <c r="I1151" s="2" t="inlineStr">
        <is>
          <t>AIR 1996 Ker 195; (1996) 1 ILR (Ker) 721</t>
        </is>
      </c>
      <c r="J1151" s="11" t="n">
        <v>1996</v>
      </c>
      <c r="K1151" s="2" t="inlineStr">
        <is>
          <t>State of Kerala v. Aravind Ramakant Modawdakar and Others</t>
        </is>
      </c>
      <c r="L1151" s="11" t="inlineStr">
        <is>
          <t>Supreme Court</t>
        </is>
      </c>
      <c r="M1151" s="2" t="inlineStr">
        <is>
          <t>AIR 1999 SC 2970(2); AIR 1999 SC 2970; (1999) 5 JT 588; (1999) 4 SCALE 680; (1999) 7 SCC 400; (1999) AIRSCW 2886; (1999) 7 Supreme 267</t>
        </is>
      </c>
      <c r="N1151" s="11" t="n">
        <v>1999</v>
      </c>
      <c r="O1151" s="11" t="n"/>
      <c r="P1151" s="11" t="n"/>
      <c r="Q1151" s="11" t="n"/>
      <c r="R1151" s="2" t="n"/>
      <c r="S1151" s="2" t="n"/>
      <c r="T1151" s="11" t="inlineStr">
        <is>
          <t>yes</t>
        </is>
      </c>
      <c r="U1151" s="11" t="inlineStr"/>
      <c r="V1151" s="11" t="inlineStr">
        <is>
          <t>outside_list</t>
        </is>
      </c>
      <c r="W1151" s="11" t="n"/>
      <c r="X1151" s="11" t="n"/>
      <c r="Y1151" s="11" t="n"/>
      <c r="Z1151" s="11" t="inlineStr">
        <is>
          <t>Mr. Advocate</t>
        </is>
      </c>
      <c r="AA1151" s="11" t="inlineStr">
        <is>
          <t>2026-10-07</t>
        </is>
      </c>
      <c r="AB1151" s="11" t="inlineStr">
        <is>
          <t>name_year</t>
        </is>
      </c>
      <c r="AC1151" s="2" t="inlineStr"/>
      <c r="AD1151" s="2" t="inlineStr">
        <is>
          <t>Aravind Ramakant Modawdekar and Others v. State of Kerala and Others (1996) was reversed on appeal by the Supreme Court in State of Kerala v. Aravind Ramakant Modawdakar and Others (1999).</t>
        </is>
      </c>
      <c r="AE1151" s="2" t="n"/>
      <c r="AF1151" s="11" t="inlineStr">
        <is>
          <t>created from list 1</t>
        </is>
      </c>
    </row>
    <row r="1152">
      <c r="A1152" s="11" t="inlineStr">
        <is>
          <t>L1-1151</t>
        </is>
      </c>
      <c r="B1152" s="11" t="inlineStr">
        <is>
          <t>List 1 (to ~2015)</t>
        </is>
      </c>
      <c r="C1152" s="11" t="inlineStr">
        <is>
          <t>list1</t>
        </is>
      </c>
      <c r="D1152" s="11" t="inlineStr">
        <is>
          <t>verified</t>
        </is>
      </c>
      <c r="E1152" s="11" t="inlineStr">
        <is>
          <t>reversed_on_appeal</t>
        </is>
      </c>
      <c r="F1152" s="2" t="inlineStr">
        <is>
          <t>M. Kamalam v. Dr. V.A. Syed Muhammed</t>
        </is>
      </c>
      <c r="G1152" s="11" t="inlineStr"/>
      <c r="H1152" s="11" t="inlineStr">
        <is>
          <t>Kerala</t>
        </is>
      </c>
      <c r="I1152" s="2" t="inlineStr">
        <is>
          <t>AIR 1977 Ker 163</t>
        </is>
      </c>
      <c r="J1152" s="11" t="n">
        <v>1977</v>
      </c>
      <c r="K1152" s="2" t="inlineStr">
        <is>
          <t>M. Kamalam v. Dr. V.A. Syed Mohammed</t>
        </is>
      </c>
      <c r="L1152" s="11" t="inlineStr">
        <is>
          <t>Supreme Court</t>
        </is>
      </c>
      <c r="M1152" s="2" t="inlineStr">
        <is>
          <t>AIR 1978 SC 840; (1978) 2 SCC 659; (1978) 3 SCR 446; (1978) 10 UJ 276</t>
        </is>
      </c>
      <c r="N1152" s="11" t="n">
        <v>1978</v>
      </c>
      <c r="O1152" s="11" t="n"/>
      <c r="P1152" s="11" t="n"/>
      <c r="Q1152" s="11" t="n"/>
      <c r="R1152" s="2" t="n"/>
      <c r="S1152" s="2" t="n"/>
      <c r="T1152" s="11" t="inlineStr">
        <is>
          <t>yes</t>
        </is>
      </c>
      <c r="U1152" s="11" t="inlineStr"/>
      <c r="V1152" s="11" t="inlineStr">
        <is>
          <t>outside_list</t>
        </is>
      </c>
      <c r="W1152" s="11" t="n"/>
      <c r="X1152" s="11" t="n"/>
      <c r="Y1152" s="11" t="n"/>
      <c r="Z1152" s="11" t="inlineStr">
        <is>
          <t>Mr. Advocate</t>
        </is>
      </c>
      <c r="AA1152" s="11" t="inlineStr">
        <is>
          <t>2026-10-07</t>
        </is>
      </c>
      <c r="AB1152" s="11" t="inlineStr">
        <is>
          <t>name_year</t>
        </is>
      </c>
      <c r="AC1152" s="2" t="inlineStr"/>
      <c r="AD1152" s="2" t="inlineStr">
        <is>
          <t>M. Kamalam v. Dr. V.A. Syed Muhammed (1977) was reversed on appeal by the Supreme Court in M. Kamalam v. Dr. V.A. Syed Mohammed (1978).</t>
        </is>
      </c>
      <c r="AE1152" s="2" t="n"/>
      <c r="AF1152" s="11" t="inlineStr">
        <is>
          <t>created from list 1</t>
        </is>
      </c>
    </row>
    <row r="1153">
      <c r="A1153" s="11" t="inlineStr">
        <is>
          <t>L1-1152</t>
        </is>
      </c>
      <c r="B1153" s="11" t="inlineStr">
        <is>
          <t>List 1 (to ~2015)</t>
        </is>
      </c>
      <c r="C1153" s="11" t="inlineStr">
        <is>
          <t>list1</t>
        </is>
      </c>
      <c r="D1153" s="11" t="inlineStr">
        <is>
          <t>verified</t>
        </is>
      </c>
      <c r="E1153" s="11" t="inlineStr">
        <is>
          <t>reversed_on_appeal</t>
        </is>
      </c>
      <c r="F1153" s="2" t="inlineStr">
        <is>
          <t>Food Inspector (Health Officer), Calicut Corporation v. C. Gopalan and Another</t>
        </is>
      </c>
      <c r="G1153" s="11" t="inlineStr"/>
      <c r="H1153" s="11" t="inlineStr">
        <is>
          <t>Kerala</t>
        </is>
      </c>
      <c r="I1153" s="2" t="inlineStr">
        <is>
          <t>AIR 1969 Ker 179; (1969) CriLJ 733</t>
        </is>
      </c>
      <c r="J1153" s="11" t="n">
        <v>1969</v>
      </c>
      <c r="K1153" s="2" t="inlineStr">
        <is>
          <t>The Food Inspector, Calicut Corporation v. Cherukattil Gopalan and Another</t>
        </is>
      </c>
      <c r="L1153" s="11" t="inlineStr">
        <is>
          <t>Supreme Court</t>
        </is>
      </c>
      <c r="M1153" s="2" t="inlineStr">
        <is>
          <t>AIR 1971 SC 1725; (1971) CriLJ 1277; (1971) 2 SCC 322; (1971) SCC(Cri) 522; (1971) SCR 721 Supp</t>
        </is>
      </c>
      <c r="N1153" s="11" t="n">
        <v>1971</v>
      </c>
      <c r="O1153" s="11" t="n"/>
      <c r="P1153" s="11" t="n"/>
      <c r="Q1153" s="11" t="n"/>
      <c r="R1153" s="2" t="n"/>
      <c r="S1153" s="2" t="n"/>
      <c r="T1153" s="11" t="inlineStr">
        <is>
          <t>yes</t>
        </is>
      </c>
      <c r="U1153" s="11" t="inlineStr"/>
      <c r="V1153" s="11" t="inlineStr">
        <is>
          <t>outside_list</t>
        </is>
      </c>
      <c r="W1153" s="11" t="n"/>
      <c r="X1153" s="11" t="n"/>
      <c r="Y1153" s="11" t="n"/>
      <c r="Z1153" s="11" t="inlineStr">
        <is>
          <t>Mr. Advocate</t>
        </is>
      </c>
      <c r="AA1153" s="11" t="inlineStr">
        <is>
          <t>2026-10-07</t>
        </is>
      </c>
      <c r="AB1153" s="11" t="inlineStr">
        <is>
          <t>citation</t>
        </is>
      </c>
      <c r="AC1153" s="2" t="inlineStr"/>
      <c r="AD1153" s="2" t="inlineStr">
        <is>
          <t>Food Inspector (Health Officer), Calicut Corporation v. C. Gopalan and Another (1969) was reversed on appeal by the Supreme Court in The Food Inspector, Calicut Corporation v. Cherukattil Gopalan and Another (1971).</t>
        </is>
      </c>
      <c r="AE1153" s="2" t="n"/>
      <c r="AF1153" s="11" t="inlineStr">
        <is>
          <t>created from list 1</t>
        </is>
      </c>
    </row>
    <row r="1154">
      <c r="A1154" s="11" t="inlineStr">
        <is>
          <t>L1-1153</t>
        </is>
      </c>
      <c r="B1154" s="11" t="inlineStr">
        <is>
          <t>List 1 (to ~2015)</t>
        </is>
      </c>
      <c r="C1154" s="11" t="inlineStr">
        <is>
          <t>list1</t>
        </is>
      </c>
      <c r="D1154" s="11" t="inlineStr">
        <is>
          <t>verified</t>
        </is>
      </c>
      <c r="E1154" s="11" t="inlineStr">
        <is>
          <t>overruled</t>
        </is>
      </c>
      <c r="F1154" s="2" t="inlineStr">
        <is>
          <t>The Good Land Plantation (Private) Ltd., Puthupally Village v. State Bank of Travancore</t>
        </is>
      </c>
      <c r="G1154" s="11" t="inlineStr"/>
      <c r="H1154" s="11" t="inlineStr">
        <is>
          <t>Kerala</t>
        </is>
      </c>
      <c r="I1154" s="2" t="inlineStr">
        <is>
          <t>AIR 1970 Ker 43</t>
        </is>
      </c>
      <c r="J1154" s="11" t="n">
        <v>1970</v>
      </c>
      <c r="K1154" s="2" t="inlineStr">
        <is>
          <t>State Bank of Travancore v. Goodland Plantations (P) Ltd.</t>
        </is>
      </c>
      <c r="L1154" s="11" t="inlineStr">
        <is>
          <t>Supreme Court</t>
        </is>
      </c>
      <c r="M1154" s="2" t="inlineStr">
        <is>
          <t>AIR 1980 SC 650; (1980) 1 SCC 389; (1980) 1 SCR 1157; (1980) 12 UJ 18</t>
        </is>
      </c>
      <c r="N1154" s="11" t="n">
        <v>1980</v>
      </c>
      <c r="O1154" s="11" t="n"/>
      <c r="P1154" s="11" t="n"/>
      <c r="Q1154" s="11" t="n"/>
      <c r="R1154" s="2" t="n"/>
      <c r="S1154" s="2" t="n"/>
      <c r="T1154" s="11" t="inlineStr"/>
      <c r="U1154" s="11" t="inlineStr"/>
      <c r="V1154" s="11" t="inlineStr">
        <is>
          <t>outside_list</t>
        </is>
      </c>
      <c r="W1154" s="11" t="n"/>
      <c r="X1154" s="11" t="n"/>
      <c r="Y1154" s="11" t="n"/>
      <c r="Z1154" s="11" t="inlineStr">
        <is>
          <t>Mr. Advocate</t>
        </is>
      </c>
      <c r="AA1154" s="11" t="inlineStr">
        <is>
          <t>2026-10-07</t>
        </is>
      </c>
      <c r="AB1154" s="11" t="inlineStr">
        <is>
          <t>name_year</t>
        </is>
      </c>
      <c r="AC1154" s="2" t="inlineStr"/>
      <c r="AD1154" s="2" t="inlineStr">
        <is>
          <t>The Good Land Plantation (Private) Ltd., Puthupally Village v. State Bank of Travancore (1970) was overruled by State Bank of Travancore v. Goodland Plantations (P) Ltd. (1980).</t>
        </is>
      </c>
      <c r="AE1154" s="2" t="n"/>
      <c r="AF1154" s="11" t="inlineStr">
        <is>
          <t>created from list 1</t>
        </is>
      </c>
    </row>
    <row r="1155">
      <c r="A1155" s="11" t="inlineStr">
        <is>
          <t>L1-1154</t>
        </is>
      </c>
      <c r="B1155" s="11" t="inlineStr">
        <is>
          <t>List 1 (to ~2015)</t>
        </is>
      </c>
      <c r="C1155" s="11" t="inlineStr">
        <is>
          <t>list1</t>
        </is>
      </c>
      <c r="D1155" s="11" t="inlineStr">
        <is>
          <t>verified</t>
        </is>
      </c>
      <c r="E1155" s="11" t="inlineStr">
        <is>
          <t>overruled</t>
        </is>
      </c>
      <c r="F1155" s="2" t="inlineStr">
        <is>
          <t>V. Punnen Thomas v. State of Kerala</t>
        </is>
      </c>
      <c r="G1155" s="11" t="inlineStr"/>
      <c r="H1155" s="11" t="inlineStr">
        <is>
          <t>Kerala</t>
        </is>
      </c>
      <c r="I1155" s="2" t="inlineStr">
        <is>
          <t>AIR 1969 Ker 81</t>
        </is>
      </c>
      <c r="J1155" s="11" t="n">
        <v>1969</v>
      </c>
      <c r="K1155" s="2" t="inlineStr">
        <is>
          <t>Ghanshyamdas and another v. Om Parkash and another</t>
        </is>
      </c>
      <c r="L1155" s="11" t="inlineStr">
        <is>
          <t>Supreme Court</t>
        </is>
      </c>
      <c r="M1155" s="2" t="inlineStr">
        <is>
          <t>AIR 1994 SC 1292; (1993) 3 JT 563; (1993) 2 SCALE 187; (1993) 3 SCC 368 Supp</t>
        </is>
      </c>
      <c r="N1155" s="11" t="n">
        <v>1994</v>
      </c>
      <c r="O1155" s="11" t="n"/>
      <c r="P1155" s="11" t="n"/>
      <c r="Q1155" s="11" t="n"/>
      <c r="R1155" s="2" t="n"/>
      <c r="S1155" s="2" t="n"/>
      <c r="T1155" s="11" t="inlineStr"/>
      <c r="U1155" s="11" t="inlineStr"/>
      <c r="V1155" s="11" t="inlineStr">
        <is>
          <t>outside_list</t>
        </is>
      </c>
      <c r="W1155" s="11" t="n"/>
      <c r="X1155" s="11" t="n"/>
      <c r="Y1155" s="11" t="n"/>
      <c r="Z1155" s="11" t="inlineStr">
        <is>
          <t>Mr. Advocate</t>
        </is>
      </c>
      <c r="AA1155" s="11" t="inlineStr">
        <is>
          <t>2026-10-07</t>
        </is>
      </c>
      <c r="AB1155" s="11" t="inlineStr">
        <is>
          <t>name_year</t>
        </is>
      </c>
      <c r="AC1155" s="2" t="inlineStr"/>
      <c r="AD1155" s="2" t="inlineStr">
        <is>
          <t>V. Punnen Thomas v. State of Kerala (1969) was overruled by Ghanshyamdas and another v. Om Parkash and another (1994).</t>
        </is>
      </c>
      <c r="AE1155" s="2" t="n"/>
      <c r="AF1155" s="11" t="inlineStr">
        <is>
          <t>created from list 1</t>
        </is>
      </c>
    </row>
    <row r="1156">
      <c r="A1156" s="11" t="inlineStr">
        <is>
          <t>L1-1155</t>
        </is>
      </c>
      <c r="B1156" s="11" t="inlineStr">
        <is>
          <t>List 1 (to ~2015)</t>
        </is>
      </c>
      <c r="C1156" s="11" t="inlineStr">
        <is>
          <t>list1</t>
        </is>
      </c>
      <c r="D1156" s="11" t="inlineStr">
        <is>
          <t>verified</t>
        </is>
      </c>
      <c r="E1156" s="11" t="inlineStr">
        <is>
          <t>overruled</t>
        </is>
      </c>
      <c r="F1156" s="2" t="inlineStr">
        <is>
          <t>K.V. Narayanan Namboodiri and Others v. State of Kerala and Others</t>
        </is>
      </c>
      <c r="G1156" s="11" t="inlineStr"/>
      <c r="H1156" s="11" t="inlineStr">
        <is>
          <t>Kerala</t>
        </is>
      </c>
      <c r="I1156" s="2" t="inlineStr">
        <is>
          <t>AIR 1985 Ker 160</t>
        </is>
      </c>
      <c r="J1156" s="11" t="n">
        <v>1985</v>
      </c>
      <c r="K1156" s="2" t="inlineStr">
        <is>
          <t>M.P. Gopalakrishnan Nair and Another v. State of Kerala and Others</t>
        </is>
      </c>
      <c r="L1156" s="11" t="inlineStr">
        <is>
          <t>Supreme Court</t>
        </is>
      </c>
      <c r="M1156" s="2" t="inlineStr">
        <is>
          <t>AIR 2005 SC 2053; (2005) 3 CTC 428; (2005) 4 JT 436; (2005) 11 SCC 45; (2005) 3 SCR 712</t>
        </is>
      </c>
      <c r="N1156" s="11" t="n">
        <v>2005</v>
      </c>
      <c r="O1156" s="11" t="n"/>
      <c r="P1156" s="11" t="n"/>
      <c r="Q1156" s="11" t="n"/>
      <c r="R1156" s="2" t="n"/>
      <c r="S1156" s="2" t="n"/>
      <c r="T1156" s="11" t="inlineStr"/>
      <c r="U1156" s="11" t="inlineStr"/>
      <c r="V1156" s="11" t="inlineStr">
        <is>
          <t>outside_list</t>
        </is>
      </c>
      <c r="W1156" s="11" t="n"/>
      <c r="X1156" s="11" t="n"/>
      <c r="Y1156" s="11" t="n"/>
      <c r="Z1156" s="11" t="inlineStr">
        <is>
          <t>Mr. Advocate</t>
        </is>
      </c>
      <c r="AA1156" s="11" t="inlineStr">
        <is>
          <t>2026-10-07</t>
        </is>
      </c>
      <c r="AB1156" s="11" t="inlineStr">
        <is>
          <t>name_year</t>
        </is>
      </c>
      <c r="AC1156" s="2" t="inlineStr"/>
      <c r="AD1156" s="2" t="inlineStr">
        <is>
          <t>K.V. Narayanan Namboodiri and Others v. State of Kerala and Others (1985) was overruled by M.P. Gopalakrishnan Nair and Another v. State of Kerala and Others (2005).</t>
        </is>
      </c>
      <c r="AE1156" s="2" t="n"/>
      <c r="AF1156" s="11" t="inlineStr">
        <is>
          <t>created from list 1</t>
        </is>
      </c>
    </row>
    <row r="1157">
      <c r="A1157" s="11" t="inlineStr">
        <is>
          <t>L1-1156</t>
        </is>
      </c>
      <c r="B1157" s="11" t="inlineStr">
        <is>
          <t>List 1 (to ~2015)</t>
        </is>
      </c>
      <c r="C1157" s="11" t="inlineStr">
        <is>
          <t>list1</t>
        </is>
      </c>
      <c r="D1157" s="11" t="inlineStr">
        <is>
          <t>verified</t>
        </is>
      </c>
      <c r="E1157" s="11" t="inlineStr">
        <is>
          <t>overruled</t>
        </is>
      </c>
      <c r="F1157" s="2" t="inlineStr">
        <is>
          <t>Mathai Ouseph Panackal v. Joseph and Another</t>
        </is>
      </c>
      <c r="G1157" s="11" t="inlineStr"/>
      <c r="H1157" s="11" t="inlineStr">
        <is>
          <t>Kerala</t>
        </is>
      </c>
      <c r="I1157" s="2" t="inlineStr">
        <is>
          <t>AIR 1970 Ker 261</t>
        </is>
      </c>
      <c r="J1157" s="11" t="n">
        <v>1970</v>
      </c>
      <c r="K1157" s="2" t="inlineStr">
        <is>
          <t>Kalavakurti Venkata Subbaiah v. Bala Gurappagari Guruvi Reddy</t>
        </is>
      </c>
      <c r="L1157" s="11" t="inlineStr">
        <is>
          <t>Supreme Court</t>
        </is>
      </c>
      <c r="M1157" s="2" t="inlineStr">
        <is>
          <t>AIR 1999 SC 2958; (1999) 5 JT 389; (1999) 4 SCALE 466; (1999) 7 SCC 114; (1999) 1 SCR 75 Supp; (1999) AIRSCW 2872; (1999) 6 Supreme 419</t>
        </is>
      </c>
      <c r="N1157" s="11" t="n">
        <v>1999</v>
      </c>
      <c r="O1157" s="11" t="n"/>
      <c r="P1157" s="11" t="n"/>
      <c r="Q1157" s="11" t="n"/>
      <c r="R1157" s="2" t="n"/>
      <c r="S1157" s="2" t="n"/>
      <c r="T1157" s="11" t="inlineStr"/>
      <c r="U1157" s="11" t="inlineStr"/>
      <c r="V1157" s="11" t="inlineStr">
        <is>
          <t>outside_list</t>
        </is>
      </c>
      <c r="W1157" s="11" t="n"/>
      <c r="X1157" s="11" t="n"/>
      <c r="Y1157" s="11" t="n"/>
      <c r="Z1157" s="11" t="inlineStr">
        <is>
          <t>Mr. Advocate</t>
        </is>
      </c>
      <c r="AA1157" s="11" t="inlineStr">
        <is>
          <t>2026-10-07</t>
        </is>
      </c>
      <c r="AB1157" s="11" t="inlineStr">
        <is>
          <t>name_year</t>
        </is>
      </c>
      <c r="AC1157" s="2" t="inlineStr"/>
      <c r="AD1157" s="2" t="inlineStr">
        <is>
          <t>Mathai Ouseph Panackal v. Joseph and Another (1970) was overruled by Kalavakurti Venkata Subbaiah v. Bala Gurappagari Guruvi Reddy (1999).</t>
        </is>
      </c>
      <c r="AE1157" s="2" t="n"/>
      <c r="AF1157" s="11" t="inlineStr">
        <is>
          <t>created from list 1</t>
        </is>
      </c>
    </row>
    <row r="1158">
      <c r="A1158" s="11" t="inlineStr">
        <is>
          <t>L1-1157</t>
        </is>
      </c>
      <c r="B1158" s="11" t="inlineStr">
        <is>
          <t>List 1 (to ~2015)</t>
        </is>
      </c>
      <c r="C1158" s="11" t="inlineStr">
        <is>
          <t>list1</t>
        </is>
      </c>
      <c r="D1158" s="11" t="inlineStr">
        <is>
          <t>verified</t>
        </is>
      </c>
      <c r="E1158" s="11" t="inlineStr">
        <is>
          <t>overruled</t>
        </is>
      </c>
      <c r="F1158" s="2" t="inlineStr">
        <is>
          <t>Valanhiyil Kunhi Avulla and Others v. Eengayil Peetikayil Kunhi Avulla and Others</t>
        </is>
      </c>
      <c r="G1158" s="11" t="inlineStr"/>
      <c r="H1158" s="11" t="inlineStr">
        <is>
          <t>Kerala</t>
        </is>
      </c>
      <c r="I1158" s="2" t="inlineStr">
        <is>
          <t>AIR 1964 Ker 200</t>
        </is>
      </c>
      <c r="J1158" s="11" t="n">
        <v>1964</v>
      </c>
      <c r="K1158" s="2" t="inlineStr">
        <is>
          <t>Gulam Abbas v. Haji Kayyum Ali and Others</t>
        </is>
      </c>
      <c r="L1158" s="11" t="inlineStr">
        <is>
          <t>Supreme Court</t>
        </is>
      </c>
      <c r="M1158" s="2" t="inlineStr">
        <is>
          <t>AIR 1973 SC 554; (1973) 1 SCC 1; (1973) 2 SCR 300</t>
        </is>
      </c>
      <c r="N1158" s="11" t="n">
        <v>1973</v>
      </c>
      <c r="O1158" s="11" t="n"/>
      <c r="P1158" s="11" t="n"/>
      <c r="Q1158" s="11" t="n"/>
      <c r="R1158" s="2" t="n"/>
      <c r="S1158" s="2" t="n"/>
      <c r="T1158" s="11" t="inlineStr"/>
      <c r="U1158" s="11" t="inlineStr"/>
      <c r="V1158" s="11" t="inlineStr">
        <is>
          <t>outside_list</t>
        </is>
      </c>
      <c r="W1158" s="11" t="n"/>
      <c r="X1158" s="11" t="n"/>
      <c r="Y1158" s="11" t="n"/>
      <c r="Z1158" s="11" t="inlineStr">
        <is>
          <t>Mr. Advocate</t>
        </is>
      </c>
      <c r="AA1158" s="11" t="inlineStr">
        <is>
          <t>2026-10-07</t>
        </is>
      </c>
      <c r="AB1158" s="11" t="inlineStr">
        <is>
          <t>name_year</t>
        </is>
      </c>
      <c r="AC1158" s="2" t="inlineStr"/>
      <c r="AD1158" s="2" t="inlineStr">
        <is>
          <t>Valanhiyil Kunhi Avulla and Others v. Eengayil Peetikayil Kunhi Avulla and Others (1964) was overruled by Gulam Abbas v. Haji Kayyum Ali and Others (1973).</t>
        </is>
      </c>
      <c r="AE1158" s="2" t="n"/>
      <c r="AF1158" s="11" t="inlineStr">
        <is>
          <t>created from list 1</t>
        </is>
      </c>
    </row>
    <row r="1159">
      <c r="A1159" s="11" t="inlineStr">
        <is>
          <t>L1-1158</t>
        </is>
      </c>
      <c r="B1159" s="11" t="inlineStr">
        <is>
          <t>List 1 (to ~2015)</t>
        </is>
      </c>
      <c r="C1159" s="11" t="inlineStr">
        <is>
          <t>list1</t>
        </is>
      </c>
      <c r="D1159" s="11" t="inlineStr">
        <is>
          <t>verified</t>
        </is>
      </c>
      <c r="E1159" s="11" t="inlineStr">
        <is>
          <t>reversed_on_appeal</t>
        </is>
      </c>
      <c r="F1159" s="2" t="inlineStr">
        <is>
          <t>Bhakti Hari Nayak and Others v. Vidyawati Gupta, S.C. Agarwala (HUF) and Others</t>
        </is>
      </c>
      <c r="G1159" s="11" t="inlineStr"/>
      <c r="H1159" s="11" t="inlineStr">
        <is>
          <t>Calcutta</t>
        </is>
      </c>
      <c r="I1159" s="2" t="inlineStr">
        <is>
          <t>AIR 2005 Cal 145; (2005) 2 CHN 575</t>
        </is>
      </c>
      <c r="J1159" s="11" t="n">
        <v>2005</v>
      </c>
      <c r="K1159" s="2" t="inlineStr">
        <is>
          <t>Vidyawati Gupta and Others v. Bhakti Hari Nayak and Others</t>
        </is>
      </c>
      <c r="L1159" s="11" t="inlineStr">
        <is>
          <t>Supreme Court</t>
        </is>
      </c>
      <c r="M1159" s="2" t="inlineStr">
        <is>
          <t>AIR 2006 SC 1194; (2006) 2 CTC 146; (2006) 2 JT 278; (2006) 2 SCALE 203; (2006) 2 SCC 777; (2006) AIRSCW 813; (2006) 2 Supreme 251</t>
        </is>
      </c>
      <c r="N1159" s="11" t="n">
        <v>2006</v>
      </c>
      <c r="O1159" s="11" t="n"/>
      <c r="P1159" s="11" t="n"/>
      <c r="Q1159" s="11" t="n"/>
      <c r="R1159" s="2" t="n"/>
      <c r="S1159" s="2" t="n"/>
      <c r="T1159" s="11" t="inlineStr">
        <is>
          <t>yes</t>
        </is>
      </c>
      <c r="U1159" s="11" t="inlineStr"/>
      <c r="V1159" s="11" t="inlineStr">
        <is>
          <t>outside_list</t>
        </is>
      </c>
      <c r="W1159" s="11" t="n"/>
      <c r="X1159" s="11" t="n"/>
      <c r="Y1159" s="11" t="n"/>
      <c r="Z1159" s="11" t="inlineStr">
        <is>
          <t>Mr. Advocate</t>
        </is>
      </c>
      <c r="AA1159" s="11" t="inlineStr">
        <is>
          <t>2026-10-07</t>
        </is>
      </c>
      <c r="AB1159" s="11" t="inlineStr">
        <is>
          <t>name_year</t>
        </is>
      </c>
      <c r="AC1159" s="2" t="inlineStr"/>
      <c r="AD1159" s="2" t="inlineStr">
        <is>
          <t>Bhakti Hari Nayak and Others v. Vidyawati Gupta, S.C. Agarwala (HUF) and Others (2005) was reversed on appeal by the Supreme Court in Vidyawati Gupta and Others v. Bhakti Hari Nayak and Others (2006).</t>
        </is>
      </c>
      <c r="AE1159" s="2" t="n"/>
      <c r="AF1159" s="11" t="inlineStr">
        <is>
          <t>created from list 1</t>
        </is>
      </c>
    </row>
    <row r="1160">
      <c r="A1160" s="11" t="inlineStr">
        <is>
          <t>L1-1159</t>
        </is>
      </c>
      <c r="B1160" s="11" t="inlineStr">
        <is>
          <t>List 1 (to ~2015)</t>
        </is>
      </c>
      <c r="C1160" s="11" t="inlineStr">
        <is>
          <t>list1</t>
        </is>
      </c>
      <c r="D1160" s="11" t="inlineStr">
        <is>
          <t>verified</t>
        </is>
      </c>
      <c r="E1160" s="11" t="inlineStr">
        <is>
          <t>overruled</t>
        </is>
      </c>
      <c r="F1160" s="2" t="inlineStr">
        <is>
          <t>Mathew Michael v. Tekoy (India) Ltd.</t>
        </is>
      </c>
      <c r="G1160" s="11" t="inlineStr"/>
      <c r="H1160" s="11" t="inlineStr">
        <is>
          <t>unknown</t>
        </is>
      </c>
      <c r="I1160" s="2" t="inlineStr">
        <is>
          <t>(1990) 69 CompCas 145; (1988) 2 ILR (Ker) 255</t>
        </is>
      </c>
      <c r="J1160" s="11" t="n">
        <v>1988</v>
      </c>
      <c r="K1160" s="2" t="inlineStr">
        <is>
          <t>M/S. Ammonia Supplies Corporation (P) Ltd. v. M/S. Modern Plastic Containers Pvt. Ltd. and Others</t>
        </is>
      </c>
      <c r="L1160" s="11" t="inlineStr">
        <is>
          <t>Supreme Court</t>
        </is>
      </c>
      <c r="M1160" s="2" t="inlineStr">
        <is>
          <t>AIR 1998 SC 3153; (1998) 94 CompCas 310; (1998) 4 CompLJ 211; (1999) 1 CTC 273; (1998) 6 JT 116; (1998) 5 SCALE 147; (1998) 7 SCC 105; (1998) 1 SCR 413 Supp; (1998) AIRSCW 3062; (1998) 7 Supreme 191</t>
        </is>
      </c>
      <c r="N1160" s="11" t="n">
        <v>1998</v>
      </c>
      <c r="O1160" s="11" t="n"/>
      <c r="P1160" s="11" t="n"/>
      <c r="Q1160" s="11" t="n"/>
      <c r="R1160" s="2" t="n"/>
      <c r="S1160" s="2" t="n"/>
      <c r="T1160" s="11" t="inlineStr"/>
      <c r="U1160" s="11" t="inlineStr"/>
      <c r="V1160" s="11" t="inlineStr">
        <is>
          <t>outside_list</t>
        </is>
      </c>
      <c r="W1160" s="11" t="n"/>
      <c r="X1160" s="11" t="n"/>
      <c r="Y1160" s="11" t="n"/>
      <c r="Z1160" s="11" t="inlineStr">
        <is>
          <t>Mr. Advocate</t>
        </is>
      </c>
      <c r="AA1160" s="11" t="inlineStr">
        <is>
          <t>2026-10-07</t>
        </is>
      </c>
      <c r="AB1160" s="11" t="inlineStr">
        <is>
          <t>name_year</t>
        </is>
      </c>
      <c r="AC1160" s="2" t="inlineStr"/>
      <c r="AD1160" s="2" t="inlineStr">
        <is>
          <t>Mathew Michael v. Tekoy (India) Ltd. (1988) was overruled by M/S. Ammonia Supplies Corporation (P) Ltd. v. M/S. Modern Plastic Containers Pvt. Ltd. and Others (1998).</t>
        </is>
      </c>
      <c r="AE1160" s="2" t="n"/>
      <c r="AF1160" s="11" t="inlineStr">
        <is>
          <t>created from list 1</t>
        </is>
      </c>
    </row>
    <row r="1161">
      <c r="A1161" s="11" t="inlineStr">
        <is>
          <t>L1-1160</t>
        </is>
      </c>
      <c r="B1161" s="11" t="inlineStr">
        <is>
          <t>List 1 (to ~2015)</t>
        </is>
      </c>
      <c r="C1161" s="11" t="inlineStr">
        <is>
          <t>list1</t>
        </is>
      </c>
      <c r="D1161" s="11" t="inlineStr">
        <is>
          <t>verified</t>
        </is>
      </c>
      <c r="E1161" s="11" t="inlineStr">
        <is>
          <t>overruled</t>
        </is>
      </c>
      <c r="F1161" s="2" t="inlineStr">
        <is>
          <t>M.K. Rapai and Others v. John and Others</t>
        </is>
      </c>
      <c r="G1161" s="11" t="inlineStr"/>
      <c r="H1161" s="11" t="inlineStr">
        <is>
          <t>Kerala</t>
        </is>
      </c>
      <c r="I1161" s="2" t="inlineStr">
        <is>
          <t>AIR 1965 Ker 203</t>
        </is>
      </c>
      <c r="J1161" s="11" t="n">
        <v>1965</v>
      </c>
      <c r="K1161" s="2" t="inlineStr">
        <is>
          <t>M.K. Rappai and Others v. John and Others</t>
        </is>
      </c>
      <c r="L1161" s="11" t="inlineStr">
        <is>
          <t>Supreme Court</t>
        </is>
      </c>
      <c r="M1161" s="2" t="inlineStr">
        <is>
          <t>(1969) 2 SCC 590; (1970) 2 SCR 124</t>
        </is>
      </c>
      <c r="N1161" s="11" t="n">
        <v>1969</v>
      </c>
      <c r="O1161" s="11" t="n"/>
      <c r="P1161" s="11" t="n"/>
      <c r="Q1161" s="11" t="n"/>
      <c r="R1161" s="2" t="n"/>
      <c r="S1161" s="2" t="n"/>
      <c r="T1161" s="11" t="inlineStr"/>
      <c r="U1161" s="11" t="inlineStr"/>
      <c r="V1161" s="11" t="inlineStr">
        <is>
          <t>outside_list</t>
        </is>
      </c>
      <c r="W1161" s="11" t="n"/>
      <c r="X1161" s="11" t="n"/>
      <c r="Y1161" s="11" t="n"/>
      <c r="Z1161" s="11" t="inlineStr">
        <is>
          <t>Mr. Advocate</t>
        </is>
      </c>
      <c r="AA1161" s="11" t="inlineStr">
        <is>
          <t>2026-10-07</t>
        </is>
      </c>
      <c r="AB1161" s="11" t="inlineStr">
        <is>
          <t>name_year</t>
        </is>
      </c>
      <c r="AC1161" s="2" t="inlineStr"/>
      <c r="AD1161" s="2" t="inlineStr">
        <is>
          <t>M.K. Rapai and Others v. John and Others (1965) was overruled by M.K. Rappai and Others v. John and Others (1969).</t>
        </is>
      </c>
      <c r="AE1161" s="2" t="n"/>
      <c r="AF1161" s="11" t="inlineStr">
        <is>
          <t>created from list 1</t>
        </is>
      </c>
    </row>
    <row r="1162">
      <c r="A1162" s="11" t="inlineStr">
        <is>
          <t>L1-1161</t>
        </is>
      </c>
      <c r="B1162" s="11" t="inlineStr">
        <is>
          <t>List 1 (to ~2015)</t>
        </is>
      </c>
      <c r="C1162" s="11" t="inlineStr">
        <is>
          <t>list1</t>
        </is>
      </c>
      <c r="D1162" s="11" t="inlineStr">
        <is>
          <t>verified</t>
        </is>
      </c>
      <c r="E1162" s="11" t="inlineStr">
        <is>
          <t>reversed_on_appeal</t>
        </is>
      </c>
      <c r="F1162" s="2" t="inlineStr">
        <is>
          <t>Thomas v. State of Kerala and Others</t>
        </is>
      </c>
      <c r="G1162" s="11" t="inlineStr"/>
      <c r="H1162" s="11" t="inlineStr">
        <is>
          <t>unknown</t>
        </is>
      </c>
      <c r="I1162" s="2" t="inlineStr">
        <is>
          <t>(1975) 1 LLJ 15</t>
        </is>
      </c>
      <c r="J1162" s="11" t="n">
        <v>1975</v>
      </c>
      <c r="K1162" s="2" t="inlineStr">
        <is>
          <t>State of Kerala and Another v. N.M. Thomas and Others</t>
        </is>
      </c>
      <c r="L1162" s="11" t="inlineStr">
        <is>
          <t>Supreme Court</t>
        </is>
      </c>
      <c r="M1162" s="2" t="inlineStr">
        <is>
          <t>AIR 1976 SC 490; (1976) LabIC 395; (1976) 1 LLJ 376; (1976) 2 SCC 310; (1976) 1 SCR 906</t>
        </is>
      </c>
      <c r="N1162" s="11" t="n">
        <v>1976</v>
      </c>
      <c r="O1162" s="11" t="n"/>
      <c r="P1162" s="11" t="n"/>
      <c r="Q1162" s="11" t="n"/>
      <c r="R1162" s="2" t="n"/>
      <c r="S1162" s="2" t="n"/>
      <c r="T1162" s="11" t="inlineStr">
        <is>
          <t>yes</t>
        </is>
      </c>
      <c r="U1162" s="11" t="inlineStr">
        <is>
          <t>needs_citation_or_year</t>
        </is>
      </c>
      <c r="V1162" s="11" t="inlineStr">
        <is>
          <t>outside_list</t>
        </is>
      </c>
      <c r="W1162" s="11" t="n"/>
      <c r="X1162" s="11" t="n"/>
      <c r="Y1162" s="11" t="n"/>
      <c r="Z1162" s="11" t="inlineStr">
        <is>
          <t>Mr. Advocate</t>
        </is>
      </c>
      <c r="AA1162" s="11" t="inlineStr">
        <is>
          <t>2026-10-07</t>
        </is>
      </c>
      <c r="AB1162" s="11" t="inlineStr">
        <is>
          <t>none</t>
        </is>
      </c>
      <c r="AC1162" s="2" t="inlineStr"/>
      <c r="AD1162" s="2" t="inlineStr">
        <is>
          <t>Thomas v. State of Kerala and Others (1975) was reversed on appeal by the Supreme Court in State of Kerala and Another v. N.M. Thomas and Others (1976).</t>
        </is>
      </c>
      <c r="AE1162" s="2" t="n"/>
      <c r="AF1162" s="11" t="inlineStr">
        <is>
          <t>created from list 1</t>
        </is>
      </c>
    </row>
    <row r="1163">
      <c r="A1163" s="11" t="inlineStr">
        <is>
          <t>L1-1162</t>
        </is>
      </c>
      <c r="B1163" s="11" t="inlineStr">
        <is>
          <t>List 1 (to ~2015)</t>
        </is>
      </c>
      <c r="C1163" s="11" t="inlineStr">
        <is>
          <t>list1</t>
        </is>
      </c>
      <c r="D1163" s="11" t="inlineStr">
        <is>
          <t>verified</t>
        </is>
      </c>
      <c r="E1163" s="11" t="inlineStr">
        <is>
          <t>overruled</t>
        </is>
      </c>
      <c r="F1163" s="2" t="inlineStr">
        <is>
          <t>N.C. Kumaresan v. Ameerappa</t>
        </is>
      </c>
      <c r="G1163" s="11" t="inlineStr"/>
      <c r="H1163" s="11" t="inlineStr">
        <is>
          <t>unknown</t>
        </is>
      </c>
      <c r="I1163" s="2" t="inlineStr">
        <is>
          <t>(1991) 3 ILR (Ker) 333</t>
        </is>
      </c>
      <c r="J1163" s="11" t="n">
        <v>1991</v>
      </c>
      <c r="K1163" s="2" t="inlineStr">
        <is>
          <t>Sadanandan Bhadran v. Madhavan Sunil Kumar</t>
        </is>
      </c>
      <c r="L1163" s="11" t="inlineStr">
        <is>
          <t>Supreme Court</t>
        </is>
      </c>
      <c r="M1163" s="2" t="inlineStr">
        <is>
          <t>(1998) 6 AD 357; AIR 1998 SC 3043; (1998) 94 CompCas 812; (1998) 4 CompLJ 228; (1998) CriLJ 4066; (1998) 3 Crimes 217; (1998) 2 CTC 462; (1998) 6 JT 48; (1998) 120 PLR 318; (1998) 4 SCALE 708; (1998) 6 SCC 514; (1998) 1 SCR 178 Supp; (1998) AIRSCW 2902; (1998) 7 Supreme 20</t>
        </is>
      </c>
      <c r="N1163" s="11" t="n">
        <v>1998</v>
      </c>
      <c r="O1163" s="11" t="n"/>
      <c r="P1163" s="11" t="n"/>
      <c r="Q1163" s="11" t="n"/>
      <c r="R1163" s="2" t="n"/>
      <c r="S1163" s="2" t="n"/>
      <c r="T1163" s="11" t="inlineStr"/>
      <c r="U1163" s="11" t="inlineStr"/>
      <c r="V1163" s="11" t="inlineStr">
        <is>
          <t>outside_list</t>
        </is>
      </c>
      <c r="W1163" s="11" t="n"/>
      <c r="X1163" s="11" t="n"/>
      <c r="Y1163" s="11" t="n"/>
      <c r="Z1163" s="11" t="inlineStr">
        <is>
          <t>Mr. Advocate</t>
        </is>
      </c>
      <c r="AA1163" s="11" t="inlineStr">
        <is>
          <t>2026-10-07</t>
        </is>
      </c>
      <c r="AB1163" s="11" t="inlineStr">
        <is>
          <t>name_year</t>
        </is>
      </c>
      <c r="AC1163" s="2" t="inlineStr"/>
      <c r="AD1163" s="2" t="inlineStr">
        <is>
          <t>N.C. Kumaresan v. Ameerappa (1991) was overruled by Sadanandan Bhadran v. Madhavan Sunil Kumar (1998).</t>
        </is>
      </c>
      <c r="AE1163" s="2" t="n"/>
      <c r="AF1163" s="11" t="inlineStr">
        <is>
          <t>created from list 1</t>
        </is>
      </c>
    </row>
    <row r="1164">
      <c r="A1164" s="11" t="inlineStr">
        <is>
          <t>L1-1163</t>
        </is>
      </c>
      <c r="B1164" s="11" t="inlineStr">
        <is>
          <t>List 1 (to ~2015)</t>
        </is>
      </c>
      <c r="C1164" s="11" t="inlineStr">
        <is>
          <t>list1</t>
        </is>
      </c>
      <c r="D1164" s="11" t="inlineStr">
        <is>
          <t>verified</t>
        </is>
      </c>
      <c r="E1164" s="11" t="inlineStr">
        <is>
          <t>overruled</t>
        </is>
      </c>
      <c r="F1164" s="2" t="inlineStr">
        <is>
          <t>Commissioner of Income Tax v. Mittal Steel Re-Rolling and Allied Industries (P.) Ltd.</t>
        </is>
      </c>
      <c r="G1164" s="11" t="inlineStr"/>
      <c r="H1164" s="11" t="inlineStr">
        <is>
          <t>unknown</t>
        </is>
      </c>
      <c r="I1164" s="2" t="inlineStr">
        <is>
          <t>(1977) 108 ITR 207</t>
        </is>
      </c>
      <c r="J1164" s="11" t="n">
        <v>1977</v>
      </c>
      <c r="K1164" s="2" t="inlineStr">
        <is>
          <t>Commissioner of Income Tax, Haryana v. M/s. Krishna Copper Steel Rolling Mills, Jagadhri etc.</t>
        </is>
      </c>
      <c r="L1164" s="11" t="inlineStr">
        <is>
          <t>Supreme Court</t>
        </is>
      </c>
      <c r="M1164" s="2" t="inlineStr">
        <is>
          <t>AIR 1992 SC 422; (1991) 3 CompLJ 367; (1991) 100 CTR 114; (1992) 193 ITR 281; (1991) 4 JT 350; (1991) 2 SCALE 1014; (1992) 1 SCC 732 Supp; (1991) 2 SCR 187 Supp; (1992) 60 TAXMAN 93</t>
        </is>
      </c>
      <c r="N1164" s="11" t="n">
        <v>1992</v>
      </c>
      <c r="O1164" s="11" t="n"/>
      <c r="P1164" s="11" t="n"/>
      <c r="Q1164" s="11" t="n"/>
      <c r="R1164" s="2" t="n"/>
      <c r="S1164" s="2" t="n"/>
      <c r="T1164" s="11" t="inlineStr"/>
      <c r="U1164" s="11" t="inlineStr"/>
      <c r="V1164" s="11" t="inlineStr">
        <is>
          <t>outside_list</t>
        </is>
      </c>
      <c r="W1164" s="11" t="n"/>
      <c r="X1164" s="11" t="n"/>
      <c r="Y1164" s="11" t="n"/>
      <c r="Z1164" s="11" t="inlineStr">
        <is>
          <t>Mr. Advocate</t>
        </is>
      </c>
      <c r="AA1164" s="11" t="inlineStr">
        <is>
          <t>2026-10-07</t>
        </is>
      </c>
      <c r="AB1164" s="11" t="inlineStr">
        <is>
          <t>name_year</t>
        </is>
      </c>
      <c r="AC1164" s="2" t="inlineStr"/>
      <c r="AD1164" s="2" t="inlineStr">
        <is>
          <t>Commissioner of Income Tax v. Mittal Steel Re-Rolling and Allied Industries (P.) Ltd. (1977) was overruled by Commissioner of Income Tax, Haryana v. M/s. Krishna Copper Steel Rolling Mills, Jagadhri etc. (1992).</t>
        </is>
      </c>
      <c r="AE1164" s="2" t="n"/>
      <c r="AF1164" s="11" t="inlineStr">
        <is>
          <t>created from list 1</t>
        </is>
      </c>
    </row>
    <row r="1165">
      <c r="A1165" s="11" t="inlineStr">
        <is>
          <t>L1-1164</t>
        </is>
      </c>
      <c r="B1165" s="11" t="inlineStr">
        <is>
          <t>List 1 (to ~2015)</t>
        </is>
      </c>
      <c r="C1165" s="11" t="inlineStr">
        <is>
          <t>list1</t>
        </is>
      </c>
      <c r="D1165" s="11" t="inlineStr">
        <is>
          <t>verified</t>
        </is>
      </c>
      <c r="E1165" s="11" t="inlineStr">
        <is>
          <t>overruled</t>
        </is>
      </c>
      <c r="F1165" s="2" t="inlineStr">
        <is>
          <t>Commissioner of Income Tax v. Commonwealth Trust Ltd.</t>
        </is>
      </c>
      <c r="G1165" s="11" t="inlineStr"/>
      <c r="H1165" s="11" t="inlineStr">
        <is>
          <t>unknown</t>
        </is>
      </c>
      <c r="I1165" s="2" t="inlineStr">
        <is>
          <t>(1982) 135 ITR 19</t>
        </is>
      </c>
      <c r="J1165" s="11" t="n">
        <v>1982</v>
      </c>
      <c r="K1165" s="2" t="inlineStr">
        <is>
          <t>Commissioner of Income Tax, Bombay, etc. v. M/s. Mafatlal Gangabhai and Co. (P) Ltd.</t>
        </is>
      </c>
      <c r="L1165" s="11" t="inlineStr">
        <is>
          <t>Supreme Court</t>
        </is>
      </c>
      <c r="M1165" s="2" t="inlineStr">
        <is>
          <t>(1996) 2 AD 573; AIR 1996 SC 3003; (1996) 1 BC 588; (1996) 132 CTR 248; (1996) 219 ITR 644; (1996) 3 JT 173; (1996) 2 SCALE 676; (1996) 7 SCC 569; (1996) 3 SCR 227; (1996) 85 TAXMAN 381</t>
        </is>
      </c>
      <c r="N1165" s="11" t="n">
        <v>1996</v>
      </c>
      <c r="O1165" s="11" t="n"/>
      <c r="P1165" s="11" t="n"/>
      <c r="Q1165" s="11" t="n"/>
      <c r="R1165" s="2" t="n"/>
      <c r="S1165" s="2" t="n"/>
      <c r="T1165" s="11" t="inlineStr"/>
      <c r="U1165" s="11" t="inlineStr"/>
      <c r="V1165" s="11" t="inlineStr">
        <is>
          <t>outside_list</t>
        </is>
      </c>
      <c r="W1165" s="11" t="n"/>
      <c r="X1165" s="11" t="n"/>
      <c r="Y1165" s="11" t="n"/>
      <c r="Z1165" s="11" t="inlineStr">
        <is>
          <t>Mr. Advocate</t>
        </is>
      </c>
      <c r="AA1165" s="11" t="inlineStr">
        <is>
          <t>2026-10-07</t>
        </is>
      </c>
      <c r="AB1165" s="11" t="inlineStr">
        <is>
          <t>name_year</t>
        </is>
      </c>
      <c r="AC1165" s="2" t="inlineStr"/>
      <c r="AD1165" s="2" t="inlineStr">
        <is>
          <t>Commissioner of Income Tax v. Commonwealth Trust Ltd. (1982) was overruled by Commissioner of Income Tax, Bombay, etc. v. M/s. Mafatlal Gangabhai and Co. (P) Ltd. (1996).</t>
        </is>
      </c>
      <c r="AE1165" s="2" t="n"/>
      <c r="AF1165" s="11" t="inlineStr">
        <is>
          <t>created from list 1</t>
        </is>
      </c>
    </row>
    <row r="1166">
      <c r="A1166" s="11" t="inlineStr">
        <is>
          <t>L1-1165</t>
        </is>
      </c>
      <c r="B1166" s="11" t="inlineStr">
        <is>
          <t>List 1 (to ~2015)</t>
        </is>
      </c>
      <c r="C1166" s="11" t="inlineStr">
        <is>
          <t>list1</t>
        </is>
      </c>
      <c r="D1166" s="11" t="inlineStr">
        <is>
          <t>verified</t>
        </is>
      </c>
      <c r="E1166" s="11" t="inlineStr">
        <is>
          <t>reversed_on_appeal</t>
        </is>
      </c>
      <c r="F1166" s="2" t="inlineStr">
        <is>
          <t>SMT. LUCY KOCHUVAREED v. COMMISSIONER OF AGRICULTURAL Income Tax, TRIVANDRUM.</t>
        </is>
      </c>
      <c r="G1166" s="11" t="inlineStr"/>
      <c r="H1166" s="11" t="inlineStr">
        <is>
          <t>unknown</t>
        </is>
      </c>
      <c r="I1166" s="2" t="inlineStr">
        <is>
          <t>(1971) 82 ITR 845</t>
        </is>
      </c>
      <c r="J1166" s="11" t="n">
        <v>1971</v>
      </c>
      <c r="K1166" s="2" t="inlineStr">
        <is>
          <t>Commissioner of Agricultural Income Tax, Trivandrum v. Lucy Kochuvareed</t>
        </is>
      </c>
      <c r="L1166" s="11" t="inlineStr">
        <is>
          <t>Supreme Court</t>
        </is>
      </c>
      <c r="M1166" s="2" t="inlineStr">
        <is>
          <t>AIR 1976 SC 1681; (1976) 103 ITR 799; (1976) 3 SCC 438; (1976) SCR 657 Supp; (1976) 8 UJ 598</t>
        </is>
      </c>
      <c r="N1166" s="11" t="n">
        <v>1976</v>
      </c>
      <c r="O1166" s="11" t="n"/>
      <c r="P1166" s="11" t="n"/>
      <c r="Q1166" s="11" t="n"/>
      <c r="R1166" s="2" t="n"/>
      <c r="S1166" s="2" t="n"/>
      <c r="T1166" s="11" t="inlineStr">
        <is>
          <t>yes</t>
        </is>
      </c>
      <c r="U1166" s="11" t="inlineStr"/>
      <c r="V1166" s="11" t="inlineStr">
        <is>
          <t>outside_list</t>
        </is>
      </c>
      <c r="W1166" s="11" t="n"/>
      <c r="X1166" s="11" t="n"/>
      <c r="Y1166" s="11" t="n"/>
      <c r="Z1166" s="11" t="inlineStr">
        <is>
          <t>Mr. Advocate</t>
        </is>
      </c>
      <c r="AA1166" s="11" t="inlineStr">
        <is>
          <t>2026-10-07</t>
        </is>
      </c>
      <c r="AB1166" s="11" t="inlineStr">
        <is>
          <t>name_year</t>
        </is>
      </c>
      <c r="AC1166" s="2" t="inlineStr"/>
      <c r="AD1166" s="2" t="inlineStr">
        <is>
          <t>SMT. LUCY KOCHUVAREED v. COMMISSIONER OF AGRICULTURAL Income Tax, TRIVANDRUM. (1971) was reversed on appeal by the Supreme Court in Commissioner of Agricultural Income Tax, Trivandrum v. Lucy Kochuvareed (1976).</t>
        </is>
      </c>
      <c r="AE1166" s="2" t="n"/>
      <c r="AF1166" s="11" t="inlineStr">
        <is>
          <t>created from list 1</t>
        </is>
      </c>
    </row>
    <row r="1167">
      <c r="A1167" s="11" t="inlineStr">
        <is>
          <t>L1-1166</t>
        </is>
      </c>
      <c r="B1167" s="11" t="inlineStr">
        <is>
          <t>List 1 (to ~2015)</t>
        </is>
      </c>
      <c r="C1167" s="11" t="inlineStr">
        <is>
          <t>list1</t>
        </is>
      </c>
      <c r="D1167" s="11" t="inlineStr">
        <is>
          <t>verified</t>
        </is>
      </c>
      <c r="E1167" s="11" t="inlineStr">
        <is>
          <t>reversed_on_appeal</t>
        </is>
      </c>
      <c r="F1167" s="2" t="inlineStr">
        <is>
          <t>Cochin State Power and Light Corporation Ltd. v. Commissioner of Income Tax</t>
        </is>
      </c>
      <c r="G1167" s="11" t="inlineStr"/>
      <c r="H1167" s="11" t="inlineStr">
        <is>
          <t>unknown</t>
        </is>
      </c>
      <c r="I1167" s="2" t="inlineStr">
        <is>
          <t>(1974) 93 ITR 582</t>
        </is>
      </c>
      <c r="J1167" s="11" t="n">
        <v>1974</v>
      </c>
      <c r="K1167" s="2" t="inlineStr">
        <is>
          <t>Associated Power Co. Ltd. v. Commissioner of Income Tax</t>
        </is>
      </c>
      <c r="L1167" s="11" t="inlineStr">
        <is>
          <t>Supreme Court</t>
        </is>
      </c>
      <c r="M1167" s="2" t="inlineStr">
        <is>
          <t>AIR 1996 SC 894; AIR 1995 SC 894; (1996) 130 CTR 393; (1996) 218 ITR 195; (1995) 9 JT 146; (1995) 6 SCALE 702; (1996) 7 SCC 221; (1995) 5 SCR 721 Supp; (1996) 84 TAXMAN 355</t>
        </is>
      </c>
      <c r="N1167" s="11" t="n">
        <v>1996</v>
      </c>
      <c r="O1167" s="11" t="n"/>
      <c r="P1167" s="11" t="n"/>
      <c r="Q1167" s="11" t="n"/>
      <c r="R1167" s="2" t="n"/>
      <c r="S1167" s="2" t="n"/>
      <c r="T1167" s="11" t="inlineStr">
        <is>
          <t>yes</t>
        </is>
      </c>
      <c r="U1167" s="11" t="inlineStr"/>
      <c r="V1167" s="11" t="inlineStr">
        <is>
          <t>outside_list</t>
        </is>
      </c>
      <c r="W1167" s="11" t="n"/>
      <c r="X1167" s="11" t="n"/>
      <c r="Y1167" s="11" t="n"/>
      <c r="Z1167" s="11" t="inlineStr">
        <is>
          <t>Mr. Advocate</t>
        </is>
      </c>
      <c r="AA1167" s="11" t="inlineStr">
        <is>
          <t>2026-10-07</t>
        </is>
      </c>
      <c r="AB1167" s="11" t="inlineStr">
        <is>
          <t>name_year</t>
        </is>
      </c>
      <c r="AC1167" s="2" t="inlineStr"/>
      <c r="AD1167" s="2" t="inlineStr">
        <is>
          <t>Cochin State Power and Light Corporation Ltd. v. Commissioner of Income Tax (1974) was reversed on appeal by the Supreme Court in Associated Power Co. Ltd. v. Commissioner of Income Tax (1996).</t>
        </is>
      </c>
      <c r="AE1167" s="2" t="n"/>
      <c r="AF1167" s="11" t="inlineStr">
        <is>
          <t>created from list 1</t>
        </is>
      </c>
    </row>
    <row r="1168">
      <c r="A1168" s="11" t="inlineStr">
        <is>
          <t>L1-1167</t>
        </is>
      </c>
      <c r="B1168" s="11" t="inlineStr">
        <is>
          <t>List 1 (to ~2015)</t>
        </is>
      </c>
      <c r="C1168" s="11" t="inlineStr">
        <is>
          <t>list1</t>
        </is>
      </c>
      <c r="D1168" s="11" t="inlineStr">
        <is>
          <t>verified</t>
        </is>
      </c>
      <c r="E1168" s="11" t="inlineStr">
        <is>
          <t>overruled</t>
        </is>
      </c>
      <c r="F1168" s="2" t="inlineStr">
        <is>
          <t>United India Insurance Co. Ltd. v. Padmavathy and Others</t>
        </is>
      </c>
      <c r="G1168" s="11" t="inlineStr"/>
      <c r="H1168" s="11" t="inlineStr">
        <is>
          <t>unknown</t>
        </is>
      </c>
      <c r="I1168" s="2" t="inlineStr">
        <is>
          <t>(1991) 1 ACC 70; (1990) ACJ 751; (1990) 3 ILR (Ker) 119</t>
        </is>
      </c>
      <c r="J1168" s="11" t="n">
        <v>1990</v>
      </c>
      <c r="K1168" s="2" t="inlineStr">
        <is>
          <t>State of Punjab and Others v. Bhajan Kaur and Others</t>
        </is>
      </c>
      <c r="L1168" s="11" t="inlineStr">
        <is>
          <t>Supreme Court</t>
        </is>
      </c>
      <c r="M1168" s="2" t="inlineStr">
        <is>
          <t>AIR 2008 SC 2276; (2008) CLT 915; (2008) 8 SCALE 475; (2008) 12 SCC 112; (2008) AIRSCW 4073; (2008) 3 Supreme 724</t>
        </is>
      </c>
      <c r="N1168" s="11" t="n">
        <v>2008</v>
      </c>
      <c r="O1168" s="11" t="n"/>
      <c r="P1168" s="11" t="n"/>
      <c r="Q1168" s="11" t="n"/>
      <c r="R1168" s="2" t="n"/>
      <c r="S1168" s="2" t="n"/>
      <c r="T1168" s="11" t="inlineStr"/>
      <c r="U1168" s="11" t="inlineStr"/>
      <c r="V1168" s="11" t="inlineStr">
        <is>
          <t>outside_list</t>
        </is>
      </c>
      <c r="W1168" s="11" t="n"/>
      <c r="X1168" s="11" t="n"/>
      <c r="Y1168" s="11" t="n"/>
      <c r="Z1168" s="11" t="inlineStr">
        <is>
          <t>Mr. Advocate</t>
        </is>
      </c>
      <c r="AA1168" s="11" t="inlineStr">
        <is>
          <t>2026-10-07</t>
        </is>
      </c>
      <c r="AB1168" s="11" t="inlineStr">
        <is>
          <t>name_year</t>
        </is>
      </c>
      <c r="AC1168" s="2" t="inlineStr"/>
      <c r="AD1168" s="2" t="inlineStr">
        <is>
          <t>United India Insurance Co. Ltd. v. Padmavathy and Others (1990) was overruled by State of Punjab and Others v. Bhajan Kaur and Others (2008).</t>
        </is>
      </c>
      <c r="AE1168" s="2" t="n"/>
      <c r="AF1168" s="11" t="inlineStr">
        <is>
          <t>created from list 1</t>
        </is>
      </c>
    </row>
    <row r="1169">
      <c r="A1169" s="11" t="inlineStr">
        <is>
          <t>L1-1168</t>
        </is>
      </c>
      <c r="B1169" s="11" t="inlineStr">
        <is>
          <t>List 1 (to ~2015)</t>
        </is>
      </c>
      <c r="C1169" s="11" t="inlineStr">
        <is>
          <t>list1</t>
        </is>
      </c>
      <c r="D1169" s="11" t="inlineStr">
        <is>
          <t>verified</t>
        </is>
      </c>
      <c r="E1169" s="11" t="inlineStr">
        <is>
          <t>reversed_on_appeal</t>
        </is>
      </c>
      <c r="F1169" s="2" t="inlineStr">
        <is>
          <t>Commissioner of Gift Tax, Kerala, Ernakulam v. Dr. George Kuruvilla, Thiruvalla</t>
        </is>
      </c>
      <c r="G1169" s="11" t="inlineStr"/>
      <c r="H1169" s="11" t="inlineStr">
        <is>
          <t>Kerala</t>
        </is>
      </c>
      <c r="I1169" s="2" t="inlineStr">
        <is>
          <t>AIR 1965 Ker 294; (1970) 77 ITR 749</t>
        </is>
      </c>
      <c r="J1169" s="11" t="n">
        <v>1965</v>
      </c>
      <c r="K1169" s="2" t="inlineStr">
        <is>
          <t>Commissioner of Gift Tax, Kerala v. George Kuruvilla</t>
        </is>
      </c>
      <c r="L1169" s="11" t="inlineStr">
        <is>
          <t>Supreme Court</t>
        </is>
      </c>
      <c r="M1169" s="2" t="inlineStr">
        <is>
          <t>AIR 1970 SC 1535; (1970) 77 ITR 746; (1970) 2 SCC 29; (1971) 1 SCR 373</t>
        </is>
      </c>
      <c r="N1169" s="11" t="n">
        <v>1970</v>
      </c>
      <c r="O1169" s="11" t="n"/>
      <c r="P1169" s="11" t="n"/>
      <c r="Q1169" s="11" t="n"/>
      <c r="R1169" s="2" t="n"/>
      <c r="S1169" s="2" t="n"/>
      <c r="T1169" s="11" t="inlineStr">
        <is>
          <t>yes</t>
        </is>
      </c>
      <c r="U1169" s="11" t="inlineStr"/>
      <c r="V1169" s="11" t="inlineStr">
        <is>
          <t>outside_list</t>
        </is>
      </c>
      <c r="W1169" s="11" t="n"/>
      <c r="X1169" s="11" t="n"/>
      <c r="Y1169" s="11" t="n"/>
      <c r="Z1169" s="11" t="inlineStr">
        <is>
          <t>Mr. Advocate</t>
        </is>
      </c>
      <c r="AA1169" s="11" t="inlineStr">
        <is>
          <t>2026-10-07</t>
        </is>
      </c>
      <c r="AB1169" s="11" t="inlineStr">
        <is>
          <t>name_year</t>
        </is>
      </c>
      <c r="AC1169" s="2" t="inlineStr"/>
      <c r="AD1169" s="2" t="inlineStr">
        <is>
          <t>Commissioner of Gift Tax, Kerala, Ernakulam v. Dr. George Kuruvilla, Thiruvalla (1965) was reversed on appeal by the Supreme Court in Commissioner of Gift Tax, Kerala v. George Kuruvilla (1970).</t>
        </is>
      </c>
      <c r="AE1169" s="2" t="n"/>
      <c r="AF1169" s="11" t="inlineStr">
        <is>
          <t>created from list 1</t>
        </is>
      </c>
    </row>
    <row r="1170">
      <c r="A1170" s="11" t="inlineStr">
        <is>
          <t>L1-1169</t>
        </is>
      </c>
      <c r="B1170" s="11" t="inlineStr">
        <is>
          <t>List 1 (to ~2015)</t>
        </is>
      </c>
      <c r="C1170" s="11" t="inlineStr">
        <is>
          <t>list1</t>
        </is>
      </c>
      <c r="D1170" s="11" t="inlineStr">
        <is>
          <t>verified</t>
        </is>
      </c>
      <c r="E1170" s="11" t="inlineStr">
        <is>
          <t>overruled</t>
        </is>
      </c>
      <c r="F1170" s="2" t="inlineStr">
        <is>
          <t>Fodd Inspector v. Seetharam Rice and Oil Mils and Others</t>
        </is>
      </c>
      <c r="G1170" s="11" t="inlineStr"/>
      <c r="H1170" s="11" t="inlineStr">
        <is>
          <t>unknown</t>
        </is>
      </c>
      <c r="I1170" s="2" t="inlineStr">
        <is>
          <t>(1975) CriLJ 479</t>
        </is>
      </c>
      <c r="J1170" s="11" t="n">
        <v>1975</v>
      </c>
      <c r="K1170" s="2" t="inlineStr">
        <is>
          <t>Bhagwan Das Jagdish Chander v. Delhi Administration</t>
        </is>
      </c>
      <c r="L1170" s="11" t="inlineStr">
        <is>
          <t>Supreme Court</t>
        </is>
      </c>
      <c r="M1170" s="2" t="inlineStr">
        <is>
          <t>AIR 1975 SC 1309; (1975) CriLJ 1091; (1975) 1 SCC 866; (1975) SCR 30 Supp</t>
        </is>
      </c>
      <c r="N1170" s="11" t="n">
        <v>1975</v>
      </c>
      <c r="O1170" s="11" t="n"/>
      <c r="P1170" s="11" t="n"/>
      <c r="Q1170" s="11" t="n"/>
      <c r="R1170" s="2" t="n"/>
      <c r="S1170" s="2" t="n"/>
      <c r="T1170" s="11" t="inlineStr"/>
      <c r="U1170" s="11" t="inlineStr"/>
      <c r="V1170" s="11" t="inlineStr">
        <is>
          <t>outside_list</t>
        </is>
      </c>
      <c r="W1170" s="11" t="n"/>
      <c r="X1170" s="11" t="n"/>
      <c r="Y1170" s="11" t="n"/>
      <c r="Z1170" s="11" t="inlineStr">
        <is>
          <t>Mr. Advocate</t>
        </is>
      </c>
      <c r="AA1170" s="11" t="inlineStr">
        <is>
          <t>2026-10-07</t>
        </is>
      </c>
      <c r="AB1170" s="11" t="inlineStr">
        <is>
          <t>name_year</t>
        </is>
      </c>
      <c r="AC1170" s="2" t="inlineStr"/>
      <c r="AD1170" s="2" t="inlineStr">
        <is>
          <t>Fodd Inspector v. Seetharam Rice and Oil Mils and Others (1975) was overruled by Bhagwan Das Jagdish Chander v. Delhi Administration (1975).</t>
        </is>
      </c>
      <c r="AE1170" s="2" t="n"/>
      <c r="AF1170" s="11" t="inlineStr">
        <is>
          <t>created from list 1</t>
        </is>
      </c>
    </row>
    <row r="1171">
      <c r="A1171" s="11" t="inlineStr">
        <is>
          <t>L1-1170</t>
        </is>
      </c>
      <c r="B1171" s="11" t="inlineStr">
        <is>
          <t>List 1 (to ~2015)</t>
        </is>
      </c>
      <c r="C1171" s="11" t="inlineStr">
        <is>
          <t>list1</t>
        </is>
      </c>
      <c r="D1171" s="11" t="inlineStr">
        <is>
          <t>verified</t>
        </is>
      </c>
      <c r="E1171" s="11" t="inlineStr">
        <is>
          <t>overruled</t>
        </is>
      </c>
      <c r="F1171" s="2" t="inlineStr">
        <is>
          <t>COMMISSIONER OF AGRICULTURAL Income Tax, KERALA v. PERUNAD PLANTATIONS LTD.</t>
        </is>
      </c>
      <c r="G1171" s="11" t="inlineStr"/>
      <c r="H1171" s="11" t="inlineStr">
        <is>
          <t>unknown</t>
        </is>
      </c>
      <c r="I1171" s="2" t="inlineStr">
        <is>
          <t>(1965) 56 ITR 193</t>
        </is>
      </c>
      <c r="J1171" s="11" t="n">
        <v>1965</v>
      </c>
      <c r="K1171" s="2" t="inlineStr">
        <is>
          <t>Anglo American Direct Tea Trading Co. Ltd. v. Commissioner of Agricultural Income Tax, Kerala State, Trivandrum</t>
        </is>
      </c>
      <c r="L1171" s="11" t="inlineStr">
        <is>
          <t>Supreme Court</t>
        </is>
      </c>
      <c r="M1171" s="2" t="inlineStr">
        <is>
          <t>AIR 1968 SC 1213; (1968) 69 ITR 667; (1968) 2 SCR 745</t>
        </is>
      </c>
      <c r="N1171" s="11" t="n">
        <v>1968</v>
      </c>
      <c r="O1171" s="11" t="n"/>
      <c r="P1171" s="11" t="n"/>
      <c r="Q1171" s="11" t="n"/>
      <c r="R1171" s="2" t="n"/>
      <c r="S1171" s="2" t="n"/>
      <c r="T1171" s="11" t="inlineStr"/>
      <c r="U1171" s="11" t="inlineStr"/>
      <c r="V1171" s="11" t="inlineStr">
        <is>
          <t>outside_list</t>
        </is>
      </c>
      <c r="W1171" s="11" t="n"/>
      <c r="X1171" s="11" t="n"/>
      <c r="Y1171" s="11" t="n"/>
      <c r="Z1171" s="11" t="inlineStr">
        <is>
          <t>Mr. Advocate</t>
        </is>
      </c>
      <c r="AA1171" s="11" t="inlineStr">
        <is>
          <t>2026-10-07</t>
        </is>
      </c>
      <c r="AB1171" s="11" t="inlineStr">
        <is>
          <t>name_year</t>
        </is>
      </c>
      <c r="AC1171" s="2" t="inlineStr"/>
      <c r="AD1171" s="2" t="inlineStr">
        <is>
          <t>COMMISSIONER OF AGRICULTURAL Income Tax, KERALA v. PERUNAD PLANTATIONS LTD. (1965) was overruled by Anglo American Direct Tea Trading Co. Ltd. v. Commissioner of Agricultural Income Tax, Kerala State, Trivandrum (1968).</t>
        </is>
      </c>
      <c r="AE1171" s="2" t="n"/>
      <c r="AF1171" s="11" t="inlineStr">
        <is>
          <t>created from list 1</t>
        </is>
      </c>
    </row>
    <row r="1172">
      <c r="A1172" s="11" t="inlineStr">
        <is>
          <t>L1-1171</t>
        </is>
      </c>
      <c r="B1172" s="11" t="inlineStr">
        <is>
          <t>List 1 (to ~2015)</t>
        </is>
      </c>
      <c r="C1172" s="11" t="inlineStr">
        <is>
          <t>list1</t>
        </is>
      </c>
      <c r="D1172" s="11" t="inlineStr">
        <is>
          <t>verified</t>
        </is>
      </c>
      <c r="E1172" s="11" t="inlineStr">
        <is>
          <t>overruled</t>
        </is>
      </c>
      <c r="F1172" s="2" t="inlineStr">
        <is>
          <t>New Woodlands Hotel v. Commissioner of Income Tax and Others</t>
        </is>
      </c>
      <c r="G1172" s="11" t="inlineStr"/>
      <c r="H1172" s="11" t="inlineStr">
        <is>
          <t>unknown</t>
        </is>
      </c>
      <c r="I1172" s="2" t="inlineStr">
        <is>
          <t>(1991) 188 ITR 137</t>
        </is>
      </c>
      <c r="J1172" s="11" t="n">
        <v>1991</v>
      </c>
      <c r="K1172" s="2" t="inlineStr">
        <is>
          <t>Commissioner of Income Tax, Hyderabad v. Chittor Electric Supply Corporation and another</t>
        </is>
      </c>
      <c r="L1172" s="11" t="inlineStr">
        <is>
          <t>Supreme Court</t>
        </is>
      </c>
      <c r="M1172" s="2" t="inlineStr">
        <is>
          <t>AIR 1995 SC 700; (1995) 123 CTR 583; (1995) 212 ITR 404; (1995) 1 JT 355; (1995) 1 SCALE 136; (1995) 2 SCC 430; (1995) 1 SCR 231</t>
        </is>
      </c>
      <c r="N1172" s="11" t="n">
        <v>1995</v>
      </c>
      <c r="O1172" s="11" t="n"/>
      <c r="P1172" s="11" t="n"/>
      <c r="Q1172" s="11" t="n"/>
      <c r="R1172" s="2" t="n"/>
      <c r="S1172" s="2" t="n"/>
      <c r="T1172" s="11" t="inlineStr"/>
      <c r="U1172" s="11" t="inlineStr"/>
      <c r="V1172" s="11" t="inlineStr">
        <is>
          <t>outside_list</t>
        </is>
      </c>
      <c r="W1172" s="11" t="n"/>
      <c r="X1172" s="11" t="n"/>
      <c r="Y1172" s="11" t="n"/>
      <c r="Z1172" s="11" t="inlineStr">
        <is>
          <t>Mr. Advocate</t>
        </is>
      </c>
      <c r="AA1172" s="11" t="inlineStr">
        <is>
          <t>2026-10-07</t>
        </is>
      </c>
      <c r="AB1172" s="11" t="inlineStr">
        <is>
          <t>name_year</t>
        </is>
      </c>
      <c r="AC1172" s="2" t="inlineStr"/>
      <c r="AD1172" s="2" t="inlineStr">
        <is>
          <t>New Woodlands Hotel v. Commissioner of Income Tax and Others (1991) was overruled by Commissioner of Income Tax, Hyderabad v. Chittor Electric Supply Corporation and another (1995).</t>
        </is>
      </c>
      <c r="AE1172" s="2" t="n"/>
      <c r="AF1172" s="11" t="inlineStr">
        <is>
          <t>created from list 1</t>
        </is>
      </c>
    </row>
    <row r="1173">
      <c r="A1173" s="11" t="inlineStr">
        <is>
          <t>L1-1172</t>
        </is>
      </c>
      <c r="B1173" s="11" t="inlineStr">
        <is>
          <t>List 1 (to ~2015)</t>
        </is>
      </c>
      <c r="C1173" s="11" t="inlineStr">
        <is>
          <t>list1</t>
        </is>
      </c>
      <c r="D1173" s="11" t="inlineStr">
        <is>
          <t>verified</t>
        </is>
      </c>
      <c r="E1173" s="11" t="inlineStr">
        <is>
          <t>overruled</t>
        </is>
      </c>
      <c r="F1173" s="2" t="inlineStr">
        <is>
          <t>P. v. KURIEN v. COMMISSIONER OF Income Tax, KERALA.</t>
        </is>
      </c>
      <c r="G1173" s="11" t="inlineStr"/>
      <c r="H1173" s="11" t="inlineStr">
        <is>
          <t>unknown</t>
        </is>
      </c>
      <c r="I1173" s="2" t="inlineStr">
        <is>
          <t>(1962) 46 ITR 288; (1962) 1 KLJ 830</t>
        </is>
      </c>
      <c r="J1173" s="11" t="n">
        <v>1962</v>
      </c>
      <c r="K1173" s="2" t="inlineStr">
        <is>
          <t>Dr. Shamlal Narula v. Commissioner of Income Tax, Punjab</t>
        </is>
      </c>
      <c r="L1173" s="11" t="inlineStr">
        <is>
          <t>Supreme Court</t>
        </is>
      </c>
      <c r="M1173" s="2" t="inlineStr">
        <is>
          <t>AIR 1964 SC 1878; (1964) 53 ITR 151; (1964) 66 PLR 1097; (1964) 7 SCR 668</t>
        </is>
      </c>
      <c r="N1173" s="11" t="n">
        <v>1964</v>
      </c>
      <c r="O1173" s="11" t="n"/>
      <c r="P1173" s="11" t="n"/>
      <c r="Q1173" s="11" t="n"/>
      <c r="R1173" s="2" t="n"/>
      <c r="S1173" s="2" t="n"/>
      <c r="T1173" s="11" t="inlineStr"/>
      <c r="U1173" s="11" t="inlineStr"/>
      <c r="V1173" s="11" t="inlineStr">
        <is>
          <t>outside_list</t>
        </is>
      </c>
      <c r="W1173" s="11" t="n"/>
      <c r="X1173" s="11" t="n"/>
      <c r="Y1173" s="11" t="n"/>
      <c r="Z1173" s="11" t="inlineStr">
        <is>
          <t>Mr. Advocate</t>
        </is>
      </c>
      <c r="AA1173" s="11" t="inlineStr">
        <is>
          <t>2026-10-07</t>
        </is>
      </c>
      <c r="AB1173" s="11" t="inlineStr">
        <is>
          <t>name_year</t>
        </is>
      </c>
      <c r="AC1173" s="2" t="inlineStr"/>
      <c r="AD1173" s="2" t="inlineStr">
        <is>
          <t>P. v. KURIEN v. COMMISSIONER OF Income Tax, KERALA. (1962) was overruled by Dr. Shamlal Narula v. Commissioner of Income Tax, Punjab (1964).</t>
        </is>
      </c>
      <c r="AE1173" s="2" t="n"/>
      <c r="AF1173" s="11" t="inlineStr">
        <is>
          <t>created from list 1</t>
        </is>
      </c>
    </row>
    <row r="1174">
      <c r="A1174" s="11" t="inlineStr">
        <is>
          <t>L1-1173</t>
        </is>
      </c>
      <c r="B1174" s="11" t="inlineStr">
        <is>
          <t>List 1 (to ~2015)</t>
        </is>
      </c>
      <c r="C1174" s="11" t="inlineStr">
        <is>
          <t>list1</t>
        </is>
      </c>
      <c r="D1174" s="11" t="inlineStr">
        <is>
          <t>verified</t>
        </is>
      </c>
      <c r="E1174" s="11" t="inlineStr">
        <is>
          <t>overruled</t>
        </is>
      </c>
      <c r="F1174" s="2" t="inlineStr">
        <is>
          <t>Tony Antony and v. Director General of Police (Crimes) and Others</t>
        </is>
      </c>
      <c r="G1174" s="11" t="inlineStr"/>
      <c r="H1174" s="11" t="inlineStr">
        <is>
          <t>unknown</t>
        </is>
      </c>
      <c r="I1174" s="2" t="inlineStr">
        <is>
          <t>(1998) CriLJ 321; (1998) 1 ILR (Ker) 770</t>
        </is>
      </c>
      <c r="J1174" s="11" t="n">
        <v>1998</v>
      </c>
      <c r="K1174" s="2" t="inlineStr">
        <is>
          <t>State of Kerala and Others v. O.C. Kuttan and Others</t>
        </is>
      </c>
      <c r="L1174" s="11" t="inlineStr">
        <is>
          <t>Supreme Court</t>
        </is>
      </c>
      <c r="M1174" s="2" t="inlineStr">
        <is>
          <t>AIR 1999 SC 1044; (1999) CriLJ 1623; (1999) 1 Crimes 104; (1999) 1 JT 486; (1999) 1 SCALE 505; (1999) 2 SCC 651; (1999) 1 SCR 696; (1999) AIRSCW 679; (1999) 2 Supreme 182</t>
        </is>
      </c>
      <c r="N1174" s="11" t="n">
        <v>1999</v>
      </c>
      <c r="O1174" s="11" t="n"/>
      <c r="P1174" s="11" t="n"/>
      <c r="Q1174" s="11" t="n"/>
      <c r="R1174" s="2" t="n"/>
      <c r="S1174" s="2" t="n"/>
      <c r="T1174" s="11" t="inlineStr"/>
      <c r="U1174" s="11" t="inlineStr"/>
      <c r="V1174" s="11" t="inlineStr">
        <is>
          <t>outside_list</t>
        </is>
      </c>
      <c r="W1174" s="11" t="n"/>
      <c r="X1174" s="11" t="n"/>
      <c r="Y1174" s="11" t="n"/>
      <c r="Z1174" s="11" t="inlineStr">
        <is>
          <t>Mr. Advocate</t>
        </is>
      </c>
      <c r="AA1174" s="11" t="inlineStr">
        <is>
          <t>2026-10-07</t>
        </is>
      </c>
      <c r="AB1174" s="11" t="inlineStr">
        <is>
          <t>name_year</t>
        </is>
      </c>
      <c r="AC1174" s="2" t="inlineStr"/>
      <c r="AD1174" s="2" t="inlineStr">
        <is>
          <t>Tony Antony and v. Director General of Police (Crimes) and Others (1998) was overruled by State of Kerala and Others v. O.C. Kuttan and Others (1999).</t>
        </is>
      </c>
      <c r="AE1174" s="2" t="n"/>
      <c r="AF1174" s="11" t="inlineStr">
        <is>
          <t>created from list 1</t>
        </is>
      </c>
    </row>
    <row r="1175">
      <c r="A1175" s="11" t="inlineStr">
        <is>
          <t>L1-1174</t>
        </is>
      </c>
      <c r="B1175" s="11" t="inlineStr">
        <is>
          <t>List 1 (to ~2015)</t>
        </is>
      </c>
      <c r="C1175" s="11" t="inlineStr">
        <is>
          <t>list1</t>
        </is>
      </c>
      <c r="D1175" s="11" t="inlineStr">
        <is>
          <t>verified</t>
        </is>
      </c>
      <c r="E1175" s="11" t="inlineStr">
        <is>
          <t>reversed_on_appeal</t>
        </is>
      </c>
      <c r="F1175" s="2" t="inlineStr">
        <is>
          <t>Nadia District Primary School Council and Others v. Sristidhar Biswas and Others</t>
        </is>
      </c>
      <c r="G1175" s="11" t="inlineStr"/>
      <c r="H1175" s="11" t="inlineStr">
        <is>
          <t>unknown</t>
        </is>
      </c>
      <c r="I1175" s="2" t="inlineStr">
        <is>
          <t>(2005) 1 CALLT 402</t>
        </is>
      </c>
      <c r="J1175" s="11" t="n">
        <v>2005</v>
      </c>
      <c r="K1175" s="2" t="inlineStr">
        <is>
          <t>Nadia Distt. Primary School Council and Another v. Sristidhar Biswas and Others</t>
        </is>
      </c>
      <c r="L1175" s="11" t="inlineStr">
        <is>
          <t>Supreme Court</t>
        </is>
      </c>
      <c r="M1175" s="2" t="inlineStr">
        <is>
          <t>AIR 2007 SC 2640; (2007) 6 JT 188; (2007) 6 SCALE 159; (2008) 2 SCC(L&amp;S) 946; (2007) 5 SCR 586; (2008) 1 SLJ 93; (2007) AIRSCW 6455; (2007) AIRSCW 4760; (2007) 3 Supreme 967</t>
        </is>
      </c>
      <c r="N1175" s="11" t="n">
        <v>2007</v>
      </c>
      <c r="O1175" s="11" t="n"/>
      <c r="P1175" s="11" t="n"/>
      <c r="Q1175" s="11" t="n"/>
      <c r="R1175" s="2" t="n"/>
      <c r="S1175" s="2" t="n"/>
      <c r="T1175" s="11" t="inlineStr">
        <is>
          <t>yes</t>
        </is>
      </c>
      <c r="U1175" s="11" t="inlineStr"/>
      <c r="V1175" s="11" t="inlineStr">
        <is>
          <t>outside_list</t>
        </is>
      </c>
      <c r="W1175" s="11" t="n"/>
      <c r="X1175" s="11" t="n"/>
      <c r="Y1175" s="11" t="n"/>
      <c r="Z1175" s="11" t="inlineStr">
        <is>
          <t>Mr. Advocate</t>
        </is>
      </c>
      <c r="AA1175" s="11" t="inlineStr">
        <is>
          <t>2026-10-07</t>
        </is>
      </c>
      <c r="AB1175" s="11" t="inlineStr">
        <is>
          <t>name_year</t>
        </is>
      </c>
      <c r="AC1175" s="2" t="inlineStr"/>
      <c r="AD1175" s="2" t="inlineStr">
        <is>
          <t>Nadia District Primary School Council and Others v. Sristidhar Biswas and Others (2005) was reversed on appeal by the Supreme Court in Nadia Distt. Primary School Council and Another v. Sristidhar Biswas and Others (2007).</t>
        </is>
      </c>
      <c r="AE1175" s="2" t="n"/>
      <c r="AF1175" s="11" t="inlineStr">
        <is>
          <t>created from list 1</t>
        </is>
      </c>
    </row>
    <row r="1176">
      <c r="A1176" s="11" t="inlineStr">
        <is>
          <t>L1-1175</t>
        </is>
      </c>
      <c r="B1176" s="11" t="inlineStr">
        <is>
          <t>List 1 (to ~2015)</t>
        </is>
      </c>
      <c r="C1176" s="11" t="inlineStr">
        <is>
          <t>list1</t>
        </is>
      </c>
      <c r="D1176" s="11" t="inlineStr">
        <is>
          <t>verified</t>
        </is>
      </c>
      <c r="E1176" s="11" t="inlineStr">
        <is>
          <t>overruled</t>
        </is>
      </c>
      <c r="F1176" s="2" t="inlineStr">
        <is>
          <t>Henry Gomez v. Govt. of Kerala and Others</t>
        </is>
      </c>
      <c r="G1176" s="11" t="inlineStr"/>
      <c r="H1176" s="11" t="inlineStr">
        <is>
          <t>unknown</t>
        </is>
      </c>
      <c r="I1176" s="2" t="inlineStr">
        <is>
          <t>(1993) 1 ILR (Ker) 808; (1994) 2 LLJ 615</t>
        </is>
      </c>
      <c r="J1176" s="11" t="n">
        <v>1993</v>
      </c>
      <c r="K1176" s="2" t="inlineStr">
        <is>
          <t>N. Ammad v. The Manager, Emjay High School and Others</t>
        </is>
      </c>
      <c r="L1176" s="11" t="inlineStr">
        <is>
          <t>Supreme Court</t>
        </is>
      </c>
      <c r="M1176" s="2" t="inlineStr">
        <is>
          <t>(1998) 7 AD 91; AIR 1999 SC 50; (1998) 6 JT 221; (1998) LabIC 3560; (1998) 5 SCALE 167; (1998) 6 SCC 674; (1998) 1 SCR 453 Supp; (1998) AIRSCW 3372; (1998) 7 Supreme 241</t>
        </is>
      </c>
      <c r="N1176" s="11" t="n">
        <v>1999</v>
      </c>
      <c r="O1176" s="11" t="n"/>
      <c r="P1176" s="11" t="n"/>
      <c r="Q1176" s="11" t="n"/>
      <c r="R1176" s="2" t="n"/>
      <c r="S1176" s="2" t="n"/>
      <c r="T1176" s="11" t="inlineStr"/>
      <c r="U1176" s="11" t="inlineStr"/>
      <c r="V1176" s="11" t="inlineStr">
        <is>
          <t>outside_list</t>
        </is>
      </c>
      <c r="W1176" s="11" t="n"/>
      <c r="X1176" s="11" t="n"/>
      <c r="Y1176" s="11" t="n"/>
      <c r="Z1176" s="11" t="inlineStr">
        <is>
          <t>Mr. Advocate</t>
        </is>
      </c>
      <c r="AA1176" s="11" t="inlineStr">
        <is>
          <t>2026-10-07</t>
        </is>
      </c>
      <c r="AB1176" s="11" t="inlineStr">
        <is>
          <t>name_year</t>
        </is>
      </c>
      <c r="AC1176" s="2" t="inlineStr"/>
      <c r="AD1176" s="2" t="inlineStr">
        <is>
          <t>Henry Gomez v. Govt. of Kerala and Others (1993) was overruled by N. Ammad v. The Manager, Emjay High School and Others (1999).</t>
        </is>
      </c>
      <c r="AE1176" s="2" t="n"/>
      <c r="AF1176" s="11" t="inlineStr">
        <is>
          <t>created from list 1</t>
        </is>
      </c>
    </row>
    <row r="1177">
      <c r="A1177" s="11" t="inlineStr">
        <is>
          <t>L1-1176</t>
        </is>
      </c>
      <c r="B1177" s="11" t="inlineStr">
        <is>
          <t>List 1 (to ~2015)</t>
        </is>
      </c>
      <c r="C1177" s="11" t="inlineStr">
        <is>
          <t>list1</t>
        </is>
      </c>
      <c r="D1177" s="11" t="inlineStr">
        <is>
          <t>verified</t>
        </is>
      </c>
      <c r="E1177" s="11" t="inlineStr">
        <is>
          <t>reversed_on_appeal</t>
        </is>
      </c>
      <c r="F1177" s="2" t="inlineStr">
        <is>
          <t>Thomas P. John and Others, etc. v. Cochin University of Science and Technology and Others</t>
        </is>
      </c>
      <c r="G1177" s="11" t="inlineStr"/>
      <c r="H1177" s="11" t="inlineStr">
        <is>
          <t>Kerala</t>
        </is>
      </c>
      <c r="I1177" s="2" t="inlineStr">
        <is>
          <t>AIR 2003 Ker 238; (2003) 3 ILR (Ker) 261</t>
        </is>
      </c>
      <c r="J1177" s="11" t="n">
        <v>2003</v>
      </c>
      <c r="K1177" s="2" t="inlineStr">
        <is>
          <t>Cochin University of Science and Technology and Another v. Thomas P. John and Others</t>
        </is>
      </c>
      <c r="L1177" s="11" t="inlineStr">
        <is>
          <t>Supreme Court</t>
        </is>
      </c>
      <c r="M1177" s="2" t="inlineStr">
        <is>
          <t>AIR 2008 SC 2931; (2008) 3 CLT 788; (2008) 7 JT 76; (2008) 9 SCALE 21; (2008) 8 SCC 82; (2008) AIRSCW 4919</t>
        </is>
      </c>
      <c r="N1177" s="11" t="n">
        <v>2008</v>
      </c>
      <c r="O1177" s="11" t="n"/>
      <c r="P1177" s="11" t="n"/>
      <c r="Q1177" s="11" t="n"/>
      <c r="R1177" s="2" t="n"/>
      <c r="S1177" s="2" t="n"/>
      <c r="T1177" s="11" t="inlineStr">
        <is>
          <t>yes</t>
        </is>
      </c>
      <c r="U1177" s="11" t="inlineStr"/>
      <c r="V1177" s="11" t="inlineStr">
        <is>
          <t>outside_list</t>
        </is>
      </c>
      <c r="W1177" s="11" t="n"/>
      <c r="X1177" s="11" t="n"/>
      <c r="Y1177" s="11" t="n"/>
      <c r="Z1177" s="11" t="inlineStr">
        <is>
          <t>Mr. Advocate</t>
        </is>
      </c>
      <c r="AA1177" s="11" t="inlineStr">
        <is>
          <t>2026-10-07</t>
        </is>
      </c>
      <c r="AB1177" s="11" t="inlineStr">
        <is>
          <t>name_year</t>
        </is>
      </c>
      <c r="AC1177" s="2" t="inlineStr"/>
      <c r="AD1177" s="2" t="inlineStr">
        <is>
          <t>Thomas P. John and Others, etc. v. Cochin University of Science and Technology and Others (2003) was reversed on appeal by the Supreme Court in Cochin University of Science and Technology and Another v. Thomas P. John and Others (2008).</t>
        </is>
      </c>
      <c r="AE1177" s="2" t="n"/>
      <c r="AF1177" s="11" t="inlineStr">
        <is>
          <t>created from list 1</t>
        </is>
      </c>
    </row>
    <row r="1178">
      <c r="A1178" s="11" t="inlineStr">
        <is>
          <t>L1-1177</t>
        </is>
      </c>
      <c r="B1178" s="11" t="inlineStr">
        <is>
          <t>List 1 (to ~2015)</t>
        </is>
      </c>
      <c r="C1178" s="11" t="inlineStr">
        <is>
          <t>list1</t>
        </is>
      </c>
      <c r="D1178" s="11" t="inlineStr">
        <is>
          <t>verified</t>
        </is>
      </c>
      <c r="E1178" s="11" t="inlineStr">
        <is>
          <t>reversed_on_appeal</t>
        </is>
      </c>
      <c r="F1178" s="2" t="inlineStr">
        <is>
          <t>Deputy Commissioner of Sales Tax (Law), Board of Revenue (Taxes) v. Carmel Book Stall</t>
        </is>
      </c>
      <c r="G1178" s="11" t="inlineStr"/>
      <c r="H1178" s="11" t="inlineStr">
        <is>
          <t>unknown</t>
        </is>
      </c>
      <c r="I1178" s="2" t="inlineStr">
        <is>
          <t>(1989) 74 STC 89</t>
        </is>
      </c>
      <c r="J1178" s="11" t="n">
        <v>1989</v>
      </c>
      <c r="K1178" s="2" t="inlineStr">
        <is>
          <t>Carmel Book Stall v. Dy. Commissioner of Sales Tax</t>
        </is>
      </c>
      <c r="L1178" s="11" t="inlineStr">
        <is>
          <t>Supreme Court</t>
        </is>
      </c>
      <c r="M1178" s="2" t="inlineStr">
        <is>
          <t>AIR 1995 SC 366; (1994) 5 JT 283; (1994) 3 SCALE 664; (1994) 3 SCC 241 Supp; (1994) 2 SCR 274 Supp; (1994) 95 STC 306</t>
        </is>
      </c>
      <c r="N1178" s="11" t="n">
        <v>1995</v>
      </c>
      <c r="O1178" s="11" t="n"/>
      <c r="P1178" s="11" t="n"/>
      <c r="Q1178" s="11" t="n"/>
      <c r="R1178" s="2" t="n"/>
      <c r="S1178" s="2" t="n"/>
      <c r="T1178" s="11" t="inlineStr">
        <is>
          <t>yes</t>
        </is>
      </c>
      <c r="U1178" s="11" t="inlineStr"/>
      <c r="V1178" s="11" t="inlineStr">
        <is>
          <t>outside_list</t>
        </is>
      </c>
      <c r="W1178" s="11" t="n"/>
      <c r="X1178" s="11" t="n"/>
      <c r="Y1178" s="11" t="n"/>
      <c r="Z1178" s="11" t="inlineStr">
        <is>
          <t>Mr. Advocate</t>
        </is>
      </c>
      <c r="AA1178" s="11" t="inlineStr">
        <is>
          <t>2026-10-07</t>
        </is>
      </c>
      <c r="AB1178" s="11" t="inlineStr">
        <is>
          <t>name_year</t>
        </is>
      </c>
      <c r="AC1178" s="2" t="inlineStr"/>
      <c r="AD1178" s="2" t="inlineStr">
        <is>
          <t>Deputy Commissioner of Sales Tax (Law), Board of Revenue (Taxes) v. Carmel Book Stall (1989) was reversed on appeal by the Supreme Court in Carmel Book Stall v. Dy. Commissioner of Sales Tax (1995).</t>
        </is>
      </c>
      <c r="AE1178" s="2" t="n"/>
      <c r="AF1178" s="11" t="inlineStr">
        <is>
          <t>created from list 1</t>
        </is>
      </c>
    </row>
    <row r="1179">
      <c r="A1179" s="11" t="inlineStr">
        <is>
          <t>L1-1178</t>
        </is>
      </c>
      <c r="B1179" s="11" t="inlineStr">
        <is>
          <t>List 1 (to ~2015)</t>
        </is>
      </c>
      <c r="C1179" s="11" t="inlineStr">
        <is>
          <t>list1</t>
        </is>
      </c>
      <c r="D1179" s="11" t="inlineStr">
        <is>
          <t>verified</t>
        </is>
      </c>
      <c r="E1179" s="11" t="inlineStr">
        <is>
          <t>reversed_on_appeal</t>
        </is>
      </c>
      <c r="F1179" s="2" t="inlineStr">
        <is>
          <t>Commissioner of Gift-tax v. Sree Narayana Chandrika Trust</t>
        </is>
      </c>
      <c r="G1179" s="11" t="inlineStr"/>
      <c r="H1179" s="11" t="inlineStr">
        <is>
          <t>unknown</t>
        </is>
      </c>
      <c r="I1179" s="2" t="inlineStr">
        <is>
          <t>(2001) 248 ITR 275</t>
        </is>
      </c>
      <c r="J1179" s="11" t="n">
        <v>2001</v>
      </c>
      <c r="K1179" s="2" t="inlineStr">
        <is>
          <t>Sree Narayana Chandrika Trust v. Commissioner of Gift Tax, Kerala</t>
        </is>
      </c>
      <c r="L1179" s="11" t="inlineStr">
        <is>
          <t>Supreme Court</t>
        </is>
      </c>
      <c r="M1179" s="2" t="inlineStr">
        <is>
          <t>(2003) 181 CTR 395; (2003) 261 ITR 279; (2003) 4 SCALE 333; (2003) 11 SCC 350; (2003) 3 SCR 958</t>
        </is>
      </c>
      <c r="N1179" s="11" t="n">
        <v>2003</v>
      </c>
      <c r="O1179" s="11" t="n"/>
      <c r="P1179" s="11" t="n"/>
      <c r="Q1179" s="11" t="n"/>
      <c r="R1179" s="2" t="n"/>
      <c r="S1179" s="2" t="n"/>
      <c r="T1179" s="11" t="inlineStr">
        <is>
          <t>yes</t>
        </is>
      </c>
      <c r="U1179" s="11" t="inlineStr"/>
      <c r="V1179" s="11" t="inlineStr">
        <is>
          <t>outside_list</t>
        </is>
      </c>
      <c r="W1179" s="11" t="n"/>
      <c r="X1179" s="11" t="n"/>
      <c r="Y1179" s="11" t="n"/>
      <c r="Z1179" s="11" t="inlineStr">
        <is>
          <t>Mr. Advocate</t>
        </is>
      </c>
      <c r="AA1179" s="11" t="inlineStr">
        <is>
          <t>2026-10-07</t>
        </is>
      </c>
      <c r="AB1179" s="11" t="inlineStr">
        <is>
          <t>name_year</t>
        </is>
      </c>
      <c r="AC1179" s="2" t="inlineStr"/>
      <c r="AD1179" s="2" t="inlineStr">
        <is>
          <t>Commissioner of Gift-tax v. Sree Narayana Chandrika Trust (2001) was reversed on appeal by the Supreme Court in Sree Narayana Chandrika Trust v. Commissioner of Gift Tax, Kerala (2003).</t>
        </is>
      </c>
      <c r="AE1179" s="2" t="n"/>
      <c r="AF1179" s="11" t="inlineStr">
        <is>
          <t>created from list 1</t>
        </is>
      </c>
    </row>
    <row r="1180">
      <c r="A1180" s="11" t="inlineStr">
        <is>
          <t>L1-1179</t>
        </is>
      </c>
      <c r="B1180" s="11" t="inlineStr">
        <is>
          <t>List 1 (to ~2015)</t>
        </is>
      </c>
      <c r="C1180" s="11" t="inlineStr">
        <is>
          <t>list1</t>
        </is>
      </c>
      <c r="D1180" s="11" t="inlineStr">
        <is>
          <t>verified</t>
        </is>
      </c>
      <c r="E1180" s="11" t="inlineStr">
        <is>
          <t>reversed_on_appeal</t>
        </is>
      </c>
      <c r="F1180" s="2" t="inlineStr">
        <is>
          <t>Commissioner of Income Tax v. Malayala Manorama Co. Ltd.</t>
        </is>
      </c>
      <c r="G1180" s="11" t="inlineStr"/>
      <c r="H1180" s="11" t="inlineStr">
        <is>
          <t>unknown</t>
        </is>
      </c>
      <c r="I1180" s="2" t="inlineStr">
        <is>
          <t>(2002) 172 CTR 600; (2002) 253 ITR 378</t>
        </is>
      </c>
      <c r="J1180" s="11" t="n">
        <v>2002</v>
      </c>
      <c r="K1180" s="2" t="inlineStr">
        <is>
          <t>Malayala Manorama Co. Ltd. v. Commissioner of Income Tax, Trivandrum</t>
        </is>
      </c>
      <c r="L1180" s="11" t="inlineStr">
        <is>
          <t>unknown</t>
        </is>
      </c>
      <c r="M1180" s="2" t="inlineStr">
        <is>
          <t>(2008) 216 CTR 102; (2008) 300 ITR 251; (2008) 5 JT 529; (2008) 6 SCALE 659; (2008) 12 SCC 612; (2008) 169 TAXMAN 471; (2008) AIRSCW 3407</t>
        </is>
      </c>
      <c r="N1180" s="11" t="n">
        <v>2008</v>
      </c>
      <c r="O1180" s="11" t="n"/>
      <c r="P1180" s="11" t="n"/>
      <c r="Q1180" s="11" t="n"/>
      <c r="R1180" s="2" t="n"/>
      <c r="S1180" s="2" t="n"/>
      <c r="T1180" s="11" t="inlineStr">
        <is>
          <t>yes</t>
        </is>
      </c>
      <c r="U1180" s="11" t="inlineStr"/>
      <c r="V1180" s="11" t="inlineStr">
        <is>
          <t>outside_list</t>
        </is>
      </c>
      <c r="W1180" s="11" t="n"/>
      <c r="X1180" s="11" t="n"/>
      <c r="Y1180" s="11" t="n"/>
      <c r="Z1180" s="11" t="inlineStr">
        <is>
          <t>Mr. Advocate</t>
        </is>
      </c>
      <c r="AA1180" s="11" t="inlineStr">
        <is>
          <t>2026-10-07</t>
        </is>
      </c>
      <c r="AB1180" s="11" t="inlineStr">
        <is>
          <t>name_year</t>
        </is>
      </c>
      <c r="AC1180" s="2" t="inlineStr"/>
      <c r="AD1180" s="2" t="inlineStr">
        <is>
          <t>Commissioner of Income Tax v. Malayala Manorama Co. Ltd. (2002) was reversed on appeal by the Supreme Court in Malayala Manorama Co. Ltd. v. Commissioner of Income Tax, Trivandrum (2008).</t>
        </is>
      </c>
      <c r="AE1180" s="2" t="n"/>
      <c r="AF1180" s="11" t="inlineStr">
        <is>
          <t>created from list 1</t>
        </is>
      </c>
    </row>
    <row r="1181">
      <c r="A1181" s="11" t="inlineStr">
        <is>
          <t>L1-1180</t>
        </is>
      </c>
      <c r="B1181" s="11" t="inlineStr">
        <is>
          <t>List 1 (to ~2015)</t>
        </is>
      </c>
      <c r="C1181" s="11" t="inlineStr">
        <is>
          <t>list1</t>
        </is>
      </c>
      <c r="D1181" s="11" t="inlineStr">
        <is>
          <t>verified</t>
        </is>
      </c>
      <c r="E1181" s="11" t="inlineStr">
        <is>
          <t>reversed_on_appeal</t>
        </is>
      </c>
      <c r="F1181" s="2" t="inlineStr">
        <is>
          <t>Commissioner of Income Tax v. Kerala Road Lines</t>
        </is>
      </c>
      <c r="G1181" s="11" t="inlineStr"/>
      <c r="H1181" s="11" t="inlineStr">
        <is>
          <t>unknown</t>
        </is>
      </c>
      <c r="I1181" s="2" t="inlineStr">
        <is>
          <t>(2002) 256 ITR 261</t>
        </is>
      </c>
      <c r="J1181" s="11" t="n">
        <v>2002</v>
      </c>
      <c r="K1181" s="2" t="inlineStr">
        <is>
          <t>Kerala Road Lines v. Commissioner of Income Tax, Cochin</t>
        </is>
      </c>
      <c r="L1181" s="11" t="inlineStr">
        <is>
          <t>unknown</t>
        </is>
      </c>
      <c r="M1181" s="2" t="inlineStr">
        <is>
          <t>(2008) 215 CTR 401; (2008) 299 ITR 343; (2008) 3 JT 635; (2008) 3 SCALE 620; (2008) 11 SCC 570; (2008) 168 TAXMAN 308; (2009) AIRSCW 659; (2009) AIRSCW 263</t>
        </is>
      </c>
      <c r="N1181" s="11" t="n">
        <v>2008</v>
      </c>
      <c r="O1181" s="11" t="n"/>
      <c r="P1181" s="11" t="n"/>
      <c r="Q1181" s="11" t="n"/>
      <c r="R1181" s="2" t="n"/>
      <c r="S1181" s="2" t="n"/>
      <c r="T1181" s="11" t="inlineStr">
        <is>
          <t>yes</t>
        </is>
      </c>
      <c r="U1181" s="11" t="inlineStr"/>
      <c r="V1181" s="11" t="inlineStr">
        <is>
          <t>outside_list</t>
        </is>
      </c>
      <c r="W1181" s="11" t="n"/>
      <c r="X1181" s="11" t="n"/>
      <c r="Y1181" s="11" t="n"/>
      <c r="Z1181" s="11" t="inlineStr">
        <is>
          <t>Mr. Advocate</t>
        </is>
      </c>
      <c r="AA1181" s="11" t="inlineStr">
        <is>
          <t>2026-10-07</t>
        </is>
      </c>
      <c r="AB1181" s="11" t="inlineStr">
        <is>
          <t>name_year</t>
        </is>
      </c>
      <c r="AC1181" s="2" t="inlineStr"/>
      <c r="AD1181" s="2" t="inlineStr">
        <is>
          <t>Commissioner of Income Tax v. Kerala Road Lines (2002) was reversed on appeal by the Supreme Court in Kerala Road Lines v. Commissioner of Income Tax, Cochin (2008).</t>
        </is>
      </c>
      <c r="AE1181" s="2" t="n"/>
      <c r="AF1181" s="11" t="inlineStr">
        <is>
          <t>created from list 1</t>
        </is>
      </c>
    </row>
    <row r="1182">
      <c r="A1182" s="11" t="inlineStr">
        <is>
          <t>L1-1181</t>
        </is>
      </c>
      <c r="B1182" s="11" t="inlineStr">
        <is>
          <t>List 1 (to ~2015)</t>
        </is>
      </c>
      <c r="C1182" s="11" t="inlineStr">
        <is>
          <t>list1</t>
        </is>
      </c>
      <c r="D1182" s="11" t="inlineStr">
        <is>
          <t>verified</t>
        </is>
      </c>
      <c r="E1182" s="11" t="inlineStr">
        <is>
          <t>overruled</t>
        </is>
      </c>
      <c r="F1182" s="2" t="inlineStr">
        <is>
          <t>Chairman, Ad Hoc Committee, Calcutta District Primary School Council v. Alpana Devi and Others</t>
        </is>
      </c>
      <c r="G1182" s="11" t="inlineStr"/>
      <c r="H1182" s="11" t="inlineStr">
        <is>
          <t>unknown</t>
        </is>
      </c>
      <c r="I1182" s="2" t="inlineStr">
        <is>
          <t>(2004) 4 CHN 455; (2004) 102 FLR 767</t>
        </is>
      </c>
      <c r="J1182" s="11" t="n">
        <v>2004</v>
      </c>
      <c r="K1182" s="2" t="inlineStr">
        <is>
          <t>State of West Bengal and Another v. Alpana Roy and Others</t>
        </is>
      </c>
      <c r="L1182" s="11" t="inlineStr">
        <is>
          <t>Supreme Court</t>
        </is>
      </c>
      <c r="M1182" s="2" t="inlineStr">
        <is>
          <t>AIR 2005 SC 3657; (2005) 107 FLR 556; (2005) 8 SCC 296; (2005) SCC(L&amp;S) 1115; (2005) 1 SCR 482 Supp; (2006) 1 SLJ 147; (2005) AIRSCW 4920; (2005) 6 Supreme 485</t>
        </is>
      </c>
      <c r="N1182" s="11" t="n">
        <v>2005</v>
      </c>
      <c r="O1182" s="11" t="n"/>
      <c r="P1182" s="11" t="n"/>
      <c r="Q1182" s="11" t="n"/>
      <c r="R1182" s="2" t="n"/>
      <c r="S1182" s="2" t="n"/>
      <c r="T1182" s="11" t="inlineStr"/>
      <c r="U1182" s="11" t="inlineStr"/>
      <c r="V1182" s="11" t="inlineStr">
        <is>
          <t>outside_list</t>
        </is>
      </c>
      <c r="W1182" s="11" t="n"/>
      <c r="X1182" s="11" t="n"/>
      <c r="Y1182" s="11" t="n"/>
      <c r="Z1182" s="11" t="inlineStr">
        <is>
          <t>Mr. Advocate</t>
        </is>
      </c>
      <c r="AA1182" s="11" t="inlineStr">
        <is>
          <t>2026-10-07</t>
        </is>
      </c>
      <c r="AB1182" s="11" t="inlineStr">
        <is>
          <t>name_year</t>
        </is>
      </c>
      <c r="AC1182" s="2" t="inlineStr"/>
      <c r="AD1182" s="2" t="inlineStr">
        <is>
          <t>Chairman, Ad Hoc Committee, Calcutta District Primary School Council v. Alpana Devi and Others (2004) was overruled by State of West Bengal and Another v. Alpana Roy and Others (2005).</t>
        </is>
      </c>
      <c r="AE1182" s="2" t="n"/>
      <c r="AF1182" s="11" t="inlineStr">
        <is>
          <t>created from list 1</t>
        </is>
      </c>
    </row>
    <row r="1183">
      <c r="A1183" s="11" t="inlineStr">
        <is>
          <t>L1-1182</t>
        </is>
      </c>
      <c r="B1183" s="11" t="inlineStr">
        <is>
          <t>List 1 (to ~2015)</t>
        </is>
      </c>
      <c r="C1183" s="11" t="inlineStr">
        <is>
          <t>list1</t>
        </is>
      </c>
      <c r="D1183" s="11" t="inlineStr">
        <is>
          <t>verified</t>
        </is>
      </c>
      <c r="E1183" s="11" t="inlineStr">
        <is>
          <t>overruled</t>
        </is>
      </c>
      <c r="F1183" s="2" t="inlineStr">
        <is>
          <t>Govindankutty Menon v. Shaji</t>
        </is>
      </c>
      <c r="G1183" s="11" t="inlineStr"/>
      <c r="H1183" s="11" t="inlineStr">
        <is>
          <t>Kerala</t>
        </is>
      </c>
      <c r="I1183" s="2" t="inlineStr">
        <is>
          <t>AIR 2010 Ker 97; (2010) 2 BC 310; (2010) 4 Crimes 467; (2010) 1 KLT 43</t>
        </is>
      </c>
      <c r="J1183" s="11" t="n">
        <v>2010</v>
      </c>
      <c r="K1183" s="2" t="inlineStr">
        <is>
          <t>K.N. Govindan Kutty Menon v. C.D. Shaji</t>
        </is>
      </c>
      <c r="L1183" s="11" t="inlineStr">
        <is>
          <t>Supreme Court</t>
        </is>
      </c>
      <c r="M1183" s="2" t="inlineStr">
        <is>
          <t>AIR 2012 SC 719; (2012) 114 CLT 45; (2012) 1 CTC 96; (2012) 1 JCC 36; (2012) 1 RCR(Criminal) 102; (2011) 13 SCALE 232; (2012) 2 SCC 51; (2011) 6 UJ 4052; (2012) AIRSCW 465; (2011) 8 Supreme 292</t>
        </is>
      </c>
      <c r="N1183" s="11" t="n">
        <v>2012</v>
      </c>
      <c r="O1183" s="11" t="n"/>
      <c r="P1183" s="11" t="n"/>
      <c r="Q1183" s="11" t="n"/>
      <c r="R1183" s="2" t="n"/>
      <c r="S1183" s="2" t="n"/>
      <c r="T1183" s="11" t="inlineStr"/>
      <c r="U1183" s="11" t="inlineStr"/>
      <c r="V1183" s="11" t="inlineStr">
        <is>
          <t>outside_list</t>
        </is>
      </c>
      <c r="W1183" s="11" t="n"/>
      <c r="X1183" s="11" t="n"/>
      <c r="Y1183" s="11" t="n"/>
      <c r="Z1183" s="11" t="inlineStr">
        <is>
          <t>Mr. Advocate</t>
        </is>
      </c>
      <c r="AA1183" s="11" t="inlineStr">
        <is>
          <t>2026-10-07</t>
        </is>
      </c>
      <c r="AB1183" s="11" t="inlineStr">
        <is>
          <t>name_year</t>
        </is>
      </c>
      <c r="AC1183" s="2" t="inlineStr"/>
      <c r="AD1183" s="2" t="inlineStr">
        <is>
          <t>Govindankutty Menon v. Shaji (2010) was overruled by K.N. Govindan Kutty Menon v. C.D. Shaji (2012).</t>
        </is>
      </c>
      <c r="AE1183" s="2" t="n"/>
      <c r="AF1183" s="11" t="inlineStr">
        <is>
          <t>created from list 1</t>
        </is>
      </c>
    </row>
    <row r="1184">
      <c r="A1184" s="11" t="inlineStr">
        <is>
          <t>L1-1183</t>
        </is>
      </c>
      <c r="B1184" s="11" t="inlineStr">
        <is>
          <t>List 1 (to ~2015)</t>
        </is>
      </c>
      <c r="C1184" s="11" t="inlineStr">
        <is>
          <t>list1</t>
        </is>
      </c>
      <c r="D1184" s="11" t="inlineStr">
        <is>
          <t>verified</t>
        </is>
      </c>
      <c r="E1184" s="11" t="inlineStr">
        <is>
          <t>overruled</t>
        </is>
      </c>
      <c r="F1184" s="2" t="inlineStr">
        <is>
          <t>S.B. Trading Co., Ltd., v. Olympia Trading Corpn. Ltd. and Another</t>
        </is>
      </c>
      <c r="G1184" s="11" t="inlineStr"/>
      <c r="H1184" s="11" t="inlineStr">
        <is>
          <t>Calcutta</t>
        </is>
      </c>
      <c r="I1184" s="2" t="inlineStr">
        <is>
          <t>AIR 1952 Cal 685</t>
        </is>
      </c>
      <c r="J1184" s="11" t="n">
        <v>1952</v>
      </c>
      <c r="K1184" s="2" t="inlineStr">
        <is>
          <t>Modula India v. Kamakshya Singh Deo</t>
        </is>
      </c>
      <c r="L1184" s="11" t="inlineStr">
        <is>
          <t>Supreme Court</t>
        </is>
      </c>
      <c r="M1184" s="2" t="inlineStr">
        <is>
          <t>AIR 1989 SC 162; (1988) 4 JT 214; (1988) 2 SCALE 1163; (1988) 4 SCC 619; (1988) 3 SCR 333 Supp</t>
        </is>
      </c>
      <c r="N1184" s="11" t="n">
        <v>1989</v>
      </c>
      <c r="O1184" s="11" t="n"/>
      <c r="P1184" s="11" t="n"/>
      <c r="Q1184" s="11" t="n"/>
      <c r="R1184" s="2" t="n"/>
      <c r="S1184" s="2" t="n"/>
      <c r="T1184" s="11" t="inlineStr"/>
      <c r="U1184" s="11" t="inlineStr"/>
      <c r="V1184" s="11" t="inlineStr">
        <is>
          <t>outside_list</t>
        </is>
      </c>
      <c r="W1184" s="11" t="n"/>
      <c r="X1184" s="11" t="n"/>
      <c r="Y1184" s="11" t="n"/>
      <c r="Z1184" s="11" t="inlineStr">
        <is>
          <t>Mr. Advocate</t>
        </is>
      </c>
      <c r="AA1184" s="11" t="inlineStr">
        <is>
          <t>2026-10-07</t>
        </is>
      </c>
      <c r="AB1184" s="11" t="inlineStr">
        <is>
          <t>name_year</t>
        </is>
      </c>
      <c r="AC1184" s="2" t="inlineStr"/>
      <c r="AD1184" s="2" t="inlineStr">
        <is>
          <t>S.B. Trading Co., Ltd., v. Olympia Trading Corpn. Ltd. and Another (1952) was overruled by Modula India v. Kamakshya Singh Deo (1989).</t>
        </is>
      </c>
      <c r="AE1184" s="2" t="n"/>
      <c r="AF1184" s="11" t="inlineStr">
        <is>
          <t>created from list 1</t>
        </is>
      </c>
    </row>
    <row r="1185">
      <c r="A1185" s="11" t="inlineStr">
        <is>
          <t>L1-1184</t>
        </is>
      </c>
      <c r="B1185" s="11" t="inlineStr">
        <is>
          <t>List 1 (to ~2015)</t>
        </is>
      </c>
      <c r="C1185" s="11" t="inlineStr">
        <is>
          <t>list1</t>
        </is>
      </c>
      <c r="D1185" s="11" t="inlineStr">
        <is>
          <t>verified</t>
        </is>
      </c>
      <c r="E1185" s="11" t="inlineStr">
        <is>
          <t>overruled</t>
        </is>
      </c>
      <c r="F1185" s="2" t="inlineStr">
        <is>
          <t>Lala Baijnath Prosad and Others v. Nursingdas Guzrati</t>
        </is>
      </c>
      <c r="G1185" s="11" t="inlineStr"/>
      <c r="H1185" s="11" t="inlineStr">
        <is>
          <t>Calcutta</t>
        </is>
      </c>
      <c r="I1185" s="2" t="inlineStr">
        <is>
          <t>AIR 1958 Cal 1; (1957) 1 CALLT 138; 61 CWN 494; (1958) 2 ILR (Cal) 129</t>
        </is>
      </c>
      <c r="J1185" s="11" t="n">
        <v>1958</v>
      </c>
      <c r="K1185" s="2" t="inlineStr">
        <is>
          <t>Anandilal and Another v. Ram Narain and Others</t>
        </is>
      </c>
      <c r="L1185" s="11" t="inlineStr">
        <is>
          <t>Supreme Court</t>
        </is>
      </c>
      <c r="M1185" s="2" t="inlineStr">
        <is>
          <t>AIR 1984 SC 1383; (1984) 1 SCALE 943; (1984) 3 SCC 561; (1984) 3 SCR 806; (1984) 16 UJ 784</t>
        </is>
      </c>
      <c r="N1185" s="11" t="n">
        <v>1984</v>
      </c>
      <c r="O1185" s="11" t="n"/>
      <c r="P1185" s="11" t="n"/>
      <c r="Q1185" s="11" t="n"/>
      <c r="R1185" s="2" t="n"/>
      <c r="S1185" s="2" t="n"/>
      <c r="T1185" s="11" t="inlineStr"/>
      <c r="U1185" s="11" t="inlineStr"/>
      <c r="V1185" s="11" t="inlineStr">
        <is>
          <t>outside_list</t>
        </is>
      </c>
      <c r="W1185" s="11" t="n"/>
      <c r="X1185" s="11" t="n"/>
      <c r="Y1185" s="11" t="n"/>
      <c r="Z1185" s="11" t="inlineStr">
        <is>
          <t>Mr. Advocate</t>
        </is>
      </c>
      <c r="AA1185" s="11" t="inlineStr">
        <is>
          <t>2026-10-07</t>
        </is>
      </c>
      <c r="AB1185" s="11" t="inlineStr">
        <is>
          <t>name_year</t>
        </is>
      </c>
      <c r="AC1185" s="2" t="inlineStr"/>
      <c r="AD1185" s="2" t="inlineStr">
        <is>
          <t>Lala Baijnath Prosad and Others v. Nursingdas Guzrati (1958) was overruled by Anandilal and Another v. Ram Narain and Others (1984).</t>
        </is>
      </c>
      <c r="AE1185" s="2" t="n"/>
      <c r="AF1185" s="11" t="inlineStr">
        <is>
          <t>created from list 1</t>
        </is>
      </c>
    </row>
    <row r="1186">
      <c r="A1186" s="11" t="inlineStr">
        <is>
          <t>L1-1185</t>
        </is>
      </c>
      <c r="B1186" s="11" t="inlineStr">
        <is>
          <t>List 1 (to ~2015)</t>
        </is>
      </c>
      <c r="C1186" s="11" t="inlineStr">
        <is>
          <t>list1</t>
        </is>
      </c>
      <c r="D1186" s="11" t="inlineStr">
        <is>
          <t>verified</t>
        </is>
      </c>
      <c r="E1186" s="11" t="inlineStr">
        <is>
          <t>overruled</t>
        </is>
      </c>
      <c r="F1186" s="2" t="inlineStr">
        <is>
          <t>Bholanath Karmakar and Others v. Madanmohan Karmakar and Others</t>
        </is>
      </c>
      <c r="G1186" s="11" t="inlineStr"/>
      <c r="H1186" s="11" t="inlineStr">
        <is>
          <t>Calcutta</t>
        </is>
      </c>
      <c r="I1186" s="2" t="inlineStr">
        <is>
          <t>AIR 1988 Cal 1; (1988) 1 CALLT 1; 92 CWN 428</t>
        </is>
      </c>
      <c r="J1186" s="11" t="n">
        <v>1988</v>
      </c>
      <c r="K1186" s="2" t="inlineStr">
        <is>
          <t>Hameed Joharan (d) and Others v. Abdul Salam (d) by L.rs. and Others</t>
        </is>
      </c>
      <c r="L1186" s="11" t="inlineStr">
        <is>
          <t>Supreme Court</t>
        </is>
      </c>
      <c r="M1186" s="2" t="inlineStr">
        <is>
          <t>AIR 2001 SC 3404; (2001) 6 JT 311; (2001) 5 SCALE 163; (2001) 7 SCC 573; (2001) 2 UJ 1430; (2001) AIRSCW 3261; (2001) 6 Supreme 55</t>
        </is>
      </c>
      <c r="N1186" s="11" t="n">
        <v>2001</v>
      </c>
      <c r="O1186" s="11" t="n"/>
      <c r="P1186" s="11" t="n"/>
      <c r="Q1186" s="11" t="n"/>
      <c r="R1186" s="2" t="n"/>
      <c r="S1186" s="2" t="n"/>
      <c r="T1186" s="11" t="inlineStr"/>
      <c r="U1186" s="11" t="inlineStr"/>
      <c r="V1186" s="11" t="inlineStr">
        <is>
          <t>outside_list</t>
        </is>
      </c>
      <c r="W1186" s="11" t="n"/>
      <c r="X1186" s="11" t="n"/>
      <c r="Y1186" s="11" t="n"/>
      <c r="Z1186" s="11" t="inlineStr">
        <is>
          <t>Mr. Advocate</t>
        </is>
      </c>
      <c r="AA1186" s="11" t="inlineStr">
        <is>
          <t>2026-10-07</t>
        </is>
      </c>
      <c r="AB1186" s="11" t="inlineStr">
        <is>
          <t>name_year</t>
        </is>
      </c>
      <c r="AC1186" s="2" t="inlineStr"/>
      <c r="AD1186" s="2" t="inlineStr">
        <is>
          <t>Bholanath Karmakar and Others v. Madanmohan Karmakar and Others (1988) was overruled by Hameed Joharan (d) and Others v. Abdul Salam (d) by L.rs. and Others (2001).</t>
        </is>
      </c>
      <c r="AE1186" s="2" t="n"/>
      <c r="AF1186" s="11" t="inlineStr">
        <is>
          <t>created from list 1</t>
        </is>
      </c>
    </row>
    <row r="1187">
      <c r="A1187" s="11" t="inlineStr">
        <is>
          <t>L1-1186</t>
        </is>
      </c>
      <c r="B1187" s="11" t="inlineStr">
        <is>
          <t>List 1 (to ~2015)</t>
        </is>
      </c>
      <c r="C1187" s="11" t="inlineStr">
        <is>
          <t>list1</t>
        </is>
      </c>
      <c r="D1187" s="11" t="inlineStr">
        <is>
          <t>verified</t>
        </is>
      </c>
      <c r="E1187" s="11" t="inlineStr">
        <is>
          <t>reversed_on_appeal</t>
        </is>
      </c>
      <c r="F1187" s="2" t="inlineStr">
        <is>
          <t>Udasin Panchayati Bara Akhara Kankhal and Others v. Mahant Dooj Dass (deceased) and Others</t>
        </is>
      </c>
      <c r="G1187" s="11" t="inlineStr"/>
      <c r="H1187" s="11" t="inlineStr">
        <is>
          <t>unknown</t>
        </is>
      </c>
      <c r="I1187" s="2" t="inlineStr">
        <is>
          <t>(2006) 3 AWC 2358; (2006) 2 RD 872; (2006) 2 RD 548; (2006) 3 UC 1508; (2006) 1 UD 380</t>
        </is>
      </c>
      <c r="J1187" s="11" t="n">
        <v>2006</v>
      </c>
      <c r="K1187" s="2" t="inlineStr">
        <is>
          <t>Mahant Dooj Das (Dead) through LR. v. Udasin Panchayati Bara Akhara and Another</t>
        </is>
      </c>
      <c r="L1187" s="11" t="inlineStr">
        <is>
          <t>Supreme Court</t>
        </is>
      </c>
      <c r="M1187" s="2" t="inlineStr">
        <is>
          <t>(2008) 6 JT 267; (2008) 7 SCALE 286; (2008) 12 SCC 181</t>
        </is>
      </c>
      <c r="N1187" s="11" t="n">
        <v>2008</v>
      </c>
      <c r="O1187" s="11" t="n"/>
      <c r="P1187" s="11" t="n"/>
      <c r="Q1187" s="11" t="n"/>
      <c r="R1187" s="2" t="n"/>
      <c r="S1187" s="2" t="n"/>
      <c r="T1187" s="11" t="inlineStr">
        <is>
          <t>yes</t>
        </is>
      </c>
      <c r="U1187" s="11" t="inlineStr"/>
      <c r="V1187" s="11" t="inlineStr">
        <is>
          <t>outside_list</t>
        </is>
      </c>
      <c r="W1187" s="11" t="n"/>
      <c r="X1187" s="11" t="n"/>
      <c r="Y1187" s="11" t="n"/>
      <c r="Z1187" s="11" t="inlineStr">
        <is>
          <t>Mr. Advocate</t>
        </is>
      </c>
      <c r="AA1187" s="11" t="inlineStr">
        <is>
          <t>2026-10-07</t>
        </is>
      </c>
      <c r="AB1187" s="11" t="inlineStr">
        <is>
          <t>name_year</t>
        </is>
      </c>
      <c r="AC1187" s="2" t="inlineStr"/>
      <c r="AD1187" s="2" t="inlineStr">
        <is>
          <t>Udasin Panchayati Bara Akhara Kankhal and Others v. Mahant Dooj Dass (deceased) and Others (2006) was reversed on appeal by the Supreme Court in Mahant Dooj Das (Dead) through LR. v. Udasin Panchayati Bara Akhara and Another (2008).</t>
        </is>
      </c>
      <c r="AE1187" s="2" t="n"/>
      <c r="AF1187" s="11" t="inlineStr">
        <is>
          <t>created from list 1</t>
        </is>
      </c>
    </row>
    <row r="1188">
      <c r="A1188" s="11" t="inlineStr">
        <is>
          <t>L1-1187</t>
        </is>
      </c>
      <c r="B1188" s="11" t="inlineStr">
        <is>
          <t>List 1 (to ~2015)</t>
        </is>
      </c>
      <c r="C1188" s="11" t="inlineStr">
        <is>
          <t>list1</t>
        </is>
      </c>
      <c r="D1188" s="11" t="inlineStr">
        <is>
          <t>verified</t>
        </is>
      </c>
      <c r="E1188" s="11" t="inlineStr">
        <is>
          <t>reversed_on_appeal</t>
        </is>
      </c>
      <c r="F1188" s="2" t="inlineStr">
        <is>
          <t>B. Vishwanath v. The State</t>
        </is>
      </c>
      <c r="G1188" s="11" t="inlineStr"/>
      <c r="H1188" s="11" t="inlineStr">
        <is>
          <t>unknown</t>
        </is>
      </c>
      <c r="I1188" s="2" t="inlineStr">
        <is>
          <t>(2007) CriLJ 1994; (2007) 3 KCCR 165 SN</t>
        </is>
      </c>
      <c r="J1188" s="11" t="n">
        <v>2007</v>
      </c>
      <c r="K1188" s="2" t="inlineStr">
        <is>
          <t>B. Vishwanath v. State of Karnataka</t>
        </is>
      </c>
      <c r="L1188" s="11" t="inlineStr">
        <is>
          <t>Supreme Court</t>
        </is>
      </c>
      <c r="M1188" s="2" t="inlineStr">
        <is>
          <t>(2008) CriLJ 1947; (2008) 2 JT 305; (2008) 2 SCALE 353; (2008) 11 SCC 168</t>
        </is>
      </c>
      <c r="N1188" s="11" t="n">
        <v>2008</v>
      </c>
      <c r="O1188" s="11" t="n"/>
      <c r="P1188" s="11" t="n"/>
      <c r="Q1188" s="11" t="n"/>
      <c r="R1188" s="2" t="n"/>
      <c r="S1188" s="2" t="n"/>
      <c r="T1188" s="11" t="inlineStr">
        <is>
          <t>yes</t>
        </is>
      </c>
      <c r="U1188" s="11" t="inlineStr"/>
      <c r="V1188" s="11" t="inlineStr">
        <is>
          <t>outside_list</t>
        </is>
      </c>
      <c r="W1188" s="11" t="n"/>
      <c r="X1188" s="11" t="n"/>
      <c r="Y1188" s="11" t="n"/>
      <c r="Z1188" s="11" t="inlineStr">
        <is>
          <t>Mr. Advocate</t>
        </is>
      </c>
      <c r="AA1188" s="11" t="inlineStr">
        <is>
          <t>2026-10-07</t>
        </is>
      </c>
      <c r="AB1188" s="11" t="inlineStr">
        <is>
          <t>name_year</t>
        </is>
      </c>
      <c r="AC1188" s="2" t="inlineStr"/>
      <c r="AD1188" s="2" t="inlineStr">
        <is>
          <t>B. Vishwanath v. The State (2007) was reversed on appeal by the Supreme Court in B. Vishwanath v. State of Karnataka (2008).</t>
        </is>
      </c>
      <c r="AE1188" s="2" t="n"/>
      <c r="AF1188" s="11" t="inlineStr">
        <is>
          <t>created from list 1</t>
        </is>
      </c>
    </row>
    <row r="1189">
      <c r="A1189" s="11" t="inlineStr">
        <is>
          <t>L1-1188</t>
        </is>
      </c>
      <c r="B1189" s="11" t="inlineStr">
        <is>
          <t>List 1 (to ~2015)</t>
        </is>
      </c>
      <c r="C1189" s="11" t="inlineStr">
        <is>
          <t>list1</t>
        </is>
      </c>
      <c r="D1189" s="11" t="inlineStr">
        <is>
          <t>verified</t>
        </is>
      </c>
      <c r="E1189" s="11" t="inlineStr">
        <is>
          <t>reversed_on_appeal</t>
        </is>
      </c>
      <c r="F1189" s="2" t="inlineStr">
        <is>
          <t>Executive Engineer and Others v. Bharath Engineering Service Technocrats and Company</t>
        </is>
      </c>
      <c r="G1189" s="11" t="inlineStr"/>
      <c r="H1189" s="11" t="inlineStr">
        <is>
          <t>unknown</t>
        </is>
      </c>
      <c r="I1189" s="2" t="inlineStr">
        <is>
          <t>(2004) ILR (Kar) 1817; (2004) 3 KCCR 276 SN</t>
        </is>
      </c>
      <c r="J1189" s="11" t="n">
        <v>2004</v>
      </c>
      <c r="K1189" s="2" t="inlineStr">
        <is>
          <t>Bharat Engineering Service Technocrats and Co. v. Executive Engineer and Others</t>
        </is>
      </c>
      <c r="L1189" s="11" t="inlineStr">
        <is>
          <t>Supreme Court</t>
        </is>
      </c>
      <c r="M1189" s="2" t="inlineStr">
        <is>
          <t>(2008) 2 ARBLR 202; (2008) 1 CLT 666; (2008) 3 JT 482; (2008) 3 SCALE 300; (2008) 3 SCC 302</t>
        </is>
      </c>
      <c r="N1189" s="11" t="n">
        <v>2008</v>
      </c>
      <c r="O1189" s="11" t="n"/>
      <c r="P1189" s="11" t="n"/>
      <c r="Q1189" s="11" t="n"/>
      <c r="R1189" s="2" t="n"/>
      <c r="S1189" s="2" t="n"/>
      <c r="T1189" s="11" t="inlineStr">
        <is>
          <t>yes</t>
        </is>
      </c>
      <c r="U1189" s="11" t="inlineStr"/>
      <c r="V1189" s="11" t="inlineStr">
        <is>
          <t>outside_list</t>
        </is>
      </c>
      <c r="W1189" s="11" t="n"/>
      <c r="X1189" s="11" t="n"/>
      <c r="Y1189" s="11" t="n"/>
      <c r="Z1189" s="11" t="inlineStr">
        <is>
          <t>Mr. Advocate</t>
        </is>
      </c>
      <c r="AA1189" s="11" t="inlineStr">
        <is>
          <t>2026-10-07</t>
        </is>
      </c>
      <c r="AB1189" s="11" t="inlineStr">
        <is>
          <t>name_year</t>
        </is>
      </c>
      <c r="AC1189" s="2" t="inlineStr"/>
      <c r="AD1189" s="2" t="inlineStr">
        <is>
          <t>Executive Engineer and Others v. Bharath Engineering Service Technocrats and Company (2004) was reversed on appeal by the Supreme Court in Bharat Engineering Service Technocrats and Co. v. Executive Engineer and Others (2008).</t>
        </is>
      </c>
      <c r="AE1189" s="2" t="n"/>
      <c r="AF1189" s="11" t="inlineStr">
        <is>
          <t>created from list 1</t>
        </is>
      </c>
    </row>
    <row r="1190">
      <c r="A1190" s="11" t="inlineStr">
        <is>
          <t>L1-1189</t>
        </is>
      </c>
      <c r="B1190" s="11" t="inlineStr">
        <is>
          <t>List 1 (to ~2015)</t>
        </is>
      </c>
      <c r="C1190" s="11" t="inlineStr">
        <is>
          <t>list1</t>
        </is>
      </c>
      <c r="D1190" s="11" t="inlineStr">
        <is>
          <t>verified</t>
        </is>
      </c>
      <c r="E1190" s="11" t="inlineStr">
        <is>
          <t>overruled</t>
        </is>
      </c>
      <c r="F1190" s="2" t="inlineStr">
        <is>
          <t>P.R. Basavappa and Sons v. Commissioner of Income Tax</t>
        </is>
      </c>
      <c r="G1190" s="11" t="inlineStr"/>
      <c r="H1190" s="11" t="inlineStr">
        <is>
          <t>unknown</t>
        </is>
      </c>
      <c r="I1190" s="2" t="inlineStr">
        <is>
          <t>(2000) 159 CTR 198; (2000) 243 ITR 776; (2000) 1 KCCR 11</t>
        </is>
      </c>
      <c r="J1190" s="11" t="n">
        <v>2000</v>
      </c>
      <c r="K1190" s="2" t="inlineStr">
        <is>
          <t>Virtual Soft Systems Ltd. v. Commissioner of Income Tax, Delhi- I</t>
        </is>
      </c>
      <c r="L1190" s="11" t="inlineStr">
        <is>
          <t>Supreme Court</t>
        </is>
      </c>
      <c r="M1190" s="2" t="inlineStr">
        <is>
          <t>(2007) 207 CTR 733; (2007) 289 ITR 83; (2007) 3 JT 125; (2007) 2 SCALE 612; (2007) 9 SCC 665; (2007) 3 SCR 289</t>
        </is>
      </c>
      <c r="N1190" s="11" t="n">
        <v>2007</v>
      </c>
      <c r="O1190" s="11" t="n"/>
      <c r="P1190" s="11" t="n"/>
      <c r="Q1190" s="11" t="n"/>
      <c r="R1190" s="2" t="n"/>
      <c r="S1190" s="2" t="n"/>
      <c r="T1190" s="11" t="inlineStr"/>
      <c r="U1190" s="11" t="inlineStr"/>
      <c r="V1190" s="11" t="inlineStr">
        <is>
          <t>outside_list</t>
        </is>
      </c>
      <c r="W1190" s="11" t="n"/>
      <c r="X1190" s="11" t="n"/>
      <c r="Y1190" s="11" t="n"/>
      <c r="Z1190" s="11" t="inlineStr">
        <is>
          <t>Mr. Advocate</t>
        </is>
      </c>
      <c r="AA1190" s="11" t="inlineStr">
        <is>
          <t>2026-10-07</t>
        </is>
      </c>
      <c r="AB1190" s="11" t="inlineStr">
        <is>
          <t>name_year</t>
        </is>
      </c>
      <c r="AC1190" s="2" t="inlineStr"/>
      <c r="AD1190" s="2" t="inlineStr">
        <is>
          <t>P.R. Basavappa and Sons v. Commissioner of Income Tax (2000) was overruled by Virtual Soft Systems Ltd. v. Commissioner of Income Tax, Delhi- I (2007).</t>
        </is>
      </c>
      <c r="AE1190" s="2" t="n"/>
      <c r="AF1190" s="11" t="inlineStr">
        <is>
          <t>created from list 1</t>
        </is>
      </c>
    </row>
    <row r="1191">
      <c r="A1191" s="11" t="inlineStr">
        <is>
          <t>L1-1190</t>
        </is>
      </c>
      <c r="B1191" s="11" t="inlineStr">
        <is>
          <t>List 1 (to ~2015)</t>
        </is>
      </c>
      <c r="C1191" s="11" t="inlineStr">
        <is>
          <t>list1</t>
        </is>
      </c>
      <c r="D1191" s="11" t="inlineStr">
        <is>
          <t>verified</t>
        </is>
      </c>
      <c r="E1191" s="11" t="inlineStr">
        <is>
          <t>overruled</t>
        </is>
      </c>
      <c r="F1191" s="2" t="inlineStr">
        <is>
          <t>Veerashiva Co-operative Bank Ltd. v. Presiding Officer, Labour Court and Others</t>
        </is>
      </c>
      <c r="G1191" s="11" t="inlineStr"/>
      <c r="H1191" s="11" t="inlineStr">
        <is>
          <t>unknown</t>
        </is>
      </c>
      <c r="I1191" s="2" t="inlineStr">
        <is>
          <t>(2001) 90 FLR 326; (2000) ILR (Kar) 3743; (2001) 1 LLJ 980</t>
        </is>
      </c>
      <c r="J1191" s="11" t="n">
        <v>2000</v>
      </c>
      <c r="K1191" s="2" t="inlineStr">
        <is>
          <t>Dharappa v. Bijapur Co-operative Milk Producers Societies Union Ltd.</t>
        </is>
      </c>
      <c r="L1191" s="11" t="inlineStr">
        <is>
          <t>Supreme Court</t>
        </is>
      </c>
      <c r="M1191" s="2" t="inlineStr">
        <is>
          <t>AIR 2007 SC 1848; (2007) 113 FLR 1159; (2007) 2 LLJ 844; (2007) 6 SCALE 307; (2007) 9 SCC 109; (2007) 5 SCR 729</t>
        </is>
      </c>
      <c r="N1191" s="11" t="n">
        <v>2007</v>
      </c>
      <c r="O1191" s="11" t="n"/>
      <c r="P1191" s="11" t="n"/>
      <c r="Q1191" s="11" t="n"/>
      <c r="R1191" s="2" t="n"/>
      <c r="S1191" s="2" t="n"/>
      <c r="T1191" s="11" t="inlineStr"/>
      <c r="U1191" s="11" t="inlineStr"/>
      <c r="V1191" s="11" t="inlineStr">
        <is>
          <t>outside_list</t>
        </is>
      </c>
      <c r="W1191" s="11" t="n"/>
      <c r="X1191" s="11" t="n"/>
      <c r="Y1191" s="11" t="n"/>
      <c r="Z1191" s="11" t="inlineStr">
        <is>
          <t>Mr. Advocate</t>
        </is>
      </c>
      <c r="AA1191" s="11" t="inlineStr">
        <is>
          <t>2026-10-07</t>
        </is>
      </c>
      <c r="AB1191" s="11" t="inlineStr">
        <is>
          <t>name_year</t>
        </is>
      </c>
      <c r="AC1191" s="2" t="inlineStr"/>
      <c r="AD1191" s="2" t="inlineStr">
        <is>
          <t>Veerashiva Co-operative Bank Ltd. v. Presiding Officer, Labour Court and Others (2000) was overruled by Dharappa v. Bijapur Co-operative Milk Producers Societies Union Ltd. (2007).</t>
        </is>
      </c>
      <c r="AE1191" s="2" t="n"/>
      <c r="AF1191" s="11" t="inlineStr">
        <is>
          <t>created from list 1</t>
        </is>
      </c>
    </row>
    <row r="1192">
      <c r="A1192" s="11" t="inlineStr">
        <is>
          <t>L1-1191</t>
        </is>
      </c>
      <c r="B1192" s="11" t="inlineStr">
        <is>
          <t>List 1 (to ~2015)</t>
        </is>
      </c>
      <c r="C1192" s="11" t="inlineStr">
        <is>
          <t>list1</t>
        </is>
      </c>
      <c r="D1192" s="11" t="inlineStr">
        <is>
          <t>verified</t>
        </is>
      </c>
      <c r="E1192" s="11" t="inlineStr">
        <is>
          <t>reversed_on_appeal</t>
        </is>
      </c>
      <c r="F1192" s="2" t="inlineStr">
        <is>
          <t>The State of Karnataka v. A. and G Projects and Technologies Ltd.</t>
        </is>
      </c>
      <c r="G1192" s="11" t="inlineStr"/>
      <c r="H1192" s="11" t="inlineStr">
        <is>
          <t>unknown</t>
        </is>
      </c>
      <c r="I1192" s="2" t="inlineStr">
        <is>
          <t>(2007) ILR (Kar) 4675; (2008) 13 VST 177</t>
        </is>
      </c>
      <c r="J1192" s="11" t="n">
        <v>2007</v>
      </c>
      <c r="K1192" s="2" t="inlineStr">
        <is>
          <t>A and G Projects and Technologies Ltd. v. State of Karnataka</t>
        </is>
      </c>
      <c r="L1192" s="11" t="inlineStr">
        <is>
          <t>Supreme Court</t>
        </is>
      </c>
      <c r="M1192" s="2" t="inlineStr">
        <is>
          <t>(2008) 16 SCALE 178; (2009) 2 SCC 326; (2009) 18 STT 525; (2009) 11 Vat Reporter 3; (2009) 19 VST 239</t>
        </is>
      </c>
      <c r="N1192" s="11" t="n">
        <v>2008</v>
      </c>
      <c r="O1192" s="11" t="n"/>
      <c r="P1192" s="11" t="n"/>
      <c r="Q1192" s="11" t="n"/>
      <c r="R1192" s="2" t="n"/>
      <c r="S1192" s="2" t="n"/>
      <c r="T1192" s="11" t="inlineStr">
        <is>
          <t>yes</t>
        </is>
      </c>
      <c r="U1192" s="11" t="inlineStr"/>
      <c r="V1192" s="11" t="inlineStr">
        <is>
          <t>outside_list</t>
        </is>
      </c>
      <c r="W1192" s="11" t="n"/>
      <c r="X1192" s="11" t="n"/>
      <c r="Y1192" s="11" t="n"/>
      <c r="Z1192" s="11" t="inlineStr">
        <is>
          <t>Mr. Advocate</t>
        </is>
      </c>
      <c r="AA1192" s="11" t="inlineStr">
        <is>
          <t>2026-10-07</t>
        </is>
      </c>
      <c r="AB1192" s="11" t="inlineStr">
        <is>
          <t>name_year</t>
        </is>
      </c>
      <c r="AC1192" s="2" t="inlineStr"/>
      <c r="AD1192" s="2" t="inlineStr">
        <is>
          <t>The State of Karnataka v. A. and G Projects and Technologies Ltd. (2007) was reversed on appeal by the Supreme Court in A and G Projects and Technologies Ltd. v. State of Karnataka (2008).</t>
        </is>
      </c>
      <c r="AE1192" s="2" t="n"/>
      <c r="AF1192" s="11" t="inlineStr">
        <is>
          <t>created from list 1</t>
        </is>
      </c>
    </row>
    <row r="1193">
      <c r="A1193" s="11" t="inlineStr">
        <is>
          <t>L1-1192</t>
        </is>
      </c>
      <c r="B1193" s="11" t="inlineStr">
        <is>
          <t>List 1 (to ~2015)</t>
        </is>
      </c>
      <c r="C1193" s="11" t="inlineStr">
        <is>
          <t>list1</t>
        </is>
      </c>
      <c r="D1193" s="11" t="inlineStr">
        <is>
          <t>verified</t>
        </is>
      </c>
      <c r="E1193" s="11" t="inlineStr">
        <is>
          <t>overruled</t>
        </is>
      </c>
      <c r="F1193" s="2" t="inlineStr">
        <is>
          <t>G.F. Hunasikattimath v. State of Karnataka and Others</t>
        </is>
      </c>
      <c r="G1193" s="11" t="inlineStr"/>
      <c r="H1193" s="11" t="inlineStr">
        <is>
          <t>unknown</t>
        </is>
      </c>
      <c r="I1193" s="2" t="inlineStr">
        <is>
          <t>(1992) 75 CompCas 266b; (1990) ILR (Kar) 3881; (1990) 2 KarLJ 452</t>
        </is>
      </c>
      <c r="J1193" s="11" t="n">
        <v>1990</v>
      </c>
      <c r="K1193" s="2" t="inlineStr">
        <is>
          <t>NEPC Micon Limited and Others v. Magma Leasing Limited</t>
        </is>
      </c>
      <c r="L1193" s="11" t="inlineStr">
        <is>
          <t>Supreme Court</t>
        </is>
      </c>
      <c r="M1193" s="2" t="inlineStr">
        <is>
          <t>AIR 1999 SC 1952; (2006) 2 BC 316; (1999) 96 CompCas 822; (1999) CriLJ 2883; (1999) 2 CTC 347; (1999) 3 JT 374; (1999) 122 PLR 580; (1999) 3 SCALE 67; (1999) 4 SCC 253; (1999) 2 SCR 932; (1999) 2 UJ 1083; (1999) AIRSCW 1637; (1999) 4 Supreme 378</t>
        </is>
      </c>
      <c r="N1193" s="11" t="n">
        <v>1999</v>
      </c>
      <c r="O1193" s="11" t="n"/>
      <c r="P1193" s="11" t="n"/>
      <c r="Q1193" s="11" t="n"/>
      <c r="R1193" s="2" t="n"/>
      <c r="S1193" s="2" t="n"/>
      <c r="T1193" s="11" t="inlineStr"/>
      <c r="U1193" s="11" t="inlineStr"/>
      <c r="V1193" s="11" t="inlineStr">
        <is>
          <t>outside_list</t>
        </is>
      </c>
      <c r="W1193" s="11" t="n"/>
      <c r="X1193" s="11" t="n"/>
      <c r="Y1193" s="11" t="n"/>
      <c r="Z1193" s="11" t="inlineStr">
        <is>
          <t>Mr. Advocate</t>
        </is>
      </c>
      <c r="AA1193" s="11" t="inlineStr">
        <is>
          <t>2026-10-07</t>
        </is>
      </c>
      <c r="AB1193" s="11" t="inlineStr">
        <is>
          <t>name_year</t>
        </is>
      </c>
      <c r="AC1193" s="2" t="inlineStr"/>
      <c r="AD1193" s="2" t="inlineStr">
        <is>
          <t>G.F. Hunasikattimath v. State of Karnataka and Others (1990) was overruled by NEPC Micon Limited and Others v. Magma Leasing Limited (1999).</t>
        </is>
      </c>
      <c r="AE1193" s="2" t="n"/>
      <c r="AF1193" s="11" t="inlineStr">
        <is>
          <t>created from list 1</t>
        </is>
      </c>
    </row>
    <row r="1194">
      <c r="A1194" s="11" t="inlineStr">
        <is>
          <t>L1-1193</t>
        </is>
      </c>
      <c r="B1194" s="11" t="inlineStr">
        <is>
          <t>List 1 (to ~2015)</t>
        </is>
      </c>
      <c r="C1194" s="11" t="inlineStr">
        <is>
          <t>list1</t>
        </is>
      </c>
      <c r="D1194" s="11" t="inlineStr">
        <is>
          <t>verified</t>
        </is>
      </c>
      <c r="E1194" s="11" t="inlineStr">
        <is>
          <t>reversed_on_appeal</t>
        </is>
      </c>
      <c r="F1194" s="2" t="inlineStr">
        <is>
          <t>Vikrant Tyres Ltd. v. First Income Tax Officer</t>
        </is>
      </c>
      <c r="G1194" s="11" t="inlineStr"/>
      <c r="H1194" s="11" t="inlineStr">
        <is>
          <t>unknown</t>
        </is>
      </c>
      <c r="I1194" s="2" t="inlineStr">
        <is>
          <t>(1993) 115 CTR 210; (1993) ILR (Kar) 402; (1993) 202 ITR 454; (1993) 37 KarLJ 196</t>
        </is>
      </c>
      <c r="J1194" s="11" t="n">
        <v>1993</v>
      </c>
      <c r="K1194" s="2" t="inlineStr">
        <is>
          <t>M/s. Vikrant Tyres Ltd. v. The First Income Tax Officer, Mysore</t>
        </is>
      </c>
      <c r="L1194" s="11" t="inlineStr">
        <is>
          <t>unknown</t>
        </is>
      </c>
      <c r="M1194" s="2" t="inlineStr">
        <is>
          <t>(2001) 166 CTR 1; (2001) 2 JT 455; (2001) 1 SCALE 720; (2001) 3 SCC 76; (2002) 127 STC 5; (2001) AIRSCW 624; (2001) 1 Supreme 633</t>
        </is>
      </c>
      <c r="N1194" s="11" t="n">
        <v>2001</v>
      </c>
      <c r="O1194" s="11" t="n"/>
      <c r="P1194" s="11" t="n"/>
      <c r="Q1194" s="11" t="n"/>
      <c r="R1194" s="2" t="n"/>
      <c r="S1194" s="2" t="n"/>
      <c r="T1194" s="11" t="inlineStr">
        <is>
          <t>yes</t>
        </is>
      </c>
      <c r="U1194" s="11" t="inlineStr"/>
      <c r="V1194" s="11" t="inlineStr">
        <is>
          <t>outside_list</t>
        </is>
      </c>
      <c r="W1194" s="11" t="n"/>
      <c r="X1194" s="11" t="n"/>
      <c r="Y1194" s="11" t="n"/>
      <c r="Z1194" s="11" t="inlineStr">
        <is>
          <t>Mr. Advocate</t>
        </is>
      </c>
      <c r="AA1194" s="11" t="inlineStr">
        <is>
          <t>2026-10-07</t>
        </is>
      </c>
      <c r="AB1194" s="11" t="inlineStr">
        <is>
          <t>name_year</t>
        </is>
      </c>
      <c r="AC1194" s="2" t="inlineStr"/>
      <c r="AD1194" s="2" t="inlineStr">
        <is>
          <t>Vikrant Tyres Ltd. v. First Income Tax Officer (1993) was reversed on appeal by the Supreme Court in M/s. Vikrant Tyres Ltd. v. The First Income Tax Officer, Mysore (2001).</t>
        </is>
      </c>
      <c r="AE1194" s="2" t="n"/>
      <c r="AF1194" s="11" t="inlineStr">
        <is>
          <t>created from list 1</t>
        </is>
      </c>
    </row>
    <row r="1195">
      <c r="A1195" s="11" t="inlineStr">
        <is>
          <t>L1-1194</t>
        </is>
      </c>
      <c r="B1195" s="11" t="inlineStr">
        <is>
          <t>List 1 (to ~2015)</t>
        </is>
      </c>
      <c r="C1195" s="11" t="inlineStr">
        <is>
          <t>list1</t>
        </is>
      </c>
      <c r="D1195" s="11" t="inlineStr">
        <is>
          <t>verified</t>
        </is>
      </c>
      <c r="E1195" s="11" t="inlineStr">
        <is>
          <t>reversed_on_appeal</t>
        </is>
      </c>
      <c r="F1195" s="2" t="inlineStr">
        <is>
          <t>State of Karnataka v. P. Siddalingappa</t>
        </is>
      </c>
      <c r="G1195" s="11" t="inlineStr"/>
      <c r="H1195" s="11" t="inlineStr">
        <is>
          <t>unknown</t>
        </is>
      </c>
      <c r="I1195" s="2" t="inlineStr">
        <is>
          <t>(1996) ILR (Kar) 1641; (1996) 3 KarLJ 522</t>
        </is>
      </c>
      <c r="J1195" s="11" t="n">
        <v>1996</v>
      </c>
      <c r="K1195" s="2" t="inlineStr">
        <is>
          <t>P. Siddalingappa v. State of Karnataka and Others</t>
        </is>
      </c>
      <c r="L1195" s="11" t="inlineStr">
        <is>
          <t>Supreme Court</t>
        </is>
      </c>
      <c r="M1195" s="2" t="inlineStr">
        <is>
          <t>(1996) 7 AD 804; (1997) 75 FLR 427; (1996) 9 JT 296; (1996) 7 SCALE 574; (1996) 10 SCC 610; (1997) SCC(L&amp;S) 340; (1996) 6 SCR 610 Supp</t>
        </is>
      </c>
      <c r="N1195" s="11" t="n">
        <v>1996</v>
      </c>
      <c r="O1195" s="11" t="n"/>
      <c r="P1195" s="11" t="n"/>
      <c r="Q1195" s="11" t="n"/>
      <c r="R1195" s="2" t="n"/>
      <c r="S1195" s="2" t="n"/>
      <c r="T1195" s="11" t="inlineStr">
        <is>
          <t>yes</t>
        </is>
      </c>
      <c r="U1195" s="11" t="inlineStr"/>
      <c r="V1195" s="11" t="inlineStr">
        <is>
          <t>outside_list</t>
        </is>
      </c>
      <c r="W1195" s="11" t="n"/>
      <c r="X1195" s="11" t="n"/>
      <c r="Y1195" s="11" t="n"/>
      <c r="Z1195" s="11" t="inlineStr">
        <is>
          <t>Mr. Advocate</t>
        </is>
      </c>
      <c r="AA1195" s="11" t="inlineStr">
        <is>
          <t>2026-10-07</t>
        </is>
      </c>
      <c r="AB1195" s="11" t="inlineStr">
        <is>
          <t>name_year</t>
        </is>
      </c>
      <c r="AC1195" s="2" t="inlineStr"/>
      <c r="AD1195" s="2" t="inlineStr">
        <is>
          <t>State of Karnataka v. P. Siddalingappa (1996) was reversed on appeal by the Supreme Court in P. Siddalingappa v. State of Karnataka and Others (1996).</t>
        </is>
      </c>
      <c r="AE1195" s="2" t="n"/>
      <c r="AF1195" s="11" t="inlineStr">
        <is>
          <t>created from list 1</t>
        </is>
      </c>
    </row>
    <row r="1196">
      <c r="A1196" s="11" t="inlineStr">
        <is>
          <t>L1-1195</t>
        </is>
      </c>
      <c r="B1196" s="11" t="inlineStr">
        <is>
          <t>List 1 (to ~2015)</t>
        </is>
      </c>
      <c r="C1196" s="11" t="inlineStr">
        <is>
          <t>list1</t>
        </is>
      </c>
      <c r="D1196" s="11" t="inlineStr">
        <is>
          <t>verified</t>
        </is>
      </c>
      <c r="E1196" s="11" t="inlineStr">
        <is>
          <t>overruled</t>
        </is>
      </c>
      <c r="F1196" s="2" t="inlineStr">
        <is>
          <t>Alpha Silicones v. Assistant Commercial Tax Officer (Recovery), Gulbarga and another</t>
        </is>
      </c>
      <c r="G1196" s="11" t="inlineStr"/>
      <c r="H1196" s="11" t="inlineStr">
        <is>
          <t>unknown</t>
        </is>
      </c>
      <c r="I1196" s="2" t="inlineStr">
        <is>
          <t>(1990) 77 STC 68</t>
        </is>
      </c>
      <c r="J1196" s="11" t="n">
        <v>1990</v>
      </c>
      <c r="K1196" s="2" t="inlineStr">
        <is>
          <t>State of Karnataka and Another v. Shreyas Papers Pvt. Ltd. and Others</t>
        </is>
      </c>
      <c r="L1196" s="11" t="inlineStr">
        <is>
          <t>Supreme Court</t>
        </is>
      </c>
      <c r="M1196" s="2" t="inlineStr">
        <is>
          <t>AIR 2006 SC 865; (2006) 1 CTC 290; (2006) 1 JT 180; (2006) 1 SCALE 160; (2006) 1 SCC 615; (2006) 1 SCR 235; (2006) 144 STC 331; (2006) AIRSCW 169; (2006) 1 Supreme 56</t>
        </is>
      </c>
      <c r="N1196" s="11" t="n">
        <v>2006</v>
      </c>
      <c r="O1196" s="11" t="n"/>
      <c r="P1196" s="11" t="n"/>
      <c r="Q1196" s="11" t="n"/>
      <c r="R1196" s="2" t="n"/>
      <c r="S1196" s="2" t="n"/>
      <c r="T1196" s="11" t="inlineStr"/>
      <c r="U1196" s="11" t="inlineStr"/>
      <c r="V1196" s="11" t="inlineStr">
        <is>
          <t>outside_list</t>
        </is>
      </c>
      <c r="W1196" s="11" t="n"/>
      <c r="X1196" s="11" t="n"/>
      <c r="Y1196" s="11" t="n"/>
      <c r="Z1196" s="11" t="inlineStr">
        <is>
          <t>Mr. Advocate</t>
        </is>
      </c>
      <c r="AA1196" s="11" t="inlineStr">
        <is>
          <t>2026-10-07</t>
        </is>
      </c>
      <c r="AB1196" s="11" t="inlineStr">
        <is>
          <t>name_year</t>
        </is>
      </c>
      <c r="AC1196" s="2" t="inlineStr"/>
      <c r="AD1196" s="2" t="inlineStr">
        <is>
          <t>Alpha Silicones v. Assistant Commercial Tax Officer (Recovery), Gulbarga and another (1990) was overruled by State of Karnataka and Another v. Shreyas Papers Pvt. Ltd. and Others (2006).</t>
        </is>
      </c>
      <c r="AE1196" s="2" t="n"/>
      <c r="AF1196" s="11" t="inlineStr">
        <is>
          <t>created from list 1</t>
        </is>
      </c>
    </row>
    <row r="1197">
      <c r="A1197" s="11" t="inlineStr">
        <is>
          <t>L1-1196</t>
        </is>
      </c>
      <c r="B1197" s="11" t="inlineStr">
        <is>
          <t>List 1 (to ~2015)</t>
        </is>
      </c>
      <c r="C1197" s="11" t="inlineStr">
        <is>
          <t>list1</t>
        </is>
      </c>
      <c r="D1197" s="11" t="inlineStr">
        <is>
          <t>verified</t>
        </is>
      </c>
      <c r="E1197" s="11" t="inlineStr">
        <is>
          <t>reversed_on_appeal</t>
        </is>
      </c>
      <c r="F1197" s="2" t="inlineStr">
        <is>
          <t>Ashok Kumar Lingala v. State of Karnataka and Iron Ore Co. Ltd.</t>
        </is>
      </c>
      <c r="G1197" s="11" t="inlineStr"/>
      <c r="H1197" s="11" t="inlineStr">
        <is>
          <t>unknown</t>
        </is>
      </c>
      <c r="I1197" s="2" t="inlineStr">
        <is>
          <t>(2011) ILR (Kar) 18; (2011) 2 KarLJ 295</t>
        </is>
      </c>
      <c r="J1197" s="11" t="n">
        <v>2011</v>
      </c>
      <c r="K1197" s="2" t="inlineStr">
        <is>
          <t>Ashok Kumar Lingala v. State of Karnataka and Others</t>
        </is>
      </c>
      <c r="L1197" s="11" t="inlineStr">
        <is>
          <t>Supreme Court</t>
        </is>
      </c>
      <c r="M1197" s="2" t="inlineStr">
        <is>
          <t>AIR 2012 SC 53; (2012) 2 EFLT 543; (2012) 3 RCR(Civil) 591; (2011) 2 SCALE 121; (2012) 1 SCC 321; (2012) 1 UJ 133</t>
        </is>
      </c>
      <c r="N1197" s="11" t="n">
        <v>2012</v>
      </c>
      <c r="O1197" s="11" t="n"/>
      <c r="P1197" s="11" t="n"/>
      <c r="Q1197" s="11" t="n"/>
      <c r="R1197" s="2" t="n"/>
      <c r="S1197" s="2" t="n"/>
      <c r="T1197" s="11" t="inlineStr">
        <is>
          <t>yes</t>
        </is>
      </c>
      <c r="U1197" s="11" t="inlineStr"/>
      <c r="V1197" s="11" t="inlineStr">
        <is>
          <t>outside_list</t>
        </is>
      </c>
      <c r="W1197" s="11" t="n"/>
      <c r="X1197" s="11" t="n"/>
      <c r="Y1197" s="11" t="n"/>
      <c r="Z1197" s="11" t="inlineStr">
        <is>
          <t>Mr. Advocate</t>
        </is>
      </c>
      <c r="AA1197" s="11" t="inlineStr">
        <is>
          <t>2026-10-07</t>
        </is>
      </c>
      <c r="AB1197" s="11" t="inlineStr">
        <is>
          <t>name_year</t>
        </is>
      </c>
      <c r="AC1197" s="2" t="inlineStr"/>
      <c r="AD1197" s="2" t="inlineStr">
        <is>
          <t>Ashok Kumar Lingala v. State of Karnataka and Iron Ore Co. Ltd. (2011) was reversed on appeal by the Supreme Court in Ashok Kumar Lingala v. State of Karnataka and Others (2012).</t>
        </is>
      </c>
      <c r="AE1197" s="2" t="n"/>
      <c r="AF1197" s="11" t="inlineStr">
        <is>
          <t>created from list 1</t>
        </is>
      </c>
    </row>
    <row r="1198">
      <c r="A1198" s="11" t="inlineStr">
        <is>
          <t>L1-1197</t>
        </is>
      </c>
      <c r="B1198" s="11" t="inlineStr">
        <is>
          <t>List 1 (to ~2015)</t>
        </is>
      </c>
      <c r="C1198" s="11" t="inlineStr">
        <is>
          <t>list1</t>
        </is>
      </c>
      <c r="D1198" s="11" t="inlineStr">
        <is>
          <t>verified</t>
        </is>
      </c>
      <c r="E1198" s="11" t="inlineStr">
        <is>
          <t>reversed_on_appeal</t>
        </is>
      </c>
      <c r="F1198" s="2" t="inlineStr">
        <is>
          <t>The Managing Director Hassan Co-operative Milk Producer’s Society Union Limited v. The Assistant Regional Director Employees State Insurance Corporation</t>
        </is>
      </c>
      <c r="G1198" s="11" t="inlineStr"/>
      <c r="H1198" s="11" t="inlineStr">
        <is>
          <t>unknown</t>
        </is>
      </c>
      <c r="I1198" s="2" t="inlineStr"/>
      <c r="J1198" s="11" t="n"/>
      <c r="K1198" s="2" t="inlineStr">
        <is>
          <t>The Managing Director, Hassan Co- operative Milk Producer’s Society Union Limited v. The Assistant Regional Director Employees State Insurance Corporation</t>
        </is>
      </c>
      <c r="L1198" s="11" t="inlineStr">
        <is>
          <t>Supreme Court</t>
        </is>
      </c>
      <c r="M1198" s="2" t="inlineStr">
        <is>
          <t>(2010) 4 JT 240; (2010) 2 LLJ 860; (2010) 4 SCALE 337; (2011) 1 SCC(L&amp;S) 85; (2010) 4 UJ 1986</t>
        </is>
      </c>
      <c r="N1198" s="11" t="n">
        <v>2010</v>
      </c>
      <c r="O1198" s="11" t="n"/>
      <c r="P1198" s="11" t="n"/>
      <c r="Q1198" s="11" t="n"/>
      <c r="R1198" s="2" t="n"/>
      <c r="S1198" s="2" t="n"/>
      <c r="T1198" s="11" t="inlineStr">
        <is>
          <t>yes</t>
        </is>
      </c>
      <c r="U1198" s="11" t="inlineStr">
        <is>
          <t>no_citation_or_year_for_overruled, needs_citation_or_year</t>
        </is>
      </c>
      <c r="V1198" s="11" t="inlineStr">
        <is>
          <t>outside_list</t>
        </is>
      </c>
      <c r="W1198" s="11" t="n"/>
      <c r="X1198" s="11" t="n"/>
      <c r="Y1198" s="11" t="n"/>
      <c r="Z1198" s="11" t="inlineStr">
        <is>
          <t>Mr. Advocate</t>
        </is>
      </c>
      <c r="AA1198" s="11" t="inlineStr">
        <is>
          <t>2026-10-07</t>
        </is>
      </c>
      <c r="AB1198" s="11" t="inlineStr">
        <is>
          <t>weak</t>
        </is>
      </c>
      <c r="AC1198" s="2" t="inlineStr"/>
      <c r="AD1198" s="2" t="inlineStr">
        <is>
          <t>The Managing Director Hassan Co-operative Milk Producer’s Society Union Limited v. The Assistant Regional Director Employees State Insurance Corporation was reversed on appeal by the Supreme Court in The Managing Director, Hassan Co- operative Milk Producer’s Society Union Limited v. The Assistant Regional Director Employees State Insurance Corporation (2010).</t>
        </is>
      </c>
      <c r="AE1198" s="2" t="n"/>
      <c r="AF1198" s="11" t="inlineStr">
        <is>
          <t>created from list 1</t>
        </is>
      </c>
    </row>
    <row r="1199">
      <c r="A1199" s="11" t="inlineStr">
        <is>
          <t>L1-1198</t>
        </is>
      </c>
      <c r="B1199" s="11" t="inlineStr">
        <is>
          <t>List 1 (to ~2015)</t>
        </is>
      </c>
      <c r="C1199" s="11" t="inlineStr">
        <is>
          <t>list1</t>
        </is>
      </c>
      <c r="D1199" s="11" t="inlineStr">
        <is>
          <t>verified</t>
        </is>
      </c>
      <c r="E1199" s="11" t="inlineStr">
        <is>
          <t>overruled</t>
        </is>
      </c>
      <c r="F1199" s="2" t="inlineStr">
        <is>
          <t>Hanamappa and Others v. The Special Land Acquisition Officer</t>
        </is>
      </c>
      <c r="G1199" s="11" t="inlineStr"/>
      <c r="H1199" s="11" t="inlineStr">
        <is>
          <t>Karnataka</t>
        </is>
      </c>
      <c r="I1199" s="2" t="inlineStr">
        <is>
          <t>AIR 1999 Kar 128; (1998) ILR (Kar) 4071</t>
        </is>
      </c>
      <c r="J1199" s="11" t="n">
        <v>1999</v>
      </c>
      <c r="K1199" s="2" t="inlineStr">
        <is>
          <t>State of Karnataka v. Laxuman</t>
        </is>
      </c>
      <c r="L1199" s="11" t="inlineStr">
        <is>
          <t>Supreme Court</t>
        </is>
      </c>
      <c r="M1199" s="2" t="inlineStr">
        <is>
          <t>AIR 2006 SC 24; (2006) 101 CLT 291; (2005) 9 JT 89; (2005) 8 SCC 709; (2005) AIRSCW 5535; (2005) 8 Supreme 49</t>
        </is>
      </c>
      <c r="N1199" s="11" t="n">
        <v>2006</v>
      </c>
      <c r="O1199" s="11" t="n"/>
      <c r="P1199" s="11" t="n"/>
      <c r="Q1199" s="11" t="n"/>
      <c r="R1199" s="2" t="n"/>
      <c r="S1199" s="2" t="n"/>
      <c r="T1199" s="11" t="inlineStr"/>
      <c r="U1199" s="11" t="inlineStr"/>
      <c r="V1199" s="11" t="inlineStr">
        <is>
          <t>outside_list</t>
        </is>
      </c>
      <c r="W1199" s="11" t="n"/>
      <c r="X1199" s="11" t="n"/>
      <c r="Y1199" s="11" t="n"/>
      <c r="Z1199" s="11" t="inlineStr">
        <is>
          <t>Mr. Advocate</t>
        </is>
      </c>
      <c r="AA1199" s="11" t="inlineStr">
        <is>
          <t>2026-10-07</t>
        </is>
      </c>
      <c r="AB1199" s="11" t="inlineStr">
        <is>
          <t>name_year</t>
        </is>
      </c>
      <c r="AC1199" s="2" t="inlineStr"/>
      <c r="AD1199" s="2" t="inlineStr">
        <is>
          <t>Hanamappa and Others v. The Special Land Acquisition Officer (1999) was overruled by State of Karnataka v. Laxuman (2006).</t>
        </is>
      </c>
      <c r="AE1199" s="2" t="n"/>
      <c r="AF1199" s="11" t="inlineStr">
        <is>
          <t>created from list 1</t>
        </is>
      </c>
    </row>
    <row r="1200">
      <c r="A1200" s="11" t="inlineStr">
        <is>
          <t>L1-1199</t>
        </is>
      </c>
      <c r="B1200" s="11" t="inlineStr">
        <is>
          <t>List 1 (to ~2015)</t>
        </is>
      </c>
      <c r="C1200" s="11" t="inlineStr">
        <is>
          <t>list1</t>
        </is>
      </c>
      <c r="D1200" s="11" t="inlineStr">
        <is>
          <t>verified</t>
        </is>
      </c>
      <c r="E1200" s="11" t="inlineStr">
        <is>
          <t>reversed_on_appeal</t>
        </is>
      </c>
      <c r="F1200" s="2" t="inlineStr">
        <is>
          <t>Suresh v. Mahadevappa Shivappa Danannavar and Another</t>
        </is>
      </c>
      <c r="G1200" s="11" t="inlineStr"/>
      <c r="H1200" s="11" t="inlineStr">
        <is>
          <t>unknown</t>
        </is>
      </c>
      <c r="I1200" s="2" t="inlineStr">
        <is>
          <t>(2004) CriLJ 3580; (2004) 3 KCCR 249 SN</t>
        </is>
      </c>
      <c r="J1200" s="11" t="n">
        <v>2004</v>
      </c>
      <c r="K1200" s="2" t="inlineStr">
        <is>
          <t>Suresh v. Mahadevappa Shivappa Danannava and Another</t>
        </is>
      </c>
      <c r="L1200" s="11" t="inlineStr">
        <is>
          <t>Supreme Court</t>
        </is>
      </c>
      <c r="M1200" s="2" t="inlineStr">
        <is>
          <t>AIR 2005 SC 1047; (2005) 100 CLT 83; (2005) 1 CTC 600; (2005) 2 JT 462; (2005) 3 SCC 670; (2005) 3 SCR 131; (2005) AIRSCW 989; (2005) 2 Supreme 59</t>
        </is>
      </c>
      <c r="N1200" s="11" t="n">
        <v>2005</v>
      </c>
      <c r="O1200" s="11" t="n"/>
      <c r="P1200" s="11" t="n"/>
      <c r="Q1200" s="11" t="n"/>
      <c r="R1200" s="2" t="n"/>
      <c r="S1200" s="2" t="n"/>
      <c r="T1200" s="11" t="inlineStr">
        <is>
          <t>yes</t>
        </is>
      </c>
      <c r="U1200" s="11" t="inlineStr"/>
      <c r="V1200" s="11" t="inlineStr">
        <is>
          <t>outside_list</t>
        </is>
      </c>
      <c r="W1200" s="11" t="n"/>
      <c r="X1200" s="11" t="n"/>
      <c r="Y1200" s="11" t="n"/>
      <c r="Z1200" s="11" t="inlineStr">
        <is>
          <t>Mr. Advocate</t>
        </is>
      </c>
      <c r="AA1200" s="11" t="inlineStr">
        <is>
          <t>2026-10-07</t>
        </is>
      </c>
      <c r="AB1200" s="11" t="inlineStr">
        <is>
          <t>name_year</t>
        </is>
      </c>
      <c r="AC1200" s="2" t="inlineStr"/>
      <c r="AD1200" s="2" t="inlineStr">
        <is>
          <t>Suresh v. Mahadevappa Shivappa Danannavar and Another (2004) was reversed on appeal by the Supreme Court in Suresh v. Mahadevappa Shivappa Danannava and Another (2005).</t>
        </is>
      </c>
      <c r="AE1200" s="2" t="n"/>
      <c r="AF1200" s="11" t="inlineStr">
        <is>
          <t>created from list 1</t>
        </is>
      </c>
    </row>
    <row r="1201">
      <c r="A1201" s="11" t="inlineStr">
        <is>
          <t>L1-1200</t>
        </is>
      </c>
      <c r="B1201" s="11" t="inlineStr">
        <is>
          <t>List 1 (to ~2015)</t>
        </is>
      </c>
      <c r="C1201" s="11" t="inlineStr">
        <is>
          <t>list1</t>
        </is>
      </c>
      <c r="D1201" s="11" t="inlineStr">
        <is>
          <t>verified</t>
        </is>
      </c>
      <c r="E1201" s="11" t="inlineStr">
        <is>
          <t>reversed_on_appeal</t>
        </is>
      </c>
      <c r="F1201" s="2" t="inlineStr">
        <is>
          <t>The Manipal Academy of Higher Education and Others v. The Provident Fund Commissioner, Employees’ Provident Fund Organisation and Another</t>
        </is>
      </c>
      <c r="G1201" s="11" t="inlineStr"/>
      <c r="H1201" s="11" t="inlineStr">
        <is>
          <t>unknown</t>
        </is>
      </c>
      <c r="I1201" s="2" t="inlineStr">
        <is>
          <t>(2004) ILR (Kar) 80; (2004) 1 KCCR 19 SN; (2004) 2 LLJ 35</t>
        </is>
      </c>
      <c r="J1201" s="11" t="n">
        <v>2004</v>
      </c>
      <c r="K1201" s="2" t="inlineStr">
        <is>
          <t>Manipal Academy of Higher Education v. Provident Fund Commissioner</t>
        </is>
      </c>
      <c r="L1201" s="11" t="inlineStr">
        <is>
          <t>Supreme Court</t>
        </is>
      </c>
      <c r="M1201" s="2" t="inlineStr">
        <is>
          <t>AIR 2008 SC 1951; (2008) 3 CLT 70; (2008) 117 FLR 358; (2008) 4 JT 31; (2008) 2 LLJ 666; (2008) 4 SCALE 53; (2008) 5 SCC 428; (2008) 2 SCC(L&amp;S) 114; (2008) AIRSCW 2216</t>
        </is>
      </c>
      <c r="N1201" s="11" t="n">
        <v>2008</v>
      </c>
      <c r="O1201" s="11" t="n"/>
      <c r="P1201" s="11" t="n"/>
      <c r="Q1201" s="11" t="n"/>
      <c r="R1201" s="2" t="n"/>
      <c r="S1201" s="2" t="n"/>
      <c r="T1201" s="11" t="inlineStr">
        <is>
          <t>yes</t>
        </is>
      </c>
      <c r="U1201" s="11" t="inlineStr"/>
      <c r="V1201" s="11" t="inlineStr">
        <is>
          <t>outside_list</t>
        </is>
      </c>
      <c r="W1201" s="11" t="n"/>
      <c r="X1201" s="11" t="n"/>
      <c r="Y1201" s="11" t="n"/>
      <c r="Z1201" s="11" t="inlineStr">
        <is>
          <t>Mr. Advocate</t>
        </is>
      </c>
      <c r="AA1201" s="11" t="inlineStr">
        <is>
          <t>2026-10-07</t>
        </is>
      </c>
      <c r="AB1201" s="11" t="inlineStr">
        <is>
          <t>name_year</t>
        </is>
      </c>
      <c r="AC1201" s="2" t="inlineStr"/>
      <c r="AD1201" s="2" t="inlineStr">
        <is>
          <t>The Manipal Academy of Higher Education and Others v. The Provident Fund Commissioner, Employees’ Provident Fund Organisation and Another (2004) was reversed on appeal by the Supreme Court in Manipal Academy of Higher Education v. Provident Fund Commissioner (2008).</t>
        </is>
      </c>
      <c r="AE1201" s="2" t="n"/>
      <c r="AF1201" s="11" t="inlineStr">
        <is>
          <t>created from list 1</t>
        </is>
      </c>
    </row>
    <row r="1202">
      <c r="A1202" s="11" t="inlineStr">
        <is>
          <t>L1-1201</t>
        </is>
      </c>
      <c r="B1202" s="11" t="inlineStr">
        <is>
          <t>List 1 (to ~2015)</t>
        </is>
      </c>
      <c r="C1202" s="11" t="inlineStr">
        <is>
          <t>list1</t>
        </is>
      </c>
      <c r="D1202" s="11" t="inlineStr">
        <is>
          <t>verified</t>
        </is>
      </c>
      <c r="E1202" s="11" t="inlineStr">
        <is>
          <t>reversed_on_appeal</t>
        </is>
      </c>
      <c r="F1202" s="2" t="inlineStr">
        <is>
          <t>Jimmy Jahangir Madan v. Bolly Cariyappa Hindley by L.Rs</t>
        </is>
      </c>
      <c r="G1202" s="11" t="inlineStr"/>
      <c r="H1202" s="11" t="inlineStr">
        <is>
          <t>unknown</t>
        </is>
      </c>
      <c r="I1202" s="2" t="inlineStr">
        <is>
          <t>(2003) 115 CompCas 770; (2001) ILR (Kar) 5401; (2002) 1 KarLJ 370; (2001) 4 KCCR 2817</t>
        </is>
      </c>
      <c r="J1202" s="11" t="n">
        <v>2001</v>
      </c>
      <c r="K1202" s="2" t="inlineStr">
        <is>
          <t>Jimmy Jahangir Madan v. Bolly Cariyappa Hindley (Dead) by LRs.</t>
        </is>
      </c>
      <c r="L1202" s="11" t="inlineStr">
        <is>
          <t>Supreme Court</t>
        </is>
      </c>
      <c r="M1202" s="2" t="inlineStr">
        <is>
          <t>AIR 2005 SC 48; (2005) 1 BC 16; (2005) 126 CompCas 385; (2005) CriLJ 112; (2004) 5 CTC 420; (2005) 141 PLR 209; (2004) 9 SCALE 297; (2004) 12 SCC 509; (2004) AIRSCW 6248; (2004) 8 Supreme 217</t>
        </is>
      </c>
      <c r="N1202" s="11" t="n">
        <v>2005</v>
      </c>
      <c r="O1202" s="11" t="n"/>
      <c r="P1202" s="11" t="n"/>
      <c r="Q1202" s="11" t="n"/>
      <c r="R1202" s="2" t="n"/>
      <c r="S1202" s="2" t="n"/>
      <c r="T1202" s="11" t="inlineStr">
        <is>
          <t>yes</t>
        </is>
      </c>
      <c r="U1202" s="11" t="inlineStr"/>
      <c r="V1202" s="11" t="inlineStr">
        <is>
          <t>outside_list</t>
        </is>
      </c>
      <c r="W1202" s="11" t="n"/>
      <c r="X1202" s="11" t="n"/>
      <c r="Y1202" s="11" t="n"/>
      <c r="Z1202" s="11" t="inlineStr">
        <is>
          <t>Mr. Advocate</t>
        </is>
      </c>
      <c r="AA1202" s="11" t="inlineStr">
        <is>
          <t>2026-10-07</t>
        </is>
      </c>
      <c r="AB1202" s="11" t="inlineStr">
        <is>
          <t>name_year</t>
        </is>
      </c>
      <c r="AC1202" s="2" t="inlineStr"/>
      <c r="AD1202" s="2" t="inlineStr">
        <is>
          <t>Jimmy Jahangir Madan v. Bolly Cariyappa Hindley by L.Rs (2001) was reversed on appeal by the Supreme Court in Jimmy Jahangir Madan v. Bolly Cariyappa Hindley (Dead) by LRs. (2005).</t>
        </is>
      </c>
      <c r="AE1202" s="2" t="n"/>
      <c r="AF1202" s="11" t="inlineStr">
        <is>
          <t>created from list 1</t>
        </is>
      </c>
    </row>
    <row r="1203">
      <c r="A1203" s="11" t="inlineStr">
        <is>
          <t>L1-1202</t>
        </is>
      </c>
      <c r="B1203" s="11" t="inlineStr">
        <is>
          <t>List 1 (to ~2015)</t>
        </is>
      </c>
      <c r="C1203" s="11" t="inlineStr">
        <is>
          <t>list1</t>
        </is>
      </c>
      <c r="D1203" s="11" t="inlineStr">
        <is>
          <t>verified</t>
        </is>
      </c>
      <c r="E1203" s="11" t="inlineStr">
        <is>
          <t>overruled</t>
        </is>
      </c>
      <c r="F1203" s="2" t="inlineStr">
        <is>
          <t>Karnataka State Industrial Investment and Development Corporation Ltd. v. Assistant Commissioner of Commercial Taxes</t>
        </is>
      </c>
      <c r="G1203" s="11" t="inlineStr"/>
      <c r="H1203" s="11" t="inlineStr">
        <is>
          <t>unknown</t>
        </is>
      </c>
      <c r="I1203" s="2" t="inlineStr">
        <is>
          <t>(2001) 105 CompCas 416; (2000) ILR (Kar) 3399; (2000) 4 KCCR 278 SN</t>
        </is>
      </c>
      <c r="J1203" s="11" t="n">
        <v>2000</v>
      </c>
      <c r="K1203" s="2" t="inlineStr">
        <is>
          <t>State of Karnataka and Another v. Shreyas Papers Pvt. Ltd. and Others</t>
        </is>
      </c>
      <c r="L1203" s="11" t="inlineStr">
        <is>
          <t>Supreme Court</t>
        </is>
      </c>
      <c r="M1203" s="2" t="inlineStr">
        <is>
          <t>AIR 2006 SC 865; (2006) 1 CTC 290; (2006) 1 JT 180; (2006) 1 SCALE 160; (2006) 1 SCC 615; (2006) 1 SCR 235; (2006) 144 STC 331; (2006) AIRSCW 169; (2006) 1 Supreme 56</t>
        </is>
      </c>
      <c r="N1203" s="11" t="n">
        <v>2006</v>
      </c>
      <c r="O1203" s="11" t="n"/>
      <c r="P1203" s="11" t="n"/>
      <c r="Q1203" s="11" t="n"/>
      <c r="R1203" s="2" t="n"/>
      <c r="S1203" s="2" t="n"/>
      <c r="T1203" s="11" t="inlineStr"/>
      <c r="U1203" s="11" t="inlineStr"/>
      <c r="V1203" s="11" t="inlineStr">
        <is>
          <t>outside_list</t>
        </is>
      </c>
      <c r="W1203" s="11" t="n"/>
      <c r="X1203" s="11" t="n"/>
      <c r="Y1203" s="11" t="n"/>
      <c r="Z1203" s="11" t="inlineStr">
        <is>
          <t>Mr. Advocate</t>
        </is>
      </c>
      <c r="AA1203" s="11" t="inlineStr">
        <is>
          <t>2026-10-07</t>
        </is>
      </c>
      <c r="AB1203" s="11" t="inlineStr">
        <is>
          <t>name_year</t>
        </is>
      </c>
      <c r="AC1203" s="2" t="inlineStr"/>
      <c r="AD1203" s="2" t="inlineStr">
        <is>
          <t>Karnataka State Industrial Investment and Development Corporation Ltd. v. Assistant Commissioner of Commercial Taxes (2000) was overruled by State of Karnataka and Another v. Shreyas Papers Pvt. Ltd. and Others (2006).</t>
        </is>
      </c>
      <c r="AE1203" s="2" t="n"/>
      <c r="AF1203" s="11" t="inlineStr">
        <is>
          <t>created from list 1</t>
        </is>
      </c>
    </row>
    <row r="1204">
      <c r="A1204" s="11" t="inlineStr">
        <is>
          <t>L1-1203</t>
        </is>
      </c>
      <c r="B1204" s="11" t="inlineStr">
        <is>
          <t>List 1 (to ~2015)</t>
        </is>
      </c>
      <c r="C1204" s="11" t="inlineStr">
        <is>
          <t>list1</t>
        </is>
      </c>
      <c r="D1204" s="11" t="inlineStr">
        <is>
          <t>verified</t>
        </is>
      </c>
      <c r="E1204" s="11" t="inlineStr">
        <is>
          <t>overruled</t>
        </is>
      </c>
      <c r="F1204" s="2" t="inlineStr">
        <is>
          <t>Sgt. Jeevan Kumar v. Union of India (UOI)</t>
        </is>
      </c>
      <c r="G1204" s="11" t="inlineStr"/>
      <c r="H1204" s="11" t="inlineStr">
        <is>
          <t>unknown</t>
        </is>
      </c>
      <c r="I1204" s="2" t="inlineStr">
        <is>
          <t>(1992) ILR (Kar) 1027; (1992) 2 KarLJ 408</t>
        </is>
      </c>
      <c r="J1204" s="11" t="n">
        <v>1992</v>
      </c>
      <c r="K1204" s="2" t="inlineStr">
        <is>
          <t>Union of India and others v. Corporal A.K. Bakshi and another</t>
        </is>
      </c>
      <c r="L1204" s="11" t="inlineStr">
        <is>
          <t>Supreme Court</t>
        </is>
      </c>
      <c r="M1204" s="2" t="inlineStr">
        <is>
          <t>(1996) 2 AD 422; AIR 1996 SC 1368; (1996) 3 JT 310; (1996) 2 SCALE 394; (1996) 3 SCC 65; (1996) 2 SCR 986; (1996) 1 UJ 705</t>
        </is>
      </c>
      <c r="N1204" s="11" t="n">
        <v>1996</v>
      </c>
      <c r="O1204" s="11" t="n"/>
      <c r="P1204" s="11" t="n"/>
      <c r="Q1204" s="11" t="n"/>
      <c r="R1204" s="2" t="n"/>
      <c r="S1204" s="2" t="n"/>
      <c r="T1204" s="11" t="inlineStr"/>
      <c r="U1204" s="11" t="inlineStr"/>
      <c r="V1204" s="11" t="inlineStr">
        <is>
          <t>outside_list</t>
        </is>
      </c>
      <c r="W1204" s="11" t="n"/>
      <c r="X1204" s="11" t="n"/>
      <c r="Y1204" s="11" t="n"/>
      <c r="Z1204" s="11" t="inlineStr">
        <is>
          <t>Mr. Advocate</t>
        </is>
      </c>
      <c r="AA1204" s="11" t="inlineStr">
        <is>
          <t>2026-10-07</t>
        </is>
      </c>
      <c r="AB1204" s="11" t="inlineStr">
        <is>
          <t>name_year</t>
        </is>
      </c>
      <c r="AC1204" s="2" t="inlineStr"/>
      <c r="AD1204" s="2" t="inlineStr">
        <is>
          <t>Sgt. Jeevan Kumar v. Union of India (UOI) (1992) was overruled by Union of India and others v. Corporal A.K. Bakshi and another (1996).</t>
        </is>
      </c>
      <c r="AE1204" s="2" t="n"/>
      <c r="AF1204" s="11" t="inlineStr">
        <is>
          <t>created from list 1</t>
        </is>
      </c>
    </row>
    <row r="1205">
      <c r="A1205" s="11" t="inlineStr">
        <is>
          <t>L1-1204</t>
        </is>
      </c>
      <c r="B1205" s="11" t="inlineStr">
        <is>
          <t>List 1 (to ~2015)</t>
        </is>
      </c>
      <c r="C1205" s="11" t="inlineStr">
        <is>
          <t>list1</t>
        </is>
      </c>
      <c r="D1205" s="11" t="inlineStr">
        <is>
          <t>verified</t>
        </is>
      </c>
      <c r="E1205" s="11" t="inlineStr">
        <is>
          <t>overruled</t>
        </is>
      </c>
      <c r="F1205" s="2" t="inlineStr">
        <is>
          <t>M.D. Narayan v. State of Karnataka and Others</t>
        </is>
      </c>
      <c r="G1205" s="11" t="inlineStr"/>
      <c r="H1205" s="11" t="inlineStr">
        <is>
          <t>unknown</t>
        </is>
      </c>
      <c r="I1205" s="2" t="inlineStr">
        <is>
          <t>(1999) 4 KarLJ 572</t>
        </is>
      </c>
      <c r="J1205" s="11" t="n">
        <v>1999</v>
      </c>
      <c r="K1205" s="2" t="inlineStr">
        <is>
          <t>Bakhtawar Trust and Others v. M.D. Narayan and Others</t>
        </is>
      </c>
      <c r="L1205" s="11" t="inlineStr">
        <is>
          <t>Supreme Court</t>
        </is>
      </c>
      <c r="M1205" s="2" t="inlineStr">
        <is>
          <t>AIR 2003 SC 2236; (2004) 6 JT 587; (2003) 4 SCALE 590; (2003) 5 SCC 298; (2003) 1 SCR 1 Supp</t>
        </is>
      </c>
      <c r="N1205" s="11" t="n">
        <v>2003</v>
      </c>
      <c r="O1205" s="11" t="n"/>
      <c r="P1205" s="11" t="n"/>
      <c r="Q1205" s="11" t="n"/>
      <c r="R1205" s="2" t="n"/>
      <c r="S1205" s="2" t="n"/>
      <c r="T1205" s="11" t="inlineStr"/>
      <c r="U1205" s="11" t="inlineStr"/>
      <c r="V1205" s="11" t="inlineStr">
        <is>
          <t>outside_list</t>
        </is>
      </c>
      <c r="W1205" s="11" t="n"/>
      <c r="X1205" s="11" t="n"/>
      <c r="Y1205" s="11" t="n"/>
      <c r="Z1205" s="11" t="inlineStr">
        <is>
          <t>Mr. Advocate</t>
        </is>
      </c>
      <c r="AA1205" s="11" t="inlineStr">
        <is>
          <t>2026-10-07</t>
        </is>
      </c>
      <c r="AB1205" s="11" t="inlineStr">
        <is>
          <t>name_year</t>
        </is>
      </c>
      <c r="AC1205" s="2" t="inlineStr"/>
      <c r="AD1205" s="2" t="inlineStr">
        <is>
          <t>M.D. Narayan v. State of Karnataka and Others (1999) was overruled by Bakhtawar Trust and Others v. M.D. Narayan and Others (2003).</t>
        </is>
      </c>
      <c r="AE1205" s="2" t="n"/>
      <c r="AF1205" s="11" t="inlineStr">
        <is>
          <t>created from list 1</t>
        </is>
      </c>
    </row>
    <row r="1206">
      <c r="A1206" s="11" t="inlineStr">
        <is>
          <t>L1-1205</t>
        </is>
      </c>
      <c r="B1206" s="11" t="inlineStr">
        <is>
          <t>List 1 (to ~2015)</t>
        </is>
      </c>
      <c r="C1206" s="11" t="inlineStr">
        <is>
          <t>list1</t>
        </is>
      </c>
      <c r="D1206" s="11" t="inlineStr">
        <is>
          <t>verified</t>
        </is>
      </c>
      <c r="E1206" s="11" t="inlineStr">
        <is>
          <t>overruled</t>
        </is>
      </c>
      <c r="F1206" s="2" t="inlineStr">
        <is>
          <t>The Manager, Reserve Bank of India v. S. Mani and Others</t>
        </is>
      </c>
      <c r="G1206" s="11" t="inlineStr"/>
      <c r="H1206" s="11" t="inlineStr">
        <is>
          <t>unknown</t>
        </is>
      </c>
      <c r="I1206" s="2" t="inlineStr">
        <is>
          <t>(2002) 95 FLR 273; (2002) 5 KarLJ 30; (2002) 4 KCCR 2313; (2002) 3 LLJ 792</t>
        </is>
      </c>
      <c r="J1206" s="11" t="n">
        <v>2002</v>
      </c>
      <c r="K1206" s="2" t="inlineStr">
        <is>
          <t>Manager, R.B.I., Bangalore v. S. Mani and Others</t>
        </is>
      </c>
      <c r="L1206" s="11" t="inlineStr">
        <is>
          <t>Supreme Court</t>
        </is>
      </c>
      <c r="M1206" s="2" t="inlineStr">
        <is>
          <t>AIR 2005 SC 2179; (2005) 105 FLR 1067; (2005) 3 JT 248; (2005) 2 LLJ 258; (2005) 5 SCC 100; (2005) SCC(L&amp;S) 609; (2005) 2 SCR 797; (2005) 2 SLJ 309; (2005) AIRSCW 1728; (2005) 2 Supreme 589</t>
        </is>
      </c>
      <c r="N1206" s="11" t="n">
        <v>2005</v>
      </c>
      <c r="O1206" s="11" t="n"/>
      <c r="P1206" s="11" t="n"/>
      <c r="Q1206" s="11" t="n"/>
      <c r="R1206" s="2" t="n"/>
      <c r="S1206" s="2" t="n"/>
      <c r="T1206" s="11" t="inlineStr"/>
      <c r="U1206" s="11" t="inlineStr"/>
      <c r="V1206" s="11" t="inlineStr">
        <is>
          <t>outside_list</t>
        </is>
      </c>
      <c r="W1206" s="11" t="n"/>
      <c r="X1206" s="11" t="n"/>
      <c r="Y1206" s="11" t="n"/>
      <c r="Z1206" s="11" t="inlineStr">
        <is>
          <t>Mr. Advocate</t>
        </is>
      </c>
      <c r="AA1206" s="11" t="inlineStr">
        <is>
          <t>2026-10-07</t>
        </is>
      </c>
      <c r="AB1206" s="11" t="inlineStr">
        <is>
          <t>name_year</t>
        </is>
      </c>
      <c r="AC1206" s="2" t="inlineStr"/>
      <c r="AD1206" s="2" t="inlineStr">
        <is>
          <t>The Manager, Reserve Bank of India v. S. Mani and Others (2002) was overruled by Manager, R.B.I., Bangalore v. S. Mani and Others (2005).</t>
        </is>
      </c>
      <c r="AE1206" s="2" t="n"/>
      <c r="AF1206" s="11" t="inlineStr">
        <is>
          <t>created from list 1</t>
        </is>
      </c>
    </row>
    <row r="1207">
      <c r="A1207" s="11" t="inlineStr">
        <is>
          <t>L1-1206</t>
        </is>
      </c>
      <c r="B1207" s="11" t="inlineStr">
        <is>
          <t>List 1 (to ~2015)</t>
        </is>
      </c>
      <c r="C1207" s="11" t="inlineStr">
        <is>
          <t>list1</t>
        </is>
      </c>
      <c r="D1207" s="11" t="inlineStr">
        <is>
          <t>verified</t>
        </is>
      </c>
      <c r="E1207" s="11" t="inlineStr">
        <is>
          <t>overruled</t>
        </is>
      </c>
      <c r="F1207" s="2" t="inlineStr">
        <is>
          <t>Pee Kay Constructions v. Chandrasekhar Hegde</t>
        </is>
      </c>
      <c r="G1207" s="11" t="inlineStr"/>
      <c r="H1207" s="11" t="inlineStr">
        <is>
          <t>unknown</t>
        </is>
      </c>
      <c r="I1207" s="2" t="inlineStr">
        <is>
          <t>(1989) ILR (Kar) 241</t>
        </is>
      </c>
      <c r="J1207" s="11" t="n">
        <v>1989</v>
      </c>
      <c r="K1207" s="2" t="inlineStr">
        <is>
          <t>R and M Trust v. Koramangala Residents Vigilance Group and Others</t>
        </is>
      </c>
      <c r="L1207" s="11" t="inlineStr">
        <is>
          <t>Supreme Court</t>
        </is>
      </c>
      <c r="M1207" s="2" t="inlineStr">
        <is>
          <t>AIR 2005 SC 894; (2005) 1 JT 507; (2005) 3 SCC 91; (2005) 1 SCR 582; (2005) AIRSCW 736; (2005) 1 Supreme 405</t>
        </is>
      </c>
      <c r="N1207" s="11" t="n">
        <v>2005</v>
      </c>
      <c r="O1207" s="11" t="n"/>
      <c r="P1207" s="11" t="n"/>
      <c r="Q1207" s="11" t="n"/>
      <c r="R1207" s="2" t="n"/>
      <c r="S1207" s="2" t="n"/>
      <c r="T1207" s="11" t="inlineStr"/>
      <c r="U1207" s="11" t="inlineStr"/>
      <c r="V1207" s="11" t="inlineStr">
        <is>
          <t>outside_list</t>
        </is>
      </c>
      <c r="W1207" s="11" t="n"/>
      <c r="X1207" s="11" t="n"/>
      <c r="Y1207" s="11" t="n"/>
      <c r="Z1207" s="11" t="inlineStr">
        <is>
          <t>Mr. Advocate</t>
        </is>
      </c>
      <c r="AA1207" s="11" t="inlineStr">
        <is>
          <t>2026-10-07</t>
        </is>
      </c>
      <c r="AB1207" s="11" t="inlineStr">
        <is>
          <t>name_year</t>
        </is>
      </c>
      <c r="AC1207" s="2" t="inlineStr"/>
      <c r="AD1207" s="2" t="inlineStr">
        <is>
          <t>Pee Kay Constructions v. Chandrasekhar Hegde (1989) was overruled by R and M Trust v. Koramangala Residents Vigilance Group and Others (2005).</t>
        </is>
      </c>
      <c r="AE1207" s="2" t="n"/>
      <c r="AF1207" s="11" t="inlineStr">
        <is>
          <t>created from list 1</t>
        </is>
      </c>
    </row>
    <row r="1208">
      <c r="A1208" s="11" t="inlineStr">
        <is>
          <t>L1-1207</t>
        </is>
      </c>
      <c r="B1208" s="11" t="inlineStr">
        <is>
          <t>List 1 (to ~2015)</t>
        </is>
      </c>
      <c r="C1208" s="11" t="inlineStr">
        <is>
          <t>list1</t>
        </is>
      </c>
      <c r="D1208" s="11" t="inlineStr">
        <is>
          <t>verified</t>
        </is>
      </c>
      <c r="E1208" s="11" t="inlineStr">
        <is>
          <t>reversed_on_appeal</t>
        </is>
      </c>
      <c r="F1208" s="2" t="inlineStr">
        <is>
          <t>Andhra Steel Corporation v. Commissioner of Commercial Taxes in Karnataka, Bangalore</t>
        </is>
      </c>
      <c r="G1208" s="11" t="inlineStr"/>
      <c r="H1208" s="11" t="inlineStr">
        <is>
          <t>unknown</t>
        </is>
      </c>
      <c r="I1208" s="2" t="inlineStr">
        <is>
          <t>(1990) 78 STC 234</t>
        </is>
      </c>
      <c r="J1208" s="11" t="n">
        <v>1990</v>
      </c>
      <c r="K1208" s="2" t="inlineStr">
        <is>
          <t>M/s. Andhra Steel Corporation v. Commissioner of Commercial Taxes in Karnataka</t>
        </is>
      </c>
      <c r="L1208" s="11" t="inlineStr">
        <is>
          <t>Supreme Court</t>
        </is>
      </c>
      <c r="M1208" s="2" t="inlineStr">
        <is>
          <t>AIR 1990 SC 1912; (1990) 2 JT 380; (1990) 1 SCALE 679; (1990) 1 SCC 617 Supp; (1990) SCC 617 Supp; (1990) 2 SCR 253; (1990) 78 STC 243</t>
        </is>
      </c>
      <c r="N1208" s="11" t="n">
        <v>1990</v>
      </c>
      <c r="O1208" s="11" t="n"/>
      <c r="P1208" s="11" t="n"/>
      <c r="Q1208" s="11" t="n"/>
      <c r="R1208" s="2" t="n"/>
      <c r="S1208" s="2" t="n"/>
      <c r="T1208" s="11" t="inlineStr">
        <is>
          <t>yes</t>
        </is>
      </c>
      <c r="U1208" s="11" t="inlineStr"/>
      <c r="V1208" s="11" t="inlineStr">
        <is>
          <t>outside_list</t>
        </is>
      </c>
      <c r="W1208" s="11" t="n"/>
      <c r="X1208" s="11" t="n"/>
      <c r="Y1208" s="11" t="n"/>
      <c r="Z1208" s="11" t="inlineStr">
        <is>
          <t>Mr. Advocate</t>
        </is>
      </c>
      <c r="AA1208" s="11" t="inlineStr">
        <is>
          <t>2026-10-07</t>
        </is>
      </c>
      <c r="AB1208" s="11" t="inlineStr">
        <is>
          <t>name_year</t>
        </is>
      </c>
      <c r="AC1208" s="2" t="inlineStr"/>
      <c r="AD1208" s="2" t="inlineStr">
        <is>
          <t>Andhra Steel Corporation v. Commissioner of Commercial Taxes in Karnataka, Bangalore (1990) was reversed on appeal by the Supreme Court in M/s. Andhra Steel Corporation v. Commissioner of Commercial Taxes in Karnataka (1990).</t>
        </is>
      </c>
      <c r="AE1208" s="2" t="n"/>
      <c r="AF1208" s="11" t="inlineStr">
        <is>
          <t>created from list 1</t>
        </is>
      </c>
    </row>
    <row r="1209">
      <c r="A1209" s="11" t="inlineStr">
        <is>
          <t>L1-1208</t>
        </is>
      </c>
      <c r="B1209" s="11" t="inlineStr">
        <is>
          <t>List 1 (to ~2015)</t>
        </is>
      </c>
      <c r="C1209" s="11" t="inlineStr">
        <is>
          <t>list1</t>
        </is>
      </c>
      <c r="D1209" s="11" t="inlineStr">
        <is>
          <t>verified</t>
        </is>
      </c>
      <c r="E1209" s="11" t="inlineStr">
        <is>
          <t>reversed_on_appeal</t>
        </is>
      </c>
      <c r="F1209" s="2" t="inlineStr">
        <is>
          <t>Uday v. State</t>
        </is>
      </c>
      <c r="G1209" s="11" t="inlineStr"/>
      <c r="H1209" s="11" t="inlineStr">
        <is>
          <t>unknown</t>
        </is>
      </c>
      <c r="I1209" s="2" t="inlineStr">
        <is>
          <t>(1996) ILR (Kar) 312</t>
        </is>
      </c>
      <c r="J1209" s="11" t="n">
        <v>1996</v>
      </c>
      <c r="K1209" s="2" t="inlineStr">
        <is>
          <t>Uday v. State of Karnataka</t>
        </is>
      </c>
      <c r="L1209" s="11" t="inlineStr">
        <is>
          <t>Supreme Court</t>
        </is>
      </c>
      <c r="M1209" s="2" t="inlineStr">
        <is>
          <t>AIR 2003 SC 1639; (2003) CriLJ 1539; (2003) 2 JT 243; (2003) 2 SCALE 329; (2003) 4 SCC 46; (2003) 2 SCR 231; (2003) AIRSCW 1035; (2003) 2 Supreme 145</t>
        </is>
      </c>
      <c r="N1209" s="11" t="n">
        <v>2003</v>
      </c>
      <c r="O1209" s="11" t="n"/>
      <c r="P1209" s="11" t="n"/>
      <c r="Q1209" s="11" t="n"/>
      <c r="R1209" s="2" t="n"/>
      <c r="S1209" s="2" t="n"/>
      <c r="T1209" s="11" t="inlineStr">
        <is>
          <t>yes</t>
        </is>
      </c>
      <c r="U1209" s="11" t="inlineStr">
        <is>
          <t>needs_citation_or_year</t>
        </is>
      </c>
      <c r="V1209" s="11" t="inlineStr">
        <is>
          <t>outside_list</t>
        </is>
      </c>
      <c r="W1209" s="11" t="n"/>
      <c r="X1209" s="11" t="n"/>
      <c r="Y1209" s="11" t="n"/>
      <c r="Z1209" s="11" t="inlineStr">
        <is>
          <t>Mr. Advocate</t>
        </is>
      </c>
      <c r="AA1209" s="11" t="inlineStr">
        <is>
          <t>2026-10-07</t>
        </is>
      </c>
      <c r="AB1209" s="11" t="inlineStr">
        <is>
          <t>none</t>
        </is>
      </c>
      <c r="AC1209" s="2" t="inlineStr"/>
      <c r="AD1209" s="2" t="inlineStr">
        <is>
          <t>Uday v. State (1996) was reversed on appeal by the Supreme Court in Uday v. State of Karnataka (2003).</t>
        </is>
      </c>
      <c r="AE1209" s="2" t="n"/>
      <c r="AF1209" s="11" t="inlineStr">
        <is>
          <t>created from list 1</t>
        </is>
      </c>
    </row>
    <row r="1210">
      <c r="A1210" s="11" t="inlineStr">
        <is>
          <t>L1-1209</t>
        </is>
      </c>
      <c r="B1210" s="11" t="inlineStr">
        <is>
          <t>List 1 (to ~2015)</t>
        </is>
      </c>
      <c r="C1210" s="11" t="inlineStr">
        <is>
          <t>list1</t>
        </is>
      </c>
      <c r="D1210" s="11" t="inlineStr">
        <is>
          <t>verified</t>
        </is>
      </c>
      <c r="E1210" s="11" t="inlineStr">
        <is>
          <t>overruled</t>
        </is>
      </c>
      <c r="F1210" s="2" t="inlineStr">
        <is>
          <t>The Management of Hukkeri and Others v. S.R. Vastrad and Others</t>
        </is>
      </c>
      <c r="G1210" s="11" t="inlineStr"/>
      <c r="H1210" s="11" t="inlineStr">
        <is>
          <t>unknown</t>
        </is>
      </c>
      <c r="I1210" s="2" t="inlineStr">
        <is>
          <t>(2005) ILR (Kar) 3882; (2006) 2 KarLJ 528; (2005) 3 KCCR 2212</t>
        </is>
      </c>
      <c r="J1210" s="11" t="n">
        <v>2005</v>
      </c>
      <c r="K1210" s="2" t="inlineStr">
        <is>
          <t>Dharappa v. Bijapur Co-operative Milk Producers Societies Union Ltd.</t>
        </is>
      </c>
      <c r="L1210" s="11" t="inlineStr">
        <is>
          <t>Supreme Court</t>
        </is>
      </c>
      <c r="M1210" s="2" t="inlineStr">
        <is>
          <t>AIR 2007 SC 1848; (2007) 113 FLR 1159; (2007) 2 LLJ 844; (2007) 6 SCALE 307; (2007) 9 SCC 109; (2007) 5 SCR 729</t>
        </is>
      </c>
      <c r="N1210" s="11" t="n">
        <v>2007</v>
      </c>
      <c r="O1210" s="11" t="n"/>
      <c r="P1210" s="11" t="n"/>
      <c r="Q1210" s="11" t="n"/>
      <c r="R1210" s="2" t="n"/>
      <c r="S1210" s="2" t="n"/>
      <c r="T1210" s="11" t="inlineStr"/>
      <c r="U1210" s="11" t="inlineStr"/>
      <c r="V1210" s="11" t="inlineStr">
        <is>
          <t>outside_list</t>
        </is>
      </c>
      <c r="W1210" s="11" t="n"/>
      <c r="X1210" s="11" t="n"/>
      <c r="Y1210" s="11" t="n"/>
      <c r="Z1210" s="11" t="inlineStr">
        <is>
          <t>Mr. Advocate</t>
        </is>
      </c>
      <c r="AA1210" s="11" t="inlineStr">
        <is>
          <t>2026-10-07</t>
        </is>
      </c>
      <c r="AB1210" s="11" t="inlineStr">
        <is>
          <t>name_year</t>
        </is>
      </c>
      <c r="AC1210" s="2" t="inlineStr"/>
      <c r="AD1210" s="2" t="inlineStr">
        <is>
          <t>The Management of Hukkeri and Others v. S.R. Vastrad and Others (2005) was overruled by Dharappa v. Bijapur Co-operative Milk Producers Societies Union Ltd. (2007).</t>
        </is>
      </c>
      <c r="AE1210" s="2" t="n"/>
      <c r="AF1210" s="11" t="inlineStr">
        <is>
          <t>created from list 1</t>
        </is>
      </c>
    </row>
    <row r="1211">
      <c r="A1211" s="11" t="inlineStr">
        <is>
          <t>L1-1210</t>
        </is>
      </c>
      <c r="B1211" s="11" t="inlineStr">
        <is>
          <t>List 1 (to ~2015)</t>
        </is>
      </c>
      <c r="C1211" s="11" t="inlineStr">
        <is>
          <t>list1</t>
        </is>
      </c>
      <c r="D1211" s="11" t="inlineStr">
        <is>
          <t>verified</t>
        </is>
      </c>
      <c r="E1211" s="11" t="inlineStr">
        <is>
          <t>reversed_on_appeal</t>
        </is>
      </c>
      <c r="F1211" s="2" t="inlineStr">
        <is>
          <t>Saibanna v. The Assistant Commissioner and Land Acquisition Officer of Gulbarga, Gulbarga District</t>
        </is>
      </c>
      <c r="G1211" s="11" t="inlineStr"/>
      <c r="H1211" s="11" t="inlineStr">
        <is>
          <t>unknown</t>
        </is>
      </c>
      <c r="I1211" s="2" t="inlineStr">
        <is>
          <t>(2000) ILR (Kar) 1717; (2000) 3 KarLJ 643; (2000) 3 KCCR 1800</t>
        </is>
      </c>
      <c r="J1211" s="11" t="n">
        <v>2000</v>
      </c>
      <c r="K1211" s="2" t="inlineStr">
        <is>
          <t>Saibanna ‘Dead’ by LRs. v. Assistant Commissioner and Land Acquisition Officer</t>
        </is>
      </c>
      <c r="L1211" s="11" t="inlineStr">
        <is>
          <t>Supreme Court</t>
        </is>
      </c>
      <c r="M1211" s="2" t="inlineStr">
        <is>
          <t>(2009) 10 JT 587; (2009) 11 SCALE 531; (2009) 9 SCC 409; (2009) 14 SCR 401</t>
        </is>
      </c>
      <c r="N1211" s="11" t="n">
        <v>2009</v>
      </c>
      <c r="O1211" s="11" t="n"/>
      <c r="P1211" s="11" t="n"/>
      <c r="Q1211" s="11" t="n"/>
      <c r="R1211" s="2" t="n"/>
      <c r="S1211" s="2" t="n"/>
      <c r="T1211" s="11" t="inlineStr">
        <is>
          <t>yes</t>
        </is>
      </c>
      <c r="U1211" s="11" t="inlineStr"/>
      <c r="V1211" s="11" t="inlineStr">
        <is>
          <t>outside_list</t>
        </is>
      </c>
      <c r="W1211" s="11" t="n"/>
      <c r="X1211" s="11" t="n"/>
      <c r="Y1211" s="11" t="n"/>
      <c r="Z1211" s="11" t="inlineStr">
        <is>
          <t>Mr. Advocate</t>
        </is>
      </c>
      <c r="AA1211" s="11" t="inlineStr">
        <is>
          <t>2026-10-07</t>
        </is>
      </c>
      <c r="AB1211" s="11" t="inlineStr">
        <is>
          <t>name_year</t>
        </is>
      </c>
      <c r="AC1211" s="2" t="inlineStr"/>
      <c r="AD1211" s="2" t="inlineStr">
        <is>
          <t>Saibanna v. The Assistant Commissioner and Land Acquisition Officer of Gulbarga, Gulbarga District (2000) was reversed on appeal by the Supreme Court in Saibanna ‘Dead’ by LRs. v. Assistant Commissioner and Land Acquisition Officer (2009).</t>
        </is>
      </c>
      <c r="AE1211" s="2" t="n"/>
      <c r="AF1211" s="11" t="inlineStr">
        <is>
          <t>created from list 1</t>
        </is>
      </c>
    </row>
    <row r="1212">
      <c r="A1212" s="11" t="inlineStr">
        <is>
          <t>L1-1211</t>
        </is>
      </c>
      <c r="B1212" s="11" t="inlineStr">
        <is>
          <t>List 1 (to ~2015)</t>
        </is>
      </c>
      <c r="C1212" s="11" t="inlineStr">
        <is>
          <t>list1</t>
        </is>
      </c>
      <c r="D1212" s="11" t="inlineStr">
        <is>
          <t>verified</t>
        </is>
      </c>
      <c r="E1212" s="11" t="inlineStr">
        <is>
          <t>overruled</t>
        </is>
      </c>
      <c r="F1212" s="2" t="inlineStr">
        <is>
          <t>City Tobacco Mart v. Income Tax Officer, Urban Circle, Bangalore</t>
        </is>
      </c>
      <c r="G1212" s="11" t="inlineStr"/>
      <c r="H1212" s="11" t="inlineStr">
        <is>
          <t>unknown</t>
        </is>
      </c>
      <c r="I1212" s="2" t="inlineStr">
        <is>
          <t>(1955) 27 ITR 549</t>
        </is>
      </c>
      <c r="J1212" s="11" t="n">
        <v>1955</v>
      </c>
      <c r="K1212" s="2" t="inlineStr">
        <is>
          <t>The Income Tax Officer, Bangalore v. K.N. Guruswamy</t>
        </is>
      </c>
      <c r="L1212" s="11" t="inlineStr">
        <is>
          <t>Supreme Court</t>
        </is>
      </c>
      <c r="M1212" s="2" t="inlineStr">
        <is>
          <t>AIR 1958 SC 808; (1958) 34 ITR 601; (1959) 1 SCR 785</t>
        </is>
      </c>
      <c r="N1212" s="11" t="n">
        <v>1958</v>
      </c>
      <c r="O1212" s="11" t="n"/>
      <c r="P1212" s="11" t="n"/>
      <c r="Q1212" s="11" t="n"/>
      <c r="R1212" s="2" t="n"/>
      <c r="S1212" s="2" t="n"/>
      <c r="T1212" s="11" t="inlineStr"/>
      <c r="U1212" s="11" t="inlineStr"/>
      <c r="V1212" s="11" t="inlineStr">
        <is>
          <t>outside_list</t>
        </is>
      </c>
      <c r="W1212" s="11" t="n"/>
      <c r="X1212" s="11" t="n"/>
      <c r="Y1212" s="11" t="n"/>
      <c r="Z1212" s="11" t="inlineStr">
        <is>
          <t>Mr. Advocate</t>
        </is>
      </c>
      <c r="AA1212" s="11" t="inlineStr">
        <is>
          <t>2026-10-07</t>
        </is>
      </c>
      <c r="AB1212" s="11" t="inlineStr">
        <is>
          <t>name_year</t>
        </is>
      </c>
      <c r="AC1212" s="2" t="inlineStr"/>
      <c r="AD1212" s="2" t="inlineStr">
        <is>
          <t>City Tobacco Mart v. Income Tax Officer, Urban Circle, Bangalore (1955) was overruled by The Income Tax Officer, Bangalore v. K.N. Guruswamy (1958).</t>
        </is>
      </c>
      <c r="AE1212" s="2" t="n"/>
      <c r="AF1212" s="11" t="inlineStr">
        <is>
          <t>created from list 1</t>
        </is>
      </c>
    </row>
    <row r="1213">
      <c r="A1213" s="11" t="inlineStr">
        <is>
          <t>L1-1212</t>
        </is>
      </c>
      <c r="B1213" s="11" t="inlineStr">
        <is>
          <t>List 1 (to ~2015)</t>
        </is>
      </c>
      <c r="C1213" s="11" t="inlineStr">
        <is>
          <t>list1</t>
        </is>
      </c>
      <c r="D1213" s="11" t="inlineStr">
        <is>
          <t>verified</t>
        </is>
      </c>
      <c r="E1213" s="11" t="inlineStr">
        <is>
          <t>reversed_on_appeal</t>
        </is>
      </c>
      <c r="F1213" s="2" t="inlineStr">
        <is>
          <t>Forbes Gokak Limited v. J.H. Jadhav</t>
        </is>
      </c>
      <c r="G1213" s="11" t="inlineStr"/>
      <c r="H1213" s="11" t="inlineStr">
        <is>
          <t>unknown</t>
        </is>
      </c>
      <c r="I1213" s="2" t="inlineStr">
        <is>
          <t>(2004) 102 FLR 916; (2004) ILR (Kar) 2841; (2004) 7 KarLJ 264; (2004) 3 LLJ 1050</t>
        </is>
      </c>
      <c r="J1213" s="11" t="n">
        <v>2004</v>
      </c>
      <c r="K1213" s="2" t="inlineStr">
        <is>
          <t>J.H. Jadhav v. Forbes Gokak Ltd.</t>
        </is>
      </c>
      <c r="L1213" s="11" t="inlineStr">
        <is>
          <t>Supreme Court</t>
        </is>
      </c>
      <c r="M1213" s="2" t="inlineStr">
        <is>
          <t>AIR 2005 SC 998; (2005) 104 FLR 1005; (2005) 2 JT 378; (2005) 1 LLJ 1089; (2005) 3 SCC 202; (2005) SCC(L&amp;S) 377; (2005) 2 SCR 88; (2005) 2 SLJ 236; (2005) 2 UJ 1083</t>
        </is>
      </c>
      <c r="N1213" s="11" t="n">
        <v>2005</v>
      </c>
      <c r="O1213" s="11" t="n"/>
      <c r="P1213" s="11" t="n"/>
      <c r="Q1213" s="11" t="n"/>
      <c r="R1213" s="2" t="n"/>
      <c r="S1213" s="2" t="n"/>
      <c r="T1213" s="11" t="inlineStr">
        <is>
          <t>yes</t>
        </is>
      </c>
      <c r="U1213" s="11" t="inlineStr"/>
      <c r="V1213" s="11" t="inlineStr">
        <is>
          <t>outside_list</t>
        </is>
      </c>
      <c r="W1213" s="11" t="n"/>
      <c r="X1213" s="11" t="n"/>
      <c r="Y1213" s="11" t="n"/>
      <c r="Z1213" s="11" t="inlineStr">
        <is>
          <t>Mr. Advocate</t>
        </is>
      </c>
      <c r="AA1213" s="11" t="inlineStr">
        <is>
          <t>2026-10-07</t>
        </is>
      </c>
      <c r="AB1213" s="11" t="inlineStr">
        <is>
          <t>name_year</t>
        </is>
      </c>
      <c r="AC1213" s="2" t="inlineStr"/>
      <c r="AD1213" s="2" t="inlineStr">
        <is>
          <t>Forbes Gokak Limited v. J.H. Jadhav (2004) was reversed on appeal by the Supreme Court in J.H. Jadhav v. Forbes Gokak Ltd. (2005).</t>
        </is>
      </c>
      <c r="AE1213" s="2" t="n"/>
      <c r="AF1213" s="11" t="inlineStr">
        <is>
          <t>created from list 1</t>
        </is>
      </c>
    </row>
    <row r="1214">
      <c r="A1214" s="11" t="inlineStr">
        <is>
          <t>L1-1213</t>
        </is>
      </c>
      <c r="B1214" s="11" t="inlineStr">
        <is>
          <t>List 1 (to ~2015)</t>
        </is>
      </c>
      <c r="C1214" s="11" t="inlineStr">
        <is>
          <t>list1</t>
        </is>
      </c>
      <c r="D1214" s="11" t="inlineStr">
        <is>
          <t>verified</t>
        </is>
      </c>
      <c r="E1214" s="11" t="inlineStr">
        <is>
          <t>overruled</t>
        </is>
      </c>
      <c r="F1214" s="2" t="inlineStr">
        <is>
          <t>S. Subramanyaswamy v. The Deputy Commissioner, Bangalore District, Bangalore and Others</t>
        </is>
      </c>
      <c r="G1214" s="11" t="inlineStr"/>
      <c r="H1214" s="11" t="inlineStr">
        <is>
          <t>Karnataka</t>
        </is>
      </c>
      <c r="I1214" s="2" t="inlineStr">
        <is>
          <t>AIR 1981 Kar 190; (1981) ILR (Kar) 513; (1981) 1 KarLJ 451</t>
        </is>
      </c>
      <c r="J1214" s="11" t="n">
        <v>1981</v>
      </c>
      <c r="K1214" s="2" t="inlineStr">
        <is>
          <t>S.B. Abdul Azeez (By Lrs.) v. M. Maniyappa Setty and Others</t>
        </is>
      </c>
      <c r="L1214" s="11" t="inlineStr">
        <is>
          <t>Supreme Court</t>
        </is>
      </c>
      <c r="M1214" s="2" t="inlineStr">
        <is>
          <t>AIR 1989 SC 553; (1988) 4 JT 133; (1988) 2 SCALE 1009; (1988) 4 SCC 727; (1988) 3 SCR 505 Supp; (1989) 1 UJ 149</t>
        </is>
      </c>
      <c r="N1214" s="11" t="n">
        <v>1989</v>
      </c>
      <c r="O1214" s="11" t="n"/>
      <c r="P1214" s="11" t="n"/>
      <c r="Q1214" s="11" t="n"/>
      <c r="R1214" s="2" t="n"/>
      <c r="S1214" s="2" t="n"/>
      <c r="T1214" s="11" t="inlineStr"/>
      <c r="U1214" s="11" t="inlineStr"/>
      <c r="V1214" s="11" t="inlineStr">
        <is>
          <t>outside_list</t>
        </is>
      </c>
      <c r="W1214" s="11" t="n"/>
      <c r="X1214" s="11" t="n"/>
      <c r="Y1214" s="11" t="n"/>
      <c r="Z1214" s="11" t="inlineStr">
        <is>
          <t>Mr. Advocate</t>
        </is>
      </c>
      <c r="AA1214" s="11" t="inlineStr">
        <is>
          <t>2026-10-07</t>
        </is>
      </c>
      <c r="AB1214" s="11" t="inlineStr">
        <is>
          <t>name_year</t>
        </is>
      </c>
      <c r="AC1214" s="2" t="inlineStr"/>
      <c r="AD1214" s="2" t="inlineStr">
        <is>
          <t>S. Subramanyaswamy v. The Deputy Commissioner, Bangalore District, Bangalore and Others (1981) was overruled by S.B. Abdul Azeez (By Lrs.) v. M. Maniyappa Setty and Others (1989).</t>
        </is>
      </c>
      <c r="AE1214" s="2" t="n"/>
      <c r="AF1214" s="11" t="inlineStr">
        <is>
          <t>created from list 1</t>
        </is>
      </c>
    </row>
    <row r="1215">
      <c r="A1215" s="11" t="inlineStr">
        <is>
          <t>L1-1214</t>
        </is>
      </c>
      <c r="B1215" s="11" t="inlineStr">
        <is>
          <t>List 1 (to ~2015)</t>
        </is>
      </c>
      <c r="C1215" s="11" t="inlineStr">
        <is>
          <t>list1</t>
        </is>
      </c>
      <c r="D1215" s="11" t="inlineStr">
        <is>
          <t>verified</t>
        </is>
      </c>
      <c r="E1215" s="11" t="inlineStr">
        <is>
          <t>reversed_on_appeal</t>
        </is>
      </c>
      <c r="F1215" s="2" t="inlineStr">
        <is>
          <t>K.G. Jagannath v. The State of Mysore and Another</t>
        </is>
      </c>
      <c r="G1215" s="11" t="inlineStr"/>
      <c r="H1215" s="11" t="inlineStr">
        <is>
          <t>Karnataka</t>
        </is>
      </c>
      <c r="I1215" s="2" t="inlineStr">
        <is>
          <t>AIR 1971 Kar 342; (1971) 2 MysLJ 384</t>
        </is>
      </c>
      <c r="J1215" s="11" t="n">
        <v>1971</v>
      </c>
      <c r="K1215" s="2" t="inlineStr">
        <is>
          <t>State of Mysore and Another v. K.G. Jagannath</t>
        </is>
      </c>
      <c r="L1215" s="11" t="inlineStr">
        <is>
          <t>Supreme Court</t>
        </is>
      </c>
      <c r="M1215" s="2" t="inlineStr">
        <is>
          <t>AIR 1973 SC 2165; (1973) 1 SCC 736; (1973) 3 SCR 770</t>
        </is>
      </c>
      <c r="N1215" s="11" t="n">
        <v>1973</v>
      </c>
      <c r="O1215" s="11" t="n"/>
      <c r="P1215" s="11" t="n"/>
      <c r="Q1215" s="11" t="n"/>
      <c r="R1215" s="2" t="n"/>
      <c r="S1215" s="2" t="n"/>
      <c r="T1215" s="11" t="inlineStr">
        <is>
          <t>yes</t>
        </is>
      </c>
      <c r="U1215" s="11" t="inlineStr"/>
      <c r="V1215" s="11" t="inlineStr">
        <is>
          <t>outside_list</t>
        </is>
      </c>
      <c r="W1215" s="11" t="n"/>
      <c r="X1215" s="11" t="n"/>
      <c r="Y1215" s="11" t="n"/>
      <c r="Z1215" s="11" t="inlineStr">
        <is>
          <t>Mr. Advocate</t>
        </is>
      </c>
      <c r="AA1215" s="11" t="inlineStr">
        <is>
          <t>2026-10-07</t>
        </is>
      </c>
      <c r="AB1215" s="11" t="inlineStr">
        <is>
          <t>name_year</t>
        </is>
      </c>
      <c r="AC1215" s="2" t="inlineStr"/>
      <c r="AD1215" s="2" t="inlineStr">
        <is>
          <t>K.G. Jagannath v. The State of Mysore and Another (1971) was reversed on appeal by the Supreme Court in State of Mysore and Another v. K.G. Jagannath (1973).</t>
        </is>
      </c>
      <c r="AE1215" s="2" t="n"/>
      <c r="AF1215" s="11" t="inlineStr">
        <is>
          <t>created from list 1</t>
        </is>
      </c>
    </row>
    <row r="1216">
      <c r="A1216" s="11" t="inlineStr">
        <is>
          <t>L1-1215</t>
        </is>
      </c>
      <c r="B1216" s="11" t="inlineStr">
        <is>
          <t>List 1 (to ~2015)</t>
        </is>
      </c>
      <c r="C1216" s="11" t="inlineStr">
        <is>
          <t>list1</t>
        </is>
      </c>
      <c r="D1216" s="11" t="inlineStr">
        <is>
          <t>verified</t>
        </is>
      </c>
      <c r="E1216" s="11" t="inlineStr">
        <is>
          <t>overruled</t>
        </is>
      </c>
      <c r="F1216" s="2" t="inlineStr">
        <is>
          <t>Commissioner of Income Tax v. Deepchand Kishanlal</t>
        </is>
      </c>
      <c r="G1216" s="11" t="inlineStr"/>
      <c r="H1216" s="11" t="inlineStr">
        <is>
          <t>unknown</t>
        </is>
      </c>
      <c r="I1216" s="2" t="inlineStr">
        <is>
          <t>(1990) 82 CTR 322; (1990) 183 ITR 299</t>
        </is>
      </c>
      <c r="J1216" s="11" t="n">
        <v>1990</v>
      </c>
      <c r="K1216" s="2" t="inlineStr">
        <is>
          <t>Modi Industries Limited, Modinagar and Others v. Commissioner of Income Tax, Delhi and Another</t>
        </is>
      </c>
      <c r="L1216" s="11" t="inlineStr">
        <is>
          <t>Supreme Court</t>
        </is>
      </c>
      <c r="M1216" s="2" t="inlineStr">
        <is>
          <t>(1995) 128 CTR 361; (1995) 216 ITR 759; (1995) 6 JT 549; (1995) 5 SCALE 362; (1995) 6 SCC 396; (1995) 3 SCR 642 Supp</t>
        </is>
      </c>
      <c r="N1216" s="11" t="n">
        <v>1995</v>
      </c>
      <c r="O1216" s="11" t="n"/>
      <c r="P1216" s="11" t="n"/>
      <c r="Q1216" s="11" t="n"/>
      <c r="R1216" s="2" t="n"/>
      <c r="S1216" s="2" t="n"/>
      <c r="T1216" s="11" t="inlineStr"/>
      <c r="U1216" s="11" t="inlineStr"/>
      <c r="V1216" s="11" t="inlineStr">
        <is>
          <t>outside_list</t>
        </is>
      </c>
      <c r="W1216" s="11" t="n"/>
      <c r="X1216" s="11" t="n"/>
      <c r="Y1216" s="11" t="n"/>
      <c r="Z1216" s="11" t="inlineStr">
        <is>
          <t>Mr. Advocate</t>
        </is>
      </c>
      <c r="AA1216" s="11" t="inlineStr">
        <is>
          <t>2026-10-07</t>
        </is>
      </c>
      <c r="AB1216" s="11" t="inlineStr">
        <is>
          <t>name_year</t>
        </is>
      </c>
      <c r="AC1216" s="2" t="inlineStr"/>
      <c r="AD1216" s="2" t="inlineStr">
        <is>
          <t>Commissioner of Income Tax v. Deepchand Kishanlal (1990) was overruled by Modi Industries Limited, Modinagar and Others v. Commissioner of Income Tax, Delhi and Another (1995).</t>
        </is>
      </c>
      <c r="AE1216" s="2" t="n"/>
      <c r="AF1216" s="11" t="inlineStr">
        <is>
          <t>created from list 1</t>
        </is>
      </c>
    </row>
    <row r="1217">
      <c r="A1217" s="11" t="inlineStr">
        <is>
          <t>L1-1216</t>
        </is>
      </c>
      <c r="B1217" s="11" t="inlineStr">
        <is>
          <t>List 1 (to ~2015)</t>
        </is>
      </c>
      <c r="C1217" s="11" t="inlineStr">
        <is>
          <t>list1</t>
        </is>
      </c>
      <c r="D1217" s="11" t="inlineStr">
        <is>
          <t>verified</t>
        </is>
      </c>
      <c r="E1217" s="11" t="inlineStr">
        <is>
          <t>reversed_on_appeal</t>
        </is>
      </c>
      <c r="F1217" s="2" t="inlineStr">
        <is>
          <t>Sri Venkatesh Gururao Kuratti v. The Syndicate Bank and Others</t>
        </is>
      </c>
      <c r="G1217" s="11" t="inlineStr"/>
      <c r="H1217" s="11" t="inlineStr">
        <is>
          <t>unknown</t>
        </is>
      </c>
      <c r="I1217" s="2" t="inlineStr">
        <is>
          <t>(2004) ILR (Kar) 2240; (2004) 7 KarLJ 243; (2004) 3 KCCR 1752; (2004) 3 LLJ 660</t>
        </is>
      </c>
      <c r="J1217" s="11" t="n">
        <v>2004</v>
      </c>
      <c r="K1217" s="2" t="inlineStr">
        <is>
          <t>Syndicate Bank and Others v. Venkatesh Gururao Kurati</t>
        </is>
      </c>
      <c r="L1217" s="11" t="inlineStr">
        <is>
          <t>Supreme Court</t>
        </is>
      </c>
      <c r="M1217" s="2" t="inlineStr">
        <is>
          <t>AIR 2006 SC 3542; (2006) 108 FLR 1043; (2006) 2 JT 73; (2006) 1 LLJ 988; (2006) 2 SCALE 101; (2006) 3 SCC 150; (2006) SCC(L&amp;S) 487; (2006) 1 SCR 920; (2006) 2 SLJ 285; (2006) AIRSCW 680; (2006) 1 Supreme 582</t>
        </is>
      </c>
      <c r="N1217" s="11" t="n">
        <v>2006</v>
      </c>
      <c r="O1217" s="11" t="n"/>
      <c r="P1217" s="11" t="n"/>
      <c r="Q1217" s="11" t="n"/>
      <c r="R1217" s="2" t="n"/>
      <c r="S1217" s="2" t="n"/>
      <c r="T1217" s="11" t="inlineStr">
        <is>
          <t>yes</t>
        </is>
      </c>
      <c r="U1217" s="11" t="inlineStr"/>
      <c r="V1217" s="11" t="inlineStr">
        <is>
          <t>outside_list</t>
        </is>
      </c>
      <c r="W1217" s="11" t="n"/>
      <c r="X1217" s="11" t="n"/>
      <c r="Y1217" s="11" t="n"/>
      <c r="Z1217" s="11" t="inlineStr">
        <is>
          <t>Mr. Advocate</t>
        </is>
      </c>
      <c r="AA1217" s="11" t="inlineStr">
        <is>
          <t>2026-10-07</t>
        </is>
      </c>
      <c r="AB1217" s="11" t="inlineStr">
        <is>
          <t>name_year</t>
        </is>
      </c>
      <c r="AC1217" s="2" t="inlineStr"/>
      <c r="AD1217" s="2" t="inlineStr">
        <is>
          <t>Sri Venkatesh Gururao Kuratti v. The Syndicate Bank and Others (2004) was reversed on appeal by the Supreme Court in Syndicate Bank and Others v. Venkatesh Gururao Kurati (2006).</t>
        </is>
      </c>
      <c r="AE1217" s="2" t="n"/>
      <c r="AF1217" s="11" t="inlineStr">
        <is>
          <t>created from list 1</t>
        </is>
      </c>
    </row>
    <row r="1218">
      <c r="A1218" s="11" t="inlineStr">
        <is>
          <t>L1-1217</t>
        </is>
      </c>
      <c r="B1218" s="11" t="inlineStr">
        <is>
          <t>List 1 (to ~2015)</t>
        </is>
      </c>
      <c r="C1218" s="11" t="inlineStr">
        <is>
          <t>list1</t>
        </is>
      </c>
      <c r="D1218" s="11" t="inlineStr">
        <is>
          <t>verified</t>
        </is>
      </c>
      <c r="E1218" s="11" t="inlineStr">
        <is>
          <t>reversed_on_appeal</t>
        </is>
      </c>
      <c r="F1218" s="2" t="inlineStr">
        <is>
          <t>Kuppuswamy Gownder v. The State of Karnataka</t>
        </is>
      </c>
      <c r="G1218" s="11" t="inlineStr"/>
      <c r="H1218" s="11" t="inlineStr">
        <is>
          <t>unknown</t>
        </is>
      </c>
      <c r="I1218" s="2" t="inlineStr">
        <is>
          <t>(1982) CriLJ 90; (1981) 2 KarLJ 509</t>
        </is>
      </c>
      <c r="J1218" s="11" t="n">
        <v>1981</v>
      </c>
      <c r="K1218" s="2" t="inlineStr">
        <is>
          <t>State of Karnataka v. Kuppuswamy Gownder and Others</t>
        </is>
      </c>
      <c r="L1218" s="11" t="inlineStr">
        <is>
          <t>Supreme Court</t>
        </is>
      </c>
      <c r="M1218" s="2" t="inlineStr">
        <is>
          <t>AIR 1987 SC 1354; (1987) CriLJ 1075; (1987) 1 JT 512; (1987) 1 SCALE 353; (1987) 2 SCC 74; (1987) 2 SCR 295</t>
        </is>
      </c>
      <c r="N1218" s="11" t="n">
        <v>1987</v>
      </c>
      <c r="O1218" s="11" t="n"/>
      <c r="P1218" s="11" t="n"/>
      <c r="Q1218" s="11" t="n"/>
      <c r="R1218" s="2" t="n"/>
      <c r="S1218" s="2" t="n"/>
      <c r="T1218" s="11" t="inlineStr">
        <is>
          <t>yes</t>
        </is>
      </c>
      <c r="U1218" s="11" t="inlineStr"/>
      <c r="V1218" s="11" t="inlineStr">
        <is>
          <t>outside_list</t>
        </is>
      </c>
      <c r="W1218" s="11" t="n"/>
      <c r="X1218" s="11" t="n"/>
      <c r="Y1218" s="11" t="n"/>
      <c r="Z1218" s="11" t="inlineStr">
        <is>
          <t>Mr. Advocate</t>
        </is>
      </c>
      <c r="AA1218" s="11" t="inlineStr">
        <is>
          <t>2026-10-07</t>
        </is>
      </c>
      <c r="AB1218" s="11" t="inlineStr">
        <is>
          <t>name_year</t>
        </is>
      </c>
      <c r="AC1218" s="2" t="inlineStr"/>
      <c r="AD1218" s="2" t="inlineStr">
        <is>
          <t>Kuppuswamy Gownder v. The State of Karnataka (1981) was reversed on appeal by the Supreme Court in State of Karnataka v. Kuppuswamy Gownder and Others (1987).</t>
        </is>
      </c>
      <c r="AE1218" s="2" t="n"/>
      <c r="AF1218" s="11" t="inlineStr">
        <is>
          <t>created from list 1</t>
        </is>
      </c>
    </row>
    <row r="1219">
      <c r="A1219" s="11" t="inlineStr">
        <is>
          <t>L1-1218</t>
        </is>
      </c>
      <c r="B1219" s="11" t="inlineStr">
        <is>
          <t>List 1 (to ~2015)</t>
        </is>
      </c>
      <c r="C1219" s="11" t="inlineStr">
        <is>
          <t>list1</t>
        </is>
      </c>
      <c r="D1219" s="11" t="inlineStr">
        <is>
          <t>verified</t>
        </is>
      </c>
      <c r="E1219" s="11" t="inlineStr">
        <is>
          <t>reversed_on_appeal</t>
        </is>
      </c>
      <c r="F1219" s="2" t="inlineStr">
        <is>
          <t>S. Bangarappa v. Ganesh Narayan Hegade and others</t>
        </is>
      </c>
      <c r="G1219" s="11" t="inlineStr"/>
      <c r="H1219" s="11" t="inlineStr">
        <is>
          <t>unknown</t>
        </is>
      </c>
      <c r="I1219" s="2" t="inlineStr">
        <is>
          <t>(1992) CriLJ 3788; (1992) ILR (Kar) 2091; (1992) 2 KarLJ 449</t>
        </is>
      </c>
      <c r="J1219" s="11" t="n">
        <v>1992</v>
      </c>
      <c r="K1219" s="2" t="inlineStr">
        <is>
          <t>Ganesh Narayan Hegde v. S. Bangarappa and Others</t>
        </is>
      </c>
      <c r="L1219" s="11" t="inlineStr">
        <is>
          <t>Supreme Court</t>
        </is>
      </c>
      <c r="M1219" s="2" t="inlineStr">
        <is>
          <t>(1995) CriLJ 2935; (1995) 2 Crimes 306; (1995) 1 CTC 483; (1995) 4 JT 124; (1995) 2 SCALE 748; (1995) 4 SCC 41; (1995) 3 SCR 549; (1995) 2 UJ 560</t>
        </is>
      </c>
      <c r="N1219" s="11" t="n">
        <v>1995</v>
      </c>
      <c r="O1219" s="11" t="n"/>
      <c r="P1219" s="11" t="n"/>
      <c r="Q1219" s="11" t="n"/>
      <c r="R1219" s="2" t="n"/>
      <c r="S1219" s="2" t="n"/>
      <c r="T1219" s="11" t="inlineStr">
        <is>
          <t>yes</t>
        </is>
      </c>
      <c r="U1219" s="11" t="inlineStr"/>
      <c r="V1219" s="11" t="inlineStr">
        <is>
          <t>outside_list</t>
        </is>
      </c>
      <c r="W1219" s="11" t="n"/>
      <c r="X1219" s="11" t="n"/>
      <c r="Y1219" s="11" t="n"/>
      <c r="Z1219" s="11" t="inlineStr">
        <is>
          <t>Mr. Advocate</t>
        </is>
      </c>
      <c r="AA1219" s="11" t="inlineStr">
        <is>
          <t>2026-10-07</t>
        </is>
      </c>
      <c r="AB1219" s="11" t="inlineStr">
        <is>
          <t>name_year</t>
        </is>
      </c>
      <c r="AC1219" s="2" t="inlineStr"/>
      <c r="AD1219" s="2" t="inlineStr">
        <is>
          <t>S. Bangarappa v. Ganesh Narayan Hegade and others (1992) was reversed on appeal by the Supreme Court in Ganesh Narayan Hegde v. S. Bangarappa and Others (1995).</t>
        </is>
      </c>
      <c r="AE1219" s="2" t="n"/>
      <c r="AF1219" s="11" t="inlineStr">
        <is>
          <t>created from list 1</t>
        </is>
      </c>
    </row>
    <row r="1220">
      <c r="A1220" s="11" t="inlineStr">
        <is>
          <t>L1-1219</t>
        </is>
      </c>
      <c r="B1220" s="11" t="inlineStr">
        <is>
          <t>List 1 (to ~2015)</t>
        </is>
      </c>
      <c r="C1220" s="11" t="inlineStr">
        <is>
          <t>list1</t>
        </is>
      </c>
      <c r="D1220" s="11" t="inlineStr">
        <is>
          <t>verified</t>
        </is>
      </c>
      <c r="E1220" s="11" t="inlineStr">
        <is>
          <t>reversed_on_appeal</t>
        </is>
      </c>
      <c r="F1220" s="2" t="inlineStr">
        <is>
          <t>S.N. Chandrashekar and Another v. The State of Karnataka and Others</t>
        </is>
      </c>
      <c r="G1220" s="11" t="inlineStr"/>
      <c r="H1220" s="11" t="inlineStr">
        <is>
          <t>unknown</t>
        </is>
      </c>
      <c r="I1220" s="2" t="inlineStr">
        <is>
          <t>(2004) ILR (Kar) 2434; (2004) 3 KCCR 1441</t>
        </is>
      </c>
      <c r="J1220" s="11" t="n">
        <v>2004</v>
      </c>
      <c r="K1220" s="2" t="inlineStr">
        <is>
          <t>S.N. Chandrashekar and Another v. State of Karnataka and Others</t>
        </is>
      </c>
      <c r="L1220" s="11" t="inlineStr">
        <is>
          <t>Supreme Court</t>
        </is>
      </c>
      <c r="M1220" s="2" t="inlineStr">
        <is>
          <t>AIR 2006 SC 1204; (2006) 2 JT 202; (2006) 2 SCALE 248; (2006) 3 SCC 208; (2006) 1 SCR 1039; (2006) AIRSCW 800; (2006) 2 Supreme 48</t>
        </is>
      </c>
      <c r="N1220" s="11" t="n">
        <v>2006</v>
      </c>
      <c r="O1220" s="11" t="n"/>
      <c r="P1220" s="11" t="n"/>
      <c r="Q1220" s="11" t="n"/>
      <c r="R1220" s="2" t="n"/>
      <c r="S1220" s="2" t="n"/>
      <c r="T1220" s="11" t="inlineStr">
        <is>
          <t>yes</t>
        </is>
      </c>
      <c r="U1220" s="11" t="inlineStr"/>
      <c r="V1220" s="11" t="inlineStr">
        <is>
          <t>outside_list</t>
        </is>
      </c>
      <c r="W1220" s="11" t="n"/>
      <c r="X1220" s="11" t="n"/>
      <c r="Y1220" s="11" t="n"/>
      <c r="Z1220" s="11" t="inlineStr">
        <is>
          <t>Mr. Advocate</t>
        </is>
      </c>
      <c r="AA1220" s="11" t="inlineStr">
        <is>
          <t>2026-10-07</t>
        </is>
      </c>
      <c r="AB1220" s="11" t="inlineStr">
        <is>
          <t>name_year</t>
        </is>
      </c>
      <c r="AC1220" s="2" t="inlineStr"/>
      <c r="AD1220" s="2" t="inlineStr">
        <is>
          <t>S.N. Chandrashekar and Another v. The State of Karnataka and Others (2004) was reversed on appeal by the Supreme Court in S.N. Chandrashekar and Another v. State of Karnataka and Others (2006).</t>
        </is>
      </c>
      <c r="AE1220" s="2" t="n"/>
      <c r="AF1220" s="11" t="inlineStr">
        <is>
          <t>created from list 1</t>
        </is>
      </c>
    </row>
    <row r="1221">
      <c r="A1221" s="11" t="inlineStr">
        <is>
          <t>L1-1220</t>
        </is>
      </c>
      <c r="B1221" s="11" t="inlineStr">
        <is>
          <t>List 1 (to ~2015)</t>
        </is>
      </c>
      <c r="C1221" s="11" t="inlineStr">
        <is>
          <t>list1</t>
        </is>
      </c>
      <c r="D1221" s="11" t="inlineStr">
        <is>
          <t>verified</t>
        </is>
      </c>
      <c r="E1221" s="11" t="inlineStr">
        <is>
          <t>overruled</t>
        </is>
      </c>
      <c r="F1221" s="2" t="inlineStr">
        <is>
          <t>N. Venkataramanappa v. D.K. Naikar and Another</t>
        </is>
      </c>
      <c r="G1221" s="11" t="inlineStr"/>
      <c r="H1221" s="11" t="inlineStr">
        <is>
          <t>Karnataka</t>
        </is>
      </c>
      <c r="I1221" s="2" t="inlineStr">
        <is>
          <t>AIR 1978 Kar 57; (1978) CriLJ 726</t>
        </is>
      </c>
      <c r="J1221" s="11" t="n">
        <v>1978</v>
      </c>
      <c r="K1221" s="2" t="inlineStr">
        <is>
          <t>P.N. Dua v. P. Shiv Shanker and Others</t>
        </is>
      </c>
      <c r="L1221" s="11" t="inlineStr">
        <is>
          <t>Supreme Court</t>
        </is>
      </c>
      <c r="M1221" s="2" t="inlineStr">
        <is>
          <t>AIR 1988 SC 1208; (1988) CriLJ 1745; (1988) 2 JT 102; (1988) 1 SCALE 728; (1988) 3 SCC 167; (1988) 3 SCR 547</t>
        </is>
      </c>
      <c r="N1221" s="11" t="n">
        <v>1988</v>
      </c>
      <c r="O1221" s="11" t="n"/>
      <c r="P1221" s="11" t="n"/>
      <c r="Q1221" s="11" t="n"/>
      <c r="R1221" s="2" t="n"/>
      <c r="S1221" s="2" t="n"/>
      <c r="T1221" s="11" t="inlineStr"/>
      <c r="U1221" s="11" t="inlineStr"/>
      <c r="V1221" s="11" t="inlineStr">
        <is>
          <t>outside_list</t>
        </is>
      </c>
      <c r="W1221" s="11" t="n"/>
      <c r="X1221" s="11" t="n"/>
      <c r="Y1221" s="11" t="n"/>
      <c r="Z1221" s="11" t="inlineStr">
        <is>
          <t>Mr. Advocate</t>
        </is>
      </c>
      <c r="AA1221" s="11" t="inlineStr">
        <is>
          <t>2026-10-07</t>
        </is>
      </c>
      <c r="AB1221" s="11" t="inlineStr">
        <is>
          <t>name_year</t>
        </is>
      </c>
      <c r="AC1221" s="2" t="inlineStr"/>
      <c r="AD1221" s="2" t="inlineStr">
        <is>
          <t>N. Venkataramanappa v. D.K. Naikar and Another (1978) was overruled by P.N. Dua v. P. Shiv Shanker and Others (1988).</t>
        </is>
      </c>
      <c r="AE1221" s="2" t="n"/>
      <c r="AF1221" s="11" t="inlineStr">
        <is>
          <t>created from list 1</t>
        </is>
      </c>
    </row>
    <row r="1222">
      <c r="A1222" s="11" t="inlineStr">
        <is>
          <t>L1-1221</t>
        </is>
      </c>
      <c r="B1222" s="11" t="inlineStr">
        <is>
          <t>List 1 (to ~2015)</t>
        </is>
      </c>
      <c r="C1222" s="11" t="inlineStr">
        <is>
          <t>list1</t>
        </is>
      </c>
      <c r="D1222" s="11" t="inlineStr">
        <is>
          <t>verified</t>
        </is>
      </c>
      <c r="E1222" s="11" t="inlineStr">
        <is>
          <t>overruled</t>
        </is>
      </c>
      <c r="F1222" s="2" t="inlineStr">
        <is>
          <t>Appropriate Authority and others v. J.S.A. Raghava Reddy and others</t>
        </is>
      </c>
      <c r="G1222" s="11" t="inlineStr"/>
      <c r="H1222" s="11" t="inlineStr">
        <is>
          <t>unknown</t>
        </is>
      </c>
      <c r="I1222" s="2" t="inlineStr">
        <is>
          <t>(1993) 110 CTR 96; (1992) ILR (Kar) 3268; (1993) 199 ITR 508; (1993) 68 TAXMAN 253</t>
        </is>
      </c>
      <c r="J1222" s="11" t="n">
        <v>1992</v>
      </c>
      <c r="K1222" s="2" t="inlineStr">
        <is>
          <t>Appropriate Authority and Commissioner Income Tax v. Smt. Varshaben Bharatbhai Shah and Others</t>
        </is>
      </c>
      <c r="L1222" s="11" t="inlineStr">
        <is>
          <t>Supreme Court</t>
        </is>
      </c>
      <c r="M1222" s="2" t="inlineStr">
        <is>
          <t>AIR 2001 SC 1339; (2001) 166 CTR 373; (2001) 248 ITR 342; (2001) 3 JT 468; (2001) 2 SCALE 411; (2001) 4 SCC 1; (2001) 2 SCR 349; (2001) AIRSCW 3174; (2001) AIRSCW 1069; (2001) 2 Supreme 305; (2001) 6 Supreme 327</t>
        </is>
      </c>
      <c r="N1222" s="11" t="n">
        <v>2001</v>
      </c>
      <c r="O1222" s="11" t="n"/>
      <c r="P1222" s="11" t="n"/>
      <c r="Q1222" s="11" t="n"/>
      <c r="R1222" s="2" t="n"/>
      <c r="S1222" s="2" t="n"/>
      <c r="T1222" s="11" t="inlineStr"/>
      <c r="U1222" s="11" t="inlineStr"/>
      <c r="V1222" s="11" t="inlineStr">
        <is>
          <t>outside_list</t>
        </is>
      </c>
      <c r="W1222" s="11" t="n"/>
      <c r="X1222" s="11" t="n"/>
      <c r="Y1222" s="11" t="n"/>
      <c r="Z1222" s="11" t="inlineStr">
        <is>
          <t>Mr. Advocate</t>
        </is>
      </c>
      <c r="AA1222" s="11" t="inlineStr">
        <is>
          <t>2026-10-07</t>
        </is>
      </c>
      <c r="AB1222" s="11" t="inlineStr">
        <is>
          <t>name_year</t>
        </is>
      </c>
      <c r="AC1222" s="2" t="inlineStr"/>
      <c r="AD1222" s="2" t="inlineStr">
        <is>
          <t>Appropriate Authority and others v. J.S.A. Raghava Reddy and others (1992) was overruled by Appropriate Authority and Commissioner Income Tax v. Smt. Varshaben Bharatbhai Shah and Others (2001).</t>
        </is>
      </c>
      <c r="AE1222" s="2" t="n"/>
      <c r="AF1222" s="11" t="inlineStr">
        <is>
          <t>created from list 1</t>
        </is>
      </c>
    </row>
    <row r="1223">
      <c r="A1223" s="11" t="inlineStr">
        <is>
          <t>L1-1222</t>
        </is>
      </c>
      <c r="B1223" s="11" t="inlineStr">
        <is>
          <t>List 1 (to ~2015)</t>
        </is>
      </c>
      <c r="C1223" s="11" t="inlineStr">
        <is>
          <t>list1</t>
        </is>
      </c>
      <c r="D1223" s="11" t="inlineStr">
        <is>
          <t>verified</t>
        </is>
      </c>
      <c r="E1223" s="11" t="inlineStr">
        <is>
          <t>overruled</t>
        </is>
      </c>
      <c r="F1223" s="2" t="inlineStr">
        <is>
          <t>Rajashekar v. State of Mysore and Others</t>
        </is>
      </c>
      <c r="G1223" s="11" t="inlineStr"/>
      <c r="H1223" s="11" t="inlineStr">
        <is>
          <t>Karnataka</t>
        </is>
      </c>
      <c r="I1223" s="2" t="inlineStr">
        <is>
          <t>AIR 1966 Kar 304</t>
        </is>
      </c>
      <c r="J1223" s="11" t="n">
        <v>1966</v>
      </c>
      <c r="K1223" s="2" t="inlineStr">
        <is>
          <t>State of Mysore v. Associate Cement Companies Ltd. and Another</t>
        </is>
      </c>
      <c r="L1223" s="11" t="inlineStr">
        <is>
          <t>Supreme Court</t>
        </is>
      </c>
      <c r="M1223" s="2" t="inlineStr">
        <is>
          <t>(1984) 1 SCALE 628; (1984) 1 SCC 430 Supp; (1984) SCC 430 Supp; (1984) 16 UJ 439</t>
        </is>
      </c>
      <c r="N1223" s="11" t="n">
        <v>1984</v>
      </c>
      <c r="O1223" s="11" t="n"/>
      <c r="P1223" s="11" t="n"/>
      <c r="Q1223" s="11" t="n"/>
      <c r="R1223" s="2" t="n"/>
      <c r="S1223" s="2" t="n"/>
      <c r="T1223" s="11" t="inlineStr"/>
      <c r="U1223" s="11" t="inlineStr"/>
      <c r="V1223" s="11" t="inlineStr">
        <is>
          <t>outside_list</t>
        </is>
      </c>
      <c r="W1223" s="11" t="n"/>
      <c r="X1223" s="11" t="n"/>
      <c r="Y1223" s="11" t="n"/>
      <c r="Z1223" s="11" t="inlineStr">
        <is>
          <t>Mr. Advocate</t>
        </is>
      </c>
      <c r="AA1223" s="11" t="inlineStr">
        <is>
          <t>2026-10-07</t>
        </is>
      </c>
      <c r="AB1223" s="11" t="inlineStr">
        <is>
          <t>name_year</t>
        </is>
      </c>
      <c r="AC1223" s="2" t="inlineStr"/>
      <c r="AD1223" s="2" t="inlineStr">
        <is>
          <t>Rajashekar v. State of Mysore and Others (1966) was overruled by State of Mysore v. Associate Cement Companies Ltd. and Another (1984).</t>
        </is>
      </c>
      <c r="AE1223" s="2" t="n"/>
      <c r="AF1223" s="11" t="inlineStr">
        <is>
          <t>created from list 1</t>
        </is>
      </c>
    </row>
    <row r="1224">
      <c r="A1224" s="11" t="inlineStr">
        <is>
          <t>L1-1223</t>
        </is>
      </c>
      <c r="B1224" s="11" t="inlineStr">
        <is>
          <t>List 1 (to ~2015)</t>
        </is>
      </c>
      <c r="C1224" s="11" t="inlineStr">
        <is>
          <t>list1</t>
        </is>
      </c>
      <c r="D1224" s="11" t="inlineStr">
        <is>
          <t>verified</t>
        </is>
      </c>
      <c r="E1224" s="11" t="inlineStr">
        <is>
          <t>overruled</t>
        </is>
      </c>
      <c r="F1224" s="2" t="inlineStr">
        <is>
          <t>Tata Consulting Engineers and another v. Union of India and others</t>
        </is>
      </c>
      <c r="G1224" s="11" t="inlineStr"/>
      <c r="H1224" s="11" t="inlineStr">
        <is>
          <t>unknown</t>
        </is>
      </c>
      <c r="I1224" s="2" t="inlineStr">
        <is>
          <t>(1994) 118 CTR 449; (1994) ILR (Kar) 913; (1994) 206 ITR 237; (1994) 38 KarLJ 28; (1994) 77 TAXMAN 156</t>
        </is>
      </c>
      <c r="J1224" s="11" t="n">
        <v>1994</v>
      </c>
      <c r="K1224" s="2" t="inlineStr">
        <is>
          <t>Adair Dutt and Co. India Pvt. Ltd. v. Appropriate Authority, Income Tax Department</t>
        </is>
      </c>
      <c r="L1224" s="11" t="inlineStr">
        <is>
          <t>Supreme Court</t>
        </is>
      </c>
      <c r="M1224" s="2" t="inlineStr">
        <is>
          <t>(1996) 7 AD 466; (1996) 136 CTR 417; (1996) 222 ITR 438; (1996) 8 JT 579; (1996) 7 SCALE 307; (1996) 6 SCC 622; (1996) 6 SCR 775 Supp; (1996) 88 TAXMAN 355</t>
        </is>
      </c>
      <c r="N1224" s="11" t="n">
        <v>1996</v>
      </c>
      <c r="O1224" s="11" t="n"/>
      <c r="P1224" s="11" t="n"/>
      <c r="Q1224" s="11" t="n"/>
      <c r="R1224" s="2" t="n"/>
      <c r="S1224" s="2" t="n"/>
      <c r="T1224" s="11" t="inlineStr"/>
      <c r="U1224" s="11" t="inlineStr"/>
      <c r="V1224" s="11" t="inlineStr">
        <is>
          <t>outside_list</t>
        </is>
      </c>
      <c r="W1224" s="11" t="n"/>
      <c r="X1224" s="11" t="n"/>
      <c r="Y1224" s="11" t="n"/>
      <c r="Z1224" s="11" t="inlineStr">
        <is>
          <t>Mr. Advocate</t>
        </is>
      </c>
      <c r="AA1224" s="11" t="inlineStr">
        <is>
          <t>2026-10-07</t>
        </is>
      </c>
      <c r="AB1224" s="11" t="inlineStr">
        <is>
          <t>name_year</t>
        </is>
      </c>
      <c r="AC1224" s="2" t="inlineStr"/>
      <c r="AD1224" s="2" t="inlineStr">
        <is>
          <t>Tata Consulting Engineers and another v. Union of India and others (1994) was overruled by Adair Dutt and Co. India Pvt. Ltd. v. Appropriate Authority, Income Tax Department (1996).</t>
        </is>
      </c>
      <c r="AE1224" s="2" t="n"/>
      <c r="AF1224" s="11" t="inlineStr">
        <is>
          <t>created from list 1</t>
        </is>
      </c>
    </row>
    <row r="1225">
      <c r="A1225" s="11" t="inlineStr">
        <is>
          <t>L1-1224</t>
        </is>
      </c>
      <c r="B1225" s="11" t="inlineStr">
        <is>
          <t>List 1 (to ~2015)</t>
        </is>
      </c>
      <c r="C1225" s="11" t="inlineStr">
        <is>
          <t>list1</t>
        </is>
      </c>
      <c r="D1225" s="11" t="inlineStr">
        <is>
          <t>verified</t>
        </is>
      </c>
      <c r="E1225" s="11" t="inlineStr">
        <is>
          <t>reversed_on_appeal</t>
        </is>
      </c>
      <c r="F1225" s="2" t="inlineStr">
        <is>
          <t>Arun Kumar Agrawal and Another v. State of Karnataka and Others</t>
        </is>
      </c>
      <c r="G1225" s="11" t="inlineStr"/>
      <c r="H1225" s="11" t="inlineStr">
        <is>
          <t>unknown</t>
        </is>
      </c>
      <c r="I1225" s="2" t="inlineStr">
        <is>
          <t>(1999) 1 KarLJ 603</t>
        </is>
      </c>
      <c r="J1225" s="11" t="n">
        <v>1999</v>
      </c>
      <c r="K1225" s="2" t="inlineStr">
        <is>
          <t>State of Karnataka v. Arun Kumar Agarwal and Others</t>
        </is>
      </c>
      <c r="L1225" s="11" t="inlineStr">
        <is>
          <t>Supreme Court</t>
        </is>
      </c>
      <c r="M1225" s="2" t="inlineStr">
        <is>
          <t>AIR 2000 SC 411; (1999) 9 JT 618; (1999) 7 SCALE 441; (2000) 1 SCC 210; (1999) 5 SCR 278 Supp; (1999) AIRSCW 4556; (1999) 10 Supreme 215</t>
        </is>
      </c>
      <c r="N1225" s="11" t="n">
        <v>2000</v>
      </c>
      <c r="O1225" s="11" t="n"/>
      <c r="P1225" s="11" t="n"/>
      <c r="Q1225" s="11" t="n"/>
      <c r="R1225" s="2" t="n"/>
      <c r="S1225" s="2" t="n"/>
      <c r="T1225" s="11" t="inlineStr">
        <is>
          <t>yes</t>
        </is>
      </c>
      <c r="U1225" s="11" t="inlineStr"/>
      <c r="V1225" s="11" t="inlineStr">
        <is>
          <t>outside_list</t>
        </is>
      </c>
      <c r="W1225" s="11" t="n"/>
      <c r="X1225" s="11" t="n"/>
      <c r="Y1225" s="11" t="n"/>
      <c r="Z1225" s="11" t="inlineStr">
        <is>
          <t>Mr. Advocate</t>
        </is>
      </c>
      <c r="AA1225" s="11" t="inlineStr">
        <is>
          <t>2026-10-07</t>
        </is>
      </c>
      <c r="AB1225" s="11" t="inlineStr">
        <is>
          <t>name_year</t>
        </is>
      </c>
      <c r="AC1225" s="2" t="inlineStr"/>
      <c r="AD1225" s="2" t="inlineStr">
        <is>
          <t>Arun Kumar Agrawal and Another v. State of Karnataka and Others (1999) was reversed on appeal by the Supreme Court in State of Karnataka v. Arun Kumar Agarwal and Others (2000).</t>
        </is>
      </c>
      <c r="AE1225" s="2" t="n"/>
      <c r="AF1225" s="11" t="inlineStr">
        <is>
          <t>created from list 1</t>
        </is>
      </c>
    </row>
    <row r="1226">
      <c r="A1226" s="11" t="inlineStr">
        <is>
          <t>L1-1225</t>
        </is>
      </c>
      <c r="B1226" s="11" t="inlineStr">
        <is>
          <t>List 1 (to ~2015)</t>
        </is>
      </c>
      <c r="C1226" s="11" t="inlineStr">
        <is>
          <t>list1</t>
        </is>
      </c>
      <c r="D1226" s="11" t="inlineStr">
        <is>
          <t>verified</t>
        </is>
      </c>
      <c r="E1226" s="11" t="inlineStr">
        <is>
          <t>reversed_on_appeal</t>
        </is>
      </c>
      <c r="F1226" s="2" t="inlineStr">
        <is>
          <t>Regional Provident Fund Commissioner v. The Hooghly Mills Co. Ltd.</t>
        </is>
      </c>
      <c r="G1226" s="11" t="inlineStr"/>
      <c r="H1226" s="11" t="inlineStr">
        <is>
          <t>unknown</t>
        </is>
      </c>
      <c r="I1226" s="2" t="inlineStr">
        <is>
          <t>(2009) 2 ILR (Cal) 1</t>
        </is>
      </c>
      <c r="J1226" s="11" t="n">
        <v>2009</v>
      </c>
      <c r="K1226" s="2" t="inlineStr">
        <is>
          <t>Regional Provident Fund Commissioner v. The Hooghly Mills Company Ltd. and Others</t>
        </is>
      </c>
      <c r="L1226" s="11" t="inlineStr">
        <is>
          <t>unknown</t>
        </is>
      </c>
      <c r="M1226" s="2" t="inlineStr">
        <is>
          <t>(2012) 132 FLR 734; (2012) 2 JT 51; (2012) 2 LLJ 1; (2012) 1 SCALE 422; (2013) 1 SLJ 53; (2012) AIRSCW 902</t>
        </is>
      </c>
      <c r="N1226" s="11" t="n">
        <v>2012</v>
      </c>
      <c r="O1226" s="11" t="n"/>
      <c r="P1226" s="11" t="n"/>
      <c r="Q1226" s="11" t="n"/>
      <c r="R1226" s="2" t="n"/>
      <c r="S1226" s="2" t="n"/>
      <c r="T1226" s="11" t="inlineStr">
        <is>
          <t>yes</t>
        </is>
      </c>
      <c r="U1226" s="11" t="inlineStr"/>
      <c r="V1226" s="11" t="inlineStr">
        <is>
          <t>outside_list</t>
        </is>
      </c>
      <c r="W1226" s="11" t="n"/>
      <c r="X1226" s="11" t="n"/>
      <c r="Y1226" s="11" t="n"/>
      <c r="Z1226" s="11" t="inlineStr">
        <is>
          <t>Mr. Advocate</t>
        </is>
      </c>
      <c r="AA1226" s="11" t="inlineStr">
        <is>
          <t>2026-10-07</t>
        </is>
      </c>
      <c r="AB1226" s="11" t="inlineStr">
        <is>
          <t>name_year</t>
        </is>
      </c>
      <c r="AC1226" s="2" t="inlineStr"/>
      <c r="AD1226" s="2" t="inlineStr">
        <is>
          <t>Regional Provident Fund Commissioner v. The Hooghly Mills Co. Ltd. (2009) was reversed on appeal by the Supreme Court in Regional Provident Fund Commissioner v. The Hooghly Mills Company Ltd. and Others (2012).</t>
        </is>
      </c>
      <c r="AE1226" s="2" t="n"/>
      <c r="AF1226" s="11" t="inlineStr">
        <is>
          <t>created from list 1</t>
        </is>
      </c>
    </row>
    <row r="1227">
      <c r="A1227" s="11" t="inlineStr">
        <is>
          <t>L1-1226</t>
        </is>
      </c>
      <c r="B1227" s="11" t="inlineStr">
        <is>
          <t>List 1 (to ~2015)</t>
        </is>
      </c>
      <c r="C1227" s="11" t="inlineStr">
        <is>
          <t>list1</t>
        </is>
      </c>
      <c r="D1227" s="11" t="inlineStr">
        <is>
          <t>verified</t>
        </is>
      </c>
      <c r="E1227" s="11" t="inlineStr">
        <is>
          <t>overruled</t>
        </is>
      </c>
      <c r="F1227" s="2" t="inlineStr">
        <is>
          <t>R. Gopal Ramnaryan v. Third Income Tax Officer, Circle-II, Banglore</t>
        </is>
      </c>
      <c r="G1227" s="11" t="inlineStr"/>
      <c r="H1227" s="11" t="inlineStr">
        <is>
          <t>unknown</t>
        </is>
      </c>
      <c r="I1227" s="2" t="inlineStr">
        <is>
          <t>(1980) 19 CTR 391; (1980) 126 ITR 369; (1981) 5 TAXMAN 71</t>
        </is>
      </c>
      <c r="J1227" s="11" t="n">
        <v>1980</v>
      </c>
      <c r="K1227" s="2" t="inlineStr">
        <is>
          <t>Commissioner of Income Tax, Bhopal v. Shelly Products and Another</t>
        </is>
      </c>
      <c r="L1227" s="11" t="inlineStr">
        <is>
          <t>Supreme Court</t>
        </is>
      </c>
      <c r="M1227" s="2" t="inlineStr">
        <is>
          <t>AIR 2003 SC 2532; (2003) 181 CTR 564; (2003) 261 ITR 367; (2003) 4 JT 528; (2003) 4 SCALE 674; (2003) 5 SCC 461; (2003) 1 SCR 79 Supp; (2003) AIRSCW 2719; (2003) 4 Supreme 192</t>
        </is>
      </c>
      <c r="N1227" s="11" t="n">
        <v>2003</v>
      </c>
      <c r="O1227" s="11" t="n"/>
      <c r="P1227" s="11" t="n"/>
      <c r="Q1227" s="11" t="n"/>
      <c r="R1227" s="2" t="n"/>
      <c r="S1227" s="2" t="n"/>
      <c r="T1227" s="11" t="inlineStr"/>
      <c r="U1227" s="11" t="inlineStr"/>
      <c r="V1227" s="11" t="inlineStr">
        <is>
          <t>outside_list</t>
        </is>
      </c>
      <c r="W1227" s="11" t="n"/>
      <c r="X1227" s="11" t="n"/>
      <c r="Y1227" s="11" t="n"/>
      <c r="Z1227" s="11" t="inlineStr">
        <is>
          <t>Mr. Advocate</t>
        </is>
      </c>
      <c r="AA1227" s="11" t="inlineStr">
        <is>
          <t>2026-10-07</t>
        </is>
      </c>
      <c r="AB1227" s="11" t="inlineStr">
        <is>
          <t>name_year</t>
        </is>
      </c>
      <c r="AC1227" s="2" t="inlineStr"/>
      <c r="AD1227" s="2" t="inlineStr">
        <is>
          <t>R. Gopal Ramnaryan v. Third Income Tax Officer, Circle-II, Banglore (1980) was overruled by Commissioner of Income Tax, Bhopal v. Shelly Products and Another (2003).</t>
        </is>
      </c>
      <c r="AE1227" s="2" t="n"/>
      <c r="AF1227" s="11" t="inlineStr">
        <is>
          <t>created from list 1</t>
        </is>
      </c>
    </row>
    <row r="1228">
      <c r="A1228" s="11" t="inlineStr">
        <is>
          <t>L1-1227</t>
        </is>
      </c>
      <c r="B1228" s="11" t="inlineStr">
        <is>
          <t>List 1 (to ~2015)</t>
        </is>
      </c>
      <c r="C1228" s="11" t="inlineStr">
        <is>
          <t>list1</t>
        </is>
      </c>
      <c r="D1228" s="11" t="inlineStr">
        <is>
          <t>verified</t>
        </is>
      </c>
      <c r="E1228" s="11" t="inlineStr">
        <is>
          <t>overruled</t>
        </is>
      </c>
      <c r="F1228" s="2" t="inlineStr">
        <is>
          <t>Chikkahottappa alias Varadegowda and others v. State</t>
        </is>
      </c>
      <c r="G1228" s="11" t="inlineStr"/>
      <c r="H1228" s="11" t="inlineStr">
        <is>
          <t>unknown</t>
        </is>
      </c>
      <c r="I1228" s="2" t="inlineStr">
        <is>
          <t>(2000) 1 KarLJ 17</t>
        </is>
      </c>
      <c r="J1228" s="11" t="n">
        <v>2000</v>
      </c>
      <c r="K1228" s="2" t="inlineStr">
        <is>
          <t>State of Karnataka v. Chikkahottappa @ Varade Gowda and Others</t>
        </is>
      </c>
      <c r="L1228" s="11" t="inlineStr">
        <is>
          <t>Supreme Court</t>
        </is>
      </c>
      <c r="M1228" s="2" t="inlineStr">
        <is>
          <t>AIR 2008 SC 2692; (2008) CriLJ 3495; (2008) 7 JT 395; (2008) 15 SCC 299; (2008) 2 UJ 877; (2008) AIRSCW 4497</t>
        </is>
      </c>
      <c r="N1228" s="11" t="n">
        <v>2008</v>
      </c>
      <c r="O1228" s="11" t="n"/>
      <c r="P1228" s="11" t="n"/>
      <c r="Q1228" s="11" t="n"/>
      <c r="R1228" s="2" t="n"/>
      <c r="S1228" s="2" t="n"/>
      <c r="T1228" s="11" t="inlineStr"/>
      <c r="U1228" s="11" t="inlineStr"/>
      <c r="V1228" s="11" t="inlineStr">
        <is>
          <t>outside_list</t>
        </is>
      </c>
      <c r="W1228" s="11" t="n"/>
      <c r="X1228" s="11" t="n"/>
      <c r="Y1228" s="11" t="n"/>
      <c r="Z1228" s="11" t="inlineStr">
        <is>
          <t>Mr. Advocate</t>
        </is>
      </c>
      <c r="AA1228" s="11" t="inlineStr">
        <is>
          <t>2026-10-07</t>
        </is>
      </c>
      <c r="AB1228" s="11" t="inlineStr">
        <is>
          <t>name_year</t>
        </is>
      </c>
      <c r="AC1228" s="2" t="inlineStr"/>
      <c r="AD1228" s="2" t="inlineStr">
        <is>
          <t>Chikkahottappa alias Varadegowda and others v. State (2000) was overruled by State of Karnataka v. Chikkahottappa @ Varade Gowda and Others (2008).</t>
        </is>
      </c>
      <c r="AE1228" s="2" t="n"/>
      <c r="AF1228" s="11" t="inlineStr">
        <is>
          <t>created from list 1</t>
        </is>
      </c>
    </row>
    <row r="1229">
      <c r="A1229" s="11" t="inlineStr">
        <is>
          <t>L1-1228</t>
        </is>
      </c>
      <c r="B1229" s="11" t="inlineStr">
        <is>
          <t>List 1 (to ~2015)</t>
        </is>
      </c>
      <c r="C1229" s="11" t="inlineStr">
        <is>
          <t>list1</t>
        </is>
      </c>
      <c r="D1229" s="11" t="inlineStr">
        <is>
          <t>verified</t>
        </is>
      </c>
      <c r="E1229" s="11" t="inlineStr">
        <is>
          <t>overruled</t>
        </is>
      </c>
      <c r="F1229" s="2" t="inlineStr">
        <is>
          <t>T. Govindaswamy v. Income Tax Officer, Special Survey Circle, Bangalore and Another</t>
        </is>
      </c>
      <c r="G1229" s="11" t="inlineStr"/>
      <c r="H1229" s="11" t="inlineStr">
        <is>
          <t>unknown</t>
        </is>
      </c>
      <c r="I1229" s="2" t="inlineStr">
        <is>
          <t>(1960) 38 ITR 197</t>
        </is>
      </c>
      <c r="J1229" s="11" t="n">
        <v>1960</v>
      </c>
      <c r="K1229" s="2" t="inlineStr">
        <is>
          <t>Sahu Rajeshwar Nath v. Income Tax Officer, C-Ward, Meerut and Another</t>
        </is>
      </c>
      <c r="L1229" s="11" t="inlineStr">
        <is>
          <t>Supreme Court</t>
        </is>
      </c>
      <c r="M1229" s="2" t="inlineStr">
        <is>
          <t>AIR 1969 SC 667; (1969) 72 ITR 617; (1969) 1 SCR 999</t>
        </is>
      </c>
      <c r="N1229" s="11" t="n">
        <v>1969</v>
      </c>
      <c r="O1229" s="11" t="n"/>
      <c r="P1229" s="11" t="n"/>
      <c r="Q1229" s="11" t="n"/>
      <c r="R1229" s="2" t="n"/>
      <c r="S1229" s="2" t="n"/>
      <c r="T1229" s="11" t="inlineStr"/>
      <c r="U1229" s="11" t="inlineStr"/>
      <c r="V1229" s="11" t="inlineStr">
        <is>
          <t>outside_list</t>
        </is>
      </c>
      <c r="W1229" s="11" t="n"/>
      <c r="X1229" s="11" t="n"/>
      <c r="Y1229" s="11" t="n"/>
      <c r="Z1229" s="11" t="inlineStr">
        <is>
          <t>Mr. Advocate</t>
        </is>
      </c>
      <c r="AA1229" s="11" t="inlineStr">
        <is>
          <t>2026-10-07</t>
        </is>
      </c>
      <c r="AB1229" s="11" t="inlineStr">
        <is>
          <t>name_year</t>
        </is>
      </c>
      <c r="AC1229" s="2" t="inlineStr"/>
      <c r="AD1229" s="2" t="inlineStr">
        <is>
          <t>T. Govindaswamy v. Income Tax Officer, Special Survey Circle, Bangalore and Another (1960) was overruled by Sahu Rajeshwar Nath v. Income Tax Officer, C-Ward, Meerut and Another (1969).</t>
        </is>
      </c>
      <c r="AE1229" s="2" t="n"/>
      <c r="AF1229" s="11" t="inlineStr">
        <is>
          <t>created from list 1</t>
        </is>
      </c>
    </row>
    <row r="1230">
      <c r="A1230" s="11" t="inlineStr">
        <is>
          <t>L1-1229</t>
        </is>
      </c>
      <c r="B1230" s="11" t="inlineStr">
        <is>
          <t>List 1 (to ~2015)</t>
        </is>
      </c>
      <c r="C1230" s="11" t="inlineStr">
        <is>
          <t>list1</t>
        </is>
      </c>
      <c r="D1230" s="11" t="inlineStr">
        <is>
          <t>verified</t>
        </is>
      </c>
      <c r="E1230" s="11" t="inlineStr">
        <is>
          <t>reversed_on_appeal</t>
        </is>
      </c>
      <c r="F1230" s="2" t="inlineStr">
        <is>
          <t>S.R. Bommai and others v. Union of India and others</t>
        </is>
      </c>
      <c r="G1230" s="11" t="inlineStr"/>
      <c r="H1230" s="11" t="inlineStr">
        <is>
          <t>Karnataka</t>
        </is>
      </c>
      <c r="I1230" s="2" t="inlineStr">
        <is>
          <t>AIR 1990 Kar 5; (1989) ILR (Kar) 2425</t>
        </is>
      </c>
      <c r="J1230" s="11" t="n">
        <v>1990</v>
      </c>
      <c r="K1230" s="2" t="inlineStr">
        <is>
          <t>S.R. Bommai and others v. Union of India and others etc.</t>
        </is>
      </c>
      <c r="L1230" s="11" t="inlineStr">
        <is>
          <t>Supreme Court</t>
        </is>
      </c>
      <c r="M1230" s="2" t="inlineStr">
        <is>
          <t>AIR 1994 SC 1918; (1994) 2 JT 215; (1994) 2 SCALE 37; (1994) 3 SCC 1; (1994) 2 SCR 644</t>
        </is>
      </c>
      <c r="N1230" s="11" t="n">
        <v>1994</v>
      </c>
      <c r="O1230" s="11" t="n"/>
      <c r="P1230" s="11" t="n"/>
      <c r="Q1230" s="11" t="n"/>
      <c r="R1230" s="2" t="n"/>
      <c r="S1230" s="2" t="n"/>
      <c r="T1230" s="11" t="inlineStr">
        <is>
          <t>yes</t>
        </is>
      </c>
      <c r="U1230" s="11" t="inlineStr"/>
      <c r="V1230" s="11" t="inlineStr">
        <is>
          <t>outside_list</t>
        </is>
      </c>
      <c r="W1230" s="11" t="n"/>
      <c r="X1230" s="11" t="n"/>
      <c r="Y1230" s="11" t="n"/>
      <c r="Z1230" s="11" t="inlineStr">
        <is>
          <t>Mr. Advocate</t>
        </is>
      </c>
      <c r="AA1230" s="11" t="inlineStr">
        <is>
          <t>2026-10-07</t>
        </is>
      </c>
      <c r="AB1230" s="11" t="inlineStr">
        <is>
          <t>name_year</t>
        </is>
      </c>
      <c r="AC1230" s="2" t="inlineStr"/>
      <c r="AD1230" s="2" t="inlineStr">
        <is>
          <t>S.R. Bommai and others v. Union of India and others (1990) was reversed on appeal by the Supreme Court in S.R. Bommai and others v. Union of India and others etc. (1994).</t>
        </is>
      </c>
      <c r="AE1230" s="2" t="n"/>
      <c r="AF1230" s="11" t="inlineStr">
        <is>
          <t>created from list 1</t>
        </is>
      </c>
    </row>
    <row r="1231">
      <c r="A1231" s="11" t="inlineStr">
        <is>
          <t>L1-1230</t>
        </is>
      </c>
      <c r="B1231" s="11" t="inlineStr">
        <is>
          <t>List 1 (to ~2015)</t>
        </is>
      </c>
      <c r="C1231" s="11" t="inlineStr">
        <is>
          <t>list1</t>
        </is>
      </c>
      <c r="D1231" s="11" t="inlineStr">
        <is>
          <t>verified</t>
        </is>
      </c>
      <c r="E1231" s="11" t="inlineStr">
        <is>
          <t>overruled</t>
        </is>
      </c>
      <c r="F1231" s="2" t="inlineStr">
        <is>
          <t>Income Tax Officer, Company Circle, Bangalore v. Official Liquidator, Mysore High Court and Others</t>
        </is>
      </c>
      <c r="G1231" s="11" t="inlineStr"/>
      <c r="H1231" s="11" t="inlineStr">
        <is>
          <t>unknown</t>
        </is>
      </c>
      <c r="I1231" s="2" t="inlineStr">
        <is>
          <t>(1967) 63 ITR 810</t>
        </is>
      </c>
      <c r="J1231" s="11" t="n">
        <v>1967</v>
      </c>
      <c r="K1231" s="2" t="inlineStr">
        <is>
          <t>Imperial Chit Funds (P) Ltd. v. Income Tax Officer, Ernakulam</t>
        </is>
      </c>
      <c r="L1231" s="11" t="inlineStr">
        <is>
          <t>Supreme Court</t>
        </is>
      </c>
      <c r="M1231" s="2" t="inlineStr">
        <is>
          <t>(1996) 3 AD 488; AIR 1996 SC 1887; (1996) 1 BC 659; (1996) 86 CompCas 555; (1996) 133 CTR 505; (1996) 219 ITR 498; (1996) 3 JT 410; (1996) 3 SCALE 20; (1996) 8 SCC 303; (1996) 3 SCR 640</t>
        </is>
      </c>
      <c r="N1231" s="11" t="n">
        <v>1996</v>
      </c>
      <c r="O1231" s="11" t="n"/>
      <c r="P1231" s="11" t="n"/>
      <c r="Q1231" s="11" t="n"/>
      <c r="R1231" s="2" t="n"/>
      <c r="S1231" s="2" t="n"/>
      <c r="T1231" s="11" t="inlineStr"/>
      <c r="U1231" s="11" t="inlineStr"/>
      <c r="V1231" s="11" t="inlineStr">
        <is>
          <t>outside_list</t>
        </is>
      </c>
      <c r="W1231" s="11" t="n"/>
      <c r="X1231" s="11" t="n"/>
      <c r="Y1231" s="11" t="n"/>
      <c r="Z1231" s="11" t="inlineStr">
        <is>
          <t>Mr. Advocate</t>
        </is>
      </c>
      <c r="AA1231" s="11" t="inlineStr">
        <is>
          <t>2026-10-07</t>
        </is>
      </c>
      <c r="AB1231" s="11" t="inlineStr">
        <is>
          <t>name_year</t>
        </is>
      </c>
      <c r="AC1231" s="2" t="inlineStr"/>
      <c r="AD1231" s="2" t="inlineStr">
        <is>
          <t>Income Tax Officer, Company Circle, Bangalore v. Official Liquidator, Mysore High Court and Others (1967) was overruled by Imperial Chit Funds (P) Ltd. v. Income Tax Officer, Ernakulam (1996).</t>
        </is>
      </c>
      <c r="AE1231" s="2" t="n"/>
      <c r="AF1231" s="11" t="inlineStr">
        <is>
          <t>created from list 1</t>
        </is>
      </c>
    </row>
    <row r="1232">
      <c r="A1232" s="11" t="inlineStr">
        <is>
          <t>L1-1231</t>
        </is>
      </c>
      <c r="B1232" s="11" t="inlineStr">
        <is>
          <t>List 1 (to ~2015)</t>
        </is>
      </c>
      <c r="C1232" s="11" t="inlineStr">
        <is>
          <t>list1</t>
        </is>
      </c>
      <c r="D1232" s="11" t="inlineStr">
        <is>
          <t>verified</t>
        </is>
      </c>
      <c r="E1232" s="11" t="inlineStr">
        <is>
          <t>overruled</t>
        </is>
      </c>
      <c r="F1232" s="2" t="inlineStr">
        <is>
          <t>D.S. Gowda v. Corporation Bank</t>
        </is>
      </c>
      <c r="G1232" s="11" t="inlineStr"/>
      <c r="H1232" s="11" t="inlineStr">
        <is>
          <t>Karnataka</t>
        </is>
      </c>
      <c r="I1232" s="2" t="inlineStr">
        <is>
          <t>AIR 1983 Kar 143; (1985) 57 CompCas 49(1); (1982) 2 KarLJ 490</t>
        </is>
      </c>
      <c r="J1232" s="11" t="n">
        <v>1983</v>
      </c>
      <c r="K1232" s="2" t="inlineStr">
        <is>
          <t>Central Bank of India v. Ravindra and Others</t>
        </is>
      </c>
      <c r="L1232" s="11" t="inlineStr">
        <is>
          <t>Supreme Court</t>
        </is>
      </c>
      <c r="M1232" s="2" t="inlineStr">
        <is>
          <t>AIR 2001 SC 3095; (2001) 107 CompCas 416; (2001) 9 JT 101; (2001) 7 SCALE 351; (2002) 1 SCC 367; (2001) AIRSCW 4468; (2001) 7 Supreme 764</t>
        </is>
      </c>
      <c r="N1232" s="11" t="n">
        <v>2001</v>
      </c>
      <c r="O1232" s="11" t="n"/>
      <c r="P1232" s="11" t="n"/>
      <c r="Q1232" s="11" t="n"/>
      <c r="R1232" s="2" t="n"/>
      <c r="S1232" s="2" t="n"/>
      <c r="T1232" s="11" t="inlineStr"/>
      <c r="U1232" s="11" t="inlineStr"/>
      <c r="V1232" s="11" t="inlineStr">
        <is>
          <t>outside_list</t>
        </is>
      </c>
      <c r="W1232" s="11" t="n"/>
      <c r="X1232" s="11" t="n"/>
      <c r="Y1232" s="11" t="n"/>
      <c r="Z1232" s="11" t="inlineStr">
        <is>
          <t>Mr. Advocate</t>
        </is>
      </c>
      <c r="AA1232" s="11" t="inlineStr">
        <is>
          <t>2026-10-07</t>
        </is>
      </c>
      <c r="AB1232" s="11" t="inlineStr">
        <is>
          <t>name_year</t>
        </is>
      </c>
      <c r="AC1232" s="2" t="inlineStr"/>
      <c r="AD1232" s="2" t="inlineStr">
        <is>
          <t>D.S. Gowda v. Corporation Bank (1983) was overruled by Central Bank of India v. Ravindra and Others (2001).</t>
        </is>
      </c>
      <c r="AE1232" s="2" t="n"/>
      <c r="AF1232" s="11" t="inlineStr">
        <is>
          <t>created from list 1</t>
        </is>
      </c>
    </row>
    <row r="1233">
      <c r="A1233" s="11" t="inlineStr">
        <is>
          <t>L1-1232</t>
        </is>
      </c>
      <c r="B1233" s="11" t="inlineStr">
        <is>
          <t>List 1 (to ~2015)</t>
        </is>
      </c>
      <c r="C1233" s="11" t="inlineStr">
        <is>
          <t>list1</t>
        </is>
      </c>
      <c r="D1233" s="11" t="inlineStr">
        <is>
          <t>verified</t>
        </is>
      </c>
      <c r="E1233" s="11" t="inlineStr">
        <is>
          <t>reversed_on_appeal</t>
        </is>
      </c>
      <c r="F1233" s="2" t="inlineStr">
        <is>
          <t>B.S. Yadiyurappa v. Mahalingappa and Others</t>
        </is>
      </c>
      <c r="G1233" s="11" t="inlineStr"/>
      <c r="H1233" s="11" t="inlineStr">
        <is>
          <t>Karnataka</t>
        </is>
      </c>
      <c r="I1233" s="2" t="inlineStr">
        <is>
          <t>AIR 2001 Kar 61; (2000) ILR (Kar) 4449; (2001) 2 KarLJ 577; (2000) 4 KCCR 361 SN</t>
        </is>
      </c>
      <c r="J1233" s="11" t="n">
        <v>2001</v>
      </c>
      <c r="K1233" s="2" t="inlineStr">
        <is>
          <t>B.S. Yadiyurappa v. Mahalingappa and Others</t>
        </is>
      </c>
      <c r="L1233" s="11" t="inlineStr">
        <is>
          <t>Supreme Court</t>
        </is>
      </c>
      <c r="M1233" s="2" t="inlineStr">
        <is>
          <t>AIR 2001 SC 4041; (2001) 8 JT 515; (2001) 7 SCALE 225; (2002) 1 SCC 301; (2001) AIRSCW 4243; (2001) 7 Supreme 648</t>
        </is>
      </c>
      <c r="N1233" s="11" t="n">
        <v>2001</v>
      </c>
      <c r="O1233" s="11" t="n"/>
      <c r="P1233" s="11" t="n"/>
      <c r="Q1233" s="11" t="n"/>
      <c r="R1233" s="2" t="n"/>
      <c r="S1233" s="2" t="n"/>
      <c r="T1233" s="11" t="inlineStr">
        <is>
          <t>yes</t>
        </is>
      </c>
      <c r="U1233" s="11" t="inlineStr"/>
      <c r="V1233" s="11" t="inlineStr">
        <is>
          <t>outside_list</t>
        </is>
      </c>
      <c r="W1233" s="11" t="n"/>
      <c r="X1233" s="11" t="n"/>
      <c r="Y1233" s="11" t="n"/>
      <c r="Z1233" s="11" t="inlineStr">
        <is>
          <t>Mr. Advocate</t>
        </is>
      </c>
      <c r="AA1233" s="11" t="inlineStr">
        <is>
          <t>2026-10-07</t>
        </is>
      </c>
      <c r="AB1233" s="11" t="inlineStr">
        <is>
          <t>name_year</t>
        </is>
      </c>
      <c r="AC1233" s="2" t="inlineStr"/>
      <c r="AD1233" s="2" t="inlineStr">
        <is>
          <t>B.S. Yadiyurappa v. Mahalingappa and Others (2001) was reversed on appeal by the Supreme Court in B.S. Yadiyurappa v. Mahalingappa and Others (2001).</t>
        </is>
      </c>
      <c r="AE1233" s="2" t="n"/>
      <c r="AF1233" s="11" t="inlineStr">
        <is>
          <t>created from list 1</t>
        </is>
      </c>
    </row>
    <row r="1234">
      <c r="A1234" s="11" t="inlineStr">
        <is>
          <t>L1-1233</t>
        </is>
      </c>
      <c r="B1234" s="11" t="inlineStr">
        <is>
          <t>List 1 (to ~2015)</t>
        </is>
      </c>
      <c r="C1234" s="11" t="inlineStr">
        <is>
          <t>list1</t>
        </is>
      </c>
      <c r="D1234" s="11" t="inlineStr">
        <is>
          <t>verified</t>
        </is>
      </c>
      <c r="E1234" s="11" t="inlineStr">
        <is>
          <t>overruled</t>
        </is>
      </c>
      <c r="F1234" s="2" t="inlineStr">
        <is>
          <t>Udayakumar v. Chairman, Cauvery Grameena Bank</t>
        </is>
      </c>
      <c r="G1234" s="11" t="inlineStr"/>
      <c r="H1234" s="11" t="inlineStr">
        <is>
          <t>unknown</t>
        </is>
      </c>
      <c r="I1234" s="2" t="inlineStr">
        <is>
          <t>(1992) ILR (Kar) 863</t>
        </is>
      </c>
      <c r="J1234" s="11" t="n">
        <v>1992</v>
      </c>
      <c r="K1234" s="2" t="inlineStr">
        <is>
          <t>Sr. Jagathigowda, C.N. and Others v. Chairman, Cauvery Gramina Bank and Others</t>
        </is>
      </c>
      <c r="L1234" s="11" t="inlineStr">
        <is>
          <t>Supreme Court</t>
        </is>
      </c>
      <c r="M1234" s="2" t="inlineStr">
        <is>
          <t>(1996) 6 AD 325; AIR 1996 SC 2733; (1997) 75 FLR 82; (1996) 10 JT 175; (1996) LabIC 2433; (1996) 5 SCALE 678; (1996) 9 SCC 677; (1996) 4 SCR 190 Supp; (1996) 3 SLJ 119</t>
        </is>
      </c>
      <c r="N1234" s="11" t="n">
        <v>1996</v>
      </c>
      <c r="O1234" s="11" t="n"/>
      <c r="P1234" s="11" t="n"/>
      <c r="Q1234" s="11" t="n"/>
      <c r="R1234" s="2" t="n"/>
      <c r="S1234" s="2" t="n"/>
      <c r="T1234" s="11" t="inlineStr"/>
      <c r="U1234" s="11" t="inlineStr"/>
      <c r="V1234" s="11" t="inlineStr">
        <is>
          <t>outside_list</t>
        </is>
      </c>
      <c r="W1234" s="11" t="n"/>
      <c r="X1234" s="11" t="n"/>
      <c r="Y1234" s="11" t="n"/>
      <c r="Z1234" s="11" t="inlineStr">
        <is>
          <t>Mr. Advocate</t>
        </is>
      </c>
      <c r="AA1234" s="11" t="inlineStr">
        <is>
          <t>2026-10-07</t>
        </is>
      </c>
      <c r="AB1234" s="11" t="inlineStr">
        <is>
          <t>name_year</t>
        </is>
      </c>
      <c r="AC1234" s="2" t="inlineStr"/>
      <c r="AD1234" s="2" t="inlineStr">
        <is>
          <t>Udayakumar v. Chairman, Cauvery Grameena Bank (1992) was overruled by Sr. Jagathigowda, C.N. and Others v. Chairman, Cauvery Gramina Bank and Others (1996).</t>
        </is>
      </c>
      <c r="AE1234" s="2" t="n"/>
      <c r="AF1234" s="11" t="inlineStr">
        <is>
          <t>created from list 1</t>
        </is>
      </c>
    </row>
    <row r="1235">
      <c r="A1235" s="11" t="inlineStr">
        <is>
          <t>L1-1234</t>
        </is>
      </c>
      <c r="B1235" s="11" t="inlineStr">
        <is>
          <t>List 1 (to ~2015)</t>
        </is>
      </c>
      <c r="C1235" s="11" t="inlineStr">
        <is>
          <t>list1</t>
        </is>
      </c>
      <c r="D1235" s="11" t="inlineStr">
        <is>
          <t>verified</t>
        </is>
      </c>
      <c r="E1235" s="11" t="inlineStr">
        <is>
          <t>reversed_on_appeal</t>
        </is>
      </c>
      <c r="F1235" s="2" t="inlineStr">
        <is>
          <t>S.T. Ramesh v. State of Karnataka and Another</t>
        </is>
      </c>
      <c r="G1235" s="11" t="inlineStr"/>
      <c r="H1235" s="11" t="inlineStr">
        <is>
          <t>unknown</t>
        </is>
      </c>
      <c r="I1235" s="2" t="inlineStr">
        <is>
          <t>(2005) 6 KarLJ 353</t>
        </is>
      </c>
      <c r="J1235" s="11" t="n">
        <v>2005</v>
      </c>
      <c r="K1235" s="2" t="inlineStr">
        <is>
          <t>S.T. Ramesh v. State of Karnataka and Another</t>
        </is>
      </c>
      <c r="L1235" s="11" t="inlineStr">
        <is>
          <t>Supreme Court</t>
        </is>
      </c>
      <c r="M1235" s="2" t="inlineStr">
        <is>
          <t>AIR 2007 SC 1262; (2007) 3 JT 532; (2007) 3 SCALE 354; (2007) 9 SCC 436; (2007) 2 SCC(L&amp;S) 524; (2007) 2 SCR 819; (2007) AIRSCW 1390; (2007) 2 Supreme 913</t>
        </is>
      </c>
      <c r="N1235" s="11" t="n">
        <v>2007</v>
      </c>
      <c r="O1235" s="11" t="n"/>
      <c r="P1235" s="11" t="n"/>
      <c r="Q1235" s="11" t="n"/>
      <c r="R1235" s="2" t="n"/>
      <c r="S1235" s="2" t="n"/>
      <c r="T1235" s="11" t="inlineStr">
        <is>
          <t>yes</t>
        </is>
      </c>
      <c r="U1235" s="11" t="inlineStr"/>
      <c r="V1235" s="11" t="inlineStr">
        <is>
          <t>outside_list</t>
        </is>
      </c>
      <c r="W1235" s="11" t="n"/>
      <c r="X1235" s="11" t="n"/>
      <c r="Y1235" s="11" t="n"/>
      <c r="Z1235" s="11" t="inlineStr">
        <is>
          <t>Mr. Advocate</t>
        </is>
      </c>
      <c r="AA1235" s="11" t="inlineStr">
        <is>
          <t>2026-10-07</t>
        </is>
      </c>
      <c r="AB1235" s="11" t="inlineStr">
        <is>
          <t>name_year</t>
        </is>
      </c>
      <c r="AC1235" s="2" t="inlineStr"/>
      <c r="AD1235" s="2" t="inlineStr">
        <is>
          <t>S.T. Ramesh v. State of Karnataka and Another (2005) was reversed on appeal by the Supreme Court in S.T. Ramesh v. State of Karnataka and Another (2007).</t>
        </is>
      </c>
      <c r="AE1235" s="2" t="n"/>
      <c r="AF1235" s="11" t="inlineStr">
        <is>
          <t>created from list 1</t>
        </is>
      </c>
    </row>
    <row r="1236">
      <c r="A1236" s="11" t="inlineStr">
        <is>
          <t>L1-1235</t>
        </is>
      </c>
      <c r="B1236" s="11" t="inlineStr">
        <is>
          <t>List 1 (to ~2015)</t>
        </is>
      </c>
      <c r="C1236" s="11" t="inlineStr">
        <is>
          <t>list1</t>
        </is>
      </c>
      <c r="D1236" s="11" t="inlineStr">
        <is>
          <t>verified</t>
        </is>
      </c>
      <c r="E1236" s="11" t="inlineStr">
        <is>
          <t>overruled</t>
        </is>
      </c>
      <c r="F1236" s="2" t="inlineStr">
        <is>
          <t>M/s. Bombay Tyres International Ltd., Bombay and another v. K.S. Prakash (deceased by LR’s) and another</t>
        </is>
      </c>
      <c r="G1236" s="11" t="inlineStr"/>
      <c r="H1236" s="11" t="inlineStr">
        <is>
          <t>Karnataka</t>
        </is>
      </c>
      <c r="I1236" s="2" t="inlineStr">
        <is>
          <t>AIR 1997 Kar 311; (1997) ILR (Kar) 111; (1997) 2 KarLJ 1</t>
        </is>
      </c>
      <c r="J1236" s="11" t="n">
        <v>1997</v>
      </c>
      <c r="K1236" s="2" t="inlineStr">
        <is>
          <t>Laxmidas Bapudas Darbar and Another v. Smt. Rudravva and Others</t>
        </is>
      </c>
      <c r="L1236" s="11" t="inlineStr">
        <is>
          <t>Supreme Court</t>
        </is>
      </c>
      <c r="M1236" s="2" t="inlineStr">
        <is>
          <t>(2001) 7 AD 97; AIR 2001 SC 3738; (2001) 7 JT 135; (2001) 5 SCALE 557; (2001) 7 SCC 409; (2001) AIRSCW 3452; (2001) 6 Supreme 474</t>
        </is>
      </c>
      <c r="N1236" s="11" t="n">
        <v>2001</v>
      </c>
      <c r="O1236" s="11" t="n"/>
      <c r="P1236" s="11" t="n"/>
      <c r="Q1236" s="11" t="n"/>
      <c r="R1236" s="2" t="n"/>
      <c r="S1236" s="2" t="n"/>
      <c r="T1236" s="11" t="inlineStr"/>
      <c r="U1236" s="11" t="inlineStr"/>
      <c r="V1236" s="11" t="inlineStr">
        <is>
          <t>outside_list</t>
        </is>
      </c>
      <c r="W1236" s="11" t="n"/>
      <c r="X1236" s="11" t="n"/>
      <c r="Y1236" s="11" t="n"/>
      <c r="Z1236" s="11" t="inlineStr">
        <is>
          <t>Mr. Advocate</t>
        </is>
      </c>
      <c r="AA1236" s="11" t="inlineStr">
        <is>
          <t>2026-10-07</t>
        </is>
      </c>
      <c r="AB1236" s="11" t="inlineStr">
        <is>
          <t>name_year</t>
        </is>
      </c>
      <c r="AC1236" s="2" t="inlineStr"/>
      <c r="AD1236" s="2" t="inlineStr">
        <is>
          <t>M/s. Bombay Tyres International Ltd., Bombay and another v. K.S. Prakash (deceased by LR’s) and another (1997) was overruled by Laxmidas Bapudas Darbar and Another v. Smt. Rudravva and Others (2001).</t>
        </is>
      </c>
      <c r="AE1236" s="2" t="n"/>
      <c r="AF1236" s="11" t="inlineStr">
        <is>
          <t>created from list 1</t>
        </is>
      </c>
    </row>
    <row r="1237">
      <c r="A1237" s="11" t="inlineStr">
        <is>
          <t>L1-1236</t>
        </is>
      </c>
      <c r="B1237" s="11" t="inlineStr">
        <is>
          <t>List 1 (to ~2015)</t>
        </is>
      </c>
      <c r="C1237" s="11" t="inlineStr">
        <is>
          <t>list1</t>
        </is>
      </c>
      <c r="D1237" s="11" t="inlineStr">
        <is>
          <t>verified</t>
        </is>
      </c>
      <c r="E1237" s="11" t="inlineStr">
        <is>
          <t>overruled</t>
        </is>
      </c>
      <c r="F1237" s="2" t="inlineStr">
        <is>
          <t>Workmen, Karnataka P.F. Employees Union v. Additional Industrial Tribunal and Another</t>
        </is>
      </c>
      <c r="G1237" s="11" t="inlineStr"/>
      <c r="H1237" s="11" t="inlineStr">
        <is>
          <t>unknown</t>
        </is>
      </c>
      <c r="I1237" s="2" t="inlineStr">
        <is>
          <t>(1983) ILR (Kar) 157; (1983) 1 KarLJ 439; (1983) 2 LLJ 108</t>
        </is>
      </c>
      <c r="J1237" s="11" t="n">
        <v>1983</v>
      </c>
      <c r="K1237" s="2" t="inlineStr">
        <is>
          <t>Regional Provident Fund Commissioner, Karnataka v. Workmen represented by The General Secretary, Karnataka Provident Fund Employees’ Union and Another</t>
        </is>
      </c>
      <c r="L1237" s="11" t="inlineStr">
        <is>
          <t>Supreme Court</t>
        </is>
      </c>
      <c r="M1237" s="2" t="inlineStr">
        <is>
          <t>AIR 1984 SC 1897; (1984) 49 FLR 433; (1984) LabIC 1682; (1984) 2 LLJ 503; (1984) 2 SCALE 422; (1984) 1 SCC 418 Supp; (1984) SCC 418 Supp; (1985) 1 SCR 816; (1985) 17 UJ 121</t>
        </is>
      </c>
      <c r="N1237" s="11" t="n">
        <v>1984</v>
      </c>
      <c r="O1237" s="11" t="n"/>
      <c r="P1237" s="11" t="n"/>
      <c r="Q1237" s="11" t="n"/>
      <c r="R1237" s="2" t="n"/>
      <c r="S1237" s="2" t="n"/>
      <c r="T1237" s="11" t="inlineStr"/>
      <c r="U1237" s="11" t="inlineStr"/>
      <c r="V1237" s="11" t="inlineStr">
        <is>
          <t>outside_list</t>
        </is>
      </c>
      <c r="W1237" s="11" t="n"/>
      <c r="X1237" s="11" t="n"/>
      <c r="Y1237" s="11" t="n"/>
      <c r="Z1237" s="11" t="inlineStr">
        <is>
          <t>Mr. Advocate</t>
        </is>
      </c>
      <c r="AA1237" s="11" t="inlineStr">
        <is>
          <t>2026-10-07</t>
        </is>
      </c>
      <c r="AB1237" s="11" t="inlineStr">
        <is>
          <t>name_year</t>
        </is>
      </c>
      <c r="AC1237" s="2" t="inlineStr"/>
      <c r="AD1237" s="2" t="inlineStr">
        <is>
          <t>Workmen, Karnataka P.F. Employees Union v. Additional Industrial Tribunal and Another (1983) was overruled by Regional Provident Fund Commissioner, Karnataka v. Workmen represented by The General Secretary, Karnataka Provident Fund Employees’ Union and Another (1984).</t>
        </is>
      </c>
      <c r="AE1237" s="2" t="n"/>
      <c r="AF1237" s="11" t="inlineStr">
        <is>
          <t>created from list 1</t>
        </is>
      </c>
    </row>
    <row r="1238">
      <c r="A1238" s="11" t="inlineStr">
        <is>
          <t>L1-1237</t>
        </is>
      </c>
      <c r="B1238" s="11" t="inlineStr">
        <is>
          <t>List 1 (to ~2015)</t>
        </is>
      </c>
      <c r="C1238" s="11" t="inlineStr">
        <is>
          <t>list1</t>
        </is>
      </c>
      <c r="D1238" s="11" t="inlineStr">
        <is>
          <t>verified</t>
        </is>
      </c>
      <c r="E1238" s="11" t="inlineStr">
        <is>
          <t>reversed_on_appeal</t>
        </is>
      </c>
      <c r="F1238" s="2" t="inlineStr">
        <is>
          <t>Segu Buchiah Setty v. Commissioner of Income Tax, Mysore</t>
        </is>
      </c>
      <c r="G1238" s="11" t="inlineStr"/>
      <c r="H1238" s="11" t="inlineStr">
        <is>
          <t>unknown</t>
        </is>
      </c>
      <c r="I1238" s="2" t="inlineStr">
        <is>
          <t>(1966) 62 ITR 767</t>
        </is>
      </c>
      <c r="J1238" s="11" t="n">
        <v>1966</v>
      </c>
      <c r="K1238" s="2" t="inlineStr">
        <is>
          <t>Commissioner of Income Tax, Mysore v. Segu Buchiah Setty</t>
        </is>
      </c>
      <c r="L1238" s="11" t="inlineStr">
        <is>
          <t>Supreme Court</t>
        </is>
      </c>
      <c r="M1238" s="2" t="inlineStr">
        <is>
          <t>AIR 1971 SC 854; (1970) 77 ITR 539; (1970) 2 SCC 1; (1971) 1 SCR 352</t>
        </is>
      </c>
      <c r="N1238" s="11" t="n">
        <v>1971</v>
      </c>
      <c r="O1238" s="11" t="n"/>
      <c r="P1238" s="11" t="n"/>
      <c r="Q1238" s="11" t="n"/>
      <c r="R1238" s="2" t="n"/>
      <c r="S1238" s="2" t="n"/>
      <c r="T1238" s="11" t="inlineStr">
        <is>
          <t>yes</t>
        </is>
      </c>
      <c r="U1238" s="11" t="inlineStr"/>
      <c r="V1238" s="11" t="inlineStr">
        <is>
          <t>outside_list</t>
        </is>
      </c>
      <c r="W1238" s="11" t="n"/>
      <c r="X1238" s="11" t="n"/>
      <c r="Y1238" s="11" t="n"/>
      <c r="Z1238" s="11" t="inlineStr">
        <is>
          <t>Mr. Advocate</t>
        </is>
      </c>
      <c r="AA1238" s="11" t="inlineStr">
        <is>
          <t>2026-10-07</t>
        </is>
      </c>
      <c r="AB1238" s="11" t="inlineStr">
        <is>
          <t>name_year</t>
        </is>
      </c>
      <c r="AC1238" s="2" t="inlineStr"/>
      <c r="AD1238" s="2" t="inlineStr">
        <is>
          <t>Segu Buchiah Setty v. Commissioner of Income Tax, Mysore (1966) was reversed on appeal by the Supreme Court in Commissioner of Income Tax, Mysore v. Segu Buchiah Setty (1971).</t>
        </is>
      </c>
      <c r="AE1238" s="2" t="n"/>
      <c r="AF1238" s="11" t="inlineStr">
        <is>
          <t>created from list 1</t>
        </is>
      </c>
    </row>
    <row r="1239">
      <c r="A1239" s="11" t="inlineStr">
        <is>
          <t>L1-1238</t>
        </is>
      </c>
      <c r="B1239" s="11" t="inlineStr">
        <is>
          <t>List 1 (to ~2015)</t>
        </is>
      </c>
      <c r="C1239" s="11" t="inlineStr">
        <is>
          <t>list1</t>
        </is>
      </c>
      <c r="D1239" s="11" t="inlineStr">
        <is>
          <t>verified</t>
        </is>
      </c>
      <c r="E1239" s="11" t="inlineStr">
        <is>
          <t>overruled</t>
        </is>
      </c>
      <c r="F1239" s="2" t="inlineStr">
        <is>
          <t>M. Gurumurthappa v. M. Chickmunisamappa</t>
        </is>
      </c>
      <c r="G1239" s="11" t="inlineStr"/>
      <c r="H1239" s="11" t="inlineStr">
        <is>
          <t>Karnataka</t>
        </is>
      </c>
      <c r="I1239" s="2" t="inlineStr">
        <is>
          <t>AIR 1953 Kar 62</t>
        </is>
      </c>
      <c r="J1239" s="11" t="n">
        <v>1953</v>
      </c>
      <c r="K1239" s="2" t="inlineStr">
        <is>
          <t>Padmaben Shamalbhai Patel v. State of Gujarat</t>
        </is>
      </c>
      <c r="L1239" s="11" t="inlineStr">
        <is>
          <t>Supreme Court</t>
        </is>
      </c>
      <c r="M1239" s="2" t="inlineStr">
        <is>
          <t>(1991) 1 Crimes 349; (1991) 1 DMC 471; (1991) 1 JT 205; (1991) 1 SCALE 54; (1991) 1 SCC 744; (1991) 1 SCR 88</t>
        </is>
      </c>
      <c r="N1239" s="11" t="n">
        <v>1991</v>
      </c>
      <c r="O1239" s="11" t="n"/>
      <c r="P1239" s="11" t="n"/>
      <c r="Q1239" s="11" t="n"/>
      <c r="R1239" s="2" t="n"/>
      <c r="S1239" s="2" t="n"/>
      <c r="T1239" s="11" t="inlineStr"/>
      <c r="U1239" s="11" t="inlineStr"/>
      <c r="V1239" s="11" t="inlineStr">
        <is>
          <t>outside_list</t>
        </is>
      </c>
      <c r="W1239" s="11" t="n"/>
      <c r="X1239" s="11" t="n"/>
      <c r="Y1239" s="11" t="n"/>
      <c r="Z1239" s="11" t="inlineStr">
        <is>
          <t>Mr. Advocate</t>
        </is>
      </c>
      <c r="AA1239" s="11" t="inlineStr">
        <is>
          <t>2026-10-07</t>
        </is>
      </c>
      <c r="AB1239" s="11" t="inlineStr">
        <is>
          <t>name_year</t>
        </is>
      </c>
      <c r="AC1239" s="2" t="inlineStr"/>
      <c r="AD1239" s="2" t="inlineStr">
        <is>
          <t>M. Gurumurthappa v. M. Chickmunisamappa (1953) was overruled by Padmaben Shamalbhai Patel v. State of Gujarat (1991).</t>
        </is>
      </c>
      <c r="AE1239" s="2" t="n"/>
      <c r="AF1239" s="11" t="inlineStr">
        <is>
          <t>created from list 1</t>
        </is>
      </c>
    </row>
    <row r="1240">
      <c r="A1240" s="11" t="inlineStr">
        <is>
          <t>L1-1239</t>
        </is>
      </c>
      <c r="B1240" s="11" t="inlineStr">
        <is>
          <t>List 1 (to ~2015)</t>
        </is>
      </c>
      <c r="C1240" s="11" t="inlineStr">
        <is>
          <t>list1</t>
        </is>
      </c>
      <c r="D1240" s="11" t="inlineStr">
        <is>
          <t>verified</t>
        </is>
      </c>
      <c r="E1240" s="11" t="inlineStr">
        <is>
          <t>reversed_on_appeal</t>
        </is>
      </c>
      <c r="F1240" s="2" t="inlineStr">
        <is>
          <t>Gulbarga University v. Mallikarjun S. Kodagali and Another</t>
        </is>
      </c>
      <c r="G1240" s="11" t="inlineStr"/>
      <c r="H1240" s="11" t="inlineStr">
        <is>
          <t>unknown</t>
        </is>
      </c>
      <c r="I1240" s="2" t="inlineStr">
        <is>
          <t>(2005) 3 ARBLR 69; (2005) ILR (Kar) 1071; (2005) 2 KarLJ 298; (2005) 1 KCCR 575</t>
        </is>
      </c>
      <c r="J1240" s="11" t="n">
        <v>2005</v>
      </c>
      <c r="K1240" s="2" t="inlineStr">
        <is>
          <t>Gulbarga University v. Mallikarjun S. Kodagali and Another</t>
        </is>
      </c>
      <c r="L1240" s="11" t="inlineStr">
        <is>
          <t>Supreme Court</t>
        </is>
      </c>
      <c r="M1240" s="2" t="inlineStr">
        <is>
          <t>(2008) 3 ARBLR 232; (2008) 4 CTC 531; (2008) 11 SCALE 79; (2008) 13 SCC 589</t>
        </is>
      </c>
      <c r="N1240" s="11" t="n">
        <v>2008</v>
      </c>
      <c r="O1240" s="11" t="n"/>
      <c r="P1240" s="11" t="n"/>
      <c r="Q1240" s="11" t="n"/>
      <c r="R1240" s="2" t="n"/>
      <c r="S1240" s="2" t="n"/>
      <c r="T1240" s="11" t="inlineStr">
        <is>
          <t>yes</t>
        </is>
      </c>
      <c r="U1240" s="11" t="inlineStr"/>
      <c r="V1240" s="11" t="inlineStr">
        <is>
          <t>outside_list</t>
        </is>
      </c>
      <c r="W1240" s="11" t="n"/>
      <c r="X1240" s="11" t="n"/>
      <c r="Y1240" s="11" t="n"/>
      <c r="Z1240" s="11" t="inlineStr">
        <is>
          <t>Mr. Advocate</t>
        </is>
      </c>
      <c r="AA1240" s="11" t="inlineStr">
        <is>
          <t>2026-10-07</t>
        </is>
      </c>
      <c r="AB1240" s="11" t="inlineStr">
        <is>
          <t>name_year</t>
        </is>
      </c>
      <c r="AC1240" s="2" t="inlineStr"/>
      <c r="AD1240" s="2" t="inlineStr">
        <is>
          <t>Gulbarga University v. Mallikarjun S. Kodagali and Another (2005) was reversed on appeal by the Supreme Court in Gulbarga University v. Mallikarjun S. Kodagali and Another (2008).</t>
        </is>
      </c>
      <c r="AE1240" s="2" t="n"/>
      <c r="AF1240" s="11" t="inlineStr">
        <is>
          <t>created from list 1</t>
        </is>
      </c>
    </row>
    <row r="1241">
      <c r="A1241" s="11" t="inlineStr">
        <is>
          <t>L1-1240</t>
        </is>
      </c>
      <c r="B1241" s="11" t="inlineStr">
        <is>
          <t>List 1 (to ~2015)</t>
        </is>
      </c>
      <c r="C1241" s="11" t="inlineStr">
        <is>
          <t>list1</t>
        </is>
      </c>
      <c r="D1241" s="11" t="inlineStr">
        <is>
          <t>verified</t>
        </is>
      </c>
      <c r="E1241" s="11" t="inlineStr">
        <is>
          <t>reversed_on_appeal</t>
        </is>
      </c>
      <c r="F1241" s="2" t="inlineStr">
        <is>
          <t>Commissioner of Income Tax, Mysore v. K.D. Kamat and Co.</t>
        </is>
      </c>
      <c r="G1241" s="11" t="inlineStr"/>
      <c r="H1241" s="11" t="inlineStr">
        <is>
          <t>unknown</t>
        </is>
      </c>
      <c r="I1241" s="2" t="inlineStr">
        <is>
          <t>(1964) 54 ITR 72</t>
        </is>
      </c>
      <c r="J1241" s="11" t="n">
        <v>1964</v>
      </c>
      <c r="K1241" s="2" t="inlineStr">
        <is>
          <t>K.D. Kamath and Co. v. Commissioner of Income Tax, Mysore</t>
        </is>
      </c>
      <c r="L1241" s="11" t="inlineStr">
        <is>
          <t>Supreme Court</t>
        </is>
      </c>
      <c r="M1241" s="2" t="inlineStr">
        <is>
          <t>(1971) 82 ITR 680; (1971) 2 SCC 873; (1972) 1 SCR 1034</t>
        </is>
      </c>
      <c r="N1241" s="11" t="n">
        <v>1971</v>
      </c>
      <c r="O1241" s="11" t="n"/>
      <c r="P1241" s="11" t="n"/>
      <c r="Q1241" s="11" t="n"/>
      <c r="R1241" s="2" t="n"/>
      <c r="S1241" s="2" t="n"/>
      <c r="T1241" s="11" t="inlineStr">
        <is>
          <t>yes</t>
        </is>
      </c>
      <c r="U1241" s="11" t="inlineStr"/>
      <c r="V1241" s="11" t="inlineStr">
        <is>
          <t>outside_list</t>
        </is>
      </c>
      <c r="W1241" s="11" t="n"/>
      <c r="X1241" s="11" t="n"/>
      <c r="Y1241" s="11" t="n"/>
      <c r="Z1241" s="11" t="inlineStr">
        <is>
          <t>Mr. Advocate</t>
        </is>
      </c>
      <c r="AA1241" s="11" t="inlineStr">
        <is>
          <t>2026-10-07</t>
        </is>
      </c>
      <c r="AB1241" s="11" t="inlineStr">
        <is>
          <t>name_year</t>
        </is>
      </c>
      <c r="AC1241" s="2" t="inlineStr"/>
      <c r="AD1241" s="2" t="inlineStr">
        <is>
          <t>Commissioner of Income Tax, Mysore v. K.D. Kamat and Co. (1964) was reversed on appeal by the Supreme Court in K.D. Kamath and Co. v. Commissioner of Income Tax, Mysore (1971).</t>
        </is>
      </c>
      <c r="AE1241" s="2" t="n"/>
      <c r="AF1241" s="11" t="inlineStr">
        <is>
          <t>created from list 1</t>
        </is>
      </c>
    </row>
    <row r="1242">
      <c r="A1242" s="11" t="inlineStr">
        <is>
          <t>L1-1241</t>
        </is>
      </c>
      <c r="B1242" s="11" t="inlineStr">
        <is>
          <t>List 1 (to ~2015)</t>
        </is>
      </c>
      <c r="C1242" s="11" t="inlineStr">
        <is>
          <t>list1</t>
        </is>
      </c>
      <c r="D1242" s="11" t="inlineStr">
        <is>
          <t>verified</t>
        </is>
      </c>
      <c r="E1242" s="11" t="inlineStr">
        <is>
          <t>overruled</t>
        </is>
      </c>
      <c r="F1242" s="2" t="inlineStr">
        <is>
          <t>Karnataka State Financial Corporation v. Commissioner of Income Tax</t>
        </is>
      </c>
      <c r="G1242" s="11" t="inlineStr"/>
      <c r="H1242" s="11" t="inlineStr">
        <is>
          <t>unknown</t>
        </is>
      </c>
      <c r="I1242" s="2" t="inlineStr">
        <is>
          <t>(1988) 174 ITR 206</t>
        </is>
      </c>
      <c r="J1242" s="11" t="n">
        <v>1988</v>
      </c>
      <c r="K1242" s="2" t="inlineStr">
        <is>
          <t>The Commissioner of Income Tax, Trivandrum v. The Kerala State Industrial Development Corporation Ltd., Trivandrum</t>
        </is>
      </c>
      <c r="L1242" s="11" t="inlineStr">
        <is>
          <t>Supreme Court</t>
        </is>
      </c>
      <c r="M1242" s="2" t="inlineStr">
        <is>
          <t>AIR 1998 SC 1599; (1998) 233 ITR 197; (1998) 1 JT 716; (1998) 1 SCALE 633; (1998) 3 SCC 21; (1998) 1 SCR 871; (1998) AIRSCW 1286; (1998) 5 Supreme 145; (1998) 2 Supreme 64</t>
        </is>
      </c>
      <c r="N1242" s="11" t="n">
        <v>1998</v>
      </c>
      <c r="O1242" s="11" t="n"/>
      <c r="P1242" s="11" t="n"/>
      <c r="Q1242" s="11" t="n"/>
      <c r="R1242" s="2" t="n"/>
      <c r="S1242" s="2" t="n"/>
      <c r="T1242" s="11" t="inlineStr"/>
      <c r="U1242" s="11" t="inlineStr">
        <is>
          <t>needs_citation_or_year</t>
        </is>
      </c>
      <c r="V1242" s="11" t="inlineStr">
        <is>
          <t>outside_list</t>
        </is>
      </c>
      <c r="W1242" s="11" t="n"/>
      <c r="X1242" s="11" t="n"/>
      <c r="Y1242" s="11" t="n"/>
      <c r="Z1242" s="11" t="inlineStr">
        <is>
          <t>Mr. Advocate</t>
        </is>
      </c>
      <c r="AA1242" s="11" t="inlineStr">
        <is>
          <t>2026-10-07</t>
        </is>
      </c>
      <c r="AB1242" s="11" t="inlineStr">
        <is>
          <t>none</t>
        </is>
      </c>
      <c r="AC1242" s="2" t="inlineStr"/>
      <c r="AD1242" s="2" t="inlineStr">
        <is>
          <t>Karnataka State Financial Corporation v. Commissioner of Income Tax (1988) was overruled by The Commissioner of Income Tax, Trivandrum v. The Kerala State Industrial Development Corporation Ltd., Trivandrum (1998).</t>
        </is>
      </c>
      <c r="AE1242" s="2" t="n"/>
      <c r="AF1242" s="11" t="inlineStr">
        <is>
          <t>created from list 1</t>
        </is>
      </c>
    </row>
    <row r="1243">
      <c r="A1243" s="11" t="inlineStr">
        <is>
          <t>L1-1242</t>
        </is>
      </c>
      <c r="B1243" s="11" t="inlineStr">
        <is>
          <t>List 1 (to ~2015)</t>
        </is>
      </c>
      <c r="C1243" s="11" t="inlineStr">
        <is>
          <t>list1</t>
        </is>
      </c>
      <c r="D1243" s="11" t="inlineStr">
        <is>
          <t>verified</t>
        </is>
      </c>
      <c r="E1243" s="11" t="inlineStr">
        <is>
          <t>reversed_on_appeal</t>
        </is>
      </c>
      <c r="F1243" s="2" t="inlineStr">
        <is>
          <t>The Premier Insurance Co. Ltd. v. Padma Srinivasan</t>
        </is>
      </c>
      <c r="G1243" s="11" t="inlineStr"/>
      <c r="H1243" s="11" t="inlineStr">
        <is>
          <t>Karnataka</t>
        </is>
      </c>
      <c r="I1243" s="2" t="inlineStr">
        <is>
          <t>(1976) ACJ 190; AIR 1976 Kar 187; (1976) ILR (Kar) 823; (1976) 1 KarLJ 168</t>
        </is>
      </c>
      <c r="J1243" s="11" t="n">
        <v>1976</v>
      </c>
      <c r="K1243" s="2" t="inlineStr">
        <is>
          <t>Padma Srinivasan v. Premier Insurance Company Limited</t>
        </is>
      </c>
      <c r="L1243" s="11" t="inlineStr">
        <is>
          <t>Supreme Court</t>
        </is>
      </c>
      <c r="M1243" s="2" t="inlineStr">
        <is>
          <t>(1982) ACJ 191; AIR 1982 SC 836; (1983) 53 CompCas 333; (1982) 44 FLR 271; (1982) 1 SCALE 107; (1982) 1 SCC 613; (1982) 3 SCR 244; (1982) 14 UJ 248</t>
        </is>
      </c>
      <c r="N1243" s="11" t="n">
        <v>1982</v>
      </c>
      <c r="O1243" s="11" t="n"/>
      <c r="P1243" s="11" t="n"/>
      <c r="Q1243" s="11" t="n"/>
      <c r="R1243" s="2" t="n"/>
      <c r="S1243" s="2" t="n"/>
      <c r="T1243" s="11" t="inlineStr">
        <is>
          <t>yes</t>
        </is>
      </c>
      <c r="U1243" s="11" t="inlineStr"/>
      <c r="V1243" s="11" t="inlineStr">
        <is>
          <t>outside_list</t>
        </is>
      </c>
      <c r="W1243" s="11" t="n"/>
      <c r="X1243" s="11" t="n"/>
      <c r="Y1243" s="11" t="n"/>
      <c r="Z1243" s="11" t="inlineStr">
        <is>
          <t>Mr. Advocate</t>
        </is>
      </c>
      <c r="AA1243" s="11" t="inlineStr">
        <is>
          <t>2026-10-07</t>
        </is>
      </c>
      <c r="AB1243" s="11" t="inlineStr">
        <is>
          <t>name_year</t>
        </is>
      </c>
      <c r="AC1243" s="2" t="inlineStr"/>
      <c r="AD1243" s="2" t="inlineStr">
        <is>
          <t>The Premier Insurance Co. Ltd. v. Padma Srinivasan (1976) was reversed on appeal by the Supreme Court in Padma Srinivasan v. Premier Insurance Company Limited (1982).</t>
        </is>
      </c>
      <c r="AE1243" s="2" t="n"/>
      <c r="AF1243" s="11" t="inlineStr">
        <is>
          <t>created from list 1</t>
        </is>
      </c>
    </row>
    <row r="1244">
      <c r="A1244" s="11" t="inlineStr">
        <is>
          <t>L1-1243</t>
        </is>
      </c>
      <c r="B1244" s="11" t="inlineStr">
        <is>
          <t>List 1 (to ~2015)</t>
        </is>
      </c>
      <c r="C1244" s="11" t="inlineStr">
        <is>
          <t>list1</t>
        </is>
      </c>
      <c r="D1244" s="11" t="inlineStr">
        <is>
          <t>verified</t>
        </is>
      </c>
      <c r="E1244" s="11" t="inlineStr">
        <is>
          <t>overruled</t>
        </is>
      </c>
      <c r="F1244" s="2" t="inlineStr">
        <is>
          <t>R. Abdul Azeez v. Commissioner of Income Tax, Karnataka-I</t>
        </is>
      </c>
      <c r="G1244" s="11" t="inlineStr"/>
      <c r="H1244" s="11" t="inlineStr">
        <is>
          <t>unknown</t>
        </is>
      </c>
      <c r="I1244" s="2" t="inlineStr">
        <is>
          <t>(1981) 128 ITR 547; (1981) 6 TAXMAN 33</t>
        </is>
      </c>
      <c r="J1244" s="11" t="n">
        <v>1981</v>
      </c>
      <c r="K1244" s="2" t="inlineStr">
        <is>
          <t>Commissioner of Income Tax, Bangalore v. Smt. R. Sharadamma</t>
        </is>
      </c>
      <c r="L1244" s="11" t="inlineStr">
        <is>
          <t>Supreme Court</t>
        </is>
      </c>
      <c r="M1244" s="2" t="inlineStr">
        <is>
          <t>AIR 1996 SC 3199; (1996) 133 CTR 136; (1996) 219 ITR 671; (1996) 4 JT 90; (1996) 3 SCALE 343; (1996) 8 SCC 388; (1996) 3 SCR 1200; (1996) 85 TAXMAN 679</t>
        </is>
      </c>
      <c r="N1244" s="11" t="n">
        <v>1996</v>
      </c>
      <c r="O1244" s="11" t="n"/>
      <c r="P1244" s="11" t="n"/>
      <c r="Q1244" s="11" t="n"/>
      <c r="R1244" s="2" t="n"/>
      <c r="S1244" s="2" t="n"/>
      <c r="T1244" s="11" t="inlineStr"/>
      <c r="U1244" s="11" t="inlineStr"/>
      <c r="V1244" s="11" t="inlineStr">
        <is>
          <t>outside_list</t>
        </is>
      </c>
      <c r="W1244" s="11" t="n"/>
      <c r="X1244" s="11" t="n"/>
      <c r="Y1244" s="11" t="n"/>
      <c r="Z1244" s="11" t="inlineStr">
        <is>
          <t>Mr. Advocate</t>
        </is>
      </c>
      <c r="AA1244" s="11" t="inlineStr">
        <is>
          <t>2026-10-07</t>
        </is>
      </c>
      <c r="AB1244" s="11" t="inlineStr">
        <is>
          <t>name_year</t>
        </is>
      </c>
      <c r="AC1244" s="2" t="inlineStr"/>
      <c r="AD1244" s="2" t="inlineStr">
        <is>
          <t>R. Abdul Azeez v. Commissioner of Income Tax, Karnataka-I (1981) was overruled by Commissioner of Income Tax, Bangalore v. Smt. R. Sharadamma (1996).</t>
        </is>
      </c>
      <c r="AE1244" s="2" t="n"/>
      <c r="AF1244" s="11" t="inlineStr">
        <is>
          <t>created from list 1</t>
        </is>
      </c>
    </row>
    <row r="1245">
      <c r="A1245" s="11" t="inlineStr">
        <is>
          <t>L1-1244</t>
        </is>
      </c>
      <c r="B1245" s="11" t="inlineStr">
        <is>
          <t>List 1 (to ~2015)</t>
        </is>
      </c>
      <c r="C1245" s="11" t="inlineStr">
        <is>
          <t>list1</t>
        </is>
      </c>
      <c r="D1245" s="11" t="inlineStr">
        <is>
          <t>verified</t>
        </is>
      </c>
      <c r="E1245" s="11" t="inlineStr">
        <is>
          <t>overruled</t>
        </is>
      </c>
      <c r="F1245" s="2" t="inlineStr">
        <is>
          <t>Domingo John Picardo v. Gregory Pinto</t>
        </is>
      </c>
      <c r="G1245" s="11" t="inlineStr"/>
      <c r="H1245" s="11" t="inlineStr">
        <is>
          <t>Karnataka</t>
        </is>
      </c>
      <c r="I1245" s="2" t="inlineStr">
        <is>
          <t>AIR 1962 Kar 190</t>
        </is>
      </c>
      <c r="J1245" s="11" t="n">
        <v>1962</v>
      </c>
      <c r="K1245" s="2" t="inlineStr">
        <is>
          <t>Abdul Latif Abdul Wahab Sheikh v. B.K. Jha and another</t>
        </is>
      </c>
      <c r="L1245" s="11" t="inlineStr">
        <is>
          <t>Supreme Court</t>
        </is>
      </c>
      <c r="M1245" s="2" t="inlineStr">
        <is>
          <t>AIR 1987 SC 725; (1987) CriLJ 700; (1987) 1 JT 397; (1987) 1 SCALE 275; (1987) 2 SCC 22; (1987) 2 SCR 203</t>
        </is>
      </c>
      <c r="N1245" s="11" t="n">
        <v>1987</v>
      </c>
      <c r="O1245" s="11" t="n"/>
      <c r="P1245" s="11" t="n"/>
      <c r="Q1245" s="11" t="n"/>
      <c r="R1245" s="2" t="n"/>
      <c r="S1245" s="2" t="n"/>
      <c r="T1245" s="11" t="inlineStr"/>
      <c r="U1245" s="11" t="inlineStr"/>
      <c r="V1245" s="11" t="inlineStr">
        <is>
          <t>outside_list</t>
        </is>
      </c>
      <c r="W1245" s="11" t="n"/>
      <c r="X1245" s="11" t="n"/>
      <c r="Y1245" s="11" t="n"/>
      <c r="Z1245" s="11" t="inlineStr">
        <is>
          <t>Mr. Advocate</t>
        </is>
      </c>
      <c r="AA1245" s="11" t="inlineStr">
        <is>
          <t>2026-10-07</t>
        </is>
      </c>
      <c r="AB1245" s="11" t="inlineStr">
        <is>
          <t>name_year</t>
        </is>
      </c>
      <c r="AC1245" s="2" t="inlineStr"/>
      <c r="AD1245" s="2" t="inlineStr">
        <is>
          <t>Domingo John Picardo v. Gregory Pinto (1962) was overruled by Abdul Latif Abdul Wahab Sheikh v. B.K. Jha and another (1987).</t>
        </is>
      </c>
      <c r="AE1245" s="2" t="n"/>
      <c r="AF1245" s="11" t="inlineStr">
        <is>
          <t>created from list 1</t>
        </is>
      </c>
    </row>
    <row r="1246">
      <c r="A1246" s="11" t="inlineStr">
        <is>
          <t>L1-1245</t>
        </is>
      </c>
      <c r="B1246" s="11" t="inlineStr">
        <is>
          <t>List 1 (to ~2015)</t>
        </is>
      </c>
      <c r="C1246" s="11" t="inlineStr">
        <is>
          <t>list1</t>
        </is>
      </c>
      <c r="D1246" s="11" t="inlineStr">
        <is>
          <t>verified</t>
        </is>
      </c>
      <c r="E1246" s="11" t="inlineStr">
        <is>
          <t>reversed_on_appeal</t>
        </is>
      </c>
      <c r="F1246" s="2" t="inlineStr">
        <is>
          <t>The State of Karnataka v. Krishnappa</t>
        </is>
      </c>
      <c r="G1246" s="11" t="inlineStr"/>
      <c r="H1246" s="11" t="inlineStr">
        <is>
          <t>unknown</t>
        </is>
      </c>
      <c r="I1246" s="2" t="inlineStr">
        <is>
          <t>(2004) CriLJ 2175; (2004) ILR (Kar) 1969; (2004) 7 KarLJ 66; (2004) 3 KCCR 1690</t>
        </is>
      </c>
      <c r="J1246" s="11" t="n">
        <v>2004</v>
      </c>
      <c r="K1246" s="2" t="inlineStr">
        <is>
          <t>Krishnappa v. State of Karnataka</t>
        </is>
      </c>
      <c r="L1246" s="11" t="inlineStr">
        <is>
          <t>Supreme Court</t>
        </is>
      </c>
      <c r="M1246" s="2" t="inlineStr">
        <is>
          <t>AIR 2004 SC 4298; (2004) CriLJ 4185; (2004) 7 JT 509; (2004) 7 SCALE 282; (2004) 7 SCC 792; (2004) 3 SCR 894 Supp; (2004) AIRSCW 4809; (2004) 6 Supreme 432</t>
        </is>
      </c>
      <c r="N1246" s="11" t="n">
        <v>2004</v>
      </c>
      <c r="O1246" s="11" t="n"/>
      <c r="P1246" s="11" t="n"/>
      <c r="Q1246" s="11" t="n"/>
      <c r="R1246" s="2" t="n"/>
      <c r="S1246" s="2" t="n"/>
      <c r="T1246" s="11" t="inlineStr">
        <is>
          <t>yes</t>
        </is>
      </c>
      <c r="U1246" s="11" t="inlineStr">
        <is>
          <t>needs_citation_or_year</t>
        </is>
      </c>
      <c r="V1246" s="11" t="inlineStr">
        <is>
          <t>outside_list</t>
        </is>
      </c>
      <c r="W1246" s="11" t="n"/>
      <c r="X1246" s="11" t="n"/>
      <c r="Y1246" s="11" t="n"/>
      <c r="Z1246" s="11" t="inlineStr">
        <is>
          <t>Mr. Advocate</t>
        </is>
      </c>
      <c r="AA1246" s="11" t="inlineStr">
        <is>
          <t>2026-10-07</t>
        </is>
      </c>
      <c r="AB1246" s="11" t="inlineStr">
        <is>
          <t>none</t>
        </is>
      </c>
      <c r="AC1246" s="2" t="inlineStr"/>
      <c r="AD1246" s="2" t="inlineStr">
        <is>
          <t>The State of Karnataka v. Krishnappa (2004) was reversed on appeal by the Supreme Court in Krishnappa v. State of Karnataka (2004).</t>
        </is>
      </c>
      <c r="AE1246" s="2" t="n"/>
      <c r="AF1246" s="11" t="inlineStr">
        <is>
          <t>created from list 1</t>
        </is>
      </c>
    </row>
    <row r="1247">
      <c r="A1247" s="11" t="inlineStr">
        <is>
          <t>L1-1246</t>
        </is>
      </c>
      <c r="B1247" s="11" t="inlineStr">
        <is>
          <t>List 1 (to ~2015)</t>
        </is>
      </c>
      <c r="C1247" s="11" t="inlineStr">
        <is>
          <t>list1</t>
        </is>
      </c>
      <c r="D1247" s="11" t="inlineStr">
        <is>
          <t>verified</t>
        </is>
      </c>
      <c r="E1247" s="11" t="inlineStr">
        <is>
          <t>reversed_on_appeal</t>
        </is>
      </c>
      <c r="F1247" s="2" t="inlineStr">
        <is>
          <t>R.N. Nanjundappa and Others v. T. Thimmiah and Others</t>
        </is>
      </c>
      <c r="G1247" s="11" t="inlineStr"/>
      <c r="H1247" s="11" t="inlineStr">
        <is>
          <t>Karnataka</t>
        </is>
      </c>
      <c r="I1247" s="2" t="inlineStr">
        <is>
          <t>AIR 1969 Kar 208; (1969) 1 MysLJ 22</t>
        </is>
      </c>
      <c r="J1247" s="11" t="n">
        <v>1969</v>
      </c>
      <c r="K1247" s="2" t="inlineStr">
        <is>
          <t>R.N. Nanjundappa v. T. Thimmiah and Another</t>
        </is>
      </c>
      <c r="L1247" s="11" t="inlineStr">
        <is>
          <t>Supreme Court</t>
        </is>
      </c>
      <c r="M1247" s="2" t="inlineStr">
        <is>
          <t>AIR 1972 SC 1767; (1972) 1 LLJ 565; (1972) 1 SCC 409; (1972) 2 SCR 799</t>
        </is>
      </c>
      <c r="N1247" s="11" t="n">
        <v>1972</v>
      </c>
      <c r="O1247" s="11" t="n"/>
      <c r="P1247" s="11" t="n"/>
      <c r="Q1247" s="11" t="n"/>
      <c r="R1247" s="2" t="n"/>
      <c r="S1247" s="2" t="n"/>
      <c r="T1247" s="11" t="inlineStr">
        <is>
          <t>yes</t>
        </is>
      </c>
      <c r="U1247" s="11" t="inlineStr"/>
      <c r="V1247" s="11" t="inlineStr">
        <is>
          <t>outside_list</t>
        </is>
      </c>
      <c r="W1247" s="11" t="n"/>
      <c r="X1247" s="11" t="n"/>
      <c r="Y1247" s="11" t="n"/>
      <c r="Z1247" s="11" t="inlineStr">
        <is>
          <t>Mr. Advocate</t>
        </is>
      </c>
      <c r="AA1247" s="11" t="inlineStr">
        <is>
          <t>2026-10-07</t>
        </is>
      </c>
      <c r="AB1247" s="11" t="inlineStr">
        <is>
          <t>name_year</t>
        </is>
      </c>
      <c r="AC1247" s="2" t="inlineStr"/>
      <c r="AD1247" s="2" t="inlineStr">
        <is>
          <t>R.N. Nanjundappa and Others v. T. Thimmiah and Others (1969) was reversed on appeal by the Supreme Court in R.N. Nanjundappa v. T. Thimmiah and Another (1972).</t>
        </is>
      </c>
      <c r="AE1247" s="2" t="n"/>
      <c r="AF1247" s="11" t="inlineStr">
        <is>
          <t>created from list 1</t>
        </is>
      </c>
    </row>
    <row r="1248">
      <c r="A1248" s="11" t="inlineStr">
        <is>
          <t>L1-1247</t>
        </is>
      </c>
      <c r="B1248" s="11" t="inlineStr">
        <is>
          <t>List 1 (to ~2015)</t>
        </is>
      </c>
      <c r="C1248" s="11" t="inlineStr">
        <is>
          <t>list1</t>
        </is>
      </c>
      <c r="D1248" s="11" t="inlineStr">
        <is>
          <t>verified</t>
        </is>
      </c>
      <c r="E1248" s="11" t="inlineStr">
        <is>
          <t>overruled</t>
        </is>
      </c>
      <c r="F1248" s="2" t="inlineStr">
        <is>
          <t>D. K. Abdul Khader and Others v. Union of India and Others</t>
        </is>
      </c>
      <c r="G1248" s="11" t="inlineStr"/>
      <c r="H1248" s="11" t="inlineStr">
        <is>
          <t>Karnataka</t>
        </is>
      </c>
      <c r="I1248" s="2" t="inlineStr">
        <is>
          <t>AIR 2001 Kar 176; (2001) 105 CompCas 579; (2001) ILR (Kar) 1809; (2001) 2 KarLJ 534</t>
        </is>
      </c>
      <c r="J1248" s="11" t="n">
        <v>2001</v>
      </c>
      <c r="K1248" s="2" t="inlineStr">
        <is>
          <t>Union of India and Another v. Delhi High Court Bar Association and Others</t>
        </is>
      </c>
      <c r="L1248" s="11" t="inlineStr">
        <is>
          <t>Supreme Court</t>
        </is>
      </c>
      <c r="M1248" s="2" t="inlineStr">
        <is>
          <t>AIR 2002 SC 1479; (2002) 2 BC 194; (2002) 110 CompCas 141; (2002) 2 CompLJ 231; (2002) 3 JT 131; (2002) 2 SCALE 668; (2002) 4 SCC 275; (2002) 37 SCL 451; (2002) 2 SCR 450; (2002) AIRSCW 1347; (2002) 2 Supreme 435</t>
        </is>
      </c>
      <c r="N1248" s="11" t="n">
        <v>2002</v>
      </c>
      <c r="O1248" s="11" t="n"/>
      <c r="P1248" s="11" t="n"/>
      <c r="Q1248" s="11" t="n"/>
      <c r="R1248" s="2" t="n"/>
      <c r="S1248" s="2" t="n"/>
      <c r="T1248" s="11" t="inlineStr"/>
      <c r="U1248" s="11" t="inlineStr"/>
      <c r="V1248" s="11" t="inlineStr">
        <is>
          <t>outside_list</t>
        </is>
      </c>
      <c r="W1248" s="11" t="n"/>
      <c r="X1248" s="11" t="n"/>
      <c r="Y1248" s="11" t="n"/>
      <c r="Z1248" s="11" t="inlineStr">
        <is>
          <t>Mr. Advocate</t>
        </is>
      </c>
      <c r="AA1248" s="11" t="inlineStr">
        <is>
          <t>2026-10-07</t>
        </is>
      </c>
      <c r="AB1248" s="11" t="inlineStr">
        <is>
          <t>name_year</t>
        </is>
      </c>
      <c r="AC1248" s="2" t="inlineStr"/>
      <c r="AD1248" s="2" t="inlineStr">
        <is>
          <t>D. K. Abdul Khader and Others v. Union of India and Others (2001) was overruled by Union of India and Another v. Delhi High Court Bar Association and Others (2002).</t>
        </is>
      </c>
      <c r="AE1248" s="2" t="n"/>
      <c r="AF1248" s="11" t="inlineStr">
        <is>
          <t>created from list 1</t>
        </is>
      </c>
    </row>
    <row r="1249">
      <c r="A1249" s="11" t="inlineStr">
        <is>
          <t>L1-1248</t>
        </is>
      </c>
      <c r="B1249" s="11" t="inlineStr">
        <is>
          <t>List 1 (to ~2015)</t>
        </is>
      </c>
      <c r="C1249" s="11" t="inlineStr">
        <is>
          <t>list1</t>
        </is>
      </c>
      <c r="D1249" s="11" t="inlineStr">
        <is>
          <t>verified</t>
        </is>
      </c>
      <c r="E1249" s="11" t="inlineStr">
        <is>
          <t>overruled</t>
        </is>
      </c>
      <c r="F1249" s="2" t="inlineStr">
        <is>
          <t>Bapuji Educational Association v. State</t>
        </is>
      </c>
      <c r="G1249" s="11" t="inlineStr"/>
      <c r="H1249" s="11" t="inlineStr">
        <is>
          <t>Karnataka</t>
        </is>
      </c>
      <c r="I1249" s="2" t="inlineStr">
        <is>
          <t>AIR 1986 Kar 119</t>
        </is>
      </c>
      <c r="J1249" s="11" t="n">
        <v>1986</v>
      </c>
      <c r="K1249" s="2" t="inlineStr">
        <is>
          <t>Unni Krishnan, J.P. and others v. State of Andhra Pradesh and others etc.</t>
        </is>
      </c>
      <c r="L1249" s="11" t="inlineStr">
        <is>
          <t>Supreme Court</t>
        </is>
      </c>
      <c r="M1249" s="2" t="inlineStr">
        <is>
          <t>AIR 1993 SC 2178; (1993) 1 JT 474; (1993) 1 SCALE 290; (1992) 2 SCALE 703; (1993) 1 SCC 645; (1993) 1 SCR 594</t>
        </is>
      </c>
      <c r="N1249" s="11" t="n">
        <v>1993</v>
      </c>
      <c r="O1249" s="11" t="n"/>
      <c r="P1249" s="11" t="n"/>
      <c r="Q1249" s="11" t="n"/>
      <c r="R1249" s="2" t="n"/>
      <c r="S1249" s="2" t="n"/>
      <c r="T1249" s="11" t="inlineStr"/>
      <c r="U1249" s="11" t="inlineStr"/>
      <c r="V1249" s="11" t="inlineStr">
        <is>
          <t>outside_list</t>
        </is>
      </c>
      <c r="W1249" s="11" t="n"/>
      <c r="X1249" s="11" t="n"/>
      <c r="Y1249" s="11" t="n"/>
      <c r="Z1249" s="11" t="inlineStr">
        <is>
          <t>Mr. Advocate</t>
        </is>
      </c>
      <c r="AA1249" s="11" t="inlineStr">
        <is>
          <t>2026-10-07</t>
        </is>
      </c>
      <c r="AB1249" s="11" t="inlineStr">
        <is>
          <t>name_year</t>
        </is>
      </c>
      <c r="AC1249" s="2" t="inlineStr">
        <is>
          <t>L1-0380: overruled by T.M.A. Pai Foundation and Others v. State of Karnataka and Others (2003)</t>
        </is>
      </c>
      <c r="AD1249" s="2" t="inlineStr">
        <is>
          <t>Bapuji Educational Association v. State (1986) was overruled by Unni Krishnan, J.P. and others v. State of Andhra Pradesh and others etc. (1993). Note: Unni Krishnan, J.P. and others v. State of Andhra Pradesh and others etc. was itself later overruled by T.M.A. Pai Foundation and Others v. State of Karnataka and Others (2003); the current position should be checked.</t>
        </is>
      </c>
      <c r="AE1249" s="2" t="n"/>
      <c r="AF1249" s="11" t="inlineStr">
        <is>
          <t>created from list 1</t>
        </is>
      </c>
    </row>
    <row r="1250">
      <c r="A1250" s="11" t="inlineStr">
        <is>
          <t>L1-1249</t>
        </is>
      </c>
      <c r="B1250" s="11" t="inlineStr">
        <is>
          <t>List 1 (to ~2015)</t>
        </is>
      </c>
      <c r="C1250" s="11" t="inlineStr">
        <is>
          <t>list1</t>
        </is>
      </c>
      <c r="D1250" s="11" t="inlineStr">
        <is>
          <t>verified</t>
        </is>
      </c>
      <c r="E1250" s="11" t="inlineStr">
        <is>
          <t>reversed_on_appeal</t>
        </is>
      </c>
      <c r="F1250" s="2" t="inlineStr">
        <is>
          <t>State of Karnataka and Another v. K.K. Mohandas and Others</t>
        </is>
      </c>
      <c r="G1250" s="11" t="inlineStr"/>
      <c r="H1250" s="11" t="inlineStr">
        <is>
          <t>unknown</t>
        </is>
      </c>
      <c r="I1250" s="2" t="inlineStr">
        <is>
          <t>(2002) ILR (Kar) 2872; (2002) 3 KarLJ 450</t>
        </is>
      </c>
      <c r="J1250" s="11" t="n">
        <v>2002</v>
      </c>
      <c r="K1250" s="2" t="inlineStr">
        <is>
          <t>State of Karnataka and Another v. K.K. Mohandas and</t>
        </is>
      </c>
      <c r="L1250" s="11" t="inlineStr">
        <is>
          <t>Supreme Court</t>
        </is>
      </c>
      <c r="M1250" s="2" t="inlineStr">
        <is>
          <t>AIR 2007 SC 2917; (2007) 2 CTLJ 292; (2007) 9 SCALE 531; (2007) 6 SCC 484; (2007) 8 SCR 697; (2007) AIRSCW 5311; (2007) 5 Supreme 736</t>
        </is>
      </c>
      <c r="N1250" s="11" t="n">
        <v>2007</v>
      </c>
      <c r="O1250" s="11" t="n"/>
      <c r="P1250" s="11" t="n"/>
      <c r="Q1250" s="11" t="n"/>
      <c r="R1250" s="2" t="n"/>
      <c r="S1250" s="2" t="n"/>
      <c r="T1250" s="11" t="inlineStr">
        <is>
          <t>yes</t>
        </is>
      </c>
      <c r="U1250" s="11" t="inlineStr"/>
      <c r="V1250" s="11" t="inlineStr">
        <is>
          <t>outside_list</t>
        </is>
      </c>
      <c r="W1250" s="11" t="n"/>
      <c r="X1250" s="11" t="n"/>
      <c r="Y1250" s="11" t="n"/>
      <c r="Z1250" s="11" t="inlineStr">
        <is>
          <t>Mr. Advocate</t>
        </is>
      </c>
      <c r="AA1250" s="11" t="inlineStr">
        <is>
          <t>2026-10-07</t>
        </is>
      </c>
      <c r="AB1250" s="11" t="inlineStr">
        <is>
          <t>name_year</t>
        </is>
      </c>
      <c r="AC1250" s="2" t="inlineStr"/>
      <c r="AD1250" s="2" t="inlineStr">
        <is>
          <t>State of Karnataka and Another v. K.K. Mohandas and Others (2002) was reversed on appeal by the Supreme Court in State of Karnataka and Another v. K.K. Mohandas and (2007).</t>
        </is>
      </c>
      <c r="AE1250" s="2" t="n"/>
      <c r="AF1250" s="11" t="inlineStr">
        <is>
          <t>created from list 1</t>
        </is>
      </c>
    </row>
    <row r="1251">
      <c r="A1251" s="11" t="inlineStr">
        <is>
          <t>L1-1250</t>
        </is>
      </c>
      <c r="B1251" s="11" t="inlineStr">
        <is>
          <t>List 1 (to ~2015)</t>
        </is>
      </c>
      <c r="C1251" s="11" t="inlineStr">
        <is>
          <t>list1</t>
        </is>
      </c>
      <c r="D1251" s="11" t="inlineStr">
        <is>
          <t>verified</t>
        </is>
      </c>
      <c r="E1251" s="11" t="inlineStr">
        <is>
          <t>reversed_on_appeal</t>
        </is>
      </c>
      <c r="F1251" s="2" t="inlineStr">
        <is>
          <t>P. Hari Sharma v. P. Vaikunta Shenoy and Company, Bunder, Mangalore</t>
        </is>
      </c>
      <c r="G1251" s="11" t="inlineStr"/>
      <c r="H1251" s="11" t="inlineStr">
        <is>
          <t>unknown</t>
        </is>
      </c>
      <c r="I1251" s="2" t="inlineStr">
        <is>
          <t>(2001) 3 KarLJ 357</t>
        </is>
      </c>
      <c r="J1251" s="11" t="n">
        <v>2001</v>
      </c>
      <c r="K1251" s="2" t="inlineStr">
        <is>
          <t>P. Vaikunta Shenoy and Co. v. P. Hari Sharma</t>
        </is>
      </c>
      <c r="L1251" s="11" t="inlineStr">
        <is>
          <t>Supreme Court</t>
        </is>
      </c>
      <c r="M1251" s="2" t="inlineStr">
        <is>
          <t>AIR 2008 SC 416; (2008) 1 BC 263; (2007) 13 JT 518; (2007) 12 SCALE 640; (2007) 11 SCR 725</t>
        </is>
      </c>
      <c r="N1251" s="11" t="n">
        <v>2008</v>
      </c>
      <c r="O1251" s="11" t="n"/>
      <c r="P1251" s="11" t="n"/>
      <c r="Q1251" s="11" t="n"/>
      <c r="R1251" s="2" t="n"/>
      <c r="S1251" s="2" t="n"/>
      <c r="T1251" s="11" t="inlineStr">
        <is>
          <t>yes</t>
        </is>
      </c>
      <c r="U1251" s="11" t="inlineStr"/>
      <c r="V1251" s="11" t="inlineStr">
        <is>
          <t>outside_list</t>
        </is>
      </c>
      <c r="W1251" s="11" t="n"/>
      <c r="X1251" s="11" t="n"/>
      <c r="Y1251" s="11" t="n"/>
      <c r="Z1251" s="11" t="inlineStr">
        <is>
          <t>Mr. Advocate</t>
        </is>
      </c>
      <c r="AA1251" s="11" t="inlineStr">
        <is>
          <t>2026-10-07</t>
        </is>
      </c>
      <c r="AB1251" s="11" t="inlineStr">
        <is>
          <t>name_year</t>
        </is>
      </c>
      <c r="AC1251" s="2" t="inlineStr"/>
      <c r="AD1251" s="2" t="inlineStr">
        <is>
          <t>P. Hari Sharma v. P. Vaikunta Shenoy and Company, Bunder, Mangalore (2001) was reversed on appeal by the Supreme Court in P. Vaikunta Shenoy and Co. v. P. Hari Sharma (2008).</t>
        </is>
      </c>
      <c r="AE1251" s="2" t="n"/>
      <c r="AF1251" s="11" t="inlineStr">
        <is>
          <t>created from list 1</t>
        </is>
      </c>
    </row>
    <row r="1252">
      <c r="A1252" s="11" t="inlineStr">
        <is>
          <t>L1-1251</t>
        </is>
      </c>
      <c r="B1252" s="11" t="inlineStr">
        <is>
          <t>List 1 (to ~2015)</t>
        </is>
      </c>
      <c r="C1252" s="11" t="inlineStr">
        <is>
          <t>list1</t>
        </is>
      </c>
      <c r="D1252" s="11" t="inlineStr">
        <is>
          <t>verified</t>
        </is>
      </c>
      <c r="E1252" s="11" t="inlineStr">
        <is>
          <t>overruled</t>
        </is>
      </c>
      <c r="F1252" s="2" t="inlineStr">
        <is>
          <t>Falcon Tyres Ltd. v. Union of India</t>
        </is>
      </c>
      <c r="G1252" s="11" t="inlineStr"/>
      <c r="H1252" s="11" t="inlineStr">
        <is>
          <t>unknown</t>
        </is>
      </c>
      <c r="I1252" s="2" t="inlineStr">
        <is>
          <t>(1992) 38 ECC 182; (1992) 60 ELT 116; (1992) ILR (Kar) 829; (1992) 2 KarLJ 172</t>
        </is>
      </c>
      <c r="J1252" s="11" t="n">
        <v>1992</v>
      </c>
      <c r="K1252" s="2" t="inlineStr">
        <is>
          <t>Kolhapur Canesugar Works Ltd. and Another v. Union of India and Others</t>
        </is>
      </c>
      <c r="L1252" s="11" t="inlineStr">
        <is>
          <t>Supreme Court</t>
        </is>
      </c>
      <c r="M1252" s="2" t="inlineStr">
        <is>
          <t>AIR 2000 SC 811; (2000) 68 ECC 1; (2000) 119 ELT 257; (2000) 1 JT 453; (2000) 1 SCALE 369; (2000) 2 SCC 536; (2000) 1 SCR 518; (2000) AIRSCW 364; (2001) AIRSCW 2399; (2000) 1 Supreme 412</t>
        </is>
      </c>
      <c r="N1252" s="11" t="n">
        <v>2000</v>
      </c>
      <c r="O1252" s="11" t="n"/>
      <c r="P1252" s="11" t="n"/>
      <c r="Q1252" s="11" t="n"/>
      <c r="R1252" s="2" t="n"/>
      <c r="S1252" s="2" t="n"/>
      <c r="T1252" s="11" t="inlineStr"/>
      <c r="U1252" s="11" t="inlineStr"/>
      <c r="V1252" s="11" t="inlineStr">
        <is>
          <t>outside_list</t>
        </is>
      </c>
      <c r="W1252" s="11" t="n"/>
      <c r="X1252" s="11" t="n"/>
      <c r="Y1252" s="11" t="n"/>
      <c r="Z1252" s="11" t="inlineStr">
        <is>
          <t>Mr. Advocate</t>
        </is>
      </c>
      <c r="AA1252" s="11" t="inlineStr">
        <is>
          <t>2026-10-07</t>
        </is>
      </c>
      <c r="AB1252" s="11" t="inlineStr">
        <is>
          <t>name_year</t>
        </is>
      </c>
      <c r="AC1252" s="2" t="inlineStr"/>
      <c r="AD1252" s="2" t="inlineStr">
        <is>
          <t>Falcon Tyres Ltd. v. Union of India (1992) was overruled by Kolhapur Canesugar Works Ltd. and Another v. Union of India and Others (2000).</t>
        </is>
      </c>
      <c r="AE1252" s="2" t="n"/>
      <c r="AF1252" s="11" t="inlineStr">
        <is>
          <t>created from list 1</t>
        </is>
      </c>
    </row>
    <row r="1253">
      <c r="A1253" s="11" t="inlineStr">
        <is>
          <t>L1-1252</t>
        </is>
      </c>
      <c r="B1253" s="11" t="inlineStr">
        <is>
          <t>List 1 (to ~2015)</t>
        </is>
      </c>
      <c r="C1253" s="11" t="inlineStr">
        <is>
          <t>list1</t>
        </is>
      </c>
      <c r="D1253" s="11" t="inlineStr">
        <is>
          <t>verified</t>
        </is>
      </c>
      <c r="E1253" s="11" t="inlineStr">
        <is>
          <t>overruled</t>
        </is>
      </c>
      <c r="F1253" s="2" t="inlineStr">
        <is>
          <t>Devikarani Roerich v. K.T. Plantations Pvt. Ltd.</t>
        </is>
      </c>
      <c r="G1253" s="11" t="inlineStr"/>
      <c r="H1253" s="11" t="inlineStr">
        <is>
          <t>unknown</t>
        </is>
      </c>
      <c r="I1253" s="2" t="inlineStr">
        <is>
          <t>(1994) ILR (Kar) 1788; (1993) 4 KarLJ 742</t>
        </is>
      </c>
      <c r="J1253" s="11" t="n">
        <v>1993</v>
      </c>
      <c r="K1253" s="2" t="inlineStr">
        <is>
          <t>Mary Joyce Poonacha (Mrs) v. K.T. Plantations Pvt. Ltd. and Others</t>
        </is>
      </c>
      <c r="L1253" s="11" t="inlineStr">
        <is>
          <t>Supreme Court</t>
        </is>
      </c>
      <c r="M1253" s="2" t="inlineStr">
        <is>
          <t>(1995) 2 JT 540; (1995) 2 SCALE 26; (1995) 2 SCC 459 Supp; (1995) 1 SCR 491</t>
        </is>
      </c>
      <c r="N1253" s="11" t="n">
        <v>1995</v>
      </c>
      <c r="O1253" s="11" t="n"/>
      <c r="P1253" s="11" t="n"/>
      <c r="Q1253" s="11" t="n"/>
      <c r="R1253" s="2" t="n"/>
      <c r="S1253" s="2" t="n"/>
      <c r="T1253" s="11" t="inlineStr"/>
      <c r="U1253" s="11" t="inlineStr"/>
      <c r="V1253" s="11" t="inlineStr">
        <is>
          <t>outside_list</t>
        </is>
      </c>
      <c r="W1253" s="11" t="n"/>
      <c r="X1253" s="11" t="n"/>
      <c r="Y1253" s="11" t="n"/>
      <c r="Z1253" s="11" t="inlineStr">
        <is>
          <t>Mr. Advocate</t>
        </is>
      </c>
      <c r="AA1253" s="11" t="inlineStr">
        <is>
          <t>2026-10-07</t>
        </is>
      </c>
      <c r="AB1253" s="11" t="inlineStr">
        <is>
          <t>name_year</t>
        </is>
      </c>
      <c r="AC1253" s="2" t="inlineStr"/>
      <c r="AD1253" s="2" t="inlineStr">
        <is>
          <t>Devikarani Roerich v. K.T. Plantations Pvt. Ltd. (1993) was overruled by Mary Joyce Poonacha (Mrs) v. K.T. Plantations Pvt. Ltd. and Others (1995).</t>
        </is>
      </c>
      <c r="AE1253" s="2" t="n"/>
      <c r="AF1253" s="11" t="inlineStr">
        <is>
          <t>created from list 1</t>
        </is>
      </c>
    </row>
    <row r="1254">
      <c r="A1254" s="11" t="inlineStr">
        <is>
          <t>L1-1253</t>
        </is>
      </c>
      <c r="B1254" s="11" t="inlineStr">
        <is>
          <t>List 1 (to ~2015)</t>
        </is>
      </c>
      <c r="C1254" s="11" t="inlineStr">
        <is>
          <t>list1</t>
        </is>
      </c>
      <c r="D1254" s="11" t="inlineStr">
        <is>
          <t>verified</t>
        </is>
      </c>
      <c r="E1254" s="11" t="inlineStr">
        <is>
          <t>overruled</t>
        </is>
      </c>
      <c r="F1254" s="2" t="inlineStr">
        <is>
          <t>Karnataka Sugar Workers Federation (R) v. State of Karnataka and Others</t>
        </is>
      </c>
      <c r="G1254" s="11" t="inlineStr"/>
      <c r="H1254" s="11" t="inlineStr">
        <is>
          <t>unknown</t>
        </is>
      </c>
      <c r="I1254" s="2" t="inlineStr">
        <is>
          <t>(2003) ILR (Kar) 2531; (2003) 4 KarLJ 453; (2003) 4 KCCR 3117; (2003) 3 LLJ 502</t>
        </is>
      </c>
      <c r="J1254" s="11" t="n">
        <v>2003</v>
      </c>
      <c r="K1254" s="2" t="inlineStr">
        <is>
          <t>Dharappa v. Bijapur Co-operative Milk Producers Societies Union Ltd.</t>
        </is>
      </c>
      <c r="L1254" s="11" t="inlineStr">
        <is>
          <t>Supreme Court</t>
        </is>
      </c>
      <c r="M1254" s="2" t="inlineStr">
        <is>
          <t>AIR 2007 SC 1848; (2007) 113 FLR 1159; (2007) 2 LLJ 844; (2007) 6 SCALE 307; (2007) 9 SCC 109; (2007) 5 SCR 729</t>
        </is>
      </c>
      <c r="N1254" s="11" t="n">
        <v>2007</v>
      </c>
      <c r="O1254" s="11" t="n"/>
      <c r="P1254" s="11" t="n"/>
      <c r="Q1254" s="11" t="n"/>
      <c r="R1254" s="2" t="n"/>
      <c r="S1254" s="2" t="n"/>
      <c r="T1254" s="11" t="inlineStr"/>
      <c r="U1254" s="11" t="inlineStr"/>
      <c r="V1254" s="11" t="inlineStr">
        <is>
          <t>outside_list</t>
        </is>
      </c>
      <c r="W1254" s="11" t="n"/>
      <c r="X1254" s="11" t="n"/>
      <c r="Y1254" s="11" t="n"/>
      <c r="Z1254" s="11" t="inlineStr">
        <is>
          <t>Mr. Advocate</t>
        </is>
      </c>
      <c r="AA1254" s="11" t="inlineStr">
        <is>
          <t>2026-10-07</t>
        </is>
      </c>
      <c r="AB1254" s="11" t="inlineStr">
        <is>
          <t>name_year</t>
        </is>
      </c>
      <c r="AC1254" s="2" t="inlineStr"/>
      <c r="AD1254" s="2" t="inlineStr">
        <is>
          <t>Karnataka Sugar Workers Federation (R) v. State of Karnataka and Others (2003) was overruled by Dharappa v. Bijapur Co-operative Milk Producers Societies Union Ltd. (2007).</t>
        </is>
      </c>
      <c r="AE1254" s="2" t="n"/>
      <c r="AF1254" s="11" t="inlineStr">
        <is>
          <t>created from list 1</t>
        </is>
      </c>
    </row>
    <row r="1255">
      <c r="A1255" s="11" t="inlineStr">
        <is>
          <t>L1-1254</t>
        </is>
      </c>
      <c r="B1255" s="11" t="inlineStr">
        <is>
          <t>List 1 (to ~2015)</t>
        </is>
      </c>
      <c r="C1255" s="11" t="inlineStr">
        <is>
          <t>list1</t>
        </is>
      </c>
      <c r="D1255" s="11" t="inlineStr">
        <is>
          <t>verified</t>
        </is>
      </c>
      <c r="E1255" s="11" t="inlineStr">
        <is>
          <t>reversed_on_appeal</t>
        </is>
      </c>
      <c r="F1255" s="2" t="inlineStr">
        <is>
          <t>Mangalore Chemicals and Fertilizers Ltd. v. Deputy Commissioner of Commercial Taxes, Mangalore Division, Mangalore and others</t>
        </is>
      </c>
      <c r="G1255" s="11" t="inlineStr"/>
      <c r="H1255" s="11" t="inlineStr">
        <is>
          <t>unknown</t>
        </is>
      </c>
      <c r="I1255" s="2" t="inlineStr">
        <is>
          <t>(1991) 83 STC 228</t>
        </is>
      </c>
      <c r="J1255" s="11" t="n">
        <v>1991</v>
      </c>
      <c r="K1255" s="2" t="inlineStr">
        <is>
          <t>Mangalore Chemicals and Fertilisers Ltd. v. Deputy Commissioner of Commercial Taxes and others</t>
        </is>
      </c>
      <c r="L1255" s="11" t="inlineStr">
        <is>
          <t>Supreme Court</t>
        </is>
      </c>
      <c r="M1255" s="2" t="inlineStr">
        <is>
          <t>AIR 1992 SC 152; (1993) 49 ECR 23; (1991) 55 ELT 437; (1992) 3 JT 482; (1991) 2 SCALE 662; (1992) 1 SCC 21 Supp; (1991) 3 SCR 336; (1991) 83 STC 234</t>
        </is>
      </c>
      <c r="N1255" s="11" t="n">
        <v>1992</v>
      </c>
      <c r="O1255" s="11" t="n"/>
      <c r="P1255" s="11" t="n"/>
      <c r="Q1255" s="11" t="n"/>
      <c r="R1255" s="2" t="n"/>
      <c r="S1255" s="2" t="n"/>
      <c r="T1255" s="11" t="inlineStr">
        <is>
          <t>yes</t>
        </is>
      </c>
      <c r="U1255" s="11" t="inlineStr"/>
      <c r="V1255" s="11" t="inlineStr">
        <is>
          <t>outside_list</t>
        </is>
      </c>
      <c r="W1255" s="11" t="n"/>
      <c r="X1255" s="11" t="n"/>
      <c r="Y1255" s="11" t="n"/>
      <c r="Z1255" s="11" t="inlineStr">
        <is>
          <t>Mr. Advocate</t>
        </is>
      </c>
      <c r="AA1255" s="11" t="inlineStr">
        <is>
          <t>2026-10-07</t>
        </is>
      </c>
      <c r="AB1255" s="11" t="inlineStr">
        <is>
          <t>name_year</t>
        </is>
      </c>
      <c r="AC1255" s="2" t="inlineStr"/>
      <c r="AD1255" s="2" t="inlineStr">
        <is>
          <t>Mangalore Chemicals and Fertilizers Ltd. v. Deputy Commissioner of Commercial Taxes, Mangalore Division, Mangalore and others (1991) was reversed on appeal by the Supreme Court in Mangalore Chemicals and Fertilisers Ltd. v. Deputy Commissioner of Commercial Taxes and others (1992).</t>
        </is>
      </c>
      <c r="AE1255" s="2" t="n"/>
      <c r="AF1255" s="11" t="inlineStr">
        <is>
          <t>created from list 1</t>
        </is>
      </c>
    </row>
    <row r="1256">
      <c r="A1256" s="11" t="inlineStr">
        <is>
          <t>L1-1255</t>
        </is>
      </c>
      <c r="B1256" s="11" t="inlineStr">
        <is>
          <t>List 1 (to ~2015)</t>
        </is>
      </c>
      <c r="C1256" s="11" t="inlineStr">
        <is>
          <t>list1</t>
        </is>
      </c>
      <c r="D1256" s="11" t="inlineStr">
        <is>
          <t>verified</t>
        </is>
      </c>
      <c r="E1256" s="11" t="inlineStr">
        <is>
          <t>reversed_on_appeal</t>
        </is>
      </c>
      <c r="F1256" s="2" t="inlineStr">
        <is>
          <t>B.M. Ashraf and Co. v. State of Karnataka</t>
        </is>
      </c>
      <c r="G1256" s="11" t="inlineStr"/>
      <c r="H1256" s="11" t="inlineStr">
        <is>
          <t>unknown</t>
        </is>
      </c>
      <c r="I1256" s="2" t="inlineStr">
        <is>
          <t>(1992) 84 STC 394</t>
        </is>
      </c>
      <c r="J1256" s="11" t="n">
        <v>1992</v>
      </c>
      <c r="K1256" s="2" t="inlineStr">
        <is>
          <t>State of Karnataka v. B.M. Ashraf and Co.</t>
        </is>
      </c>
      <c r="L1256" s="11" t="inlineStr">
        <is>
          <t>Supreme Court</t>
        </is>
      </c>
      <c r="M1256" s="2" t="inlineStr">
        <is>
          <t>(1997) 8 JT 458; (1997) 6 SCALE 425; (1997) 8 SCC 468; (1997) 4 SCR 520 Supp; (1997) 107 STC 571</t>
        </is>
      </c>
      <c r="N1256" s="11" t="n">
        <v>1997</v>
      </c>
      <c r="O1256" s="11" t="n"/>
      <c r="P1256" s="11" t="n"/>
      <c r="Q1256" s="11" t="n"/>
      <c r="R1256" s="2" t="n"/>
      <c r="S1256" s="2" t="n"/>
      <c r="T1256" s="11" t="inlineStr">
        <is>
          <t>yes</t>
        </is>
      </c>
      <c r="U1256" s="11" t="inlineStr"/>
      <c r="V1256" s="11" t="inlineStr">
        <is>
          <t>outside_list</t>
        </is>
      </c>
      <c r="W1256" s="11" t="n"/>
      <c r="X1256" s="11" t="n"/>
      <c r="Y1256" s="11" t="n"/>
      <c r="Z1256" s="11" t="inlineStr">
        <is>
          <t>Mr. Advocate</t>
        </is>
      </c>
      <c r="AA1256" s="11" t="inlineStr">
        <is>
          <t>2026-10-07</t>
        </is>
      </c>
      <c r="AB1256" s="11" t="inlineStr">
        <is>
          <t>name_year</t>
        </is>
      </c>
      <c r="AC1256" s="2" t="inlineStr"/>
      <c r="AD1256" s="2" t="inlineStr">
        <is>
          <t>B.M. Ashraf and Co. v. State of Karnataka (1992) was reversed on appeal by the Supreme Court in State of Karnataka v. B.M. Ashraf and Co. (1997).</t>
        </is>
      </c>
      <c r="AE1256" s="2" t="n"/>
      <c r="AF1256" s="11" t="inlineStr">
        <is>
          <t>created from list 1</t>
        </is>
      </c>
    </row>
    <row r="1257">
      <c r="A1257" s="11" t="inlineStr">
        <is>
          <t>L1-1256</t>
        </is>
      </c>
      <c r="B1257" s="11" t="inlineStr">
        <is>
          <t>List 1 (to ~2015)</t>
        </is>
      </c>
      <c r="C1257" s="11" t="inlineStr">
        <is>
          <t>list1</t>
        </is>
      </c>
      <c r="D1257" s="11" t="inlineStr">
        <is>
          <t>verified</t>
        </is>
      </c>
      <c r="E1257" s="11" t="inlineStr">
        <is>
          <t>reversed_on_appeal</t>
        </is>
      </c>
      <c r="F1257" s="2" t="inlineStr">
        <is>
          <t>Vidyavardhaka Sangha and Another v. S.K. Joshi and Others</t>
        </is>
      </c>
      <c r="G1257" s="11" t="inlineStr"/>
      <c r="H1257" s="11" t="inlineStr">
        <is>
          <t>unknown</t>
        </is>
      </c>
      <c r="I1257" s="2" t="inlineStr">
        <is>
          <t>(2005) 5 KarLJ 402; (2005) 3 KCCR 2064</t>
        </is>
      </c>
      <c r="J1257" s="11" t="n">
        <v>2005</v>
      </c>
      <c r="K1257" s="2" t="inlineStr">
        <is>
          <t>Vidyavardhaka Sangha and Another v. Y.D. Deshpande and Others</t>
        </is>
      </c>
      <c r="L1257" s="11" t="inlineStr">
        <is>
          <t>Supreme Court</t>
        </is>
      </c>
      <c r="M1257" s="2" t="inlineStr">
        <is>
          <t>(2006) 111 FLR 397; (2006) 9 SCALE 641; (2006) 12 SCC 482; (2007) 2 SCC(L&amp;S) 320; (2006) 7 SCR 470 Supp; (2007) 2 SLJ 234</t>
        </is>
      </c>
      <c r="N1257" s="11" t="n">
        <v>2006</v>
      </c>
      <c r="O1257" s="11" t="n"/>
      <c r="P1257" s="11" t="n"/>
      <c r="Q1257" s="11" t="n"/>
      <c r="R1257" s="2" t="n"/>
      <c r="S1257" s="2" t="n"/>
      <c r="T1257" s="11" t="inlineStr">
        <is>
          <t>yes</t>
        </is>
      </c>
      <c r="U1257" s="11" t="inlineStr"/>
      <c r="V1257" s="11" t="inlineStr">
        <is>
          <t>outside_list</t>
        </is>
      </c>
      <c r="W1257" s="11" t="n"/>
      <c r="X1257" s="11" t="n"/>
      <c r="Y1257" s="11" t="n"/>
      <c r="Z1257" s="11" t="inlineStr">
        <is>
          <t>Mr. Advocate</t>
        </is>
      </c>
      <c r="AA1257" s="11" t="inlineStr">
        <is>
          <t>2026-10-07</t>
        </is>
      </c>
      <c r="AB1257" s="11" t="inlineStr">
        <is>
          <t>name_year</t>
        </is>
      </c>
      <c r="AC1257" s="2" t="inlineStr"/>
      <c r="AD1257" s="2" t="inlineStr">
        <is>
          <t>Vidyavardhaka Sangha and Another v. S.K. Joshi and Others (2005) was reversed on appeal by the Supreme Court in Vidyavardhaka Sangha and Another v. Y.D. Deshpande and Others (2006).</t>
        </is>
      </c>
      <c r="AE1257" s="2" t="n"/>
      <c r="AF1257" s="11" t="inlineStr">
        <is>
          <t>created from list 1</t>
        </is>
      </c>
    </row>
    <row r="1258">
      <c r="A1258" s="11" t="inlineStr">
        <is>
          <t>L1-1257</t>
        </is>
      </c>
      <c r="B1258" s="11" t="inlineStr">
        <is>
          <t>List 1 (to ~2015)</t>
        </is>
      </c>
      <c r="C1258" s="11" t="inlineStr">
        <is>
          <t>list1</t>
        </is>
      </c>
      <c r="D1258" s="11" t="inlineStr">
        <is>
          <t>verified</t>
        </is>
      </c>
      <c r="E1258" s="11" t="inlineStr">
        <is>
          <t>reversed_on_appeal</t>
        </is>
      </c>
      <c r="F1258" s="2" t="inlineStr">
        <is>
          <t>Balakrishna Hatcheries v. Clarification and Advance Ruling Authority</t>
        </is>
      </c>
      <c r="G1258" s="11" t="inlineStr"/>
      <c r="H1258" s="11" t="inlineStr">
        <is>
          <t>unknown</t>
        </is>
      </c>
      <c r="I1258" s="2" t="inlineStr">
        <is>
          <t>(2004) 2 KCCR 165 SN; (2004) 137 STC 187</t>
        </is>
      </c>
      <c r="J1258" s="11" t="n">
        <v>2004</v>
      </c>
      <c r="K1258" s="2" t="inlineStr">
        <is>
          <t>Balkrishna Hatcheries v. Clarification and Advance Ruling Authority</t>
        </is>
      </c>
      <c r="L1258" s="11" t="inlineStr">
        <is>
          <t>Supreme Court</t>
        </is>
      </c>
      <c r="M1258" s="2" t="inlineStr">
        <is>
          <t>(2006) 12 JT 115; (2006) 9 SCALE 159; (2006) 8 SCC 56; (2006) 5 SCR 865 Supp; (2006) 148 STC 137</t>
        </is>
      </c>
      <c r="N1258" s="11" t="n">
        <v>2006</v>
      </c>
      <c r="O1258" s="11" t="n"/>
      <c r="P1258" s="11" t="n"/>
      <c r="Q1258" s="11" t="n"/>
      <c r="R1258" s="2" t="n"/>
      <c r="S1258" s="2" t="n"/>
      <c r="T1258" s="11" t="inlineStr">
        <is>
          <t>yes</t>
        </is>
      </c>
      <c r="U1258" s="11" t="inlineStr"/>
      <c r="V1258" s="11" t="inlineStr">
        <is>
          <t>outside_list</t>
        </is>
      </c>
      <c r="W1258" s="11" t="n"/>
      <c r="X1258" s="11" t="n"/>
      <c r="Y1258" s="11" t="n"/>
      <c r="Z1258" s="11" t="inlineStr">
        <is>
          <t>Mr. Advocate</t>
        </is>
      </c>
      <c r="AA1258" s="11" t="inlineStr">
        <is>
          <t>2026-10-07</t>
        </is>
      </c>
      <c r="AB1258" s="11" t="inlineStr">
        <is>
          <t>name_year</t>
        </is>
      </c>
      <c r="AC1258" s="2" t="inlineStr"/>
      <c r="AD1258" s="2" t="inlineStr">
        <is>
          <t>Balakrishna Hatcheries v. Clarification and Advance Ruling Authority (2004) was reversed on appeal by the Supreme Court in Balkrishna Hatcheries v. Clarification and Advance Ruling Authority (2006).</t>
        </is>
      </c>
      <c r="AE1258" s="2" t="n"/>
      <c r="AF1258" s="11" t="inlineStr">
        <is>
          <t>created from list 1</t>
        </is>
      </c>
    </row>
    <row r="1259">
      <c r="A1259" s="11" t="inlineStr">
        <is>
          <t>L1-1258</t>
        </is>
      </c>
      <c r="B1259" s="11" t="inlineStr">
        <is>
          <t>List 1 (to ~2015)</t>
        </is>
      </c>
      <c r="C1259" s="11" t="inlineStr">
        <is>
          <t>list1</t>
        </is>
      </c>
      <c r="D1259" s="11" t="inlineStr">
        <is>
          <t>verified</t>
        </is>
      </c>
      <c r="E1259" s="11" t="inlineStr">
        <is>
          <t>reversed_on_appeal</t>
        </is>
      </c>
      <c r="F1259" s="2" t="inlineStr">
        <is>
          <t>State of Karnataka v. K.P. Thimmappa Gowda</t>
        </is>
      </c>
      <c r="G1259" s="11" t="inlineStr"/>
      <c r="H1259" s="11" t="inlineStr">
        <is>
          <t>unknown</t>
        </is>
      </c>
      <c r="I1259" s="2" t="inlineStr">
        <is>
          <t>(2004) CriLJ 4785; (2004) ILR (Kar) 4471; (2004) 4 KCCR 2775</t>
        </is>
      </c>
      <c r="J1259" s="11" t="n">
        <v>2004</v>
      </c>
      <c r="K1259" s="2" t="inlineStr">
        <is>
          <t>K.P. Thimmappa Gowda v. State of Karnataka</t>
        </is>
      </c>
      <c r="L1259" s="11" t="inlineStr">
        <is>
          <t>Supreme Court</t>
        </is>
      </c>
      <c r="M1259" s="2" t="inlineStr">
        <is>
          <t>AIR 2011 SC 2564; (2011) CriLJ 2591; (2011) 2 Crimes 140; (2011) 4 JT 2; (2011) 2 RCR(Criminal) 589; (2011) 4 SCALE 224; (2011) 4 SCR 200; (2011) AIRSCW 2281</t>
        </is>
      </c>
      <c r="N1259" s="11" t="n">
        <v>2011</v>
      </c>
      <c r="O1259" s="11" t="n"/>
      <c r="P1259" s="11" t="n"/>
      <c r="Q1259" s="11" t="n"/>
      <c r="R1259" s="2" t="n"/>
      <c r="S1259" s="2" t="n"/>
      <c r="T1259" s="11" t="inlineStr">
        <is>
          <t>yes</t>
        </is>
      </c>
      <c r="U1259" s="11" t="inlineStr"/>
      <c r="V1259" s="11" t="inlineStr">
        <is>
          <t>outside_list</t>
        </is>
      </c>
      <c r="W1259" s="11" t="n"/>
      <c r="X1259" s="11" t="n"/>
      <c r="Y1259" s="11" t="n"/>
      <c r="Z1259" s="11" t="inlineStr">
        <is>
          <t>Mr. Advocate</t>
        </is>
      </c>
      <c r="AA1259" s="11" t="inlineStr">
        <is>
          <t>2026-10-07</t>
        </is>
      </c>
      <c r="AB1259" s="11" t="inlineStr">
        <is>
          <t>name_year</t>
        </is>
      </c>
      <c r="AC1259" s="2" t="inlineStr"/>
      <c r="AD1259" s="2" t="inlineStr">
        <is>
          <t>State of Karnataka v. K.P. Thimmappa Gowda (2004) was reversed on appeal by the Supreme Court in K.P. Thimmappa Gowda v. State of Karnataka (2011).</t>
        </is>
      </c>
      <c r="AE1259" s="2" t="n"/>
      <c r="AF1259" s="11" t="inlineStr">
        <is>
          <t>created from list 1</t>
        </is>
      </c>
    </row>
    <row r="1260">
      <c r="A1260" s="11" t="inlineStr">
        <is>
          <t>L1-1259</t>
        </is>
      </c>
      <c r="B1260" s="11" t="inlineStr">
        <is>
          <t>List 1 (to ~2015)</t>
        </is>
      </c>
      <c r="C1260" s="11" t="inlineStr">
        <is>
          <t>list1</t>
        </is>
      </c>
      <c r="D1260" s="11" t="inlineStr">
        <is>
          <t>verified</t>
        </is>
      </c>
      <c r="E1260" s="11" t="inlineStr">
        <is>
          <t>reversed_on_appeal</t>
        </is>
      </c>
      <c r="F1260" s="2" t="inlineStr">
        <is>
          <t>Commissioner of Income Tax v. P.R. Metrani</t>
        </is>
      </c>
      <c r="G1260" s="11" t="inlineStr"/>
      <c r="H1260" s="11" t="inlineStr">
        <is>
          <t>unknown</t>
        </is>
      </c>
      <c r="I1260" s="2" t="inlineStr">
        <is>
          <t>(2001) 169 CTR 149; (2001) 251 ITR 244; (2002) 120 TAXMAN 612</t>
        </is>
      </c>
      <c r="J1260" s="11" t="n">
        <v>2001</v>
      </c>
      <c r="K1260" s="2" t="inlineStr">
        <is>
          <t>P.R. Metrani v. Commissioner of Income Tax, Bangalore</t>
        </is>
      </c>
      <c r="L1260" s="11" t="inlineStr">
        <is>
          <t>Supreme Court</t>
        </is>
      </c>
      <c r="M1260" s="2" t="inlineStr">
        <is>
          <t>AIR 2007 SC 386; (2006) 206 CTR 290; (2006) 287 ITR 209; (2006) 10 JT 537; (2006) 12 SCALE 429; (2006) 9 SCR 1 Supp; (2006) 2 UJ 1515</t>
        </is>
      </c>
      <c r="N1260" s="11" t="n">
        <v>2007</v>
      </c>
      <c r="O1260" s="11" t="n"/>
      <c r="P1260" s="11" t="n"/>
      <c r="Q1260" s="11" t="n"/>
      <c r="R1260" s="2" t="n"/>
      <c r="S1260" s="2" t="n"/>
      <c r="T1260" s="11" t="inlineStr">
        <is>
          <t>yes</t>
        </is>
      </c>
      <c r="U1260" s="11" t="inlineStr"/>
      <c r="V1260" s="11" t="inlineStr">
        <is>
          <t>outside_list</t>
        </is>
      </c>
      <c r="W1260" s="11" t="n"/>
      <c r="X1260" s="11" t="n"/>
      <c r="Y1260" s="11" t="n"/>
      <c r="Z1260" s="11" t="inlineStr">
        <is>
          <t>Mr. Advocate</t>
        </is>
      </c>
      <c r="AA1260" s="11" t="inlineStr">
        <is>
          <t>2026-10-07</t>
        </is>
      </c>
      <c r="AB1260" s="11" t="inlineStr">
        <is>
          <t>name_year</t>
        </is>
      </c>
      <c r="AC1260" s="2" t="inlineStr"/>
      <c r="AD1260" s="2" t="inlineStr">
        <is>
          <t>Commissioner of Income Tax v. P.R. Metrani (2001) was reversed on appeal by the Supreme Court in P.R. Metrani v. Commissioner of Income Tax, Bangalore (2007).</t>
        </is>
      </c>
      <c r="AE1260" s="2" t="n"/>
      <c r="AF1260" s="11" t="inlineStr">
        <is>
          <t>created from list 1</t>
        </is>
      </c>
    </row>
    <row r="1261">
      <c r="A1261" s="11" t="inlineStr">
        <is>
          <t>L1-1260</t>
        </is>
      </c>
      <c r="B1261" s="11" t="inlineStr">
        <is>
          <t>List 1 (to ~2015)</t>
        </is>
      </c>
      <c r="C1261" s="11" t="inlineStr">
        <is>
          <t>list1</t>
        </is>
      </c>
      <c r="D1261" s="11" t="inlineStr">
        <is>
          <t>verified</t>
        </is>
      </c>
      <c r="E1261" s="11" t="inlineStr">
        <is>
          <t>overruled</t>
        </is>
      </c>
      <c r="F1261" s="2" t="inlineStr">
        <is>
          <t>Karnataka State Industrial Investment and Development Corporation Ltd. v. Intermodel Transport Technology Systems (Karnataka) Ltd. (In Liquidation) and Others</t>
        </is>
      </c>
      <c r="G1261" s="11" t="inlineStr"/>
      <c r="H1261" s="11" t="inlineStr">
        <is>
          <t>Karnataka</t>
        </is>
      </c>
      <c r="I1261" s="2" t="inlineStr">
        <is>
          <t>AIR 1998 Kar 195; (1998) 94 CompCas 409</t>
        </is>
      </c>
      <c r="J1261" s="11" t="n">
        <v>1998</v>
      </c>
      <c r="K1261" s="2" t="inlineStr">
        <is>
          <t>NGEF Ltd. v. Chandra Developers Pvt. Ltd. and Another</t>
        </is>
      </c>
      <c r="L1261" s="11" t="inlineStr">
        <is>
          <t>Supreme Court</t>
        </is>
      </c>
      <c r="M1261" s="2" t="inlineStr">
        <is>
          <t>(2005) 4 BC 406; (2005) 127 CompCas 822; (2005) 6 CompLJ 203; (2005) 12 JT 29; (2005) 8 SCC 219; (2005) 64 SCL 1; (2005) 3 SCR 747 Supp</t>
        </is>
      </c>
      <c r="N1261" s="11" t="n">
        <v>2005</v>
      </c>
      <c r="O1261" s="11" t="n"/>
      <c r="P1261" s="11" t="n"/>
      <c r="Q1261" s="11" t="n"/>
      <c r="R1261" s="2" t="n"/>
      <c r="S1261" s="2" t="n"/>
      <c r="T1261" s="11" t="inlineStr"/>
      <c r="U1261" s="11" t="inlineStr"/>
      <c r="V1261" s="11" t="inlineStr">
        <is>
          <t>outside_list</t>
        </is>
      </c>
      <c r="W1261" s="11" t="n"/>
      <c r="X1261" s="11" t="n"/>
      <c r="Y1261" s="11" t="n"/>
      <c r="Z1261" s="11" t="inlineStr">
        <is>
          <t>Mr. Advocate</t>
        </is>
      </c>
      <c r="AA1261" s="11" t="inlineStr">
        <is>
          <t>2026-10-07</t>
        </is>
      </c>
      <c r="AB1261" s="11" t="inlineStr">
        <is>
          <t>name_year</t>
        </is>
      </c>
      <c r="AC1261" s="2" t="inlineStr"/>
      <c r="AD1261" s="2" t="inlineStr">
        <is>
          <t>Karnataka State Industrial Investment and Development Corporation Ltd. v. Intermodel Transport Technology Systems (Karnataka) Ltd. (In Liquidation) and Others (1998) was overruled by NGEF Ltd. v. Chandra Developers Pvt. Ltd. and Another (2005).</t>
        </is>
      </c>
      <c r="AE1261" s="2" t="n"/>
      <c r="AF1261" s="11" t="inlineStr">
        <is>
          <t>created from list 1</t>
        </is>
      </c>
    </row>
    <row r="1262">
      <c r="A1262" s="11" t="inlineStr">
        <is>
          <t>L1-1261</t>
        </is>
      </c>
      <c r="B1262" s="11" t="inlineStr">
        <is>
          <t>List 1 (to ~2015)</t>
        </is>
      </c>
      <c r="C1262" s="11" t="inlineStr">
        <is>
          <t>list1</t>
        </is>
      </c>
      <c r="D1262" s="11" t="inlineStr">
        <is>
          <t>verified</t>
        </is>
      </c>
      <c r="E1262" s="11" t="inlineStr">
        <is>
          <t>overruled</t>
        </is>
      </c>
      <c r="F1262" s="2" t="inlineStr">
        <is>
          <t>Imagic Creative (P) Ltd. v. The Commissioner of Commercial Taxes, The Clarifications/Advance Ruling Committee and Assistant Commissioner of Commercial Taxes (Intelligence)- II</t>
        </is>
      </c>
      <c r="G1262" s="11" t="inlineStr"/>
      <c r="H1262" s="11" t="inlineStr">
        <is>
          <t>unknown</t>
        </is>
      </c>
      <c r="I1262" s="2" t="inlineStr">
        <is>
          <t>(2008) 12 VST 366</t>
        </is>
      </c>
      <c r="J1262" s="11" t="n">
        <v>2008</v>
      </c>
      <c r="K1262" s="2" t="inlineStr">
        <is>
          <t>Imagic Creative Pvt. Ltd. v. The Commissioner of Commercial Taxes and Others</t>
        </is>
      </c>
      <c r="L1262" s="11" t="inlineStr">
        <is>
          <t>unknown</t>
        </is>
      </c>
      <c r="M1262" s="2" t="inlineStr">
        <is>
          <t>(2008) 2 CLT 735; (2008) 1 CTC 843; (2008) 1 JT 496; (2008) 1 SCALE 356; (2008) 2 SCC 614; (2008) 9 STR 337; (2008) 12 STT 392; (2008) 12 VST 371; (2009) AIRSCW 1746; (2008) AIRSCW 844; (2008) AIRSCW 4326; (2008) 4 Supreme 524; (2008) 8 Supreme 678</t>
        </is>
      </c>
      <c r="N1262" s="11" t="n">
        <v>2008</v>
      </c>
      <c r="O1262" s="11" t="n"/>
      <c r="P1262" s="11" t="n"/>
      <c r="Q1262" s="11" t="n"/>
      <c r="R1262" s="2" t="n"/>
      <c r="S1262" s="2" t="n"/>
      <c r="T1262" s="11" t="inlineStr"/>
      <c r="U1262" s="11" t="inlineStr"/>
      <c r="V1262" s="11" t="inlineStr">
        <is>
          <t>outside_list</t>
        </is>
      </c>
      <c r="W1262" s="11" t="n"/>
      <c r="X1262" s="11" t="n"/>
      <c r="Y1262" s="11" t="n"/>
      <c r="Z1262" s="11" t="inlineStr">
        <is>
          <t>Mr. Advocate</t>
        </is>
      </c>
      <c r="AA1262" s="11" t="inlineStr">
        <is>
          <t>2026-10-07</t>
        </is>
      </c>
      <c r="AB1262" s="11" t="inlineStr">
        <is>
          <t>name_year</t>
        </is>
      </c>
      <c r="AC1262" s="2" t="inlineStr"/>
      <c r="AD1262" s="2" t="inlineStr">
        <is>
          <t>Imagic Creative (P) Ltd. v. The Commissioner of Commercial Taxes, The Clarifications/Advance Ruling Committee and Assistant Commissioner of Commercial Taxes (Intelligence)- II (2008) was overruled by Imagic Creative Pvt. Ltd. v. The Commissioner of Commercial Taxes and Others (2008).</t>
        </is>
      </c>
      <c r="AE1262" s="2" t="n"/>
      <c r="AF1262" s="11" t="inlineStr">
        <is>
          <t>created from list 1</t>
        </is>
      </c>
    </row>
    <row r="1263">
      <c r="A1263" s="11" t="inlineStr">
        <is>
          <t>L1-1262</t>
        </is>
      </c>
      <c r="B1263" s="11" t="inlineStr">
        <is>
          <t>List 1 (to ~2015)</t>
        </is>
      </c>
      <c r="C1263" s="11" t="inlineStr">
        <is>
          <t>list1</t>
        </is>
      </c>
      <c r="D1263" s="11" t="inlineStr">
        <is>
          <t>verified</t>
        </is>
      </c>
      <c r="E1263" s="11" t="inlineStr">
        <is>
          <t>overruled</t>
        </is>
      </c>
      <c r="F1263" s="2" t="inlineStr">
        <is>
          <t>Harishchandra Prasad Mani, Monika Mani, Abhishek Mani and Sharda Sinha v. The State of Jharkhand and Suresh Chandra Sinha</t>
        </is>
      </c>
      <c r="G1263" s="11" t="inlineStr"/>
      <c r="H1263" s="11" t="inlineStr">
        <is>
          <t>unknown</t>
        </is>
      </c>
      <c r="I1263" s="2" t="inlineStr"/>
      <c r="J1263" s="11" t="n"/>
      <c r="K1263" s="2" t="inlineStr">
        <is>
          <t>Harishchandra Prasad Mani and Others v. State of Jharkhand and Another</t>
        </is>
      </c>
      <c r="L1263" s="11" t="inlineStr">
        <is>
          <t>Supreme Court</t>
        </is>
      </c>
      <c r="M1263" s="2" t="inlineStr">
        <is>
          <t>(2007) 3 JT 229; (2007) 2 SCALE 370; (2007) 2 SCR 26</t>
        </is>
      </c>
      <c r="N1263" s="11" t="n">
        <v>2007</v>
      </c>
      <c r="O1263" s="11" t="n"/>
      <c r="P1263" s="11" t="n"/>
      <c r="Q1263" s="11" t="n"/>
      <c r="R1263" s="2" t="n"/>
      <c r="S1263" s="2" t="n"/>
      <c r="T1263" s="11" t="inlineStr"/>
      <c r="U1263" s="11" t="inlineStr">
        <is>
          <t>no_citation_or_year_for_overruled, needs_citation_or_year</t>
        </is>
      </c>
      <c r="V1263" s="11" t="inlineStr">
        <is>
          <t>outside_list</t>
        </is>
      </c>
      <c r="W1263" s="11" t="n"/>
      <c r="X1263" s="11" t="n"/>
      <c r="Y1263" s="11" t="n"/>
      <c r="Z1263" s="11" t="inlineStr">
        <is>
          <t>Mr. Advocate</t>
        </is>
      </c>
      <c r="AA1263" s="11" t="inlineStr">
        <is>
          <t>2026-10-07</t>
        </is>
      </c>
      <c r="AB1263" s="11" t="inlineStr">
        <is>
          <t>weak</t>
        </is>
      </c>
      <c r="AC1263" s="2" t="inlineStr"/>
      <c r="AD1263" s="2" t="inlineStr">
        <is>
          <t>Harishchandra Prasad Mani, Monika Mani, Abhishek Mani and Sharda Sinha v. The State of Jharkhand and Suresh Chandra Sinha was overruled by Harishchandra Prasad Mani and Others v. State of Jharkhand and Another (2007).</t>
        </is>
      </c>
      <c r="AE1263" s="2" t="n"/>
      <c r="AF1263" s="11" t="inlineStr">
        <is>
          <t>created from list 1</t>
        </is>
      </c>
    </row>
    <row r="1264">
      <c r="A1264" s="11" t="inlineStr">
        <is>
          <t>L1-1263</t>
        </is>
      </c>
      <c r="B1264" s="11" t="inlineStr">
        <is>
          <t>List 1 (to ~2015)</t>
        </is>
      </c>
      <c r="C1264" s="11" t="inlineStr">
        <is>
          <t>list1</t>
        </is>
      </c>
      <c r="D1264" s="11" t="inlineStr">
        <is>
          <t>verified</t>
        </is>
      </c>
      <c r="E1264" s="11" t="inlineStr">
        <is>
          <t>reversed_on_appeal</t>
        </is>
      </c>
      <c r="F1264" s="2" t="inlineStr">
        <is>
          <t>Nathuni Ram v. Raghupat Ram and Others</t>
        </is>
      </c>
      <c r="G1264" s="11" t="inlineStr"/>
      <c r="H1264" s="11" t="inlineStr">
        <is>
          <t>unknown</t>
        </is>
      </c>
      <c r="I1264" s="2" t="inlineStr">
        <is>
          <t>(2004) 4 JCR 477</t>
        </is>
      </c>
      <c r="J1264" s="11" t="n">
        <v>2004</v>
      </c>
      <c r="K1264" s="2" t="inlineStr">
        <is>
          <t>Nathuni Ram v. Raghupat Ram and Others</t>
        </is>
      </c>
      <c r="L1264" s="11" t="inlineStr">
        <is>
          <t>Supreme Court</t>
        </is>
      </c>
      <c r="M1264" s="2" t="inlineStr">
        <is>
          <t>AIR 2007 SC 2487; (2007) 3 SCALE 543; (2007) 12 SCC 438; (2007) 3 SCR 36; (2007) AIRSCW 4429; (2007) 2 Supreme 711</t>
        </is>
      </c>
      <c r="N1264" s="11" t="n">
        <v>2007</v>
      </c>
      <c r="O1264" s="11" t="n"/>
      <c r="P1264" s="11" t="n"/>
      <c r="Q1264" s="11" t="n"/>
      <c r="R1264" s="2" t="n"/>
      <c r="S1264" s="2" t="n"/>
      <c r="T1264" s="11" t="inlineStr">
        <is>
          <t>yes</t>
        </is>
      </c>
      <c r="U1264" s="11" t="inlineStr"/>
      <c r="V1264" s="11" t="inlineStr">
        <is>
          <t>outside_list</t>
        </is>
      </c>
      <c r="W1264" s="11" t="n"/>
      <c r="X1264" s="11" t="n"/>
      <c r="Y1264" s="11" t="n"/>
      <c r="Z1264" s="11" t="inlineStr">
        <is>
          <t>Mr. Advocate</t>
        </is>
      </c>
      <c r="AA1264" s="11" t="inlineStr">
        <is>
          <t>2026-10-07</t>
        </is>
      </c>
      <c r="AB1264" s="11" t="inlineStr">
        <is>
          <t>name_year</t>
        </is>
      </c>
      <c r="AC1264" s="2" t="inlineStr"/>
      <c r="AD1264" s="2" t="inlineStr">
        <is>
          <t>Nathuni Ram v. Raghupat Ram and Others (2004) was reversed on appeal by the Supreme Court in Nathuni Ram v. Raghupat Ram and Others (2007).</t>
        </is>
      </c>
      <c r="AE1264" s="2" t="n"/>
      <c r="AF1264" s="11" t="inlineStr">
        <is>
          <t>created from list 1</t>
        </is>
      </c>
    </row>
    <row r="1265">
      <c r="A1265" s="11" t="inlineStr">
        <is>
          <t>L1-1264</t>
        </is>
      </c>
      <c r="B1265" s="11" t="inlineStr">
        <is>
          <t>List 1 (to ~2015)</t>
        </is>
      </c>
      <c r="C1265" s="11" t="inlineStr">
        <is>
          <t>list1</t>
        </is>
      </c>
      <c r="D1265" s="11" t="inlineStr">
        <is>
          <t>verified</t>
        </is>
      </c>
      <c r="E1265" s="11" t="inlineStr">
        <is>
          <t>overruled</t>
        </is>
      </c>
      <c r="F1265" s="2" t="inlineStr">
        <is>
          <t>Ashok Kumar Dangi and Others, Ashok Kumar Sahani and Others, Mahendra Kumar Gupta and Others and Jainuel Ansari v. State of Jharkhand and Others</t>
        </is>
      </c>
      <c r="G1265" s="11" t="inlineStr"/>
      <c r="H1265" s="11" t="inlineStr">
        <is>
          <t>unknown</t>
        </is>
      </c>
      <c r="I1265" s="2" t="inlineStr">
        <is>
          <t>(2006) 2 JCR 139</t>
        </is>
      </c>
      <c r="J1265" s="11" t="n">
        <v>2006</v>
      </c>
      <c r="K1265" s="2" t="inlineStr">
        <is>
          <t>State of Jharkhand and Others v. Ashok Kumar Dangi and Others</t>
        </is>
      </c>
      <c r="L1265" s="11" t="inlineStr">
        <is>
          <t>Supreme Court</t>
        </is>
      </c>
      <c r="M1265" s="2" t="inlineStr">
        <is>
          <t>AIR 2011 SC 3182; (2011) 130 FLR 973; (2011) 8 JT 203; (2011) 7 SCALE 420; (2011) 13 SCC 383; (2011) 7 SCR 748; (2011) AIRSCW 4442</t>
        </is>
      </c>
      <c r="N1265" s="11" t="n">
        <v>2011</v>
      </c>
      <c r="O1265" s="11" t="n"/>
      <c r="P1265" s="11" t="n"/>
      <c r="Q1265" s="11" t="n"/>
      <c r="R1265" s="2" t="n"/>
      <c r="S1265" s="2" t="n"/>
      <c r="T1265" s="11" t="inlineStr"/>
      <c r="U1265" s="11" t="inlineStr">
        <is>
          <t>needs_citation_or_year</t>
        </is>
      </c>
      <c r="V1265" s="11" t="inlineStr">
        <is>
          <t>outside_list</t>
        </is>
      </c>
      <c r="W1265" s="11" t="n"/>
      <c r="X1265" s="11" t="n"/>
      <c r="Y1265" s="11" t="n"/>
      <c r="Z1265" s="11" t="inlineStr">
        <is>
          <t>Mr. Advocate</t>
        </is>
      </c>
      <c r="AA1265" s="11" t="inlineStr">
        <is>
          <t>2026-10-07</t>
        </is>
      </c>
      <c r="AB1265" s="11" t="inlineStr">
        <is>
          <t>none</t>
        </is>
      </c>
      <c r="AC1265" s="2" t="inlineStr"/>
      <c r="AD1265" s="2" t="inlineStr">
        <is>
          <t>Ashok Kumar Dangi and Others, Ashok Kumar Sahani and Others, Mahendra Kumar Gupta and Others and Jainuel Ansari v. State of Jharkhand and Others (2006) was overruled by State of Jharkhand and Others v. Ashok Kumar Dangi and Others (2011).</t>
        </is>
      </c>
      <c r="AE1265" s="2" t="n"/>
      <c r="AF1265" s="11" t="inlineStr">
        <is>
          <t>created from list 1</t>
        </is>
      </c>
    </row>
    <row r="1266">
      <c r="A1266" s="11" t="inlineStr">
        <is>
          <t>L1-1265</t>
        </is>
      </c>
      <c r="B1266" s="11" t="inlineStr">
        <is>
          <t>List 1 (to ~2015)</t>
        </is>
      </c>
      <c r="C1266" s="11" t="inlineStr">
        <is>
          <t>list1</t>
        </is>
      </c>
      <c r="D1266" s="11" t="inlineStr">
        <is>
          <t>verified</t>
        </is>
      </c>
      <c r="E1266" s="11" t="inlineStr">
        <is>
          <t>reversed_on_appeal</t>
        </is>
      </c>
      <c r="F1266" s="2" t="inlineStr">
        <is>
          <t>Smt. Prabha Arora and Another v. Km. Brij Mohini Anand and Others</t>
        </is>
      </c>
      <c r="G1266" s="11" t="inlineStr"/>
      <c r="H1266" s="11" t="inlineStr">
        <is>
          <t>unknown</t>
        </is>
      </c>
      <c r="I1266" s="2" t="inlineStr">
        <is>
          <t>(2007) 1 AWC 108; (2007) 1 UC 651; (2006) 2 UD 627</t>
        </is>
      </c>
      <c r="J1266" s="11" t="n">
        <v>2006</v>
      </c>
      <c r="K1266" s="2" t="inlineStr">
        <is>
          <t>Prabha Arora and Another v. Brij Mohini Anand and Others</t>
        </is>
      </c>
      <c r="L1266" s="11" t="inlineStr">
        <is>
          <t>Supreme Court</t>
        </is>
      </c>
      <c r="M1266" s="2" t="inlineStr">
        <is>
          <t>AIR 2008 SC 643; (2007) 13 JT 230; (2007) 12 SCALE 631; (2007) 10 SCC 53; (2007) 11 SCR 721</t>
        </is>
      </c>
      <c r="N1266" s="11" t="n">
        <v>2008</v>
      </c>
      <c r="O1266" s="11" t="n"/>
      <c r="P1266" s="11" t="n"/>
      <c r="Q1266" s="11" t="n"/>
      <c r="R1266" s="2" t="n"/>
      <c r="S1266" s="2" t="n"/>
      <c r="T1266" s="11" t="inlineStr">
        <is>
          <t>yes</t>
        </is>
      </c>
      <c r="U1266" s="11" t="inlineStr"/>
      <c r="V1266" s="11" t="inlineStr">
        <is>
          <t>outside_list</t>
        </is>
      </c>
      <c r="W1266" s="11" t="n"/>
      <c r="X1266" s="11" t="n"/>
      <c r="Y1266" s="11" t="n"/>
      <c r="Z1266" s="11" t="inlineStr">
        <is>
          <t>Mr. Advocate</t>
        </is>
      </c>
      <c r="AA1266" s="11" t="inlineStr">
        <is>
          <t>2026-10-07</t>
        </is>
      </c>
      <c r="AB1266" s="11" t="inlineStr">
        <is>
          <t>name_year</t>
        </is>
      </c>
      <c r="AC1266" s="2" t="inlineStr"/>
      <c r="AD1266" s="2" t="inlineStr">
        <is>
          <t>Smt. Prabha Arora and Another v. Km. Brij Mohini Anand and Others (2006) was reversed on appeal by the Supreme Court in Prabha Arora and Another v. Brij Mohini Anand and Others (2008).</t>
        </is>
      </c>
      <c r="AE1266" s="2" t="n"/>
      <c r="AF1266" s="11" t="inlineStr">
        <is>
          <t>created from list 1</t>
        </is>
      </c>
    </row>
    <row r="1267">
      <c r="A1267" s="11" t="inlineStr">
        <is>
          <t>L1-1266</t>
        </is>
      </c>
      <c r="B1267" s="11" t="inlineStr">
        <is>
          <t>List 1 (to ~2015)</t>
        </is>
      </c>
      <c r="C1267" s="11" t="inlineStr">
        <is>
          <t>list1</t>
        </is>
      </c>
      <c r="D1267" s="11" t="inlineStr">
        <is>
          <t>verified</t>
        </is>
      </c>
      <c r="E1267" s="11" t="inlineStr">
        <is>
          <t>overruled</t>
        </is>
      </c>
      <c r="F1267" s="2" t="inlineStr">
        <is>
          <t>Bharat Coking Coal Ltd. v. The Regional Labour Commissioner (C) Dhanbad-cum Appellate Authority under the Payment of Gratuity Act, 1972 and Others</t>
        </is>
      </c>
      <c r="G1267" s="11" t="inlineStr"/>
      <c r="H1267" s="11" t="inlineStr">
        <is>
          <t>unknown</t>
        </is>
      </c>
      <c r="I1267" s="2" t="inlineStr">
        <is>
          <t>(2004) 102 FLR 531; (2004) 2 JCR 610; (2004) 3 LLJ 837</t>
        </is>
      </c>
      <c r="J1267" s="11" t="n">
        <v>2004</v>
      </c>
      <c r="K1267" s="2" t="inlineStr">
        <is>
          <t>Jaswant Singh Gill v. Bharat Coking Coal Ltd. and Others</t>
        </is>
      </c>
      <c r="L1267" s="11" t="inlineStr">
        <is>
          <t>Supreme Court</t>
        </is>
      </c>
      <c r="M1267" s="2" t="inlineStr">
        <is>
          <t>(2007) 112 FLR 196; (2007) 1 JT 6; (2007) 2 LLJ 206; (2006) 11 SCALE 624; (2007) 1 SCC(L&amp;S) 584; (2006) 8 SCR 1064 Supp</t>
        </is>
      </c>
      <c r="N1267" s="11" t="n">
        <v>2006</v>
      </c>
      <c r="O1267" s="11" t="n"/>
      <c r="P1267" s="11" t="n"/>
      <c r="Q1267" s="11" t="n"/>
      <c r="R1267" s="2" t="n"/>
      <c r="S1267" s="2" t="n"/>
      <c r="T1267" s="11" t="inlineStr"/>
      <c r="U1267" s="11" t="inlineStr"/>
      <c r="V1267" s="11" t="inlineStr">
        <is>
          <t>outside_list</t>
        </is>
      </c>
      <c r="W1267" s="11" t="n"/>
      <c r="X1267" s="11" t="n"/>
      <c r="Y1267" s="11" t="n"/>
      <c r="Z1267" s="11" t="inlineStr">
        <is>
          <t>Mr. Advocate</t>
        </is>
      </c>
      <c r="AA1267" s="11" t="inlineStr">
        <is>
          <t>2026-10-07</t>
        </is>
      </c>
      <c r="AB1267" s="11" t="inlineStr">
        <is>
          <t>name_year</t>
        </is>
      </c>
      <c r="AC1267" s="2" t="inlineStr"/>
      <c r="AD1267" s="2" t="inlineStr">
        <is>
          <t>Bharat Coking Coal Ltd. v. The Regional Labour Commissioner (C) Dhanbad-cum Appellate Authority under the Payment of Gratuity Act, 1972 and Others (2004) was overruled by Jaswant Singh Gill v. Bharat Coking Coal Ltd. and Others (2006).</t>
        </is>
      </c>
      <c r="AE1267" s="2" t="n"/>
      <c r="AF1267" s="11" t="inlineStr">
        <is>
          <t>created from list 1</t>
        </is>
      </c>
    </row>
    <row r="1268">
      <c r="A1268" s="11" t="inlineStr">
        <is>
          <t>L1-1267</t>
        </is>
      </c>
      <c r="B1268" s="11" t="inlineStr">
        <is>
          <t>List 1 (to ~2015)</t>
        </is>
      </c>
      <c r="C1268" s="11" t="inlineStr">
        <is>
          <t>list1</t>
        </is>
      </c>
      <c r="D1268" s="11" t="inlineStr">
        <is>
          <t>verified</t>
        </is>
      </c>
      <c r="E1268" s="11" t="inlineStr">
        <is>
          <t>reversed_on_appeal</t>
        </is>
      </c>
      <c r="F1268" s="2" t="inlineStr">
        <is>
          <t>Misrilall Jain and Sons and Others v. State of Jharkhand and Others</t>
        </is>
      </c>
      <c r="G1268" s="11" t="inlineStr"/>
      <c r="H1268" s="11" t="inlineStr">
        <is>
          <t>unknown</t>
        </is>
      </c>
      <c r="I1268" s="2" t="inlineStr">
        <is>
          <t>(2007) 2 BLJR 2042; (2007) 3 JCR 292</t>
        </is>
      </c>
      <c r="J1268" s="11" t="n">
        <v>2007</v>
      </c>
      <c r="K1268" s="2" t="inlineStr">
        <is>
          <t>State of Jharkhand and Others v. Misrilall Jain and Sons and Another etc.</t>
        </is>
      </c>
      <c r="L1268" s="11" t="inlineStr">
        <is>
          <t>Supreme Court</t>
        </is>
      </c>
      <c r="M1268" s="2" t="inlineStr">
        <is>
          <t>(2010) 4 JT 49; (2010) 5 SCC 324; (2010) 4 UJ 1857</t>
        </is>
      </c>
      <c r="N1268" s="11" t="n">
        <v>2010</v>
      </c>
      <c r="O1268" s="11" t="n"/>
      <c r="P1268" s="11" t="n"/>
      <c r="Q1268" s="11" t="n"/>
      <c r="R1268" s="2" t="n"/>
      <c r="S1268" s="2" t="n"/>
      <c r="T1268" s="11" t="inlineStr">
        <is>
          <t>yes</t>
        </is>
      </c>
      <c r="U1268" s="11" t="inlineStr"/>
      <c r="V1268" s="11" t="inlineStr">
        <is>
          <t>outside_list</t>
        </is>
      </c>
      <c r="W1268" s="11" t="n"/>
      <c r="X1268" s="11" t="n"/>
      <c r="Y1268" s="11" t="n"/>
      <c r="Z1268" s="11" t="inlineStr">
        <is>
          <t>Mr. Advocate</t>
        </is>
      </c>
      <c r="AA1268" s="11" t="inlineStr">
        <is>
          <t>2026-10-07</t>
        </is>
      </c>
      <c r="AB1268" s="11" t="inlineStr">
        <is>
          <t>name_year</t>
        </is>
      </c>
      <c r="AC1268" s="2" t="inlineStr"/>
      <c r="AD1268" s="2" t="inlineStr">
        <is>
          <t>Misrilall Jain and Sons and Others v. State of Jharkhand and Others (2007) was reversed on appeal by the Supreme Court in State of Jharkhand and Others v. Misrilall Jain and Sons and Another etc. (2010).</t>
        </is>
      </c>
      <c r="AE1268" s="2" t="n"/>
      <c r="AF1268" s="11" t="inlineStr">
        <is>
          <t>created from list 1</t>
        </is>
      </c>
    </row>
    <row r="1269">
      <c r="A1269" s="11" t="inlineStr">
        <is>
          <t>L1-1268</t>
        </is>
      </c>
      <c r="B1269" s="11" t="inlineStr">
        <is>
          <t>List 1 (to ~2015)</t>
        </is>
      </c>
      <c r="C1269" s="11" t="inlineStr">
        <is>
          <t>list1</t>
        </is>
      </c>
      <c r="D1269" s="11" t="inlineStr">
        <is>
          <t>verified</t>
        </is>
      </c>
      <c r="E1269" s="11" t="inlineStr">
        <is>
          <t>reversed_on_appeal</t>
        </is>
      </c>
      <c r="F1269" s="2" t="inlineStr">
        <is>
          <t>D. Ganesh Rao Patnaik and Others v. State of Jharkhand and Others</t>
        </is>
      </c>
      <c r="G1269" s="11" t="inlineStr"/>
      <c r="H1269" s="11" t="inlineStr">
        <is>
          <t>unknown</t>
        </is>
      </c>
      <c r="I1269" s="2" t="inlineStr">
        <is>
          <t>(2003) 2 JCR 477</t>
        </is>
      </c>
      <c r="J1269" s="11" t="n">
        <v>2003</v>
      </c>
      <c r="K1269" s="2" t="inlineStr">
        <is>
          <t>D. Ganesh Rao Patnaik and Others v. State of Jharkhand and Others</t>
        </is>
      </c>
      <c r="L1269" s="11" t="inlineStr">
        <is>
          <t>Supreme Court</t>
        </is>
      </c>
      <c r="M1269" s="2" t="inlineStr">
        <is>
          <t>AIR 2005 SC 4321; (2005) 107 FLR 868; (2005) 10 JT 261; (2005) 8 SCALE 180; (2005) 8 SCC 454; (2005) SCC(L&amp;S) 1171; (2006) 1 SLJ 431</t>
        </is>
      </c>
      <c r="N1269" s="11" t="n">
        <v>2005</v>
      </c>
      <c r="O1269" s="11" t="n"/>
      <c r="P1269" s="11" t="n"/>
      <c r="Q1269" s="11" t="n"/>
      <c r="R1269" s="2" t="n"/>
      <c r="S1269" s="2" t="n"/>
      <c r="T1269" s="11" t="inlineStr">
        <is>
          <t>yes</t>
        </is>
      </c>
      <c r="U1269" s="11" t="inlineStr"/>
      <c r="V1269" s="11" t="inlineStr">
        <is>
          <t>outside_list</t>
        </is>
      </c>
      <c r="W1269" s="11" t="n"/>
      <c r="X1269" s="11" t="n"/>
      <c r="Y1269" s="11" t="n"/>
      <c r="Z1269" s="11" t="inlineStr">
        <is>
          <t>Mr. Advocate</t>
        </is>
      </c>
      <c r="AA1269" s="11" t="inlineStr">
        <is>
          <t>2026-10-07</t>
        </is>
      </c>
      <c r="AB1269" s="11" t="inlineStr">
        <is>
          <t>name_year</t>
        </is>
      </c>
      <c r="AC1269" s="2" t="inlineStr"/>
      <c r="AD1269" s="2" t="inlineStr">
        <is>
          <t>D. Ganesh Rao Patnaik and Others v. State of Jharkhand and Others (2003) was reversed on appeal by the Supreme Court in D. Ganesh Rao Patnaik and Others v. State of Jharkhand and Others (2005).</t>
        </is>
      </c>
      <c r="AE1269" s="2" t="n"/>
      <c r="AF1269" s="11" t="inlineStr">
        <is>
          <t>created from list 1</t>
        </is>
      </c>
    </row>
    <row r="1270">
      <c r="A1270" s="11" t="inlineStr">
        <is>
          <t>L1-1269</t>
        </is>
      </c>
      <c r="B1270" s="11" t="inlineStr">
        <is>
          <t>List 1 (to ~2015)</t>
        </is>
      </c>
      <c r="C1270" s="11" t="inlineStr">
        <is>
          <t>list1</t>
        </is>
      </c>
      <c r="D1270" s="11" t="inlineStr">
        <is>
          <t>verified</t>
        </is>
      </c>
      <c r="E1270" s="11" t="inlineStr">
        <is>
          <t>reversed_on_appeal</t>
        </is>
      </c>
      <c r="F1270" s="2" t="inlineStr">
        <is>
          <t>National Institute of Technology v. Chandra Shekhar Chaudhary and Others</t>
        </is>
      </c>
      <c r="G1270" s="11" t="inlineStr"/>
      <c r="H1270" s="11" t="inlineStr">
        <is>
          <t>unknown</t>
        </is>
      </c>
      <c r="I1270" s="2" t="inlineStr">
        <is>
          <t>(2004) 4 JCR 372</t>
        </is>
      </c>
      <c r="J1270" s="11" t="n">
        <v>2004</v>
      </c>
      <c r="K1270" s="2" t="inlineStr">
        <is>
          <t>National Institute of Technology, Jamshedpur and Others v. Chandra Shekhar Chaudhary</t>
        </is>
      </c>
      <c r="L1270" s="11" t="inlineStr">
        <is>
          <t>Supreme Court</t>
        </is>
      </c>
      <c r="M1270" s="2" t="inlineStr">
        <is>
          <t>AIR 2007 SC 463; (2007) 113 FLR 456; (2006) 12 SCALE 30; (2007) 1 SCC 93; (2007) 1 SCC(L&amp;S) 1; (2006) 8 SCR 1102 Supp</t>
        </is>
      </c>
      <c r="N1270" s="11" t="n">
        <v>2007</v>
      </c>
      <c r="O1270" s="11" t="n"/>
      <c r="P1270" s="11" t="n"/>
      <c r="Q1270" s="11" t="n"/>
      <c r="R1270" s="2" t="n"/>
      <c r="S1270" s="2" t="n"/>
      <c r="T1270" s="11" t="inlineStr">
        <is>
          <t>yes</t>
        </is>
      </c>
      <c r="U1270" s="11" t="inlineStr"/>
      <c r="V1270" s="11" t="inlineStr">
        <is>
          <t>outside_list</t>
        </is>
      </c>
      <c r="W1270" s="11" t="n"/>
      <c r="X1270" s="11" t="n"/>
      <c r="Y1270" s="11" t="n"/>
      <c r="Z1270" s="11" t="inlineStr">
        <is>
          <t>Mr. Advocate</t>
        </is>
      </c>
      <c r="AA1270" s="11" t="inlineStr">
        <is>
          <t>2026-10-07</t>
        </is>
      </c>
      <c r="AB1270" s="11" t="inlineStr">
        <is>
          <t>name_year</t>
        </is>
      </c>
      <c r="AC1270" s="2" t="inlineStr"/>
      <c r="AD1270" s="2" t="inlineStr">
        <is>
          <t>National Institute of Technology v. Chandra Shekhar Chaudhary and Others (2004) was reversed on appeal by the Supreme Court in National Institute of Technology, Jamshedpur and Others v. Chandra Shekhar Chaudhary (2007).</t>
        </is>
      </c>
      <c r="AE1270" s="2" t="n"/>
      <c r="AF1270" s="11" t="inlineStr">
        <is>
          <t>created from list 1</t>
        </is>
      </c>
    </row>
    <row r="1271">
      <c r="A1271" s="11" t="inlineStr">
        <is>
          <t>L1-1270</t>
        </is>
      </c>
      <c r="B1271" s="11" t="inlineStr">
        <is>
          <t>List 1 (to ~2015)</t>
        </is>
      </c>
      <c r="C1271" s="11" t="inlineStr">
        <is>
          <t>list1</t>
        </is>
      </c>
      <c r="D1271" s="11" t="inlineStr">
        <is>
          <t>verified</t>
        </is>
      </c>
      <c r="E1271" s="11" t="inlineStr">
        <is>
          <t>overruled</t>
        </is>
      </c>
      <c r="F1271" s="2" t="inlineStr">
        <is>
          <t>Ravishwar Manjhi, Uma Kant Rajak, Kala Chand Manjhi and Others and Jaleshwar Manjhi v. State of Bihar (now Jharkhand)</t>
        </is>
      </c>
      <c r="G1271" s="11" t="inlineStr"/>
      <c r="H1271" s="11" t="inlineStr">
        <is>
          <t>unknown</t>
        </is>
      </c>
      <c r="I1271" s="2" t="inlineStr">
        <is>
          <t>(2007) 1 JCR 436</t>
        </is>
      </c>
      <c r="J1271" s="11" t="n">
        <v>2007</v>
      </c>
      <c r="K1271" s="2" t="inlineStr">
        <is>
          <t>Ravishwar Manjhi and Others v. State of Jharkhand</t>
        </is>
      </c>
      <c r="L1271" s="11" t="inlineStr">
        <is>
          <t>Supreme Court</t>
        </is>
      </c>
      <c r="M1271" s="2" t="inlineStr">
        <is>
          <t>AIR 2009 SC 1262; (2009) CLT 405; (2008) 13 JT 292(1); (2008) 16 SCALE 45; (2009) AIRSCW 575</t>
        </is>
      </c>
      <c r="N1271" s="11" t="n">
        <v>2009</v>
      </c>
      <c r="O1271" s="11" t="n"/>
      <c r="P1271" s="11" t="n"/>
      <c r="Q1271" s="11" t="n"/>
      <c r="R1271" s="2" t="n"/>
      <c r="S1271" s="2" t="n"/>
      <c r="T1271" s="11" t="inlineStr"/>
      <c r="U1271" s="11" t="inlineStr"/>
      <c r="V1271" s="11" t="inlineStr">
        <is>
          <t>outside_list</t>
        </is>
      </c>
      <c r="W1271" s="11" t="n"/>
      <c r="X1271" s="11" t="n"/>
      <c r="Y1271" s="11" t="n"/>
      <c r="Z1271" s="11" t="inlineStr">
        <is>
          <t>Mr. Advocate</t>
        </is>
      </c>
      <c r="AA1271" s="11" t="inlineStr">
        <is>
          <t>2026-10-07</t>
        </is>
      </c>
      <c r="AB1271" s="11" t="inlineStr">
        <is>
          <t>name_year</t>
        </is>
      </c>
      <c r="AC1271" s="2" t="inlineStr"/>
      <c r="AD1271" s="2" t="inlineStr">
        <is>
          <t>Ravishwar Manjhi, Uma Kant Rajak, Kala Chand Manjhi and Others and Jaleshwar Manjhi v. State of Bihar (now Jharkhand) (2007) was overruled by Ravishwar Manjhi and Others v. State of Jharkhand (2009).</t>
        </is>
      </c>
      <c r="AE1271" s="2" t="n"/>
      <c r="AF1271" s="11" t="inlineStr">
        <is>
          <t>created from list 1</t>
        </is>
      </c>
    </row>
    <row r="1272">
      <c r="A1272" s="11" t="inlineStr">
        <is>
          <t>L1-1271</t>
        </is>
      </c>
      <c r="B1272" s="11" t="inlineStr">
        <is>
          <t>List 1 (to ~2015)</t>
        </is>
      </c>
      <c r="C1272" s="11" t="inlineStr">
        <is>
          <t>list1</t>
        </is>
      </c>
      <c r="D1272" s="11" t="inlineStr">
        <is>
          <t>verified</t>
        </is>
      </c>
      <c r="E1272" s="11" t="inlineStr">
        <is>
          <t>overruled</t>
        </is>
      </c>
      <c r="F1272" s="2" t="inlineStr">
        <is>
          <t>Mohd. Ahsan Wani v. Commissioner of Income Tax</t>
        </is>
      </c>
      <c r="G1272" s="11" t="inlineStr"/>
      <c r="H1272" s="11" t="inlineStr">
        <is>
          <t>unknown</t>
        </is>
      </c>
      <c r="I1272" s="2" t="inlineStr">
        <is>
          <t>(1977) 106 ITR 84</t>
        </is>
      </c>
      <c r="J1272" s="11" t="n">
        <v>1977</v>
      </c>
      <c r="K1272" s="2" t="inlineStr">
        <is>
          <t>Jamnaprasad Kanhaiyalal v. Commissioner of Income Tax, M.P., Bhopal</t>
        </is>
      </c>
      <c r="L1272" s="11" t="inlineStr">
        <is>
          <t>Supreme Court</t>
        </is>
      </c>
      <c r="M1272" s="2" t="inlineStr">
        <is>
          <t>AIR 1981 SC 1759; (1981) 23 CTR 146; (1981) 130 ITR 244; (1981) 3 SCC 441; (1981) 3 SCR 849</t>
        </is>
      </c>
      <c r="N1272" s="11" t="n">
        <v>1981</v>
      </c>
      <c r="O1272" s="11" t="n"/>
      <c r="P1272" s="11" t="n"/>
      <c r="Q1272" s="11" t="n"/>
      <c r="R1272" s="2" t="n"/>
      <c r="S1272" s="2" t="n"/>
      <c r="T1272" s="11" t="inlineStr"/>
      <c r="U1272" s="11" t="inlineStr"/>
      <c r="V1272" s="11" t="inlineStr">
        <is>
          <t>outside_list</t>
        </is>
      </c>
      <c r="W1272" s="11" t="n"/>
      <c r="X1272" s="11" t="n"/>
      <c r="Y1272" s="11" t="n"/>
      <c r="Z1272" s="11" t="inlineStr">
        <is>
          <t>Mr. Advocate</t>
        </is>
      </c>
      <c r="AA1272" s="11" t="inlineStr">
        <is>
          <t>2026-10-07</t>
        </is>
      </c>
      <c r="AB1272" s="11" t="inlineStr">
        <is>
          <t>name_year</t>
        </is>
      </c>
      <c r="AC1272" s="2" t="inlineStr"/>
      <c r="AD1272" s="2" t="inlineStr">
        <is>
          <t>Mohd. Ahsan Wani v. Commissioner of Income Tax (1977) was overruled by Jamnaprasad Kanhaiyalal v. Commissioner of Income Tax, M.P., Bhopal (1981).</t>
        </is>
      </c>
      <c r="AE1272" s="2" t="n"/>
      <c r="AF1272" s="11" t="inlineStr">
        <is>
          <t>created from list 1</t>
        </is>
      </c>
    </row>
    <row r="1273">
      <c r="A1273" s="11" t="inlineStr">
        <is>
          <t>L1-1272</t>
        </is>
      </c>
      <c r="B1273" s="11" t="inlineStr">
        <is>
          <t>List 1 (to ~2015)</t>
        </is>
      </c>
      <c r="C1273" s="11" t="inlineStr">
        <is>
          <t>list1</t>
        </is>
      </c>
      <c r="D1273" s="11" t="inlineStr">
        <is>
          <t>verified</t>
        </is>
      </c>
      <c r="E1273" s="11" t="inlineStr">
        <is>
          <t>overruled</t>
        </is>
      </c>
      <c r="F1273" s="2" t="inlineStr">
        <is>
          <t>State and Others v. Maharaja Krishan Bhat and Others</t>
        </is>
      </c>
      <c r="G1273" s="11" t="inlineStr"/>
      <c r="H1273" s="11" t="inlineStr">
        <is>
          <t>unknown</t>
        </is>
      </c>
      <c r="I1273" s="2" t="inlineStr">
        <is>
          <t>(2003) 1 JKJ 94</t>
        </is>
      </c>
      <c r="J1273" s="11" t="n">
        <v>2003</v>
      </c>
      <c r="K1273" s="2" t="inlineStr">
        <is>
          <t>Maharaj Krishan Bhatt and Another v. State of Jammu &amp; Kashmir and Others</t>
        </is>
      </c>
      <c r="L1273" s="11" t="inlineStr">
        <is>
          <t>Supreme Court</t>
        </is>
      </c>
      <c r="M1273" s="2" t="inlineStr">
        <is>
          <t>(2008) 106 CLT 778; (2008) 118 FLR 883; (2008) 13 JT 593; (2008) 11 SCALE 29; (2008) 9 SCC 24; (2008) 2 SCC(L&amp;S) 783</t>
        </is>
      </c>
      <c r="N1273" s="11" t="n">
        <v>2008</v>
      </c>
      <c r="O1273" s="11" t="n"/>
      <c r="P1273" s="11" t="n"/>
      <c r="Q1273" s="11" t="n"/>
      <c r="R1273" s="2" t="n"/>
      <c r="S1273" s="2" t="n"/>
      <c r="T1273" s="11" t="inlineStr"/>
      <c r="U1273" s="11" t="inlineStr"/>
      <c r="V1273" s="11" t="inlineStr">
        <is>
          <t>outside_list</t>
        </is>
      </c>
      <c r="W1273" s="11" t="n"/>
      <c r="X1273" s="11" t="n"/>
      <c r="Y1273" s="11" t="n"/>
      <c r="Z1273" s="11" t="inlineStr">
        <is>
          <t>Mr. Advocate</t>
        </is>
      </c>
      <c r="AA1273" s="11" t="inlineStr">
        <is>
          <t>2026-10-07</t>
        </is>
      </c>
      <c r="AB1273" s="11" t="inlineStr">
        <is>
          <t>name_year</t>
        </is>
      </c>
      <c r="AC1273" s="2" t="inlineStr"/>
      <c r="AD1273" s="2" t="inlineStr">
        <is>
          <t>State and Others v. Maharaja Krishan Bhat and Others (2003) was overruled by Maharaj Krishan Bhatt and Another v. State of Jammu &amp; Kashmir and Others (2008).</t>
        </is>
      </c>
      <c r="AE1273" s="2" t="n"/>
      <c r="AF1273" s="11" t="inlineStr">
        <is>
          <t>created from list 1</t>
        </is>
      </c>
    </row>
    <row r="1274">
      <c r="A1274" s="11" t="inlineStr">
        <is>
          <t>L1-1273</t>
        </is>
      </c>
      <c r="B1274" s="11" t="inlineStr">
        <is>
          <t>List 1 (to ~2015)</t>
        </is>
      </c>
      <c r="C1274" s="11" t="inlineStr">
        <is>
          <t>list1</t>
        </is>
      </c>
      <c r="D1274" s="11" t="inlineStr">
        <is>
          <t>verified</t>
        </is>
      </c>
      <c r="E1274" s="11" t="inlineStr">
        <is>
          <t>overruled</t>
        </is>
      </c>
      <c r="F1274" s="2" t="inlineStr">
        <is>
          <t>J.C. Sehgal v. D.D. Abrol and Others</t>
        </is>
      </c>
      <c r="G1274" s="11" t="inlineStr"/>
      <c r="H1274" s="11" t="inlineStr">
        <is>
          <t>unknown</t>
        </is>
      </c>
      <c r="I1274" s="2" t="inlineStr">
        <is>
          <t>(2003) 1 JKJ 85</t>
        </is>
      </c>
      <c r="J1274" s="11" t="n">
        <v>2003</v>
      </c>
      <c r="K1274" s="2" t="inlineStr">
        <is>
          <t>J.C. Sehgal v. Devi Dass and Others</t>
        </is>
      </c>
      <c r="L1274" s="11" t="inlineStr">
        <is>
          <t>Supreme Court</t>
        </is>
      </c>
      <c r="M1274" s="2" t="inlineStr">
        <is>
          <t>AIR 2004 SC 3982; (2004) 1 JT 402 Supp; (2004) 5 SCALE 130; (2004) 11 SCC 555; (2004) 1 SCR 723 Supp</t>
        </is>
      </c>
      <c r="N1274" s="11" t="n">
        <v>2004</v>
      </c>
      <c r="O1274" s="11" t="n"/>
      <c r="P1274" s="11" t="n"/>
      <c r="Q1274" s="11" t="n"/>
      <c r="R1274" s="2" t="n"/>
      <c r="S1274" s="2" t="n"/>
      <c r="T1274" s="11" t="inlineStr"/>
      <c r="U1274" s="11" t="inlineStr"/>
      <c r="V1274" s="11" t="inlineStr">
        <is>
          <t>outside_list</t>
        </is>
      </c>
      <c r="W1274" s="11" t="n"/>
      <c r="X1274" s="11" t="n"/>
      <c r="Y1274" s="11" t="n"/>
      <c r="Z1274" s="11" t="inlineStr">
        <is>
          <t>Mr. Advocate</t>
        </is>
      </c>
      <c r="AA1274" s="11" t="inlineStr">
        <is>
          <t>2026-10-07</t>
        </is>
      </c>
      <c r="AB1274" s="11" t="inlineStr">
        <is>
          <t>name_year</t>
        </is>
      </c>
      <c r="AC1274" s="2" t="inlineStr"/>
      <c r="AD1274" s="2" t="inlineStr">
        <is>
          <t>J.C. Sehgal v. D.D. Abrol and Others (2003) was overruled by J.C. Sehgal v. Devi Dass and Others (2004).</t>
        </is>
      </c>
      <c r="AE1274" s="2" t="n"/>
      <c r="AF1274" s="11" t="inlineStr">
        <is>
          <t>created from list 1</t>
        </is>
      </c>
    </row>
    <row r="1275">
      <c r="A1275" s="11" t="inlineStr">
        <is>
          <t>L1-1274</t>
        </is>
      </c>
      <c r="B1275" s="11" t="inlineStr">
        <is>
          <t>List 1 (to ~2015)</t>
        </is>
      </c>
      <c r="C1275" s="11" t="inlineStr">
        <is>
          <t>list1</t>
        </is>
      </c>
      <c r="D1275" s="11" t="inlineStr">
        <is>
          <t>verified</t>
        </is>
      </c>
      <c r="E1275" s="11" t="inlineStr">
        <is>
          <t>overruled</t>
        </is>
      </c>
      <c r="F1275" s="2" t="inlineStr">
        <is>
          <t>Mahendra Singh v. State of Uttrakhand</t>
        </is>
      </c>
      <c r="G1275" s="11" t="inlineStr"/>
      <c r="H1275" s="11" t="inlineStr">
        <is>
          <t>unknown</t>
        </is>
      </c>
      <c r="I1275" s="2" t="inlineStr">
        <is>
          <t>(2006) 2 UC 1165</t>
        </is>
      </c>
      <c r="J1275" s="11" t="n">
        <v>2006</v>
      </c>
      <c r="K1275" s="2" t="inlineStr">
        <is>
          <t>Mahender Singh v. State of Uttaranchal</t>
        </is>
      </c>
      <c r="L1275" s="11" t="inlineStr">
        <is>
          <t>Supreme Court</t>
        </is>
      </c>
      <c r="M1275" s="2" t="inlineStr">
        <is>
          <t>(2011) CriLJ 4825; (2011) 10 JT 268; (2011) 9 SCALE 520; (2011) 9 SCR 1062</t>
        </is>
      </c>
      <c r="N1275" s="11" t="n">
        <v>2011</v>
      </c>
      <c r="O1275" s="11" t="n"/>
      <c r="P1275" s="11" t="n"/>
      <c r="Q1275" s="11" t="n"/>
      <c r="R1275" s="2" t="n"/>
      <c r="S1275" s="2" t="n"/>
      <c r="T1275" s="11" t="inlineStr"/>
      <c r="U1275" s="11" t="inlineStr"/>
      <c r="V1275" s="11" t="inlineStr">
        <is>
          <t>outside_list</t>
        </is>
      </c>
      <c r="W1275" s="11" t="n"/>
      <c r="X1275" s="11" t="n"/>
      <c r="Y1275" s="11" t="n"/>
      <c r="Z1275" s="11" t="inlineStr">
        <is>
          <t>Mr. Advocate</t>
        </is>
      </c>
      <c r="AA1275" s="11" t="inlineStr">
        <is>
          <t>2026-10-07</t>
        </is>
      </c>
      <c r="AB1275" s="11" t="inlineStr">
        <is>
          <t>name_year</t>
        </is>
      </c>
      <c r="AC1275" s="2" t="inlineStr"/>
      <c r="AD1275" s="2" t="inlineStr">
        <is>
          <t>Mahendra Singh v. State of Uttrakhand (2006) was overruled by Mahender Singh v. State of Uttaranchal (2011).</t>
        </is>
      </c>
      <c r="AE1275" s="2" t="n"/>
      <c r="AF1275" s="11" t="inlineStr">
        <is>
          <t>created from list 1</t>
        </is>
      </c>
    </row>
    <row r="1276">
      <c r="A1276" s="11" t="inlineStr">
        <is>
          <t>L1-1275</t>
        </is>
      </c>
      <c r="B1276" s="11" t="inlineStr">
        <is>
          <t>List 1 (to ~2015)</t>
        </is>
      </c>
      <c r="C1276" s="11" t="inlineStr">
        <is>
          <t>list1</t>
        </is>
      </c>
      <c r="D1276" s="11" t="inlineStr">
        <is>
          <t>verified</t>
        </is>
      </c>
      <c r="E1276" s="11" t="inlineStr">
        <is>
          <t>reversed_on_appeal</t>
        </is>
      </c>
      <c r="F1276" s="2" t="inlineStr">
        <is>
          <t>Kewal Krishan Gupta v. J and K Special Tribunal and Others</t>
        </is>
      </c>
      <c r="G1276" s="11" t="inlineStr"/>
      <c r="H1276" s="11" t="inlineStr">
        <is>
          <t>unknown</t>
        </is>
      </c>
      <c r="I1276" s="2" t="inlineStr">
        <is>
          <t>(2004) 2 JKJ 443</t>
        </is>
      </c>
      <c r="J1276" s="11" t="n">
        <v>2004</v>
      </c>
      <c r="K1276" s="2" t="inlineStr">
        <is>
          <t>Kewal Kishan Gupta v. Jammu and Kashmir Special Tribunal and Others</t>
        </is>
      </c>
      <c r="L1276" s="11" t="inlineStr">
        <is>
          <t>Supreme Court</t>
        </is>
      </c>
      <c r="M1276" s="2" t="inlineStr">
        <is>
          <t>AIR 2005 SC 2578; (2005) 11 JT 35; (2005) 7 SCC 110</t>
        </is>
      </c>
      <c r="N1276" s="11" t="n">
        <v>2005</v>
      </c>
      <c r="O1276" s="11" t="n"/>
      <c r="P1276" s="11" t="n"/>
      <c r="Q1276" s="11" t="n"/>
      <c r="R1276" s="2" t="n"/>
      <c r="S1276" s="2" t="n"/>
      <c r="T1276" s="11" t="inlineStr">
        <is>
          <t>yes</t>
        </is>
      </c>
      <c r="U1276" s="11" t="inlineStr"/>
      <c r="V1276" s="11" t="inlineStr">
        <is>
          <t>outside_list</t>
        </is>
      </c>
      <c r="W1276" s="11" t="n"/>
      <c r="X1276" s="11" t="n"/>
      <c r="Y1276" s="11" t="n"/>
      <c r="Z1276" s="11" t="inlineStr">
        <is>
          <t>Mr. Advocate</t>
        </is>
      </c>
      <c r="AA1276" s="11" t="inlineStr">
        <is>
          <t>2026-10-07</t>
        </is>
      </c>
      <c r="AB1276" s="11" t="inlineStr">
        <is>
          <t>name_year</t>
        </is>
      </c>
      <c r="AC1276" s="2" t="inlineStr"/>
      <c r="AD1276" s="2" t="inlineStr">
        <is>
          <t>Kewal Krishan Gupta v. J and K Special Tribunal and Others (2004) was reversed on appeal by the Supreme Court in Kewal Kishan Gupta v. Jammu and Kashmir Special Tribunal and Others (2005).</t>
        </is>
      </c>
      <c r="AE1276" s="2" t="n"/>
      <c r="AF1276" s="11" t="inlineStr">
        <is>
          <t>created from list 1</t>
        </is>
      </c>
    </row>
    <row r="1277">
      <c r="A1277" s="11" t="inlineStr">
        <is>
          <t>L1-1276</t>
        </is>
      </c>
      <c r="B1277" s="11" t="inlineStr">
        <is>
          <t>List 1 (to ~2015)</t>
        </is>
      </c>
      <c r="C1277" s="11" t="inlineStr">
        <is>
          <t>list1</t>
        </is>
      </c>
      <c r="D1277" s="11" t="inlineStr">
        <is>
          <t>verified</t>
        </is>
      </c>
      <c r="E1277" s="11" t="inlineStr">
        <is>
          <t>overruled</t>
        </is>
      </c>
      <c r="F1277" s="2" t="inlineStr">
        <is>
          <t>Indian Drugs and Pharmaceuticals Ltd. v. Presiding Officer, Labour Court and Another</t>
        </is>
      </c>
      <c r="G1277" s="11" t="inlineStr"/>
      <c r="H1277" s="11" t="inlineStr">
        <is>
          <t>unknown</t>
        </is>
      </c>
      <c r="I1277" s="2" t="inlineStr">
        <is>
          <t>(2003) 96 FLR 135; (2003) 1 LLJ 269; (2003) 2 UC 1384</t>
        </is>
      </c>
      <c r="J1277" s="11" t="n">
        <v>2003</v>
      </c>
      <c r="K1277" s="2" t="inlineStr">
        <is>
          <t>Indian Drugs and Pharmaceuticals Ltd. v. Devki Devi and Others</t>
        </is>
      </c>
      <c r="L1277" s="11" t="inlineStr">
        <is>
          <t>Supreme Court</t>
        </is>
      </c>
      <c r="M1277" s="2" t="inlineStr">
        <is>
          <t>AIR 2006 SC 2691; (2006) 110 FLR 763; (2006) 6 JT 136; (2006) 3 LLJ 783; (2006) 6 SCALE 559; (2006) 5 SCC 523; (2006) SCC(L&amp;S) 1169; (2006) 3 SCR 279 Supp; (2007) 1 SLJ 224; (2006) 2 UJ 931; (2006) AIRSCW 3637; (2006) 5 Supreme 630</t>
        </is>
      </c>
      <c r="N1277" s="11" t="n">
        <v>2006</v>
      </c>
      <c r="O1277" s="11" t="n"/>
      <c r="P1277" s="11" t="n"/>
      <c r="Q1277" s="11" t="n"/>
      <c r="R1277" s="2" t="n"/>
      <c r="S1277" s="2" t="n"/>
      <c r="T1277" s="11" t="inlineStr"/>
      <c r="U1277" s="11" t="inlineStr"/>
      <c r="V1277" s="11" t="inlineStr">
        <is>
          <t>outside_list</t>
        </is>
      </c>
      <c r="W1277" s="11" t="n"/>
      <c r="X1277" s="11" t="n"/>
      <c r="Y1277" s="11" t="n"/>
      <c r="Z1277" s="11" t="inlineStr">
        <is>
          <t>Mr. Advocate</t>
        </is>
      </c>
      <c r="AA1277" s="11" t="inlineStr">
        <is>
          <t>2026-10-07</t>
        </is>
      </c>
      <c r="AB1277" s="11" t="inlineStr">
        <is>
          <t>name_year</t>
        </is>
      </c>
      <c r="AC1277" s="2" t="inlineStr"/>
      <c r="AD1277" s="2" t="inlineStr">
        <is>
          <t>Indian Drugs and Pharmaceuticals Ltd. v. Presiding Officer, Labour Court and Another (2003) was overruled by Indian Drugs and Pharmaceuticals Ltd. v. Devki Devi and Others (2006).</t>
        </is>
      </c>
      <c r="AE1277" s="2" t="n"/>
      <c r="AF1277" s="11" t="inlineStr">
        <is>
          <t>created from list 1</t>
        </is>
      </c>
    </row>
    <row r="1278">
      <c r="A1278" s="11" t="inlineStr">
        <is>
          <t>L1-1277</t>
        </is>
      </c>
      <c r="B1278" s="11" t="inlineStr">
        <is>
          <t>List 1 (to ~2015)</t>
        </is>
      </c>
      <c r="C1278" s="11" t="inlineStr">
        <is>
          <t>list1</t>
        </is>
      </c>
      <c r="D1278" s="11" t="inlineStr">
        <is>
          <t>verified</t>
        </is>
      </c>
      <c r="E1278" s="11" t="inlineStr">
        <is>
          <t>overruled</t>
        </is>
      </c>
      <c r="F1278" s="2" t="inlineStr">
        <is>
          <t>Bhandaru Ram (deceased) through his L.R. Rattan Lal v. Sukh Ram and Others</t>
        </is>
      </c>
      <c r="G1278" s="11" t="inlineStr"/>
      <c r="H1278" s="11" t="inlineStr">
        <is>
          <t>Himachal Pradesh</t>
        </is>
      </c>
      <c r="I1278" s="2" t="inlineStr">
        <is>
          <t>AIR 2012 HP 1; (2012) 2 CTC 257</t>
        </is>
      </c>
      <c r="J1278" s="11" t="n">
        <v>2012</v>
      </c>
      <c r="K1278" s="2" t="inlineStr">
        <is>
          <t>Singh Ram v. Sheo Ram</t>
        </is>
      </c>
      <c r="L1278" s="11" t="inlineStr">
        <is>
          <t>unknown</t>
        </is>
      </c>
      <c r="M1278" s="2" t="inlineStr">
        <is>
          <t>(2014) AIRSCW 4854; (2014) 9 SCALE 411</t>
        </is>
      </c>
      <c r="N1278" s="11" t="n">
        <v>2014</v>
      </c>
      <c r="O1278" s="11" t="n"/>
      <c r="P1278" s="11" t="n"/>
      <c r="Q1278" s="11" t="n"/>
      <c r="R1278" s="2" t="n"/>
      <c r="S1278" s="2" t="n"/>
      <c r="T1278" s="11" t="inlineStr"/>
      <c r="U1278" s="11" t="inlineStr"/>
      <c r="V1278" s="11" t="inlineStr">
        <is>
          <t>outside_list</t>
        </is>
      </c>
      <c r="W1278" s="11" t="n"/>
      <c r="X1278" s="11" t="n"/>
      <c r="Y1278" s="11" t="n"/>
      <c r="Z1278" s="11" t="inlineStr">
        <is>
          <t>Mr. Advocate</t>
        </is>
      </c>
      <c r="AA1278" s="11" t="inlineStr">
        <is>
          <t>2026-10-07</t>
        </is>
      </c>
      <c r="AB1278" s="11" t="inlineStr">
        <is>
          <t>citation</t>
        </is>
      </c>
      <c r="AC1278" s="2" t="inlineStr"/>
      <c r="AD1278" s="2" t="inlineStr">
        <is>
          <t>Bhandaru Ram (deceased) through his L.R. Rattan Lal v. Sukh Ram and Others (2012) was overruled by Singh Ram v. Sheo Ram (2014).</t>
        </is>
      </c>
      <c r="AE1278" s="2" t="n"/>
      <c r="AF1278" s="11" t="inlineStr">
        <is>
          <t>created from list 1</t>
        </is>
      </c>
    </row>
    <row r="1279">
      <c r="A1279" s="11" t="inlineStr">
        <is>
          <t>L1-1278</t>
        </is>
      </c>
      <c r="B1279" s="11" t="inlineStr">
        <is>
          <t>List 1 (to ~2015)</t>
        </is>
      </c>
      <c r="C1279" s="11" t="inlineStr">
        <is>
          <t>list1</t>
        </is>
      </c>
      <c r="D1279" s="11" t="inlineStr">
        <is>
          <t>verified</t>
        </is>
      </c>
      <c r="E1279" s="11" t="inlineStr">
        <is>
          <t>reversed_on_appeal</t>
        </is>
      </c>
      <c r="F1279" s="2" t="inlineStr">
        <is>
          <t>Jile Singh v. State of U.P. and Another</t>
        </is>
      </c>
      <c r="G1279" s="11" t="inlineStr"/>
      <c r="H1279" s="11" t="inlineStr">
        <is>
          <t>unknown</t>
        </is>
      </c>
      <c r="I1279" s="2" t="inlineStr">
        <is>
          <t>(2011) 4 ADJ 765</t>
        </is>
      </c>
      <c r="J1279" s="11" t="n">
        <v>2011</v>
      </c>
      <c r="K1279" s="2" t="inlineStr">
        <is>
          <t>Jile Singh v. State of U.P. and Another</t>
        </is>
      </c>
      <c r="L1279" s="11" t="inlineStr">
        <is>
          <t>unknown</t>
        </is>
      </c>
      <c r="M1279" s="2" t="inlineStr">
        <is>
          <t>(2012) CriLJ 1603; (2012) 1 RCR(Criminal) 583; (2012) 1 SCALE 452; (2012) 3 SCC 383; (2012) AIRSCW 1390</t>
        </is>
      </c>
      <c r="N1279" s="11" t="n">
        <v>2012</v>
      </c>
      <c r="O1279" s="11" t="n"/>
      <c r="P1279" s="11" t="n"/>
      <c r="Q1279" s="11" t="n"/>
      <c r="R1279" s="2" t="n"/>
      <c r="S1279" s="2" t="n"/>
      <c r="T1279" s="11" t="inlineStr">
        <is>
          <t>yes</t>
        </is>
      </c>
      <c r="U1279" s="11" t="inlineStr"/>
      <c r="V1279" s="11" t="inlineStr">
        <is>
          <t>outside_list</t>
        </is>
      </c>
      <c r="W1279" s="11" t="n"/>
      <c r="X1279" s="11" t="n"/>
      <c r="Y1279" s="11" t="n"/>
      <c r="Z1279" s="11" t="inlineStr">
        <is>
          <t>Mr. Advocate</t>
        </is>
      </c>
      <c r="AA1279" s="11" t="inlineStr">
        <is>
          <t>2026-10-07</t>
        </is>
      </c>
      <c r="AB1279" s="11" t="inlineStr">
        <is>
          <t>name_year</t>
        </is>
      </c>
      <c r="AC1279" s="2" t="inlineStr"/>
      <c r="AD1279" s="2" t="inlineStr">
        <is>
          <t>Jile Singh v. State of U.P. and Another (2011) was reversed on appeal by the Supreme Court in Jile Singh v. State of U.P. and Another (2012).</t>
        </is>
      </c>
      <c r="AE1279" s="2" t="n"/>
      <c r="AF1279" s="11" t="inlineStr">
        <is>
          <t>created from list 1</t>
        </is>
      </c>
    </row>
    <row r="1280">
      <c r="A1280" s="11" t="inlineStr">
        <is>
          <t>L1-1279</t>
        </is>
      </c>
      <c r="B1280" s="11" t="inlineStr">
        <is>
          <t>List 1 (to ~2015)</t>
        </is>
      </c>
      <c r="C1280" s="11" t="inlineStr">
        <is>
          <t>list1</t>
        </is>
      </c>
      <c r="D1280" s="11" t="inlineStr">
        <is>
          <t>verified</t>
        </is>
      </c>
      <c r="E1280" s="11" t="inlineStr">
        <is>
          <t>reversed_on_appeal</t>
        </is>
      </c>
      <c r="F1280" s="2" t="inlineStr">
        <is>
          <t>Rikhi Ram Kaundal v. Shri Ganu Ram and Others</t>
        </is>
      </c>
      <c r="G1280" s="11" t="inlineStr"/>
      <c r="H1280" s="11" t="inlineStr">
        <is>
          <t>Himachal Pradesh</t>
        </is>
      </c>
      <c r="I1280" s="2" t="inlineStr">
        <is>
          <t>AIR 1983 HP 85; (1983) 12 ILR HP 42</t>
        </is>
      </c>
      <c r="J1280" s="11" t="n">
        <v>1983</v>
      </c>
      <c r="K1280" s="2" t="inlineStr">
        <is>
          <t>Ganu Ram v. Rikhi Ram Kaundal and Others</t>
        </is>
      </c>
      <c r="L1280" s="11" t="inlineStr">
        <is>
          <t>Supreme Court</t>
        </is>
      </c>
      <c r="M1280" s="2" t="inlineStr">
        <is>
          <t>AIR 1984 SC 1513; (1984) 2 SCALE 1; (1984) 3 SCC 649; (1985) 1 SCR 63; (1984) 16 UJ 830</t>
        </is>
      </c>
      <c r="N1280" s="11" t="n">
        <v>1984</v>
      </c>
      <c r="O1280" s="11" t="n"/>
      <c r="P1280" s="11" t="n"/>
      <c r="Q1280" s="11" t="n"/>
      <c r="R1280" s="2" t="n"/>
      <c r="S1280" s="2" t="n"/>
      <c r="T1280" s="11" t="inlineStr">
        <is>
          <t>yes</t>
        </is>
      </c>
      <c r="U1280" s="11" t="inlineStr"/>
      <c r="V1280" s="11" t="inlineStr">
        <is>
          <t>outside_list</t>
        </is>
      </c>
      <c r="W1280" s="11" t="n"/>
      <c r="X1280" s="11" t="n"/>
      <c r="Y1280" s="11" t="n"/>
      <c r="Z1280" s="11" t="inlineStr">
        <is>
          <t>Mr. Advocate</t>
        </is>
      </c>
      <c r="AA1280" s="11" t="inlineStr">
        <is>
          <t>2026-10-07</t>
        </is>
      </c>
      <c r="AB1280" s="11" t="inlineStr">
        <is>
          <t>name_year</t>
        </is>
      </c>
      <c r="AC1280" s="2" t="inlineStr"/>
      <c r="AD1280" s="2" t="inlineStr">
        <is>
          <t>Rikhi Ram Kaundal v. Shri Ganu Ram and Others (1983) was reversed on appeal by the Supreme Court in Ganu Ram v. Rikhi Ram Kaundal and Others (1984).</t>
        </is>
      </c>
      <c r="AE1280" s="2" t="n"/>
      <c r="AF1280" s="11" t="inlineStr">
        <is>
          <t>created from list 1</t>
        </is>
      </c>
    </row>
    <row r="1281">
      <c r="A1281" s="11" t="inlineStr">
        <is>
          <t>L1-1280</t>
        </is>
      </c>
      <c r="B1281" s="11" t="inlineStr">
        <is>
          <t>List 1 (to ~2015)</t>
        </is>
      </c>
      <c r="C1281" s="11" t="inlineStr">
        <is>
          <t>list1</t>
        </is>
      </c>
      <c r="D1281" s="11" t="inlineStr">
        <is>
          <t>verified</t>
        </is>
      </c>
      <c r="E1281" s="11" t="inlineStr">
        <is>
          <t>overruled</t>
        </is>
      </c>
      <c r="F1281" s="2" t="inlineStr">
        <is>
          <t>Gurdev Singh and Others etc. v. State of Himachal Pradesh and Others</t>
        </is>
      </c>
      <c r="G1281" s="11" t="inlineStr"/>
      <c r="H1281" s="11" t="inlineStr">
        <is>
          <t>Himachal Pradesh</t>
        </is>
      </c>
      <c r="I1281" s="2" t="inlineStr">
        <is>
          <t>AIR 1992 HP 70; (1992) CriLJ 2542; (1991) 2 ShimLC 239</t>
        </is>
      </c>
      <c r="J1281" s="11" t="n">
        <v>1992</v>
      </c>
      <c r="K1281" s="2" t="inlineStr">
        <is>
          <t>State of Gujarat and Another v. Hon’ble High Court of Gujarat</t>
        </is>
      </c>
      <c r="L1281" s="11" t="inlineStr">
        <is>
          <t>Supreme Court</t>
        </is>
      </c>
      <c r="M1281" s="2" t="inlineStr">
        <is>
          <t>AIR 1998 SC 3164; (1998) CriLJ 4561; (1998) 4 Crimes 12; (1998) 6 JT 530; (1998) 5 SCALE 410; (1998) 7 SCC 392; (1998) 2 SCR 31 Supp; (1999) 1 UJ 714; (1998) AIRSCW 3075; (1998) 7 Supreme 511</t>
        </is>
      </c>
      <c r="N1281" s="11" t="n">
        <v>1998</v>
      </c>
      <c r="O1281" s="11" t="n"/>
      <c r="P1281" s="11" t="n"/>
      <c r="Q1281" s="11" t="n"/>
      <c r="R1281" s="2" t="n"/>
      <c r="S1281" s="2" t="n"/>
      <c r="T1281" s="11" t="inlineStr"/>
      <c r="U1281" s="11" t="inlineStr"/>
      <c r="V1281" s="11" t="inlineStr">
        <is>
          <t>outside_list</t>
        </is>
      </c>
      <c r="W1281" s="11" t="n"/>
      <c r="X1281" s="11" t="n"/>
      <c r="Y1281" s="11" t="n"/>
      <c r="Z1281" s="11" t="inlineStr">
        <is>
          <t>Mr. Advocate</t>
        </is>
      </c>
      <c r="AA1281" s="11" t="inlineStr">
        <is>
          <t>2026-10-07</t>
        </is>
      </c>
      <c r="AB1281" s="11" t="inlineStr">
        <is>
          <t>name_year</t>
        </is>
      </c>
      <c r="AC1281" s="2" t="inlineStr"/>
      <c r="AD1281" s="2" t="inlineStr">
        <is>
          <t>Gurdev Singh and Others etc. v. State of Himachal Pradesh and Others (1992) was overruled by State of Gujarat and Another v. Hon’ble High Court of Gujarat (1998).</t>
        </is>
      </c>
      <c r="AE1281" s="2" t="n"/>
      <c r="AF1281" s="11" t="inlineStr">
        <is>
          <t>created from list 1</t>
        </is>
      </c>
    </row>
    <row r="1282">
      <c r="A1282" s="11" t="inlineStr">
        <is>
          <t>L1-1281</t>
        </is>
      </c>
      <c r="B1282" s="11" t="inlineStr">
        <is>
          <t>List 1 (to ~2015)</t>
        </is>
      </c>
      <c r="C1282" s="11" t="inlineStr">
        <is>
          <t>list1</t>
        </is>
      </c>
      <c r="D1282" s="11" t="inlineStr">
        <is>
          <t>verified</t>
        </is>
      </c>
      <c r="E1282" s="11" t="inlineStr">
        <is>
          <t>overruled</t>
        </is>
      </c>
      <c r="F1282" s="2" t="inlineStr">
        <is>
          <t>Sher Singh and Others v. State of H.P. and Others</t>
        </is>
      </c>
      <c r="G1282" s="11" t="inlineStr"/>
      <c r="H1282" s="11" t="inlineStr">
        <is>
          <t>unknown</t>
        </is>
      </c>
      <c r="I1282" s="2" t="inlineStr">
        <is>
          <t>(1999) 2 ShimLC 194</t>
        </is>
      </c>
      <c r="J1282" s="11" t="n">
        <v>1999</v>
      </c>
      <c r="K1282" s="2" t="inlineStr">
        <is>
          <t>State of Himachal Pradesh and Another v. Padam Devi and Others</t>
        </is>
      </c>
      <c r="L1282" s="11" t="inlineStr">
        <is>
          <t>Supreme Court</t>
        </is>
      </c>
      <c r="M1282" s="2" t="inlineStr">
        <is>
          <t>AIR 2002 SC 2477; (2002) 4 JT 426; (2002) 3 SCALE 672; (2002) 4 SCC 510; (2002) 3 SCR 90; (2002) 2 SCT 746; (2002) AIRSCW 2769; (2002) 4 Supreme 43</t>
        </is>
      </c>
      <c r="N1282" s="11" t="n">
        <v>2002</v>
      </c>
      <c r="O1282" s="11" t="n"/>
      <c r="P1282" s="11" t="n"/>
      <c r="Q1282" s="11" t="n"/>
      <c r="R1282" s="2" t="n"/>
      <c r="S1282" s="2" t="n"/>
      <c r="T1282" s="11" t="inlineStr"/>
      <c r="U1282" s="11" t="inlineStr"/>
      <c r="V1282" s="11" t="inlineStr">
        <is>
          <t>outside_list</t>
        </is>
      </c>
      <c r="W1282" s="11" t="n"/>
      <c r="X1282" s="11" t="n"/>
      <c r="Y1282" s="11" t="n"/>
      <c r="Z1282" s="11" t="inlineStr">
        <is>
          <t>Mr. Advocate</t>
        </is>
      </c>
      <c r="AA1282" s="11" t="inlineStr">
        <is>
          <t>2026-10-07</t>
        </is>
      </c>
      <c r="AB1282" s="11" t="inlineStr">
        <is>
          <t>name_year</t>
        </is>
      </c>
      <c r="AC1282" s="2" t="inlineStr"/>
      <c r="AD1282" s="2" t="inlineStr">
        <is>
          <t>Sher Singh and Others v. State of H.P. and Others (1999) was overruled by State of Himachal Pradesh and Another v. Padam Devi and Others (2002).</t>
        </is>
      </c>
      <c r="AE1282" s="2" t="n"/>
      <c r="AF1282" s="11" t="inlineStr">
        <is>
          <t>created from list 1</t>
        </is>
      </c>
    </row>
    <row r="1283">
      <c r="A1283" s="11" t="inlineStr">
        <is>
          <t>L1-1282</t>
        </is>
      </c>
      <c r="B1283" s="11" t="inlineStr">
        <is>
          <t>List 1 (to ~2015)</t>
        </is>
      </c>
      <c r="C1283" s="11" t="inlineStr">
        <is>
          <t>list1</t>
        </is>
      </c>
      <c r="D1283" s="11" t="inlineStr">
        <is>
          <t>verified</t>
        </is>
      </c>
      <c r="E1283" s="11" t="inlineStr">
        <is>
          <t>overruled</t>
        </is>
      </c>
      <c r="F1283" s="2" t="inlineStr">
        <is>
          <t>Smt. Prem Lata Sood and Others v. State of H.P. and Others</t>
        </is>
      </c>
      <c r="G1283" s="11" t="inlineStr"/>
      <c r="H1283" s="11" t="inlineStr">
        <is>
          <t>unknown</t>
        </is>
      </c>
      <c r="I1283" s="2" t="inlineStr">
        <is>
          <t>(2006) 1 ShimLC 100</t>
        </is>
      </c>
      <c r="J1283" s="11" t="n">
        <v>2006</v>
      </c>
      <c r="K1283" s="2" t="inlineStr">
        <is>
          <t>Commissioner of Municipal Corporation, Shimla v. Prem Lata Sood and Others</t>
        </is>
      </c>
      <c r="L1283" s="11" t="inlineStr">
        <is>
          <t>Supreme Court</t>
        </is>
      </c>
      <c r="M1283" s="2" t="inlineStr">
        <is>
          <t>(2007) 7 JT 336; (2007) 7 SCALE 737; (2007) 11 SCC 40; (2007) 6 SCR 898</t>
        </is>
      </c>
      <c r="N1283" s="11" t="n">
        <v>2007</v>
      </c>
      <c r="O1283" s="11" t="n"/>
      <c r="P1283" s="11" t="n"/>
      <c r="Q1283" s="11" t="n"/>
      <c r="R1283" s="2" t="n"/>
      <c r="S1283" s="2" t="n"/>
      <c r="T1283" s="11" t="inlineStr"/>
      <c r="U1283" s="11" t="inlineStr"/>
      <c r="V1283" s="11" t="inlineStr">
        <is>
          <t>outside_list</t>
        </is>
      </c>
      <c r="W1283" s="11" t="n"/>
      <c r="X1283" s="11" t="n"/>
      <c r="Y1283" s="11" t="n"/>
      <c r="Z1283" s="11" t="inlineStr">
        <is>
          <t>Mr. Advocate</t>
        </is>
      </c>
      <c r="AA1283" s="11" t="inlineStr">
        <is>
          <t>2026-10-07</t>
        </is>
      </c>
      <c r="AB1283" s="11" t="inlineStr">
        <is>
          <t>name_year</t>
        </is>
      </c>
      <c r="AC1283" s="2" t="inlineStr"/>
      <c r="AD1283" s="2" t="inlineStr">
        <is>
          <t>Smt. Prem Lata Sood and Others v. State of H.P. and Others (2006) was overruled by Commissioner of Municipal Corporation, Shimla v. Prem Lata Sood and Others (2007).</t>
        </is>
      </c>
      <c r="AE1283" s="2" t="n"/>
      <c r="AF1283" s="11" t="inlineStr">
        <is>
          <t>created from list 1</t>
        </is>
      </c>
    </row>
    <row r="1284">
      <c r="A1284" s="11" t="inlineStr">
        <is>
          <t>L1-1283</t>
        </is>
      </c>
      <c r="B1284" s="11" t="inlineStr">
        <is>
          <t>List 1 (to ~2015)</t>
        </is>
      </c>
      <c r="C1284" s="11" t="inlineStr">
        <is>
          <t>list1</t>
        </is>
      </c>
      <c r="D1284" s="11" t="inlineStr">
        <is>
          <t>verified</t>
        </is>
      </c>
      <c r="E1284" s="11" t="inlineStr">
        <is>
          <t>overruled</t>
        </is>
      </c>
      <c r="F1284" s="2" t="inlineStr">
        <is>
          <t>Sonu Kumar and Bal Krishan v. State of H.P. and Others</t>
        </is>
      </c>
      <c r="G1284" s="11" t="inlineStr"/>
      <c r="H1284" s="11" t="inlineStr">
        <is>
          <t>unknown</t>
        </is>
      </c>
      <c r="I1284" s="2" t="inlineStr">
        <is>
          <t>(2007) 2 ShimLC 158; (2007) 2 ShimLC 157</t>
        </is>
      </c>
      <c r="J1284" s="11" t="n">
        <v>2007</v>
      </c>
      <c r="K1284" s="2" t="inlineStr">
        <is>
          <t>Bal Kishan v. State of Himachal Pradesh</t>
        </is>
      </c>
      <c r="L1284" s="11" t="inlineStr">
        <is>
          <t>Supreme Court</t>
        </is>
      </c>
      <c r="M1284" s="2" t="inlineStr">
        <is>
          <t>AIR 2009 SC 812; (2008) 11 JT 369(1); (2008) 13 SCALE 642</t>
        </is>
      </c>
      <c r="N1284" s="11" t="n">
        <v>2009</v>
      </c>
      <c r="O1284" s="11" t="n"/>
      <c r="P1284" s="11" t="n"/>
      <c r="Q1284" s="11" t="n"/>
      <c r="R1284" s="2" t="n"/>
      <c r="S1284" s="2" t="n"/>
      <c r="T1284" s="11" t="inlineStr"/>
      <c r="U1284" s="11" t="inlineStr"/>
      <c r="V1284" s="11" t="inlineStr">
        <is>
          <t>outside_list</t>
        </is>
      </c>
      <c r="W1284" s="11" t="n"/>
      <c r="X1284" s="11" t="n"/>
      <c r="Y1284" s="11" t="n"/>
      <c r="Z1284" s="11" t="inlineStr">
        <is>
          <t>Mr. Advocate</t>
        </is>
      </c>
      <c r="AA1284" s="11" t="inlineStr">
        <is>
          <t>2026-10-07</t>
        </is>
      </c>
      <c r="AB1284" s="11" t="inlineStr">
        <is>
          <t>name_year</t>
        </is>
      </c>
      <c r="AC1284" s="2" t="inlineStr"/>
      <c r="AD1284" s="2" t="inlineStr">
        <is>
          <t>Sonu Kumar and Bal Krishan v. State of H.P. and Others (2007) was overruled by Bal Kishan v. State of Himachal Pradesh (2009).</t>
        </is>
      </c>
      <c r="AE1284" s="2" t="n"/>
      <c r="AF1284" s="11" t="inlineStr">
        <is>
          <t>created from list 1</t>
        </is>
      </c>
    </row>
    <row r="1285">
      <c r="A1285" s="11" t="inlineStr">
        <is>
          <t>L1-1284</t>
        </is>
      </c>
      <c r="B1285" s="11" t="inlineStr">
        <is>
          <t>List 1 (to ~2015)</t>
        </is>
      </c>
      <c r="C1285" s="11" t="inlineStr">
        <is>
          <t>list1</t>
        </is>
      </c>
      <c r="D1285" s="11" t="inlineStr">
        <is>
          <t>verified</t>
        </is>
      </c>
      <c r="E1285" s="11" t="inlineStr">
        <is>
          <t>reversed_on_appeal</t>
        </is>
      </c>
      <c r="F1285" s="2" t="inlineStr">
        <is>
          <t>Sheo Lal and Another v. State of U.P.</t>
        </is>
      </c>
      <c r="G1285" s="11" t="inlineStr"/>
      <c r="H1285" s="11" t="inlineStr">
        <is>
          <t>unknown</t>
        </is>
      </c>
      <c r="I1285" s="2" t="inlineStr">
        <is>
          <t>(2000) CriLJ 3015</t>
        </is>
      </c>
      <c r="J1285" s="11" t="n">
        <v>2000</v>
      </c>
      <c r="K1285" s="2" t="inlineStr">
        <is>
          <t>State of U.P. v. Sheo Lal and Others</t>
        </is>
      </c>
      <c r="L1285" s="11" t="inlineStr">
        <is>
          <t>Supreme Court</t>
        </is>
      </c>
      <c r="M1285" s="2" t="inlineStr">
        <is>
          <t>AIR 2009 SC 1912; (2009) CriLJ 1762; (2009) 3 JT 540; (2009) 11 SCC 513; (2009) 3 SCR 343; (2009) AIRSCW 1512; (2009) 2 Supreme 99</t>
        </is>
      </c>
      <c r="N1285" s="11" t="n">
        <v>2009</v>
      </c>
      <c r="O1285" s="11" t="n"/>
      <c r="P1285" s="11" t="n"/>
      <c r="Q1285" s="11" t="n"/>
      <c r="R1285" s="2" t="n"/>
      <c r="S1285" s="2" t="n"/>
      <c r="T1285" s="11" t="inlineStr">
        <is>
          <t>yes</t>
        </is>
      </c>
      <c r="U1285" s="11" t="inlineStr"/>
      <c r="V1285" s="11" t="inlineStr">
        <is>
          <t>outside_list</t>
        </is>
      </c>
      <c r="W1285" s="11" t="n"/>
      <c r="X1285" s="11" t="n"/>
      <c r="Y1285" s="11" t="n"/>
      <c r="Z1285" s="11" t="inlineStr">
        <is>
          <t>Mr. Advocate</t>
        </is>
      </c>
      <c r="AA1285" s="11" t="inlineStr">
        <is>
          <t>2026-10-07</t>
        </is>
      </c>
      <c r="AB1285" s="11" t="inlineStr">
        <is>
          <t>name_year</t>
        </is>
      </c>
      <c r="AC1285" s="2" t="inlineStr"/>
      <c r="AD1285" s="2" t="inlineStr">
        <is>
          <t>Sheo Lal and Another v. State of U.P. (2000) was reversed on appeal by the Supreme Court in State of U.P. v. Sheo Lal and Others (2009).</t>
        </is>
      </c>
      <c r="AE1285" s="2" t="n"/>
      <c r="AF1285" s="11" t="inlineStr">
        <is>
          <t>created from list 1</t>
        </is>
      </c>
    </row>
    <row r="1286">
      <c r="A1286" s="11" t="inlineStr">
        <is>
          <t>L1-1285</t>
        </is>
      </c>
      <c r="B1286" s="11" t="inlineStr">
        <is>
          <t>List 1 (to ~2015)</t>
        </is>
      </c>
      <c r="C1286" s="11" t="inlineStr">
        <is>
          <t>list1</t>
        </is>
      </c>
      <c r="D1286" s="11" t="inlineStr">
        <is>
          <t>verified</t>
        </is>
      </c>
      <c r="E1286" s="11" t="inlineStr">
        <is>
          <t>reversed_on_appeal</t>
        </is>
      </c>
      <c r="F1286" s="2" t="inlineStr">
        <is>
          <t>Ravinder Singh v. State of H.P. and Others</t>
        </is>
      </c>
      <c r="G1286" s="11" t="inlineStr"/>
      <c r="H1286" s="11" t="inlineStr">
        <is>
          <t>unknown</t>
        </is>
      </c>
      <c r="I1286" s="2" t="inlineStr">
        <is>
          <t>(2006) 3 ShimLC 186</t>
        </is>
      </c>
      <c r="J1286" s="11" t="n">
        <v>2006</v>
      </c>
      <c r="K1286" s="2" t="inlineStr">
        <is>
          <t>State of Himachal Pradesh and Another v. Ravinder Singh</t>
        </is>
      </c>
      <c r="L1286" s="11" t="inlineStr">
        <is>
          <t>unknown</t>
        </is>
      </c>
      <c r="M1286" s="2" t="inlineStr">
        <is>
          <t>(2008) 4 JT 420; (2008) 2 LLJ 1028; (2008) 4 SCALE 834; (2008) 12 SCC 286; (2009) 1 SCC(L&amp;S) 221; (2008) 1 UJ 563; (2009) AIRSCW 452; (2008) 2 Supreme 740</t>
        </is>
      </c>
      <c r="N1286" s="11" t="n">
        <v>2008</v>
      </c>
      <c r="O1286" s="11" t="n"/>
      <c r="P1286" s="11" t="n"/>
      <c r="Q1286" s="11" t="n"/>
      <c r="R1286" s="2" t="n"/>
      <c r="S1286" s="2" t="n"/>
      <c r="T1286" s="11" t="inlineStr">
        <is>
          <t>yes</t>
        </is>
      </c>
      <c r="U1286" s="11" t="inlineStr"/>
      <c r="V1286" s="11" t="inlineStr">
        <is>
          <t>outside_list</t>
        </is>
      </c>
      <c r="W1286" s="11" t="n"/>
      <c r="X1286" s="11" t="n"/>
      <c r="Y1286" s="11" t="n"/>
      <c r="Z1286" s="11" t="inlineStr">
        <is>
          <t>Mr. Advocate</t>
        </is>
      </c>
      <c r="AA1286" s="11" t="inlineStr">
        <is>
          <t>2026-10-07</t>
        </is>
      </c>
      <c r="AB1286" s="11" t="inlineStr">
        <is>
          <t>name_year</t>
        </is>
      </c>
      <c r="AC1286" s="2" t="inlineStr"/>
      <c r="AD1286" s="2" t="inlineStr">
        <is>
          <t>Ravinder Singh v. State of H.P. and Others (2006) was reversed on appeal by the Supreme Court in State of Himachal Pradesh and Another v. Ravinder Singh (2008).</t>
        </is>
      </c>
      <c r="AE1286" s="2" t="n"/>
      <c r="AF1286" s="11" t="inlineStr">
        <is>
          <t>created from list 1</t>
        </is>
      </c>
    </row>
    <row r="1287">
      <c r="A1287" s="11" t="inlineStr">
        <is>
          <t>L1-1286</t>
        </is>
      </c>
      <c r="B1287" s="11" t="inlineStr">
        <is>
          <t>List 1 (to ~2015)</t>
        </is>
      </c>
      <c r="C1287" s="11" t="inlineStr">
        <is>
          <t>list1</t>
        </is>
      </c>
      <c r="D1287" s="11" t="inlineStr">
        <is>
          <t>verified</t>
        </is>
      </c>
      <c r="E1287" s="11" t="inlineStr">
        <is>
          <t>overruled</t>
        </is>
      </c>
      <c r="F1287" s="2" t="inlineStr">
        <is>
          <t>United India Insurance Co. Ltd., Chandigarh v. Tilak Ram and Others</t>
        </is>
      </c>
      <c r="G1287" s="11" t="inlineStr"/>
      <c r="H1287" s="11" t="inlineStr">
        <is>
          <t>Himachal Pradesh</t>
        </is>
      </c>
      <c r="I1287" s="2" t="inlineStr">
        <is>
          <t>(1985) 2 ACC 513; AIR 1986 HP 27; (1987) 61 CompCas 302</t>
        </is>
      </c>
      <c r="J1287" s="11" t="n">
        <v>1986</v>
      </c>
      <c r="K1287" s="2" t="inlineStr">
        <is>
          <t>New Indian Assurance Co. Ltd. v. Mandar Madhav Tambe and others</t>
        </is>
      </c>
      <c r="L1287" s="11" t="inlineStr">
        <is>
          <t>Supreme Court</t>
        </is>
      </c>
      <c r="M1287" s="2" t="inlineStr">
        <is>
          <t>(1996) ACJ 253; (1996) 1 AD 698; AIR 1996 SC 1150; (1996) 86 CompCas 199; (1996) 112 PLR 644; (1996) 1 SCALE 400; (1996) 2 SCC 328; (1995) 6 SCR 687 Supp; (1996) 1 UJ 302</t>
        </is>
      </c>
      <c r="N1287" s="11" t="n">
        <v>1996</v>
      </c>
      <c r="O1287" s="11" t="n"/>
      <c r="P1287" s="11" t="n"/>
      <c r="Q1287" s="11" t="n"/>
      <c r="R1287" s="2" t="n"/>
      <c r="S1287" s="2" t="n"/>
      <c r="T1287" s="11" t="inlineStr"/>
      <c r="U1287" s="11" t="inlineStr"/>
      <c r="V1287" s="11" t="inlineStr">
        <is>
          <t>outside_list</t>
        </is>
      </c>
      <c r="W1287" s="11" t="n"/>
      <c r="X1287" s="11" t="n"/>
      <c r="Y1287" s="11" t="n"/>
      <c r="Z1287" s="11" t="inlineStr">
        <is>
          <t>Mr. Advocate</t>
        </is>
      </c>
      <c r="AA1287" s="11" t="inlineStr">
        <is>
          <t>2026-10-07</t>
        </is>
      </c>
      <c r="AB1287" s="11" t="inlineStr">
        <is>
          <t>name_year</t>
        </is>
      </c>
      <c r="AC1287" s="2" t="inlineStr"/>
      <c r="AD1287" s="2" t="inlineStr">
        <is>
          <t>United India Insurance Co. Ltd., Chandigarh v. Tilak Ram and Others (1986) was overruled by New Indian Assurance Co. Ltd. v. Mandar Madhav Tambe and others (1996).</t>
        </is>
      </c>
      <c r="AE1287" s="2" t="n"/>
      <c r="AF1287" s="11" t="inlineStr">
        <is>
          <t>created from list 1</t>
        </is>
      </c>
    </row>
    <row r="1288">
      <c r="A1288" s="11" t="inlineStr">
        <is>
          <t>L1-1287</t>
        </is>
      </c>
      <c r="B1288" s="11" t="inlineStr">
        <is>
          <t>List 1 (to ~2015)</t>
        </is>
      </c>
      <c r="C1288" s="11" t="inlineStr">
        <is>
          <t>list1</t>
        </is>
      </c>
      <c r="D1288" s="11" t="inlineStr">
        <is>
          <t>verified</t>
        </is>
      </c>
      <c r="E1288" s="11" t="inlineStr">
        <is>
          <t>reversed_on_appeal</t>
        </is>
      </c>
      <c r="F1288" s="2" t="inlineStr">
        <is>
          <t>U.P. State Road Transport Corporation v. Nanhe Lal Kushwaha and Presiding Officer</t>
        </is>
      </c>
      <c r="G1288" s="11" t="inlineStr"/>
      <c r="H1288" s="11" t="inlineStr">
        <is>
          <t>unknown</t>
        </is>
      </c>
      <c r="I1288" s="2" t="inlineStr">
        <is>
          <t>(2008) 119 FLR 408</t>
        </is>
      </c>
      <c r="J1288" s="11" t="n">
        <v>2008</v>
      </c>
      <c r="K1288" s="2" t="inlineStr">
        <is>
          <t>U.P. State Road Transport Corporation v. Nanhe Lal Kushwaha</t>
        </is>
      </c>
      <c r="L1288" s="11" t="inlineStr">
        <is>
          <t>Supreme Court</t>
        </is>
      </c>
      <c r="M1288" s="2" t="inlineStr">
        <is>
          <t>(2009) 123 FLR 388; (2009) 12 JT 581; (2009) 4 LLJ 655; (2009) 11 SCALE 35; (2009) 8 SCC 772; (2009) 2 SCC(L&amp;S) 546; (2009) 13 SCR 331; (2010) 3 SLJ 173; (2009) 8 SLR 557</t>
        </is>
      </c>
      <c r="N1288" s="11" t="n">
        <v>2009</v>
      </c>
      <c r="O1288" s="11" t="n"/>
      <c r="P1288" s="11" t="n"/>
      <c r="Q1288" s="11" t="n"/>
      <c r="R1288" s="2" t="n"/>
      <c r="S1288" s="2" t="n"/>
      <c r="T1288" s="11" t="inlineStr">
        <is>
          <t>yes</t>
        </is>
      </c>
      <c r="U1288" s="11" t="inlineStr"/>
      <c r="V1288" s="11" t="inlineStr">
        <is>
          <t>outside_list</t>
        </is>
      </c>
      <c r="W1288" s="11" t="n"/>
      <c r="X1288" s="11" t="n"/>
      <c r="Y1288" s="11" t="n"/>
      <c r="Z1288" s="11" t="inlineStr">
        <is>
          <t>Mr. Advocate</t>
        </is>
      </c>
      <c r="AA1288" s="11" t="inlineStr">
        <is>
          <t>2026-10-07</t>
        </is>
      </c>
      <c r="AB1288" s="11" t="inlineStr">
        <is>
          <t>name_year</t>
        </is>
      </c>
      <c r="AC1288" s="2" t="inlineStr"/>
      <c r="AD1288" s="2" t="inlineStr">
        <is>
          <t>U.P. State Road Transport Corporation v. Nanhe Lal Kushwaha and Presiding Officer (2008) was reversed on appeal by the Supreme Court in U.P. State Road Transport Corporation v. Nanhe Lal Kushwaha (2009).</t>
        </is>
      </c>
      <c r="AE1288" s="2" t="n"/>
      <c r="AF1288" s="11" t="inlineStr">
        <is>
          <t>created from list 1</t>
        </is>
      </c>
    </row>
    <row r="1289">
      <c r="A1289" s="11" t="inlineStr">
        <is>
          <t>L1-1288</t>
        </is>
      </c>
      <c r="B1289" s="11" t="inlineStr">
        <is>
          <t>List 1 (to ~2015)</t>
        </is>
      </c>
      <c r="C1289" s="11" t="inlineStr">
        <is>
          <t>list1</t>
        </is>
      </c>
      <c r="D1289" s="11" t="inlineStr">
        <is>
          <t>verified</t>
        </is>
      </c>
      <c r="E1289" s="11" t="inlineStr">
        <is>
          <t>overruled</t>
        </is>
      </c>
      <c r="F1289" s="2" t="inlineStr">
        <is>
          <t>Tilak Singh v. Shashi Bijulwan and Others</t>
        </is>
      </c>
      <c r="G1289" s="11" t="inlineStr"/>
      <c r="H1289" s="11" t="inlineStr">
        <is>
          <t>unknown</t>
        </is>
      </c>
      <c r="I1289" s="2" t="inlineStr">
        <is>
          <t>(1998) 2 ACC 297; (1999) ACJ 661; (1998) 2 ShimLC 352</t>
        </is>
      </c>
      <c r="J1289" s="11" t="n">
        <v>1998</v>
      </c>
      <c r="K1289" s="2" t="inlineStr">
        <is>
          <t>United India Insurance Co. Ltd., Shimla v. Tilak Singh and Others</t>
        </is>
      </c>
      <c r="L1289" s="11" t="inlineStr">
        <is>
          <t>Supreme Court</t>
        </is>
      </c>
      <c r="M1289" s="2" t="inlineStr">
        <is>
          <t>(2006) 2 ACC 1; (2006) ACJ 1441; AIR 2006 SC 1576; (2006) 131 CompCas 163; (2006) 2 CTC 661; (2006) 4 JT 280; (2006) 143 PLR 297; (2006) 4 SCALE 67; (2006) 4 SCC 404; (2006) AIRSCW 1822; (2006) 3 Supreme 332</t>
        </is>
      </c>
      <c r="N1289" s="11" t="n">
        <v>2006</v>
      </c>
      <c r="O1289" s="11" t="n"/>
      <c r="P1289" s="11" t="n"/>
      <c r="Q1289" s="11" t="n"/>
      <c r="R1289" s="2" t="n"/>
      <c r="S1289" s="2" t="n"/>
      <c r="T1289" s="11" t="inlineStr"/>
      <c r="U1289" s="11" t="inlineStr"/>
      <c r="V1289" s="11" t="inlineStr">
        <is>
          <t>outside_list</t>
        </is>
      </c>
      <c r="W1289" s="11" t="n"/>
      <c r="X1289" s="11" t="n"/>
      <c r="Y1289" s="11" t="n"/>
      <c r="Z1289" s="11" t="inlineStr">
        <is>
          <t>Mr. Advocate</t>
        </is>
      </c>
      <c r="AA1289" s="11" t="inlineStr">
        <is>
          <t>2026-10-07</t>
        </is>
      </c>
      <c r="AB1289" s="11" t="inlineStr">
        <is>
          <t>name_year</t>
        </is>
      </c>
      <c r="AC1289" s="2" t="inlineStr"/>
      <c r="AD1289" s="2" t="inlineStr">
        <is>
          <t>Tilak Singh v. Shashi Bijulwan and Others (1998) was overruled by United India Insurance Co. Ltd., Shimla v. Tilak Singh and Others (2006).</t>
        </is>
      </c>
      <c r="AE1289" s="2" t="n"/>
      <c r="AF1289" s="11" t="inlineStr">
        <is>
          <t>created from list 1</t>
        </is>
      </c>
    </row>
    <row r="1290">
      <c r="A1290" s="11" t="inlineStr">
        <is>
          <t>L1-1289</t>
        </is>
      </c>
      <c r="B1290" s="11" t="inlineStr">
        <is>
          <t>List 1 (to ~2015)</t>
        </is>
      </c>
      <c r="C1290" s="11" t="inlineStr">
        <is>
          <t>list1</t>
        </is>
      </c>
      <c r="D1290" s="11" t="inlineStr">
        <is>
          <t>verified</t>
        </is>
      </c>
      <c r="E1290" s="11" t="inlineStr">
        <is>
          <t>overruled</t>
        </is>
      </c>
      <c r="F1290" s="2" t="inlineStr">
        <is>
          <t>Green World Corporation v. Income Tax Officer and Others</t>
        </is>
      </c>
      <c r="G1290" s="11" t="inlineStr"/>
      <c r="H1290" s="11" t="inlineStr">
        <is>
          <t>unknown</t>
        </is>
      </c>
      <c r="I1290" s="2" t="inlineStr">
        <is>
          <t>(2007) 1 ACC 441; (2007) ACJ 1472; (2006) 205 CTR 524; (2006) 285 ITR 118; (2006) 2 ShimLC 22; (2007) 159 TAXMAN 35</t>
        </is>
      </c>
      <c r="J1290" s="11" t="n">
        <v>2006</v>
      </c>
      <c r="K1290" s="2" t="inlineStr">
        <is>
          <t>Commissioner of Income Tax, Shimla v. Greenworld Corporation, Parwanoo</t>
        </is>
      </c>
      <c r="L1290" s="11" t="inlineStr">
        <is>
          <t>Supreme Court</t>
        </is>
      </c>
      <c r="M1290" s="2" t="inlineStr">
        <is>
          <t>(2009) 224 CTR 113; (2009) 314 ITR 81; (2009) 8 JT 429; (2009) 7 SCALE 721; (2009) 7 SCC 69; (2009) 8 SCR 175; (2009) 181 TAXMAN 111</t>
        </is>
      </c>
      <c r="N1290" s="11" t="n">
        <v>2009</v>
      </c>
      <c r="O1290" s="11" t="n"/>
      <c r="P1290" s="11" t="n"/>
      <c r="Q1290" s="11" t="n"/>
      <c r="R1290" s="2" t="n"/>
      <c r="S1290" s="2" t="n"/>
      <c r="T1290" s="11" t="inlineStr"/>
      <c r="U1290" s="11" t="inlineStr"/>
      <c r="V1290" s="11" t="inlineStr">
        <is>
          <t>outside_list</t>
        </is>
      </c>
      <c r="W1290" s="11" t="n"/>
      <c r="X1290" s="11" t="n"/>
      <c r="Y1290" s="11" t="n"/>
      <c r="Z1290" s="11" t="inlineStr">
        <is>
          <t>Mr. Advocate</t>
        </is>
      </c>
      <c r="AA1290" s="11" t="inlineStr">
        <is>
          <t>2026-10-07</t>
        </is>
      </c>
      <c r="AB1290" s="11" t="inlineStr">
        <is>
          <t>name_year</t>
        </is>
      </c>
      <c r="AC1290" s="2" t="inlineStr"/>
      <c r="AD1290" s="2" t="inlineStr">
        <is>
          <t>Green World Corporation v. Income Tax Officer and Others (2006) was overruled by Commissioner of Income Tax, Shimla v. Greenworld Corporation, Parwanoo (2009).</t>
        </is>
      </c>
      <c r="AE1290" s="2" t="n"/>
      <c r="AF1290" s="11" t="inlineStr">
        <is>
          <t>created from list 1</t>
        </is>
      </c>
    </row>
    <row r="1291">
      <c r="A1291" s="11" t="inlineStr">
        <is>
          <t>L1-1290</t>
        </is>
      </c>
      <c r="B1291" s="11" t="inlineStr">
        <is>
          <t>List 1 (to ~2015)</t>
        </is>
      </c>
      <c r="C1291" s="11" t="inlineStr">
        <is>
          <t>list1</t>
        </is>
      </c>
      <c r="D1291" s="11" t="inlineStr">
        <is>
          <t>verified</t>
        </is>
      </c>
      <c r="E1291" s="11" t="inlineStr">
        <is>
          <t>overruled</t>
        </is>
      </c>
      <c r="F1291" s="2" t="inlineStr">
        <is>
          <t>Punjab National Bank v. Surinder Singh Mandyal and Others</t>
        </is>
      </c>
      <c r="G1291" s="11" t="inlineStr"/>
      <c r="H1291" s="11" t="inlineStr">
        <is>
          <t>Himachal Pradesh</t>
        </is>
      </c>
      <c r="I1291" s="2" t="inlineStr">
        <is>
          <t>AIR 1996 HP 1</t>
        </is>
      </c>
      <c r="J1291" s="11" t="n">
        <v>1996</v>
      </c>
      <c r="K1291" s="2" t="inlineStr">
        <is>
          <t>Central Bank of India v. Ravindra and Others</t>
        </is>
      </c>
      <c r="L1291" s="11" t="inlineStr">
        <is>
          <t>Supreme Court</t>
        </is>
      </c>
      <c r="M1291" s="2" t="inlineStr">
        <is>
          <t>AIR 2001 SC 3095; (2001) 107 CompCas 416; (2001) 9 JT 101; (2001) 7 SCALE 351; (2002) 1 SCC 367; (2001) AIRSCW 4468; (2001) 7 Supreme 764</t>
        </is>
      </c>
      <c r="N1291" s="11" t="n">
        <v>2001</v>
      </c>
      <c r="O1291" s="11" t="n"/>
      <c r="P1291" s="11" t="n"/>
      <c r="Q1291" s="11" t="n"/>
      <c r="R1291" s="2" t="n"/>
      <c r="S1291" s="2" t="n"/>
      <c r="T1291" s="11" t="inlineStr"/>
      <c r="U1291" s="11" t="inlineStr"/>
      <c r="V1291" s="11" t="inlineStr">
        <is>
          <t>outside_list</t>
        </is>
      </c>
      <c r="W1291" s="11" t="n"/>
      <c r="X1291" s="11" t="n"/>
      <c r="Y1291" s="11" t="n"/>
      <c r="Z1291" s="11" t="inlineStr">
        <is>
          <t>Mr. Advocate</t>
        </is>
      </c>
      <c r="AA1291" s="11" t="inlineStr">
        <is>
          <t>2026-10-07</t>
        </is>
      </c>
      <c r="AB1291" s="11" t="inlineStr">
        <is>
          <t>name_year</t>
        </is>
      </c>
      <c r="AC1291" s="2" t="inlineStr"/>
      <c r="AD1291" s="2" t="inlineStr">
        <is>
          <t>Punjab National Bank v. Surinder Singh Mandyal and Others (1996) was overruled by Central Bank of India v. Ravindra and Others (2001).</t>
        </is>
      </c>
      <c r="AE1291" s="2" t="n"/>
      <c r="AF1291" s="11" t="inlineStr">
        <is>
          <t>created from list 1</t>
        </is>
      </c>
    </row>
    <row r="1292">
      <c r="A1292" s="11" t="inlineStr">
        <is>
          <t>L1-1291</t>
        </is>
      </c>
      <c r="B1292" s="11" t="inlineStr">
        <is>
          <t>List 1 (to ~2015)</t>
        </is>
      </c>
      <c r="C1292" s="11" t="inlineStr">
        <is>
          <t>list1</t>
        </is>
      </c>
      <c r="D1292" s="11" t="inlineStr">
        <is>
          <t>verified</t>
        </is>
      </c>
      <c r="E1292" s="11" t="inlineStr">
        <is>
          <t>reversed_on_appeal</t>
        </is>
      </c>
      <c r="F1292" s="2" t="inlineStr">
        <is>
          <t>Jai Bhagawan Oil and Flour Mills v. Union of India (UOI) and Others</t>
        </is>
      </c>
      <c r="G1292" s="11" t="inlineStr"/>
      <c r="H1292" s="11" t="inlineStr">
        <is>
          <t>unknown</t>
        </is>
      </c>
      <c r="I1292" s="2" t="inlineStr">
        <is>
          <t>(2007) 1 GLR 639; (2006) GLT 563 Supp</t>
        </is>
      </c>
      <c r="J1292" s="11" t="n">
        <v>2006</v>
      </c>
      <c r="K1292" s="2" t="inlineStr">
        <is>
          <t>Jai Bhagwan Oil and Flour Mills v. Union of India (UOI) and Others</t>
        </is>
      </c>
      <c r="L1292" s="11" t="inlineStr">
        <is>
          <t>Supreme Court</t>
        </is>
      </c>
      <c r="M1292" s="2" t="inlineStr">
        <is>
          <t>(2009) 239 ELT 401; (2009) 13 JT 631; (2009) 9 SCALE 12; (2009) 14 SCC 63; (2009) 7 SCR 409</t>
        </is>
      </c>
      <c r="N1292" s="11" t="n">
        <v>2009</v>
      </c>
      <c r="O1292" s="11" t="n"/>
      <c r="P1292" s="11" t="n"/>
      <c r="Q1292" s="11" t="n"/>
      <c r="R1292" s="2" t="n"/>
      <c r="S1292" s="2" t="n"/>
      <c r="T1292" s="11" t="inlineStr">
        <is>
          <t>yes</t>
        </is>
      </c>
      <c r="U1292" s="11" t="inlineStr"/>
      <c r="V1292" s="11" t="inlineStr">
        <is>
          <t>outside_list</t>
        </is>
      </c>
      <c r="W1292" s="11" t="n"/>
      <c r="X1292" s="11" t="n"/>
      <c r="Y1292" s="11" t="n"/>
      <c r="Z1292" s="11" t="inlineStr">
        <is>
          <t>Mr. Advocate</t>
        </is>
      </c>
      <c r="AA1292" s="11" t="inlineStr">
        <is>
          <t>2026-10-07</t>
        </is>
      </c>
      <c r="AB1292" s="11" t="inlineStr">
        <is>
          <t>name_year</t>
        </is>
      </c>
      <c r="AC1292" s="2" t="inlineStr"/>
      <c r="AD1292" s="2" t="inlineStr">
        <is>
          <t>Jai Bhagawan Oil and Flour Mills v. Union of India (UOI) and Others (2006) was reversed on appeal by the Supreme Court in Jai Bhagwan Oil and Flour Mills v. Union of India (UOI) and Others (2009).</t>
        </is>
      </c>
      <c r="AE1292" s="2" t="n"/>
      <c r="AF1292" s="11" t="inlineStr">
        <is>
          <t>created from list 1</t>
        </is>
      </c>
    </row>
    <row r="1293">
      <c r="A1293" s="11" t="inlineStr">
        <is>
          <t>L1-1292</t>
        </is>
      </c>
      <c r="B1293" s="11" t="inlineStr">
        <is>
          <t>List 1 (to ~2015)</t>
        </is>
      </c>
      <c r="C1293" s="11" t="inlineStr">
        <is>
          <t>list1</t>
        </is>
      </c>
      <c r="D1293" s="11" t="inlineStr">
        <is>
          <t>verified</t>
        </is>
      </c>
      <c r="E1293" s="11" t="inlineStr">
        <is>
          <t>overruled</t>
        </is>
      </c>
      <c r="F1293" s="2" t="inlineStr">
        <is>
          <t>Arun Kanungo and Others v. D. Pakyntein and Others</t>
        </is>
      </c>
      <c r="G1293" s="11" t="inlineStr"/>
      <c r="H1293" s="11" t="inlineStr">
        <is>
          <t>unknown</t>
        </is>
      </c>
      <c r="I1293" s="2" t="inlineStr">
        <is>
          <t>(2008) 2 GLT 168</t>
        </is>
      </c>
      <c r="J1293" s="11" t="n">
        <v>2008</v>
      </c>
      <c r="K1293" s="2" t="inlineStr">
        <is>
          <t>Raju Premji v. Customs NER Shillong Unit</t>
        </is>
      </c>
      <c r="L1293" s="11" t="inlineStr">
        <is>
          <t>unknown</t>
        </is>
      </c>
      <c r="M1293" s="2" t="inlineStr">
        <is>
          <t>(2009) CLT 1200; (2009) CriLJ 3972; (2009) 8 JT 193; (2009) 7 SCALE 568; (2009) 16 SCC 496; (2009) 7 SCR 839; (2009) AIRSCW 4228; (2009) 4 Supreme 723</t>
        </is>
      </c>
      <c r="N1293" s="11" t="n">
        <v>2009</v>
      </c>
      <c r="O1293" s="11" t="n"/>
      <c r="P1293" s="11" t="n"/>
      <c r="Q1293" s="11" t="n"/>
      <c r="R1293" s="2" t="n"/>
      <c r="S1293" s="2" t="n"/>
      <c r="T1293" s="11" t="inlineStr"/>
      <c r="U1293" s="11" t="inlineStr"/>
      <c r="V1293" s="11" t="inlineStr">
        <is>
          <t>outside_list</t>
        </is>
      </c>
      <c r="W1293" s="11" t="n"/>
      <c r="X1293" s="11" t="n"/>
      <c r="Y1293" s="11" t="n"/>
      <c r="Z1293" s="11" t="inlineStr">
        <is>
          <t>Mr. Advocate</t>
        </is>
      </c>
      <c r="AA1293" s="11" t="inlineStr">
        <is>
          <t>2026-10-07</t>
        </is>
      </c>
      <c r="AB1293" s="11" t="inlineStr">
        <is>
          <t>name_year</t>
        </is>
      </c>
      <c r="AC1293" s="2" t="inlineStr"/>
      <c r="AD1293" s="2" t="inlineStr">
        <is>
          <t>Arun Kanungo and Others v. D. Pakyntein and Others (2008) was overruled by Raju Premji v. Customs NER Shillong Unit (2009).</t>
        </is>
      </c>
      <c r="AE1293" s="2" t="n"/>
      <c r="AF1293" s="11" t="inlineStr">
        <is>
          <t>created from list 1</t>
        </is>
      </c>
    </row>
    <row r="1294">
      <c r="A1294" s="11" t="inlineStr">
        <is>
          <t>L1-1293</t>
        </is>
      </c>
      <c r="B1294" s="11" t="inlineStr">
        <is>
          <t>List 1 (to ~2015)</t>
        </is>
      </c>
      <c r="C1294" s="11" t="inlineStr">
        <is>
          <t>list1</t>
        </is>
      </c>
      <c r="D1294" s="11" t="inlineStr">
        <is>
          <t>verified</t>
        </is>
      </c>
      <c r="E1294" s="11" t="inlineStr">
        <is>
          <t>overruled</t>
        </is>
      </c>
      <c r="F1294" s="2" t="inlineStr">
        <is>
          <t>Arunachal Forests Products Ltd. v. Union of India (UOI)</t>
        </is>
      </c>
      <c r="G1294" s="11" t="inlineStr"/>
      <c r="H1294" s="11" t="inlineStr">
        <is>
          <t>unknown</t>
        </is>
      </c>
      <c r="I1294" s="2" t="inlineStr">
        <is>
          <t>(1993) 66 ELT 345</t>
        </is>
      </c>
      <c r="J1294" s="11" t="n">
        <v>1993</v>
      </c>
      <c r="K1294" s="2" t="inlineStr">
        <is>
          <t>Collector of Central Excise, Shillong v. Wood Craft Products Ltd.</t>
        </is>
      </c>
      <c r="L1294" s="11" t="inlineStr">
        <is>
          <t>Supreme Court</t>
        </is>
      </c>
      <c r="M1294" s="2" t="inlineStr">
        <is>
          <t>(1995) 50 ECC 122; (1995) ECR 417; (1995) 77 ELT 23; (1995) 3 JT 207; (1995) 2 SCALE 364; (1995) 3 SCC 454; (1995) 2 SCR 797</t>
        </is>
      </c>
      <c r="N1294" s="11" t="n">
        <v>1995</v>
      </c>
      <c r="O1294" s="11" t="n"/>
      <c r="P1294" s="11" t="n"/>
      <c r="Q1294" s="11" t="n"/>
      <c r="R1294" s="2" t="n"/>
      <c r="S1294" s="2" t="n"/>
      <c r="T1294" s="11" t="inlineStr"/>
      <c r="U1294" s="11" t="inlineStr"/>
      <c r="V1294" s="11" t="inlineStr">
        <is>
          <t>outside_list</t>
        </is>
      </c>
      <c r="W1294" s="11" t="n"/>
      <c r="X1294" s="11" t="n"/>
      <c r="Y1294" s="11" t="n"/>
      <c r="Z1294" s="11" t="inlineStr">
        <is>
          <t>Mr. Advocate</t>
        </is>
      </c>
      <c r="AA1294" s="11" t="inlineStr">
        <is>
          <t>2026-10-07</t>
        </is>
      </c>
      <c r="AB1294" s="11" t="inlineStr">
        <is>
          <t>name_year</t>
        </is>
      </c>
      <c r="AC1294" s="2" t="inlineStr"/>
      <c r="AD1294" s="2" t="inlineStr">
        <is>
          <t>Arunachal Forests Products Ltd. v. Union of India (UOI) (1993) was overruled by Collector of Central Excise, Shillong v. Wood Craft Products Ltd. (1995).</t>
        </is>
      </c>
      <c r="AE1294" s="2" t="n"/>
      <c r="AF1294" s="11" t="inlineStr">
        <is>
          <t>created from list 1</t>
        </is>
      </c>
    </row>
    <row r="1295">
      <c r="A1295" s="11" t="inlineStr">
        <is>
          <t>L1-1294</t>
        </is>
      </c>
      <c r="B1295" s="11" t="inlineStr">
        <is>
          <t>List 1 (to ~2015)</t>
        </is>
      </c>
      <c r="C1295" s="11" t="inlineStr">
        <is>
          <t>list1</t>
        </is>
      </c>
      <c r="D1295" s="11" t="inlineStr">
        <is>
          <t>verified</t>
        </is>
      </c>
      <c r="E1295" s="11" t="inlineStr">
        <is>
          <t>reversed_on_appeal</t>
        </is>
      </c>
      <c r="F1295" s="2" t="inlineStr">
        <is>
          <t>Usha Rajkhowa and Others v. Paramount Industries and Others</t>
        </is>
      </c>
      <c r="G1295" s="11" t="inlineStr"/>
      <c r="H1295" s="11" t="inlineStr">
        <is>
          <t>unknown</t>
        </is>
      </c>
      <c r="I1295" s="2" t="inlineStr">
        <is>
          <t>(2009) ACJ 1295; (2008) 1 GLT 949</t>
        </is>
      </c>
      <c r="J1295" s="11" t="n">
        <v>2008</v>
      </c>
      <c r="K1295" s="2" t="inlineStr">
        <is>
          <t>Usha Rajkhowa and Others v. Paramount Industries and Others</t>
        </is>
      </c>
      <c r="L1295" s="11" t="inlineStr">
        <is>
          <t>Supreme Court</t>
        </is>
      </c>
      <c r="M1295" s="2" t="inlineStr">
        <is>
          <t>(2009) ACJ 1314; AIR 2009 SC 1951; (2009) CLT 721; (2009) 2 JT 512; (2009) 14 SCC 71; (2009) 3 SCR 520; (2009) AIRSCW 1576; (2009) 1 Supreme 787</t>
        </is>
      </c>
      <c r="N1295" s="11" t="n">
        <v>2009</v>
      </c>
      <c r="O1295" s="11" t="n"/>
      <c r="P1295" s="11" t="n"/>
      <c r="Q1295" s="11" t="n"/>
      <c r="R1295" s="2" t="n"/>
      <c r="S1295" s="2" t="n"/>
      <c r="T1295" s="11" t="inlineStr">
        <is>
          <t>yes</t>
        </is>
      </c>
      <c r="U1295" s="11" t="inlineStr"/>
      <c r="V1295" s="11" t="inlineStr">
        <is>
          <t>outside_list</t>
        </is>
      </c>
      <c r="W1295" s="11" t="n"/>
      <c r="X1295" s="11" t="n"/>
      <c r="Y1295" s="11" t="n"/>
      <c r="Z1295" s="11" t="inlineStr">
        <is>
          <t>Mr. Advocate</t>
        </is>
      </c>
      <c r="AA1295" s="11" t="inlineStr">
        <is>
          <t>2026-10-07</t>
        </is>
      </c>
      <c r="AB1295" s="11" t="inlineStr">
        <is>
          <t>name_year</t>
        </is>
      </c>
      <c r="AC1295" s="2" t="inlineStr"/>
      <c r="AD1295" s="2" t="inlineStr">
        <is>
          <t>Usha Rajkhowa and Others v. Paramount Industries and Others (2008) was reversed on appeal by the Supreme Court in Usha Rajkhowa and Others v. Paramount Industries and Others (2009).</t>
        </is>
      </c>
      <c r="AE1295" s="2" t="n"/>
      <c r="AF1295" s="11" t="inlineStr">
        <is>
          <t>created from list 1</t>
        </is>
      </c>
    </row>
    <row r="1296">
      <c r="A1296" s="11" t="inlineStr">
        <is>
          <t>L1-1295</t>
        </is>
      </c>
      <c r="B1296" s="11" t="inlineStr">
        <is>
          <t>List 1 (to ~2015)</t>
        </is>
      </c>
      <c r="C1296" s="11" t="inlineStr">
        <is>
          <t>list1</t>
        </is>
      </c>
      <c r="D1296" s="11" t="inlineStr">
        <is>
          <t>verified</t>
        </is>
      </c>
      <c r="E1296" s="11" t="inlineStr">
        <is>
          <t>overruled</t>
        </is>
      </c>
      <c r="F1296" s="2" t="inlineStr">
        <is>
          <t>Assam Frontier Veneer and Saw Mills v. Commissioner of Income Tax</t>
        </is>
      </c>
      <c r="G1296" s="11" t="inlineStr"/>
      <c r="H1296" s="11" t="inlineStr">
        <is>
          <t>unknown</t>
        </is>
      </c>
      <c r="I1296" s="2" t="inlineStr">
        <is>
          <t>(1976) 104 ITR 479</t>
        </is>
      </c>
      <c r="J1296" s="11" t="n">
        <v>1976</v>
      </c>
      <c r="K1296" s="2" t="inlineStr">
        <is>
          <t>Commissioner of Income Tax, Jullundur v. Ajanta Electricals, Punjab</t>
        </is>
      </c>
      <c r="L1296" s="11" t="inlineStr">
        <is>
          <t>Supreme Court</t>
        </is>
      </c>
      <c r="M1296" s="2" t="inlineStr">
        <is>
          <t>AIR 1995 SC 2172; (1995) 126 CTR 144; (1995) 215 ITR 114; (1995) 7 JT 429; (1995) 3 SCALE 337; (1995) 4 SCC 182; (1995) 3 SCR 1083</t>
        </is>
      </c>
      <c r="N1296" s="11" t="n">
        <v>1995</v>
      </c>
      <c r="O1296" s="11" t="n"/>
      <c r="P1296" s="11" t="n"/>
      <c r="Q1296" s="11" t="n"/>
      <c r="R1296" s="2" t="n"/>
      <c r="S1296" s="2" t="n"/>
      <c r="T1296" s="11" t="inlineStr"/>
      <c r="U1296" s="11" t="inlineStr"/>
      <c r="V1296" s="11" t="inlineStr">
        <is>
          <t>outside_list</t>
        </is>
      </c>
      <c r="W1296" s="11" t="n"/>
      <c r="X1296" s="11" t="n"/>
      <c r="Y1296" s="11" t="n"/>
      <c r="Z1296" s="11" t="inlineStr">
        <is>
          <t>Mr. Advocate</t>
        </is>
      </c>
      <c r="AA1296" s="11" t="inlineStr">
        <is>
          <t>2026-10-07</t>
        </is>
      </c>
      <c r="AB1296" s="11" t="inlineStr">
        <is>
          <t>name_year</t>
        </is>
      </c>
      <c r="AC1296" s="2" t="inlineStr"/>
      <c r="AD1296" s="2" t="inlineStr">
        <is>
          <t>Assam Frontier Veneer and Saw Mills v. Commissioner of Income Tax (1976) was overruled by Commissioner of Income Tax, Jullundur v. Ajanta Electricals, Punjab (1995).</t>
        </is>
      </c>
      <c r="AE1296" s="2" t="n"/>
      <c r="AF1296" s="11" t="inlineStr">
        <is>
          <t>created from list 1</t>
        </is>
      </c>
    </row>
    <row r="1297">
      <c r="A1297" s="11" t="inlineStr">
        <is>
          <t>L1-1296</t>
        </is>
      </c>
      <c r="B1297" s="11" t="inlineStr">
        <is>
          <t>List 1 (to ~2015)</t>
        </is>
      </c>
      <c r="C1297" s="11" t="inlineStr">
        <is>
          <t>list1</t>
        </is>
      </c>
      <c r="D1297" s="11" t="inlineStr">
        <is>
          <t>verified</t>
        </is>
      </c>
      <c r="E1297" s="11" t="inlineStr">
        <is>
          <t>reversed_on_appeal</t>
        </is>
      </c>
      <c r="F1297" s="2" t="inlineStr">
        <is>
          <t>Union of India (UOI) and Others v. Vartak Labour Union</t>
        </is>
      </c>
      <c r="G1297" s="11" t="inlineStr"/>
      <c r="H1297" s="11" t="inlineStr">
        <is>
          <t>unknown</t>
        </is>
      </c>
      <c r="I1297" s="2" t="inlineStr">
        <is>
          <t>(2001) 1 GLT 510; (2001) 2 LLJ 437</t>
        </is>
      </c>
      <c r="J1297" s="11" t="n">
        <v>2001</v>
      </c>
      <c r="K1297" s="2" t="inlineStr">
        <is>
          <t>Union of India (UOI) and Others v. Vartak Labour Union</t>
        </is>
      </c>
      <c r="L1297" s="11" t="inlineStr">
        <is>
          <t>unknown</t>
        </is>
      </c>
      <c r="M1297" s="2" t="inlineStr">
        <is>
          <t>(2011) 129 FLR 500; (2011) 3 JT 110; (2011) 2 LLJ 295; (2011) LLR 337; (2011) 3 SCALE 246; (2011) 4 SCC 200; (2011) 4 SCR 509; (2011) 2 UJ 943; (2011) AIRSCW 1786; (2011) AIRSCW 2685; (2011) 2 Supreme 238</t>
        </is>
      </c>
      <c r="N1297" s="11" t="n">
        <v>2011</v>
      </c>
      <c r="O1297" s="11" t="n"/>
      <c r="P1297" s="11" t="n"/>
      <c r="Q1297" s="11" t="n"/>
      <c r="R1297" s="2" t="n"/>
      <c r="S1297" s="2" t="n"/>
      <c r="T1297" s="11" t="inlineStr">
        <is>
          <t>yes</t>
        </is>
      </c>
      <c r="U1297" s="11" t="inlineStr"/>
      <c r="V1297" s="11" t="inlineStr">
        <is>
          <t>outside_list</t>
        </is>
      </c>
      <c r="W1297" s="11" t="n"/>
      <c r="X1297" s="11" t="n"/>
      <c r="Y1297" s="11" t="n"/>
      <c r="Z1297" s="11" t="inlineStr">
        <is>
          <t>Mr. Advocate</t>
        </is>
      </c>
      <c r="AA1297" s="11" t="inlineStr">
        <is>
          <t>2026-10-07</t>
        </is>
      </c>
      <c r="AB1297" s="11" t="inlineStr">
        <is>
          <t>name_year</t>
        </is>
      </c>
      <c r="AC1297" s="2" t="inlineStr"/>
      <c r="AD1297" s="2" t="inlineStr">
        <is>
          <t>Union of India (UOI) and Others v. Vartak Labour Union (2001) was reversed on appeal by the Supreme Court in Union of India (UOI) and Others v. Vartak Labour Union (2011).</t>
        </is>
      </c>
      <c r="AE1297" s="2" t="n"/>
      <c r="AF1297" s="11" t="inlineStr">
        <is>
          <t>created from list 1</t>
        </is>
      </c>
    </row>
    <row r="1298">
      <c r="A1298" s="11" t="inlineStr">
        <is>
          <t>L1-1297</t>
        </is>
      </c>
      <c r="B1298" s="11" t="inlineStr">
        <is>
          <t>List 1 (to ~2015)</t>
        </is>
      </c>
      <c r="C1298" s="11" t="inlineStr">
        <is>
          <t>list1</t>
        </is>
      </c>
      <c r="D1298" s="11" t="inlineStr">
        <is>
          <t>verified</t>
        </is>
      </c>
      <c r="E1298" s="11" t="inlineStr">
        <is>
          <t>overruled</t>
        </is>
      </c>
      <c r="F1298" s="2" t="inlineStr">
        <is>
          <t>Doom Dooma Tea Co. Ltd. v. Commissioner of Income Tax</t>
        </is>
      </c>
      <c r="G1298" s="11" t="inlineStr"/>
      <c r="H1298" s="11" t="inlineStr">
        <is>
          <t>unknown</t>
        </is>
      </c>
      <c r="I1298" s="2" t="inlineStr">
        <is>
          <t>(1989) 78 CTR 10; (1989) 180 ITR 126</t>
        </is>
      </c>
      <c r="J1298" s="11" t="n">
        <v>1989</v>
      </c>
      <c r="K1298" s="2" t="inlineStr">
        <is>
          <t>Smith Kline and French (India) Ltd. and Others v. Commissioner of Income Tax</t>
        </is>
      </c>
      <c r="L1298" s="11" t="inlineStr">
        <is>
          <t>Supreme Court</t>
        </is>
      </c>
      <c r="M1298" s="2" t="inlineStr">
        <is>
          <t>(1996) 4 AD 22; (1996) 132 CTR 500; (1996) 219 ITR 581; (1996) 4 JT 231; (1996) 3 SCALE 562; (1996) 8 SCC 579; (1996) 1 SCR 385 Supp; (1996) 85 TAXMAN 683</t>
        </is>
      </c>
      <c r="N1298" s="11" t="n">
        <v>1996</v>
      </c>
      <c r="O1298" s="11" t="n"/>
      <c r="P1298" s="11" t="n"/>
      <c r="Q1298" s="11" t="n"/>
      <c r="R1298" s="2" t="n"/>
      <c r="S1298" s="2" t="n"/>
      <c r="T1298" s="11" t="inlineStr"/>
      <c r="U1298" s="11" t="inlineStr"/>
      <c r="V1298" s="11" t="inlineStr">
        <is>
          <t>outside_list</t>
        </is>
      </c>
      <c r="W1298" s="11" t="n"/>
      <c r="X1298" s="11" t="n"/>
      <c r="Y1298" s="11" t="n"/>
      <c r="Z1298" s="11" t="inlineStr">
        <is>
          <t>Mr. Advocate</t>
        </is>
      </c>
      <c r="AA1298" s="11" t="inlineStr">
        <is>
          <t>2026-10-07</t>
        </is>
      </c>
      <c r="AB1298" s="11" t="inlineStr">
        <is>
          <t>name_year</t>
        </is>
      </c>
      <c r="AC1298" s="2" t="inlineStr"/>
      <c r="AD1298" s="2" t="inlineStr">
        <is>
          <t>Doom Dooma Tea Co. Ltd. v. Commissioner of Income Tax (1989) was overruled by Smith Kline and French (India) Ltd. and Others v. Commissioner of Income Tax (1996).</t>
        </is>
      </c>
      <c r="AE1298" s="2" t="n"/>
      <c r="AF1298" s="11" t="inlineStr">
        <is>
          <t>created from list 1</t>
        </is>
      </c>
    </row>
    <row r="1299">
      <c r="A1299" s="11" t="inlineStr">
        <is>
          <t>L1-1298</t>
        </is>
      </c>
      <c r="B1299" s="11" t="inlineStr">
        <is>
          <t>List 1 (to ~2015)</t>
        </is>
      </c>
      <c r="C1299" s="11" t="inlineStr">
        <is>
          <t>list1</t>
        </is>
      </c>
      <c r="D1299" s="11" t="inlineStr">
        <is>
          <t>verified</t>
        </is>
      </c>
      <c r="E1299" s="11" t="inlineStr">
        <is>
          <t>overruled</t>
        </is>
      </c>
      <c r="F1299" s="2" t="inlineStr">
        <is>
          <t>Commissioner of Income Tax v. Hardware Exchange</t>
        </is>
      </c>
      <c r="G1299" s="11" t="inlineStr"/>
      <c r="H1299" s="11" t="inlineStr">
        <is>
          <t>unknown</t>
        </is>
      </c>
      <c r="I1299" s="2" t="inlineStr">
        <is>
          <t>(1991) 95 CTR 183; (1991) 190 ITR 61</t>
        </is>
      </c>
      <c r="J1299" s="11" t="n">
        <v>1991</v>
      </c>
      <c r="K1299" s="2" t="inlineStr">
        <is>
          <t>M/s. Attar Singh Gurmukh Singh, etc. v. Income Tax Officer, Ludhiana</t>
        </is>
      </c>
      <c r="L1299" s="11" t="inlineStr">
        <is>
          <t>unknown</t>
        </is>
      </c>
      <c r="M1299" s="2" t="inlineStr">
        <is>
          <t>(1991) 3 CompLJ 58(1)</t>
        </is>
      </c>
      <c r="N1299" s="11" t="n">
        <v>1991</v>
      </c>
      <c r="O1299" s="11" t="n"/>
      <c r="P1299" s="11" t="n"/>
      <c r="Q1299" s="11" t="n"/>
      <c r="R1299" s="2" t="n"/>
      <c r="S1299" s="2" t="n"/>
      <c r="T1299" s="11" t="inlineStr"/>
      <c r="U1299" s="11" t="inlineStr"/>
      <c r="V1299" s="11" t="inlineStr">
        <is>
          <t>outside_list</t>
        </is>
      </c>
      <c r="W1299" s="11" t="n"/>
      <c r="X1299" s="11" t="n"/>
      <c r="Y1299" s="11" t="n"/>
      <c r="Z1299" s="11" t="inlineStr">
        <is>
          <t>Mr. Advocate</t>
        </is>
      </c>
      <c r="AA1299" s="11" t="inlineStr">
        <is>
          <t>2026-10-07</t>
        </is>
      </c>
      <c r="AB1299" s="11" t="inlineStr">
        <is>
          <t>name_year</t>
        </is>
      </c>
      <c r="AC1299" s="2" t="inlineStr"/>
      <c r="AD1299" s="2" t="inlineStr">
        <is>
          <t>Commissioner of Income Tax v. Hardware Exchange (1991) was overruled by M/s. Attar Singh Gurmukh Singh, etc. v. Income Tax Officer, Ludhiana (1991).</t>
        </is>
      </c>
      <c r="AE1299" s="2" t="n"/>
      <c r="AF1299" s="11" t="inlineStr">
        <is>
          <t>created from list 1</t>
        </is>
      </c>
    </row>
    <row r="1300">
      <c r="A1300" s="11" t="inlineStr">
        <is>
          <t>L1-1299</t>
        </is>
      </c>
      <c r="B1300" s="11" t="inlineStr">
        <is>
          <t>List 1 (to ~2015)</t>
        </is>
      </c>
      <c r="C1300" s="11" t="inlineStr">
        <is>
          <t>list1</t>
        </is>
      </c>
      <c r="D1300" s="11" t="inlineStr">
        <is>
          <t>verified</t>
        </is>
      </c>
      <c r="E1300" s="11" t="inlineStr">
        <is>
          <t>overruled</t>
        </is>
      </c>
      <c r="F1300" s="2" t="inlineStr">
        <is>
          <t>Chiranjitlal Anand v. The State of Assam and Another</t>
        </is>
      </c>
      <c r="G1300" s="11" t="inlineStr"/>
      <c r="H1300" s="11" t="inlineStr">
        <is>
          <t>unknown</t>
        </is>
      </c>
      <c r="I1300" s="2" t="inlineStr">
        <is>
          <t>(1975) 35 STC 442</t>
        </is>
      </c>
      <c r="J1300" s="11" t="n">
        <v>1975</v>
      </c>
      <c r="K1300" s="2" t="inlineStr">
        <is>
          <t>Chiranjit Lal Anand v. State of Assam and Another</t>
        </is>
      </c>
      <c r="L1300" s="11" t="inlineStr">
        <is>
          <t>Supreme Court</t>
        </is>
      </c>
      <c r="M1300" s="2" t="inlineStr">
        <is>
          <t>AIR 1985 SC 1387; (1985) 2 SCALE 113; (1985) SCC 392 Supp; (1985) 2 SCR 385 Supp; (1985) 60 STC 89; (1985) 17 UJ 956</t>
        </is>
      </c>
      <c r="N1300" s="11" t="n">
        <v>1985</v>
      </c>
      <c r="O1300" s="11" t="n"/>
      <c r="P1300" s="11" t="n"/>
      <c r="Q1300" s="11" t="n"/>
      <c r="R1300" s="2" t="n"/>
      <c r="S1300" s="2" t="n"/>
      <c r="T1300" s="11" t="inlineStr"/>
      <c r="U1300" s="11" t="inlineStr"/>
      <c r="V1300" s="11" t="inlineStr">
        <is>
          <t>outside_list</t>
        </is>
      </c>
      <c r="W1300" s="11" t="n"/>
      <c r="X1300" s="11" t="n"/>
      <c r="Y1300" s="11" t="n"/>
      <c r="Z1300" s="11" t="inlineStr">
        <is>
          <t>Mr. Advocate</t>
        </is>
      </c>
      <c r="AA1300" s="11" t="inlineStr">
        <is>
          <t>2026-10-07</t>
        </is>
      </c>
      <c r="AB1300" s="11" t="inlineStr">
        <is>
          <t>name_year</t>
        </is>
      </c>
      <c r="AC1300" s="2" t="inlineStr"/>
      <c r="AD1300" s="2" t="inlineStr">
        <is>
          <t>Chiranjitlal Anand v. The State of Assam and Another (1975) was overruled by Chiranjit Lal Anand v. State of Assam and Another (1985).</t>
        </is>
      </c>
      <c r="AE1300" s="2" t="n"/>
      <c r="AF1300" s="11" t="inlineStr">
        <is>
          <t>created from list 1</t>
        </is>
      </c>
    </row>
    <row r="1301">
      <c r="A1301" s="11" t="inlineStr">
        <is>
          <t>L1-1300</t>
        </is>
      </c>
      <c r="B1301" s="11" t="inlineStr">
        <is>
          <t>List 1 (to ~2015)</t>
        </is>
      </c>
      <c r="C1301" s="11" t="inlineStr">
        <is>
          <t>list1</t>
        </is>
      </c>
      <c r="D1301" s="11" t="inlineStr">
        <is>
          <t>verified</t>
        </is>
      </c>
      <c r="E1301" s="11" t="inlineStr">
        <is>
          <t>reversed_on_appeal</t>
        </is>
      </c>
      <c r="F1301" s="2" t="inlineStr">
        <is>
          <t>Union of India (UOI) and Another v. J.G. Engineers Pvt. Ltd.</t>
        </is>
      </c>
      <c r="G1301" s="11" t="inlineStr"/>
      <c r="H1301" s="11" t="inlineStr">
        <is>
          <t>unknown</t>
        </is>
      </c>
      <c r="I1301" s="2" t="inlineStr">
        <is>
          <t>(2005) 2 ARBLR 412; (2005) 1 GLT 296</t>
        </is>
      </c>
      <c r="J1301" s="11" t="n">
        <v>2005</v>
      </c>
      <c r="K1301" s="2" t="inlineStr">
        <is>
          <t>J.G. Engineers Pvt. Ltd. v. Union of India (UOI) and Another</t>
        </is>
      </c>
      <c r="L1301" s="11" t="inlineStr">
        <is>
          <t>Supreme Court</t>
        </is>
      </c>
      <c r="M1301" s="2" t="inlineStr">
        <is>
          <t>AIR 2011 SC 2477; (2011) 2 ARBLR 84; (2011) 5 JT 380; (2011) 3 RCR(Civil) 683; (2011) 5 SCALE 46; (2011) 5 SCC 758; (2011) 8 SCR 486; (2011) 2 UJ 1832; (2011) AIRSCW 2849; (2011) 4 Supreme 531</t>
        </is>
      </c>
      <c r="N1301" s="11" t="n">
        <v>2011</v>
      </c>
      <c r="O1301" s="11" t="n"/>
      <c r="P1301" s="11" t="n"/>
      <c r="Q1301" s="11" t="n"/>
      <c r="R1301" s="2" t="n"/>
      <c r="S1301" s="2" t="n"/>
      <c r="T1301" s="11" t="inlineStr">
        <is>
          <t>yes</t>
        </is>
      </c>
      <c r="U1301" s="11" t="inlineStr"/>
      <c r="V1301" s="11" t="inlineStr">
        <is>
          <t>outside_list</t>
        </is>
      </c>
      <c r="W1301" s="11" t="n"/>
      <c r="X1301" s="11" t="n"/>
      <c r="Y1301" s="11" t="n"/>
      <c r="Z1301" s="11" t="inlineStr">
        <is>
          <t>Mr. Advocate</t>
        </is>
      </c>
      <c r="AA1301" s="11" t="inlineStr">
        <is>
          <t>2026-10-07</t>
        </is>
      </c>
      <c r="AB1301" s="11" t="inlineStr">
        <is>
          <t>name_year</t>
        </is>
      </c>
      <c r="AC1301" s="2" t="inlineStr"/>
      <c r="AD1301" s="2" t="inlineStr">
        <is>
          <t>Union of India (UOI) and Another v. J.G. Engineers Pvt. Ltd. (2005) was reversed on appeal by the Supreme Court in J.G. Engineers Pvt. Ltd. v. Union of India (UOI) and Another (2011).</t>
        </is>
      </c>
      <c r="AE1301" s="2" t="n"/>
      <c r="AF1301" s="11" t="inlineStr">
        <is>
          <t>created from list 1</t>
        </is>
      </c>
    </row>
    <row r="1302">
      <c r="A1302" s="11" t="inlineStr">
        <is>
          <t>L1-1301</t>
        </is>
      </c>
      <c r="B1302" s="11" t="inlineStr">
        <is>
          <t>List 1 (to ~2015)</t>
        </is>
      </c>
      <c r="C1302" s="11" t="inlineStr">
        <is>
          <t>list1</t>
        </is>
      </c>
      <c r="D1302" s="11" t="inlineStr">
        <is>
          <t>verified</t>
        </is>
      </c>
      <c r="E1302" s="11" t="inlineStr">
        <is>
          <t>overruled</t>
        </is>
      </c>
      <c r="F1302" s="2" t="inlineStr">
        <is>
          <t>Lallacherra Tea Co. (P.) Ltd. v. Commissioner of Income Tax</t>
        </is>
      </c>
      <c r="G1302" s="11" t="inlineStr"/>
      <c r="H1302" s="11" t="inlineStr">
        <is>
          <t>unknown</t>
        </is>
      </c>
      <c r="I1302" s="2" t="inlineStr">
        <is>
          <t>(2000) 160 CTR 54; (1999) 239 ITR 611</t>
        </is>
      </c>
      <c r="J1302" s="11" t="n">
        <v>1999</v>
      </c>
      <c r="K1302" s="2" t="inlineStr">
        <is>
          <t>Karnataka Small Scale Industries Development Corporation Ltd. v. Commissioner of Income Tax, Bangalore</t>
        </is>
      </c>
      <c r="L1302" s="11" t="inlineStr">
        <is>
          <t>Supreme Court</t>
        </is>
      </c>
      <c r="M1302" s="2" t="inlineStr">
        <is>
          <t>(2003) 179 CTR 1; (2002) 258 ITR 770; (2002) 10 JT 41; (2003) 7 SCC 224</t>
        </is>
      </c>
      <c r="N1302" s="11" t="n">
        <v>2002</v>
      </c>
      <c r="O1302" s="11" t="n"/>
      <c r="P1302" s="11" t="n"/>
      <c r="Q1302" s="11" t="n"/>
      <c r="R1302" s="2" t="n"/>
      <c r="S1302" s="2" t="n"/>
      <c r="T1302" s="11" t="inlineStr"/>
      <c r="U1302" s="11" t="inlineStr"/>
      <c r="V1302" s="11" t="inlineStr">
        <is>
          <t>outside_list</t>
        </is>
      </c>
      <c r="W1302" s="11" t="n"/>
      <c r="X1302" s="11" t="n"/>
      <c r="Y1302" s="11" t="n"/>
      <c r="Z1302" s="11" t="inlineStr">
        <is>
          <t>Mr. Advocate</t>
        </is>
      </c>
      <c r="AA1302" s="11" t="inlineStr">
        <is>
          <t>2026-10-07</t>
        </is>
      </c>
      <c r="AB1302" s="11" t="inlineStr">
        <is>
          <t>name_year</t>
        </is>
      </c>
      <c r="AC1302" s="2" t="inlineStr"/>
      <c r="AD1302" s="2" t="inlineStr">
        <is>
          <t>Lallacherra Tea Co. (P.) Ltd. v. Commissioner of Income Tax (1999) was overruled by Karnataka Small Scale Industries Development Corporation Ltd. v. Commissioner of Income Tax, Bangalore (2002).</t>
        </is>
      </c>
      <c r="AE1302" s="2" t="n"/>
      <c r="AF1302" s="11" t="inlineStr">
        <is>
          <t>created from list 1</t>
        </is>
      </c>
    </row>
    <row r="1303">
      <c r="A1303" s="11" t="inlineStr">
        <is>
          <t>L1-1302</t>
        </is>
      </c>
      <c r="B1303" s="11" t="inlineStr">
        <is>
          <t>List 1 (to ~2015)</t>
        </is>
      </c>
      <c r="C1303" s="11" t="inlineStr">
        <is>
          <t>list1</t>
        </is>
      </c>
      <c r="D1303" s="11" t="inlineStr">
        <is>
          <t>verified</t>
        </is>
      </c>
      <c r="E1303" s="11" t="inlineStr">
        <is>
          <t>reversed_on_appeal</t>
        </is>
      </c>
      <c r="F1303" s="2" t="inlineStr">
        <is>
          <t>Commissioner of Income Tax v. Smt. Amiya Bala Paul</t>
        </is>
      </c>
      <c r="G1303" s="11" t="inlineStr"/>
      <c r="H1303" s="11" t="inlineStr">
        <is>
          <t>unknown</t>
        </is>
      </c>
      <c r="I1303" s="2" t="inlineStr">
        <is>
          <t>(2000) 160 CTR 133; (1999) 3 GLT 240; (1999) 240 ITR 378</t>
        </is>
      </c>
      <c r="J1303" s="11" t="n">
        <v>1999</v>
      </c>
      <c r="K1303" s="2" t="inlineStr">
        <is>
          <t>Amiya Bala Paul v. Commissioner of Income Tax, Shillong</t>
        </is>
      </c>
      <c r="L1303" s="11" t="inlineStr">
        <is>
          <t>Supreme Court</t>
        </is>
      </c>
      <c r="M1303" s="2" t="inlineStr">
        <is>
          <t>AIR 2003 SC 2702; (2003) 182 CTR 489; (2003) 262 ITR 407; (2003) 5 JT 384; (2003) 5 SCALE 122; (2003) 6 SCC 342; (2003) 1 SCR 388 Supp; (2003) AIRSCW 3319; (2003) AIRSCW 4951; (2003) 4 Supreme 577; (2003) 7 Supreme 5</t>
        </is>
      </c>
      <c r="N1303" s="11" t="n">
        <v>2003</v>
      </c>
      <c r="O1303" s="11" t="n"/>
      <c r="P1303" s="11" t="n"/>
      <c r="Q1303" s="11" t="n"/>
      <c r="R1303" s="2" t="n"/>
      <c r="S1303" s="2" t="n"/>
      <c r="T1303" s="11" t="inlineStr">
        <is>
          <t>yes</t>
        </is>
      </c>
      <c r="U1303" s="11" t="inlineStr"/>
      <c r="V1303" s="11" t="inlineStr">
        <is>
          <t>outside_list</t>
        </is>
      </c>
      <c r="W1303" s="11" t="n"/>
      <c r="X1303" s="11" t="n"/>
      <c r="Y1303" s="11" t="n"/>
      <c r="Z1303" s="11" t="inlineStr">
        <is>
          <t>Mr. Advocate</t>
        </is>
      </c>
      <c r="AA1303" s="11" t="inlineStr">
        <is>
          <t>2026-10-07</t>
        </is>
      </c>
      <c r="AB1303" s="11" t="inlineStr">
        <is>
          <t>name_year</t>
        </is>
      </c>
      <c r="AC1303" s="2" t="inlineStr"/>
      <c r="AD1303" s="2" t="inlineStr">
        <is>
          <t>Commissioner of Income Tax v. Smt. Amiya Bala Paul (1999) was reversed on appeal by the Supreme Court in Amiya Bala Paul v. Commissioner of Income Tax, Shillong (2003).</t>
        </is>
      </c>
      <c r="AE1303" s="2" t="n"/>
      <c r="AF1303" s="11" t="inlineStr">
        <is>
          <t>created from list 1</t>
        </is>
      </c>
    </row>
    <row r="1304">
      <c r="A1304" s="11" t="inlineStr">
        <is>
          <t>L1-1303</t>
        </is>
      </c>
      <c r="B1304" s="11" t="inlineStr">
        <is>
          <t>List 1 (to ~2015)</t>
        </is>
      </c>
      <c r="C1304" s="11" t="inlineStr">
        <is>
          <t>list1</t>
        </is>
      </c>
      <c r="D1304" s="11" t="inlineStr">
        <is>
          <t>verified</t>
        </is>
      </c>
      <c r="E1304" s="11" t="inlineStr">
        <is>
          <t>overruled</t>
        </is>
      </c>
      <c r="F1304" s="2" t="inlineStr">
        <is>
          <t>Commissioner of Income Tax v. Triple Crown Agencies</t>
        </is>
      </c>
      <c r="G1304" s="11" t="inlineStr"/>
      <c r="H1304" s="11" t="inlineStr">
        <is>
          <t>unknown</t>
        </is>
      </c>
      <c r="I1304" s="2" t="inlineStr">
        <is>
          <t>(1994) 116 CTR 423; (1993) 204 ITR 377</t>
        </is>
      </c>
      <c r="J1304" s="11" t="n">
        <v>1993</v>
      </c>
      <c r="K1304" s="2" t="inlineStr">
        <is>
          <t>M/s. K. Govindan and Sons. v. Commissioner of Income Tax Cochin</t>
        </is>
      </c>
      <c r="L1304" s="11" t="inlineStr">
        <is>
          <t>unknown</t>
        </is>
      </c>
      <c r="M1304" s="2" t="inlineStr">
        <is>
          <t>(2000) 8 SCALE 47; (2000) 5 SCR 285 Supp; (2000) AIRSCW 4389; (2000) 8 Supreme 65</t>
        </is>
      </c>
      <c r="N1304" s="11" t="n">
        <v>2000</v>
      </c>
      <c r="O1304" s="11" t="n"/>
      <c r="P1304" s="11" t="n"/>
      <c r="Q1304" s="11" t="n"/>
      <c r="R1304" s="2" t="n"/>
      <c r="S1304" s="2" t="n"/>
      <c r="T1304" s="11" t="inlineStr"/>
      <c r="U1304" s="11" t="inlineStr"/>
      <c r="V1304" s="11" t="inlineStr">
        <is>
          <t>outside_list</t>
        </is>
      </c>
      <c r="W1304" s="11" t="n"/>
      <c r="X1304" s="11" t="n"/>
      <c r="Y1304" s="11" t="n"/>
      <c r="Z1304" s="11" t="inlineStr">
        <is>
          <t>Mr. Advocate</t>
        </is>
      </c>
      <c r="AA1304" s="11" t="inlineStr">
        <is>
          <t>2026-10-07</t>
        </is>
      </c>
      <c r="AB1304" s="11" t="inlineStr">
        <is>
          <t>name_year</t>
        </is>
      </c>
      <c r="AC1304" s="2" t="inlineStr"/>
      <c r="AD1304" s="2" t="inlineStr">
        <is>
          <t>Commissioner of Income Tax v. Triple Crown Agencies (1993) was overruled by M/s. K. Govindan and Sons. v. Commissioner of Income Tax Cochin (2000).</t>
        </is>
      </c>
      <c r="AE1304" s="2" t="n"/>
      <c r="AF1304" s="11" t="inlineStr">
        <is>
          <t>created from list 1</t>
        </is>
      </c>
    </row>
    <row r="1305">
      <c r="A1305" s="11" t="inlineStr">
        <is>
          <t>L1-1304</t>
        </is>
      </c>
      <c r="B1305" s="11" t="inlineStr">
        <is>
          <t>List 1 (to ~2015)</t>
        </is>
      </c>
      <c r="C1305" s="11" t="inlineStr">
        <is>
          <t>list1</t>
        </is>
      </c>
      <c r="D1305" s="11" t="inlineStr">
        <is>
          <t>verified</t>
        </is>
      </c>
      <c r="E1305" s="11" t="inlineStr">
        <is>
          <t>overruled</t>
        </is>
      </c>
      <c r="F1305" s="2" t="inlineStr">
        <is>
          <t>Md. Saifur Rahman v. State of Assam and Others</t>
        </is>
      </c>
      <c r="G1305" s="11" t="inlineStr"/>
      <c r="H1305" s="11" t="inlineStr">
        <is>
          <t>High Court/other (Guw)</t>
        </is>
      </c>
      <c r="I1305" s="2" t="inlineStr">
        <is>
          <t>AIR 1985 Guw 107</t>
        </is>
      </c>
      <c r="J1305" s="11" t="n">
        <v>1985</v>
      </c>
      <c r="K1305" s="2" t="inlineStr">
        <is>
          <t>Jaipur Development Authority v. Smt. Kailashwati Devi</t>
        </is>
      </c>
      <c r="L1305" s="11" t="inlineStr">
        <is>
          <t>Supreme Court</t>
        </is>
      </c>
      <c r="M1305" s="2" t="inlineStr">
        <is>
          <t>AIR 1997 SC 3243; (1997) 2 CTC 544; (1997) 7 JT 643; (1997) 117 PLR 880; (1997) 5 SCALE 658; (1997) 7 SCC 297; (1997) 3 SCR 664 Supp; (1997) 2 UJ 604; (1997) AIRSCW 3301; (1997) 8 Supreme 255</t>
        </is>
      </c>
      <c r="N1305" s="11" t="n">
        <v>1997</v>
      </c>
      <c r="O1305" s="11" t="n"/>
      <c r="P1305" s="11" t="n"/>
      <c r="Q1305" s="11" t="n"/>
      <c r="R1305" s="2" t="n"/>
      <c r="S1305" s="2" t="n"/>
      <c r="T1305" s="11" t="inlineStr"/>
      <c r="U1305" s="11" t="inlineStr"/>
      <c r="V1305" s="11" t="inlineStr">
        <is>
          <t>outside_list</t>
        </is>
      </c>
      <c r="W1305" s="11" t="n"/>
      <c r="X1305" s="11" t="n"/>
      <c r="Y1305" s="11" t="n"/>
      <c r="Z1305" s="11" t="inlineStr">
        <is>
          <t>Mr. Advocate</t>
        </is>
      </c>
      <c r="AA1305" s="11" t="inlineStr">
        <is>
          <t>2026-10-07</t>
        </is>
      </c>
      <c r="AB1305" s="11" t="inlineStr">
        <is>
          <t>name_year</t>
        </is>
      </c>
      <c r="AC1305" s="2" t="inlineStr"/>
      <c r="AD1305" s="2" t="inlineStr">
        <is>
          <t>Md. Saifur Rahman v. State of Assam and Others (1985) was overruled by Jaipur Development Authority v. Smt. Kailashwati Devi (1997).</t>
        </is>
      </c>
      <c r="AE1305" s="2" t="n"/>
      <c r="AF1305" s="11" t="inlineStr">
        <is>
          <t>created from list 1</t>
        </is>
      </c>
    </row>
    <row r="1306">
      <c r="A1306" s="11" t="inlineStr">
        <is>
          <t>L1-1305</t>
        </is>
      </c>
      <c r="B1306" s="11" t="inlineStr">
        <is>
          <t>List 1 (to ~2015)</t>
        </is>
      </c>
      <c r="C1306" s="11" t="inlineStr">
        <is>
          <t>list1</t>
        </is>
      </c>
      <c r="D1306" s="11" t="inlineStr">
        <is>
          <t>verified</t>
        </is>
      </c>
      <c r="E1306" s="11" t="inlineStr">
        <is>
          <t>reversed_on_appeal</t>
        </is>
      </c>
      <c r="F1306" s="2" t="inlineStr">
        <is>
          <t>Madan Chandra Brahma v. Central Bank of India and Others</t>
        </is>
      </c>
      <c r="G1306" s="11" t="inlineStr"/>
      <c r="H1306" s="11" t="inlineStr">
        <is>
          <t>unknown</t>
        </is>
      </c>
      <c r="I1306" s="2" t="inlineStr">
        <is>
          <t>(2000) 1 GLT 552</t>
        </is>
      </c>
      <c r="J1306" s="11" t="n">
        <v>2000</v>
      </c>
      <c r="K1306" s="2" t="inlineStr">
        <is>
          <t>Central Bank of India and Others v. Madan Chandra Brahma and Another</t>
        </is>
      </c>
      <c r="L1306" s="11" t="inlineStr">
        <is>
          <t>Supreme Court</t>
        </is>
      </c>
      <c r="M1306" s="2" t="inlineStr">
        <is>
          <t>AIR 2008 SC 15; (2008) 116 FLR 88; (2007) 10 JT 299; (2007) 10 SCALE 251; (2007) 8 SCC 294; (2007) 2 SCC(L&amp;S) 910; (2007) 9 SCR 275; (2008) 2 SLJ 164; (2007) 2 UJ 1029; (2007) AIRSCW 6016; (2007) 6 Supreme 303</t>
        </is>
      </c>
      <c r="N1306" s="11" t="n">
        <v>2008</v>
      </c>
      <c r="O1306" s="11" t="n"/>
      <c r="P1306" s="11" t="n"/>
      <c r="Q1306" s="11" t="n"/>
      <c r="R1306" s="2" t="n"/>
      <c r="S1306" s="2" t="n"/>
      <c r="T1306" s="11" t="inlineStr">
        <is>
          <t>yes</t>
        </is>
      </c>
      <c r="U1306" s="11" t="inlineStr"/>
      <c r="V1306" s="11" t="inlineStr">
        <is>
          <t>outside_list</t>
        </is>
      </c>
      <c r="W1306" s="11" t="n"/>
      <c r="X1306" s="11" t="n"/>
      <c r="Y1306" s="11" t="n"/>
      <c r="Z1306" s="11" t="inlineStr">
        <is>
          <t>Mr. Advocate</t>
        </is>
      </c>
      <c r="AA1306" s="11" t="inlineStr">
        <is>
          <t>2026-10-07</t>
        </is>
      </c>
      <c r="AB1306" s="11" t="inlineStr">
        <is>
          <t>name_year</t>
        </is>
      </c>
      <c r="AC1306" s="2" t="inlineStr"/>
      <c r="AD1306" s="2" t="inlineStr">
        <is>
          <t>Madan Chandra Brahma v. Central Bank of India and Others (2000) was reversed on appeal by the Supreme Court in Central Bank of India and Others v. Madan Chandra Brahma and Another (2008).</t>
        </is>
      </c>
      <c r="AE1306" s="2" t="n"/>
      <c r="AF1306" s="11" t="inlineStr">
        <is>
          <t>created from list 1</t>
        </is>
      </c>
    </row>
    <row r="1307">
      <c r="A1307" s="11" t="inlineStr">
        <is>
          <t>L1-1306</t>
        </is>
      </c>
      <c r="B1307" s="11" t="inlineStr">
        <is>
          <t>List 1 (to ~2015)</t>
        </is>
      </c>
      <c r="C1307" s="11" t="inlineStr">
        <is>
          <t>list1</t>
        </is>
      </c>
      <c r="D1307" s="11" t="inlineStr">
        <is>
          <t>verified</t>
        </is>
      </c>
      <c r="E1307" s="11" t="inlineStr">
        <is>
          <t>overruled</t>
        </is>
      </c>
      <c r="F1307" s="2" t="inlineStr">
        <is>
          <t>Kanpur Electricity Supply Co. Ltd., U.P. State Electricity Board v. The Presiding Officer, Labour Court IV and Sri Shamim Mirza</t>
        </is>
      </c>
      <c r="G1307" s="11" t="inlineStr"/>
      <c r="H1307" s="11" t="inlineStr">
        <is>
          <t>unknown</t>
        </is>
      </c>
      <c r="I1307" s="2" t="inlineStr">
        <is>
          <t>(2006) 5 AWC 4941; (2006) 1 UPLBEC 595</t>
        </is>
      </c>
      <c r="J1307" s="11" t="n">
        <v>2006</v>
      </c>
      <c r="K1307" s="2" t="inlineStr">
        <is>
          <t>Kanpur Electricity Supply Co. Ltd. v. Shamim Mirza</t>
        </is>
      </c>
      <c r="L1307" s="11" t="inlineStr">
        <is>
          <t>Supreme Court</t>
        </is>
      </c>
      <c r="M1307" s="2" t="inlineStr">
        <is>
          <t>AIR 2009 SC 638; (2009) 120 FLR 143; (2008) 12 JT 264; (2009) 1 LLJ 679; (2008) 14 SCALE 604; (2009) 1 SCC 20; (2009) 1 SCC(L&amp;S) 70; (2009) 3 SLR 361</t>
        </is>
      </c>
      <c r="N1307" s="11" t="n">
        <v>2009</v>
      </c>
      <c r="O1307" s="11" t="n"/>
      <c r="P1307" s="11" t="n"/>
      <c r="Q1307" s="11" t="n"/>
      <c r="R1307" s="2" t="n"/>
      <c r="S1307" s="2" t="n"/>
      <c r="T1307" s="11" t="inlineStr"/>
      <c r="U1307" s="11" t="inlineStr"/>
      <c r="V1307" s="11" t="inlineStr">
        <is>
          <t>outside_list</t>
        </is>
      </c>
      <c r="W1307" s="11" t="n"/>
      <c r="X1307" s="11" t="n"/>
      <c r="Y1307" s="11" t="n"/>
      <c r="Z1307" s="11" t="inlineStr">
        <is>
          <t>Mr. Advocate</t>
        </is>
      </c>
      <c r="AA1307" s="11" t="inlineStr">
        <is>
          <t>2026-10-07</t>
        </is>
      </c>
      <c r="AB1307" s="11" t="inlineStr">
        <is>
          <t>name_year</t>
        </is>
      </c>
      <c r="AC1307" s="2" t="inlineStr"/>
      <c r="AD1307" s="2" t="inlineStr">
        <is>
          <t>Kanpur Electricity Supply Co. Ltd., U.P. State Electricity Board v. The Presiding Officer, Labour Court IV and Sri Shamim Mirza (2006) was overruled by Kanpur Electricity Supply Co. Ltd. v. Shamim Mirza (2009).</t>
        </is>
      </c>
      <c r="AE1307" s="2" t="n"/>
      <c r="AF1307" s="11" t="inlineStr">
        <is>
          <t>created from list 1</t>
        </is>
      </c>
    </row>
    <row r="1308">
      <c r="A1308" s="11" t="inlineStr">
        <is>
          <t>L1-1307</t>
        </is>
      </c>
      <c r="B1308" s="11" t="inlineStr">
        <is>
          <t>List 1 (to ~2015)</t>
        </is>
      </c>
      <c r="C1308" s="11" t="inlineStr">
        <is>
          <t>list1</t>
        </is>
      </c>
      <c r="D1308" s="11" t="inlineStr">
        <is>
          <t>verified</t>
        </is>
      </c>
      <c r="E1308" s="11" t="inlineStr">
        <is>
          <t>overruled</t>
        </is>
      </c>
      <c r="F1308" s="2" t="inlineStr">
        <is>
          <t>Rohini Kumar Bhattacharjee v. The State of Assam and Others</t>
        </is>
      </c>
      <c r="G1308" s="11" t="inlineStr"/>
      <c r="H1308" s="11" t="inlineStr">
        <is>
          <t>High Court/other (Guw)</t>
        </is>
      </c>
      <c r="I1308" s="2" t="inlineStr">
        <is>
          <t>AIR 1959 Guw 183</t>
        </is>
      </c>
      <c r="J1308" s="11" t="n">
        <v>1959</v>
      </c>
      <c r="K1308" s="2" t="inlineStr">
        <is>
          <t>B. Prabhakara Rao v. Desari Panakala Rao and Others</t>
        </is>
      </c>
      <c r="L1308" s="11" t="inlineStr">
        <is>
          <t>Supreme Court</t>
        </is>
      </c>
      <c r="M1308" s="2" t="inlineStr">
        <is>
          <t>AIR 1976 SC 1803; (1976) 3 SCC 550; (1976) 3 SCR 1032</t>
        </is>
      </c>
      <c r="N1308" s="11" t="n">
        <v>1976</v>
      </c>
      <c r="O1308" s="11" t="n"/>
      <c r="P1308" s="11" t="n"/>
      <c r="Q1308" s="11" t="n"/>
      <c r="R1308" s="2" t="n"/>
      <c r="S1308" s="2" t="n"/>
      <c r="T1308" s="11" t="inlineStr"/>
      <c r="U1308" s="11" t="inlineStr"/>
      <c r="V1308" s="11" t="inlineStr">
        <is>
          <t>outside_list</t>
        </is>
      </c>
      <c r="W1308" s="11" t="n"/>
      <c r="X1308" s="11" t="n"/>
      <c r="Y1308" s="11" t="n"/>
      <c r="Z1308" s="11" t="inlineStr">
        <is>
          <t>Mr. Advocate</t>
        </is>
      </c>
      <c r="AA1308" s="11" t="inlineStr">
        <is>
          <t>2026-10-07</t>
        </is>
      </c>
      <c r="AB1308" s="11" t="inlineStr">
        <is>
          <t>name_year</t>
        </is>
      </c>
      <c r="AC1308" s="2" t="inlineStr"/>
      <c r="AD1308" s="2" t="inlineStr">
        <is>
          <t>Rohini Kumar Bhattacharjee v. The State of Assam and Others (1959) was overruled by B. Prabhakara Rao v. Desari Panakala Rao and Others (1976).</t>
        </is>
      </c>
      <c r="AE1308" s="2" t="n"/>
      <c r="AF1308" s="11" t="inlineStr">
        <is>
          <t>created from list 1</t>
        </is>
      </c>
    </row>
    <row r="1309">
      <c r="A1309" s="11" t="inlineStr">
        <is>
          <t>L1-1308</t>
        </is>
      </c>
      <c r="B1309" s="11" t="inlineStr">
        <is>
          <t>List 1 (to ~2015)</t>
        </is>
      </c>
      <c r="C1309" s="11" t="inlineStr">
        <is>
          <t>list1</t>
        </is>
      </c>
      <c r="D1309" s="11" t="inlineStr">
        <is>
          <t>verified</t>
        </is>
      </c>
      <c r="E1309" s="11" t="inlineStr">
        <is>
          <t>reversed_on_appeal</t>
        </is>
      </c>
      <c r="F1309" s="2" t="inlineStr">
        <is>
          <t>Sri Mohibur Rahman v. The State of Assam</t>
        </is>
      </c>
      <c r="G1309" s="11" t="inlineStr"/>
      <c r="H1309" s="11" t="inlineStr">
        <is>
          <t>unknown</t>
        </is>
      </c>
      <c r="I1309" s="2" t="inlineStr">
        <is>
          <t>(2000) CriLJ 4725; (2000) 2 GLT 626</t>
        </is>
      </c>
      <c r="J1309" s="11" t="n">
        <v>2000</v>
      </c>
      <c r="K1309" s="2" t="inlineStr">
        <is>
          <t>Mohibur Rahman and Another v. State of Assam</t>
        </is>
      </c>
      <c r="L1309" s="11" t="inlineStr">
        <is>
          <t>Supreme Court</t>
        </is>
      </c>
      <c r="M1309" s="2" t="inlineStr">
        <is>
          <t>AIR 2002 SC 3064; (2002) 3 Crimes 235; (2002) 6 JT 235; (2002) 6 SCALE 49; (2002) 6 SCC 715; (2002) AIRSCW 3523; (2002) 5 Supreme 530</t>
        </is>
      </c>
      <c r="N1309" s="11" t="n">
        <v>2002</v>
      </c>
      <c r="O1309" s="11" t="n"/>
      <c r="P1309" s="11" t="n"/>
      <c r="Q1309" s="11" t="n"/>
      <c r="R1309" s="2" t="n"/>
      <c r="S1309" s="2" t="n"/>
      <c r="T1309" s="11" t="inlineStr">
        <is>
          <t>yes</t>
        </is>
      </c>
      <c r="U1309" s="11" t="inlineStr"/>
      <c r="V1309" s="11" t="inlineStr">
        <is>
          <t>outside_list</t>
        </is>
      </c>
      <c r="W1309" s="11" t="n"/>
      <c r="X1309" s="11" t="n"/>
      <c r="Y1309" s="11" t="n"/>
      <c r="Z1309" s="11" t="inlineStr">
        <is>
          <t>Mr. Advocate</t>
        </is>
      </c>
      <c r="AA1309" s="11" t="inlineStr">
        <is>
          <t>2026-10-07</t>
        </is>
      </c>
      <c r="AB1309" s="11" t="inlineStr">
        <is>
          <t>name_year</t>
        </is>
      </c>
      <c r="AC1309" s="2" t="inlineStr"/>
      <c r="AD1309" s="2" t="inlineStr">
        <is>
          <t>Sri Mohibur Rahman v. The State of Assam (2000) was reversed on appeal by the Supreme Court in Mohibur Rahman and Another v. State of Assam (2002).</t>
        </is>
      </c>
      <c r="AE1309" s="2" t="n"/>
      <c r="AF1309" s="11" t="inlineStr">
        <is>
          <t>created from list 1</t>
        </is>
      </c>
    </row>
    <row r="1310">
      <c r="A1310" s="11" t="inlineStr">
        <is>
          <t>L1-1309</t>
        </is>
      </c>
      <c r="B1310" s="11" t="inlineStr">
        <is>
          <t>List 1 (to ~2015)</t>
        </is>
      </c>
      <c r="C1310" s="11" t="inlineStr">
        <is>
          <t>list1</t>
        </is>
      </c>
      <c r="D1310" s="11" t="inlineStr">
        <is>
          <t>verified</t>
        </is>
      </c>
      <c r="E1310" s="11" t="inlineStr">
        <is>
          <t>overruled</t>
        </is>
      </c>
      <c r="F1310" s="2" t="inlineStr">
        <is>
          <t>Purbanchal Road Service v. The State</t>
        </is>
      </c>
      <c r="G1310" s="11" t="inlineStr"/>
      <c r="H1310" s="11" t="inlineStr">
        <is>
          <t>unknown</t>
        </is>
      </c>
      <c r="I1310" s="2" t="inlineStr">
        <is>
          <t>(1991) CriLJ 2798</t>
        </is>
      </c>
      <c r="J1310" s="11" t="n">
        <v>1991</v>
      </c>
      <c r="K1310" s="2" t="inlineStr">
        <is>
          <t>State of Maharashtra v. Tapas D. Neogy</t>
        </is>
      </c>
      <c r="L1310" s="11" t="inlineStr">
        <is>
          <t>Supreme Court</t>
        </is>
      </c>
      <c r="M1310" s="2" t="inlineStr">
        <is>
          <t>(1999) 98 CompCas 626; (1999) CriLJ 4305; (1999) 3 CTC 350; (1999) 7 JT 92; (1999) 5 SCALE 613; (1999) 7 SCC 685; (1999) 2 SCR 609 Supp; (2000) 1 UJ 431</t>
        </is>
      </c>
      <c r="N1310" s="11" t="n">
        <v>1999</v>
      </c>
      <c r="O1310" s="11" t="n"/>
      <c r="P1310" s="11" t="n"/>
      <c r="Q1310" s="11" t="n"/>
      <c r="R1310" s="2" t="n"/>
      <c r="S1310" s="2" t="n"/>
      <c r="T1310" s="11" t="inlineStr"/>
      <c r="U1310" s="11" t="inlineStr"/>
      <c r="V1310" s="11" t="inlineStr">
        <is>
          <t>outside_list</t>
        </is>
      </c>
      <c r="W1310" s="11" t="n"/>
      <c r="X1310" s="11" t="n"/>
      <c r="Y1310" s="11" t="n"/>
      <c r="Z1310" s="11" t="inlineStr">
        <is>
          <t>Mr. Advocate</t>
        </is>
      </c>
      <c r="AA1310" s="11" t="inlineStr">
        <is>
          <t>2026-10-07</t>
        </is>
      </c>
      <c r="AB1310" s="11" t="inlineStr">
        <is>
          <t>name_year</t>
        </is>
      </c>
      <c r="AC1310" s="2" t="inlineStr"/>
      <c r="AD1310" s="2" t="inlineStr">
        <is>
          <t>Purbanchal Road Service v. The State (1991) was overruled by State of Maharashtra v. Tapas D. Neogy (1999).</t>
        </is>
      </c>
      <c r="AE1310" s="2" t="n"/>
      <c r="AF1310" s="11" t="inlineStr">
        <is>
          <t>created from list 1</t>
        </is>
      </c>
    </row>
    <row r="1311">
      <c r="A1311" s="11" t="inlineStr">
        <is>
          <t>L1-1310</t>
        </is>
      </c>
      <c r="B1311" s="11" t="inlineStr">
        <is>
          <t>List 1 (to ~2015)</t>
        </is>
      </c>
      <c r="C1311" s="11" t="inlineStr">
        <is>
          <t>list1</t>
        </is>
      </c>
      <c r="D1311" s="11" t="inlineStr">
        <is>
          <t>verified</t>
        </is>
      </c>
      <c r="E1311" s="11" t="inlineStr">
        <is>
          <t>overruled</t>
        </is>
      </c>
      <c r="F1311" s="2" t="inlineStr">
        <is>
          <t>Shri Yumnam Anand Meitei alias Bocha v. State of Manipur and Others</t>
        </is>
      </c>
      <c r="G1311" s="11" t="inlineStr"/>
      <c r="H1311" s="11" t="inlineStr">
        <is>
          <t>unknown</t>
        </is>
      </c>
      <c r="I1311" s="2" t="inlineStr">
        <is>
          <t>(2006) CriLJ 2654; (2006) 4 GLT 202</t>
        </is>
      </c>
      <c r="J1311" s="11" t="n">
        <v>2006</v>
      </c>
      <c r="K1311" s="2" t="inlineStr">
        <is>
          <t>Union of India (UOI) v. Yumnam Anand M. @ Bocha @ Kora @ Suraj and Another</t>
        </is>
      </c>
      <c r="L1311" s="11" t="inlineStr">
        <is>
          <t>Supreme Court</t>
        </is>
      </c>
      <c r="M1311" s="2" t="inlineStr">
        <is>
          <t>(2007) CriLJ 2439; (2007) 5 JT 520; (2007) 5 SCALE 606; (2007) 10 SCC 190; (2007) 6 SCR 60</t>
        </is>
      </c>
      <c r="N1311" s="11" t="n">
        <v>2007</v>
      </c>
      <c r="O1311" s="11" t="n"/>
      <c r="P1311" s="11" t="n"/>
      <c r="Q1311" s="11" t="n"/>
      <c r="R1311" s="2" t="n"/>
      <c r="S1311" s="2" t="n"/>
      <c r="T1311" s="11" t="inlineStr"/>
      <c r="U1311" s="11" t="inlineStr"/>
      <c r="V1311" s="11" t="inlineStr">
        <is>
          <t>outside_list</t>
        </is>
      </c>
      <c r="W1311" s="11" t="n"/>
      <c r="X1311" s="11" t="n"/>
      <c r="Y1311" s="11" t="n"/>
      <c r="Z1311" s="11" t="inlineStr">
        <is>
          <t>Mr. Advocate</t>
        </is>
      </c>
      <c r="AA1311" s="11" t="inlineStr">
        <is>
          <t>2026-10-07</t>
        </is>
      </c>
      <c r="AB1311" s="11" t="inlineStr">
        <is>
          <t>name_year</t>
        </is>
      </c>
      <c r="AC1311" s="2" t="inlineStr"/>
      <c r="AD1311" s="2" t="inlineStr">
        <is>
          <t>Shri Yumnam Anand Meitei alias Bocha v. State of Manipur and Others (2006) was overruled by Union of India (UOI) v. Yumnam Anand M. @ Bocha @ Kora @ Suraj and Another (2007).</t>
        </is>
      </c>
      <c r="AE1311" s="2" t="n"/>
      <c r="AF1311" s="11" t="inlineStr">
        <is>
          <t>created from list 1</t>
        </is>
      </c>
    </row>
    <row r="1312">
      <c r="A1312" s="11" t="inlineStr">
        <is>
          <t>L1-1311</t>
        </is>
      </c>
      <c r="B1312" s="11" t="inlineStr">
        <is>
          <t>List 1 (to ~2015)</t>
        </is>
      </c>
      <c r="C1312" s="11" t="inlineStr">
        <is>
          <t>list1</t>
        </is>
      </c>
      <c r="D1312" s="11" t="inlineStr">
        <is>
          <t>verified</t>
        </is>
      </c>
      <c r="E1312" s="11" t="inlineStr">
        <is>
          <t>reversed_on_appeal</t>
        </is>
      </c>
      <c r="F1312" s="2" t="inlineStr">
        <is>
          <t>Ram Prasad Sarma v. Mani Kumar Subba and Others</t>
        </is>
      </c>
      <c r="G1312" s="11" t="inlineStr"/>
      <c r="H1312" s="11" t="inlineStr">
        <is>
          <t>High Court/other (Guw)</t>
        </is>
      </c>
      <c r="I1312" s="2" t="inlineStr">
        <is>
          <t>AIR 2001 Guw 59; (2000) 3 GLT 5</t>
        </is>
      </c>
      <c r="J1312" s="11" t="n">
        <v>2001</v>
      </c>
      <c r="K1312" s="2" t="inlineStr">
        <is>
          <t>Ram Prasad Sarma v. Mani Kumar Subba and Others</t>
        </is>
      </c>
      <c r="L1312" s="11" t="inlineStr">
        <is>
          <t>Supreme Court</t>
        </is>
      </c>
      <c r="M1312" s="2" t="inlineStr">
        <is>
          <t>AIR 2003 SC 51(2); (2002) 8 JT 517; (2003) 1 SCC 289; (2002) 2 UJ 1520</t>
        </is>
      </c>
      <c r="N1312" s="11" t="n">
        <v>2003</v>
      </c>
      <c r="O1312" s="11" t="n"/>
      <c r="P1312" s="11" t="n"/>
      <c r="Q1312" s="11" t="n"/>
      <c r="R1312" s="2" t="n"/>
      <c r="S1312" s="2" t="n"/>
      <c r="T1312" s="11" t="inlineStr">
        <is>
          <t>yes</t>
        </is>
      </c>
      <c r="U1312" s="11" t="inlineStr"/>
      <c r="V1312" s="11" t="inlineStr">
        <is>
          <t>outside_list</t>
        </is>
      </c>
      <c r="W1312" s="11" t="n"/>
      <c r="X1312" s="11" t="n"/>
      <c r="Y1312" s="11" t="n"/>
      <c r="Z1312" s="11" t="inlineStr">
        <is>
          <t>Mr. Advocate</t>
        </is>
      </c>
      <c r="AA1312" s="11" t="inlineStr">
        <is>
          <t>2026-10-07</t>
        </is>
      </c>
      <c r="AB1312" s="11" t="inlineStr">
        <is>
          <t>name_year</t>
        </is>
      </c>
      <c r="AC1312" s="2" t="inlineStr"/>
      <c r="AD1312" s="2" t="inlineStr">
        <is>
          <t>Ram Prasad Sarma v. Mani Kumar Subba and Others (2001) was reversed on appeal by the Supreme Court in Ram Prasad Sarma v. Mani Kumar Subba and Others (2003).</t>
        </is>
      </c>
      <c r="AE1312" s="2" t="n"/>
      <c r="AF1312" s="11" t="inlineStr">
        <is>
          <t>created from list 1</t>
        </is>
      </c>
    </row>
    <row r="1313">
      <c r="A1313" s="11" t="inlineStr">
        <is>
          <t>L1-1312</t>
        </is>
      </c>
      <c r="B1313" s="11" t="inlineStr">
        <is>
          <t>List 1 (to ~2015)</t>
        </is>
      </c>
      <c r="C1313" s="11" t="inlineStr">
        <is>
          <t>list1</t>
        </is>
      </c>
      <c r="D1313" s="11" t="inlineStr">
        <is>
          <t>verified</t>
        </is>
      </c>
      <c r="E1313" s="11" t="inlineStr">
        <is>
          <t>reversed_on_appeal</t>
        </is>
      </c>
      <c r="F1313" s="2" t="inlineStr">
        <is>
          <t>Union of India (UOI) and Others v. Bhanu Lodh and Others</t>
        </is>
      </c>
      <c r="G1313" s="11" t="inlineStr"/>
      <c r="H1313" s="11" t="inlineStr">
        <is>
          <t>unknown</t>
        </is>
      </c>
      <c r="I1313" s="2" t="inlineStr">
        <is>
          <t>(2004) 3 GLR 653</t>
        </is>
      </c>
      <c r="J1313" s="11" t="n">
        <v>2004</v>
      </c>
      <c r="K1313" s="2" t="inlineStr">
        <is>
          <t>Food Corporation of India and Others v. Bhanu Lodh and Others</t>
        </is>
      </c>
      <c r="L1313" s="11" t="inlineStr">
        <is>
          <t>Supreme Court</t>
        </is>
      </c>
      <c r="M1313" s="2" t="inlineStr">
        <is>
          <t>AIR 2005 SC 2775; (2005) 3 ESC 297; (2005) 105 FLR 1058; (2005) 2 JT 562; (2005) 3 SCC 618; (2005) SCC(L&amp;S) 433; (2005) 2 SCR 350; (2005) 2 SLJ 198; (2005) 2 UJ 783</t>
        </is>
      </c>
      <c r="N1313" s="11" t="n">
        <v>2005</v>
      </c>
      <c r="O1313" s="11" t="n"/>
      <c r="P1313" s="11" t="n"/>
      <c r="Q1313" s="11" t="n"/>
      <c r="R1313" s="2" t="n"/>
      <c r="S1313" s="2" t="n"/>
      <c r="T1313" s="11" t="inlineStr">
        <is>
          <t>yes</t>
        </is>
      </c>
      <c r="U1313" s="11" t="inlineStr"/>
      <c r="V1313" s="11" t="inlineStr">
        <is>
          <t>outside_list</t>
        </is>
      </c>
      <c r="W1313" s="11" t="n"/>
      <c r="X1313" s="11" t="n"/>
      <c r="Y1313" s="11" t="n"/>
      <c r="Z1313" s="11" t="inlineStr">
        <is>
          <t>Mr. Advocate</t>
        </is>
      </c>
      <c r="AA1313" s="11" t="inlineStr">
        <is>
          <t>2026-10-07</t>
        </is>
      </c>
      <c r="AB1313" s="11" t="inlineStr">
        <is>
          <t>name_year</t>
        </is>
      </c>
      <c r="AC1313" s="2" t="inlineStr"/>
      <c r="AD1313" s="2" t="inlineStr">
        <is>
          <t>Union of India (UOI) and Others v. Bhanu Lodh and Others (2004) was reversed on appeal by the Supreme Court in Food Corporation of India and Others v. Bhanu Lodh and Others (2005).</t>
        </is>
      </c>
      <c r="AE1313" s="2" t="n"/>
      <c r="AF1313" s="11" t="inlineStr">
        <is>
          <t>created from list 1</t>
        </is>
      </c>
    </row>
    <row r="1314">
      <c r="A1314" s="11" t="inlineStr">
        <is>
          <t>L1-1313</t>
        </is>
      </c>
      <c r="B1314" s="11" t="inlineStr">
        <is>
          <t>List 1 (to ~2015)</t>
        </is>
      </c>
      <c r="C1314" s="11" t="inlineStr">
        <is>
          <t>list1</t>
        </is>
      </c>
      <c r="D1314" s="11" t="inlineStr">
        <is>
          <t>verified</t>
        </is>
      </c>
      <c r="E1314" s="11" t="inlineStr">
        <is>
          <t>reversed_on_appeal</t>
        </is>
      </c>
      <c r="F1314" s="2" t="inlineStr">
        <is>
          <t>Abdul Sufan Laskar and Others v. State of Assam</t>
        </is>
      </c>
      <c r="G1314" s="11" t="inlineStr"/>
      <c r="H1314" s="11" t="inlineStr">
        <is>
          <t>unknown</t>
        </is>
      </c>
      <c r="I1314" s="2" t="inlineStr">
        <is>
          <t>(2008) 1 GLT 578</t>
        </is>
      </c>
      <c r="J1314" s="11" t="n">
        <v>2008</v>
      </c>
      <c r="K1314" s="2" t="inlineStr">
        <is>
          <t>Md. Abdul Sufan Laskar and Others v. State of Assam</t>
        </is>
      </c>
      <c r="L1314" s="11" t="inlineStr">
        <is>
          <t>Supreme Court</t>
        </is>
      </c>
      <c r="M1314" s="2" t="inlineStr">
        <is>
          <t>(2008) CLT 1334; (2008) 9 JT 252; (2008) 11 SCALE 620; (2008) 9 SCC 333</t>
        </is>
      </c>
      <c r="N1314" s="11" t="n">
        <v>2008</v>
      </c>
      <c r="O1314" s="11" t="n"/>
      <c r="P1314" s="11" t="n"/>
      <c r="Q1314" s="11" t="n"/>
      <c r="R1314" s="2" t="n"/>
      <c r="S1314" s="2" t="n"/>
      <c r="T1314" s="11" t="inlineStr">
        <is>
          <t>yes</t>
        </is>
      </c>
      <c r="U1314" s="11" t="inlineStr"/>
      <c r="V1314" s="11" t="inlineStr">
        <is>
          <t>outside_list</t>
        </is>
      </c>
      <c r="W1314" s="11" t="n"/>
      <c r="X1314" s="11" t="n"/>
      <c r="Y1314" s="11" t="n"/>
      <c r="Z1314" s="11" t="inlineStr">
        <is>
          <t>Mr. Advocate</t>
        </is>
      </c>
      <c r="AA1314" s="11" t="inlineStr">
        <is>
          <t>2026-10-07</t>
        </is>
      </c>
      <c r="AB1314" s="11" t="inlineStr">
        <is>
          <t>name_year</t>
        </is>
      </c>
      <c r="AC1314" s="2" t="inlineStr"/>
      <c r="AD1314" s="2" t="inlineStr">
        <is>
          <t>Abdul Sufan Laskar and Others v. State of Assam (2008) was reversed on appeal by the Supreme Court in Md. Abdul Sufan Laskar and Others v. State of Assam (2008).</t>
        </is>
      </c>
      <c r="AE1314" s="2" t="n"/>
      <c r="AF1314" s="11" t="inlineStr">
        <is>
          <t>created from list 1</t>
        </is>
      </c>
    </row>
    <row r="1315">
      <c r="A1315" s="11" t="inlineStr">
        <is>
          <t>L1-1314</t>
        </is>
      </c>
      <c r="B1315" s="11" t="inlineStr">
        <is>
          <t>List 1 (to ~2015)</t>
        </is>
      </c>
      <c r="C1315" s="11" t="inlineStr">
        <is>
          <t>list1</t>
        </is>
      </c>
      <c r="D1315" s="11" t="inlineStr">
        <is>
          <t>verified</t>
        </is>
      </c>
      <c r="E1315" s="11" t="inlineStr">
        <is>
          <t>reversed_on_appeal</t>
        </is>
      </c>
      <c r="F1315" s="2" t="inlineStr">
        <is>
          <t>Keserwani Zarda Bhandar v. State of U.P. and Others</t>
        </is>
      </c>
      <c r="G1315" s="11" t="inlineStr"/>
      <c r="H1315" s="11" t="inlineStr">
        <is>
          <t>unknown</t>
        </is>
      </c>
      <c r="I1315" s="2" t="inlineStr">
        <is>
          <t>(2003) 3 UPLBEC 2254</t>
        </is>
      </c>
      <c r="J1315" s="11" t="n">
        <v>2003</v>
      </c>
      <c r="K1315" s="2" t="inlineStr">
        <is>
          <t>Kesarwani Zarda Bhandar v. State of U.P. and Others</t>
        </is>
      </c>
      <c r="L1315" s="11" t="inlineStr">
        <is>
          <t>Supreme Court</t>
        </is>
      </c>
      <c r="M1315" s="2" t="inlineStr">
        <is>
          <t>AIR 2008 SC 2733; (2008) 11 JT 50; (2008) 8 SCALE 674; (2008) 8 SCC 305; (2009) 13 STR 95; (2009) 19 VST 545; (2008) AIRSCW 4553; (2008) 3 Supreme 636</t>
        </is>
      </c>
      <c r="N1315" s="11" t="n">
        <v>2008</v>
      </c>
      <c r="O1315" s="11" t="n"/>
      <c r="P1315" s="11" t="n"/>
      <c r="Q1315" s="11" t="n"/>
      <c r="R1315" s="2" t="n"/>
      <c r="S1315" s="2" t="n"/>
      <c r="T1315" s="11" t="inlineStr">
        <is>
          <t>yes</t>
        </is>
      </c>
      <c r="U1315" s="11" t="inlineStr"/>
      <c r="V1315" s="11" t="inlineStr">
        <is>
          <t>outside_list</t>
        </is>
      </c>
      <c r="W1315" s="11" t="n"/>
      <c r="X1315" s="11" t="n"/>
      <c r="Y1315" s="11" t="n"/>
      <c r="Z1315" s="11" t="inlineStr">
        <is>
          <t>Mr. Advocate</t>
        </is>
      </c>
      <c r="AA1315" s="11" t="inlineStr">
        <is>
          <t>2026-10-07</t>
        </is>
      </c>
      <c r="AB1315" s="11" t="inlineStr">
        <is>
          <t>name_year</t>
        </is>
      </c>
      <c r="AC1315" s="2" t="inlineStr"/>
      <c r="AD1315" s="2" t="inlineStr">
        <is>
          <t>Keserwani Zarda Bhandar v. State of U.P. and Others (2003) was reversed on appeal by the Supreme Court in Kesarwani Zarda Bhandar v. State of U.P. and Others (2008).</t>
        </is>
      </c>
      <c r="AE1315" s="2" t="n"/>
      <c r="AF1315" s="11" t="inlineStr">
        <is>
          <t>created from list 1</t>
        </is>
      </c>
    </row>
    <row r="1316">
      <c r="A1316" s="11" t="inlineStr">
        <is>
          <t>L1-1315</t>
        </is>
      </c>
      <c r="B1316" s="11" t="inlineStr">
        <is>
          <t>List 1 (to ~2015)</t>
        </is>
      </c>
      <c r="C1316" s="11" t="inlineStr">
        <is>
          <t>list1</t>
        </is>
      </c>
      <c r="D1316" s="11" t="inlineStr">
        <is>
          <t>verified</t>
        </is>
      </c>
      <c r="E1316" s="11" t="inlineStr">
        <is>
          <t>reversed_on_appeal</t>
        </is>
      </c>
      <c r="F1316" s="2" t="inlineStr">
        <is>
          <t>Kailash Gour and Others v. State of Assam</t>
        </is>
      </c>
      <c r="G1316" s="11" t="inlineStr"/>
      <c r="H1316" s="11" t="inlineStr">
        <is>
          <t>unknown</t>
        </is>
      </c>
      <c r="I1316" s="2" t="inlineStr">
        <is>
          <t>(2006) 3 GLT 66</t>
        </is>
      </c>
      <c r="J1316" s="11" t="n">
        <v>2006</v>
      </c>
      <c r="K1316" s="2" t="inlineStr">
        <is>
          <t>Kailash Gour and Others v. State of Assam</t>
        </is>
      </c>
      <c r="L1316" s="11" t="inlineStr">
        <is>
          <t>Supreme Court</t>
        </is>
      </c>
      <c r="M1316" s="2" t="inlineStr">
        <is>
          <t>AIR 2012 SC 786; (2012) CriLJ 1050; (2012) 1 JCC 519; (2011) 14 JT 306; (2011) 13 SCALE 549; (2012) 2 SCC 34; (2012) 1 UJ 47; (2012) AIRSCW 524</t>
        </is>
      </c>
      <c r="N1316" s="11" t="n">
        <v>2012</v>
      </c>
      <c r="O1316" s="11" t="n"/>
      <c r="P1316" s="11" t="n"/>
      <c r="Q1316" s="11" t="n"/>
      <c r="R1316" s="2" t="n"/>
      <c r="S1316" s="2" t="n"/>
      <c r="T1316" s="11" t="inlineStr">
        <is>
          <t>yes</t>
        </is>
      </c>
      <c r="U1316" s="11" t="inlineStr"/>
      <c r="V1316" s="11" t="inlineStr">
        <is>
          <t>outside_list</t>
        </is>
      </c>
      <c r="W1316" s="11" t="n"/>
      <c r="X1316" s="11" t="n"/>
      <c r="Y1316" s="11" t="n"/>
      <c r="Z1316" s="11" t="inlineStr">
        <is>
          <t>Mr. Advocate</t>
        </is>
      </c>
      <c r="AA1316" s="11" t="inlineStr">
        <is>
          <t>2026-10-07</t>
        </is>
      </c>
      <c r="AB1316" s="11" t="inlineStr">
        <is>
          <t>name_year</t>
        </is>
      </c>
      <c r="AC1316" s="2" t="inlineStr"/>
      <c r="AD1316" s="2" t="inlineStr">
        <is>
          <t>Kailash Gour and Others v. State of Assam (2006) was reversed on appeal by the Supreme Court in Kailash Gour and Others v. State of Assam (2012).</t>
        </is>
      </c>
      <c r="AE1316" s="2" t="n"/>
      <c r="AF1316" s="11" t="inlineStr">
        <is>
          <t>created from list 1</t>
        </is>
      </c>
    </row>
    <row r="1317">
      <c r="A1317" s="11" t="inlineStr">
        <is>
          <t>L1-1316</t>
        </is>
      </c>
      <c r="B1317" s="11" t="inlineStr">
        <is>
          <t>List 1 (to ~2015)</t>
        </is>
      </c>
      <c r="C1317" s="11" t="inlineStr">
        <is>
          <t>list1</t>
        </is>
      </c>
      <c r="D1317" s="11" t="inlineStr">
        <is>
          <t>verified</t>
        </is>
      </c>
      <c r="E1317" s="11" t="inlineStr">
        <is>
          <t>reversed_on_appeal</t>
        </is>
      </c>
      <c r="F1317" s="2" t="inlineStr">
        <is>
          <t>Markio Tado and Ors v. Takam Sorang</t>
        </is>
      </c>
      <c r="G1317" s="11" t="inlineStr"/>
      <c r="H1317" s="11" t="inlineStr">
        <is>
          <t>unknown</t>
        </is>
      </c>
      <c r="I1317" s="2" t="inlineStr">
        <is>
          <t>(2011) 2 GLR 137; (2011) 2 GLT 208</t>
        </is>
      </c>
      <c r="J1317" s="11" t="n">
        <v>2011</v>
      </c>
      <c r="K1317" s="2" t="inlineStr">
        <is>
          <t>Markio Tado v. Takam Sorang and Others</t>
        </is>
      </c>
      <c r="L1317" s="11" t="inlineStr">
        <is>
          <t>Supreme Court</t>
        </is>
      </c>
      <c r="M1317" s="2" t="inlineStr">
        <is>
          <t>AIR 2012 SC 993; (2012) 114 CLT 154; (2012) 2 SCALE 280; (2012) 3 SCC 236; (2012) AIRSCW 1467</t>
        </is>
      </c>
      <c r="N1317" s="11" t="n">
        <v>2012</v>
      </c>
      <c r="O1317" s="11" t="n"/>
      <c r="P1317" s="11" t="n"/>
      <c r="Q1317" s="11" t="n"/>
      <c r="R1317" s="2" t="n"/>
      <c r="S1317" s="2" t="n"/>
      <c r="T1317" s="11" t="inlineStr">
        <is>
          <t>yes</t>
        </is>
      </c>
      <c r="U1317" s="11" t="inlineStr"/>
      <c r="V1317" s="11" t="inlineStr">
        <is>
          <t>outside_list</t>
        </is>
      </c>
      <c r="W1317" s="11" t="n"/>
      <c r="X1317" s="11" t="n"/>
      <c r="Y1317" s="11" t="n"/>
      <c r="Z1317" s="11" t="inlineStr">
        <is>
          <t>Mr. Advocate</t>
        </is>
      </c>
      <c r="AA1317" s="11" t="inlineStr">
        <is>
          <t>2026-10-07</t>
        </is>
      </c>
      <c r="AB1317" s="11" t="inlineStr">
        <is>
          <t>name_year</t>
        </is>
      </c>
      <c r="AC1317" s="2" t="inlineStr"/>
      <c r="AD1317" s="2" t="inlineStr">
        <is>
          <t>Markio Tado and Ors v. Takam Sorang (2011) was reversed on appeal by the Supreme Court in Markio Tado v. Takam Sorang and Others (2012).</t>
        </is>
      </c>
      <c r="AE1317" s="2" t="n"/>
      <c r="AF1317" s="11" t="inlineStr">
        <is>
          <t>created from list 1</t>
        </is>
      </c>
    </row>
    <row r="1318">
      <c r="A1318" s="11" t="inlineStr">
        <is>
          <t>L1-1317</t>
        </is>
      </c>
      <c r="B1318" s="11" t="inlineStr">
        <is>
          <t>List 1 (to ~2015)</t>
        </is>
      </c>
      <c r="C1318" s="11" t="inlineStr">
        <is>
          <t>list1</t>
        </is>
      </c>
      <c r="D1318" s="11" t="inlineStr">
        <is>
          <t>verified</t>
        </is>
      </c>
      <c r="E1318" s="11" t="inlineStr">
        <is>
          <t>overruled</t>
        </is>
      </c>
      <c r="F1318" s="2" t="inlineStr">
        <is>
          <t>Saifudaullah Khan v. State of Assam and Others</t>
        </is>
      </c>
      <c r="G1318" s="11" t="inlineStr"/>
      <c r="H1318" s="11" t="inlineStr">
        <is>
          <t>unknown</t>
        </is>
      </c>
      <c r="I1318" s="2" t="inlineStr">
        <is>
          <t>(2011) 2 GLT 54</t>
        </is>
      </c>
      <c r="J1318" s="11" t="n">
        <v>2011</v>
      </c>
      <c r="K1318" s="2" t="inlineStr">
        <is>
          <t>Bedanga Talukdar v. Saifudaullah Khan and Others</t>
        </is>
      </c>
      <c r="L1318" s="11" t="inlineStr">
        <is>
          <t>Supreme Court</t>
        </is>
      </c>
      <c r="M1318" s="2" t="inlineStr">
        <is>
          <t>(2011) 11 SCALE 293</t>
        </is>
      </c>
      <c r="N1318" s="11" t="n">
        <v>2011</v>
      </c>
      <c r="O1318" s="11" t="n"/>
      <c r="P1318" s="11" t="n"/>
      <c r="Q1318" s="11" t="n"/>
      <c r="R1318" s="2" t="n"/>
      <c r="S1318" s="2" t="n"/>
      <c r="T1318" s="11" t="inlineStr"/>
      <c r="U1318" s="11" t="inlineStr"/>
      <c r="V1318" s="11" t="inlineStr">
        <is>
          <t>outside_list</t>
        </is>
      </c>
      <c r="W1318" s="11" t="n"/>
      <c r="X1318" s="11" t="n"/>
      <c r="Y1318" s="11" t="n"/>
      <c r="Z1318" s="11" t="inlineStr">
        <is>
          <t>Mr. Advocate</t>
        </is>
      </c>
      <c r="AA1318" s="11" t="inlineStr">
        <is>
          <t>2026-10-07</t>
        </is>
      </c>
      <c r="AB1318" s="11" t="inlineStr">
        <is>
          <t>name_year</t>
        </is>
      </c>
      <c r="AC1318" s="2" t="inlineStr"/>
      <c r="AD1318" s="2" t="inlineStr">
        <is>
          <t>Saifudaullah Khan v. State of Assam and Others (2011) was overruled by Bedanga Talukdar v. Saifudaullah Khan and Others (2011).</t>
        </is>
      </c>
      <c r="AE1318" s="2" t="n"/>
      <c r="AF1318" s="11" t="inlineStr">
        <is>
          <t>created from list 1</t>
        </is>
      </c>
    </row>
    <row r="1319">
      <c r="A1319" s="11" t="inlineStr">
        <is>
          <t>L1-1318</t>
        </is>
      </c>
      <c r="B1319" s="11" t="inlineStr">
        <is>
          <t>List 1 (to ~2015)</t>
        </is>
      </c>
      <c r="C1319" s="11" t="inlineStr">
        <is>
          <t>list1</t>
        </is>
      </c>
      <c r="D1319" s="11" t="inlineStr">
        <is>
          <t>verified</t>
        </is>
      </c>
      <c r="E1319" s="11" t="inlineStr">
        <is>
          <t>reversed_on_appeal</t>
        </is>
      </c>
      <c r="F1319" s="2" t="inlineStr">
        <is>
          <t>Sukur Ali (Md.) v. State of Assam</t>
        </is>
      </c>
      <c r="G1319" s="11" t="inlineStr"/>
      <c r="H1319" s="11" t="inlineStr">
        <is>
          <t>unknown</t>
        </is>
      </c>
      <c r="I1319" s="2" t="inlineStr">
        <is>
          <t>(2011) 2 GLT 69</t>
        </is>
      </c>
      <c r="J1319" s="11" t="n">
        <v>2011</v>
      </c>
      <c r="K1319" s="2" t="inlineStr">
        <is>
          <t>Md. Sukur Ali v. State of Assam</t>
        </is>
      </c>
      <c r="L1319" s="11" t="inlineStr">
        <is>
          <t>Supreme Court</t>
        </is>
      </c>
      <c r="M1319" s="2" t="inlineStr">
        <is>
          <t>AIR 2011 SC 1222; (2011) CriLJ 1690; (2011) 266 ELT 32; (2011) 2 RCR(Criminal) 121; (2011) 2 SCALE 730; (2011) 4 SCC 729; (2011) 2 SCC(Cri) 481; (2011) 3 SCR 209; (2011) AIRSCW 1352; (2011) 2 Supreme 265</t>
        </is>
      </c>
      <c r="N1319" s="11" t="n">
        <v>2011</v>
      </c>
      <c r="O1319" s="11" t="n"/>
      <c r="P1319" s="11" t="n"/>
      <c r="Q1319" s="11" t="n"/>
      <c r="R1319" s="2" t="n"/>
      <c r="S1319" s="2" t="n"/>
      <c r="T1319" s="11" t="inlineStr">
        <is>
          <t>yes</t>
        </is>
      </c>
      <c r="U1319" s="11" t="inlineStr"/>
      <c r="V1319" s="11" t="inlineStr">
        <is>
          <t>outside_list</t>
        </is>
      </c>
      <c r="W1319" s="11" t="n"/>
      <c r="X1319" s="11" t="n"/>
      <c r="Y1319" s="11" t="n"/>
      <c r="Z1319" s="11" t="inlineStr">
        <is>
          <t>Mr. Advocate</t>
        </is>
      </c>
      <c r="AA1319" s="11" t="inlineStr">
        <is>
          <t>2026-10-07</t>
        </is>
      </c>
      <c r="AB1319" s="11" t="inlineStr">
        <is>
          <t>name_year</t>
        </is>
      </c>
      <c r="AC1319" s="2" t="inlineStr"/>
      <c r="AD1319" s="2" t="inlineStr">
        <is>
          <t>Sukur Ali (Md.) v. State of Assam (2011) was reversed on appeal by the Supreme Court in Md. Sukur Ali v. State of Assam (2011).</t>
        </is>
      </c>
      <c r="AE1319" s="2" t="n"/>
      <c r="AF1319" s="11" t="inlineStr">
        <is>
          <t>created from list 1</t>
        </is>
      </c>
    </row>
    <row r="1320">
      <c r="A1320" s="11" t="inlineStr">
        <is>
          <t>L1-1319</t>
        </is>
      </c>
      <c r="B1320" s="11" t="inlineStr">
        <is>
          <t>List 1 (to ~2015)</t>
        </is>
      </c>
      <c r="C1320" s="11" t="inlineStr">
        <is>
          <t>list1</t>
        </is>
      </c>
      <c r="D1320" s="11" t="inlineStr">
        <is>
          <t>verified</t>
        </is>
      </c>
      <c r="E1320" s="11" t="inlineStr">
        <is>
          <t>overruled</t>
        </is>
      </c>
      <c r="F1320" s="2" t="inlineStr">
        <is>
          <t>Gulabrai Kalidas Naik and Others v. Laxmidas Lallubhai Patel of Baroda and Others</t>
        </is>
      </c>
      <c r="G1320" s="11" t="inlineStr"/>
      <c r="H1320" s="11" t="inlineStr">
        <is>
          <t>unknown</t>
        </is>
      </c>
      <c r="I1320" s="2" t="inlineStr">
        <is>
          <t>(1978) 48 CompCas 438; (1978) 19 GLR 192; (1977) 19 GLR 42</t>
        </is>
      </c>
      <c r="J1320" s="11" t="n">
        <v>1977</v>
      </c>
      <c r="K1320" s="2" t="inlineStr">
        <is>
          <t>M/S. Ammonia Supplies Corporation (P) Ltd. v. M/S. Modern Plastic Containers Pvt. Ltd. and Others</t>
        </is>
      </c>
      <c r="L1320" s="11" t="inlineStr">
        <is>
          <t>Supreme Court</t>
        </is>
      </c>
      <c r="M1320" s="2" t="inlineStr">
        <is>
          <t>AIR 1998 SC 3153; (1998) 94 CompCas 310; (1998) 4 CompLJ 211; (1999) 1 CTC 273; (1998) 6 JT 116; (1998) 5 SCALE 147; (1998) 7 SCC 105; (1998) 1 SCR 413 Supp; (1998) AIRSCW 3062; (1998) 7 Supreme 191</t>
        </is>
      </c>
      <c r="N1320" s="11" t="n">
        <v>1998</v>
      </c>
      <c r="O1320" s="11" t="n"/>
      <c r="P1320" s="11" t="n"/>
      <c r="Q1320" s="11" t="n"/>
      <c r="R1320" s="2" t="n"/>
      <c r="S1320" s="2" t="n"/>
      <c r="T1320" s="11" t="inlineStr"/>
      <c r="U1320" s="11" t="inlineStr"/>
      <c r="V1320" s="11" t="inlineStr">
        <is>
          <t>outside_list</t>
        </is>
      </c>
      <c r="W1320" s="11" t="n"/>
      <c r="X1320" s="11" t="n"/>
      <c r="Y1320" s="11" t="n"/>
      <c r="Z1320" s="11" t="inlineStr">
        <is>
          <t>Mr. Advocate</t>
        </is>
      </c>
      <c r="AA1320" s="11" t="inlineStr">
        <is>
          <t>2026-10-07</t>
        </is>
      </c>
      <c r="AB1320" s="11" t="inlineStr">
        <is>
          <t>name_year</t>
        </is>
      </c>
      <c r="AC1320" s="2" t="inlineStr"/>
      <c r="AD1320" s="2" t="inlineStr">
        <is>
          <t>Gulabrai Kalidas Naik and Others v. Laxmidas Lallubhai Patel of Baroda and Others (1977) was overruled by M/S. Ammonia Supplies Corporation (P) Ltd. v. M/S. Modern Plastic Containers Pvt. Ltd. and Others (1998).</t>
        </is>
      </c>
      <c r="AE1320" s="2" t="n"/>
      <c r="AF1320" s="11" t="inlineStr">
        <is>
          <t>created from list 1</t>
        </is>
      </c>
    </row>
    <row r="1321">
      <c r="A1321" s="11" t="inlineStr">
        <is>
          <t>L1-1320</t>
        </is>
      </c>
      <c r="B1321" s="11" t="inlineStr">
        <is>
          <t>List 1 (to ~2015)</t>
        </is>
      </c>
      <c r="C1321" s="11" t="inlineStr">
        <is>
          <t>list1</t>
        </is>
      </c>
      <c r="D1321" s="11" t="inlineStr">
        <is>
          <t>verified</t>
        </is>
      </c>
      <c r="E1321" s="11" t="inlineStr">
        <is>
          <t>reversed_on_appeal</t>
        </is>
      </c>
      <c r="F1321" s="2" t="inlineStr">
        <is>
          <t>Sales Tax Officer, Petlad v. Rajratna Naranbhai Mills Co. Ltd. and Another</t>
        </is>
      </c>
      <c r="G1321" s="11" t="inlineStr"/>
      <c r="H1321" s="11" t="inlineStr">
        <is>
          <t>unknown</t>
        </is>
      </c>
      <c r="I1321" s="2" t="inlineStr">
        <is>
          <t>(1976) 46 CompCas 25</t>
        </is>
      </c>
      <c r="J1321" s="11" t="n">
        <v>1976</v>
      </c>
      <c r="K1321" s="2" t="inlineStr">
        <is>
          <t>Rajratha Naranbhai Mills Co. Ltd. v. Sales Tax Officer, Petlad</t>
        </is>
      </c>
      <c r="L1321" s="11" t="inlineStr">
        <is>
          <t>Supreme Court</t>
        </is>
      </c>
      <c r="M1321" s="2" t="inlineStr">
        <is>
          <t>(1991) 71 CompCas 149; (1991) 1 CompLJ 229; (1991) 52 ELT 335; (1991) 189 ITR 90; (1991) 2 JT 117; (1991) 1 SCALE 244; (1991) 3 SCC 283; (1991) 1 SCR 527; (1991) 81 STC 233</t>
        </is>
      </c>
      <c r="N1321" s="11" t="n">
        <v>1991</v>
      </c>
      <c r="O1321" s="11" t="n"/>
      <c r="P1321" s="11" t="n"/>
      <c r="Q1321" s="11" t="n"/>
      <c r="R1321" s="2" t="n"/>
      <c r="S1321" s="2" t="n"/>
      <c r="T1321" s="11" t="inlineStr">
        <is>
          <t>yes</t>
        </is>
      </c>
      <c r="U1321" s="11" t="inlineStr"/>
      <c r="V1321" s="11" t="inlineStr">
        <is>
          <t>outside_list</t>
        </is>
      </c>
      <c r="W1321" s="11" t="n"/>
      <c r="X1321" s="11" t="n"/>
      <c r="Y1321" s="11" t="n"/>
      <c r="Z1321" s="11" t="inlineStr">
        <is>
          <t>Mr. Advocate</t>
        </is>
      </c>
      <c r="AA1321" s="11" t="inlineStr">
        <is>
          <t>2026-10-07</t>
        </is>
      </c>
      <c r="AB1321" s="11" t="inlineStr">
        <is>
          <t>name_year</t>
        </is>
      </c>
      <c r="AC1321" s="2" t="inlineStr"/>
      <c r="AD1321" s="2" t="inlineStr">
        <is>
          <t>Sales Tax Officer, Petlad v. Rajratna Naranbhai Mills Co. Ltd. and Another (1976) was reversed on appeal by the Supreme Court in Rajratha Naranbhai Mills Co. Ltd. v. Sales Tax Officer, Petlad (1991).</t>
        </is>
      </c>
      <c r="AE1321" s="2" t="n"/>
      <c r="AF1321" s="11" t="inlineStr">
        <is>
          <t>created from list 1</t>
        </is>
      </c>
    </row>
    <row r="1322">
      <c r="A1322" s="11" t="inlineStr">
        <is>
          <t>L1-1321</t>
        </is>
      </c>
      <c r="B1322" s="11" t="inlineStr">
        <is>
          <t>List 1 (to ~2015)</t>
        </is>
      </c>
      <c r="C1322" s="11" t="inlineStr">
        <is>
          <t>list1</t>
        </is>
      </c>
      <c r="D1322" s="11" t="inlineStr">
        <is>
          <t>verified</t>
        </is>
      </c>
      <c r="E1322" s="11" t="inlineStr">
        <is>
          <t>overruled</t>
        </is>
      </c>
      <c r="F1322" s="2" t="inlineStr">
        <is>
          <t>Commissioner of Income Tax, Gujarat v. Garden Silk Wvg. Factory</t>
        </is>
      </c>
      <c r="G1322" s="11" t="inlineStr"/>
      <c r="H1322" s="11" t="inlineStr">
        <is>
          <t>unknown</t>
        </is>
      </c>
      <c r="I1322" s="2" t="inlineStr">
        <is>
          <t>(1975) 101 ITR 658</t>
        </is>
      </c>
      <c r="J1322" s="11" t="n">
        <v>1975</v>
      </c>
      <c r="K1322" s="2" t="inlineStr">
        <is>
          <t>Yogendra Prasad v. Addl. Registrar, Co-op. Societies, Bihar and others</t>
        </is>
      </c>
      <c r="L1322" s="11" t="inlineStr">
        <is>
          <t>Supreme Court</t>
        </is>
      </c>
      <c r="M1322" s="2" t="inlineStr">
        <is>
          <t>AIR 1991 SC 2137; (1992) 1 BC 53; (1992) 1 SCC 720 Supp; (1991) 1 SCR 143 Supp; (1991) 2 UJ 635</t>
        </is>
      </c>
      <c r="N1322" s="11" t="n">
        <v>1991</v>
      </c>
      <c r="O1322" s="11" t="n"/>
      <c r="P1322" s="11" t="n"/>
      <c r="Q1322" s="11" t="n"/>
      <c r="R1322" s="2" t="n"/>
      <c r="S1322" s="2" t="n"/>
      <c r="T1322" s="11" t="inlineStr"/>
      <c r="U1322" s="11" t="inlineStr"/>
      <c r="V1322" s="11" t="inlineStr">
        <is>
          <t>outside_list</t>
        </is>
      </c>
      <c r="W1322" s="11" t="n"/>
      <c r="X1322" s="11" t="n"/>
      <c r="Y1322" s="11" t="n"/>
      <c r="Z1322" s="11" t="inlineStr">
        <is>
          <t>Mr. Advocate</t>
        </is>
      </c>
      <c r="AA1322" s="11" t="inlineStr">
        <is>
          <t>2026-10-07</t>
        </is>
      </c>
      <c r="AB1322" s="11" t="inlineStr">
        <is>
          <t>name_year</t>
        </is>
      </c>
      <c r="AC1322" s="2" t="inlineStr"/>
      <c r="AD1322" s="2" t="inlineStr">
        <is>
          <t>Commissioner of Income Tax, Gujarat v. Garden Silk Wvg. Factory (1975) was overruled by Yogendra Prasad v. Addl. Registrar, Co-op. Societies, Bihar and others (1991).</t>
        </is>
      </c>
      <c r="AE1322" s="2" t="n"/>
      <c r="AF1322" s="11" t="inlineStr">
        <is>
          <t>created from list 1</t>
        </is>
      </c>
    </row>
    <row r="1323">
      <c r="A1323" s="11" t="inlineStr">
        <is>
          <t>L1-1322</t>
        </is>
      </c>
      <c r="B1323" s="11" t="inlineStr">
        <is>
          <t>List 1 (to ~2015)</t>
        </is>
      </c>
      <c r="C1323" s="11" t="inlineStr">
        <is>
          <t>list1</t>
        </is>
      </c>
      <c r="D1323" s="11" t="inlineStr">
        <is>
          <t>verified</t>
        </is>
      </c>
      <c r="E1323" s="11" t="inlineStr">
        <is>
          <t>reversed_on_appeal</t>
        </is>
      </c>
      <c r="F1323" s="2" t="inlineStr">
        <is>
          <t>Anilbhai Natubhai Patel v. Jayrajbhai Jayantibhai Patel and Others</t>
        </is>
      </c>
      <c r="G1323" s="11" t="inlineStr"/>
      <c r="H1323" s="11" t="inlineStr">
        <is>
          <t>unknown</t>
        </is>
      </c>
      <c r="I1323" s="2" t="inlineStr">
        <is>
          <t>(2006) 2 GLR 1233</t>
        </is>
      </c>
      <c r="J1323" s="11" t="n">
        <v>2006</v>
      </c>
      <c r="K1323" s="2" t="inlineStr">
        <is>
          <t>Jayrajbhai Jayantibhai Patel v. Anilbhai Jayantibhai Patel and Others</t>
        </is>
      </c>
      <c r="L1323" s="11" t="inlineStr">
        <is>
          <t>Supreme Court</t>
        </is>
      </c>
      <c r="M1323" s="2" t="inlineStr">
        <is>
          <t>(2006) 12 JT 34; (2006) 9 SCALE 147; (2006) 5 SCR 884 Supp; (2006) 2 UJ 1262</t>
        </is>
      </c>
      <c r="N1323" s="11" t="n">
        <v>2006</v>
      </c>
      <c r="O1323" s="11" t="n"/>
      <c r="P1323" s="11" t="n"/>
      <c r="Q1323" s="11" t="n"/>
      <c r="R1323" s="2" t="n"/>
      <c r="S1323" s="2" t="n"/>
      <c r="T1323" s="11" t="inlineStr">
        <is>
          <t>yes</t>
        </is>
      </c>
      <c r="U1323" s="11" t="inlineStr"/>
      <c r="V1323" s="11" t="inlineStr">
        <is>
          <t>outside_list</t>
        </is>
      </c>
      <c r="W1323" s="11" t="n"/>
      <c r="X1323" s="11" t="n"/>
      <c r="Y1323" s="11" t="n"/>
      <c r="Z1323" s="11" t="inlineStr">
        <is>
          <t>Mr. Advocate</t>
        </is>
      </c>
      <c r="AA1323" s="11" t="inlineStr">
        <is>
          <t>2026-10-07</t>
        </is>
      </c>
      <c r="AB1323" s="11" t="inlineStr">
        <is>
          <t>name_year</t>
        </is>
      </c>
      <c r="AC1323" s="2" t="inlineStr"/>
      <c r="AD1323" s="2" t="inlineStr">
        <is>
          <t>Anilbhai Natubhai Patel v. Jayrajbhai Jayantibhai Patel and Others (2006) was reversed on appeal by the Supreme Court in Jayrajbhai Jayantibhai Patel v. Anilbhai Jayantibhai Patel and Others (2006).</t>
        </is>
      </c>
      <c r="AE1323" s="2" t="n"/>
      <c r="AF1323" s="11" t="inlineStr">
        <is>
          <t>created from list 1</t>
        </is>
      </c>
    </row>
    <row r="1324">
      <c r="A1324" s="11" t="inlineStr">
        <is>
          <t>L1-1323</t>
        </is>
      </c>
      <c r="B1324" s="11" t="inlineStr">
        <is>
          <t>List 1 (to ~2015)</t>
        </is>
      </c>
      <c r="C1324" s="11" t="inlineStr">
        <is>
          <t>list1</t>
        </is>
      </c>
      <c r="D1324" s="11" t="inlineStr">
        <is>
          <t>verified</t>
        </is>
      </c>
      <c r="E1324" s="11" t="inlineStr">
        <is>
          <t>reversed_on_appeal</t>
        </is>
      </c>
      <c r="F1324" s="2" t="inlineStr">
        <is>
          <t>Gujarat Industrial Development Corporation v. Commissioner of Income Tax</t>
        </is>
      </c>
      <c r="G1324" s="11" t="inlineStr"/>
      <c r="H1324" s="11" t="inlineStr">
        <is>
          <t>unknown</t>
        </is>
      </c>
      <c r="I1324" s="2" t="inlineStr">
        <is>
          <t>(1985) 45 CTR 68; (1985) 151 ITR 255</t>
        </is>
      </c>
      <c r="J1324" s="11" t="n">
        <v>1985</v>
      </c>
      <c r="K1324" s="2" t="inlineStr">
        <is>
          <t>Gujarat Industrial Development Corporation etc. v. Commissioner of Income Tax</t>
        </is>
      </c>
      <c r="L1324" s="11" t="inlineStr">
        <is>
          <t>Supreme Court</t>
        </is>
      </c>
      <c r="M1324" s="2" t="inlineStr">
        <is>
          <t>AIR 1997 SC 3275; (1997) 227 ITR 414; (1997) 7 JT 442; (1997) 5 SCALE 520; (1997) 7 SCC 17; (1997) 3 SCR 466 Supp; (1997) 94 TAXMAN 64; (1997) AIRSCW 3336; (1997) 7 Supreme 631</t>
        </is>
      </c>
      <c r="N1324" s="11" t="n">
        <v>1997</v>
      </c>
      <c r="O1324" s="11" t="n"/>
      <c r="P1324" s="11" t="n"/>
      <c r="Q1324" s="11" t="n"/>
      <c r="R1324" s="2" t="n"/>
      <c r="S1324" s="2" t="n"/>
      <c r="T1324" s="11" t="inlineStr">
        <is>
          <t>yes</t>
        </is>
      </c>
      <c r="U1324" s="11" t="inlineStr"/>
      <c r="V1324" s="11" t="inlineStr">
        <is>
          <t>outside_list</t>
        </is>
      </c>
      <c r="W1324" s="11" t="n"/>
      <c r="X1324" s="11" t="n"/>
      <c r="Y1324" s="11" t="n"/>
      <c r="Z1324" s="11" t="inlineStr">
        <is>
          <t>Mr. Advocate</t>
        </is>
      </c>
      <c r="AA1324" s="11" t="inlineStr">
        <is>
          <t>2026-10-07</t>
        </is>
      </c>
      <c r="AB1324" s="11" t="inlineStr">
        <is>
          <t>name_year</t>
        </is>
      </c>
      <c r="AC1324" s="2" t="inlineStr"/>
      <c r="AD1324" s="2" t="inlineStr">
        <is>
          <t>Gujarat Industrial Development Corporation v. Commissioner of Income Tax (1985) was reversed on appeal by the Supreme Court in Gujarat Industrial Development Corporation etc. v. Commissioner of Income Tax (1997).</t>
        </is>
      </c>
      <c r="AE1324" s="2" t="n"/>
      <c r="AF1324" s="11" t="inlineStr">
        <is>
          <t>created from list 1</t>
        </is>
      </c>
    </row>
    <row r="1325">
      <c r="A1325" s="11" t="inlineStr">
        <is>
          <t>L1-1324</t>
        </is>
      </c>
      <c r="B1325" s="11" t="inlineStr">
        <is>
          <t>List 1 (to ~2015)</t>
        </is>
      </c>
      <c r="C1325" s="11" t="inlineStr">
        <is>
          <t>list1</t>
        </is>
      </c>
      <c r="D1325" s="11" t="inlineStr">
        <is>
          <t>verified</t>
        </is>
      </c>
      <c r="E1325" s="11" t="inlineStr">
        <is>
          <t>reversed_on_appeal</t>
        </is>
      </c>
      <c r="F1325" s="2" t="inlineStr">
        <is>
          <t>State of Gujarat and 3 v. Arvindkumar T Tiwari</t>
        </is>
      </c>
      <c r="G1325" s="11" t="inlineStr"/>
      <c r="H1325" s="11" t="inlineStr">
        <is>
          <t>unknown</t>
        </is>
      </c>
      <c r="I1325" s="2" t="inlineStr"/>
      <c r="J1325" s="11" t="n"/>
      <c r="K1325" s="2" t="inlineStr">
        <is>
          <t>State of Gujarat and Others v. Arvindkumar T. Tiwari and Another</t>
        </is>
      </c>
      <c r="L1325" s="11" t="inlineStr">
        <is>
          <t>Supreme Court</t>
        </is>
      </c>
      <c r="M1325" s="2" t="inlineStr">
        <is>
          <t>AIR 2012 SC 3281; (2012) 8 SCALE 664; (2012) 9 SCC 545; (2013) 1 SCT 117; (2013) 2 SLJ 11; (2012) AIRSCW 5131; (2012) 6 Supreme 705</t>
        </is>
      </c>
      <c r="N1325" s="11" t="n">
        <v>2012</v>
      </c>
      <c r="O1325" s="11" t="n"/>
      <c r="P1325" s="11" t="n"/>
      <c r="Q1325" s="11" t="n"/>
      <c r="R1325" s="2" t="n"/>
      <c r="S1325" s="2" t="n"/>
      <c r="T1325" s="11" t="inlineStr">
        <is>
          <t>yes</t>
        </is>
      </c>
      <c r="U1325" s="11" t="inlineStr">
        <is>
          <t>no_citation_or_year_for_overruled, needs_citation_or_year</t>
        </is>
      </c>
      <c r="V1325" s="11" t="inlineStr">
        <is>
          <t>outside_list</t>
        </is>
      </c>
      <c r="W1325" s="11" t="n"/>
      <c r="X1325" s="11" t="n"/>
      <c r="Y1325" s="11" t="n"/>
      <c r="Z1325" s="11" t="inlineStr">
        <is>
          <t>Mr. Advocate</t>
        </is>
      </c>
      <c r="AA1325" s="11" t="inlineStr">
        <is>
          <t>2026-10-07</t>
        </is>
      </c>
      <c r="AB1325" s="11" t="inlineStr">
        <is>
          <t>weak</t>
        </is>
      </c>
      <c r="AC1325" s="2" t="inlineStr"/>
      <c r="AD1325" s="2" t="inlineStr">
        <is>
          <t>State of Gujarat and 3 v. Arvindkumar T Tiwari was reversed on appeal by the Supreme Court in State of Gujarat and Others v. Arvindkumar T. Tiwari and Another (2012).</t>
        </is>
      </c>
      <c r="AE1325" s="2" t="n"/>
      <c r="AF1325" s="11" t="inlineStr">
        <is>
          <t>created from list 1</t>
        </is>
      </c>
    </row>
    <row r="1326">
      <c r="A1326" s="11" t="inlineStr">
        <is>
          <t>L1-1325</t>
        </is>
      </c>
      <c r="B1326" s="11" t="inlineStr">
        <is>
          <t>List 1 (to ~2015)</t>
        </is>
      </c>
      <c r="C1326" s="11" t="inlineStr">
        <is>
          <t>list1</t>
        </is>
      </c>
      <c r="D1326" s="11" t="inlineStr">
        <is>
          <t>verified</t>
        </is>
      </c>
      <c r="E1326" s="11" t="inlineStr">
        <is>
          <t>reversed_on_appeal</t>
        </is>
      </c>
      <c r="F1326" s="2" t="inlineStr">
        <is>
          <t>Chandrasinh @ Chandubha Lalubha v. State of Gujarat</t>
        </is>
      </c>
      <c r="G1326" s="11" t="inlineStr"/>
      <c r="H1326" s="11" t="inlineStr">
        <is>
          <t>Gujarat</t>
        </is>
      </c>
      <c r="I1326" s="2" t="inlineStr">
        <is>
          <t>AIR 2003 Guj 346; (2002) 2 GLR 960</t>
        </is>
      </c>
      <c r="J1326" s="11" t="n">
        <v>2003</v>
      </c>
      <c r="K1326" s="2" t="inlineStr">
        <is>
          <t>Ajitshinh Andubha Parmal and Another and Chandrasinh @ Chandubha Lalubha v. State of Gujarat</t>
        </is>
      </c>
      <c r="L1326" s="11" t="inlineStr">
        <is>
          <t>Supreme Court</t>
        </is>
      </c>
      <c r="M1326" s="2" t="inlineStr">
        <is>
          <t>AIR 2002 SC 3469; (2003) 1 Crimes 14; (2002) 8 JT 127; (2002) 7 SCALE 191; (2002) 7 SCC 625; (2002) 2 UJ 1407; (2002) AIRSCW 4056; (2002) 7 Supreme 143</t>
        </is>
      </c>
      <c r="N1326" s="11" t="n">
        <v>2002</v>
      </c>
      <c r="O1326" s="11" t="n"/>
      <c r="P1326" s="11" t="n"/>
      <c r="Q1326" s="11" t="n"/>
      <c r="R1326" s="2" t="n"/>
      <c r="S1326" s="2" t="n"/>
      <c r="T1326" s="11" t="inlineStr">
        <is>
          <t>yes</t>
        </is>
      </c>
      <c r="U1326" s="11" t="inlineStr"/>
      <c r="V1326" s="11" t="inlineStr">
        <is>
          <t>outside_list</t>
        </is>
      </c>
      <c r="W1326" s="11" t="n"/>
      <c r="X1326" s="11" t="n"/>
      <c r="Y1326" s="11" t="n"/>
      <c r="Z1326" s="11" t="inlineStr">
        <is>
          <t>Mr. Advocate</t>
        </is>
      </c>
      <c r="AA1326" s="11" t="inlineStr">
        <is>
          <t>2026-10-07</t>
        </is>
      </c>
      <c r="AB1326" s="11" t="inlineStr">
        <is>
          <t>name_year</t>
        </is>
      </c>
      <c r="AC1326" s="2" t="inlineStr"/>
      <c r="AD1326" s="2" t="inlineStr">
        <is>
          <t>Chandrasinh @ Chandubha Lalubha v. State of Gujarat (2003) was reversed on appeal by the Supreme Court in Ajitshinh Andubha Parmal and Another and Chandrasinh @ Chandubha Lalubha v. State of Gujarat (2002).</t>
        </is>
      </c>
      <c r="AE1326" s="2" t="n"/>
      <c r="AF1326" s="11" t="inlineStr">
        <is>
          <t>created from list 1</t>
        </is>
      </c>
    </row>
    <row r="1327">
      <c r="A1327" s="11" t="inlineStr">
        <is>
          <t>L1-1326</t>
        </is>
      </c>
      <c r="B1327" s="11" t="inlineStr">
        <is>
          <t>List 1 (to ~2015)</t>
        </is>
      </c>
      <c r="C1327" s="11" t="inlineStr">
        <is>
          <t>list1</t>
        </is>
      </c>
      <c r="D1327" s="11" t="inlineStr">
        <is>
          <t>verified</t>
        </is>
      </c>
      <c r="E1327" s="11" t="inlineStr">
        <is>
          <t>reversed_on_appeal</t>
        </is>
      </c>
      <c r="F1327" s="2" t="inlineStr">
        <is>
          <t>Kamal Sengupta and Others v. State of West Bengal and Others</t>
        </is>
      </c>
      <c r="G1327" s="11" t="inlineStr"/>
      <c r="H1327" s="11" t="inlineStr">
        <is>
          <t>unknown</t>
        </is>
      </c>
      <c r="I1327" s="2" t="inlineStr">
        <is>
          <t>(2005) 2 CHN 116</t>
        </is>
      </c>
      <c r="J1327" s="11" t="n">
        <v>2005</v>
      </c>
      <c r="K1327" s="2" t="inlineStr">
        <is>
          <t>The State of West Bengal and Others v. Kamal Sengupta and Another</t>
        </is>
      </c>
      <c r="L1327" s="11" t="inlineStr">
        <is>
          <t>Supreme Court</t>
        </is>
      </c>
      <c r="M1327" s="2" t="inlineStr">
        <is>
          <t>(2008) 8 JT 317; (2008) 8 SCC 612; (2008) 2 SCC(L&amp;S) 735; (2008) 3 SLJ 209; (2009) 2 SLR 482</t>
        </is>
      </c>
      <c r="N1327" s="11" t="n">
        <v>2008</v>
      </c>
      <c r="O1327" s="11" t="n"/>
      <c r="P1327" s="11" t="n"/>
      <c r="Q1327" s="11" t="n"/>
      <c r="R1327" s="2" t="n"/>
      <c r="S1327" s="2" t="n"/>
      <c r="T1327" s="11" t="inlineStr">
        <is>
          <t>yes</t>
        </is>
      </c>
      <c r="U1327" s="11" t="inlineStr"/>
      <c r="V1327" s="11" t="inlineStr">
        <is>
          <t>outside_list</t>
        </is>
      </c>
      <c r="W1327" s="11" t="n"/>
      <c r="X1327" s="11" t="n"/>
      <c r="Y1327" s="11" t="n"/>
      <c r="Z1327" s="11" t="inlineStr">
        <is>
          <t>Mr. Advocate</t>
        </is>
      </c>
      <c r="AA1327" s="11" t="inlineStr">
        <is>
          <t>2026-10-07</t>
        </is>
      </c>
      <c r="AB1327" s="11" t="inlineStr">
        <is>
          <t>name_year</t>
        </is>
      </c>
      <c r="AC1327" s="2" t="inlineStr"/>
      <c r="AD1327" s="2" t="inlineStr">
        <is>
          <t>Kamal Sengupta and Others v. State of West Bengal and Others (2005) was reversed on appeal by the Supreme Court in The State of West Bengal and Others v. Kamal Sengupta and Another (2008).</t>
        </is>
      </c>
      <c r="AE1327" s="2" t="n"/>
      <c r="AF1327" s="11" t="inlineStr">
        <is>
          <t>created from list 1</t>
        </is>
      </c>
    </row>
    <row r="1328">
      <c r="A1328" s="11" t="inlineStr">
        <is>
          <t>L1-1327</t>
        </is>
      </c>
      <c r="B1328" s="11" t="inlineStr">
        <is>
          <t>List 1 (to ~2015)</t>
        </is>
      </c>
      <c r="C1328" s="11" t="inlineStr">
        <is>
          <t>list1</t>
        </is>
      </c>
      <c r="D1328" s="11" t="inlineStr">
        <is>
          <t>verified</t>
        </is>
      </c>
      <c r="E1328" s="11" t="inlineStr">
        <is>
          <t>reversed_on_appeal</t>
        </is>
      </c>
      <c r="F1328" s="2" t="inlineStr">
        <is>
          <t>Ramesh B. Desai v. Bipin Vadilal Mehta</t>
        </is>
      </c>
      <c r="G1328" s="11" t="inlineStr"/>
      <c r="H1328" s="11" t="inlineStr">
        <is>
          <t>unknown</t>
        </is>
      </c>
      <c r="I1328" s="2" t="inlineStr">
        <is>
          <t>(2001) 2 GLR 1224</t>
        </is>
      </c>
      <c r="J1328" s="11" t="n">
        <v>2001</v>
      </c>
      <c r="K1328" s="2" t="inlineStr">
        <is>
          <t>Ramesh B. Desai and Others v. Bipin Vadilal Mehta and Others</t>
        </is>
      </c>
      <c r="L1328" s="11" t="inlineStr">
        <is>
          <t>Supreme Court</t>
        </is>
      </c>
      <c r="M1328" s="2" t="inlineStr">
        <is>
          <t>AIR 2006 SC 3672; (2006) 132 CompCas 479; (2006) 5 CompLJ 203; (2006) 6 JT 253; (2006) 7 SCALE 62; (2006) 5 SCC 638; (2006) 69 SCL 211; (2006) 3 SCR 414 Supp; (2006) AIRSCW 3768; (2006) 6 Supreme 44</t>
        </is>
      </c>
      <c r="N1328" s="11" t="n">
        <v>2006</v>
      </c>
      <c r="O1328" s="11" t="n"/>
      <c r="P1328" s="11" t="n"/>
      <c r="Q1328" s="11" t="n"/>
      <c r="R1328" s="2" t="n"/>
      <c r="S1328" s="2" t="n"/>
      <c r="T1328" s="11" t="inlineStr">
        <is>
          <t>yes</t>
        </is>
      </c>
      <c r="U1328" s="11" t="inlineStr"/>
      <c r="V1328" s="11" t="inlineStr">
        <is>
          <t>outside_list</t>
        </is>
      </c>
      <c r="W1328" s="11" t="n"/>
      <c r="X1328" s="11" t="n"/>
      <c r="Y1328" s="11" t="n"/>
      <c r="Z1328" s="11" t="inlineStr">
        <is>
          <t>Mr. Advocate</t>
        </is>
      </c>
      <c r="AA1328" s="11" t="inlineStr">
        <is>
          <t>2026-10-07</t>
        </is>
      </c>
      <c r="AB1328" s="11" t="inlineStr">
        <is>
          <t>name_year</t>
        </is>
      </c>
      <c r="AC1328" s="2" t="inlineStr"/>
      <c r="AD1328" s="2" t="inlineStr">
        <is>
          <t>Ramesh B. Desai v. Bipin Vadilal Mehta (2001) was reversed on appeal by the Supreme Court in Ramesh B. Desai and Others v. Bipin Vadilal Mehta and Others (2006).</t>
        </is>
      </c>
      <c r="AE1328" s="2" t="n"/>
      <c r="AF1328" s="11" t="inlineStr">
        <is>
          <t>created from list 1</t>
        </is>
      </c>
    </row>
    <row r="1329">
      <c r="A1329" s="11" t="inlineStr">
        <is>
          <t>L1-1328</t>
        </is>
      </c>
      <c r="B1329" s="11" t="inlineStr">
        <is>
          <t>List 1 (to ~2015)</t>
        </is>
      </c>
      <c r="C1329" s="11" t="inlineStr">
        <is>
          <t>list1</t>
        </is>
      </c>
      <c r="D1329" s="11" t="inlineStr">
        <is>
          <t>verified</t>
        </is>
      </c>
      <c r="E1329" s="11" t="inlineStr">
        <is>
          <t>reversed_on_appeal</t>
        </is>
      </c>
      <c r="F1329" s="2" t="inlineStr">
        <is>
          <t>K.V. Joseph v. State of Gujarat</t>
        </is>
      </c>
      <c r="G1329" s="11" t="inlineStr"/>
      <c r="H1329" s="11" t="inlineStr">
        <is>
          <t>unknown</t>
        </is>
      </c>
      <c r="I1329" s="2" t="inlineStr">
        <is>
          <t>(1997) CriLJ 2896; (1997) 2 GLR 38</t>
        </is>
      </c>
      <c r="J1329" s="11" t="n">
        <v>1997</v>
      </c>
      <c r="K1329" s="2" t="inlineStr">
        <is>
          <t>State of Gujarat v. K.V. Joseph</t>
        </is>
      </c>
      <c r="L1329" s="11" t="inlineStr">
        <is>
          <t>Supreme Court</t>
        </is>
      </c>
      <c r="M1329" s="2" t="inlineStr">
        <is>
          <t>(2001) 1 JT 331; (2000) 8 SCALE 409; (2001) 2 SCC 156; (2000) 4 SCR 485 Supp; (2001) 2 UJ 1049</t>
        </is>
      </c>
      <c r="N1329" s="11" t="n">
        <v>2000</v>
      </c>
      <c r="O1329" s="11" t="n"/>
      <c r="P1329" s="11" t="n"/>
      <c r="Q1329" s="11" t="n"/>
      <c r="R1329" s="2" t="n"/>
      <c r="S1329" s="2" t="n"/>
      <c r="T1329" s="11" t="inlineStr">
        <is>
          <t>yes</t>
        </is>
      </c>
      <c r="U1329" s="11" t="inlineStr"/>
      <c r="V1329" s="11" t="inlineStr">
        <is>
          <t>outside_list</t>
        </is>
      </c>
      <c r="W1329" s="11" t="n"/>
      <c r="X1329" s="11" t="n"/>
      <c r="Y1329" s="11" t="n"/>
      <c r="Z1329" s="11" t="inlineStr">
        <is>
          <t>Mr. Advocate</t>
        </is>
      </c>
      <c r="AA1329" s="11" t="inlineStr">
        <is>
          <t>2026-10-07</t>
        </is>
      </c>
      <c r="AB1329" s="11" t="inlineStr">
        <is>
          <t>name_year</t>
        </is>
      </c>
      <c r="AC1329" s="2" t="inlineStr"/>
      <c r="AD1329" s="2" t="inlineStr">
        <is>
          <t>K.V. Joseph v. State of Gujarat (1997) was reversed on appeal by the Supreme Court in State of Gujarat v. K.V. Joseph (2000).</t>
        </is>
      </c>
      <c r="AE1329" s="2" t="n"/>
      <c r="AF1329" s="11" t="inlineStr">
        <is>
          <t>created from list 1</t>
        </is>
      </c>
    </row>
    <row r="1330">
      <c r="A1330" s="11" t="inlineStr">
        <is>
          <t>L1-1329</t>
        </is>
      </c>
      <c r="B1330" s="11" t="inlineStr">
        <is>
          <t>List 1 (to ~2015)</t>
        </is>
      </c>
      <c r="C1330" s="11" t="inlineStr">
        <is>
          <t>list1</t>
        </is>
      </c>
      <c r="D1330" s="11" t="inlineStr">
        <is>
          <t>verified</t>
        </is>
      </c>
      <c r="E1330" s="11" t="inlineStr">
        <is>
          <t>reversed_on_appeal</t>
        </is>
      </c>
      <c r="F1330" s="2" t="inlineStr">
        <is>
          <t>Additional Commissioner of Income Tax, Gujarat v. Cloth Traders (P.) Ltd.</t>
        </is>
      </c>
      <c r="G1330" s="11" t="inlineStr"/>
      <c r="H1330" s="11" t="inlineStr">
        <is>
          <t>unknown</t>
        </is>
      </c>
      <c r="I1330" s="2" t="inlineStr">
        <is>
          <t>(1974) 97 ITR 140</t>
        </is>
      </c>
      <c r="J1330" s="11" t="n">
        <v>1974</v>
      </c>
      <c r="K1330" s="2" t="inlineStr">
        <is>
          <t>Cloth Traders (P) Ltd. v. Additional Commissioner of Income Tax , Gujarat- I</t>
        </is>
      </c>
      <c r="L1330" s="11" t="inlineStr">
        <is>
          <t>Supreme Court</t>
        </is>
      </c>
      <c r="M1330" s="2" t="inlineStr">
        <is>
          <t>AIR 1979 SC 1691; (1979) 10 CTR 393; (1979) 118 ITR 243; (1979) 3 SCC 538; (1979) 3 SCR 984</t>
        </is>
      </c>
      <c r="N1330" s="11" t="n">
        <v>1979</v>
      </c>
      <c r="O1330" s="11" t="n"/>
      <c r="P1330" s="11" t="n"/>
      <c r="Q1330" s="11" t="n"/>
      <c r="R1330" s="2" t="n"/>
      <c r="S1330" s="2" t="n"/>
      <c r="T1330" s="11" t="inlineStr">
        <is>
          <t>yes</t>
        </is>
      </c>
      <c r="U1330" s="11" t="inlineStr"/>
      <c r="V1330" s="11" t="inlineStr">
        <is>
          <t>outside_list</t>
        </is>
      </c>
      <c r="W1330" s="11" t="n"/>
      <c r="X1330" s="11" t="n"/>
      <c r="Y1330" s="11" t="n"/>
      <c r="Z1330" s="11" t="inlineStr">
        <is>
          <t>Mr. Advocate</t>
        </is>
      </c>
      <c r="AA1330" s="11" t="inlineStr">
        <is>
          <t>2026-10-07</t>
        </is>
      </c>
      <c r="AB1330" s="11" t="inlineStr">
        <is>
          <t>name_year</t>
        </is>
      </c>
      <c r="AC1330" s="2" t="inlineStr">
        <is>
          <t>L1-0383: overruled by Commissioner of Income Tax, Delhi v. Swaran Singh Kanwar (1999)</t>
        </is>
      </c>
      <c r="AD1330" s="2" t="inlineStr">
        <is>
          <t>Additional Commissioner of Income Tax, Gujarat v. Cloth Traders (P.) Ltd. (1974) was reversed on appeal by the Supreme Court in Cloth Traders (P) Ltd. v. Additional Commissioner of Income Tax , Gujarat- I (1979). Note: Cloth Traders (P) Ltd. v. Additional Commissioner of Income Tax , Gujarat- I was itself later overruled by Commissioner of Income Tax, Delhi v. Swaran Singh Kanwar (1999); the current position should be checked.</t>
        </is>
      </c>
      <c r="AE1330" s="2" t="n"/>
      <c r="AF1330" s="11" t="inlineStr">
        <is>
          <t>created from list 1</t>
        </is>
      </c>
    </row>
    <row r="1331">
      <c r="A1331" s="11" t="inlineStr">
        <is>
          <t>L1-1330</t>
        </is>
      </c>
      <c r="B1331" s="11" t="inlineStr">
        <is>
          <t>List 1 (to ~2015)</t>
        </is>
      </c>
      <c r="C1331" s="11" t="inlineStr">
        <is>
          <t>list1</t>
        </is>
      </c>
      <c r="D1331" s="11" t="inlineStr">
        <is>
          <t>verified</t>
        </is>
      </c>
      <c r="E1331" s="11" t="inlineStr">
        <is>
          <t>overruled</t>
        </is>
      </c>
      <c r="F1331" s="2" t="inlineStr">
        <is>
          <t>Nanalal Girdharlal and Another v. Gulamnabi Jamalbhai Motorwala and Others</t>
        </is>
      </c>
      <c r="G1331" s="11" t="inlineStr"/>
      <c r="H1331" s="11" t="inlineStr">
        <is>
          <t>Gujarat</t>
        </is>
      </c>
      <c r="I1331" s="2" t="inlineStr">
        <is>
          <t>AIR 1973 Guj 131; (1972) GLR 880</t>
        </is>
      </c>
      <c r="J1331" s="11" t="n">
        <v>1973</v>
      </c>
      <c r="K1331" s="2" t="inlineStr">
        <is>
          <t>Narpatchand A. Bhandari v. Shantilal Moolshankar Jani and another</t>
        </is>
      </c>
      <c r="L1331" s="11" t="inlineStr">
        <is>
          <t>Supreme Court</t>
        </is>
      </c>
      <c r="M1331" s="2" t="inlineStr">
        <is>
          <t>AIR 1993 SC 1712; (1993) 4 JT 510; (1993) 2 SCALE 103; (1993) 3 SCC 351; (1993) 2 SCR 471</t>
        </is>
      </c>
      <c r="N1331" s="11" t="n">
        <v>1993</v>
      </c>
      <c r="O1331" s="11" t="n"/>
      <c r="P1331" s="11" t="n"/>
      <c r="Q1331" s="11" t="n"/>
      <c r="R1331" s="2" t="n"/>
      <c r="S1331" s="2" t="n"/>
      <c r="T1331" s="11" t="inlineStr"/>
      <c r="U1331" s="11" t="inlineStr"/>
      <c r="V1331" s="11" t="inlineStr">
        <is>
          <t>outside_list</t>
        </is>
      </c>
      <c r="W1331" s="11" t="n"/>
      <c r="X1331" s="11" t="n"/>
      <c r="Y1331" s="11" t="n"/>
      <c r="Z1331" s="11" t="inlineStr">
        <is>
          <t>Mr. Advocate</t>
        </is>
      </c>
      <c r="AA1331" s="11" t="inlineStr">
        <is>
          <t>2026-10-07</t>
        </is>
      </c>
      <c r="AB1331" s="11" t="inlineStr">
        <is>
          <t>name_year</t>
        </is>
      </c>
      <c r="AC1331" s="2" t="inlineStr"/>
      <c r="AD1331" s="2" t="inlineStr">
        <is>
          <t>Nanalal Girdharlal and Another v. Gulamnabi Jamalbhai Motorwala and Others (1973) was overruled by Narpatchand A. Bhandari v. Shantilal Moolshankar Jani and another (1993).</t>
        </is>
      </c>
      <c r="AE1331" s="2" t="n"/>
      <c r="AF1331" s="11" t="inlineStr">
        <is>
          <t>created from list 1</t>
        </is>
      </c>
    </row>
    <row r="1332">
      <c r="A1332" s="11" t="inlineStr">
        <is>
          <t>L1-1331</t>
        </is>
      </c>
      <c r="B1332" s="11" t="inlineStr">
        <is>
          <t>List 1 (to ~2015)</t>
        </is>
      </c>
      <c r="C1332" s="11" t="inlineStr">
        <is>
          <t>list1</t>
        </is>
      </c>
      <c r="D1332" s="11" t="inlineStr">
        <is>
          <t>verified</t>
        </is>
      </c>
      <c r="E1332" s="11" t="inlineStr">
        <is>
          <t>reversed_on_appeal</t>
        </is>
      </c>
      <c r="F1332" s="2" t="inlineStr">
        <is>
          <t>Union Medical Agency v. The State of Gujarat</t>
        </is>
      </c>
      <c r="G1332" s="11" t="inlineStr"/>
      <c r="H1332" s="11" t="inlineStr">
        <is>
          <t>unknown</t>
        </is>
      </c>
      <c r="I1332" s="2" t="inlineStr">
        <is>
          <t>(1973) 31 STC 396</t>
        </is>
      </c>
      <c r="J1332" s="11" t="n">
        <v>1973</v>
      </c>
      <c r="K1332" s="2" t="inlineStr">
        <is>
          <t>Commissioner of Sales Tax, State of Gujarat v. Union Medical Agency</t>
        </is>
      </c>
      <c r="L1332" s="11" t="inlineStr">
        <is>
          <t>Supreme Court</t>
        </is>
      </c>
      <c r="M1332" s="2" t="inlineStr">
        <is>
          <t>AIR 1981 SC 1; (1981) 1 SCC 51; (1981) 1 SCR 870; (1981) 47 STC 170; (1981) 13 UJ 107</t>
        </is>
      </c>
      <c r="N1332" s="11" t="n">
        <v>1981</v>
      </c>
      <c r="O1332" s="11" t="n"/>
      <c r="P1332" s="11" t="n"/>
      <c r="Q1332" s="11" t="n"/>
      <c r="R1332" s="2" t="n"/>
      <c r="S1332" s="2" t="n"/>
      <c r="T1332" s="11" t="inlineStr">
        <is>
          <t>yes</t>
        </is>
      </c>
      <c r="U1332" s="11" t="inlineStr"/>
      <c r="V1332" s="11" t="inlineStr">
        <is>
          <t>outside_list</t>
        </is>
      </c>
      <c r="W1332" s="11" t="n"/>
      <c r="X1332" s="11" t="n"/>
      <c r="Y1332" s="11" t="n"/>
      <c r="Z1332" s="11" t="inlineStr">
        <is>
          <t>Mr. Advocate</t>
        </is>
      </c>
      <c r="AA1332" s="11" t="inlineStr">
        <is>
          <t>2026-10-07</t>
        </is>
      </c>
      <c r="AB1332" s="11" t="inlineStr">
        <is>
          <t>name_year</t>
        </is>
      </c>
      <c r="AC1332" s="2" t="inlineStr"/>
      <c r="AD1332" s="2" t="inlineStr">
        <is>
          <t>Union Medical Agency v. The State of Gujarat (1973) was reversed on appeal by the Supreme Court in Commissioner of Sales Tax, State of Gujarat v. Union Medical Agency (1981).</t>
        </is>
      </c>
      <c r="AE1332" s="2" t="n"/>
      <c r="AF1332" s="11" t="inlineStr">
        <is>
          <t>created from list 1</t>
        </is>
      </c>
    </row>
    <row r="1333">
      <c r="A1333" s="11" t="inlineStr">
        <is>
          <t>L1-1332</t>
        </is>
      </c>
      <c r="B1333" s="11" t="inlineStr">
        <is>
          <t>List 1 (to ~2015)</t>
        </is>
      </c>
      <c r="C1333" s="11" t="inlineStr">
        <is>
          <t>list1</t>
        </is>
      </c>
      <c r="D1333" s="11" t="inlineStr">
        <is>
          <t>verified</t>
        </is>
      </c>
      <c r="E1333" s="11" t="inlineStr">
        <is>
          <t>overruled</t>
        </is>
      </c>
      <c r="F1333" s="2" t="inlineStr">
        <is>
          <t>Bharat Sarvodaya Mills Co. Ltd. v. Mohatta Brothers</t>
        </is>
      </c>
      <c r="G1333" s="11" t="inlineStr"/>
      <c r="H1333" s="11" t="inlineStr">
        <is>
          <t>Gujarat</t>
        </is>
      </c>
      <c r="I1333" s="2" t="inlineStr">
        <is>
          <t>AIR 1969 Guj 178; (1969) GLR 457</t>
        </is>
      </c>
      <c r="J1333" s="11" t="n">
        <v>1969</v>
      </c>
      <c r="K1333" s="2" t="inlineStr">
        <is>
          <t>Mohatta Brothers v. The Bharat Suryodaya Mils Co. Ltd., Ahmedabad</t>
        </is>
      </c>
      <c r="L1333" s="11" t="inlineStr">
        <is>
          <t>Supreme Court</t>
        </is>
      </c>
      <c r="M1333" s="2" t="inlineStr">
        <is>
          <t>AIR 1976 SC 1703; (1976) 4 SCC 420; (1976) 3 SCR 1022; (1976) 8 UJ 486</t>
        </is>
      </c>
      <c r="N1333" s="11" t="n">
        <v>1976</v>
      </c>
      <c r="O1333" s="11" t="n"/>
      <c r="P1333" s="11" t="n"/>
      <c r="Q1333" s="11" t="n"/>
      <c r="R1333" s="2" t="n"/>
      <c r="S1333" s="2" t="n"/>
      <c r="T1333" s="11" t="inlineStr"/>
      <c r="U1333" s="11" t="inlineStr"/>
      <c r="V1333" s="11" t="inlineStr">
        <is>
          <t>outside_list</t>
        </is>
      </c>
      <c r="W1333" s="11" t="n"/>
      <c r="X1333" s="11" t="n"/>
      <c r="Y1333" s="11" t="n"/>
      <c r="Z1333" s="11" t="inlineStr">
        <is>
          <t>Mr. Advocate</t>
        </is>
      </c>
      <c r="AA1333" s="11" t="inlineStr">
        <is>
          <t>2026-10-07</t>
        </is>
      </c>
      <c r="AB1333" s="11" t="inlineStr">
        <is>
          <t>name_year</t>
        </is>
      </c>
      <c r="AC1333" s="2" t="inlineStr"/>
      <c r="AD1333" s="2" t="inlineStr">
        <is>
          <t>Bharat Sarvodaya Mills Co. Ltd. v. Mohatta Brothers (1969) was overruled by Mohatta Brothers v. The Bharat Suryodaya Mils Co. Ltd., Ahmedabad (1976).</t>
        </is>
      </c>
      <c r="AE1333" s="2" t="n"/>
      <c r="AF1333" s="11" t="inlineStr">
        <is>
          <t>created from list 1</t>
        </is>
      </c>
    </row>
    <row r="1334">
      <c r="A1334" s="11" t="inlineStr">
        <is>
          <t>L1-1333</t>
        </is>
      </c>
      <c r="B1334" s="11" t="inlineStr">
        <is>
          <t>List 1 (to ~2015)</t>
        </is>
      </c>
      <c r="C1334" s="11" t="inlineStr">
        <is>
          <t>list1</t>
        </is>
      </c>
      <c r="D1334" s="11" t="inlineStr">
        <is>
          <t>verified</t>
        </is>
      </c>
      <c r="E1334" s="11" t="inlineStr">
        <is>
          <t>reversed_on_appeal</t>
        </is>
      </c>
      <c r="F1334" s="2" t="inlineStr">
        <is>
          <t>District Judge, Bulandshahr and another v. Bhudev Sharma</t>
        </is>
      </c>
      <c r="G1334" s="11" t="inlineStr"/>
      <c r="H1334" s="11" t="inlineStr">
        <is>
          <t>unknown</t>
        </is>
      </c>
      <c r="I1334" s="2" t="inlineStr">
        <is>
          <t>(2001) 3 AWC 1898; (2001) LabIC 3909; (2001) 2 UPLBEC 1780; (2001) 1 UPLBEC 574</t>
        </is>
      </c>
      <c r="J1334" s="11" t="n">
        <v>2001</v>
      </c>
      <c r="K1334" s="2" t="inlineStr">
        <is>
          <t>Bhudev Sharma v. District Judge, Bulandshahr and Another</t>
        </is>
      </c>
      <c r="L1334" s="11" t="inlineStr">
        <is>
          <t>Supreme Court</t>
        </is>
      </c>
      <c r="M1334" s="2" t="inlineStr">
        <is>
          <t>(2008) 1 CLT 514; (2007) 115 FLR 1006; (2007) 13 JT 154; (2007) 12 SCALE 642; (2008) 1 SCC 233; (2008) 1 SCC(L&amp;S) 170; (2007) 11 SCR 730; (2008) 2 SLJ 136</t>
        </is>
      </c>
      <c r="N1334" s="11" t="n">
        <v>2007</v>
      </c>
      <c r="O1334" s="11" t="n"/>
      <c r="P1334" s="11" t="n"/>
      <c r="Q1334" s="11" t="n"/>
      <c r="R1334" s="2" t="n"/>
      <c r="S1334" s="2" t="n"/>
      <c r="T1334" s="11" t="inlineStr">
        <is>
          <t>yes</t>
        </is>
      </c>
      <c r="U1334" s="11" t="inlineStr"/>
      <c r="V1334" s="11" t="inlineStr">
        <is>
          <t>outside_list</t>
        </is>
      </c>
      <c r="W1334" s="11" t="n"/>
      <c r="X1334" s="11" t="n"/>
      <c r="Y1334" s="11" t="n"/>
      <c r="Z1334" s="11" t="inlineStr">
        <is>
          <t>Mr. Advocate</t>
        </is>
      </c>
      <c r="AA1334" s="11" t="inlineStr">
        <is>
          <t>2026-10-07</t>
        </is>
      </c>
      <c r="AB1334" s="11" t="inlineStr">
        <is>
          <t>name_year</t>
        </is>
      </c>
      <c r="AC1334" s="2" t="inlineStr"/>
      <c r="AD1334" s="2" t="inlineStr">
        <is>
          <t>District Judge, Bulandshahr and another v. Bhudev Sharma (2001) was reversed on appeal by the Supreme Court in Bhudev Sharma v. District Judge, Bulandshahr and Another (2007).</t>
        </is>
      </c>
      <c r="AE1334" s="2" t="n"/>
      <c r="AF1334" s="11" t="inlineStr">
        <is>
          <t>created from list 1</t>
        </is>
      </c>
    </row>
    <row r="1335">
      <c r="A1335" s="11" t="inlineStr">
        <is>
          <t>L1-1334</t>
        </is>
      </c>
      <c r="B1335" s="11" t="inlineStr">
        <is>
          <t>List 1 (to ~2015)</t>
        </is>
      </c>
      <c r="C1335" s="11" t="inlineStr">
        <is>
          <t>list1</t>
        </is>
      </c>
      <c r="D1335" s="11" t="inlineStr">
        <is>
          <t>verified</t>
        </is>
      </c>
      <c r="E1335" s="11" t="inlineStr">
        <is>
          <t>overruled</t>
        </is>
      </c>
      <c r="F1335" s="2" t="inlineStr">
        <is>
          <t>Vora Saiyedbhai Kadarbhai (A Partnership firm) v. Saiyed Intajam Hussen Sedumiya and Others</t>
        </is>
      </c>
      <c r="G1335" s="11" t="inlineStr"/>
      <c r="H1335" s="11" t="inlineStr">
        <is>
          <t>Gujarat</t>
        </is>
      </c>
      <c r="I1335" s="2" t="inlineStr">
        <is>
          <t>AIR 1981 Guj 154; (1981) 22 GLR 596</t>
        </is>
      </c>
      <c r="J1335" s="11" t="n">
        <v>1981</v>
      </c>
      <c r="K1335" s="2" t="inlineStr">
        <is>
          <t>State of Gujarat v. Vora Saiyedbhai Kadharbhai and others</t>
        </is>
      </c>
      <c r="L1335" s="11" t="inlineStr">
        <is>
          <t>Supreme Court</t>
        </is>
      </c>
      <c r="M1335" s="2" t="inlineStr">
        <is>
          <t>AIR 1995 SC 2208; (1995) 2 JT 644; (1995) 2 SCALE 81; (1995) 3 SCC 196; (1995) 2 SCR 470; (1995) 1 UJ 802</t>
        </is>
      </c>
      <c r="N1335" s="11" t="n">
        <v>1995</v>
      </c>
      <c r="O1335" s="11" t="n"/>
      <c r="P1335" s="11" t="n"/>
      <c r="Q1335" s="11" t="n"/>
      <c r="R1335" s="2" t="n"/>
      <c r="S1335" s="2" t="n"/>
      <c r="T1335" s="11" t="inlineStr"/>
      <c r="U1335" s="11" t="inlineStr"/>
      <c r="V1335" s="11" t="inlineStr">
        <is>
          <t>outside_list</t>
        </is>
      </c>
      <c r="W1335" s="11" t="n"/>
      <c r="X1335" s="11" t="n"/>
      <c r="Y1335" s="11" t="n"/>
      <c r="Z1335" s="11" t="inlineStr">
        <is>
          <t>Mr. Advocate</t>
        </is>
      </c>
      <c r="AA1335" s="11" t="inlineStr">
        <is>
          <t>2026-10-07</t>
        </is>
      </c>
      <c r="AB1335" s="11" t="inlineStr">
        <is>
          <t>name_year</t>
        </is>
      </c>
      <c r="AC1335" s="2" t="inlineStr"/>
      <c r="AD1335" s="2" t="inlineStr">
        <is>
          <t>Vora Saiyedbhai Kadarbhai (A Partnership firm) v. Saiyed Intajam Hussen Sedumiya and Others (1981) was overruled by State of Gujarat v. Vora Saiyedbhai Kadharbhai and others (1995).</t>
        </is>
      </c>
      <c r="AE1335" s="2" t="n"/>
      <c r="AF1335" s="11" t="inlineStr">
        <is>
          <t>created from list 1</t>
        </is>
      </c>
    </row>
    <row r="1336">
      <c r="A1336" s="11" t="inlineStr">
        <is>
          <t>L1-1335</t>
        </is>
      </c>
      <c r="B1336" s="11" t="inlineStr">
        <is>
          <t>List 1 (to ~2015)</t>
        </is>
      </c>
      <c r="C1336" s="11" t="inlineStr">
        <is>
          <t>list1</t>
        </is>
      </c>
      <c r="D1336" s="11" t="inlineStr">
        <is>
          <t>verified</t>
        </is>
      </c>
      <c r="E1336" s="11" t="inlineStr">
        <is>
          <t>overruled</t>
        </is>
      </c>
      <c r="F1336" s="2" t="inlineStr">
        <is>
          <t>Vishwambhar Hemandas v. Narendra Fethalal Gajjar</t>
        </is>
      </c>
      <c r="G1336" s="11" t="inlineStr"/>
      <c r="H1336" s="11" t="inlineStr">
        <is>
          <t>Gujarat</t>
        </is>
      </c>
      <c r="I1336" s="2" t="inlineStr">
        <is>
          <t>AIR 1986 Guj 153; (1986) 1 GLR 409</t>
        </is>
      </c>
      <c r="J1336" s="11" t="n">
        <v>1986</v>
      </c>
      <c r="K1336" s="2" t="inlineStr">
        <is>
          <t>Raju Kakara Shetty v. Ramesh Prataprao Shirole and Another</t>
        </is>
      </c>
      <c r="L1336" s="11" t="inlineStr">
        <is>
          <t>Supreme Court</t>
        </is>
      </c>
      <c r="M1336" s="2" t="inlineStr">
        <is>
          <t>(1991) 1 JT 128; (1991) 1 SCALE 26; (1991) 1 SCC 570; (1991) 1 SCR 51; (1991) 1 UJ 356</t>
        </is>
      </c>
      <c r="N1336" s="11" t="n">
        <v>1991</v>
      </c>
      <c r="O1336" s="11" t="n"/>
      <c r="P1336" s="11" t="n"/>
      <c r="Q1336" s="11" t="n"/>
      <c r="R1336" s="2" t="n"/>
      <c r="S1336" s="2" t="n"/>
      <c r="T1336" s="11" t="inlineStr"/>
      <c r="U1336" s="11" t="inlineStr"/>
      <c r="V1336" s="11" t="inlineStr">
        <is>
          <t>outside_list</t>
        </is>
      </c>
      <c r="W1336" s="11" t="n"/>
      <c r="X1336" s="11" t="n"/>
      <c r="Y1336" s="11" t="n"/>
      <c r="Z1336" s="11" t="inlineStr">
        <is>
          <t>Mr. Advocate</t>
        </is>
      </c>
      <c r="AA1336" s="11" t="inlineStr">
        <is>
          <t>2026-10-07</t>
        </is>
      </c>
      <c r="AB1336" s="11" t="inlineStr">
        <is>
          <t>name_year</t>
        </is>
      </c>
      <c r="AC1336" s="2" t="inlineStr"/>
      <c r="AD1336" s="2" t="inlineStr">
        <is>
          <t>Vishwambhar Hemandas v. Narendra Fethalal Gajjar (1986) was overruled by Raju Kakara Shetty v. Ramesh Prataprao Shirole and Another (1991).</t>
        </is>
      </c>
      <c r="AE1336" s="2" t="n"/>
      <c r="AF1336" s="11" t="inlineStr">
        <is>
          <t>created from list 1</t>
        </is>
      </c>
    </row>
    <row r="1337">
      <c r="A1337" s="11" t="inlineStr">
        <is>
          <t>L1-1336</t>
        </is>
      </c>
      <c r="B1337" s="11" t="inlineStr">
        <is>
          <t>List 1 (to ~2015)</t>
        </is>
      </c>
      <c r="C1337" s="11" t="inlineStr">
        <is>
          <t>list1</t>
        </is>
      </c>
      <c r="D1337" s="11" t="inlineStr">
        <is>
          <t>verified</t>
        </is>
      </c>
      <c r="E1337" s="11" t="inlineStr">
        <is>
          <t>reversed_on_appeal</t>
        </is>
      </c>
      <c r="F1337" s="2" t="inlineStr">
        <is>
          <t>Controller of Estate Duty, Gujarat I v. Dilharshankar C. Bhachech</t>
        </is>
      </c>
      <c r="G1337" s="11" t="inlineStr"/>
      <c r="H1337" s="11" t="inlineStr">
        <is>
          <t>unknown</t>
        </is>
      </c>
      <c r="I1337" s="2" t="inlineStr">
        <is>
          <t>(1976) 102 ITR 56</t>
        </is>
      </c>
      <c r="J1337" s="11" t="n">
        <v>1976</v>
      </c>
      <c r="K1337" s="2" t="inlineStr">
        <is>
          <t>Dilharshankar C. Bhachech v. Controller of Estate Duty, Ahmedabad</t>
        </is>
      </c>
      <c r="L1337" s="11" t="inlineStr">
        <is>
          <t>Supreme Court</t>
        </is>
      </c>
      <c r="M1337" s="2" t="inlineStr">
        <is>
          <t>AIR 1986 SC 726; (1986) 158 ITR 238; (1986) 1 SCALE 6; (1986) 1 SCC 701; (1986) 1 SCR 94</t>
        </is>
      </c>
      <c r="N1337" s="11" t="n">
        <v>1986</v>
      </c>
      <c r="O1337" s="11" t="n"/>
      <c r="P1337" s="11" t="n"/>
      <c r="Q1337" s="11" t="n"/>
      <c r="R1337" s="2" t="n"/>
      <c r="S1337" s="2" t="n"/>
      <c r="T1337" s="11" t="inlineStr">
        <is>
          <t>yes</t>
        </is>
      </c>
      <c r="U1337" s="11" t="inlineStr"/>
      <c r="V1337" s="11" t="inlineStr">
        <is>
          <t>outside_list</t>
        </is>
      </c>
      <c r="W1337" s="11" t="n"/>
      <c r="X1337" s="11" t="n"/>
      <c r="Y1337" s="11" t="n"/>
      <c r="Z1337" s="11" t="inlineStr">
        <is>
          <t>Mr. Advocate</t>
        </is>
      </c>
      <c r="AA1337" s="11" t="inlineStr">
        <is>
          <t>2026-10-07</t>
        </is>
      </c>
      <c r="AB1337" s="11" t="inlineStr">
        <is>
          <t>name_year</t>
        </is>
      </c>
      <c r="AC1337" s="2" t="inlineStr"/>
      <c r="AD1337" s="2" t="inlineStr">
        <is>
          <t>Controller of Estate Duty, Gujarat I v. Dilharshankar C. Bhachech (1976) was reversed on appeal by the Supreme Court in Dilharshankar C. Bhachech v. Controller of Estate Duty, Ahmedabad (1986).</t>
        </is>
      </c>
      <c r="AE1337" s="2" t="n"/>
      <c r="AF1337" s="11" t="inlineStr">
        <is>
          <t>created from list 1</t>
        </is>
      </c>
    </row>
    <row r="1338">
      <c r="A1338" s="11" t="inlineStr">
        <is>
          <t>L1-1337</t>
        </is>
      </c>
      <c r="B1338" s="11" t="inlineStr">
        <is>
          <t>List 1 (to ~2015)</t>
        </is>
      </c>
      <c r="C1338" s="11" t="inlineStr">
        <is>
          <t>list1</t>
        </is>
      </c>
      <c r="D1338" s="11" t="inlineStr">
        <is>
          <t>verified</t>
        </is>
      </c>
      <c r="E1338" s="11" t="inlineStr">
        <is>
          <t>overruled</t>
        </is>
      </c>
      <c r="F1338" s="2" t="inlineStr">
        <is>
          <t>Thakorbhai Dajibhiki Desai v. The State of Gujarat</t>
        </is>
      </c>
      <c r="G1338" s="11" t="inlineStr"/>
      <c r="H1338" s="11" t="inlineStr">
        <is>
          <t>Gujarat</t>
        </is>
      </c>
      <c r="I1338" s="2" t="inlineStr">
        <is>
          <t>AIR 1980 Guj 189; (1980) 1 GLR 808</t>
        </is>
      </c>
      <c r="J1338" s="11" t="n">
        <v>1980</v>
      </c>
      <c r="K1338" s="2" t="inlineStr">
        <is>
          <t>S. Vasudeva v. State of Karnataka and others</t>
        </is>
      </c>
      <c r="L1338" s="11" t="inlineStr">
        <is>
          <t>Supreme Court</t>
        </is>
      </c>
      <c r="M1338" s="2" t="inlineStr">
        <is>
          <t>AIR 1994 SC 923; (1993) 2 JT 465; (1993) 2 SCALE 244; (1993) 3 SCC 467; (1993) 2 SCR 715</t>
        </is>
      </c>
      <c r="N1338" s="11" t="n">
        <v>1994</v>
      </c>
      <c r="O1338" s="11" t="n"/>
      <c r="P1338" s="11" t="n"/>
      <c r="Q1338" s="11" t="n"/>
      <c r="R1338" s="2" t="n"/>
      <c r="S1338" s="2" t="n"/>
      <c r="T1338" s="11" t="inlineStr"/>
      <c r="U1338" s="11" t="inlineStr"/>
      <c r="V1338" s="11" t="inlineStr">
        <is>
          <t>outside_list</t>
        </is>
      </c>
      <c r="W1338" s="11" t="n"/>
      <c r="X1338" s="11" t="n"/>
      <c r="Y1338" s="11" t="n"/>
      <c r="Z1338" s="11" t="inlineStr">
        <is>
          <t>Mr. Advocate</t>
        </is>
      </c>
      <c r="AA1338" s="11" t="inlineStr">
        <is>
          <t>2026-10-07</t>
        </is>
      </c>
      <c r="AB1338" s="11" t="inlineStr">
        <is>
          <t>name_year</t>
        </is>
      </c>
      <c r="AC1338" s="2" t="inlineStr">
        <is>
          <t>L1-0417: overruled by T.R. Thandur v. Union of India (UOI) and Others (1996)</t>
        </is>
      </c>
      <c r="AD1338" s="2" t="inlineStr">
        <is>
          <t>Thakorbhai Dajibhiki Desai v. The State of Gujarat (1980) was overruled by S. Vasudeva v. State of Karnataka and others (1994). Note: S. Vasudeva v. State of Karnataka and others was itself later overruled by T.R. Thandur v. Union of India (UOI) and Others (1996); the current position should be checked.</t>
        </is>
      </c>
      <c r="AE1338" s="2" t="n"/>
      <c r="AF1338" s="11" t="inlineStr">
        <is>
          <t>created from list 1</t>
        </is>
      </c>
    </row>
    <row r="1339">
      <c r="A1339" s="11" t="inlineStr">
        <is>
          <t>L1-1338</t>
        </is>
      </c>
      <c r="B1339" s="11" t="inlineStr">
        <is>
          <t>List 1 (to ~2015)</t>
        </is>
      </c>
      <c r="C1339" s="11" t="inlineStr">
        <is>
          <t>list1</t>
        </is>
      </c>
      <c r="D1339" s="11" t="inlineStr">
        <is>
          <t>verified</t>
        </is>
      </c>
      <c r="E1339" s="11" t="inlineStr">
        <is>
          <t>overruled</t>
        </is>
      </c>
      <c r="F1339" s="2" t="inlineStr">
        <is>
          <t>Saurashtra Cement and Chemical Indus. Ltd. v. Union of India</t>
        </is>
      </c>
      <c r="G1339" s="11" t="inlineStr"/>
      <c r="H1339" s="11" t="inlineStr">
        <is>
          <t>unknown</t>
        </is>
      </c>
      <c r="I1339" s="2" t="inlineStr">
        <is>
          <t>(1993) 42 ECC 126; (1995) 79 ELT 367; (1993) 1 GLR 5</t>
        </is>
      </c>
      <c r="J1339" s="11" t="n">
        <v>1993</v>
      </c>
      <c r="K1339" s="2" t="inlineStr">
        <is>
          <t>Kolhapur Canesugar Works Ltd. and Another v. Union of India and Others</t>
        </is>
      </c>
      <c r="L1339" s="11" t="inlineStr">
        <is>
          <t>Supreme Court</t>
        </is>
      </c>
      <c r="M1339" s="2" t="inlineStr">
        <is>
          <t>AIR 2000 SC 811; (2000) 68 ECC 1; (2000) 119 ELT 257; (2000) 1 JT 453; (2000) 1 SCALE 369; (2000) 2 SCC 536; (2000) 1 SCR 518; (2000) AIRSCW 364; (2001) AIRSCW 2399; (2000) 1 Supreme 412</t>
        </is>
      </c>
      <c r="N1339" s="11" t="n">
        <v>2000</v>
      </c>
      <c r="O1339" s="11" t="n"/>
      <c r="P1339" s="11" t="n"/>
      <c r="Q1339" s="11" t="n"/>
      <c r="R1339" s="2" t="n"/>
      <c r="S1339" s="2" t="n"/>
      <c r="T1339" s="11" t="inlineStr"/>
      <c r="U1339" s="11" t="inlineStr"/>
      <c r="V1339" s="11" t="inlineStr">
        <is>
          <t>outside_list</t>
        </is>
      </c>
      <c r="W1339" s="11" t="n"/>
      <c r="X1339" s="11" t="n"/>
      <c r="Y1339" s="11" t="n"/>
      <c r="Z1339" s="11" t="inlineStr">
        <is>
          <t>Mr. Advocate</t>
        </is>
      </c>
      <c r="AA1339" s="11" t="inlineStr">
        <is>
          <t>2026-10-07</t>
        </is>
      </c>
      <c r="AB1339" s="11" t="inlineStr">
        <is>
          <t>name_year</t>
        </is>
      </c>
      <c r="AC1339" s="2" t="inlineStr"/>
      <c r="AD1339" s="2" t="inlineStr">
        <is>
          <t>Saurashtra Cement and Chemical Indus. Ltd. v. Union of India (1993) was overruled by Kolhapur Canesugar Works Ltd. and Another v. Union of India and Others (2000).</t>
        </is>
      </c>
      <c r="AE1339" s="2" t="n"/>
      <c r="AF1339" s="11" t="inlineStr">
        <is>
          <t>created from list 1</t>
        </is>
      </c>
    </row>
    <row r="1340">
      <c r="A1340" s="11" t="inlineStr">
        <is>
          <t>L1-1339</t>
        </is>
      </c>
      <c r="B1340" s="11" t="inlineStr">
        <is>
          <t>List 1 (to ~2015)</t>
        </is>
      </c>
      <c r="C1340" s="11" t="inlineStr">
        <is>
          <t>list1</t>
        </is>
      </c>
      <c r="D1340" s="11" t="inlineStr">
        <is>
          <t>verified</t>
        </is>
      </c>
      <c r="E1340" s="11" t="inlineStr">
        <is>
          <t>overruled</t>
        </is>
      </c>
      <c r="F1340" s="2" t="inlineStr">
        <is>
          <t>Jivrajbhai Vrajlal Patel v. State of Gujarat and Others</t>
        </is>
      </c>
      <c r="G1340" s="11" t="inlineStr"/>
      <c r="H1340" s="11" t="inlineStr">
        <is>
          <t>unknown</t>
        </is>
      </c>
      <c r="I1340" s="2" t="inlineStr">
        <is>
          <t>(1988) CriLJ 1160; (1988) 1 GLR 17</t>
        </is>
      </c>
      <c r="J1340" s="11" t="n">
        <v>1988</v>
      </c>
      <c r="K1340" s="2" t="inlineStr">
        <is>
          <t>State of Manipur and Others v. Sanasam Ongbi and Another</t>
        </is>
      </c>
      <c r="L1340" s="11" t="inlineStr">
        <is>
          <t>Supreme Court</t>
        </is>
      </c>
      <c r="M1340" s="2" t="inlineStr">
        <is>
          <t>AIR 1999 SC 3862; (2000) CriLJ 23; (1999) 3 Crimes 202; (1999) 3 CTC 608; (1999) 8 JT 228; (1999) 6 SCALE 554; (1999) 8 SCC 250; (1999) 3 SCR 641 Supp; (1999) AIRSCW 3941; (1999) 8 Supreme 595</t>
        </is>
      </c>
      <c r="N1340" s="11" t="n">
        <v>1999</v>
      </c>
      <c r="O1340" s="11" t="n"/>
      <c r="P1340" s="11" t="n"/>
      <c r="Q1340" s="11" t="n"/>
      <c r="R1340" s="2" t="n"/>
      <c r="S1340" s="2" t="n"/>
      <c r="T1340" s="11" t="inlineStr"/>
      <c r="U1340" s="11" t="inlineStr"/>
      <c r="V1340" s="11" t="inlineStr">
        <is>
          <t>outside_list</t>
        </is>
      </c>
      <c r="W1340" s="11" t="n"/>
      <c r="X1340" s="11" t="n"/>
      <c r="Y1340" s="11" t="n"/>
      <c r="Z1340" s="11" t="inlineStr">
        <is>
          <t>Mr. Advocate</t>
        </is>
      </c>
      <c r="AA1340" s="11" t="inlineStr">
        <is>
          <t>2026-10-07</t>
        </is>
      </c>
      <c r="AB1340" s="11" t="inlineStr">
        <is>
          <t>name_year</t>
        </is>
      </c>
      <c r="AC1340" s="2" t="inlineStr"/>
      <c r="AD1340" s="2" t="inlineStr">
        <is>
          <t>Jivrajbhai Vrajlal Patel v. State of Gujarat and Others (1988) was overruled by State of Manipur and Others v. Sanasam Ongbi and Another (1999).</t>
        </is>
      </c>
      <c r="AE1340" s="2" t="n"/>
      <c r="AF1340" s="11" t="inlineStr">
        <is>
          <t>created from list 1</t>
        </is>
      </c>
    </row>
    <row r="1341">
      <c r="A1341" s="11" t="inlineStr">
        <is>
          <t>L1-1340</t>
        </is>
      </c>
      <c r="B1341" s="11" t="inlineStr">
        <is>
          <t>List 1 (to ~2015)</t>
        </is>
      </c>
      <c r="C1341" s="11" t="inlineStr">
        <is>
          <t>list1</t>
        </is>
      </c>
      <c r="D1341" s="11" t="inlineStr">
        <is>
          <t>verified</t>
        </is>
      </c>
      <c r="E1341" s="11" t="inlineStr">
        <is>
          <t>overruled</t>
        </is>
      </c>
      <c r="F1341" s="2" t="inlineStr">
        <is>
          <t>Commissioner of Income Tax, Gujarat v. Tensile Steel Ltd.</t>
        </is>
      </c>
      <c r="G1341" s="11" t="inlineStr"/>
      <c r="H1341" s="11" t="inlineStr">
        <is>
          <t>unknown</t>
        </is>
      </c>
      <c r="I1341" s="2" t="inlineStr">
        <is>
          <t>(1983) 141 ITR 223</t>
        </is>
      </c>
      <c r="J1341" s="11" t="n">
        <v>1983</v>
      </c>
      <c r="K1341" s="2" t="inlineStr">
        <is>
          <t>Commissioner of Income Tax, Haryana v. M/s. Krishna Copper Steel Rolling Mills, Jagadhri etc.</t>
        </is>
      </c>
      <c r="L1341" s="11" t="inlineStr">
        <is>
          <t>Supreme Court</t>
        </is>
      </c>
      <c r="M1341" s="2" t="inlineStr">
        <is>
          <t>AIR 1992 SC 422; (1991) 3 CompLJ 367; (1991) 100 CTR 114; (1992) 193 ITR 281; (1991) 4 JT 350; (1991) 2 SCALE 1014; (1992) 1 SCC 732 Supp; (1991) 2 SCR 187 Supp; (1992) 60 TAXMAN 93</t>
        </is>
      </c>
      <c r="N1341" s="11" t="n">
        <v>1992</v>
      </c>
      <c r="O1341" s="11" t="n"/>
      <c r="P1341" s="11" t="n"/>
      <c r="Q1341" s="11" t="n"/>
      <c r="R1341" s="2" t="n"/>
      <c r="S1341" s="2" t="n"/>
      <c r="T1341" s="11" t="inlineStr"/>
      <c r="U1341" s="11" t="inlineStr"/>
      <c r="V1341" s="11" t="inlineStr">
        <is>
          <t>outside_list</t>
        </is>
      </c>
      <c r="W1341" s="11" t="n"/>
      <c r="X1341" s="11" t="n"/>
      <c r="Y1341" s="11" t="n"/>
      <c r="Z1341" s="11" t="inlineStr">
        <is>
          <t>Mr. Advocate</t>
        </is>
      </c>
      <c r="AA1341" s="11" t="inlineStr">
        <is>
          <t>2026-10-07</t>
        </is>
      </c>
      <c r="AB1341" s="11" t="inlineStr">
        <is>
          <t>name_year</t>
        </is>
      </c>
      <c r="AC1341" s="2" t="inlineStr"/>
      <c r="AD1341" s="2" t="inlineStr">
        <is>
          <t>Commissioner of Income Tax, Gujarat v. Tensile Steel Ltd. (1983) was overruled by Commissioner of Income Tax, Haryana v. M/s. Krishna Copper Steel Rolling Mills, Jagadhri etc. (1992).</t>
        </is>
      </c>
      <c r="AE1341" s="2" t="n"/>
      <c r="AF1341" s="11" t="inlineStr">
        <is>
          <t>created from list 1</t>
        </is>
      </c>
    </row>
    <row r="1342">
      <c r="A1342" s="11" t="inlineStr">
        <is>
          <t>L1-1341</t>
        </is>
      </c>
      <c r="B1342" s="11" t="inlineStr">
        <is>
          <t>List 1 (to ~2015)</t>
        </is>
      </c>
      <c r="C1342" s="11" t="inlineStr">
        <is>
          <t>list1</t>
        </is>
      </c>
      <c r="D1342" s="11" t="inlineStr">
        <is>
          <t>verified</t>
        </is>
      </c>
      <c r="E1342" s="11" t="inlineStr">
        <is>
          <t>overruled</t>
        </is>
      </c>
      <c r="F1342" s="2" t="inlineStr">
        <is>
          <t>Navsari Cotton Silk Mills Ltd. v. The State of Gujarat</t>
        </is>
      </c>
      <c r="G1342" s="11" t="inlineStr"/>
      <c r="H1342" s="11" t="inlineStr">
        <is>
          <t>unknown</t>
        </is>
      </c>
      <c r="I1342" s="2" t="inlineStr">
        <is>
          <t>(1976) 37 STC 140</t>
        </is>
      </c>
      <c r="J1342" s="11" t="n">
        <v>1976</v>
      </c>
      <c r="K1342" s="2" t="inlineStr">
        <is>
          <t>Assessing Authority-cum-excise and Taxation Officer, Gurgaon and Another v. East India Cotton Mfg. Co. Ltd., Faridabad</t>
        </is>
      </c>
      <c r="L1342" s="11" t="inlineStr">
        <is>
          <t>Supreme Court</t>
        </is>
      </c>
      <c r="M1342" s="2" t="inlineStr">
        <is>
          <t>AIR 1981 SC 1610; (1981) 3 SCALE 1067; (1981) 3 SCC 531; (1982) 1 SCR 55; (1981) 48 STC 239; (1981) 13 UJ 688</t>
        </is>
      </c>
      <c r="N1342" s="11" t="n">
        <v>1981</v>
      </c>
      <c r="O1342" s="11" t="n"/>
      <c r="P1342" s="11" t="n"/>
      <c r="Q1342" s="11" t="n"/>
      <c r="R1342" s="2" t="n"/>
      <c r="S1342" s="2" t="n"/>
      <c r="T1342" s="11" t="inlineStr"/>
      <c r="U1342" s="11" t="inlineStr"/>
      <c r="V1342" s="11" t="inlineStr">
        <is>
          <t>outside_list</t>
        </is>
      </c>
      <c r="W1342" s="11" t="n"/>
      <c r="X1342" s="11" t="n"/>
      <c r="Y1342" s="11" t="n"/>
      <c r="Z1342" s="11" t="inlineStr">
        <is>
          <t>Mr. Advocate</t>
        </is>
      </c>
      <c r="AA1342" s="11" t="inlineStr">
        <is>
          <t>2026-10-07</t>
        </is>
      </c>
      <c r="AB1342" s="11" t="inlineStr">
        <is>
          <t>name_year</t>
        </is>
      </c>
      <c r="AC1342" s="2" t="inlineStr"/>
      <c r="AD1342" s="2" t="inlineStr">
        <is>
          <t>Navsari Cotton Silk Mills Ltd. v. The State of Gujarat (1976) was overruled by Assessing Authority-cum-excise and Taxation Officer, Gurgaon and Another v. East India Cotton Mfg. Co. Ltd., Faridabad (1981).</t>
        </is>
      </c>
      <c r="AE1342" s="2" t="n"/>
      <c r="AF1342" s="11" t="inlineStr">
        <is>
          <t>created from list 1</t>
        </is>
      </c>
    </row>
    <row r="1343">
      <c r="A1343" s="11" t="inlineStr">
        <is>
          <t>L1-1342</t>
        </is>
      </c>
      <c r="B1343" s="11" t="inlineStr">
        <is>
          <t>List 1 (to ~2015)</t>
        </is>
      </c>
      <c r="C1343" s="11" t="inlineStr">
        <is>
          <t>list1</t>
        </is>
      </c>
      <c r="D1343" s="11" t="inlineStr">
        <is>
          <t>verified</t>
        </is>
      </c>
      <c r="E1343" s="11" t="inlineStr">
        <is>
          <t>reversed_on_appeal</t>
        </is>
      </c>
      <c r="F1343" s="2" t="inlineStr">
        <is>
          <t>Indravadan H. Shah v. State of Gujarat and Another</t>
        </is>
      </c>
      <c r="G1343" s="11" t="inlineStr"/>
      <c r="H1343" s="11" t="inlineStr">
        <is>
          <t>unknown</t>
        </is>
      </c>
      <c r="I1343" s="2" t="inlineStr">
        <is>
          <t>(1985) 1 GLR 541; (1985) 1 GLR 394; (1986) 1 LLJ 1</t>
        </is>
      </c>
      <c r="J1343" s="11" t="n">
        <v>1985</v>
      </c>
      <c r="K1343" s="2" t="inlineStr">
        <is>
          <t>Indravadan H. Shah v. State of Gujarat and Another</t>
        </is>
      </c>
      <c r="L1343" s="11" t="inlineStr">
        <is>
          <t>Supreme Court</t>
        </is>
      </c>
      <c r="M1343" s="2" t="inlineStr">
        <is>
          <t>AIR 1986 SC 1035; (1986) 2 LLJ 166; (1986) 1 SCALE 456; (1986) 1 SCC 254 Supp; (1986) SCC 254 Supp; (1986) 1 SCR 926; (1986) 3 SLJ 221; (1986) 2 UJ 10</t>
        </is>
      </c>
      <c r="N1343" s="11" t="n">
        <v>1986</v>
      </c>
      <c r="O1343" s="11" t="n"/>
      <c r="P1343" s="11" t="n"/>
      <c r="Q1343" s="11" t="n"/>
      <c r="R1343" s="2" t="n"/>
      <c r="S1343" s="2" t="n"/>
      <c r="T1343" s="11" t="inlineStr">
        <is>
          <t>yes</t>
        </is>
      </c>
      <c r="U1343" s="11" t="inlineStr"/>
      <c r="V1343" s="11" t="inlineStr">
        <is>
          <t>outside_list</t>
        </is>
      </c>
      <c r="W1343" s="11" t="n"/>
      <c r="X1343" s="11" t="n"/>
      <c r="Y1343" s="11" t="n"/>
      <c r="Z1343" s="11" t="inlineStr">
        <is>
          <t>Mr. Advocate</t>
        </is>
      </c>
      <c r="AA1343" s="11" t="inlineStr">
        <is>
          <t>2026-10-07</t>
        </is>
      </c>
      <c r="AB1343" s="11" t="inlineStr">
        <is>
          <t>name_year</t>
        </is>
      </c>
      <c r="AC1343" s="2" t="inlineStr"/>
      <c r="AD1343" s="2" t="inlineStr">
        <is>
          <t>Indravadan H. Shah v. State of Gujarat and Another (1985) was reversed on appeal by the Supreme Court in Indravadan H. Shah v. State of Gujarat and Another (1986).</t>
        </is>
      </c>
      <c r="AE1343" s="2" t="n"/>
      <c r="AF1343" s="11" t="inlineStr">
        <is>
          <t>created from list 1</t>
        </is>
      </c>
    </row>
    <row r="1344">
      <c r="A1344" s="11" t="inlineStr">
        <is>
          <t>L1-1343</t>
        </is>
      </c>
      <c r="B1344" s="11" t="inlineStr">
        <is>
          <t>List 1 (to ~2015)</t>
        </is>
      </c>
      <c r="C1344" s="11" t="inlineStr">
        <is>
          <t>list1</t>
        </is>
      </c>
      <c r="D1344" s="11" t="inlineStr">
        <is>
          <t>verified</t>
        </is>
      </c>
      <c r="E1344" s="11" t="inlineStr">
        <is>
          <t>overruled</t>
        </is>
      </c>
      <c r="F1344" s="2" t="inlineStr">
        <is>
          <t>Sayed Mohomed-Baquir and Another v. The State of Bombay now Gujarat</t>
        </is>
      </c>
      <c r="G1344" s="11" t="inlineStr"/>
      <c r="H1344" s="11" t="inlineStr">
        <is>
          <t>Gujarat</t>
        </is>
      </c>
      <c r="I1344" s="2" t="inlineStr">
        <is>
          <t>AIR 1977 Guj 62; (1977) 18 GLR 1</t>
        </is>
      </c>
      <c r="J1344" s="11" t="n">
        <v>1977</v>
      </c>
      <c r="K1344" s="2" t="inlineStr">
        <is>
          <t>Sayed Mohomed Baquir El-edroos (Dead) by Lrss. v. State of Gujarat</t>
        </is>
      </c>
      <c r="L1344" s="11" t="inlineStr">
        <is>
          <t>Supreme Court</t>
        </is>
      </c>
      <c r="M1344" s="2" t="inlineStr">
        <is>
          <t>AIR 1981 SC 2016; (1981) 3 SCALE 1555; (1981) 4 SCC 383; (1982) 1 SCR 882; (1981) 13 UJ 826</t>
        </is>
      </c>
      <c r="N1344" s="11" t="n">
        <v>1981</v>
      </c>
      <c r="O1344" s="11" t="n"/>
      <c r="P1344" s="11" t="n"/>
      <c r="Q1344" s="11" t="n"/>
      <c r="R1344" s="2" t="n"/>
      <c r="S1344" s="2" t="n"/>
      <c r="T1344" s="11" t="inlineStr"/>
      <c r="U1344" s="11" t="inlineStr"/>
      <c r="V1344" s="11" t="inlineStr">
        <is>
          <t>outside_list</t>
        </is>
      </c>
      <c r="W1344" s="11" t="n"/>
      <c r="X1344" s="11" t="n"/>
      <c r="Y1344" s="11" t="n"/>
      <c r="Z1344" s="11" t="inlineStr">
        <is>
          <t>Mr. Advocate</t>
        </is>
      </c>
      <c r="AA1344" s="11" t="inlineStr">
        <is>
          <t>2026-10-07</t>
        </is>
      </c>
      <c r="AB1344" s="11" t="inlineStr">
        <is>
          <t>name_year</t>
        </is>
      </c>
      <c r="AC1344" s="2" t="inlineStr"/>
      <c r="AD1344" s="2" t="inlineStr">
        <is>
          <t>Sayed Mohomed-Baquir and Another v. The State of Bombay now Gujarat (1977) was overruled by Sayed Mohomed Baquir El-edroos (Dead) by Lrss. v. State of Gujarat (1981).</t>
        </is>
      </c>
      <c r="AE1344" s="2" t="n"/>
      <c r="AF1344" s="11" t="inlineStr">
        <is>
          <t>created from list 1</t>
        </is>
      </c>
    </row>
    <row r="1345">
      <c r="A1345" s="11" t="inlineStr">
        <is>
          <t>L1-1344</t>
        </is>
      </c>
      <c r="B1345" s="11" t="inlineStr">
        <is>
          <t>List 1 (to ~2015)</t>
        </is>
      </c>
      <c r="C1345" s="11" t="inlineStr">
        <is>
          <t>list1</t>
        </is>
      </c>
      <c r="D1345" s="11" t="inlineStr">
        <is>
          <t>verified</t>
        </is>
      </c>
      <c r="E1345" s="11" t="inlineStr">
        <is>
          <t>reversed_on_appeal</t>
        </is>
      </c>
      <c r="F1345" s="2" t="inlineStr">
        <is>
          <t>Sabarmati Reti Udyog Kamdar Sahakari Mandal Ltd. v. Commissioner of Sales Tax, Gujarat State</t>
        </is>
      </c>
      <c r="G1345" s="11" t="inlineStr"/>
      <c r="H1345" s="11" t="inlineStr">
        <is>
          <t>unknown</t>
        </is>
      </c>
      <c r="I1345" s="2" t="inlineStr">
        <is>
          <t>(1972) 29 STC 419</t>
        </is>
      </c>
      <c r="J1345" s="11" t="n">
        <v>1972</v>
      </c>
      <c r="K1345" s="2" t="inlineStr">
        <is>
          <t>Commissioner of Sales Tax, Gujarat v. Sabarmati Reti Udyog Sahakari Mandali Ltd.</t>
        </is>
      </c>
      <c r="L1345" s="11" t="inlineStr">
        <is>
          <t>Supreme Court</t>
        </is>
      </c>
      <c r="M1345" s="2" t="inlineStr">
        <is>
          <t>AIR 1977 SC 197; (1976) 3 SCC 592; (1976) SCR 158 Supp; (1976) 38 STC 203; (1976) 8 UJ 557</t>
        </is>
      </c>
      <c r="N1345" s="11" t="n">
        <v>1977</v>
      </c>
      <c r="O1345" s="11" t="n"/>
      <c r="P1345" s="11" t="n"/>
      <c r="Q1345" s="11" t="n"/>
      <c r="R1345" s="2" t="n"/>
      <c r="S1345" s="2" t="n"/>
      <c r="T1345" s="11" t="inlineStr">
        <is>
          <t>yes</t>
        </is>
      </c>
      <c r="U1345" s="11" t="inlineStr"/>
      <c r="V1345" s="11" t="inlineStr">
        <is>
          <t>outside_list</t>
        </is>
      </c>
      <c r="W1345" s="11" t="n"/>
      <c r="X1345" s="11" t="n"/>
      <c r="Y1345" s="11" t="n"/>
      <c r="Z1345" s="11" t="inlineStr">
        <is>
          <t>Mr. Advocate</t>
        </is>
      </c>
      <c r="AA1345" s="11" t="inlineStr">
        <is>
          <t>2026-10-07</t>
        </is>
      </c>
      <c r="AB1345" s="11" t="inlineStr">
        <is>
          <t>name_year</t>
        </is>
      </c>
      <c r="AC1345" s="2" t="inlineStr"/>
      <c r="AD1345" s="2" t="inlineStr">
        <is>
          <t>Sabarmati Reti Udyog Kamdar Sahakari Mandal Ltd. v. Commissioner of Sales Tax, Gujarat State (1972) was reversed on appeal by the Supreme Court in Commissioner of Sales Tax, Gujarat v. Sabarmati Reti Udyog Sahakari Mandali Ltd. (1977).</t>
        </is>
      </c>
      <c r="AE1345" s="2" t="n"/>
      <c r="AF1345" s="11" t="inlineStr">
        <is>
          <t>created from list 1</t>
        </is>
      </c>
    </row>
    <row r="1346">
      <c r="A1346" s="11" t="inlineStr">
        <is>
          <t>L1-1345</t>
        </is>
      </c>
      <c r="B1346" s="11" t="inlineStr">
        <is>
          <t>List 1 (to ~2015)</t>
        </is>
      </c>
      <c r="C1346" s="11" t="inlineStr">
        <is>
          <t>list1</t>
        </is>
      </c>
      <c r="D1346" s="11" t="inlineStr">
        <is>
          <t>verified</t>
        </is>
      </c>
      <c r="E1346" s="11" t="inlineStr">
        <is>
          <t>reversed_on_appeal</t>
        </is>
      </c>
      <c r="F1346" s="2" t="inlineStr">
        <is>
          <t>Stock Exchange, Ahmedabad v. Assistant Commissioner of Income Tax</t>
        </is>
      </c>
      <c r="G1346" s="11" t="inlineStr"/>
      <c r="H1346" s="11" t="inlineStr">
        <is>
          <t>unknown</t>
        </is>
      </c>
      <c r="I1346" s="2" t="inlineStr">
        <is>
          <t>(1998) 94 CompCas 683; (1998) 231 ITR 906</t>
        </is>
      </c>
      <c r="J1346" s="11" t="n">
        <v>1998</v>
      </c>
      <c r="K1346" s="2" t="inlineStr">
        <is>
          <t>The Stock Exchange, Ahmedabad v. Asstt. Commissioner of Income Tax, Ahmedabad</t>
        </is>
      </c>
      <c r="L1346" s="11" t="inlineStr">
        <is>
          <t>Supreme Court</t>
        </is>
      </c>
      <c r="M1346" s="2" t="inlineStr">
        <is>
          <t>AIR 2001 SC 1071; (2001) 105 CompCas 76; (2001) 2 CompLJ 201; (2001) 166 CTR 285; (2001) 248 ITR 209; (2001) 3 JT 378; (2001) 2 SCALE 352; (2001) 3 SCC 559; (2001) 2 SCR 255; (2001) AIRSCW 986; (2001) 3 Supreme 119</t>
        </is>
      </c>
      <c r="N1346" s="11" t="n">
        <v>2001</v>
      </c>
      <c r="O1346" s="11" t="n"/>
      <c r="P1346" s="11" t="n"/>
      <c r="Q1346" s="11" t="n"/>
      <c r="R1346" s="2" t="n"/>
      <c r="S1346" s="2" t="n"/>
      <c r="T1346" s="11" t="inlineStr">
        <is>
          <t>yes</t>
        </is>
      </c>
      <c r="U1346" s="11" t="inlineStr"/>
      <c r="V1346" s="11" t="inlineStr">
        <is>
          <t>outside_list</t>
        </is>
      </c>
      <c r="W1346" s="11" t="n"/>
      <c r="X1346" s="11" t="n"/>
      <c r="Y1346" s="11" t="n"/>
      <c r="Z1346" s="11" t="inlineStr">
        <is>
          <t>Mr. Advocate</t>
        </is>
      </c>
      <c r="AA1346" s="11" t="inlineStr">
        <is>
          <t>2026-10-07</t>
        </is>
      </c>
      <c r="AB1346" s="11" t="inlineStr">
        <is>
          <t>name_year</t>
        </is>
      </c>
      <c r="AC1346" s="2" t="inlineStr"/>
      <c r="AD1346" s="2" t="inlineStr">
        <is>
          <t>Stock Exchange, Ahmedabad v. Assistant Commissioner of Income Tax (1998) was reversed on appeal by the Supreme Court in The Stock Exchange, Ahmedabad v. Asstt. Commissioner of Income Tax, Ahmedabad (2001).</t>
        </is>
      </c>
      <c r="AE1346" s="2" t="n"/>
      <c r="AF1346" s="11" t="inlineStr">
        <is>
          <t>created from list 1</t>
        </is>
      </c>
    </row>
    <row r="1347">
      <c r="A1347" s="11" t="inlineStr">
        <is>
          <t>L1-1346</t>
        </is>
      </c>
      <c r="B1347" s="11" t="inlineStr">
        <is>
          <t>List 1 (to ~2015)</t>
        </is>
      </c>
      <c r="C1347" s="11" t="inlineStr">
        <is>
          <t>list1</t>
        </is>
      </c>
      <c r="D1347" s="11" t="inlineStr">
        <is>
          <t>verified</t>
        </is>
      </c>
      <c r="E1347" s="11" t="inlineStr">
        <is>
          <t>overruled</t>
        </is>
      </c>
      <c r="F1347" s="2" t="inlineStr">
        <is>
          <t>Commissioner of Wealth Tax, Gujarat v. New Rajpur Mills Ltd.</t>
        </is>
      </c>
      <c r="G1347" s="11" t="inlineStr"/>
      <c r="H1347" s="11" t="inlineStr">
        <is>
          <t>Gujarat</t>
        </is>
      </c>
      <c r="I1347" s="2" t="inlineStr">
        <is>
          <t>AIR 1967 Guj 12</t>
        </is>
      </c>
      <c r="J1347" s="11" t="n">
        <v>1967</v>
      </c>
      <c r="K1347" s="2" t="inlineStr">
        <is>
          <t>Standard Mills Co. Ltd. v. Commissioner of Wealth-tax, Bombay City</t>
        </is>
      </c>
      <c r="L1347" s="11" t="inlineStr">
        <is>
          <t>Supreme Court</t>
        </is>
      </c>
      <c r="M1347" s="2" t="inlineStr">
        <is>
          <t>AIR 1967 SC 595; (1967) 63 ITR 470; (1967) 1 SCR 768</t>
        </is>
      </c>
      <c r="N1347" s="11" t="n">
        <v>1967</v>
      </c>
      <c r="O1347" s="11" t="n"/>
      <c r="P1347" s="11" t="n"/>
      <c r="Q1347" s="11" t="n"/>
      <c r="R1347" s="2" t="n"/>
      <c r="S1347" s="2" t="n"/>
      <c r="T1347" s="11" t="inlineStr"/>
      <c r="U1347" s="11" t="inlineStr"/>
      <c r="V1347" s="11" t="inlineStr">
        <is>
          <t>outside_list</t>
        </is>
      </c>
      <c r="W1347" s="11" t="n"/>
      <c r="X1347" s="11" t="n"/>
      <c r="Y1347" s="11" t="n"/>
      <c r="Z1347" s="11" t="inlineStr">
        <is>
          <t>Mr. Advocate</t>
        </is>
      </c>
      <c r="AA1347" s="11" t="inlineStr">
        <is>
          <t>2026-10-07</t>
        </is>
      </c>
      <c r="AB1347" s="11" t="inlineStr">
        <is>
          <t>name_year</t>
        </is>
      </c>
      <c r="AC1347" s="2" t="inlineStr"/>
      <c r="AD1347" s="2" t="inlineStr">
        <is>
          <t>Commissioner of Wealth Tax, Gujarat v. New Rajpur Mills Ltd. (1967) was overruled by Standard Mills Co. Ltd. v. Commissioner of Wealth-tax, Bombay City (1967).</t>
        </is>
      </c>
      <c r="AE1347" s="2" t="n"/>
      <c r="AF1347" s="11" t="inlineStr">
        <is>
          <t>created from list 1</t>
        </is>
      </c>
    </row>
    <row r="1348">
      <c r="A1348" s="11" t="inlineStr">
        <is>
          <t>L1-1347</t>
        </is>
      </c>
      <c r="B1348" s="11" t="inlineStr">
        <is>
          <t>List 1 (to ~2015)</t>
        </is>
      </c>
      <c r="C1348" s="11" t="inlineStr">
        <is>
          <t>list1</t>
        </is>
      </c>
      <c r="D1348" s="11" t="inlineStr">
        <is>
          <t>verified</t>
        </is>
      </c>
      <c r="E1348" s="11" t="inlineStr">
        <is>
          <t>overruled</t>
        </is>
      </c>
      <c r="F1348" s="2" t="inlineStr">
        <is>
          <t>Ramjubhai Kalidas v. I.G. Desai Income Tax Officer and Others</t>
        </is>
      </c>
      <c r="G1348" s="11" t="inlineStr"/>
      <c r="H1348" s="11" t="inlineStr">
        <is>
          <t>unknown</t>
        </is>
      </c>
      <c r="I1348" s="2" t="inlineStr">
        <is>
          <t>(1971) 80 ITR 721</t>
        </is>
      </c>
      <c r="J1348" s="11" t="n">
        <v>1971</v>
      </c>
      <c r="K1348" s="2" t="inlineStr">
        <is>
          <t>The Director of Inspection of Income Tax (Investigation), New Delhi and Another v. Pooran Mal and Sons and Another</t>
        </is>
      </c>
      <c r="L1348" s="11" t="inlineStr">
        <is>
          <t>Supreme Court</t>
        </is>
      </c>
      <c r="M1348" s="2" t="inlineStr">
        <is>
          <t>AIR 1975 SC 67; (1974) 96 ITR 390; (1975) 4 SCC 568; (1975) 2 SCR 104</t>
        </is>
      </c>
      <c r="N1348" s="11" t="n">
        <v>1975</v>
      </c>
      <c r="O1348" s="11" t="n"/>
      <c r="P1348" s="11" t="n"/>
      <c r="Q1348" s="11" t="n"/>
      <c r="R1348" s="2" t="n"/>
      <c r="S1348" s="2" t="n"/>
      <c r="T1348" s="11" t="inlineStr"/>
      <c r="U1348" s="11" t="inlineStr"/>
      <c r="V1348" s="11" t="inlineStr">
        <is>
          <t>outside_list</t>
        </is>
      </c>
      <c r="W1348" s="11" t="n"/>
      <c r="X1348" s="11" t="n"/>
      <c r="Y1348" s="11" t="n"/>
      <c r="Z1348" s="11" t="inlineStr">
        <is>
          <t>Mr. Advocate</t>
        </is>
      </c>
      <c r="AA1348" s="11" t="inlineStr">
        <is>
          <t>2026-10-07</t>
        </is>
      </c>
      <c r="AB1348" s="11" t="inlineStr">
        <is>
          <t>name_year</t>
        </is>
      </c>
      <c r="AC1348" s="2" t="inlineStr"/>
      <c r="AD1348" s="2" t="inlineStr">
        <is>
          <t>Ramjubhai Kalidas v. I.G. Desai Income Tax Officer and Others (1971) was overruled by The Director of Inspection of Income Tax (Investigation), New Delhi and Another v. Pooran Mal and Sons and Another (1975).</t>
        </is>
      </c>
      <c r="AE1348" s="2" t="n"/>
      <c r="AF1348" s="11" t="inlineStr">
        <is>
          <t>created from list 1</t>
        </is>
      </c>
    </row>
    <row r="1349">
      <c r="A1349" s="11" t="inlineStr">
        <is>
          <t>L1-1348</t>
        </is>
      </c>
      <c r="B1349" s="11" t="inlineStr">
        <is>
          <t>List 1 (to ~2015)</t>
        </is>
      </c>
      <c r="C1349" s="11" t="inlineStr">
        <is>
          <t>list1</t>
        </is>
      </c>
      <c r="D1349" s="11" t="inlineStr">
        <is>
          <t>verified</t>
        </is>
      </c>
      <c r="E1349" s="11" t="inlineStr">
        <is>
          <t>reversed_on_appeal</t>
        </is>
      </c>
      <c r="F1349" s="2" t="inlineStr">
        <is>
          <t>Ahmedabad Manufacturing and Calico Printing Co. Ltd. v. A.V. Joshi, Income Tax Officer, Companies Circle IV, Ahmedabad</t>
        </is>
      </c>
      <c r="G1349" s="11" t="inlineStr"/>
      <c r="H1349" s="11" t="inlineStr">
        <is>
          <t>unknown</t>
        </is>
      </c>
      <c r="I1349" s="2" t="inlineStr">
        <is>
          <t>(1979) 118 ITR 544</t>
        </is>
      </c>
      <c r="J1349" s="11" t="n">
        <v>1979</v>
      </c>
      <c r="K1349" s="2" t="inlineStr">
        <is>
          <t>Ahmedabad Manufacturing and Calico Printing Co. Ltd. and Another v. A.V. Joshi</t>
        </is>
      </c>
      <c r="L1349" s="11" t="inlineStr">
        <is>
          <t>Supreme Court</t>
        </is>
      </c>
      <c r="M1349" s="2" t="inlineStr">
        <is>
          <t>(1996) 2 AD 587; AIR 1996 SC 2949; (1996) 132 CTR 269; (1996) 219 ITR 572; (1996) 3 JT 81; (1996) 2 SCALE 610; (1996) 9 SCC 407; (1996) 3 SCR 150; (1996) 85 TAXMAN 586</t>
        </is>
      </c>
      <c r="N1349" s="11" t="n">
        <v>1996</v>
      </c>
      <c r="O1349" s="11" t="n"/>
      <c r="P1349" s="11" t="n"/>
      <c r="Q1349" s="11" t="n"/>
      <c r="R1349" s="2" t="n"/>
      <c r="S1349" s="2" t="n"/>
      <c r="T1349" s="11" t="inlineStr">
        <is>
          <t>yes</t>
        </is>
      </c>
      <c r="U1349" s="11" t="inlineStr"/>
      <c r="V1349" s="11" t="inlineStr">
        <is>
          <t>outside_list</t>
        </is>
      </c>
      <c r="W1349" s="11" t="n"/>
      <c r="X1349" s="11" t="n"/>
      <c r="Y1349" s="11" t="n"/>
      <c r="Z1349" s="11" t="inlineStr">
        <is>
          <t>Mr. Advocate</t>
        </is>
      </c>
      <c r="AA1349" s="11" t="inlineStr">
        <is>
          <t>2026-10-07</t>
        </is>
      </c>
      <c r="AB1349" s="11" t="inlineStr">
        <is>
          <t>name_year</t>
        </is>
      </c>
      <c r="AC1349" s="2" t="inlineStr"/>
      <c r="AD1349" s="2" t="inlineStr">
        <is>
          <t>Ahmedabad Manufacturing and Calico Printing Co. Ltd. v. A.V. Joshi, Income Tax Officer, Companies Circle IV, Ahmedabad (1979) was reversed on appeal by the Supreme Court in Ahmedabad Manufacturing and Calico Printing Co. Ltd. and Another v. A.V. Joshi (1996).</t>
        </is>
      </c>
      <c r="AE1349" s="2" t="n"/>
      <c r="AF1349" s="11" t="inlineStr">
        <is>
          <t>created from list 1</t>
        </is>
      </c>
    </row>
    <row r="1350">
      <c r="A1350" s="11" t="inlineStr">
        <is>
          <t>L1-1349</t>
        </is>
      </c>
      <c r="B1350" s="11" t="inlineStr">
        <is>
          <t>List 1 (to ~2015)</t>
        </is>
      </c>
      <c r="C1350" s="11" t="inlineStr">
        <is>
          <t>list1</t>
        </is>
      </c>
      <c r="D1350" s="11" t="inlineStr">
        <is>
          <t>verified</t>
        </is>
      </c>
      <c r="E1350" s="11" t="inlineStr">
        <is>
          <t>overruled</t>
        </is>
      </c>
      <c r="F1350" s="2" t="inlineStr">
        <is>
          <t>Ramanlal Govindram v. Ahmedabad Municipal Corporation and Others</t>
        </is>
      </c>
      <c r="G1350" s="11" t="inlineStr"/>
      <c r="H1350" s="11" t="inlineStr">
        <is>
          <t>unknown</t>
        </is>
      </c>
      <c r="I1350" s="2" t="inlineStr">
        <is>
          <t>(1970) 11 GLR 1</t>
        </is>
      </c>
      <c r="J1350" s="11" t="n">
        <v>1970</v>
      </c>
      <c r="K1350" s="2" t="inlineStr">
        <is>
          <t>State of Gujarat v. Dharamdas Viranand and Others</t>
        </is>
      </c>
      <c r="L1350" s="11" t="inlineStr">
        <is>
          <t>Supreme Court</t>
        </is>
      </c>
      <c r="M1350" s="2" t="inlineStr">
        <is>
          <t>AIR 1982 SC 781; (1983) 1 SCALE 1771; (1981) 3 SCALE 1771; (1982) 1 SCC 370; (1982) 14 UJ 32</t>
        </is>
      </c>
      <c r="N1350" s="11" t="n">
        <v>1982</v>
      </c>
      <c r="O1350" s="11" t="n"/>
      <c r="P1350" s="11" t="n"/>
      <c r="Q1350" s="11" t="n"/>
      <c r="R1350" s="2" t="n"/>
      <c r="S1350" s="2" t="n"/>
      <c r="T1350" s="11" t="inlineStr"/>
      <c r="U1350" s="11" t="inlineStr"/>
      <c r="V1350" s="11" t="inlineStr">
        <is>
          <t>outside_list</t>
        </is>
      </c>
      <c r="W1350" s="11" t="n"/>
      <c r="X1350" s="11" t="n"/>
      <c r="Y1350" s="11" t="n"/>
      <c r="Z1350" s="11" t="inlineStr">
        <is>
          <t>Mr. Advocate</t>
        </is>
      </c>
      <c r="AA1350" s="11" t="inlineStr">
        <is>
          <t>2026-10-07</t>
        </is>
      </c>
      <c r="AB1350" s="11" t="inlineStr">
        <is>
          <t>name_year</t>
        </is>
      </c>
      <c r="AC1350" s="2" t="inlineStr"/>
      <c r="AD1350" s="2" t="inlineStr">
        <is>
          <t>Ramanlal Govindram v. Ahmedabad Municipal Corporation and Others (1970) was overruled by State of Gujarat v. Dharamdas Viranand and Others (1982).</t>
        </is>
      </c>
      <c r="AE1350" s="2" t="n"/>
      <c r="AF1350" s="11" t="inlineStr">
        <is>
          <t>created from list 1</t>
        </is>
      </c>
    </row>
    <row r="1351">
      <c r="A1351" s="11" t="inlineStr">
        <is>
          <t>L1-1350</t>
        </is>
      </c>
      <c r="B1351" s="11" t="inlineStr">
        <is>
          <t>List 1 (to ~2015)</t>
        </is>
      </c>
      <c r="C1351" s="11" t="inlineStr">
        <is>
          <t>list1</t>
        </is>
      </c>
      <c r="D1351" s="11" t="inlineStr">
        <is>
          <t>verified</t>
        </is>
      </c>
      <c r="E1351" s="11" t="inlineStr">
        <is>
          <t>overruled</t>
        </is>
      </c>
      <c r="F1351" s="2" t="inlineStr">
        <is>
          <t>Arvind Mills Ltd. v. Commissioner of Income Tax, Gujarat- II</t>
        </is>
      </c>
      <c r="G1351" s="11" t="inlineStr"/>
      <c r="H1351" s="11" t="inlineStr">
        <is>
          <t>unknown</t>
        </is>
      </c>
      <c r="I1351" s="2" t="inlineStr">
        <is>
          <t>(1978) 112 ITR 64</t>
        </is>
      </c>
      <c r="J1351" s="11" t="n">
        <v>1978</v>
      </c>
      <c r="K1351" s="2" t="inlineStr">
        <is>
          <t>Shri Bishan Dass Bagha v. Government of Punjab and others</t>
        </is>
      </c>
      <c r="L1351" s="11" t="inlineStr">
        <is>
          <t>Supreme Court</t>
        </is>
      </c>
      <c r="M1351" s="2" t="inlineStr">
        <is>
          <t>AIR 1993 SC 972; AIR 1992 SC 972; (1992) 1 JT 453; (1993) LabIC 95; (1992) 1 SCALE 247; (1992) 2 SCC 193; (1992) 1 UJ 464</t>
        </is>
      </c>
      <c r="N1351" s="11" t="n">
        <v>1993</v>
      </c>
      <c r="O1351" s="11" t="n"/>
      <c r="P1351" s="11" t="n"/>
      <c r="Q1351" s="11" t="n"/>
      <c r="R1351" s="2" t="n"/>
      <c r="S1351" s="2" t="n"/>
      <c r="T1351" s="11" t="inlineStr"/>
      <c r="U1351" s="11" t="inlineStr"/>
      <c r="V1351" s="11" t="inlineStr">
        <is>
          <t>outside_list</t>
        </is>
      </c>
      <c r="W1351" s="11" t="n"/>
      <c r="X1351" s="11" t="n"/>
      <c r="Y1351" s="11" t="n"/>
      <c r="Z1351" s="11" t="inlineStr">
        <is>
          <t>Mr. Advocate</t>
        </is>
      </c>
      <c r="AA1351" s="11" t="inlineStr">
        <is>
          <t>2026-10-07</t>
        </is>
      </c>
      <c r="AB1351" s="11" t="inlineStr">
        <is>
          <t>name_year</t>
        </is>
      </c>
      <c r="AC1351" s="2" t="inlineStr"/>
      <c r="AD1351" s="2" t="inlineStr">
        <is>
          <t>Arvind Mills Ltd. v. Commissioner of Income Tax, Gujarat- II (1978) was overruled by Shri Bishan Dass Bagha v. Government of Punjab and others (1993).</t>
        </is>
      </c>
      <c r="AE1351" s="2" t="n"/>
      <c r="AF1351" s="11" t="inlineStr">
        <is>
          <t>created from list 1</t>
        </is>
      </c>
    </row>
    <row r="1352">
      <c r="A1352" s="11" t="inlineStr">
        <is>
          <t>L1-1351</t>
        </is>
      </c>
      <c r="B1352" s="11" t="inlineStr">
        <is>
          <t>List 1 (to ~2015)</t>
        </is>
      </c>
      <c r="C1352" s="11" t="inlineStr">
        <is>
          <t>list1</t>
        </is>
      </c>
      <c r="D1352" s="11" t="inlineStr">
        <is>
          <t>verified</t>
        </is>
      </c>
      <c r="E1352" s="11" t="inlineStr">
        <is>
          <t>overruled</t>
        </is>
      </c>
      <c r="F1352" s="2" t="inlineStr">
        <is>
          <t>Commissioner of Wealth Tax, Gujarat-I v. Ashok K. Parikh</t>
        </is>
      </c>
      <c r="G1352" s="11" t="inlineStr"/>
      <c r="H1352" s="11" t="inlineStr">
        <is>
          <t>unknown</t>
        </is>
      </c>
      <c r="I1352" s="2" t="inlineStr">
        <is>
          <t>(1981) 129 ITR 46</t>
        </is>
      </c>
      <c r="J1352" s="11" t="n">
        <v>1981</v>
      </c>
      <c r="K1352" s="2" t="inlineStr">
        <is>
          <t>Bharat Hari Singhania and others v. Commissioner of Wealth Tax (Central) and others</t>
        </is>
      </c>
      <c r="L1352" s="11" t="inlineStr">
        <is>
          <t>Supreme Court</t>
        </is>
      </c>
      <c r="M1352" s="2" t="inlineStr">
        <is>
          <t>AIR 1994 SC 1355; (1994) 118 CTR 125; (1994) 207 ITR 1; (1994) 2 JT 6; (1994) 1 SCALE 644; (1994) 3 SCC 46 Supp; (1994) 1 SCR 1033; (1994) 73 TAXMAN 3</t>
        </is>
      </c>
      <c r="N1352" s="11" t="n">
        <v>1994</v>
      </c>
      <c r="O1352" s="11" t="n"/>
      <c r="P1352" s="11" t="n"/>
      <c r="Q1352" s="11" t="n"/>
      <c r="R1352" s="2" t="n"/>
      <c r="S1352" s="2" t="n"/>
      <c r="T1352" s="11" t="inlineStr"/>
      <c r="U1352" s="11" t="inlineStr"/>
      <c r="V1352" s="11" t="inlineStr">
        <is>
          <t>outside_list</t>
        </is>
      </c>
      <c r="W1352" s="11" t="n"/>
      <c r="X1352" s="11" t="n"/>
      <c r="Y1352" s="11" t="n"/>
      <c r="Z1352" s="11" t="inlineStr">
        <is>
          <t>Mr. Advocate</t>
        </is>
      </c>
      <c r="AA1352" s="11" t="inlineStr">
        <is>
          <t>2026-10-07</t>
        </is>
      </c>
      <c r="AB1352" s="11" t="inlineStr">
        <is>
          <t>name_year</t>
        </is>
      </c>
      <c r="AC1352" s="2" t="inlineStr"/>
      <c r="AD1352" s="2" t="inlineStr">
        <is>
          <t>Commissioner of Wealth Tax, Gujarat-I v. Ashok K. Parikh (1981) was overruled by Bharat Hari Singhania and others v. Commissioner of Wealth Tax (Central) and others (1994).</t>
        </is>
      </c>
      <c r="AE1352" s="2" t="n"/>
      <c r="AF1352" s="11" t="inlineStr">
        <is>
          <t>created from list 1</t>
        </is>
      </c>
    </row>
    <row r="1353">
      <c r="A1353" s="11" t="inlineStr">
        <is>
          <t>L1-1352</t>
        </is>
      </c>
      <c r="B1353" s="11" t="inlineStr">
        <is>
          <t>List 1 (to ~2015)</t>
        </is>
      </c>
      <c r="C1353" s="11" t="inlineStr">
        <is>
          <t>list1</t>
        </is>
      </c>
      <c r="D1353" s="11" t="inlineStr">
        <is>
          <t>verified</t>
        </is>
      </c>
      <c r="E1353" s="11" t="inlineStr">
        <is>
          <t>reversed_on_appeal</t>
        </is>
      </c>
      <c r="F1353" s="2" t="inlineStr">
        <is>
          <t>State of Gujarat v. Babubhai Udesing Parmar</t>
        </is>
      </c>
      <c r="G1353" s="11" t="inlineStr"/>
      <c r="H1353" s="11" t="inlineStr">
        <is>
          <t>unknown</t>
        </is>
      </c>
      <c r="I1353" s="2" t="inlineStr">
        <is>
          <t>(2005) 3 GLR 2491</t>
        </is>
      </c>
      <c r="J1353" s="11" t="n">
        <v>2005</v>
      </c>
      <c r="K1353" s="2" t="inlineStr">
        <is>
          <t>Babubhai Udesinh Parmar v. State of Gujarat</t>
        </is>
      </c>
      <c r="L1353" s="11" t="inlineStr">
        <is>
          <t>Supreme Court</t>
        </is>
      </c>
      <c r="M1353" s="2" t="inlineStr">
        <is>
          <t>AIR 2007 SC 420; (2007) CriLJ 786; (2006) 12 SCALE 385; (2006) 9 SCR 401 Supp</t>
        </is>
      </c>
      <c r="N1353" s="11" t="n">
        <v>2007</v>
      </c>
      <c r="O1353" s="11" t="n"/>
      <c r="P1353" s="11" t="n"/>
      <c r="Q1353" s="11" t="n"/>
      <c r="R1353" s="2" t="n"/>
      <c r="S1353" s="2" t="n"/>
      <c r="T1353" s="11" t="inlineStr">
        <is>
          <t>yes</t>
        </is>
      </c>
      <c r="U1353" s="11" t="inlineStr"/>
      <c r="V1353" s="11" t="inlineStr">
        <is>
          <t>outside_list</t>
        </is>
      </c>
      <c r="W1353" s="11" t="n"/>
      <c r="X1353" s="11" t="n"/>
      <c r="Y1353" s="11" t="n"/>
      <c r="Z1353" s="11" t="inlineStr">
        <is>
          <t>Mr. Advocate</t>
        </is>
      </c>
      <c r="AA1353" s="11" t="inlineStr">
        <is>
          <t>2026-10-07</t>
        </is>
      </c>
      <c r="AB1353" s="11" t="inlineStr">
        <is>
          <t>name_year</t>
        </is>
      </c>
      <c r="AC1353" s="2" t="inlineStr"/>
      <c r="AD1353" s="2" t="inlineStr">
        <is>
          <t>State of Gujarat v. Babubhai Udesing Parmar (2005) was reversed on appeal by the Supreme Court in Babubhai Udesinh Parmar v. State of Gujarat (2007).</t>
        </is>
      </c>
      <c r="AE1353" s="2" t="n"/>
      <c r="AF1353" s="11" t="inlineStr">
        <is>
          <t>created from list 1</t>
        </is>
      </c>
    </row>
    <row r="1354">
      <c r="A1354" s="11" t="inlineStr">
        <is>
          <t>L1-1353</t>
        </is>
      </c>
      <c r="B1354" s="11" t="inlineStr">
        <is>
          <t>List 1 (to ~2015)</t>
        </is>
      </c>
      <c r="C1354" s="11" t="inlineStr">
        <is>
          <t>list1</t>
        </is>
      </c>
      <c r="D1354" s="11" t="inlineStr">
        <is>
          <t>verified</t>
        </is>
      </c>
      <c r="E1354" s="11" t="inlineStr">
        <is>
          <t>overruled</t>
        </is>
      </c>
      <c r="F1354" s="2" t="inlineStr">
        <is>
          <t>Commissioner of Income Tax, Gujarat I v. Gujarat State Warehousing Corporation</t>
        </is>
      </c>
      <c r="G1354" s="11" t="inlineStr"/>
      <c r="H1354" s="11" t="inlineStr">
        <is>
          <t>unknown</t>
        </is>
      </c>
      <c r="I1354" s="2" t="inlineStr">
        <is>
          <t>(1976) 104 ITR 1</t>
        </is>
      </c>
      <c r="J1354" s="11" t="n">
        <v>1976</v>
      </c>
      <c r="K1354" s="2" t="inlineStr">
        <is>
          <t>Commissioner of Income Tax v. Mahendra Mills</t>
        </is>
      </c>
      <c r="L1354" s="11" t="inlineStr">
        <is>
          <t>Supreme Court</t>
        </is>
      </c>
      <c r="M1354" s="2" t="inlineStr">
        <is>
          <t>AIR 2000 SC 1960; (2000) 159 CTR 381; (2000) 243 ITR 56; (2000) 3 JT 405; (2000) 2 SCALE 384; (2000) 3 SCC 615; (2000) 2 SCR 465; (2000) AIRSCW 1016; (2000) 3 Supreme 102</t>
        </is>
      </c>
      <c r="N1354" s="11" t="n">
        <v>2000</v>
      </c>
      <c r="O1354" s="11" t="n"/>
      <c r="P1354" s="11" t="n"/>
      <c r="Q1354" s="11" t="n"/>
      <c r="R1354" s="2" t="n"/>
      <c r="S1354" s="2" t="n"/>
      <c r="T1354" s="11" t="inlineStr"/>
      <c r="U1354" s="11" t="inlineStr">
        <is>
          <t>needs_citation_or_year</t>
        </is>
      </c>
      <c r="V1354" s="11" t="inlineStr">
        <is>
          <t>outside_list</t>
        </is>
      </c>
      <c r="W1354" s="11" t="n"/>
      <c r="X1354" s="11" t="n"/>
      <c r="Y1354" s="11" t="n"/>
      <c r="Z1354" s="11" t="inlineStr">
        <is>
          <t>Mr. Advocate</t>
        </is>
      </c>
      <c r="AA1354" s="11" t="inlineStr">
        <is>
          <t>2026-10-07</t>
        </is>
      </c>
      <c r="AB1354" s="11" t="inlineStr">
        <is>
          <t>none</t>
        </is>
      </c>
      <c r="AC1354" s="2" t="inlineStr"/>
      <c r="AD1354" s="2" t="inlineStr">
        <is>
          <t>Commissioner of Income Tax, Gujarat I v. Gujarat State Warehousing Corporation (1976) was overruled by Commissioner of Income Tax v. Mahendra Mills (2000).</t>
        </is>
      </c>
      <c r="AE1354" s="2" t="n"/>
      <c r="AF1354" s="11" t="inlineStr">
        <is>
          <t>created from list 1</t>
        </is>
      </c>
    </row>
    <row r="1355">
      <c r="A1355" s="11" t="inlineStr">
        <is>
          <t>L1-1354</t>
        </is>
      </c>
      <c r="B1355" s="11" t="inlineStr">
        <is>
          <t>List 1 (to ~2015)</t>
        </is>
      </c>
      <c r="C1355" s="11" t="inlineStr">
        <is>
          <t>list1</t>
        </is>
      </c>
      <c r="D1355" s="11" t="inlineStr">
        <is>
          <t>verified</t>
        </is>
      </c>
      <c r="E1355" s="11" t="inlineStr">
        <is>
          <t>overruled</t>
        </is>
      </c>
      <c r="F1355" s="2" t="inlineStr">
        <is>
          <t>Ghanshyam Kisan Borikar v. L.D. Engineering College and Others</t>
        </is>
      </c>
      <c r="G1355" s="11" t="inlineStr"/>
      <c r="H1355" s="11" t="inlineStr">
        <is>
          <t>Gujarat</t>
        </is>
      </c>
      <c r="I1355" s="2" t="inlineStr">
        <is>
          <t>AIR 1987 Guj 83</t>
        </is>
      </c>
      <c r="J1355" s="11" t="n">
        <v>1987</v>
      </c>
      <c r="K1355" s="2" t="inlineStr">
        <is>
          <t>Marri Chandra Shekhar Rao v. Dean, Seth G.S. Medical College and Others</t>
        </is>
      </c>
      <c r="L1355" s="11" t="inlineStr">
        <is>
          <t>Supreme Court</t>
        </is>
      </c>
      <c r="M1355" s="2" t="inlineStr">
        <is>
          <t>(1990) 2 JT 285; (1990) 3 SCC 130; (1990) 2 SCR 843; (1990) 3 SLJ 18; (1990) 2 UJ 117</t>
        </is>
      </c>
      <c r="N1355" s="11" t="n">
        <v>1990</v>
      </c>
      <c r="O1355" s="11" t="n"/>
      <c r="P1355" s="11" t="n"/>
      <c r="Q1355" s="11" t="n"/>
      <c r="R1355" s="2" t="n"/>
      <c r="S1355" s="2" t="n"/>
      <c r="T1355" s="11" t="inlineStr"/>
      <c r="U1355" s="11" t="inlineStr"/>
      <c r="V1355" s="11" t="inlineStr">
        <is>
          <t>outside_list</t>
        </is>
      </c>
      <c r="W1355" s="11" t="n"/>
      <c r="X1355" s="11" t="n"/>
      <c r="Y1355" s="11" t="n"/>
      <c r="Z1355" s="11" t="inlineStr">
        <is>
          <t>Mr. Advocate</t>
        </is>
      </c>
      <c r="AA1355" s="11" t="inlineStr">
        <is>
          <t>2026-10-07</t>
        </is>
      </c>
      <c r="AB1355" s="11" t="inlineStr">
        <is>
          <t>name_year</t>
        </is>
      </c>
      <c r="AC1355" s="2" t="inlineStr"/>
      <c r="AD1355" s="2" t="inlineStr">
        <is>
          <t>Ghanshyam Kisan Borikar v. L.D. Engineering College and Others (1987) was overruled by Marri Chandra Shekhar Rao v. Dean, Seth G.S. Medical College and Others (1990).</t>
        </is>
      </c>
      <c r="AE1355" s="2" t="n"/>
      <c r="AF1355" s="11" t="inlineStr">
        <is>
          <t>created from list 1</t>
        </is>
      </c>
    </row>
    <row r="1356">
      <c r="A1356" s="11" t="inlineStr">
        <is>
          <t>L1-1355</t>
        </is>
      </c>
      <c r="B1356" s="11" t="inlineStr">
        <is>
          <t>List 1 (to ~2015)</t>
        </is>
      </c>
      <c r="C1356" s="11" t="inlineStr">
        <is>
          <t>list1</t>
        </is>
      </c>
      <c r="D1356" s="11" t="inlineStr">
        <is>
          <t>verified</t>
        </is>
      </c>
      <c r="E1356" s="11" t="inlineStr">
        <is>
          <t>overruled</t>
        </is>
      </c>
      <c r="F1356" s="2" t="inlineStr">
        <is>
          <t>Shah Ambalal Chhotalal and Others v. Shah Babaldas Dayabhai and Others</t>
        </is>
      </c>
      <c r="G1356" s="11" t="inlineStr"/>
      <c r="H1356" s="11" t="inlineStr">
        <is>
          <t>Gujarat</t>
        </is>
      </c>
      <c r="I1356" s="2" t="inlineStr">
        <is>
          <t>AIR 1964 Guj 9; (1962) GLR 625</t>
        </is>
      </c>
      <c r="J1356" s="11" t="n">
        <v>1964</v>
      </c>
      <c r="K1356" s="2" t="inlineStr">
        <is>
          <t>Mrs. Manorama S. Masurekar v. Mrs. Dhanlaxmi G. Shah and Another</t>
        </is>
      </c>
      <c r="L1356" s="11" t="inlineStr">
        <is>
          <t>Supreme Court</t>
        </is>
      </c>
      <c r="M1356" s="2" t="inlineStr">
        <is>
          <t>AIR 1967 SC 1078; (1967) 1 SCR 135</t>
        </is>
      </c>
      <c r="N1356" s="11" t="n">
        <v>1967</v>
      </c>
      <c r="O1356" s="11" t="n"/>
      <c r="P1356" s="11" t="n"/>
      <c r="Q1356" s="11" t="n"/>
      <c r="R1356" s="2" t="n"/>
      <c r="S1356" s="2" t="n"/>
      <c r="T1356" s="11" t="inlineStr"/>
      <c r="U1356" s="11" t="inlineStr"/>
      <c r="V1356" s="11" t="inlineStr">
        <is>
          <t>outside_list</t>
        </is>
      </c>
      <c r="W1356" s="11" t="n"/>
      <c r="X1356" s="11" t="n"/>
      <c r="Y1356" s="11" t="n"/>
      <c r="Z1356" s="11" t="inlineStr">
        <is>
          <t>Mr. Advocate</t>
        </is>
      </c>
      <c r="AA1356" s="11" t="inlineStr">
        <is>
          <t>2026-10-07</t>
        </is>
      </c>
      <c r="AB1356" s="11" t="inlineStr">
        <is>
          <t>name_year</t>
        </is>
      </c>
      <c r="AC1356" s="2" t="inlineStr"/>
      <c r="AD1356" s="2" t="inlineStr">
        <is>
          <t>Shah Ambalal Chhotalal and Others v. Shah Babaldas Dayabhai and Others (1964) was overruled by Mrs. Manorama S. Masurekar v. Mrs. Dhanlaxmi G. Shah and Another (1967).</t>
        </is>
      </c>
      <c r="AE1356" s="2" t="n"/>
      <c r="AF1356" s="11" t="inlineStr">
        <is>
          <t>created from list 1</t>
        </is>
      </c>
    </row>
    <row r="1357">
      <c r="A1357" s="11" t="inlineStr">
        <is>
          <t>L1-1356</t>
        </is>
      </c>
      <c r="B1357" s="11" t="inlineStr">
        <is>
          <t>List 1 (to ~2015)</t>
        </is>
      </c>
      <c r="C1357" s="11" t="inlineStr">
        <is>
          <t>list1</t>
        </is>
      </c>
      <c r="D1357" s="11" t="inlineStr">
        <is>
          <t>verified</t>
        </is>
      </c>
      <c r="E1357" s="11" t="inlineStr">
        <is>
          <t>overruled</t>
        </is>
      </c>
      <c r="F1357" s="2" t="inlineStr">
        <is>
          <t>Dungarlal Harichand v. State of Gujarat and Others</t>
        </is>
      </c>
      <c r="G1357" s="11" t="inlineStr"/>
      <c r="H1357" s="11" t="inlineStr">
        <is>
          <t>Gujarat</t>
        </is>
      </c>
      <c r="I1357" s="2" t="inlineStr">
        <is>
          <t>AIR 1977 Guj 23; (1976) GLR 1152</t>
        </is>
      </c>
      <c r="J1357" s="11" t="n">
        <v>1977</v>
      </c>
      <c r="K1357" s="2" t="inlineStr">
        <is>
          <t>Jaswant Singh Mathurasingh and another v. Ahmedabad Municipal Corporation and others</t>
        </is>
      </c>
      <c r="L1357" s="11" t="inlineStr">
        <is>
          <t>Supreme Court</t>
        </is>
      </c>
      <c r="M1357" s="2" t="inlineStr">
        <is>
          <t>AIR 1991 SC 2130; (1991) 4 JT 46; (1991) 2 SCALE 749; (1992) 1 SCC 5 Supp; (1991) 1 SCR 226 Supp; (1992) 1 UJ 14</t>
        </is>
      </c>
      <c r="N1357" s="11" t="n">
        <v>1991</v>
      </c>
      <c r="O1357" s="11" t="n"/>
      <c r="P1357" s="11" t="n"/>
      <c r="Q1357" s="11" t="n"/>
      <c r="R1357" s="2" t="n"/>
      <c r="S1357" s="2" t="n"/>
      <c r="T1357" s="11" t="inlineStr"/>
      <c r="U1357" s="11" t="inlineStr"/>
      <c r="V1357" s="11" t="inlineStr">
        <is>
          <t>outside_list</t>
        </is>
      </c>
      <c r="W1357" s="11" t="n"/>
      <c r="X1357" s="11" t="n"/>
      <c r="Y1357" s="11" t="n"/>
      <c r="Z1357" s="11" t="inlineStr">
        <is>
          <t>Mr. Advocate</t>
        </is>
      </c>
      <c r="AA1357" s="11" t="inlineStr">
        <is>
          <t>2026-10-07</t>
        </is>
      </c>
      <c r="AB1357" s="11" t="inlineStr">
        <is>
          <t>name_year</t>
        </is>
      </c>
      <c r="AC1357" s="2" t="inlineStr"/>
      <c r="AD1357" s="2" t="inlineStr">
        <is>
          <t>Dungarlal Harichand v. State of Gujarat and Others (1977) was overruled by Jaswant Singh Mathurasingh and another v. Ahmedabad Municipal Corporation and others (1991).</t>
        </is>
      </c>
      <c r="AE1357" s="2" t="n"/>
      <c r="AF1357" s="11" t="inlineStr">
        <is>
          <t>created from list 1</t>
        </is>
      </c>
    </row>
    <row r="1358">
      <c r="A1358" s="11" t="inlineStr">
        <is>
          <t>L1-1357</t>
        </is>
      </c>
      <c r="B1358" s="11" t="inlineStr">
        <is>
          <t>List 1 (to ~2015)</t>
        </is>
      </c>
      <c r="C1358" s="11" t="inlineStr">
        <is>
          <t>list1</t>
        </is>
      </c>
      <c r="D1358" s="11" t="inlineStr">
        <is>
          <t>verified</t>
        </is>
      </c>
      <c r="E1358" s="11" t="inlineStr">
        <is>
          <t>overruled</t>
        </is>
      </c>
      <c r="F1358" s="2" t="inlineStr">
        <is>
          <t>Bai Mani v. Jayantilal Dahyabhai</t>
        </is>
      </c>
      <c r="G1358" s="11" t="inlineStr"/>
      <c r="H1358" s="11" t="inlineStr">
        <is>
          <t>Gujarat</t>
        </is>
      </c>
      <c r="I1358" s="2" t="inlineStr">
        <is>
          <t>AIR 1979 Guj 209; (1980) GLR 66</t>
        </is>
      </c>
      <c r="J1358" s="11" t="n">
        <v>1979</v>
      </c>
      <c r="K1358" s="2" t="inlineStr">
        <is>
          <t>Hirachand Srinivas Managaonkar v. Sunanda</t>
        </is>
      </c>
      <c r="L1358" s="11" t="inlineStr">
        <is>
          <t>Supreme Court</t>
        </is>
      </c>
      <c r="M1358" s="2" t="inlineStr">
        <is>
          <t>AIR 2001 SC 1285; (2001) 1 DMC 616; (2001) 3 JT 620; (2001) 2 SCALE 514; (2001) 4 SCC 125; (2001) 2 SCR 491; (2001) 2 UJ 801; (2001) AIRSCW 1196; (2001) 2 Supreme 435</t>
        </is>
      </c>
      <c r="N1358" s="11" t="n">
        <v>2001</v>
      </c>
      <c r="O1358" s="11" t="n"/>
      <c r="P1358" s="11" t="n"/>
      <c r="Q1358" s="11" t="n"/>
      <c r="R1358" s="2" t="n"/>
      <c r="S1358" s="2" t="n"/>
      <c r="T1358" s="11" t="inlineStr"/>
      <c r="U1358" s="11" t="inlineStr"/>
      <c r="V1358" s="11" t="inlineStr">
        <is>
          <t>outside_list</t>
        </is>
      </c>
      <c r="W1358" s="11" t="n"/>
      <c r="X1358" s="11" t="n"/>
      <c r="Y1358" s="11" t="n"/>
      <c r="Z1358" s="11" t="inlineStr">
        <is>
          <t>Mr. Advocate</t>
        </is>
      </c>
      <c r="AA1358" s="11" t="inlineStr">
        <is>
          <t>2026-10-07</t>
        </is>
      </c>
      <c r="AB1358" s="11" t="inlineStr">
        <is>
          <t>name_year</t>
        </is>
      </c>
      <c r="AC1358" s="2" t="inlineStr"/>
      <c r="AD1358" s="2" t="inlineStr">
        <is>
          <t>Bai Mani v. Jayantilal Dahyabhai (1979) was overruled by Hirachand Srinivas Managaonkar v. Sunanda (2001).</t>
        </is>
      </c>
      <c r="AE1358" s="2" t="n"/>
      <c r="AF1358" s="11" t="inlineStr">
        <is>
          <t>created from list 1</t>
        </is>
      </c>
    </row>
    <row r="1359">
      <c r="A1359" s="11" t="inlineStr">
        <is>
          <t>L1-1358</t>
        </is>
      </c>
      <c r="B1359" s="11" t="inlineStr">
        <is>
          <t>List 1 (to ~2015)</t>
        </is>
      </c>
      <c r="C1359" s="11" t="inlineStr">
        <is>
          <t>list1</t>
        </is>
      </c>
      <c r="D1359" s="11" t="inlineStr">
        <is>
          <t>verified</t>
        </is>
      </c>
      <c r="E1359" s="11" t="inlineStr">
        <is>
          <t>overruled</t>
        </is>
      </c>
      <c r="F1359" s="2" t="inlineStr">
        <is>
          <t>Saraswatiben v. Thakorlal Himatlal and Another</t>
        </is>
      </c>
      <c r="G1359" s="11" t="inlineStr"/>
      <c r="H1359" s="11" t="inlineStr">
        <is>
          <t>Gujarat</t>
        </is>
      </c>
      <c r="I1359" s="2" t="inlineStr">
        <is>
          <t>AIR 1967 Guj 263; (1967) CriLJ 1632</t>
        </is>
      </c>
      <c r="J1359" s="11" t="n">
        <v>1967</v>
      </c>
      <c r="K1359" s="2" t="inlineStr">
        <is>
          <t>Sohan Lal and others v. State of Rajasthan</t>
        </is>
      </c>
      <c r="L1359" s="11" t="inlineStr">
        <is>
          <t>Supreme Court</t>
        </is>
      </c>
      <c r="M1359" s="2" t="inlineStr">
        <is>
          <t>AIR 1990 SC 2158; (1990) CriLJ 2302; (1990) 3 Crimes 121; (1990) 3 JT 599; (1990) 2 SCALE 307; (1990) 4 SCC 580; (1990) 3 SCR 809</t>
        </is>
      </c>
      <c r="N1359" s="11" t="n">
        <v>1990</v>
      </c>
      <c r="O1359" s="11" t="n"/>
      <c r="P1359" s="11" t="n"/>
      <c r="Q1359" s="11" t="n"/>
      <c r="R1359" s="2" t="n"/>
      <c r="S1359" s="2" t="n"/>
      <c r="T1359" s="11" t="inlineStr"/>
      <c r="U1359" s="11" t="inlineStr"/>
      <c r="V1359" s="11" t="inlineStr">
        <is>
          <t>outside_list</t>
        </is>
      </c>
      <c r="W1359" s="11" t="n"/>
      <c r="X1359" s="11" t="n"/>
      <c r="Y1359" s="11" t="n"/>
      <c r="Z1359" s="11" t="inlineStr">
        <is>
          <t>Mr. Advocate</t>
        </is>
      </c>
      <c r="AA1359" s="11" t="inlineStr">
        <is>
          <t>2026-10-07</t>
        </is>
      </c>
      <c r="AB1359" s="11" t="inlineStr">
        <is>
          <t>name_year</t>
        </is>
      </c>
      <c r="AC1359" s="2" t="inlineStr"/>
      <c r="AD1359" s="2" t="inlineStr">
        <is>
          <t>Saraswatiben v. Thakorlal Himatlal and Another (1967) was overruled by Sohan Lal and others v. State of Rajasthan (1990).</t>
        </is>
      </c>
      <c r="AE1359" s="2" t="n"/>
      <c r="AF1359" s="11" t="inlineStr">
        <is>
          <t>created from list 1</t>
        </is>
      </c>
    </row>
    <row r="1360">
      <c r="A1360" s="11" t="inlineStr">
        <is>
          <t>L1-1359</t>
        </is>
      </c>
      <c r="B1360" s="11" t="inlineStr">
        <is>
          <t>List 1 (to ~2015)</t>
        </is>
      </c>
      <c r="C1360" s="11" t="inlineStr">
        <is>
          <t>list1</t>
        </is>
      </c>
      <c r="D1360" s="11" t="inlineStr">
        <is>
          <t>verified</t>
        </is>
      </c>
      <c r="E1360" s="11" t="inlineStr">
        <is>
          <t>overruled</t>
        </is>
      </c>
      <c r="F1360" s="2" t="inlineStr">
        <is>
          <t>Nirma Chemical Works and Others v. Union of India and Others</t>
        </is>
      </c>
      <c r="G1360" s="11" t="inlineStr"/>
      <c r="H1360" s="11" t="inlineStr">
        <is>
          <t>unknown</t>
        </is>
      </c>
      <c r="I1360" s="2" t="inlineStr">
        <is>
          <t>(1981) 8 ELT 617</t>
        </is>
      </c>
      <c r="J1360" s="11" t="n">
        <v>1981</v>
      </c>
      <c r="K1360" s="2" t="inlineStr">
        <is>
          <t>Collector of Central Excise, Jaipur v. Rajasthan State Chemical Works, Deedwana, Rajasthan</t>
        </is>
      </c>
      <c r="L1360" s="11" t="inlineStr">
        <is>
          <t>Supreme Court</t>
        </is>
      </c>
      <c r="M1360" s="2" t="inlineStr">
        <is>
          <t>AIR 1991 SC 2222; (1992) 37 ECC 1; (1991) ECR 465; (1991) 55 ELT 444; (1991) 4 JT 6; (1991) 2 SCALE 602; (1991) 4 SCC 473; (1991) 1 SCR 124 Supp; (1992) 1 UJ 25</t>
        </is>
      </c>
      <c r="N1360" s="11" t="n">
        <v>1991</v>
      </c>
      <c r="O1360" s="11" t="n"/>
      <c r="P1360" s="11" t="n"/>
      <c r="Q1360" s="11" t="n"/>
      <c r="R1360" s="2" t="n"/>
      <c r="S1360" s="2" t="n"/>
      <c r="T1360" s="11" t="inlineStr"/>
      <c r="U1360" s="11" t="inlineStr"/>
      <c r="V1360" s="11" t="inlineStr">
        <is>
          <t>outside_list</t>
        </is>
      </c>
      <c r="W1360" s="11" t="n"/>
      <c r="X1360" s="11" t="n"/>
      <c r="Y1360" s="11" t="n"/>
      <c r="Z1360" s="11" t="inlineStr">
        <is>
          <t>Mr. Advocate</t>
        </is>
      </c>
      <c r="AA1360" s="11" t="inlineStr">
        <is>
          <t>2026-10-07</t>
        </is>
      </c>
      <c r="AB1360" s="11" t="inlineStr">
        <is>
          <t>name_year</t>
        </is>
      </c>
      <c r="AC1360" s="2" t="inlineStr"/>
      <c r="AD1360" s="2" t="inlineStr">
        <is>
          <t>Nirma Chemical Works and Others v. Union of India and Others (1981) was overruled by Collector of Central Excise, Jaipur v. Rajasthan State Chemical Works, Deedwana, Rajasthan (1991).</t>
        </is>
      </c>
      <c r="AE1360" s="2" t="n"/>
      <c r="AF1360" s="11" t="inlineStr">
        <is>
          <t>created from list 1</t>
        </is>
      </c>
    </row>
    <row r="1361">
      <c r="A1361" s="11" t="inlineStr">
        <is>
          <t>L1-1360</t>
        </is>
      </c>
      <c r="B1361" s="11" t="inlineStr">
        <is>
          <t>List 1 (to ~2015)</t>
        </is>
      </c>
      <c r="C1361" s="11" t="inlineStr">
        <is>
          <t>list1</t>
        </is>
      </c>
      <c r="D1361" s="11" t="inlineStr">
        <is>
          <t>verified</t>
        </is>
      </c>
      <c r="E1361" s="11" t="inlineStr">
        <is>
          <t>overruled</t>
        </is>
      </c>
      <c r="F1361" s="2" t="inlineStr">
        <is>
          <t>Singha Magan Gamit and Others v. State of Gujarat</t>
        </is>
      </c>
      <c r="G1361" s="11" t="inlineStr"/>
      <c r="H1361" s="11" t="inlineStr">
        <is>
          <t>unknown</t>
        </is>
      </c>
      <c r="I1361" s="2" t="inlineStr">
        <is>
          <t>(1999) CriLJ 2111</t>
        </is>
      </c>
      <c r="J1361" s="11" t="n">
        <v>1999</v>
      </c>
      <c r="K1361" s="2" t="inlineStr">
        <is>
          <t>Jayantibhai Bhenkaarbhal v. State of Gujarat</t>
        </is>
      </c>
      <c r="L1361" s="11" t="inlineStr">
        <is>
          <t>Supreme Court</t>
        </is>
      </c>
      <c r="M1361" s="2" t="inlineStr">
        <is>
          <t>AIR 2002 SC 3569; (2002) CriLJ 4734; (2002) 7 JT 402; (2002) 7 SCALE 72; (2002) 8 SCC 165; (2002) 2 SCR 255 Supp; (2002) 2 UJ 1486</t>
        </is>
      </c>
      <c r="N1361" s="11" t="n">
        <v>2002</v>
      </c>
      <c r="O1361" s="11" t="n"/>
      <c r="P1361" s="11" t="n"/>
      <c r="Q1361" s="11" t="n"/>
      <c r="R1361" s="2" t="n"/>
      <c r="S1361" s="2" t="n"/>
      <c r="T1361" s="11" t="inlineStr"/>
      <c r="U1361" s="11" t="inlineStr"/>
      <c r="V1361" s="11" t="inlineStr">
        <is>
          <t>outside_list</t>
        </is>
      </c>
      <c r="W1361" s="11" t="n"/>
      <c r="X1361" s="11" t="n"/>
      <c r="Y1361" s="11" t="n"/>
      <c r="Z1361" s="11" t="inlineStr">
        <is>
          <t>Mr. Advocate</t>
        </is>
      </c>
      <c r="AA1361" s="11" t="inlineStr">
        <is>
          <t>2026-10-07</t>
        </is>
      </c>
      <c r="AB1361" s="11" t="inlineStr">
        <is>
          <t>name_year</t>
        </is>
      </c>
      <c r="AC1361" s="2" t="inlineStr"/>
      <c r="AD1361" s="2" t="inlineStr">
        <is>
          <t>Singha Magan Gamit and Others v. State of Gujarat (1999) was overruled by Jayantibhai Bhenkaarbhal v. State of Gujarat (2002).</t>
        </is>
      </c>
      <c r="AE1361" s="2" t="n"/>
      <c r="AF1361" s="11" t="inlineStr">
        <is>
          <t>created from list 1</t>
        </is>
      </c>
    </row>
    <row r="1362">
      <c r="A1362" s="11" t="inlineStr">
        <is>
          <t>L1-1361</t>
        </is>
      </c>
      <c r="B1362" s="11" t="inlineStr">
        <is>
          <t>List 1 (to ~2015)</t>
        </is>
      </c>
      <c r="C1362" s="11" t="inlineStr">
        <is>
          <t>list1</t>
        </is>
      </c>
      <c r="D1362" s="11" t="inlineStr">
        <is>
          <t>verified</t>
        </is>
      </c>
      <c r="E1362" s="11" t="inlineStr">
        <is>
          <t>reversed_on_appeal</t>
        </is>
      </c>
      <c r="F1362" s="2" t="inlineStr">
        <is>
          <t>Valji Khimji and Company v. O.L. of Hindustan Nitroproduct (Gujarat) Ltd. and Others</t>
        </is>
      </c>
      <c r="G1362" s="11" t="inlineStr"/>
      <c r="H1362" s="11" t="inlineStr">
        <is>
          <t>unknown</t>
        </is>
      </c>
      <c r="I1362" s="2" t="inlineStr"/>
      <c r="J1362" s="11" t="n"/>
      <c r="K1362" s="2" t="inlineStr">
        <is>
          <t>Valji Khimji and Company v. Official Liquidator of Hindustan Nitro Product (Gujarat) Ltd. and Others</t>
        </is>
      </c>
      <c r="L1362" s="11" t="inlineStr">
        <is>
          <t>Supreme Court</t>
        </is>
      </c>
      <c r="M1362" s="2" t="inlineStr">
        <is>
          <t>(2008) 4 BC 536; (2008) 145 CompCas 36; (2008) 4 CompLJ 201; (2008) 2 CTLJ 130; (2008) 8 JT 610; (2008) 11 SCALE 287; (2008) 9 SCC 299; (2008) 2 UJ 1107</t>
        </is>
      </c>
      <c r="N1362" s="11" t="n">
        <v>2008</v>
      </c>
      <c r="O1362" s="11" t="n"/>
      <c r="P1362" s="11" t="n"/>
      <c r="Q1362" s="11" t="n"/>
      <c r="R1362" s="2" t="n"/>
      <c r="S1362" s="2" t="n"/>
      <c r="T1362" s="11" t="inlineStr">
        <is>
          <t>yes</t>
        </is>
      </c>
      <c r="U1362" s="11" t="inlineStr">
        <is>
          <t>no_citation_or_year_for_overruled, needs_citation_or_year</t>
        </is>
      </c>
      <c r="V1362" s="11" t="inlineStr">
        <is>
          <t>outside_list</t>
        </is>
      </c>
      <c r="W1362" s="11" t="n"/>
      <c r="X1362" s="11" t="n"/>
      <c r="Y1362" s="11" t="n"/>
      <c r="Z1362" s="11" t="inlineStr">
        <is>
          <t>Mr. Advocate</t>
        </is>
      </c>
      <c r="AA1362" s="11" t="inlineStr">
        <is>
          <t>2026-10-07</t>
        </is>
      </c>
      <c r="AB1362" s="11" t="inlineStr">
        <is>
          <t>weak</t>
        </is>
      </c>
      <c r="AC1362" s="2" t="inlineStr"/>
      <c r="AD1362" s="2" t="inlineStr">
        <is>
          <t>Valji Khimji and Company v. O.L. of Hindustan Nitroproduct (Gujarat) Ltd. and Others was reversed on appeal by the Supreme Court in Valji Khimji and Company v. Official Liquidator of Hindustan Nitro Product (Gujarat) Ltd. and Others (2008).</t>
        </is>
      </c>
      <c r="AE1362" s="2" t="n"/>
      <c r="AF1362" s="11" t="inlineStr">
        <is>
          <t>created from list 1</t>
        </is>
      </c>
    </row>
    <row r="1363">
      <c r="A1363" s="11" t="inlineStr">
        <is>
          <t>L1-1362</t>
        </is>
      </c>
      <c r="B1363" s="11" t="inlineStr">
        <is>
          <t>List 1 (to ~2015)</t>
        </is>
      </c>
      <c r="C1363" s="11" t="inlineStr">
        <is>
          <t>list1</t>
        </is>
      </c>
      <c r="D1363" s="11" t="inlineStr">
        <is>
          <t>verified</t>
        </is>
      </c>
      <c r="E1363" s="11" t="inlineStr">
        <is>
          <t>reversed_on_appeal</t>
        </is>
      </c>
      <c r="F1363" s="2" t="inlineStr">
        <is>
          <t>Central Bureau of Investigation v. The State of Gujarat</t>
        </is>
      </c>
      <c r="G1363" s="11" t="inlineStr"/>
      <c r="H1363" s="11" t="inlineStr">
        <is>
          <t>unknown</t>
        </is>
      </c>
      <c r="I1363" s="2" t="inlineStr"/>
      <c r="J1363" s="11" t="n"/>
      <c r="K1363" s="2" t="inlineStr">
        <is>
          <t>Central Bureau of Investigation v. State of Gujarat</t>
        </is>
      </c>
      <c r="L1363" s="11" t="inlineStr">
        <is>
          <t>Supreme Court</t>
        </is>
      </c>
      <c r="M1363" s="2" t="inlineStr">
        <is>
          <t>AIR 2007 SC 2522; (2007) 104 CLT 683; (2007) 8 SCALE 628; (2007) 6 SCC 156; (2007) 7 SCR 1174; (2007) AIRSCW 4499; (2007) 5 Supreme 620</t>
        </is>
      </c>
      <c r="N1363" s="11" t="n">
        <v>2007</v>
      </c>
      <c r="O1363" s="11" t="n"/>
      <c r="P1363" s="11" t="n"/>
      <c r="Q1363" s="11" t="n"/>
      <c r="R1363" s="2" t="n"/>
      <c r="S1363" s="2" t="n"/>
      <c r="T1363" s="11" t="inlineStr">
        <is>
          <t>yes</t>
        </is>
      </c>
      <c r="U1363" s="11" t="inlineStr">
        <is>
          <t>no_citation_or_year_for_overruled, needs_citation_or_year</t>
        </is>
      </c>
      <c r="V1363" s="11" t="inlineStr">
        <is>
          <t>outside_list</t>
        </is>
      </c>
      <c r="W1363" s="11" t="n"/>
      <c r="X1363" s="11" t="n"/>
      <c r="Y1363" s="11" t="n"/>
      <c r="Z1363" s="11" t="inlineStr">
        <is>
          <t>Mr. Advocate</t>
        </is>
      </c>
      <c r="AA1363" s="11" t="inlineStr">
        <is>
          <t>2026-10-07</t>
        </is>
      </c>
      <c r="AB1363" s="11" t="inlineStr">
        <is>
          <t>weak</t>
        </is>
      </c>
      <c r="AC1363" s="2" t="inlineStr"/>
      <c r="AD1363" s="2" t="inlineStr">
        <is>
          <t>Central Bureau of Investigation v. The State of Gujarat was reversed on appeal by the Supreme Court in Central Bureau of Investigation v. State of Gujarat (2007).</t>
        </is>
      </c>
      <c r="AE1363" s="2" t="n"/>
      <c r="AF1363" s="11" t="inlineStr">
        <is>
          <t>created from list 1</t>
        </is>
      </c>
    </row>
    <row r="1364">
      <c r="A1364" s="11" t="inlineStr">
        <is>
          <t>L1-1363</t>
        </is>
      </c>
      <c r="B1364" s="11" t="inlineStr">
        <is>
          <t>List 1 (to ~2015)</t>
        </is>
      </c>
      <c r="C1364" s="11" t="inlineStr">
        <is>
          <t>list1</t>
        </is>
      </c>
      <c r="D1364" s="11" t="inlineStr">
        <is>
          <t>verified</t>
        </is>
      </c>
      <c r="E1364" s="11" t="inlineStr">
        <is>
          <t>reversed_on_appeal</t>
        </is>
      </c>
      <c r="F1364" s="2" t="inlineStr">
        <is>
          <t>Zoroastrian Co-operative Housing Society Ltd. and Another v. District Registrar, Co-op. Societies (Urban) and Others</t>
        </is>
      </c>
      <c r="G1364" s="11" t="inlineStr"/>
      <c r="H1364" s="11" t="inlineStr">
        <is>
          <t>Gujarat</t>
        </is>
      </c>
      <c r="I1364" s="2" t="inlineStr">
        <is>
          <t>AIR 2000 Guj 9; (2000) 1 GLR 842</t>
        </is>
      </c>
      <c r="J1364" s="11" t="n">
        <v>2000</v>
      </c>
      <c r="K1364" s="2" t="inlineStr">
        <is>
          <t>Zoroastrian Co-operative Housing Society Limited and Another v. District Registrar Co-operative Societies (Urban) and Others</t>
        </is>
      </c>
      <c r="L1364" s="11" t="inlineStr">
        <is>
          <t>Supreme Court</t>
        </is>
      </c>
      <c r="M1364" s="2" t="inlineStr">
        <is>
          <t>AIR 2005 SC 2306; (2005) 125 CompCas 235; (2005) 4 JT 337; (2005) 5 SCC 632; (2005) 1 SCR 592; (2005) AIRSCW 2317; (2005) 3 Supreme 428</t>
        </is>
      </c>
      <c r="N1364" s="11" t="n">
        <v>2005</v>
      </c>
      <c r="O1364" s="11" t="n"/>
      <c r="P1364" s="11" t="n"/>
      <c r="Q1364" s="11" t="n"/>
      <c r="R1364" s="2" t="n"/>
      <c r="S1364" s="2" t="n"/>
      <c r="T1364" s="11" t="inlineStr">
        <is>
          <t>yes</t>
        </is>
      </c>
      <c r="U1364" s="11" t="inlineStr"/>
      <c r="V1364" s="11" t="inlineStr">
        <is>
          <t>outside_list</t>
        </is>
      </c>
      <c r="W1364" s="11" t="n"/>
      <c r="X1364" s="11" t="n"/>
      <c r="Y1364" s="11" t="n"/>
      <c r="Z1364" s="11" t="inlineStr">
        <is>
          <t>Mr. Advocate</t>
        </is>
      </c>
      <c r="AA1364" s="11" t="inlineStr">
        <is>
          <t>2026-10-07</t>
        </is>
      </c>
      <c r="AB1364" s="11" t="inlineStr">
        <is>
          <t>name_year</t>
        </is>
      </c>
      <c r="AC1364" s="2" t="inlineStr"/>
      <c r="AD1364" s="2" t="inlineStr">
        <is>
          <t>Zoroastrian Co-operative Housing Society Ltd. and Another v. District Registrar, Co-op. Societies (Urban) and Others (2000) was reversed on appeal by the Supreme Court in Zoroastrian Co-operative Housing Society Limited and Another v. District Registrar Co-operative Societies (Urban) and Others (2005).</t>
        </is>
      </c>
      <c r="AE1364" s="2" t="n"/>
      <c r="AF1364" s="11" t="inlineStr">
        <is>
          <t>created from list 1</t>
        </is>
      </c>
    </row>
    <row r="1365">
      <c r="A1365" s="11" t="inlineStr">
        <is>
          <t>L1-1364</t>
        </is>
      </c>
      <c r="B1365" s="11" t="inlineStr">
        <is>
          <t>List 1 (to ~2015)</t>
        </is>
      </c>
      <c r="C1365" s="11" t="inlineStr">
        <is>
          <t>list1</t>
        </is>
      </c>
      <c r="D1365" s="11" t="inlineStr">
        <is>
          <t>verified</t>
        </is>
      </c>
      <c r="E1365" s="11" t="inlineStr">
        <is>
          <t>reversed_on_appeal</t>
        </is>
      </c>
      <c r="F1365" s="2" t="inlineStr">
        <is>
          <t>Pradip J. Mehta v. Commissioner of Income Tax</t>
        </is>
      </c>
      <c r="G1365" s="11" t="inlineStr"/>
      <c r="H1365" s="11" t="inlineStr">
        <is>
          <t>unknown</t>
        </is>
      </c>
      <c r="I1365" s="2" t="inlineStr">
        <is>
          <t>(2002) 256 ITR 647; (2002) 123 TAXMAN 1118</t>
        </is>
      </c>
      <c r="J1365" s="11" t="n">
        <v>2002</v>
      </c>
      <c r="K1365" s="2" t="inlineStr">
        <is>
          <t>Pradip J. Mehta v. Commissioner of Income Tax, Ahmedabad</t>
        </is>
      </c>
      <c r="L1365" s="11" t="inlineStr">
        <is>
          <t>Supreme Court</t>
        </is>
      </c>
      <c r="M1365" s="2" t="inlineStr">
        <is>
          <t>(2008) 216 CTR 1; (2008) 300 ITR 231; (2008) 5 JT 614; (2008) 6 SCALE 675; (2008) 14 SCC 283; (2008) 169 TAXMAN 454</t>
        </is>
      </c>
      <c r="N1365" s="11" t="n">
        <v>2008</v>
      </c>
      <c r="O1365" s="11" t="n"/>
      <c r="P1365" s="11" t="n"/>
      <c r="Q1365" s="11" t="n"/>
      <c r="R1365" s="2" t="n"/>
      <c r="S1365" s="2" t="n"/>
      <c r="T1365" s="11" t="inlineStr">
        <is>
          <t>yes</t>
        </is>
      </c>
      <c r="U1365" s="11" t="inlineStr"/>
      <c r="V1365" s="11" t="inlineStr">
        <is>
          <t>outside_list</t>
        </is>
      </c>
      <c r="W1365" s="11" t="n"/>
      <c r="X1365" s="11" t="n"/>
      <c r="Y1365" s="11" t="n"/>
      <c r="Z1365" s="11" t="inlineStr">
        <is>
          <t>Mr. Advocate</t>
        </is>
      </c>
      <c r="AA1365" s="11" t="inlineStr">
        <is>
          <t>2026-10-07</t>
        </is>
      </c>
      <c r="AB1365" s="11" t="inlineStr">
        <is>
          <t>name_year</t>
        </is>
      </c>
      <c r="AC1365" s="2" t="inlineStr"/>
      <c r="AD1365" s="2" t="inlineStr">
        <is>
          <t>Pradip J. Mehta v. Commissioner of Income Tax (2002) was reversed on appeal by the Supreme Court in Pradip J. Mehta v. Commissioner of Income Tax, Ahmedabad (2008).</t>
        </is>
      </c>
      <c r="AE1365" s="2" t="n"/>
      <c r="AF1365" s="11" t="inlineStr">
        <is>
          <t>created from list 1</t>
        </is>
      </c>
    </row>
    <row r="1366">
      <c r="A1366" s="11" t="inlineStr">
        <is>
          <t>L1-1365</t>
        </is>
      </c>
      <c r="B1366" s="11" t="inlineStr">
        <is>
          <t>List 1 (to ~2015)</t>
        </is>
      </c>
      <c r="C1366" s="11" t="inlineStr">
        <is>
          <t>list1</t>
        </is>
      </c>
      <c r="D1366" s="11" t="inlineStr">
        <is>
          <t>verified</t>
        </is>
      </c>
      <c r="E1366" s="11" t="inlineStr">
        <is>
          <t>overruled</t>
        </is>
      </c>
      <c r="F1366" s="2" t="inlineStr">
        <is>
          <t>Kalidas Vanmalibhai v. State of Gujarat and Another</t>
        </is>
      </c>
      <c r="G1366" s="11" t="inlineStr"/>
      <c r="H1366" s="11" t="inlineStr">
        <is>
          <t>unknown</t>
        </is>
      </c>
      <c r="I1366" s="2" t="inlineStr">
        <is>
          <t>(1980) 21 GLR 7</t>
        </is>
      </c>
      <c r="J1366" s="11" t="n">
        <v>1980</v>
      </c>
      <c r="K1366" s="2" t="inlineStr">
        <is>
          <t>Kartar Singh and Others v. State of Haryana</t>
        </is>
      </c>
      <c r="L1366" s="11" t="inlineStr">
        <is>
          <t>Supreme Court</t>
        </is>
      </c>
      <c r="M1366" s="2" t="inlineStr">
        <is>
          <t>AIR 1982 SC 1439; (1982) CriLJ 1772; (1983) 1 Crimes 43; (1982) 1 SCALE 671; (1982) 3 SCC 1; (1983) 1 SCR 445; (1982) 14 UJ 621</t>
        </is>
      </c>
      <c r="N1366" s="11" t="n">
        <v>1982</v>
      </c>
      <c r="O1366" s="11" t="n"/>
      <c r="P1366" s="11" t="n"/>
      <c r="Q1366" s="11" t="n"/>
      <c r="R1366" s="2" t="n"/>
      <c r="S1366" s="2" t="n"/>
      <c r="T1366" s="11" t="inlineStr"/>
      <c r="U1366" s="11" t="inlineStr"/>
      <c r="V1366" s="11" t="inlineStr">
        <is>
          <t>outside_list</t>
        </is>
      </c>
      <c r="W1366" s="11" t="n"/>
      <c r="X1366" s="11" t="n"/>
      <c r="Y1366" s="11" t="n"/>
      <c r="Z1366" s="11" t="inlineStr">
        <is>
          <t>Mr. Advocate</t>
        </is>
      </c>
      <c r="AA1366" s="11" t="inlineStr">
        <is>
          <t>2026-10-07</t>
        </is>
      </c>
      <c r="AB1366" s="11" t="inlineStr">
        <is>
          <t>name_year</t>
        </is>
      </c>
      <c r="AC1366" s="2" t="inlineStr">
        <is>
          <t>L1-0535: listed in our reference list as overruled by Bhagirath v. Delhi Administration (1985), but the list is inconsistent on this entry</t>
        </is>
      </c>
      <c r="AD1366" s="2" t="inlineStr">
        <is>
          <t>Kalidas Vanmalibhai v. State of Gujarat and Another (1980) was overruled by Kartar Singh and Others v. State of Haryana (1982). Note: Kartar Singh and Others v. State of Haryana was itself later listed in our reference list as overruled by Bhagirath v. Delhi Administration (1985), but the list is inconsistent on this entry; the current position should be checked.</t>
        </is>
      </c>
      <c r="AE1366" s="2" t="n"/>
      <c r="AF1366" s="11" t="inlineStr">
        <is>
          <t>created from list 1</t>
        </is>
      </c>
    </row>
    <row r="1367">
      <c r="A1367" s="11" t="inlineStr">
        <is>
          <t>L1-1366</t>
        </is>
      </c>
      <c r="B1367" s="11" t="inlineStr">
        <is>
          <t>List 1 (to ~2015)</t>
        </is>
      </c>
      <c r="C1367" s="11" t="inlineStr">
        <is>
          <t>list1</t>
        </is>
      </c>
      <c r="D1367" s="11" t="inlineStr">
        <is>
          <t>verified</t>
        </is>
      </c>
      <c r="E1367" s="11" t="inlineStr">
        <is>
          <t>overruled</t>
        </is>
      </c>
      <c r="F1367" s="2" t="inlineStr">
        <is>
          <t>State of Gujarat and Another v. R.L. Patel</t>
        </is>
      </c>
      <c r="G1367" s="11" t="inlineStr"/>
      <c r="H1367" s="11" t="inlineStr">
        <is>
          <t>Gujarat</t>
        </is>
      </c>
      <c r="I1367" s="2" t="inlineStr">
        <is>
          <t>AIR 1992 Guj 42; (1990) 2 GLR 1163</t>
        </is>
      </c>
      <c r="J1367" s="11" t="n">
        <v>1992</v>
      </c>
      <c r="K1367" s="2" t="inlineStr">
        <is>
          <t>Inder Parshad v. Union of India (UOI) and Others</t>
        </is>
      </c>
      <c r="L1367" s="11" t="inlineStr">
        <is>
          <t>Supreme Court</t>
        </is>
      </c>
      <c r="M1367" s="2" t="inlineStr">
        <is>
          <t>(1998) 4 JT 440; (1994) 2 SCALE 553; (1994) 5 SCC 239</t>
        </is>
      </c>
      <c r="N1367" s="11" t="n">
        <v>1994</v>
      </c>
      <c r="O1367" s="11" t="n"/>
      <c r="P1367" s="11" t="n"/>
      <c r="Q1367" s="11" t="n"/>
      <c r="R1367" s="2" t="n"/>
      <c r="S1367" s="2" t="n"/>
      <c r="T1367" s="11" t="inlineStr"/>
      <c r="U1367" s="11" t="inlineStr"/>
      <c r="V1367" s="11" t="inlineStr">
        <is>
          <t>outside_list</t>
        </is>
      </c>
      <c r="W1367" s="11" t="n"/>
      <c r="X1367" s="11" t="n"/>
      <c r="Y1367" s="11" t="n"/>
      <c r="Z1367" s="11" t="inlineStr">
        <is>
          <t>Mr. Advocate</t>
        </is>
      </c>
      <c r="AA1367" s="11" t="inlineStr">
        <is>
          <t>2026-10-07</t>
        </is>
      </c>
      <c r="AB1367" s="11" t="inlineStr">
        <is>
          <t>name_year</t>
        </is>
      </c>
      <c r="AC1367" s="2" t="inlineStr"/>
      <c r="AD1367" s="2" t="inlineStr">
        <is>
          <t>State of Gujarat and Another v. R.L. Patel (1992) was overruled by Inder Parshad v. Union of India (UOI) and Others (1994).</t>
        </is>
      </c>
      <c r="AE1367" s="2" t="n"/>
      <c r="AF1367" s="11" t="inlineStr">
        <is>
          <t>created from list 1</t>
        </is>
      </c>
    </row>
    <row r="1368">
      <c r="A1368" s="11" t="inlineStr">
        <is>
          <t>L1-1367</t>
        </is>
      </c>
      <c r="B1368" s="11" t="inlineStr">
        <is>
          <t>List 1 (to ~2015)</t>
        </is>
      </c>
      <c r="C1368" s="11" t="inlineStr">
        <is>
          <t>list1</t>
        </is>
      </c>
      <c r="D1368" s="11" t="inlineStr">
        <is>
          <t>verified</t>
        </is>
      </c>
      <c r="E1368" s="11" t="inlineStr">
        <is>
          <t>reversed_on_appeal</t>
        </is>
      </c>
      <c r="F1368" s="2" t="inlineStr">
        <is>
          <t>Rajkot Municipal Corporation v. Manjulaben Jayantilal Nakum and Others</t>
        </is>
      </c>
      <c r="G1368" s="11" t="inlineStr"/>
      <c r="H1368" s="11" t="inlineStr">
        <is>
          <t>unknown</t>
        </is>
      </c>
      <c r="I1368" s="2" t="inlineStr">
        <is>
          <t>(1992) ACJ 792; (1991) 1 GLR 650</t>
        </is>
      </c>
      <c r="J1368" s="11" t="n">
        <v>1991</v>
      </c>
      <c r="K1368" s="2" t="inlineStr">
        <is>
          <t>Rajkot Municipal Corporation v. Manjulben Jayantilal Nakum and Others</t>
        </is>
      </c>
      <c r="L1368" s="11" t="inlineStr">
        <is>
          <t>Supreme Court</t>
        </is>
      </c>
      <c r="M1368" s="2" t="inlineStr">
        <is>
          <t>(1997) 2 ACC 1; (1997) ACJ 721; (1997) 1 JT 580; (1997) 115 PLR 785; (1997) 1 SCALE 370; (1997) 9 SCC 552; (1997) 1 SCR 304</t>
        </is>
      </c>
      <c r="N1368" s="11" t="n">
        <v>1997</v>
      </c>
      <c r="O1368" s="11" t="n"/>
      <c r="P1368" s="11" t="n"/>
      <c r="Q1368" s="11" t="n"/>
      <c r="R1368" s="2" t="n"/>
      <c r="S1368" s="2" t="n"/>
      <c r="T1368" s="11" t="inlineStr">
        <is>
          <t>yes</t>
        </is>
      </c>
      <c r="U1368" s="11" t="inlineStr"/>
      <c r="V1368" s="11" t="inlineStr">
        <is>
          <t>outside_list</t>
        </is>
      </c>
      <c r="W1368" s="11" t="n"/>
      <c r="X1368" s="11" t="n"/>
      <c r="Y1368" s="11" t="n"/>
      <c r="Z1368" s="11" t="inlineStr">
        <is>
          <t>Mr. Advocate</t>
        </is>
      </c>
      <c r="AA1368" s="11" t="inlineStr">
        <is>
          <t>2026-10-07</t>
        </is>
      </c>
      <c r="AB1368" s="11" t="inlineStr">
        <is>
          <t>name_year</t>
        </is>
      </c>
      <c r="AC1368" s="2" t="inlineStr"/>
      <c r="AD1368" s="2" t="inlineStr">
        <is>
          <t>Rajkot Municipal Corporation v. Manjulaben Jayantilal Nakum and Others (1991) was reversed on appeal by the Supreme Court in Rajkot Municipal Corporation v. Manjulben Jayantilal Nakum and Others (1997).</t>
        </is>
      </c>
      <c r="AE1368" s="2" t="n"/>
      <c r="AF1368" s="11" t="inlineStr">
        <is>
          <t>created from list 1</t>
        </is>
      </c>
    </row>
    <row r="1369">
      <c r="A1369" s="11" t="inlineStr">
        <is>
          <t>L1-1368</t>
        </is>
      </c>
      <c r="B1369" s="11" t="inlineStr">
        <is>
          <t>List 1 (to ~2015)</t>
        </is>
      </c>
      <c r="C1369" s="11" t="inlineStr">
        <is>
          <t>list1</t>
        </is>
      </c>
      <c r="D1369" s="11" t="inlineStr">
        <is>
          <t>verified</t>
        </is>
      </c>
      <c r="E1369" s="11" t="inlineStr">
        <is>
          <t>overruled</t>
        </is>
      </c>
      <c r="F1369" s="2" t="inlineStr">
        <is>
          <t>Ishwarsinh M. Rajput v. State of Gujarat</t>
        </is>
      </c>
      <c r="G1369" s="11" t="inlineStr"/>
      <c r="H1369" s="11" t="inlineStr">
        <is>
          <t>unknown</t>
        </is>
      </c>
      <c r="I1369" s="2" t="inlineStr">
        <is>
          <t>(1990) 2 GLR 1365</t>
        </is>
      </c>
      <c r="J1369" s="11" t="n">
        <v>1990</v>
      </c>
      <c r="K1369" s="2" t="inlineStr">
        <is>
          <t>Dadu @ Tulsidas v. State of Maharashtra</t>
        </is>
      </c>
      <c r="L1369" s="11" t="inlineStr">
        <is>
          <t>Supreme Court</t>
        </is>
      </c>
      <c r="M1369" s="2" t="inlineStr">
        <is>
          <t>AIR 2000 SC 3203; (2000) CriLJ 4619; (2000) 4 CTC 313; (2000) 72 ECC 233; (2000) 1 JT 449 Supp; (2000) 6 SCALE 746; (2000) 8 SCC 437; (2000) 3 SCR 703 Supp; (2001) 2 UJ 1245; (2000) AIRSCW 3711; (2000) 7 Supreme 38</t>
        </is>
      </c>
      <c r="N1369" s="11" t="n">
        <v>2000</v>
      </c>
      <c r="O1369" s="11" t="n"/>
      <c r="P1369" s="11" t="n"/>
      <c r="Q1369" s="11" t="n"/>
      <c r="R1369" s="2" t="n"/>
      <c r="S1369" s="2" t="n"/>
      <c r="T1369" s="11" t="inlineStr"/>
      <c r="U1369" s="11" t="inlineStr"/>
      <c r="V1369" s="11" t="inlineStr">
        <is>
          <t>outside_list</t>
        </is>
      </c>
      <c r="W1369" s="11" t="n"/>
      <c r="X1369" s="11" t="n"/>
      <c r="Y1369" s="11" t="n"/>
      <c r="Z1369" s="11" t="inlineStr">
        <is>
          <t>Mr. Advocate</t>
        </is>
      </c>
      <c r="AA1369" s="11" t="inlineStr">
        <is>
          <t>2026-10-07</t>
        </is>
      </c>
      <c r="AB1369" s="11" t="inlineStr">
        <is>
          <t>name_year</t>
        </is>
      </c>
      <c r="AC1369" s="2" t="inlineStr"/>
      <c r="AD1369" s="2" t="inlineStr">
        <is>
          <t>Ishwarsinh M. Rajput v. State of Gujarat (1990) was overruled by Dadu @ Tulsidas v. State of Maharashtra (2000).</t>
        </is>
      </c>
      <c r="AE1369" s="2" t="n"/>
      <c r="AF1369" s="11" t="inlineStr">
        <is>
          <t>created from list 1</t>
        </is>
      </c>
    </row>
    <row r="1370">
      <c r="A1370" s="11" t="inlineStr">
        <is>
          <t>L1-1369</t>
        </is>
      </c>
      <c r="B1370" s="11" t="inlineStr">
        <is>
          <t>List 1 (to ~2015)</t>
        </is>
      </c>
      <c r="C1370" s="11" t="inlineStr">
        <is>
          <t>list1</t>
        </is>
      </c>
      <c r="D1370" s="11" t="inlineStr">
        <is>
          <t>verified</t>
        </is>
      </c>
      <c r="E1370" s="11" t="inlineStr">
        <is>
          <t>reversed_on_appeal</t>
        </is>
      </c>
      <c r="F1370" s="2" t="inlineStr">
        <is>
          <t>C.R. Patil and C.E. Patil v. State of Gujarat</t>
        </is>
      </c>
      <c r="G1370" s="11" t="inlineStr"/>
      <c r="H1370" s="11" t="inlineStr">
        <is>
          <t>unknown</t>
        </is>
      </c>
      <c r="I1370" s="2" t="inlineStr">
        <is>
          <t>(2005) CriLJ 1231; (2005) 25 GLH 313</t>
        </is>
      </c>
      <c r="J1370" s="11" t="n">
        <v>2005</v>
      </c>
      <c r="K1370" s="2" t="inlineStr">
        <is>
          <t>C.R. Patil v. State of Gujarat and Others</t>
        </is>
      </c>
      <c r="L1370" s="11" t="inlineStr">
        <is>
          <t>Supreme Court</t>
        </is>
      </c>
      <c r="M1370" s="2" t="inlineStr">
        <is>
          <t>(2009) CriLJ 332; (2008) 11 JT 20; (2008) 12 SCC 741</t>
        </is>
      </c>
      <c r="N1370" s="11" t="n">
        <v>2008</v>
      </c>
      <c r="O1370" s="11" t="n"/>
      <c r="P1370" s="11" t="n"/>
      <c r="Q1370" s="11" t="n"/>
      <c r="R1370" s="2" t="n"/>
      <c r="S1370" s="2" t="n"/>
      <c r="T1370" s="11" t="inlineStr">
        <is>
          <t>yes</t>
        </is>
      </c>
      <c r="U1370" s="11" t="inlineStr"/>
      <c r="V1370" s="11" t="inlineStr">
        <is>
          <t>outside_list</t>
        </is>
      </c>
      <c r="W1370" s="11" t="n"/>
      <c r="X1370" s="11" t="n"/>
      <c r="Y1370" s="11" t="n"/>
      <c r="Z1370" s="11" t="inlineStr">
        <is>
          <t>Mr. Advocate</t>
        </is>
      </c>
      <c r="AA1370" s="11" t="inlineStr">
        <is>
          <t>2026-10-07</t>
        </is>
      </c>
      <c r="AB1370" s="11" t="inlineStr">
        <is>
          <t>name_year</t>
        </is>
      </c>
      <c r="AC1370" s="2" t="inlineStr"/>
      <c r="AD1370" s="2" t="inlineStr">
        <is>
          <t>C.R. Patil and C.E. Patil v. State of Gujarat (2005) was reversed on appeal by the Supreme Court in C.R. Patil v. State of Gujarat and Others (2008).</t>
        </is>
      </c>
      <c r="AE1370" s="2" t="n"/>
      <c r="AF1370" s="11" t="inlineStr">
        <is>
          <t>created from list 1</t>
        </is>
      </c>
    </row>
    <row r="1371">
      <c r="A1371" s="11" t="inlineStr">
        <is>
          <t>L1-1370</t>
        </is>
      </c>
      <c r="B1371" s="11" t="inlineStr">
        <is>
          <t>List 1 (to ~2015)</t>
        </is>
      </c>
      <c r="C1371" s="11" t="inlineStr">
        <is>
          <t>list1</t>
        </is>
      </c>
      <c r="D1371" s="11" t="inlineStr">
        <is>
          <t>verified</t>
        </is>
      </c>
      <c r="E1371" s="11" t="inlineStr">
        <is>
          <t>overruled</t>
        </is>
      </c>
      <c r="F1371" s="2" t="inlineStr">
        <is>
          <t>Suresh B. Kella v. State of Gujarat</t>
        </is>
      </c>
      <c r="G1371" s="11" t="inlineStr"/>
      <c r="H1371" s="11" t="inlineStr">
        <is>
          <t>unknown</t>
        </is>
      </c>
      <c r="I1371" s="2" t="inlineStr"/>
      <c r="J1371" s="11" t="n"/>
      <c r="K1371" s="2" t="inlineStr">
        <is>
          <t>Mulchand Khanumal Khatri v. State of Gujarat and Others</t>
        </is>
      </c>
      <c r="L1371" s="11" t="inlineStr">
        <is>
          <t>Supreme Court</t>
        </is>
      </c>
      <c r="M1371" s="2" t="inlineStr">
        <is>
          <t>AIR 2012 SC 2525; (2012) 5 SCC 365; (2012) AIRSCW 2497</t>
        </is>
      </c>
      <c r="N1371" s="11" t="n">
        <v>2012</v>
      </c>
      <c r="O1371" s="11" t="n"/>
      <c r="P1371" s="11" t="n"/>
      <c r="Q1371" s="11" t="n"/>
      <c r="R1371" s="2" t="n"/>
      <c r="S1371" s="2" t="n"/>
      <c r="T1371" s="11" t="inlineStr"/>
      <c r="U1371" s="11" t="inlineStr">
        <is>
          <t>no_citation_or_year_for_overruled, needs_citation_or_year</t>
        </is>
      </c>
      <c r="V1371" s="11" t="inlineStr">
        <is>
          <t>outside_list</t>
        </is>
      </c>
      <c r="W1371" s="11" t="n"/>
      <c r="X1371" s="11" t="n"/>
      <c r="Y1371" s="11" t="n"/>
      <c r="Z1371" s="11" t="inlineStr">
        <is>
          <t>Mr. Advocate</t>
        </is>
      </c>
      <c r="AA1371" s="11" t="inlineStr">
        <is>
          <t>2026-10-07</t>
        </is>
      </c>
      <c r="AB1371" s="11" t="inlineStr">
        <is>
          <t>weak</t>
        </is>
      </c>
      <c r="AC1371" s="2" t="inlineStr"/>
      <c r="AD1371" s="2" t="inlineStr">
        <is>
          <t>Suresh B. Kella v. State of Gujarat was overruled by Mulchand Khanumal Khatri v. State of Gujarat and Others (2012).</t>
        </is>
      </c>
      <c r="AE1371" s="2" t="n"/>
      <c r="AF1371" s="11" t="inlineStr">
        <is>
          <t>created from list 1</t>
        </is>
      </c>
    </row>
    <row r="1372">
      <c r="A1372" s="11" t="inlineStr">
        <is>
          <t>L1-1371</t>
        </is>
      </c>
      <c r="B1372" s="11" t="inlineStr">
        <is>
          <t>List 1 (to ~2015)</t>
        </is>
      </c>
      <c r="C1372" s="11" t="inlineStr">
        <is>
          <t>list1</t>
        </is>
      </c>
      <c r="D1372" s="11" t="inlineStr">
        <is>
          <t>verified</t>
        </is>
      </c>
      <c r="E1372" s="11" t="inlineStr">
        <is>
          <t>reversed_on_appeal</t>
        </is>
      </c>
      <c r="F1372" s="2" t="inlineStr">
        <is>
          <t>Abdulwahab Abdulmajid Baloch v. State of Gujarat</t>
        </is>
      </c>
      <c r="G1372" s="11" t="inlineStr"/>
      <c r="H1372" s="11" t="inlineStr">
        <is>
          <t>unknown</t>
        </is>
      </c>
      <c r="I1372" s="2" t="inlineStr"/>
      <c r="J1372" s="11" t="n"/>
      <c r="K1372" s="2" t="inlineStr">
        <is>
          <t>Abdulwahab Abdulmajid Baloch v. State of Gujarat</t>
        </is>
      </c>
      <c r="L1372" s="11" t="inlineStr">
        <is>
          <t>Supreme Court</t>
        </is>
      </c>
      <c r="M1372" s="2" t="inlineStr">
        <is>
          <t>(2009) 5 JT 58; (2009) 4 SCALE 211; (2009) 11 SCC 625; (2009) 4 SCR 956</t>
        </is>
      </c>
      <c r="N1372" s="11" t="n">
        <v>2009</v>
      </c>
      <c r="O1372" s="11" t="n"/>
      <c r="P1372" s="11" t="n"/>
      <c r="Q1372" s="11" t="n"/>
      <c r="R1372" s="2" t="n"/>
      <c r="S1372" s="2" t="n"/>
      <c r="T1372" s="11" t="inlineStr">
        <is>
          <t>yes</t>
        </is>
      </c>
      <c r="U1372" s="11" t="inlineStr">
        <is>
          <t>no_citation_or_year_for_overruled, needs_citation_or_year</t>
        </is>
      </c>
      <c r="V1372" s="11" t="inlineStr">
        <is>
          <t>outside_list</t>
        </is>
      </c>
      <c r="W1372" s="11" t="n"/>
      <c r="X1372" s="11" t="n"/>
      <c r="Y1372" s="11" t="n"/>
      <c r="Z1372" s="11" t="inlineStr">
        <is>
          <t>Mr. Advocate</t>
        </is>
      </c>
      <c r="AA1372" s="11" t="inlineStr">
        <is>
          <t>2026-10-07</t>
        </is>
      </c>
      <c r="AB1372" s="11" t="inlineStr">
        <is>
          <t>weak</t>
        </is>
      </c>
      <c r="AC1372" s="2" t="inlineStr"/>
      <c r="AD1372" s="2" t="inlineStr">
        <is>
          <t>Abdulwahab Abdulmajid Baloch v. State of Gujarat was reversed on appeal by the Supreme Court in Abdulwahab Abdulmajid Baloch v. State of Gujarat (2009).</t>
        </is>
      </c>
      <c r="AE1372" s="2" t="n"/>
      <c r="AF1372" s="11" t="inlineStr">
        <is>
          <t>created from list 1</t>
        </is>
      </c>
    </row>
    <row r="1373">
      <c r="A1373" s="11" t="inlineStr">
        <is>
          <t>L1-1372</t>
        </is>
      </c>
      <c r="B1373" s="11" t="inlineStr">
        <is>
          <t>List 1 (to ~2015)</t>
        </is>
      </c>
      <c r="C1373" s="11" t="inlineStr">
        <is>
          <t>list1</t>
        </is>
      </c>
      <c r="D1373" s="11" t="inlineStr">
        <is>
          <t>verified</t>
        </is>
      </c>
      <c r="E1373" s="11" t="inlineStr">
        <is>
          <t>reversed_on_appeal</t>
        </is>
      </c>
      <c r="F1373" s="2" t="inlineStr">
        <is>
          <t>Kishangiri Mangalgiri Goswami v. State of Gujarat</t>
        </is>
      </c>
      <c r="G1373" s="11" t="inlineStr"/>
      <c r="H1373" s="11" t="inlineStr">
        <is>
          <t>unknown</t>
        </is>
      </c>
      <c r="I1373" s="2" t="inlineStr">
        <is>
          <t>(2009) 2 GLH 9</t>
        </is>
      </c>
      <c r="J1373" s="11" t="n">
        <v>2009</v>
      </c>
      <c r="K1373" s="2" t="inlineStr">
        <is>
          <t>Kishangiri Mangalgiri Goswami v. State of Gujarat</t>
        </is>
      </c>
      <c r="L1373" s="11" t="inlineStr">
        <is>
          <t>Supreme Court</t>
        </is>
      </c>
      <c r="M1373" s="2" t="inlineStr">
        <is>
          <t>AIR 2009 SC 1808; (2009) CLT 633; (2009) CriLJ 1720; (2009) 2 JT 84; (2009) 1 SCALE 31; (2009) 4 SCC 52; (2009) 1 SCR 672; (2010) AIRSCW 468; (2009) AIRSCW 1399; (2009) 1 Supreme 491</t>
        </is>
      </c>
      <c r="N1373" s="11" t="n">
        <v>2009</v>
      </c>
      <c r="O1373" s="11" t="n"/>
      <c r="P1373" s="11" t="n"/>
      <c r="Q1373" s="11" t="n"/>
      <c r="R1373" s="2" t="n"/>
      <c r="S1373" s="2" t="n"/>
      <c r="T1373" s="11" t="inlineStr">
        <is>
          <t>yes</t>
        </is>
      </c>
      <c r="U1373" s="11" t="inlineStr"/>
      <c r="V1373" s="11" t="inlineStr">
        <is>
          <t>outside_list</t>
        </is>
      </c>
      <c r="W1373" s="11" t="n"/>
      <c r="X1373" s="11" t="n"/>
      <c r="Y1373" s="11" t="n"/>
      <c r="Z1373" s="11" t="inlineStr">
        <is>
          <t>Mr. Advocate</t>
        </is>
      </c>
      <c r="AA1373" s="11" t="inlineStr">
        <is>
          <t>2026-10-07</t>
        </is>
      </c>
      <c r="AB1373" s="11" t="inlineStr">
        <is>
          <t>name_year</t>
        </is>
      </c>
      <c r="AC1373" s="2" t="inlineStr"/>
      <c r="AD1373" s="2" t="inlineStr">
        <is>
          <t>Kishangiri Mangalgiri Goswami v. State of Gujarat (2009) was reversed on appeal by the Supreme Court in Kishangiri Mangalgiri Goswami v. State of Gujarat (2009).</t>
        </is>
      </c>
      <c r="AE1373" s="2" t="n"/>
      <c r="AF1373" s="11" t="inlineStr">
        <is>
          <t>created from list 1</t>
        </is>
      </c>
    </row>
    <row r="1374">
      <c r="A1374" s="11" t="inlineStr">
        <is>
          <t>L1-1373</t>
        </is>
      </c>
      <c r="B1374" s="11" t="inlineStr">
        <is>
          <t>List 1 (to ~2015)</t>
        </is>
      </c>
      <c r="C1374" s="11" t="inlineStr">
        <is>
          <t>list1</t>
        </is>
      </c>
      <c r="D1374" s="11" t="inlineStr">
        <is>
          <t>verified</t>
        </is>
      </c>
      <c r="E1374" s="11" t="inlineStr">
        <is>
          <t>overruled</t>
        </is>
      </c>
      <c r="F1374" s="2" t="inlineStr">
        <is>
          <t>Baroda Board and Paper Mills Ltd. (In Liquidation) v. Income Tax Officer, Circle I, Ward-e, Ahmedabad and Others</t>
        </is>
      </c>
      <c r="G1374" s="11" t="inlineStr"/>
      <c r="H1374" s="11" t="inlineStr">
        <is>
          <t>unknown</t>
        </is>
      </c>
      <c r="I1374" s="2" t="inlineStr">
        <is>
          <t>(1976) 102 ITR 153; (1976) 37 STC 339</t>
        </is>
      </c>
      <c r="J1374" s="11" t="n">
        <v>1976</v>
      </c>
      <c r="K1374" s="2" t="inlineStr">
        <is>
          <t>Rajratha Naranbhai Mills Co. Ltd. v. Sales Tax Officer, Petlad</t>
        </is>
      </c>
      <c r="L1374" s="11" t="inlineStr">
        <is>
          <t>Supreme Court</t>
        </is>
      </c>
      <c r="M1374" s="2" t="inlineStr">
        <is>
          <t>(1991) 71 CompCas 149; (1991) 1 CompLJ 229; (1991) 52 ELT 335; (1991) 189 ITR 90; (1991) 2 JT 117; (1991) 1 SCALE 244; (1991) 3 SCC 283; (1991) 1 SCR 527; (1991) 81 STC 233</t>
        </is>
      </c>
      <c r="N1374" s="11" t="n">
        <v>1991</v>
      </c>
      <c r="O1374" s="11" t="n"/>
      <c r="P1374" s="11" t="n"/>
      <c r="Q1374" s="11" t="n"/>
      <c r="R1374" s="2" t="n"/>
      <c r="S1374" s="2" t="n"/>
      <c r="T1374" s="11" t="inlineStr"/>
      <c r="U1374" s="11" t="inlineStr"/>
      <c r="V1374" s="11" t="inlineStr">
        <is>
          <t>outside_list</t>
        </is>
      </c>
      <c r="W1374" s="11" t="n"/>
      <c r="X1374" s="11" t="n"/>
      <c r="Y1374" s="11" t="n"/>
      <c r="Z1374" s="11" t="inlineStr">
        <is>
          <t>Mr. Advocate</t>
        </is>
      </c>
      <c r="AA1374" s="11" t="inlineStr">
        <is>
          <t>2026-10-07</t>
        </is>
      </c>
      <c r="AB1374" s="11" t="inlineStr">
        <is>
          <t>name_year</t>
        </is>
      </c>
      <c r="AC1374" s="2" t="inlineStr"/>
      <c r="AD1374" s="2" t="inlineStr">
        <is>
          <t>Baroda Board and Paper Mills Ltd. (In Liquidation) v. Income Tax Officer, Circle I, Ward-e, Ahmedabad and Others (1976) was overruled by Rajratha Naranbhai Mills Co. Ltd. v. Sales Tax Officer, Petlad (1991).</t>
        </is>
      </c>
      <c r="AE1374" s="2" t="n"/>
      <c r="AF1374" s="11" t="inlineStr">
        <is>
          <t>created from list 1</t>
        </is>
      </c>
    </row>
    <row r="1375">
      <c r="A1375" s="11" t="inlineStr">
        <is>
          <t>L1-1374</t>
        </is>
      </c>
      <c r="B1375" s="11" t="inlineStr">
        <is>
          <t>List 1 (to ~2015)</t>
        </is>
      </c>
      <c r="C1375" s="11" t="inlineStr">
        <is>
          <t>list1</t>
        </is>
      </c>
      <c r="D1375" s="11" t="inlineStr">
        <is>
          <t>verified</t>
        </is>
      </c>
      <c r="E1375" s="11" t="inlineStr">
        <is>
          <t>reversed_on_appeal</t>
        </is>
      </c>
      <c r="F1375" s="2" t="inlineStr">
        <is>
          <t>Pranlal Jayanand Thakar v. Vasudev Ramachandra Shelat and Others</t>
        </is>
      </c>
      <c r="G1375" s="11" t="inlineStr"/>
      <c r="H1375" s="11" t="inlineStr">
        <is>
          <t>unknown</t>
        </is>
      </c>
      <c r="I1375" s="2" t="inlineStr">
        <is>
          <t>(1973) 43 CompCas 203; (1973) 14 GLR 363</t>
        </is>
      </c>
      <c r="J1375" s="11" t="n">
        <v>1973</v>
      </c>
      <c r="K1375" s="2" t="inlineStr">
        <is>
          <t>Vasudev Ramchandra Shelat v. Pranlal Jayanand Thakar and Others</t>
        </is>
      </c>
      <c r="L1375" s="11" t="inlineStr">
        <is>
          <t>Supreme Court</t>
        </is>
      </c>
      <c r="M1375" s="2" t="inlineStr">
        <is>
          <t>AIR 1974 SC 1728; (1975) 45 CompCas 43; (1974) 2 SCC 323; (1975) 1 SCR 534</t>
        </is>
      </c>
      <c r="N1375" s="11" t="n">
        <v>1974</v>
      </c>
      <c r="O1375" s="11" t="n"/>
      <c r="P1375" s="11" t="n"/>
      <c r="Q1375" s="11" t="n"/>
      <c r="R1375" s="2" t="n"/>
      <c r="S1375" s="2" t="n"/>
      <c r="T1375" s="11" t="inlineStr">
        <is>
          <t>yes</t>
        </is>
      </c>
      <c r="U1375" s="11" t="inlineStr"/>
      <c r="V1375" s="11" t="inlineStr">
        <is>
          <t>outside_list</t>
        </is>
      </c>
      <c r="W1375" s="11" t="n"/>
      <c r="X1375" s="11" t="n"/>
      <c r="Y1375" s="11" t="n"/>
      <c r="Z1375" s="11" t="inlineStr">
        <is>
          <t>Mr. Advocate</t>
        </is>
      </c>
      <c r="AA1375" s="11" t="inlineStr">
        <is>
          <t>2026-10-07</t>
        </is>
      </c>
      <c r="AB1375" s="11" t="inlineStr">
        <is>
          <t>name_year</t>
        </is>
      </c>
      <c r="AC1375" s="2" t="inlineStr"/>
      <c r="AD1375" s="2" t="inlineStr">
        <is>
          <t>Pranlal Jayanand Thakar v. Vasudev Ramachandra Shelat and Others (1973) was reversed on appeal by the Supreme Court in Vasudev Ramchandra Shelat v. Pranlal Jayanand Thakar and Others (1974).</t>
        </is>
      </c>
      <c r="AE1375" s="2" t="n"/>
      <c r="AF1375" s="11" t="inlineStr">
        <is>
          <t>created from list 1</t>
        </is>
      </c>
    </row>
    <row r="1376">
      <c r="A1376" s="11" t="inlineStr">
        <is>
          <t>L1-1375</t>
        </is>
      </c>
      <c r="B1376" s="11" t="inlineStr">
        <is>
          <t>List 1 (to ~2015)</t>
        </is>
      </c>
      <c r="C1376" s="11" t="inlineStr">
        <is>
          <t>list1</t>
        </is>
      </c>
      <c r="D1376" s="11" t="inlineStr">
        <is>
          <t>verified</t>
        </is>
      </c>
      <c r="E1376" s="11" t="inlineStr">
        <is>
          <t>reversed_on_appeal</t>
        </is>
      </c>
      <c r="F1376" s="2" t="inlineStr">
        <is>
          <t>Shah Nawaz v. State of U.P. and Another</t>
        </is>
      </c>
      <c r="G1376" s="11" t="inlineStr"/>
      <c r="H1376" s="11" t="inlineStr">
        <is>
          <t>unknown</t>
        </is>
      </c>
      <c r="I1376" s="2" t="inlineStr"/>
      <c r="J1376" s="11" t="n"/>
      <c r="K1376" s="2" t="inlineStr">
        <is>
          <t>Shah Nawaz v. State of U.P. and Another</t>
        </is>
      </c>
      <c r="L1376" s="11" t="inlineStr">
        <is>
          <t>Supreme Court</t>
        </is>
      </c>
      <c r="M1376" s="2" t="inlineStr">
        <is>
          <t>AIR 2011 SC 3107; (2011) 3 Crimes 171; (2011) 8 JT 475; (2011) 3 RCR(Criminal) 884; (2011) 8 SCALE 423; (2011) 13 SCC 751; (2011) 9 SCR 859; (2011) AIRSCW 4777; (2011) AIRSCW 4632; (2011) 7 Supreme 529; (2011) 5 Supreme 476</t>
        </is>
      </c>
      <c r="N1376" s="11" t="n">
        <v>2011</v>
      </c>
      <c r="O1376" s="11" t="n"/>
      <c r="P1376" s="11" t="n"/>
      <c r="Q1376" s="11" t="n"/>
      <c r="R1376" s="2" t="n"/>
      <c r="S1376" s="2" t="n"/>
      <c r="T1376" s="11" t="inlineStr">
        <is>
          <t>yes</t>
        </is>
      </c>
      <c r="U1376" s="11" t="inlineStr">
        <is>
          <t>no_citation_or_year_for_overruled, needs_citation_or_year</t>
        </is>
      </c>
      <c r="V1376" s="11" t="inlineStr">
        <is>
          <t>outside_list</t>
        </is>
      </c>
      <c r="W1376" s="11" t="n"/>
      <c r="X1376" s="11" t="n"/>
      <c r="Y1376" s="11" t="n"/>
      <c r="Z1376" s="11" t="inlineStr">
        <is>
          <t>Mr. Advocate</t>
        </is>
      </c>
      <c r="AA1376" s="11" t="inlineStr">
        <is>
          <t>2026-10-07</t>
        </is>
      </c>
      <c r="AB1376" s="11" t="inlineStr">
        <is>
          <t>weak</t>
        </is>
      </c>
      <c r="AC1376" s="2" t="inlineStr"/>
      <c r="AD1376" s="2" t="inlineStr">
        <is>
          <t>Shah Nawaz v. State of U.P. and Another was reversed on appeal by the Supreme Court in Shah Nawaz v. State of U.P. and Another (2011).</t>
        </is>
      </c>
      <c r="AE1376" s="2" t="n"/>
      <c r="AF1376" s="11" t="inlineStr">
        <is>
          <t>created from list 1</t>
        </is>
      </c>
    </row>
    <row r="1377">
      <c r="A1377" s="11" t="inlineStr">
        <is>
          <t>L1-1376</t>
        </is>
      </c>
      <c r="B1377" s="11" t="inlineStr">
        <is>
          <t>List 1 (to ~2015)</t>
        </is>
      </c>
      <c r="C1377" s="11" t="inlineStr">
        <is>
          <t>list1</t>
        </is>
      </c>
      <c r="D1377" s="11" t="inlineStr">
        <is>
          <t>verified</t>
        </is>
      </c>
      <c r="E1377" s="11" t="inlineStr">
        <is>
          <t>overruled</t>
        </is>
      </c>
      <c r="F1377" s="2" t="inlineStr">
        <is>
          <t>U.P. State Sugar and Cane Development Corporation Ltd. v. The Presiding Officer, Labour Court and Others</t>
        </is>
      </c>
      <c r="G1377" s="11" t="inlineStr"/>
      <c r="H1377" s="11" t="inlineStr">
        <is>
          <t>unknown</t>
        </is>
      </c>
      <c r="I1377" s="2" t="inlineStr">
        <is>
          <t>(2006) 1 AWC 841</t>
        </is>
      </c>
      <c r="J1377" s="11" t="n">
        <v>2006</v>
      </c>
      <c r="K1377" s="2" t="inlineStr">
        <is>
          <t>U.P. State Sugar and Cane Development Corporation Limited v. Chini Mill Mazdoor Sangh and Others</t>
        </is>
      </c>
      <c r="L1377" s="11" t="inlineStr">
        <is>
          <t>Supreme Court</t>
        </is>
      </c>
      <c r="M1377" s="2" t="inlineStr">
        <is>
          <t>AIR 2009 SC 387; (2008) 119 FLR 386; (2008) 10 JT 578; (2009) 1 LLJ 595; (2008) 13 SCALE 41; (2008) 9 SCC 544; (2008) 2 SCC(L&amp;S) 972; (2009) 1 SLJ 475; (2009) 1 SLR 456</t>
        </is>
      </c>
      <c r="N1377" s="11" t="n">
        <v>2009</v>
      </c>
      <c r="O1377" s="11" t="n"/>
      <c r="P1377" s="11" t="n"/>
      <c r="Q1377" s="11" t="n"/>
      <c r="R1377" s="2" t="n"/>
      <c r="S1377" s="2" t="n"/>
      <c r="T1377" s="11" t="inlineStr"/>
      <c r="U1377" s="11" t="inlineStr"/>
      <c r="V1377" s="11" t="inlineStr">
        <is>
          <t>outside_list</t>
        </is>
      </c>
      <c r="W1377" s="11" t="n"/>
      <c r="X1377" s="11" t="n"/>
      <c r="Y1377" s="11" t="n"/>
      <c r="Z1377" s="11" t="inlineStr">
        <is>
          <t>Mr. Advocate</t>
        </is>
      </c>
      <c r="AA1377" s="11" t="inlineStr">
        <is>
          <t>2026-10-07</t>
        </is>
      </c>
      <c r="AB1377" s="11" t="inlineStr">
        <is>
          <t>name_year</t>
        </is>
      </c>
      <c r="AC1377" s="2" t="inlineStr"/>
      <c r="AD1377" s="2" t="inlineStr">
        <is>
          <t>U.P. State Sugar and Cane Development Corporation Ltd. v. The Presiding Officer, Labour Court and Others (2006) was overruled by U.P. State Sugar and Cane Development Corporation Limited v. Chini Mill Mazdoor Sangh and Others (2009).</t>
        </is>
      </c>
      <c r="AE1377" s="2" t="n"/>
      <c r="AF1377" s="11" t="inlineStr">
        <is>
          <t>created from list 1</t>
        </is>
      </c>
    </row>
    <row r="1378">
      <c r="A1378" s="11" t="inlineStr">
        <is>
          <t>L1-1377</t>
        </is>
      </c>
      <c r="B1378" s="11" t="inlineStr">
        <is>
          <t>List 1 (to ~2015)</t>
        </is>
      </c>
      <c r="C1378" s="11" t="inlineStr">
        <is>
          <t>list1</t>
        </is>
      </c>
      <c r="D1378" s="11" t="inlineStr">
        <is>
          <t>verified</t>
        </is>
      </c>
      <c r="E1378" s="11" t="inlineStr">
        <is>
          <t>overruled</t>
        </is>
      </c>
      <c r="F1378" s="2" t="inlineStr">
        <is>
          <t>Vishwa Nath Singh and Others v. Jogendra Singh and Others</t>
        </is>
      </c>
      <c r="G1378" s="11" t="inlineStr"/>
      <c r="H1378" s="11" t="inlineStr">
        <is>
          <t>unknown</t>
        </is>
      </c>
      <c r="I1378" s="2" t="inlineStr">
        <is>
          <t>(2005) 2 AWC 2014</t>
        </is>
      </c>
      <c r="J1378" s="11" t="n">
        <v>2005</v>
      </c>
      <c r="K1378" s="2" t="inlineStr">
        <is>
          <t>Phool Pata and Another v. Vishwanath Singh and Others</t>
        </is>
      </c>
      <c r="L1378" s="11" t="inlineStr">
        <is>
          <t>Supreme Court</t>
        </is>
      </c>
      <c r="M1378" s="2" t="inlineStr">
        <is>
          <t>AIR 2005 SC 3079; (2005) 100 CLT 331; (2005) 4 CTC 573; (2005) 197 CTR 598; (2005) 6 JT 483; (2005) 6 SCC 40; (2005) 2 UJ 1033; (2005) AIRSCW 3575; (2005) 5 Supreme 350</t>
        </is>
      </c>
      <c r="N1378" s="11" t="n">
        <v>2005</v>
      </c>
      <c r="O1378" s="11" t="n"/>
      <c r="P1378" s="11" t="n"/>
      <c r="Q1378" s="11" t="n"/>
      <c r="R1378" s="2" t="n"/>
      <c r="S1378" s="2" t="n"/>
      <c r="T1378" s="11" t="inlineStr"/>
      <c r="U1378" s="11" t="inlineStr"/>
      <c r="V1378" s="11" t="inlineStr">
        <is>
          <t>outside_list</t>
        </is>
      </c>
      <c r="W1378" s="11" t="n"/>
      <c r="X1378" s="11" t="n"/>
      <c r="Y1378" s="11" t="n"/>
      <c r="Z1378" s="11" t="inlineStr">
        <is>
          <t>Mr. Advocate</t>
        </is>
      </c>
      <c r="AA1378" s="11" t="inlineStr">
        <is>
          <t>2026-10-07</t>
        </is>
      </c>
      <c r="AB1378" s="11" t="inlineStr">
        <is>
          <t>name_year</t>
        </is>
      </c>
      <c r="AC1378" s="2" t="inlineStr"/>
      <c r="AD1378" s="2" t="inlineStr">
        <is>
          <t>Vishwa Nath Singh and Others v. Jogendra Singh and Others (2005) was overruled by Phool Pata and Another v. Vishwanath Singh and Others (2005).</t>
        </is>
      </c>
      <c r="AE1378" s="2" t="n"/>
      <c r="AF1378" s="11" t="inlineStr">
        <is>
          <t>created from list 1</t>
        </is>
      </c>
    </row>
    <row r="1379">
      <c r="A1379" s="11" t="inlineStr">
        <is>
          <t>L1-1378</t>
        </is>
      </c>
      <c r="B1379" s="11" t="inlineStr">
        <is>
          <t>List 1 (to ~2015)</t>
        </is>
      </c>
      <c r="C1379" s="11" t="inlineStr">
        <is>
          <t>list1</t>
        </is>
      </c>
      <c r="D1379" s="11" t="inlineStr">
        <is>
          <t>verified</t>
        </is>
      </c>
      <c r="E1379" s="11" t="inlineStr">
        <is>
          <t>reversed_on_appeal</t>
        </is>
      </c>
      <c r="F1379" s="2" t="inlineStr">
        <is>
          <t>Ghaziabad Development Authority, Ghaziabad v. Ashok Kumar, Amin and State of U.P.</t>
        </is>
      </c>
      <c r="G1379" s="11" t="inlineStr"/>
      <c r="H1379" s="11" t="inlineStr">
        <is>
          <t>unknown</t>
        </is>
      </c>
      <c r="I1379" s="2" t="inlineStr"/>
      <c r="J1379" s="11" t="n"/>
      <c r="K1379" s="2" t="inlineStr">
        <is>
          <t>Ghaziabad Development Authority and Another v. Ashok Kumar and Another</t>
        </is>
      </c>
      <c r="L1379" s="11" t="inlineStr">
        <is>
          <t>unknown</t>
        </is>
      </c>
      <c r="M1379" s="2" t="inlineStr">
        <is>
          <t>(2008) 2 CLT 526; (2008) 117 FLR 1198; (2008) 2 JT 494; (2008) 1 LLJ 1013; (2008) 2 SCALE 593; (2008) 4 SCC 261; (2008) 1 SCC(L&amp;S) 1016; (2008) AIRSCW 4738; (2008) AIRSCW 1474; (2008) 2 Supreme 282</t>
        </is>
      </c>
      <c r="N1379" s="11" t="n">
        <v>2008</v>
      </c>
      <c r="O1379" s="11" t="n"/>
      <c r="P1379" s="11" t="n"/>
      <c r="Q1379" s="11" t="n"/>
      <c r="R1379" s="2" t="n"/>
      <c r="S1379" s="2" t="n"/>
      <c r="T1379" s="11" t="inlineStr">
        <is>
          <t>yes</t>
        </is>
      </c>
      <c r="U1379" s="11" t="inlineStr">
        <is>
          <t>no_citation_or_year_for_overruled, needs_citation_or_year</t>
        </is>
      </c>
      <c r="V1379" s="11" t="inlineStr">
        <is>
          <t>outside_list</t>
        </is>
      </c>
      <c r="W1379" s="11" t="n"/>
      <c r="X1379" s="11" t="n"/>
      <c r="Y1379" s="11" t="n"/>
      <c r="Z1379" s="11" t="inlineStr">
        <is>
          <t>Mr. Advocate</t>
        </is>
      </c>
      <c r="AA1379" s="11" t="inlineStr">
        <is>
          <t>2026-10-07</t>
        </is>
      </c>
      <c r="AB1379" s="11" t="inlineStr">
        <is>
          <t>weak</t>
        </is>
      </c>
      <c r="AC1379" s="2" t="inlineStr"/>
      <c r="AD1379" s="2" t="inlineStr">
        <is>
          <t>Ghaziabad Development Authority, Ghaziabad v. Ashok Kumar, Amin and State of U.P. was reversed on appeal by the Supreme Court in Ghaziabad Development Authority and Another v. Ashok Kumar and Another (2008).</t>
        </is>
      </c>
      <c r="AE1379" s="2" t="n"/>
      <c r="AF1379" s="11" t="inlineStr">
        <is>
          <t>created from list 1</t>
        </is>
      </c>
    </row>
    <row r="1380">
      <c r="A1380" s="11" t="inlineStr">
        <is>
          <t>L1-1379</t>
        </is>
      </c>
      <c r="B1380" s="11" t="inlineStr">
        <is>
          <t>List 1 (to ~2015)</t>
        </is>
      </c>
      <c r="C1380" s="11" t="inlineStr">
        <is>
          <t>list1</t>
        </is>
      </c>
      <c r="D1380" s="11" t="inlineStr">
        <is>
          <t>verified</t>
        </is>
      </c>
      <c r="E1380" s="11" t="inlineStr">
        <is>
          <t>reversed_on_appeal</t>
        </is>
      </c>
      <c r="F1380" s="2" t="inlineStr">
        <is>
          <t>The Commissioner Sales Tax v. S/s Trutuf Safety Glass Industries</t>
        </is>
      </c>
      <c r="G1380" s="11" t="inlineStr"/>
      <c r="H1380" s="11" t="inlineStr">
        <is>
          <t>unknown</t>
        </is>
      </c>
      <c r="I1380" s="2" t="inlineStr">
        <is>
          <t>(2006) 148 STC 477</t>
        </is>
      </c>
      <c r="J1380" s="11" t="n">
        <v>2006</v>
      </c>
      <c r="K1380" s="2" t="inlineStr">
        <is>
          <t>Trutuf Safety Glass Industries v. Commissioner of Sales Tax, U.P.</t>
        </is>
      </c>
      <c r="L1380" s="11" t="inlineStr">
        <is>
          <t>Supreme Court</t>
        </is>
      </c>
      <c r="M1380" s="2" t="inlineStr">
        <is>
          <t>(2007) 215 ELT 14; (2007) 9 JT 622; (2007) 9 SCALE 610; (2007) 7 SCC 242; (2007) 9 SCR 860; (2007) 8 VST 661</t>
        </is>
      </c>
      <c r="N1380" s="11" t="n">
        <v>2007</v>
      </c>
      <c r="O1380" s="11" t="n"/>
      <c r="P1380" s="11" t="n"/>
      <c r="Q1380" s="11" t="n"/>
      <c r="R1380" s="2" t="n"/>
      <c r="S1380" s="2" t="n"/>
      <c r="T1380" s="11" t="inlineStr">
        <is>
          <t>yes</t>
        </is>
      </c>
      <c r="U1380" s="11" t="inlineStr"/>
      <c r="V1380" s="11" t="inlineStr">
        <is>
          <t>outside_list</t>
        </is>
      </c>
      <c r="W1380" s="11" t="n"/>
      <c r="X1380" s="11" t="n"/>
      <c r="Y1380" s="11" t="n"/>
      <c r="Z1380" s="11" t="inlineStr">
        <is>
          <t>Mr. Advocate</t>
        </is>
      </c>
      <c r="AA1380" s="11" t="inlineStr">
        <is>
          <t>2026-10-07</t>
        </is>
      </c>
      <c r="AB1380" s="11" t="inlineStr">
        <is>
          <t>name_year</t>
        </is>
      </c>
      <c r="AC1380" s="2" t="inlineStr"/>
      <c r="AD1380" s="2" t="inlineStr">
        <is>
          <t>The Commissioner Sales Tax v. S/s Trutuf Safety Glass Industries (2006) was reversed on appeal by the Supreme Court in Trutuf Safety Glass Industries v. Commissioner of Sales Tax, U.P. (2007).</t>
        </is>
      </c>
      <c r="AE1380" s="2" t="n"/>
      <c r="AF1380" s="11" t="inlineStr">
        <is>
          <t>created from list 1</t>
        </is>
      </c>
    </row>
    <row r="1381">
      <c r="A1381" s="11" t="inlineStr">
        <is>
          <t>L1-1380</t>
        </is>
      </c>
      <c r="B1381" s="11" t="inlineStr">
        <is>
          <t>List 1 (to ~2015)</t>
        </is>
      </c>
      <c r="C1381" s="11" t="inlineStr">
        <is>
          <t>list1</t>
        </is>
      </c>
      <c r="D1381" s="11" t="inlineStr">
        <is>
          <t>verified</t>
        </is>
      </c>
      <c r="E1381" s="11" t="inlineStr">
        <is>
          <t>overruled</t>
        </is>
      </c>
      <c r="F1381" s="2" t="inlineStr">
        <is>
          <t>Harihar Bhole Nath Misra v. State Public Services Tribunal and Others</t>
        </is>
      </c>
      <c r="G1381" s="11" t="inlineStr"/>
      <c r="H1381" s="11" t="inlineStr">
        <is>
          <t>unknown</t>
        </is>
      </c>
      <c r="I1381" s="2" t="inlineStr">
        <is>
          <t>(2005) 6 AWC 6267; (2005) 3 ESC 1962</t>
        </is>
      </c>
      <c r="J1381" s="11" t="n">
        <v>2005</v>
      </c>
      <c r="K1381" s="2" t="inlineStr">
        <is>
          <t>State of U.P. and Others v. Harihar Bhole Nath</t>
        </is>
      </c>
      <c r="L1381" s="11" t="inlineStr">
        <is>
          <t>Supreme Court</t>
        </is>
      </c>
      <c r="M1381" s="2" t="inlineStr">
        <is>
          <t>(2006) 9 JT 567; (2006) 11 SCALE 322; (2006) 13 SCC 460; (2007) 2 SCC(L&amp;S) 686; (2006) 9 SCR 241 Supp</t>
        </is>
      </c>
      <c r="N1381" s="11" t="n">
        <v>2006</v>
      </c>
      <c r="O1381" s="11" t="n"/>
      <c r="P1381" s="11" t="n"/>
      <c r="Q1381" s="11" t="n"/>
      <c r="R1381" s="2" t="n"/>
      <c r="S1381" s="2" t="n"/>
      <c r="T1381" s="11" t="inlineStr"/>
      <c r="U1381" s="11" t="inlineStr"/>
      <c r="V1381" s="11" t="inlineStr">
        <is>
          <t>outside_list</t>
        </is>
      </c>
      <c r="W1381" s="11" t="n"/>
      <c r="X1381" s="11" t="n"/>
      <c r="Y1381" s="11" t="n"/>
      <c r="Z1381" s="11" t="inlineStr">
        <is>
          <t>Mr. Advocate</t>
        </is>
      </c>
      <c r="AA1381" s="11" t="inlineStr">
        <is>
          <t>2026-10-07</t>
        </is>
      </c>
      <c r="AB1381" s="11" t="inlineStr">
        <is>
          <t>name_year</t>
        </is>
      </c>
      <c r="AC1381" s="2" t="inlineStr"/>
      <c r="AD1381" s="2" t="inlineStr">
        <is>
          <t>Harihar Bhole Nath Misra v. State Public Services Tribunal and Others (2005) was overruled by State of U.P. and Others v. Harihar Bhole Nath (2006).</t>
        </is>
      </c>
      <c r="AE1381" s="2" t="n"/>
      <c r="AF1381" s="11" t="inlineStr">
        <is>
          <t>created from list 1</t>
        </is>
      </c>
    </row>
    <row r="1382">
      <c r="A1382" s="11" t="inlineStr">
        <is>
          <t>L1-1381</t>
        </is>
      </c>
      <c r="B1382" s="11" t="inlineStr">
        <is>
          <t>List 1 (to ~2015)</t>
        </is>
      </c>
      <c r="C1382" s="11" t="inlineStr">
        <is>
          <t>list1</t>
        </is>
      </c>
      <c r="D1382" s="11" t="inlineStr">
        <is>
          <t>verified</t>
        </is>
      </c>
      <c r="E1382" s="11" t="inlineStr">
        <is>
          <t>reversed_on_appeal</t>
        </is>
      </c>
      <c r="F1382" s="2" t="inlineStr">
        <is>
          <t>Commissioner of Income Tax v. Hindustan Coca Cola Beverages (P) Ltd.</t>
        </is>
      </c>
      <c r="G1382" s="11" t="inlineStr"/>
      <c r="H1382" s="11" t="inlineStr">
        <is>
          <t>unknown</t>
        </is>
      </c>
      <c r="I1382" s="2" t="inlineStr">
        <is>
          <t>(2007) 209 CTR 119; (2007) 293 ITR 163</t>
        </is>
      </c>
      <c r="J1382" s="11" t="n">
        <v>2007</v>
      </c>
      <c r="K1382" s="2" t="inlineStr">
        <is>
          <t>Hindustan Coca Cola Beverage Pvt. Ltd. v. Commissioner of Income Tax</t>
        </is>
      </c>
      <c r="L1382" s="11" t="inlineStr">
        <is>
          <t>Supreme Court</t>
        </is>
      </c>
      <c r="M1382" s="2" t="inlineStr">
        <is>
          <t>AIR 2007 SC 2930; (2007) 211 CTR 545; (2007) 293 ITR 226; (2007) 10 JT 169; (2007) 10 SCALE 29; (2007) 8 SCC 463; (2007) 8 SCR 1046; (2007) 163 TAXMAN 355; (2007) AIRSCW 5326; (2007) 5 Supreme 886</t>
        </is>
      </c>
      <c r="N1382" s="11" t="n">
        <v>2007</v>
      </c>
      <c r="O1382" s="11" t="n"/>
      <c r="P1382" s="11" t="n"/>
      <c r="Q1382" s="11" t="n"/>
      <c r="R1382" s="2" t="n"/>
      <c r="S1382" s="2" t="n"/>
      <c r="T1382" s="11" t="inlineStr">
        <is>
          <t>yes</t>
        </is>
      </c>
      <c r="U1382" s="11" t="inlineStr"/>
      <c r="V1382" s="11" t="inlineStr">
        <is>
          <t>outside_list</t>
        </is>
      </c>
      <c r="W1382" s="11" t="n"/>
      <c r="X1382" s="11" t="n"/>
      <c r="Y1382" s="11" t="n"/>
      <c r="Z1382" s="11" t="inlineStr">
        <is>
          <t>Mr. Advocate</t>
        </is>
      </c>
      <c r="AA1382" s="11" t="inlineStr">
        <is>
          <t>2026-10-07</t>
        </is>
      </c>
      <c r="AB1382" s="11" t="inlineStr">
        <is>
          <t>name_year</t>
        </is>
      </c>
      <c r="AC1382" s="2" t="inlineStr"/>
      <c r="AD1382" s="2" t="inlineStr">
        <is>
          <t>Commissioner of Income Tax v. Hindustan Coca Cola Beverages (P) Ltd. (2007) was reversed on appeal by the Supreme Court in Hindustan Coca Cola Beverage Pvt. Ltd. v. Commissioner of Income Tax (2007).</t>
        </is>
      </c>
      <c r="AE1382" s="2" t="n"/>
      <c r="AF1382" s="11" t="inlineStr">
        <is>
          <t>created from list 1</t>
        </is>
      </c>
    </row>
    <row r="1383">
      <c r="A1383" s="11" t="inlineStr">
        <is>
          <t>L1-1382</t>
        </is>
      </c>
      <c r="B1383" s="11" t="inlineStr">
        <is>
          <t>List 1 (to ~2015)</t>
        </is>
      </c>
      <c r="C1383" s="11" t="inlineStr">
        <is>
          <t>list1</t>
        </is>
      </c>
      <c r="D1383" s="11" t="inlineStr">
        <is>
          <t>verified</t>
        </is>
      </c>
      <c r="E1383" s="11" t="inlineStr">
        <is>
          <t>overruled</t>
        </is>
      </c>
      <c r="F1383" s="2" t="inlineStr">
        <is>
          <t>Dr. Monica Kumar and Mrs. Savitri Srivastava and Dr. Manish Kumar and Mrs. Savitri Srivastava v. State of Uttar Pradesh, Indra Mohini Sharma, Dr. P. Mahalingam</t>
        </is>
      </c>
      <c r="G1383" s="11" t="inlineStr"/>
      <c r="H1383" s="11" t="inlineStr">
        <is>
          <t>unknown</t>
        </is>
      </c>
      <c r="I1383" s="2" t="inlineStr"/>
      <c r="J1383" s="11" t="n"/>
      <c r="K1383" s="2" t="inlineStr">
        <is>
          <t>Dr. Monica Kumar and Another v. State of U.P. and Others</t>
        </is>
      </c>
      <c r="L1383" s="11" t="inlineStr">
        <is>
          <t>Supreme Court</t>
        </is>
      </c>
      <c r="M1383" s="2" t="inlineStr">
        <is>
          <t>(2008) 7 JT 194; (2008) 9 SCALE 166; (2008) 8 SCC 781</t>
        </is>
      </c>
      <c r="N1383" s="11" t="n">
        <v>2008</v>
      </c>
      <c r="O1383" s="11" t="n"/>
      <c r="P1383" s="11" t="n"/>
      <c r="Q1383" s="11" t="n"/>
      <c r="R1383" s="2" t="n"/>
      <c r="S1383" s="2" t="n"/>
      <c r="T1383" s="11" t="inlineStr"/>
      <c r="U1383" s="11" t="inlineStr">
        <is>
          <t>no_citation_or_year_for_overruled, needs_citation_or_year</t>
        </is>
      </c>
      <c r="V1383" s="11" t="inlineStr">
        <is>
          <t>outside_list</t>
        </is>
      </c>
      <c r="W1383" s="11" t="n"/>
      <c r="X1383" s="11" t="n"/>
      <c r="Y1383" s="11" t="n"/>
      <c r="Z1383" s="11" t="inlineStr">
        <is>
          <t>Mr. Advocate</t>
        </is>
      </c>
      <c r="AA1383" s="11" t="inlineStr">
        <is>
          <t>2026-10-07</t>
        </is>
      </c>
      <c r="AB1383" s="11" t="inlineStr">
        <is>
          <t>weak</t>
        </is>
      </c>
      <c r="AC1383" s="2" t="inlineStr"/>
      <c r="AD1383" s="2" t="inlineStr">
        <is>
          <t>Dr. Monica Kumar and Mrs. Savitri Srivastava and Dr. Manish Kumar and Mrs. Savitri Srivastava v. State of Uttar Pradesh, Indra Mohini Sharma, Dr. P. Mahalingam was overruled by Dr. Monica Kumar and Another v. State of U.P. and Others (2008).</t>
        </is>
      </c>
      <c r="AE1383" s="2" t="n"/>
      <c r="AF1383" s="11" t="inlineStr">
        <is>
          <t>created from list 1</t>
        </is>
      </c>
    </row>
    <row r="1384">
      <c r="A1384" s="11" t="inlineStr">
        <is>
          <t>L1-1383</t>
        </is>
      </c>
      <c r="B1384" s="11" t="inlineStr">
        <is>
          <t>List 1 (to ~2015)</t>
        </is>
      </c>
      <c r="C1384" s="11" t="inlineStr">
        <is>
          <t>list1</t>
        </is>
      </c>
      <c r="D1384" s="11" t="inlineStr">
        <is>
          <t>verified</t>
        </is>
      </c>
      <c r="E1384" s="11" t="inlineStr">
        <is>
          <t>overruled</t>
        </is>
      </c>
      <c r="F1384" s="2" t="inlineStr">
        <is>
          <t>D.A.M. Prabhu and Another v. State</t>
        </is>
      </c>
      <c r="G1384" s="11" t="inlineStr"/>
      <c r="H1384" s="11" t="inlineStr">
        <is>
          <t>unknown</t>
        </is>
      </c>
      <c r="I1384" s="2" t="inlineStr">
        <is>
          <t>(2006) 131 DLT 397; (2006) 90 DRJ 435</t>
        </is>
      </c>
      <c r="J1384" s="11" t="n">
        <v>2006</v>
      </c>
      <c r="K1384" s="2" t="inlineStr">
        <is>
          <t>State (Govt. of NCT of Delhi) v. D.A.M. Prabhu and Another</t>
        </is>
      </c>
      <c r="L1384" s="11" t="inlineStr">
        <is>
          <t>Supreme Court</t>
        </is>
      </c>
      <c r="M1384" s="2" t="inlineStr">
        <is>
          <t>AIR 2009 SC 1891; (2009) 152 CompCas 431; (2009) CriLJ 1747; (2009) 14 JT 73; (2009) 2 SCALE 492; (2009) 3 SCC 264; (2009) 3 SCR 165; (2009) AIRSCW 3930; (2009) AIRSCW 1480; (2009) 4 Supreme 209; (2009) 1 Supreme 796</t>
        </is>
      </c>
      <c r="N1384" s="11" t="n">
        <v>2009</v>
      </c>
      <c r="O1384" s="11" t="n"/>
      <c r="P1384" s="11" t="n"/>
      <c r="Q1384" s="11" t="n"/>
      <c r="R1384" s="2" t="n"/>
      <c r="S1384" s="2" t="n"/>
      <c r="T1384" s="11" t="inlineStr"/>
      <c r="U1384" s="11" t="inlineStr"/>
      <c r="V1384" s="11" t="inlineStr">
        <is>
          <t>outside_list</t>
        </is>
      </c>
      <c r="W1384" s="11" t="n"/>
      <c r="X1384" s="11" t="n"/>
      <c r="Y1384" s="11" t="n"/>
      <c r="Z1384" s="11" t="inlineStr">
        <is>
          <t>Mr. Advocate</t>
        </is>
      </c>
      <c r="AA1384" s="11" t="inlineStr">
        <is>
          <t>2026-10-07</t>
        </is>
      </c>
      <c r="AB1384" s="11" t="inlineStr">
        <is>
          <t>name_year</t>
        </is>
      </c>
      <c r="AC1384" s="2" t="inlineStr"/>
      <c r="AD1384" s="2" t="inlineStr">
        <is>
          <t>D.A.M. Prabhu and Another v. State (2006) was overruled by State (Govt. of NCT of Delhi) v. D.A.M. Prabhu and Another (2009).</t>
        </is>
      </c>
      <c r="AE1384" s="2" t="n"/>
      <c r="AF1384" s="11" t="inlineStr">
        <is>
          <t>created from list 1</t>
        </is>
      </c>
    </row>
    <row r="1385">
      <c r="A1385" s="11" t="inlineStr">
        <is>
          <t>L1-1384</t>
        </is>
      </c>
      <c r="B1385" s="11" t="inlineStr">
        <is>
          <t>List 1 (to ~2015)</t>
        </is>
      </c>
      <c r="C1385" s="11" t="inlineStr">
        <is>
          <t>list1</t>
        </is>
      </c>
      <c r="D1385" s="11" t="inlineStr">
        <is>
          <t>verified</t>
        </is>
      </c>
      <c r="E1385" s="11" t="inlineStr">
        <is>
          <t>overruled</t>
        </is>
      </c>
      <c r="F1385" s="2" t="inlineStr">
        <is>
          <t>Laxmi Rattan Cotton Mills (A unit of N.T.C. (U.P.) Ltd.) v. The Presiding Officer, Labour Court-IV and Others</t>
        </is>
      </c>
      <c r="G1385" s="11" t="inlineStr"/>
      <c r="H1385" s="11" t="inlineStr">
        <is>
          <t>unknown</t>
        </is>
      </c>
      <c r="I1385" s="2" t="inlineStr">
        <is>
          <t>(2006) 6 AWC 6346; (2006) 110 FLR 955</t>
        </is>
      </c>
      <c r="J1385" s="11" t="n">
        <v>2006</v>
      </c>
      <c r="K1385" s="2" t="inlineStr">
        <is>
          <t>Laxmi Rattan Cotton Mills Ltd. v. State of U.P. and Others</t>
        </is>
      </c>
      <c r="L1385" s="11" t="inlineStr">
        <is>
          <t>Supreme Court</t>
        </is>
      </c>
      <c r="M1385" s="2" t="inlineStr">
        <is>
          <t>(2009) 120 FLR 325; (2008) 12 JT 678; (2009) 1 LLJ 527; (2009) 1 SCC 695; (2009) 3 SLR 29; (2008) 1 UJ 238</t>
        </is>
      </c>
      <c r="N1385" s="11" t="n">
        <v>2008</v>
      </c>
      <c r="O1385" s="11" t="n"/>
      <c r="P1385" s="11" t="n"/>
      <c r="Q1385" s="11" t="n"/>
      <c r="R1385" s="2" t="n"/>
      <c r="S1385" s="2" t="n"/>
      <c r="T1385" s="11" t="inlineStr"/>
      <c r="U1385" s="11" t="inlineStr"/>
      <c r="V1385" s="11" t="inlineStr">
        <is>
          <t>outside_list</t>
        </is>
      </c>
      <c r="W1385" s="11" t="n"/>
      <c r="X1385" s="11" t="n"/>
      <c r="Y1385" s="11" t="n"/>
      <c r="Z1385" s="11" t="inlineStr">
        <is>
          <t>Mr. Advocate</t>
        </is>
      </c>
      <c r="AA1385" s="11" t="inlineStr">
        <is>
          <t>2026-10-07</t>
        </is>
      </c>
      <c r="AB1385" s="11" t="inlineStr">
        <is>
          <t>name_year</t>
        </is>
      </c>
      <c r="AC1385" s="2" t="inlineStr"/>
      <c r="AD1385" s="2" t="inlineStr">
        <is>
          <t>Laxmi Rattan Cotton Mills (A unit of N.T.C. (U.P.) Ltd.) v. The Presiding Officer, Labour Court-IV and Others (2006) was overruled by Laxmi Rattan Cotton Mills Ltd. v. State of U.P. and Others (2008).</t>
        </is>
      </c>
      <c r="AE1385" s="2" t="n"/>
      <c r="AF1385" s="11" t="inlineStr">
        <is>
          <t>created from list 1</t>
        </is>
      </c>
    </row>
    <row r="1386">
      <c r="A1386" s="11" t="inlineStr">
        <is>
          <t>L1-1385</t>
        </is>
      </c>
      <c r="B1386" s="11" t="inlineStr">
        <is>
          <t>List 1 (to ~2015)</t>
        </is>
      </c>
      <c r="C1386" s="11" t="inlineStr">
        <is>
          <t>list1</t>
        </is>
      </c>
      <c r="D1386" s="11" t="inlineStr">
        <is>
          <t>verified</t>
        </is>
      </c>
      <c r="E1386" s="11" t="inlineStr">
        <is>
          <t>overruled</t>
        </is>
      </c>
      <c r="F1386" s="2" t="inlineStr">
        <is>
          <t>State v. Ravikant Sharma and Others</t>
        </is>
      </c>
      <c r="G1386" s="11" t="inlineStr"/>
      <c r="H1386" s="11" t="inlineStr">
        <is>
          <t>unknown</t>
        </is>
      </c>
      <c r="I1386" s="2" t="inlineStr">
        <is>
          <t>(2006) 130 DLT 370; (2006) 89 DRJ 421</t>
        </is>
      </c>
      <c r="J1386" s="11" t="n">
        <v>2006</v>
      </c>
      <c r="K1386" s="2" t="inlineStr">
        <is>
          <t>State of NCT of Delhi v. Ravi Kant Sharma and Others</t>
        </is>
      </c>
      <c r="L1386" s="11" t="inlineStr">
        <is>
          <t>Supreme Court</t>
        </is>
      </c>
      <c r="M1386" s="2" t="inlineStr">
        <is>
          <t>AIR 2007 SC 1135; (2007) CriLJ 1674; (2007) 3 JT 501; (2007) 3 SCALE 135; (2007) 2 SCC 764; (2007) 2 SCR 540; (2007) AIRSCW 6599; (2007) 7 Supreme 540</t>
        </is>
      </c>
      <c r="N1386" s="11" t="n">
        <v>2007</v>
      </c>
      <c r="O1386" s="11" t="n"/>
      <c r="P1386" s="11" t="n"/>
      <c r="Q1386" s="11" t="n"/>
      <c r="R1386" s="2" t="n"/>
      <c r="S1386" s="2" t="n"/>
      <c r="T1386" s="11" t="inlineStr"/>
      <c r="U1386" s="11" t="inlineStr"/>
      <c r="V1386" s="11" t="inlineStr">
        <is>
          <t>outside_list</t>
        </is>
      </c>
      <c r="W1386" s="11" t="n"/>
      <c r="X1386" s="11" t="n"/>
      <c r="Y1386" s="11" t="n"/>
      <c r="Z1386" s="11" t="inlineStr">
        <is>
          <t>Mr. Advocate</t>
        </is>
      </c>
      <c r="AA1386" s="11" t="inlineStr">
        <is>
          <t>2026-10-07</t>
        </is>
      </c>
      <c r="AB1386" s="11" t="inlineStr">
        <is>
          <t>name_year</t>
        </is>
      </c>
      <c r="AC1386" s="2" t="inlineStr"/>
      <c r="AD1386" s="2" t="inlineStr">
        <is>
          <t>State v. Ravikant Sharma and Others (2006) was overruled by State of NCT of Delhi v. Ravi Kant Sharma and Others (2007).</t>
        </is>
      </c>
      <c r="AE1386" s="2" t="n"/>
      <c r="AF1386" s="11" t="inlineStr">
        <is>
          <t>created from list 1</t>
        </is>
      </c>
    </row>
    <row r="1387">
      <c r="A1387" s="11" t="inlineStr">
        <is>
          <t>L1-1386</t>
        </is>
      </c>
      <c r="B1387" s="11" t="inlineStr">
        <is>
          <t>List 1 (to ~2015)</t>
        </is>
      </c>
      <c r="C1387" s="11" t="inlineStr">
        <is>
          <t>list1</t>
        </is>
      </c>
      <c r="D1387" s="11" t="inlineStr">
        <is>
          <t>verified</t>
        </is>
      </c>
      <c r="E1387" s="11" t="inlineStr">
        <is>
          <t>reversed_on_appeal</t>
        </is>
      </c>
      <c r="F1387" s="2" t="inlineStr">
        <is>
          <t>Satyawati Sharma v. Union of India (UOI) and Another</t>
        </is>
      </c>
      <c r="G1387" s="11" t="inlineStr"/>
      <c r="H1387" s="11" t="inlineStr">
        <is>
          <t>High Court/other (Delhi)</t>
        </is>
      </c>
      <c r="I1387" s="2" t="inlineStr">
        <is>
          <t>AIR 2002 Delhi 509; (2002) 100 DLT 259</t>
        </is>
      </c>
      <c r="J1387" s="11" t="n">
        <v>2002</v>
      </c>
      <c r="K1387" s="2" t="inlineStr">
        <is>
          <t>Satyawati Sharma (Dead) by LRs. v. Union of India (UOI) and Another</t>
        </is>
      </c>
      <c r="L1387" s="11" t="inlineStr">
        <is>
          <t>Supreme Court</t>
        </is>
      </c>
      <c r="M1387" s="2" t="inlineStr">
        <is>
          <t>AIR 2008 SC 3148; (2008) 1 CLT 432; (2008) 5 JT 376; (2008) 6 SCALE 325; (2008) 5 SCC 287; (2008) AIRSCW 5324</t>
        </is>
      </c>
      <c r="N1387" s="11" t="n">
        <v>2008</v>
      </c>
      <c r="O1387" s="11" t="n"/>
      <c r="P1387" s="11" t="n"/>
      <c r="Q1387" s="11" t="n"/>
      <c r="R1387" s="2" t="n"/>
      <c r="S1387" s="2" t="n"/>
      <c r="T1387" s="11" t="inlineStr">
        <is>
          <t>yes</t>
        </is>
      </c>
      <c r="U1387" s="11" t="inlineStr"/>
      <c r="V1387" s="11" t="inlineStr">
        <is>
          <t>outside_list</t>
        </is>
      </c>
      <c r="W1387" s="11" t="n"/>
      <c r="X1387" s="11" t="n"/>
      <c r="Y1387" s="11" t="n"/>
      <c r="Z1387" s="11" t="inlineStr">
        <is>
          <t>Mr. Advocate</t>
        </is>
      </c>
      <c r="AA1387" s="11" t="inlineStr">
        <is>
          <t>2026-10-07</t>
        </is>
      </c>
      <c r="AB1387" s="11" t="inlineStr">
        <is>
          <t>name_year</t>
        </is>
      </c>
      <c r="AC1387" s="2" t="inlineStr"/>
      <c r="AD1387" s="2" t="inlineStr">
        <is>
          <t>Satyawati Sharma v. Union of India (UOI) and Another (2002) was reversed on appeal by the Supreme Court in Satyawati Sharma (Dead) by LRs. v. Union of India (UOI) and Another (2008).</t>
        </is>
      </c>
      <c r="AE1387" s="2" t="n"/>
      <c r="AF1387" s="11" t="inlineStr">
        <is>
          <t>created from list 1</t>
        </is>
      </c>
    </row>
    <row r="1388">
      <c r="A1388" s="11" t="inlineStr">
        <is>
          <t>L1-1387</t>
        </is>
      </c>
      <c r="B1388" s="11" t="inlineStr">
        <is>
          <t>List 1 (to ~2015)</t>
        </is>
      </c>
      <c r="C1388" s="11" t="inlineStr">
        <is>
          <t>list1</t>
        </is>
      </c>
      <c r="D1388" s="11" t="inlineStr">
        <is>
          <t>verified</t>
        </is>
      </c>
      <c r="E1388" s="11" t="inlineStr">
        <is>
          <t>overruled</t>
        </is>
      </c>
      <c r="F1388" s="2" t="inlineStr">
        <is>
          <t>Uma Sehgal and Others v. Dwarka Dass Sehgal and Others</t>
        </is>
      </c>
      <c r="G1388" s="11" t="inlineStr"/>
      <c r="H1388" s="11" t="inlineStr">
        <is>
          <t>High Court/other (Delhi)</t>
        </is>
      </c>
      <c r="I1388" s="2" t="inlineStr">
        <is>
          <t>(1982) ACJ 214; AIR 1982 Delhi 36; (1983) 54 CompCas 842; (1981) 20 DLT 165; (1981) ILR Delhi 315; (1981) RLR 543</t>
        </is>
      </c>
      <c r="J1388" s="11" t="n">
        <v>1982</v>
      </c>
      <c r="K1388" s="2" t="inlineStr">
        <is>
          <t>Smt. Sarbati Devi and Another v. Smt. Usha Devi</t>
        </is>
      </c>
      <c r="L1388" s="11" t="inlineStr">
        <is>
          <t>Supreme Court</t>
        </is>
      </c>
      <c r="M1388" s="2" t="inlineStr">
        <is>
          <t>(1984) 2 ACC 377; AIR 1984 SC 346; (1984) 55 CompCas 214; (1984) 1 CompLJ 1; (1983) 2 SCALE 869; (1984) 1 SCC 424; (1984) 1 SCR 992; (1984) 16 UJ 866</t>
        </is>
      </c>
      <c r="N1388" s="11" t="n">
        <v>1984</v>
      </c>
      <c r="O1388" s="11" t="n"/>
      <c r="P1388" s="11" t="n"/>
      <c r="Q1388" s="11" t="n"/>
      <c r="R1388" s="2" t="n"/>
      <c r="S1388" s="2" t="n"/>
      <c r="T1388" s="11" t="inlineStr"/>
      <c r="U1388" s="11" t="inlineStr"/>
      <c r="V1388" s="11" t="inlineStr">
        <is>
          <t>outside_list</t>
        </is>
      </c>
      <c r="W1388" s="11" t="n"/>
      <c r="X1388" s="11" t="n"/>
      <c r="Y1388" s="11" t="n"/>
      <c r="Z1388" s="11" t="inlineStr">
        <is>
          <t>Mr. Advocate</t>
        </is>
      </c>
      <c r="AA1388" s="11" t="inlineStr">
        <is>
          <t>2026-10-07</t>
        </is>
      </c>
      <c r="AB1388" s="11" t="inlineStr">
        <is>
          <t>name_year</t>
        </is>
      </c>
      <c r="AC1388" s="2" t="inlineStr"/>
      <c r="AD1388" s="2" t="inlineStr">
        <is>
          <t>Uma Sehgal and Others v. Dwarka Dass Sehgal and Others (1982) was overruled by Smt. Sarbati Devi and Another v. Smt. Usha Devi (1984).</t>
        </is>
      </c>
      <c r="AE1388" s="2" t="n"/>
      <c r="AF1388" s="11" t="inlineStr">
        <is>
          <t>created from list 1</t>
        </is>
      </c>
    </row>
    <row r="1389">
      <c r="A1389" s="11" t="inlineStr">
        <is>
          <t>L1-1388</t>
        </is>
      </c>
      <c r="B1389" s="11" t="inlineStr">
        <is>
          <t>List 1 (to ~2015)</t>
        </is>
      </c>
      <c r="C1389" s="11" t="inlineStr">
        <is>
          <t>list1</t>
        </is>
      </c>
      <c r="D1389" s="11" t="inlineStr">
        <is>
          <t>verified</t>
        </is>
      </c>
      <c r="E1389" s="11" t="inlineStr">
        <is>
          <t>reversed_on_appeal</t>
        </is>
      </c>
      <c r="F1389" s="2" t="inlineStr">
        <is>
          <t>Commissioner of Income Tax v. Woodward Governor India Pvt. Ltd.</t>
        </is>
      </c>
      <c r="G1389" s="11" t="inlineStr"/>
      <c r="H1389" s="11" t="inlineStr">
        <is>
          <t>unknown</t>
        </is>
      </c>
      <c r="I1389" s="2" t="inlineStr">
        <is>
          <t>(2007) 210 CTR 354; (2007) 142 DLT 650; (2007) 294 ITR 451</t>
        </is>
      </c>
      <c r="J1389" s="11" t="n">
        <v>2007</v>
      </c>
      <c r="K1389" s="2" t="inlineStr">
        <is>
          <t>Commissioner of Income Tax, Delhi v. Woodward Governor India P. Ltd.</t>
        </is>
      </c>
      <c r="L1389" s="11" t="inlineStr">
        <is>
          <t>Supreme Court</t>
        </is>
      </c>
      <c r="M1389" s="2" t="inlineStr">
        <is>
          <t>(2009) 223 CTR 1; (2009) 312 ITR 254; (2009) 5 JT 378; (2009) 5 SCALE 198; (2009) 13 SCC 1; (2009) 5 SCR 738; (2009) 179 TAXMAN 326; (2009) 3 UJ 1519</t>
        </is>
      </c>
      <c r="N1389" s="11" t="n">
        <v>2009</v>
      </c>
      <c r="O1389" s="11" t="n"/>
      <c r="P1389" s="11" t="n"/>
      <c r="Q1389" s="11" t="n"/>
      <c r="R1389" s="2" t="n"/>
      <c r="S1389" s="2" t="n"/>
      <c r="T1389" s="11" t="inlineStr">
        <is>
          <t>yes</t>
        </is>
      </c>
      <c r="U1389" s="11" t="inlineStr"/>
      <c r="V1389" s="11" t="inlineStr">
        <is>
          <t>outside_list</t>
        </is>
      </c>
      <c r="W1389" s="11" t="n"/>
      <c r="X1389" s="11" t="n"/>
      <c r="Y1389" s="11" t="n"/>
      <c r="Z1389" s="11" t="inlineStr">
        <is>
          <t>Mr. Advocate</t>
        </is>
      </c>
      <c r="AA1389" s="11" t="inlineStr">
        <is>
          <t>2026-10-07</t>
        </is>
      </c>
      <c r="AB1389" s="11" t="inlineStr">
        <is>
          <t>name_year</t>
        </is>
      </c>
      <c r="AC1389" s="2" t="inlineStr"/>
      <c r="AD1389" s="2" t="inlineStr">
        <is>
          <t>Commissioner of Income Tax v. Woodward Governor India Pvt. Ltd. (2007) was reversed on appeal by the Supreme Court in Commissioner of Income Tax, Delhi v. Woodward Governor India P. Ltd. (2009).</t>
        </is>
      </c>
      <c r="AE1389" s="2" t="n"/>
      <c r="AF1389" s="11" t="inlineStr">
        <is>
          <t>created from list 1</t>
        </is>
      </c>
    </row>
    <row r="1390">
      <c r="A1390" s="11" t="inlineStr">
        <is>
          <t>L1-1389</t>
        </is>
      </c>
      <c r="B1390" s="11" t="inlineStr">
        <is>
          <t>List 1 (to ~2015)</t>
        </is>
      </c>
      <c r="C1390" s="11" t="inlineStr">
        <is>
          <t>list1</t>
        </is>
      </c>
      <c r="D1390" s="11" t="inlineStr">
        <is>
          <t>verified</t>
        </is>
      </c>
      <c r="E1390" s="11" t="inlineStr">
        <is>
          <t>reversed_on_appeal</t>
        </is>
      </c>
      <c r="F1390" s="2" t="inlineStr">
        <is>
          <t>Narender Kumar v. The State (NCT of Delhi)</t>
        </is>
      </c>
      <c r="G1390" s="11" t="inlineStr"/>
      <c r="H1390" s="11" t="inlineStr">
        <is>
          <t>unknown</t>
        </is>
      </c>
      <c r="I1390" s="2" t="inlineStr"/>
      <c r="J1390" s="11" t="n"/>
      <c r="K1390" s="2" t="inlineStr">
        <is>
          <t>Narender Kumar v. State (NCT of Delhi)</t>
        </is>
      </c>
      <c r="L1390" s="11" t="inlineStr">
        <is>
          <t>Supreme Court</t>
        </is>
      </c>
      <c r="M1390" s="2" t="inlineStr">
        <is>
          <t>AIR 2012 SC 2281; (2012) CriLJ 3033; (2012) 3 JCC 1888; (2012) 5 SCALE 657; (2012) 7 SCC 171; (2012) AIRSCW 3391; (2012) 4 Supreme 59</t>
        </is>
      </c>
      <c r="N1390" s="11" t="n">
        <v>2012</v>
      </c>
      <c r="O1390" s="11" t="n"/>
      <c r="P1390" s="11" t="n"/>
      <c r="Q1390" s="11" t="n"/>
      <c r="R1390" s="2" t="n"/>
      <c r="S1390" s="2" t="n"/>
      <c r="T1390" s="11" t="inlineStr">
        <is>
          <t>yes</t>
        </is>
      </c>
      <c r="U1390" s="11" t="inlineStr">
        <is>
          <t>no_citation_or_year_for_overruled, needs_citation_or_year</t>
        </is>
      </c>
      <c r="V1390" s="11" t="inlineStr">
        <is>
          <t>outside_list</t>
        </is>
      </c>
      <c r="W1390" s="11" t="n"/>
      <c r="X1390" s="11" t="n"/>
      <c r="Y1390" s="11" t="n"/>
      <c r="Z1390" s="11" t="inlineStr">
        <is>
          <t>Mr. Advocate</t>
        </is>
      </c>
      <c r="AA1390" s="11" t="inlineStr">
        <is>
          <t>2026-10-07</t>
        </is>
      </c>
      <c r="AB1390" s="11" t="inlineStr">
        <is>
          <t>weak</t>
        </is>
      </c>
      <c r="AC1390" s="2" t="inlineStr"/>
      <c r="AD1390" s="2" t="inlineStr">
        <is>
          <t>Narender Kumar v. The State (NCT of Delhi) was reversed on appeal by the Supreme Court in Narender Kumar v. State (NCT of Delhi) (2012).</t>
        </is>
      </c>
      <c r="AE1390" s="2" t="n"/>
      <c r="AF1390" s="11" t="inlineStr">
        <is>
          <t>created from list 1</t>
        </is>
      </c>
    </row>
    <row r="1391">
      <c r="A1391" s="11" t="inlineStr">
        <is>
          <t>L1-1390</t>
        </is>
      </c>
      <c r="B1391" s="11" t="inlineStr">
        <is>
          <t>List 1 (to ~2015)</t>
        </is>
      </c>
      <c r="C1391" s="11" t="inlineStr">
        <is>
          <t>list1</t>
        </is>
      </c>
      <c r="D1391" s="11" t="inlineStr">
        <is>
          <t>verified</t>
        </is>
      </c>
      <c r="E1391" s="11" t="inlineStr">
        <is>
          <t>reversed_on_appeal</t>
        </is>
      </c>
      <c r="F1391" s="2" t="inlineStr">
        <is>
          <t>Union of India (UOI) v. Pradip Kumar Kedia</t>
        </is>
      </c>
      <c r="G1391" s="11" t="inlineStr"/>
      <c r="H1391" s="11" t="inlineStr">
        <is>
          <t>unknown</t>
        </is>
      </c>
      <c r="I1391" s="2" t="inlineStr"/>
      <c r="J1391" s="11" t="n"/>
      <c r="K1391" s="2" t="inlineStr">
        <is>
          <t>Union of India (UOI) and Another v. Pradip Kumar Kedia</t>
        </is>
      </c>
      <c r="L1391" s="11" t="inlineStr">
        <is>
          <t>Supreme Court</t>
        </is>
      </c>
      <c r="M1391" s="2" t="inlineStr">
        <is>
          <t>(2011) 13 JT 237; (2011) 12 SCALE 629; (2012) 1 SCC 432; (2012) 1 SLJ 112; (2012) 204 TAXMAN 71; (2012) 1 UJ 109</t>
        </is>
      </c>
      <c r="N1391" s="11" t="n">
        <v>2011</v>
      </c>
      <c r="O1391" s="11" t="n"/>
      <c r="P1391" s="11" t="n"/>
      <c r="Q1391" s="11" t="n"/>
      <c r="R1391" s="2" t="n"/>
      <c r="S1391" s="2" t="n"/>
      <c r="T1391" s="11" t="inlineStr">
        <is>
          <t>yes</t>
        </is>
      </c>
      <c r="U1391" s="11" t="inlineStr">
        <is>
          <t>no_citation_or_year_for_overruled, needs_citation_or_year</t>
        </is>
      </c>
      <c r="V1391" s="11" t="inlineStr">
        <is>
          <t>outside_list</t>
        </is>
      </c>
      <c r="W1391" s="11" t="n"/>
      <c r="X1391" s="11" t="n"/>
      <c r="Y1391" s="11" t="n"/>
      <c r="Z1391" s="11" t="inlineStr">
        <is>
          <t>Mr. Advocate</t>
        </is>
      </c>
      <c r="AA1391" s="11" t="inlineStr">
        <is>
          <t>2026-10-07</t>
        </is>
      </c>
      <c r="AB1391" s="11" t="inlineStr">
        <is>
          <t>weak</t>
        </is>
      </c>
      <c r="AC1391" s="2" t="inlineStr"/>
      <c r="AD1391" s="2" t="inlineStr">
        <is>
          <t>Union of India (UOI) v. Pradip Kumar Kedia was reversed on appeal by the Supreme Court in Union of India (UOI) and Another v. Pradip Kumar Kedia (2011).</t>
        </is>
      </c>
      <c r="AE1391" s="2" t="n"/>
      <c r="AF1391" s="11" t="inlineStr">
        <is>
          <t>created from list 1</t>
        </is>
      </c>
    </row>
    <row r="1392">
      <c r="A1392" s="11" t="inlineStr">
        <is>
          <t>L1-1391</t>
        </is>
      </c>
      <c r="B1392" s="11" t="inlineStr">
        <is>
          <t>List 1 (to ~2015)</t>
        </is>
      </c>
      <c r="C1392" s="11" t="inlineStr">
        <is>
          <t>list1</t>
        </is>
      </c>
      <c r="D1392" s="11" t="inlineStr">
        <is>
          <t>verified</t>
        </is>
      </c>
      <c r="E1392" s="11" t="inlineStr">
        <is>
          <t>overruled</t>
        </is>
      </c>
      <c r="F1392" s="2" t="inlineStr">
        <is>
          <t>Union of India (UOI) v. Mr. Anil Chanana and Chief Commissioner of Customs (DZ)</t>
        </is>
      </c>
      <c r="G1392" s="11" t="inlineStr"/>
      <c r="H1392" s="11" t="inlineStr">
        <is>
          <t>unknown</t>
        </is>
      </c>
      <c r="I1392" s="2" t="inlineStr">
        <is>
          <t>(2006) 112 ECC 338; (2006) 138 ECR 338; (2007) 207 ELT 351</t>
        </is>
      </c>
      <c r="J1392" s="11" t="n">
        <v>2006</v>
      </c>
      <c r="K1392" s="2" t="inlineStr">
        <is>
          <t>Union of India (UOI) v. Anil Chanana and Another</t>
        </is>
      </c>
      <c r="L1392" s="11" t="inlineStr">
        <is>
          <t>unknown</t>
        </is>
      </c>
      <c r="M1392" s="2" t="inlineStr">
        <is>
          <t>(2008) 2 CLT 472; (2008) 124 ECC 163; (2008) 150 ECR 163; (2008) 222 ELT 481; (2008) 2 JT 1; (2008) 1 SCALE 688; (2008) 4 SCC 175; (2008) AIRSCW 1038; (2008) 1 Supreme 626</t>
        </is>
      </c>
      <c r="N1392" s="11" t="n">
        <v>2008</v>
      </c>
      <c r="O1392" s="11" t="n"/>
      <c r="P1392" s="11" t="n"/>
      <c r="Q1392" s="11" t="n"/>
      <c r="R1392" s="2" t="n"/>
      <c r="S1392" s="2" t="n"/>
      <c r="T1392" s="11" t="inlineStr"/>
      <c r="U1392" s="11" t="inlineStr"/>
      <c r="V1392" s="11" t="inlineStr">
        <is>
          <t>outside_list</t>
        </is>
      </c>
      <c r="W1392" s="11" t="n"/>
      <c r="X1392" s="11" t="n"/>
      <c r="Y1392" s="11" t="n"/>
      <c r="Z1392" s="11" t="inlineStr">
        <is>
          <t>Mr. Advocate</t>
        </is>
      </c>
      <c r="AA1392" s="11" t="inlineStr">
        <is>
          <t>2026-10-07</t>
        </is>
      </c>
      <c r="AB1392" s="11" t="inlineStr">
        <is>
          <t>name_year</t>
        </is>
      </c>
      <c r="AC1392" s="2" t="inlineStr"/>
      <c r="AD1392" s="2" t="inlineStr">
        <is>
          <t>Union of India (UOI) v. Mr. Anil Chanana and Chief Commissioner of Customs (DZ) (2006) was overruled by Union of India (UOI) v. Anil Chanana and Another (2008).</t>
        </is>
      </c>
      <c r="AE1392" s="2" t="n"/>
      <c r="AF1392" s="11" t="inlineStr">
        <is>
          <t>created from list 1</t>
        </is>
      </c>
    </row>
    <row r="1393">
      <c r="A1393" s="11" t="inlineStr">
        <is>
          <t>L1-1392</t>
        </is>
      </c>
      <c r="B1393" s="11" t="inlineStr">
        <is>
          <t>List 1 (to ~2015)</t>
        </is>
      </c>
      <c r="C1393" s="11" t="inlineStr">
        <is>
          <t>list1</t>
        </is>
      </c>
      <c r="D1393" s="11" t="inlineStr">
        <is>
          <t>verified</t>
        </is>
      </c>
      <c r="E1393" s="11" t="inlineStr">
        <is>
          <t>overruled</t>
        </is>
      </c>
      <c r="F1393" s="2" t="inlineStr">
        <is>
          <t>A.K. Mahajan and Others v. The Chief Justice and Others</t>
        </is>
      </c>
      <c r="G1393" s="11" t="inlineStr"/>
      <c r="H1393" s="11" t="inlineStr">
        <is>
          <t>unknown</t>
        </is>
      </c>
      <c r="I1393" s="2" t="inlineStr">
        <is>
          <t>(2001) 4 AD 807; (2001) 90 DLT 468</t>
        </is>
      </c>
      <c r="J1393" s="11" t="n">
        <v>2001</v>
      </c>
      <c r="K1393" s="2" t="inlineStr">
        <is>
          <t>High Court of Delhi and Another v. A.K. Mahajan and Others</t>
        </is>
      </c>
      <c r="L1393" s="11" t="inlineStr">
        <is>
          <t>Supreme Court</t>
        </is>
      </c>
      <c r="M1393" s="2" t="inlineStr">
        <is>
          <t>AIR 2009 SC 2497; (2009) 9 JT 306; (2009) 8 SCALE 419; (2009) 12 SCC 62; (2009) 9 SCR 437; (2009) 4 UJ 1829; (2009) AIRSCW 4370</t>
        </is>
      </c>
      <c r="N1393" s="11" t="n">
        <v>2009</v>
      </c>
      <c r="O1393" s="11" t="n"/>
      <c r="P1393" s="11" t="n"/>
      <c r="Q1393" s="11" t="n"/>
      <c r="R1393" s="2" t="n"/>
      <c r="S1393" s="2" t="n"/>
      <c r="T1393" s="11" t="inlineStr"/>
      <c r="U1393" s="11" t="inlineStr"/>
      <c r="V1393" s="11" t="inlineStr">
        <is>
          <t>outside_list</t>
        </is>
      </c>
      <c r="W1393" s="11" t="n"/>
      <c r="X1393" s="11" t="n"/>
      <c r="Y1393" s="11" t="n"/>
      <c r="Z1393" s="11" t="inlineStr">
        <is>
          <t>Mr. Advocate</t>
        </is>
      </c>
      <c r="AA1393" s="11" t="inlineStr">
        <is>
          <t>2026-10-07</t>
        </is>
      </c>
      <c r="AB1393" s="11" t="inlineStr">
        <is>
          <t>name_year</t>
        </is>
      </c>
      <c r="AC1393" s="2" t="inlineStr"/>
      <c r="AD1393" s="2" t="inlineStr">
        <is>
          <t>A.K. Mahajan and Others v. The Chief Justice and Others (2001) was overruled by High Court of Delhi and Another v. A.K. Mahajan and Others (2009).</t>
        </is>
      </c>
      <c r="AE1393" s="2" t="n"/>
      <c r="AF1393" s="11" t="inlineStr">
        <is>
          <t>created from list 1</t>
        </is>
      </c>
    </row>
    <row r="1394">
      <c r="A1394" s="11" t="inlineStr">
        <is>
          <t>L1-1393</t>
        </is>
      </c>
      <c r="B1394" s="11" t="inlineStr">
        <is>
          <t>List 1 (to ~2015)</t>
        </is>
      </c>
      <c r="C1394" s="11" t="inlineStr">
        <is>
          <t>list1</t>
        </is>
      </c>
      <c r="D1394" s="11" t="inlineStr">
        <is>
          <t>verified</t>
        </is>
      </c>
      <c r="E1394" s="11" t="inlineStr">
        <is>
          <t>reversed_on_appeal</t>
        </is>
      </c>
      <c r="F1394" s="2" t="inlineStr">
        <is>
          <t>Nathi Devi v. Smt. Radha Devi Gupta</t>
        </is>
      </c>
      <c r="G1394" s="11" t="inlineStr"/>
      <c r="H1394" s="11" t="inlineStr">
        <is>
          <t>unknown</t>
        </is>
      </c>
      <c r="I1394" s="2" t="inlineStr">
        <is>
          <t>(1998) 75 DLT 832; (1998) 47 DRJ 229</t>
        </is>
      </c>
      <c r="J1394" s="11" t="n">
        <v>1998</v>
      </c>
      <c r="K1394" s="2" t="inlineStr">
        <is>
          <t>Nathi Devi v. Radha Devi Gupta</t>
        </is>
      </c>
      <c r="L1394" s="11" t="inlineStr">
        <is>
          <t>Supreme Court</t>
        </is>
      </c>
      <c r="M1394" s="2" t="inlineStr">
        <is>
          <t>AIR 2005 SC 648; (2005) 1 JT 1; (2004) 10 SCALE 550; (2005) 2 SCC 271; (2005) AIRSCW 2721; (2005) 1 Supreme 393</t>
        </is>
      </c>
      <c r="N1394" s="11" t="n">
        <v>2005</v>
      </c>
      <c r="O1394" s="11" t="n"/>
      <c r="P1394" s="11" t="n"/>
      <c r="Q1394" s="11" t="n"/>
      <c r="R1394" s="2" t="n"/>
      <c r="S1394" s="2" t="n"/>
      <c r="T1394" s="11" t="inlineStr">
        <is>
          <t>yes</t>
        </is>
      </c>
      <c r="U1394" s="11" t="inlineStr"/>
      <c r="V1394" s="11" t="inlineStr">
        <is>
          <t>outside_list</t>
        </is>
      </c>
      <c r="W1394" s="11" t="n"/>
      <c r="X1394" s="11" t="n"/>
      <c r="Y1394" s="11" t="n"/>
      <c r="Z1394" s="11" t="inlineStr">
        <is>
          <t>Mr. Advocate</t>
        </is>
      </c>
      <c r="AA1394" s="11" t="inlineStr">
        <is>
          <t>2026-10-07</t>
        </is>
      </c>
      <c r="AB1394" s="11" t="inlineStr">
        <is>
          <t>name_year</t>
        </is>
      </c>
      <c r="AC1394" s="2" t="inlineStr"/>
      <c r="AD1394" s="2" t="inlineStr">
        <is>
          <t>Nathi Devi v. Smt. Radha Devi Gupta (1998) was reversed on appeal by the Supreme Court in Nathi Devi v. Radha Devi Gupta (2005).</t>
        </is>
      </c>
      <c r="AE1394" s="2" t="n"/>
      <c r="AF1394" s="11" t="inlineStr">
        <is>
          <t>created from list 1</t>
        </is>
      </c>
    </row>
    <row r="1395">
      <c r="A1395" s="11" t="inlineStr">
        <is>
          <t>L1-1394</t>
        </is>
      </c>
      <c r="B1395" s="11" t="inlineStr">
        <is>
          <t>List 1 (to ~2015)</t>
        </is>
      </c>
      <c r="C1395" s="11" t="inlineStr">
        <is>
          <t>list1</t>
        </is>
      </c>
      <c r="D1395" s="11" t="inlineStr">
        <is>
          <t>verified</t>
        </is>
      </c>
      <c r="E1395" s="11" t="inlineStr">
        <is>
          <t>reversed_on_appeal</t>
        </is>
      </c>
      <c r="F1395" s="2" t="inlineStr">
        <is>
          <t>Pooja Batra v. Union of India (UOI) and Others</t>
        </is>
      </c>
      <c r="G1395" s="11" t="inlineStr"/>
      <c r="H1395" s="11" t="inlineStr">
        <is>
          <t>unknown</t>
        </is>
      </c>
      <c r="I1395" s="2" t="inlineStr">
        <is>
          <t>(2008) 155 DLT 6</t>
        </is>
      </c>
      <c r="J1395" s="11" t="n">
        <v>2008</v>
      </c>
      <c r="K1395" s="2" t="inlineStr">
        <is>
          <t>Pooja Batra v. Union of India (UOI) and Others</t>
        </is>
      </c>
      <c r="L1395" s="11" t="inlineStr">
        <is>
          <t>Supreme Court</t>
        </is>
      </c>
      <c r="M1395" s="2" t="inlineStr">
        <is>
          <t>AIR 2009 SC 2256; (2009) CriLJ 2797; (2009) 166 ECR 149; (2009) 237 ELT 17; (2009) 5 JT 194; (2009) 4 SCALE 653; (2009) 5 SCC 296; (2009) 5 SCR 67; (2009) 4 UJ 1965</t>
        </is>
      </c>
      <c r="N1395" s="11" t="n">
        <v>2009</v>
      </c>
      <c r="O1395" s="11" t="n"/>
      <c r="P1395" s="11" t="n"/>
      <c r="Q1395" s="11" t="n"/>
      <c r="R1395" s="2" t="n"/>
      <c r="S1395" s="2" t="n"/>
      <c r="T1395" s="11" t="inlineStr">
        <is>
          <t>yes</t>
        </is>
      </c>
      <c r="U1395" s="11" t="inlineStr"/>
      <c r="V1395" s="11" t="inlineStr">
        <is>
          <t>outside_list</t>
        </is>
      </c>
      <c r="W1395" s="11" t="n"/>
      <c r="X1395" s="11" t="n"/>
      <c r="Y1395" s="11" t="n"/>
      <c r="Z1395" s="11" t="inlineStr">
        <is>
          <t>Mr. Advocate</t>
        </is>
      </c>
      <c r="AA1395" s="11" t="inlineStr">
        <is>
          <t>2026-10-07</t>
        </is>
      </c>
      <c r="AB1395" s="11" t="inlineStr">
        <is>
          <t>name_year</t>
        </is>
      </c>
      <c r="AC1395" s="2" t="inlineStr"/>
      <c r="AD1395" s="2" t="inlineStr">
        <is>
          <t>Pooja Batra v. Union of India (UOI) and Others (2008) was reversed on appeal by the Supreme Court in Pooja Batra v. Union of India (UOI) and Others (2009).</t>
        </is>
      </c>
      <c r="AE1395" s="2" t="n"/>
      <c r="AF1395" s="11" t="inlineStr">
        <is>
          <t>created from list 1</t>
        </is>
      </c>
    </row>
    <row r="1396">
      <c r="A1396" s="11" t="inlineStr">
        <is>
          <t>L1-1395</t>
        </is>
      </c>
      <c r="B1396" s="11" t="inlineStr">
        <is>
          <t>List 1 (to ~2015)</t>
        </is>
      </c>
      <c r="C1396" s="11" t="inlineStr">
        <is>
          <t>list1</t>
        </is>
      </c>
      <c r="D1396" s="11" t="inlineStr">
        <is>
          <t>verified</t>
        </is>
      </c>
      <c r="E1396" s="11" t="inlineStr">
        <is>
          <t>reversed_on_appeal</t>
        </is>
      </c>
      <c r="F1396" s="2" t="inlineStr">
        <is>
          <t>Ganpati-RV-Talleres Alegria Track Pvt. Ltd. v. Union of India (UOI) and Another</t>
        </is>
      </c>
      <c r="G1396" s="11" t="inlineStr"/>
      <c r="H1396" s="11" t="inlineStr">
        <is>
          <t>unknown</t>
        </is>
      </c>
      <c r="I1396" s="2" t="inlineStr">
        <is>
          <t>(2008) 2 CTLJ 137; (2008) 2 ILR Delhi 1118</t>
        </is>
      </c>
      <c r="J1396" s="11" t="n">
        <v>2008</v>
      </c>
      <c r="K1396" s="2" t="inlineStr">
        <is>
          <t>Ganpati RV-Talleres Alegria Track Pvt. Ltd. v. Union of India (UOI) and Another</t>
        </is>
      </c>
      <c r="L1396" s="11" t="inlineStr">
        <is>
          <t>Supreme Court</t>
        </is>
      </c>
      <c r="M1396" s="2" t="inlineStr">
        <is>
          <t>(2009) 1 JT 67; (2008) 16 SCALE 356; (2009) 1 SCC 589</t>
        </is>
      </c>
      <c r="N1396" s="11" t="n">
        <v>2008</v>
      </c>
      <c r="O1396" s="11" t="n"/>
      <c r="P1396" s="11" t="n"/>
      <c r="Q1396" s="11" t="n"/>
      <c r="R1396" s="2" t="n"/>
      <c r="S1396" s="2" t="n"/>
      <c r="T1396" s="11" t="inlineStr">
        <is>
          <t>yes</t>
        </is>
      </c>
      <c r="U1396" s="11" t="inlineStr"/>
      <c r="V1396" s="11" t="inlineStr">
        <is>
          <t>outside_list</t>
        </is>
      </c>
      <c r="W1396" s="11" t="n"/>
      <c r="X1396" s="11" t="n"/>
      <c r="Y1396" s="11" t="n"/>
      <c r="Z1396" s="11" t="inlineStr">
        <is>
          <t>Mr. Advocate</t>
        </is>
      </c>
      <c r="AA1396" s="11" t="inlineStr">
        <is>
          <t>2026-10-07</t>
        </is>
      </c>
      <c r="AB1396" s="11" t="inlineStr">
        <is>
          <t>name_year</t>
        </is>
      </c>
      <c r="AC1396" s="2" t="inlineStr"/>
      <c r="AD1396" s="2" t="inlineStr">
        <is>
          <t>Ganpati-RV-Talleres Alegria Track Pvt. Ltd. v. Union of India (UOI) and Another (2008) was reversed on appeal by the Supreme Court in Ganpati RV-Talleres Alegria Track Pvt. Ltd. v. Union of India (UOI) and Another (2008).</t>
        </is>
      </c>
      <c r="AE1396" s="2" t="n"/>
      <c r="AF1396" s="11" t="inlineStr">
        <is>
          <t>created from list 1</t>
        </is>
      </c>
    </row>
    <row r="1397">
      <c r="A1397" s="11" t="inlineStr">
        <is>
          <t>L1-1396</t>
        </is>
      </c>
      <c r="B1397" s="11" t="inlineStr">
        <is>
          <t>List 1 (to ~2015)</t>
        </is>
      </c>
      <c r="C1397" s="11" t="inlineStr">
        <is>
          <t>list1</t>
        </is>
      </c>
      <c r="D1397" s="11" t="inlineStr">
        <is>
          <t>verified</t>
        </is>
      </c>
      <c r="E1397" s="11" t="inlineStr">
        <is>
          <t>reversed_on_appeal</t>
        </is>
      </c>
      <c r="F1397" s="2" t="inlineStr">
        <is>
          <t>Vinita Saxena v. Pankaj Pandit</t>
        </is>
      </c>
      <c r="G1397" s="11" t="inlineStr"/>
      <c r="H1397" s="11" t="inlineStr">
        <is>
          <t>High Court/other (Delhi)</t>
        </is>
      </c>
      <c r="I1397" s="2" t="inlineStr">
        <is>
          <t>AIR 2005 Delhi 243; (2004) 113 DLT 884; (2004) 2 DMC 602; (2004) 77 DRJ 644</t>
        </is>
      </c>
      <c r="J1397" s="11" t="n">
        <v>2005</v>
      </c>
      <c r="K1397" s="2" t="inlineStr">
        <is>
          <t>Vinita Saxena v. Pankaj Pandit</t>
        </is>
      </c>
      <c r="L1397" s="11" t="inlineStr">
        <is>
          <t>Supreme Court</t>
        </is>
      </c>
      <c r="M1397" s="2" t="inlineStr">
        <is>
          <t>AIR 2006 SC 1662; (2006) 2 CTC 328; (2006) 1 DMC 531; (2006) 3 JT 587; (2006) 143 PLR 251; (2006) 3 SCALE 367; (2006) 3 SCC 778; (2006) AIRSCW 1585; (2006) 2 Supreme 662</t>
        </is>
      </c>
      <c r="N1397" s="11" t="n">
        <v>2006</v>
      </c>
      <c r="O1397" s="11" t="n"/>
      <c r="P1397" s="11" t="n"/>
      <c r="Q1397" s="11" t="n"/>
      <c r="R1397" s="2" t="n"/>
      <c r="S1397" s="2" t="n"/>
      <c r="T1397" s="11" t="inlineStr">
        <is>
          <t>yes</t>
        </is>
      </c>
      <c r="U1397" s="11" t="inlineStr"/>
      <c r="V1397" s="11" t="inlineStr">
        <is>
          <t>outside_list</t>
        </is>
      </c>
      <c r="W1397" s="11" t="n"/>
      <c r="X1397" s="11" t="n"/>
      <c r="Y1397" s="11" t="n"/>
      <c r="Z1397" s="11" t="inlineStr">
        <is>
          <t>Mr. Advocate</t>
        </is>
      </c>
      <c r="AA1397" s="11" t="inlineStr">
        <is>
          <t>2026-10-07</t>
        </is>
      </c>
      <c r="AB1397" s="11" t="inlineStr">
        <is>
          <t>name_year</t>
        </is>
      </c>
      <c r="AC1397" s="2" t="inlineStr"/>
      <c r="AD1397" s="2" t="inlineStr">
        <is>
          <t>Vinita Saxena v. Pankaj Pandit (2005) was reversed on appeal by the Supreme Court in Vinita Saxena v. Pankaj Pandit (2006).</t>
        </is>
      </c>
      <c r="AE1397" s="2" t="n"/>
      <c r="AF1397" s="11" t="inlineStr">
        <is>
          <t>created from list 1</t>
        </is>
      </c>
    </row>
    <row r="1398">
      <c r="A1398" s="11" t="inlineStr">
        <is>
          <t>L1-1397</t>
        </is>
      </c>
      <c r="B1398" s="11" t="inlineStr">
        <is>
          <t>List 1 (to ~2015)</t>
        </is>
      </c>
      <c r="C1398" s="11" t="inlineStr">
        <is>
          <t>list1</t>
        </is>
      </c>
      <c r="D1398" s="11" t="inlineStr">
        <is>
          <t>verified</t>
        </is>
      </c>
      <c r="E1398" s="11" t="inlineStr">
        <is>
          <t>reversed_on_appeal</t>
        </is>
      </c>
      <c r="F1398" s="2" t="inlineStr">
        <is>
          <t>Jaspal Singh Gill v. The State</t>
        </is>
      </c>
      <c r="G1398" s="11" t="inlineStr"/>
      <c r="H1398" s="11" t="inlineStr">
        <is>
          <t>unknown</t>
        </is>
      </c>
      <c r="I1398" s="2" t="inlineStr">
        <is>
          <t>(1984) 26 DLT 109; (1984) RLR 327</t>
        </is>
      </c>
      <c r="J1398" s="11" t="n">
        <v>1984</v>
      </c>
      <c r="K1398" s="2" t="inlineStr">
        <is>
          <t>State v. Jaspal Singh Gill</t>
        </is>
      </c>
      <c r="L1398" s="11" t="inlineStr">
        <is>
          <t>Supreme Court</t>
        </is>
      </c>
      <c r="M1398" s="2" t="inlineStr">
        <is>
          <t>AIR 1984 SC 1503; (1984) CriLJ 1211; (1984) 1 SCALE 990; (1984) 3 SCC 555; (1984) 3 SCR 993; (1984) 16 UJ 969</t>
        </is>
      </c>
      <c r="N1398" s="11" t="n">
        <v>1984</v>
      </c>
      <c r="O1398" s="11" t="n"/>
      <c r="P1398" s="11" t="n"/>
      <c r="Q1398" s="11" t="n"/>
      <c r="R1398" s="2" t="n"/>
      <c r="S1398" s="2" t="n"/>
      <c r="T1398" s="11" t="inlineStr">
        <is>
          <t>yes</t>
        </is>
      </c>
      <c r="U1398" s="11" t="inlineStr"/>
      <c r="V1398" s="11" t="inlineStr">
        <is>
          <t>outside_list</t>
        </is>
      </c>
      <c r="W1398" s="11" t="n"/>
      <c r="X1398" s="11" t="n"/>
      <c r="Y1398" s="11" t="n"/>
      <c r="Z1398" s="11" t="inlineStr">
        <is>
          <t>Mr. Advocate</t>
        </is>
      </c>
      <c r="AA1398" s="11" t="inlineStr">
        <is>
          <t>2026-10-07</t>
        </is>
      </c>
      <c r="AB1398" s="11" t="inlineStr">
        <is>
          <t>name_year</t>
        </is>
      </c>
      <c r="AC1398" s="2" t="inlineStr"/>
      <c r="AD1398" s="2" t="inlineStr">
        <is>
          <t>Jaspal Singh Gill v. The State (1984) was reversed on appeal by the Supreme Court in State v. Jaspal Singh Gill (1984).</t>
        </is>
      </c>
      <c r="AE1398" s="2" t="n"/>
      <c r="AF1398" s="11" t="inlineStr">
        <is>
          <t>created from list 1</t>
        </is>
      </c>
    </row>
    <row r="1399">
      <c r="A1399" s="11" t="inlineStr">
        <is>
          <t>L1-1398</t>
        </is>
      </c>
      <c r="B1399" s="11" t="inlineStr">
        <is>
          <t>List 1 (to ~2015)</t>
        </is>
      </c>
      <c r="C1399" s="11" t="inlineStr">
        <is>
          <t>list1</t>
        </is>
      </c>
      <c r="D1399" s="11" t="inlineStr">
        <is>
          <t>verified</t>
        </is>
      </c>
      <c r="E1399" s="11" t="inlineStr">
        <is>
          <t>overruled</t>
        </is>
      </c>
      <c r="F1399" s="2" t="inlineStr">
        <is>
          <t>Pritpal Singh, Ram Babu Choudhary, Surender Kumar, Satya Prakash Sharma, Gulam Ali and Another and Jagram Singh v. Union of India (UOI) and Others</t>
        </is>
      </c>
      <c r="G1399" s="11" t="inlineStr"/>
      <c r="H1399" s="11" t="inlineStr">
        <is>
          <t>unknown</t>
        </is>
      </c>
      <c r="I1399" s="2" t="inlineStr"/>
      <c r="J1399" s="11" t="n"/>
      <c r="K1399" s="2" t="inlineStr">
        <is>
          <t>Badri Prasad and Others v. Union of India (UOI) and Others</t>
        </is>
      </c>
      <c r="L1399" s="11" t="inlineStr">
        <is>
          <t>Supreme Court</t>
        </is>
      </c>
      <c r="M1399" s="2" t="inlineStr">
        <is>
          <t>AIR 2005 SC 2531; (2005) 3 ESC 418; (2005) 105 FLR 1023; (2005) 11 JT 304; (2005) 3 LLJ 1; (2005) 11 SCC 304; (2005) 11 SCC 298; (2006) SCC(L&amp;S) 92</t>
        </is>
      </c>
      <c r="N1399" s="11" t="n">
        <v>2005</v>
      </c>
      <c r="O1399" s="11" t="n"/>
      <c r="P1399" s="11" t="n"/>
      <c r="Q1399" s="11" t="n"/>
      <c r="R1399" s="2" t="n"/>
      <c r="S1399" s="2" t="n"/>
      <c r="T1399" s="11" t="inlineStr"/>
      <c r="U1399" s="11" t="inlineStr">
        <is>
          <t>no_citation_or_year_for_overruled, needs_citation_or_year</t>
        </is>
      </c>
      <c r="V1399" s="11" t="inlineStr">
        <is>
          <t>outside_list</t>
        </is>
      </c>
      <c r="W1399" s="11" t="n"/>
      <c r="X1399" s="11" t="n"/>
      <c r="Y1399" s="11" t="n"/>
      <c r="Z1399" s="11" t="inlineStr">
        <is>
          <t>Mr. Advocate</t>
        </is>
      </c>
      <c r="AA1399" s="11" t="inlineStr">
        <is>
          <t>2026-10-07</t>
        </is>
      </c>
      <c r="AB1399" s="11" t="inlineStr">
        <is>
          <t>none</t>
        </is>
      </c>
      <c r="AC1399" s="2" t="inlineStr"/>
      <c r="AD1399" s="2" t="inlineStr">
        <is>
          <t>Pritpal Singh, Ram Babu Choudhary, Surender Kumar, Satya Prakash Sharma, Gulam Ali and Another and Jagram Singh v. Union of India (UOI) and Others was overruled by Badri Prasad and Others v. Union of India (UOI) and Others (2005).</t>
        </is>
      </c>
      <c r="AE1399" s="2" t="n"/>
      <c r="AF1399" s="11" t="inlineStr">
        <is>
          <t>created from list 1</t>
        </is>
      </c>
    </row>
    <row r="1400">
      <c r="A1400" s="11" t="inlineStr">
        <is>
          <t>L1-1399</t>
        </is>
      </c>
      <c r="B1400" s="11" t="inlineStr">
        <is>
          <t>List 1 (to ~2015)</t>
        </is>
      </c>
      <c r="C1400" s="11" t="inlineStr">
        <is>
          <t>list1</t>
        </is>
      </c>
      <c r="D1400" s="11" t="inlineStr">
        <is>
          <t>verified</t>
        </is>
      </c>
      <c r="E1400" s="11" t="inlineStr">
        <is>
          <t>reversed_on_appeal</t>
        </is>
      </c>
      <c r="F1400" s="2" t="inlineStr">
        <is>
          <t>Mehta Brothers and Others v. Bank of India and Another</t>
        </is>
      </c>
      <c r="G1400" s="11" t="inlineStr"/>
      <c r="H1400" s="11" t="inlineStr">
        <is>
          <t>unknown</t>
        </is>
      </c>
      <c r="I1400" s="2" t="inlineStr"/>
      <c r="J1400" s="11" t="n"/>
      <c r="K1400" s="2" t="inlineStr">
        <is>
          <t>Bank of India v. Mehta Brothers and Others</t>
        </is>
      </c>
      <c r="L1400" s="11" t="inlineStr">
        <is>
          <t>Supreme Court</t>
        </is>
      </c>
      <c r="M1400" s="2" t="inlineStr">
        <is>
          <t>(2008) 4 BC 485; (2008) 10 JT 471; (2008) 12 SCALE 680; (2008) 13 SCC 466</t>
        </is>
      </c>
      <c r="N1400" s="11" t="n">
        <v>2008</v>
      </c>
      <c r="O1400" s="11" t="n"/>
      <c r="P1400" s="11" t="n"/>
      <c r="Q1400" s="11" t="n"/>
      <c r="R1400" s="2" t="n"/>
      <c r="S1400" s="2" t="n"/>
      <c r="T1400" s="11" t="inlineStr">
        <is>
          <t>yes</t>
        </is>
      </c>
      <c r="U1400" s="11" t="inlineStr">
        <is>
          <t>no_citation_or_year_for_overruled, needs_citation_or_year</t>
        </is>
      </c>
      <c r="V1400" s="11" t="inlineStr">
        <is>
          <t>outside_list</t>
        </is>
      </c>
      <c r="W1400" s="11" t="n"/>
      <c r="X1400" s="11" t="n"/>
      <c r="Y1400" s="11" t="n"/>
      <c r="Z1400" s="11" t="inlineStr">
        <is>
          <t>Mr. Advocate</t>
        </is>
      </c>
      <c r="AA1400" s="11" t="inlineStr">
        <is>
          <t>2026-10-07</t>
        </is>
      </c>
      <c r="AB1400" s="11" t="inlineStr">
        <is>
          <t>weak</t>
        </is>
      </c>
      <c r="AC1400" s="2" t="inlineStr"/>
      <c r="AD1400" s="2" t="inlineStr">
        <is>
          <t>Mehta Brothers and Others v. Bank of India and Another was reversed on appeal by the Supreme Court in Bank of India v. Mehta Brothers and Others (2008).</t>
        </is>
      </c>
      <c r="AE1400" s="2" t="n"/>
      <c r="AF1400" s="11" t="inlineStr">
        <is>
          <t>created from list 1</t>
        </is>
      </c>
    </row>
    <row r="1401">
      <c r="A1401" s="11" t="inlineStr">
        <is>
          <t>L1-1400</t>
        </is>
      </c>
      <c r="B1401" s="11" t="inlineStr">
        <is>
          <t>List 1 (to ~2015)</t>
        </is>
      </c>
      <c r="C1401" s="11" t="inlineStr">
        <is>
          <t>list1</t>
        </is>
      </c>
      <c r="D1401" s="11" t="inlineStr">
        <is>
          <t>verified</t>
        </is>
      </c>
      <c r="E1401" s="11" t="inlineStr">
        <is>
          <t>overruled</t>
        </is>
      </c>
      <c r="F1401" s="2" t="inlineStr">
        <is>
          <t>Municipal Corporation of Delhi v. Pragati Builders and N.R.D.C. of India and Another</t>
        </is>
      </c>
      <c r="G1401" s="11" t="inlineStr"/>
      <c r="H1401" s="11" t="inlineStr">
        <is>
          <t>High Court/other (Delhi)</t>
        </is>
      </c>
      <c r="I1401" s="2" t="inlineStr">
        <is>
          <t>AIR 1991 Delhi 212; (1991) 45 DLT 264; (1991) 21 DRJ 88</t>
        </is>
      </c>
      <c r="J1401" s="11" t="n">
        <v>1991</v>
      </c>
      <c r="K1401" s="2" t="inlineStr">
        <is>
          <t>Krishna Mohan Pvt. Ltd. v. Municipal Corporation of Delhi and Others</t>
        </is>
      </c>
      <c r="L1401" s="11" t="inlineStr">
        <is>
          <t>Supreme Court</t>
        </is>
      </c>
      <c r="M1401" s="2" t="inlineStr">
        <is>
          <t>AIR 2003 SC 2935; (2003) 6 JT 130; (2003) 5 SCALE 515; (2003) 7 SCC 151; (2003) 1 SCR 848 Supp; (2003) AIRSCW 3697</t>
        </is>
      </c>
      <c r="N1401" s="11" t="n">
        <v>2003</v>
      </c>
      <c r="O1401" s="11" t="n"/>
      <c r="P1401" s="11" t="n"/>
      <c r="Q1401" s="11" t="n"/>
      <c r="R1401" s="2" t="n"/>
      <c r="S1401" s="2" t="n"/>
      <c r="T1401" s="11" t="inlineStr"/>
      <c r="U1401" s="11" t="inlineStr"/>
      <c r="V1401" s="11" t="inlineStr">
        <is>
          <t>outside_list</t>
        </is>
      </c>
      <c r="W1401" s="11" t="n"/>
      <c r="X1401" s="11" t="n"/>
      <c r="Y1401" s="11" t="n"/>
      <c r="Z1401" s="11" t="inlineStr">
        <is>
          <t>Mr. Advocate</t>
        </is>
      </c>
      <c r="AA1401" s="11" t="inlineStr">
        <is>
          <t>2026-10-07</t>
        </is>
      </c>
      <c r="AB1401" s="11" t="inlineStr">
        <is>
          <t>name_year</t>
        </is>
      </c>
      <c r="AC1401" s="2" t="inlineStr"/>
      <c r="AD1401" s="2" t="inlineStr">
        <is>
          <t>Municipal Corporation of Delhi v. Pragati Builders and N.R.D.C. of India and Another (1991) was overruled by Krishna Mohan Pvt. Ltd. v. Municipal Corporation of Delhi and Others (2003).</t>
        </is>
      </c>
      <c r="AE1401" s="2" t="n"/>
      <c r="AF1401" s="11" t="inlineStr">
        <is>
          <t>created from list 1</t>
        </is>
      </c>
    </row>
    <row r="1402">
      <c r="A1402" s="11" t="inlineStr">
        <is>
          <t>L1-1401</t>
        </is>
      </c>
      <c r="B1402" s="11" t="inlineStr">
        <is>
          <t>List 1 (to ~2015)</t>
        </is>
      </c>
      <c r="C1402" s="11" t="inlineStr">
        <is>
          <t>list1</t>
        </is>
      </c>
      <c r="D1402" s="11" t="inlineStr">
        <is>
          <t>verified</t>
        </is>
      </c>
      <c r="E1402" s="11" t="inlineStr">
        <is>
          <t>overruled</t>
        </is>
      </c>
      <c r="F1402" s="2" t="inlineStr">
        <is>
          <t>Marriott International Inc. and Others v. Ansal Hotels Ltd. and Another</t>
        </is>
      </c>
      <c r="G1402" s="11" t="inlineStr"/>
      <c r="H1402" s="11" t="inlineStr">
        <is>
          <t>unknown</t>
        </is>
      </c>
      <c r="I1402" s="2" t="inlineStr">
        <is>
          <t>(1999) 6 AD 340; (1999) 82 DLT 137</t>
        </is>
      </c>
      <c r="J1402" s="11" t="n">
        <v>1999</v>
      </c>
      <c r="K1402" s="2" t="inlineStr">
        <is>
          <t>Bhatia International v. Bulk Trading S.A. and Another</t>
        </is>
      </c>
      <c r="L1402" s="11" t="inlineStr">
        <is>
          <t>Supreme Court</t>
        </is>
      </c>
      <c r="M1402" s="2" t="inlineStr">
        <is>
          <t>AIR 2002 SC 1432; (2002) 1 ARBLR 675; (2002) 2 CompLJ 361; (2002) 3 JT 150; (2002) 2 SCALE 612; (2002) 4 SCC 105; (2002) 37 SCL 434; (2002) 2 SCR 411; (2002) 1 UJ 660; (2002) AIRSCW 1285; (2002) 2 Supreme 395</t>
        </is>
      </c>
      <c r="N1402" s="11" t="n">
        <v>2002</v>
      </c>
      <c r="O1402" s="11" t="n"/>
      <c r="P1402" s="11" t="n"/>
      <c r="Q1402" s="11" t="n"/>
      <c r="R1402" s="2" t="n"/>
      <c r="S1402" s="2" t="n"/>
      <c r="T1402" s="11" t="inlineStr"/>
      <c r="U1402" s="11" t="inlineStr"/>
      <c r="V1402" s="11" t="inlineStr">
        <is>
          <t>outside_list</t>
        </is>
      </c>
      <c r="W1402" s="11" t="n"/>
      <c r="X1402" s="11" t="n"/>
      <c r="Y1402" s="11" t="n"/>
      <c r="Z1402" s="11" t="inlineStr">
        <is>
          <t>Mr. Advocate</t>
        </is>
      </c>
      <c r="AA1402" s="11" t="inlineStr">
        <is>
          <t>2026-10-07</t>
        </is>
      </c>
      <c r="AB1402" s="11" t="inlineStr">
        <is>
          <t>name_year</t>
        </is>
      </c>
      <c r="AC1402" s="2" t="inlineStr"/>
      <c r="AD1402" s="2" t="inlineStr">
        <is>
          <t>Marriott International Inc. and Others v. Ansal Hotels Ltd. and Another (1999) was overruled by Bhatia International v. Bulk Trading S.A. and Another (2002).</t>
        </is>
      </c>
      <c r="AE1402" s="2" t="n"/>
      <c r="AF1402" s="11" t="inlineStr">
        <is>
          <t>created from list 1</t>
        </is>
      </c>
    </row>
    <row r="1403">
      <c r="A1403" s="11" t="inlineStr">
        <is>
          <t>L1-1402</t>
        </is>
      </c>
      <c r="B1403" s="11" t="inlineStr">
        <is>
          <t>List 1 (to ~2015)</t>
        </is>
      </c>
      <c r="C1403" s="11" t="inlineStr">
        <is>
          <t>list1</t>
        </is>
      </c>
      <c r="D1403" s="11" t="inlineStr">
        <is>
          <t>verified</t>
        </is>
      </c>
      <c r="E1403" s="11" t="inlineStr">
        <is>
          <t>reversed_on_appeal</t>
        </is>
      </c>
      <c r="F1403" s="2" t="inlineStr">
        <is>
          <t>Prem Kumar v. The Union of India and Others</t>
        </is>
      </c>
      <c r="G1403" s="11" t="inlineStr"/>
      <c r="H1403" s="11" t="inlineStr">
        <is>
          <t>unknown</t>
        </is>
      </c>
      <c r="I1403" s="2" t="inlineStr">
        <is>
          <t>(1969) ILR Delhi 1214</t>
        </is>
      </c>
      <c r="J1403" s="11" t="n">
        <v>1969</v>
      </c>
      <c r="K1403" s="2" t="inlineStr">
        <is>
          <t>Union of India (UOI) v. Prem Kumar Jain and Others</t>
        </is>
      </c>
      <c r="L1403" s="11" t="inlineStr">
        <is>
          <t>Supreme Court</t>
        </is>
      </c>
      <c r="M1403" s="2" t="inlineStr">
        <is>
          <t>AIR 1976 SC 1856; (1976) 3 SCC 743; (1976) SCR 166 Supp; (1976) 1 SLJ 547; (1976) 8 UJ 593</t>
        </is>
      </c>
      <c r="N1403" s="11" t="n">
        <v>1976</v>
      </c>
      <c r="O1403" s="11" t="n"/>
      <c r="P1403" s="11" t="n"/>
      <c r="Q1403" s="11" t="n"/>
      <c r="R1403" s="2" t="n"/>
      <c r="S1403" s="2" t="n"/>
      <c r="T1403" s="11" t="inlineStr">
        <is>
          <t>yes</t>
        </is>
      </c>
      <c r="U1403" s="11" t="inlineStr"/>
      <c r="V1403" s="11" t="inlineStr">
        <is>
          <t>outside_list</t>
        </is>
      </c>
      <c r="W1403" s="11" t="n"/>
      <c r="X1403" s="11" t="n"/>
      <c r="Y1403" s="11" t="n"/>
      <c r="Z1403" s="11" t="inlineStr">
        <is>
          <t>Mr. Advocate</t>
        </is>
      </c>
      <c r="AA1403" s="11" t="inlineStr">
        <is>
          <t>2026-10-07</t>
        </is>
      </c>
      <c r="AB1403" s="11" t="inlineStr">
        <is>
          <t>name_year</t>
        </is>
      </c>
      <c r="AC1403" s="2" t="inlineStr"/>
      <c r="AD1403" s="2" t="inlineStr">
        <is>
          <t>Prem Kumar v. The Union of India and Others (1969) was reversed on appeal by the Supreme Court in Union of India (UOI) v. Prem Kumar Jain and Others (1976).</t>
        </is>
      </c>
      <c r="AE1403" s="2" t="n"/>
      <c r="AF1403" s="11" t="inlineStr">
        <is>
          <t>created from list 1</t>
        </is>
      </c>
    </row>
    <row r="1404">
      <c r="A1404" s="11" t="inlineStr">
        <is>
          <t>L1-1403</t>
        </is>
      </c>
      <c r="B1404" s="11" t="inlineStr">
        <is>
          <t>List 1 (to ~2015)</t>
        </is>
      </c>
      <c r="C1404" s="11" t="inlineStr">
        <is>
          <t>list1</t>
        </is>
      </c>
      <c r="D1404" s="11" t="inlineStr">
        <is>
          <t>verified</t>
        </is>
      </c>
      <c r="E1404" s="11" t="inlineStr">
        <is>
          <t>reversed_on_appeal</t>
        </is>
      </c>
      <c r="F1404" s="2" t="inlineStr">
        <is>
          <t>Rakesh Chander Rastogi and Another v. Appropriate Authority and Another</t>
        </is>
      </c>
      <c r="G1404" s="11" t="inlineStr"/>
      <c r="H1404" s="11" t="inlineStr">
        <is>
          <t>unknown</t>
        </is>
      </c>
      <c r="I1404" s="2" t="inlineStr">
        <is>
          <t>(2000) 159 CTR 46; (1999) 239 ITR 197</t>
        </is>
      </c>
      <c r="J1404" s="11" t="n">
        <v>1999</v>
      </c>
      <c r="K1404" s="2" t="inlineStr">
        <is>
          <t>Rakesh C. Rastogi and Another v. Appropriate Authority and Another</t>
        </is>
      </c>
      <c r="L1404" s="11" t="inlineStr">
        <is>
          <t>Supreme Court</t>
        </is>
      </c>
      <c r="M1404" s="2" t="inlineStr">
        <is>
          <t>AIR 2002 SC 2373; (2001) 171 CTR 185; (2002) 253 ITR 94; (2001) 2 JT 211 Supp; (2002) 10 SCC 335; (2002) 120 TAXMAN 125; (2002) AIRSCW 2537</t>
        </is>
      </c>
      <c r="N1404" s="11" t="n">
        <v>2002</v>
      </c>
      <c r="O1404" s="11" t="n"/>
      <c r="P1404" s="11" t="n"/>
      <c r="Q1404" s="11" t="n"/>
      <c r="R1404" s="2" t="n"/>
      <c r="S1404" s="2" t="n"/>
      <c r="T1404" s="11" t="inlineStr">
        <is>
          <t>yes</t>
        </is>
      </c>
      <c r="U1404" s="11" t="inlineStr"/>
      <c r="V1404" s="11" t="inlineStr">
        <is>
          <t>outside_list</t>
        </is>
      </c>
      <c r="W1404" s="11" t="n"/>
      <c r="X1404" s="11" t="n"/>
      <c r="Y1404" s="11" t="n"/>
      <c r="Z1404" s="11" t="inlineStr">
        <is>
          <t>Mr. Advocate</t>
        </is>
      </c>
      <c r="AA1404" s="11" t="inlineStr">
        <is>
          <t>2026-10-07</t>
        </is>
      </c>
      <c r="AB1404" s="11" t="inlineStr">
        <is>
          <t>name_year</t>
        </is>
      </c>
      <c r="AC1404" s="2" t="inlineStr"/>
      <c r="AD1404" s="2" t="inlineStr">
        <is>
          <t>Rakesh Chander Rastogi and Another v. Appropriate Authority and Another (1999) was reversed on appeal by the Supreme Court in Rakesh C. Rastogi and Another v. Appropriate Authority and Another (2002).</t>
        </is>
      </c>
      <c r="AE1404" s="2" t="n"/>
      <c r="AF1404" s="11" t="inlineStr">
        <is>
          <t>created from list 1</t>
        </is>
      </c>
    </row>
    <row r="1405">
      <c r="A1405" s="11" t="inlineStr">
        <is>
          <t>L1-1404</t>
        </is>
      </c>
      <c r="B1405" s="11" t="inlineStr">
        <is>
          <t>List 1 (to ~2015)</t>
        </is>
      </c>
      <c r="C1405" s="11" t="inlineStr">
        <is>
          <t>list1</t>
        </is>
      </c>
      <c r="D1405" s="11" t="inlineStr">
        <is>
          <t>verified</t>
        </is>
      </c>
      <c r="E1405" s="11" t="inlineStr">
        <is>
          <t>reversed_on_appeal</t>
        </is>
      </c>
      <c r="F1405" s="2" t="inlineStr">
        <is>
          <t>Ramesh Khanna v. Inder Mohan Lal</t>
        </is>
      </c>
      <c r="G1405" s="11" t="inlineStr"/>
      <c r="H1405" s="11" t="inlineStr">
        <is>
          <t>unknown</t>
        </is>
      </c>
      <c r="I1405" s="2" t="inlineStr">
        <is>
          <t>(1985) 28 DLT 408; (1985) 9 DRJ 195; (1985) RLR 492</t>
        </is>
      </c>
      <c r="J1405" s="11" t="n">
        <v>1985</v>
      </c>
      <c r="K1405" s="2" t="inlineStr">
        <is>
          <t>Inder Mohan Lal v. Ramesh Khanna</t>
        </is>
      </c>
      <c r="L1405" s="11" t="inlineStr">
        <is>
          <t>Supreme Court</t>
        </is>
      </c>
      <c r="M1405" s="2" t="inlineStr">
        <is>
          <t>AIR 1987 SC 1986; (1987) 3 JT 246; (1987) 2 SCALE 196; (1987) 4 SCC 1; (1987) 3 SCR 765; (1987) 2 UJ 705</t>
        </is>
      </c>
      <c r="N1405" s="11" t="n">
        <v>1987</v>
      </c>
      <c r="O1405" s="11" t="n"/>
      <c r="P1405" s="11" t="n"/>
      <c r="Q1405" s="11" t="n"/>
      <c r="R1405" s="2" t="n"/>
      <c r="S1405" s="2" t="n"/>
      <c r="T1405" s="11" t="inlineStr">
        <is>
          <t>yes</t>
        </is>
      </c>
      <c r="U1405" s="11" t="inlineStr"/>
      <c r="V1405" s="11" t="inlineStr">
        <is>
          <t>outside_list</t>
        </is>
      </c>
      <c r="W1405" s="11" t="n"/>
      <c r="X1405" s="11" t="n"/>
      <c r="Y1405" s="11" t="n"/>
      <c r="Z1405" s="11" t="inlineStr">
        <is>
          <t>Mr. Advocate</t>
        </is>
      </c>
      <c r="AA1405" s="11" t="inlineStr">
        <is>
          <t>2026-10-07</t>
        </is>
      </c>
      <c r="AB1405" s="11" t="inlineStr">
        <is>
          <t>name_year</t>
        </is>
      </c>
      <c r="AC1405" s="2" t="inlineStr"/>
      <c r="AD1405" s="2" t="inlineStr">
        <is>
          <t>Ramesh Khanna v. Inder Mohan Lal (1985) was reversed on appeal by the Supreme Court in Inder Mohan Lal v. Ramesh Khanna (1987).</t>
        </is>
      </c>
      <c r="AE1405" s="2" t="n"/>
      <c r="AF1405" s="11" t="inlineStr">
        <is>
          <t>created from list 1</t>
        </is>
      </c>
    </row>
    <row r="1406">
      <c r="A1406" s="11" t="inlineStr">
        <is>
          <t>L1-1405</t>
        </is>
      </c>
      <c r="B1406" s="11" t="inlineStr">
        <is>
          <t>List 1 (to ~2015)</t>
        </is>
      </c>
      <c r="C1406" s="11" t="inlineStr">
        <is>
          <t>list1</t>
        </is>
      </c>
      <c r="D1406" s="11" t="inlineStr">
        <is>
          <t>verified</t>
        </is>
      </c>
      <c r="E1406" s="11" t="inlineStr">
        <is>
          <t>overruled</t>
        </is>
      </c>
      <c r="F1406" s="2" t="inlineStr">
        <is>
          <t>Naz Foundation v. Government of NCT and Others</t>
        </is>
      </c>
      <c r="G1406" s="11" t="inlineStr"/>
      <c r="H1406" s="11" t="inlineStr">
        <is>
          <t>unknown</t>
        </is>
      </c>
      <c r="I1406" s="2" t="inlineStr">
        <is>
          <t>(2010) CriLJ 94; (2009) 160 DLT 277</t>
        </is>
      </c>
      <c r="J1406" s="11" t="n">
        <v>2009</v>
      </c>
      <c r="K1406" s="2" t="inlineStr">
        <is>
          <t>Suresh Kumar Koushal and Another v. NAZ Foundation and Others</t>
        </is>
      </c>
      <c r="L1406" s="11" t="inlineStr">
        <is>
          <t>Supreme Court</t>
        </is>
      </c>
      <c r="M1406" s="2" t="inlineStr">
        <is>
          <t>(2014) 1 AD 549; AIR 2014 SC 563; (2014) CriLJ 784; (2014) 1 JT 27; (2014) 1 RCR(Criminal) 286; (2013) 15 SCALE 55; (2014) 1 SCC 1; (2014) 1 SCJ 1</t>
        </is>
      </c>
      <c r="N1406" s="11" t="n">
        <v>2014</v>
      </c>
      <c r="O1406" s="11" t="n"/>
      <c r="P1406" s="11" t="n"/>
      <c r="Q1406" s="11" t="n"/>
      <c r="R1406" s="2" t="n"/>
      <c r="S1406" s="2" t="n"/>
      <c r="T1406" s="11" t="inlineStr"/>
      <c r="U1406" s="11" t="inlineStr"/>
      <c r="V1406" s="11" t="inlineStr">
        <is>
          <t>outside_list</t>
        </is>
      </c>
      <c r="W1406" s="11" t="n"/>
      <c r="X1406" s="11" t="n"/>
      <c r="Y1406" s="11" t="n"/>
      <c r="Z1406" s="11" t="inlineStr">
        <is>
          <t>Mr. Advocate</t>
        </is>
      </c>
      <c r="AA1406" s="11" t="inlineStr">
        <is>
          <t>2026-10-07</t>
        </is>
      </c>
      <c r="AB1406" s="11" t="inlineStr">
        <is>
          <t>name_year</t>
        </is>
      </c>
      <c r="AC1406" s="2" t="inlineStr">
        <is>
          <t>L2-009: overruled by Navtej Singh Johar v. Union of India (2018)</t>
        </is>
      </c>
      <c r="AD1406" s="2" t="inlineStr">
        <is>
          <t>Naz Foundation v. Government of NCT and Others (2009) was overruled by Suresh Kumar Koushal and Another v. NAZ Foundation and Others (2014). Note: Suresh Kumar Koushal and Another v. NAZ Foundation and Others was itself later overruled by Navtej Singh Johar v. Union of India (2018); the current position should be checked.</t>
        </is>
      </c>
      <c r="AE1406" s="2" t="n"/>
      <c r="AF1406" s="11" t="inlineStr">
        <is>
          <t>created from list 1</t>
        </is>
      </c>
    </row>
    <row r="1407">
      <c r="A1407" s="11" t="inlineStr">
        <is>
          <t>L1-1406</t>
        </is>
      </c>
      <c r="B1407" s="11" t="inlineStr">
        <is>
          <t>List 1 (to ~2015)</t>
        </is>
      </c>
      <c r="C1407" s="11" t="inlineStr">
        <is>
          <t>list1</t>
        </is>
      </c>
      <c r="D1407" s="11" t="inlineStr">
        <is>
          <t>verified</t>
        </is>
      </c>
      <c r="E1407" s="11" t="inlineStr">
        <is>
          <t>reversed_on_appeal</t>
        </is>
      </c>
      <c r="F1407" s="2" t="inlineStr">
        <is>
          <t>International Trading Company v. Union of India (UOI) and Another</t>
        </is>
      </c>
      <c r="G1407" s="11" t="inlineStr"/>
      <c r="H1407" s="11" t="inlineStr">
        <is>
          <t>High Court/other (Delhi)</t>
        </is>
      </c>
      <c r="I1407" s="2" t="inlineStr">
        <is>
          <t>AIR 2002 Delhi 488</t>
        </is>
      </c>
      <c r="J1407" s="11" t="n">
        <v>2002</v>
      </c>
      <c r="K1407" s="2" t="inlineStr">
        <is>
          <t>Union of India (UOI) and Another v. International Trading Co. and Another</t>
        </is>
      </c>
      <c r="L1407" s="11" t="inlineStr">
        <is>
          <t>Supreme Court</t>
        </is>
      </c>
      <c r="M1407" s="2" t="inlineStr">
        <is>
          <t>AIR 2003 SC 3983; (2003) 4 JT 549; (2003) 4 SCALE 581; (2003) 5 SCC 437; (2003) 1 SCR 55 Supp; (2003) AIRSCW 2828; (2003) 4 Supreme 114</t>
        </is>
      </c>
      <c r="N1407" s="11" t="n">
        <v>2003</v>
      </c>
      <c r="O1407" s="11" t="n"/>
      <c r="P1407" s="11" t="n"/>
      <c r="Q1407" s="11" t="n"/>
      <c r="R1407" s="2" t="n"/>
      <c r="S1407" s="2" t="n"/>
      <c r="T1407" s="11" t="inlineStr">
        <is>
          <t>yes</t>
        </is>
      </c>
      <c r="U1407" s="11" t="inlineStr"/>
      <c r="V1407" s="11" t="inlineStr">
        <is>
          <t>outside_list</t>
        </is>
      </c>
      <c r="W1407" s="11" t="n"/>
      <c r="X1407" s="11" t="n"/>
      <c r="Y1407" s="11" t="n"/>
      <c r="Z1407" s="11" t="inlineStr">
        <is>
          <t>Mr. Advocate</t>
        </is>
      </c>
      <c r="AA1407" s="11" t="inlineStr">
        <is>
          <t>2026-10-07</t>
        </is>
      </c>
      <c r="AB1407" s="11" t="inlineStr">
        <is>
          <t>name_year</t>
        </is>
      </c>
      <c r="AC1407" s="2" t="inlineStr"/>
      <c r="AD1407" s="2" t="inlineStr">
        <is>
          <t>International Trading Company v. Union of India (UOI) and Another (2002) was reversed on appeal by the Supreme Court in Union of India (UOI) and Another v. International Trading Co. and Another (2003).</t>
        </is>
      </c>
      <c r="AE1407" s="2" t="n"/>
      <c r="AF1407" s="11" t="inlineStr">
        <is>
          <t>created from list 1</t>
        </is>
      </c>
    </row>
    <row r="1408">
      <c r="A1408" s="11" t="inlineStr">
        <is>
          <t>L1-1407</t>
        </is>
      </c>
      <c r="B1408" s="11" t="inlineStr">
        <is>
          <t>List 1 (to ~2015)</t>
        </is>
      </c>
      <c r="C1408" s="11" t="inlineStr">
        <is>
          <t>list1</t>
        </is>
      </c>
      <c r="D1408" s="11" t="inlineStr">
        <is>
          <t>verified</t>
        </is>
      </c>
      <c r="E1408" s="11" t="inlineStr">
        <is>
          <t>reversed_on_appeal</t>
        </is>
      </c>
      <c r="F1408" s="2" t="inlineStr">
        <is>
          <t>Sh. Prakash P. Hinduja v. Union of India (UOI)</t>
        </is>
      </c>
      <c r="G1408" s="11" t="inlineStr"/>
      <c r="H1408" s="11" t="inlineStr">
        <is>
          <t>unknown</t>
        </is>
      </c>
      <c r="I1408" s="2" t="inlineStr">
        <is>
          <t>(2002) 98 DLT 448; (2002) 64 DRJ 34</t>
        </is>
      </c>
      <c r="J1408" s="11" t="n">
        <v>2002</v>
      </c>
      <c r="K1408" s="2" t="inlineStr">
        <is>
          <t>Union of India (UOI) v. Prakash P. Hinduja and Another</t>
        </is>
      </c>
      <c r="L1408" s="11" t="inlineStr">
        <is>
          <t>Supreme Court</t>
        </is>
      </c>
      <c r="M1408" s="2" t="inlineStr">
        <is>
          <t>AIR 2003 SC 2612; (2003) CriLJ 3117; (2003) 5 JT 300; (2003) 5 SCALE 103; (2003) 6 SCC 195; (2003) 1 SCR 307 Supp; (2003) 2 UJ 1246; (2003) AIRSCW 6434; (2003) AIRSCW 3258; (2003) 8 Supreme 386; (2003) 4 Supreme 466</t>
        </is>
      </c>
      <c r="N1408" s="11" t="n">
        <v>2003</v>
      </c>
      <c r="O1408" s="11" t="n"/>
      <c r="P1408" s="11" t="n"/>
      <c r="Q1408" s="11" t="n"/>
      <c r="R1408" s="2" t="n"/>
      <c r="S1408" s="2" t="n"/>
      <c r="T1408" s="11" t="inlineStr">
        <is>
          <t>yes</t>
        </is>
      </c>
      <c r="U1408" s="11" t="inlineStr"/>
      <c r="V1408" s="11" t="inlineStr">
        <is>
          <t>outside_list</t>
        </is>
      </c>
      <c r="W1408" s="11" t="n"/>
      <c r="X1408" s="11" t="n"/>
      <c r="Y1408" s="11" t="n"/>
      <c r="Z1408" s="11" t="inlineStr">
        <is>
          <t>Mr. Advocate</t>
        </is>
      </c>
      <c r="AA1408" s="11" t="inlineStr">
        <is>
          <t>2026-10-07</t>
        </is>
      </c>
      <c r="AB1408" s="11" t="inlineStr">
        <is>
          <t>name_year</t>
        </is>
      </c>
      <c r="AC1408" s="2" t="inlineStr"/>
      <c r="AD1408" s="2" t="inlineStr">
        <is>
          <t>Sh. Prakash P. Hinduja v. Union of India (UOI) (2002) was reversed on appeal by the Supreme Court in Union of India (UOI) v. Prakash P. Hinduja and Another (2003).</t>
        </is>
      </c>
      <c r="AE1408" s="2" t="n"/>
      <c r="AF1408" s="11" t="inlineStr">
        <is>
          <t>created from list 1</t>
        </is>
      </c>
    </row>
    <row r="1409">
      <c r="A1409" s="11" t="inlineStr">
        <is>
          <t>L1-1408</t>
        </is>
      </c>
      <c r="B1409" s="11" t="inlineStr">
        <is>
          <t>List 1 (to ~2015)</t>
        </is>
      </c>
      <c r="C1409" s="11" t="inlineStr">
        <is>
          <t>list1</t>
        </is>
      </c>
      <c r="D1409" s="11" t="inlineStr">
        <is>
          <t>verified</t>
        </is>
      </c>
      <c r="E1409" s="11" t="inlineStr">
        <is>
          <t>reversed_on_appeal</t>
        </is>
      </c>
      <c r="F1409" s="2" t="inlineStr">
        <is>
          <t>S.S. Ranade v. Union of India and Another</t>
        </is>
      </c>
      <c r="G1409" s="11" t="inlineStr"/>
      <c r="H1409" s="11" t="inlineStr">
        <is>
          <t>unknown</t>
        </is>
      </c>
      <c r="I1409" s="2" t="inlineStr">
        <is>
          <t>(1994) 3 AD 1556; (1994) 31 DRJ 196; (1995) LabIC 790</t>
        </is>
      </c>
      <c r="J1409" s="11" t="n">
        <v>1994</v>
      </c>
      <c r="K1409" s="2" t="inlineStr">
        <is>
          <t>Union of India (UOI) and Another v. S.S. Ranade</t>
        </is>
      </c>
      <c r="L1409" s="11" t="inlineStr">
        <is>
          <t>Supreme Court</t>
        </is>
      </c>
      <c r="M1409" s="2" t="inlineStr">
        <is>
          <t>(1995) 71 FLR 492; (1995) 2 JT 582; (1995) 3 SCALE 65; (1995) 4 SCC 462; (1995) 3 SCR 773</t>
        </is>
      </c>
      <c r="N1409" s="11" t="n">
        <v>1995</v>
      </c>
      <c r="O1409" s="11" t="n"/>
      <c r="P1409" s="11" t="n"/>
      <c r="Q1409" s="11" t="n"/>
      <c r="R1409" s="2" t="n"/>
      <c r="S1409" s="2" t="n"/>
      <c r="T1409" s="11" t="inlineStr">
        <is>
          <t>yes</t>
        </is>
      </c>
      <c r="U1409" s="11" t="inlineStr"/>
      <c r="V1409" s="11" t="inlineStr">
        <is>
          <t>outside_list</t>
        </is>
      </c>
      <c r="W1409" s="11" t="n"/>
      <c r="X1409" s="11" t="n"/>
      <c r="Y1409" s="11" t="n"/>
      <c r="Z1409" s="11" t="inlineStr">
        <is>
          <t>Mr. Advocate</t>
        </is>
      </c>
      <c r="AA1409" s="11" t="inlineStr">
        <is>
          <t>2026-10-07</t>
        </is>
      </c>
      <c r="AB1409" s="11" t="inlineStr">
        <is>
          <t>name_year</t>
        </is>
      </c>
      <c r="AC1409" s="2" t="inlineStr"/>
      <c r="AD1409" s="2" t="inlineStr">
        <is>
          <t>S.S. Ranade v. Union of India and Another (1994) was reversed on appeal by the Supreme Court in Union of India (UOI) and Another v. S.S. Ranade (1995).</t>
        </is>
      </c>
      <c r="AE1409" s="2" t="n"/>
      <c r="AF1409" s="11" t="inlineStr">
        <is>
          <t>created from list 1</t>
        </is>
      </c>
    </row>
    <row r="1410">
      <c r="A1410" s="11" t="inlineStr">
        <is>
          <t>L1-1409</t>
        </is>
      </c>
      <c r="B1410" s="11" t="inlineStr">
        <is>
          <t>List 1 (to ~2015)</t>
        </is>
      </c>
      <c r="C1410" s="11" t="inlineStr">
        <is>
          <t>list1</t>
        </is>
      </c>
      <c r="D1410" s="11" t="inlineStr">
        <is>
          <t>verified</t>
        </is>
      </c>
      <c r="E1410" s="11" t="inlineStr">
        <is>
          <t>overruled</t>
        </is>
      </c>
      <c r="F1410" s="2" t="inlineStr">
        <is>
          <t>Madan Lal Lamba v. Tarlok Singh Sehgal</t>
        </is>
      </c>
      <c r="G1410" s="11" t="inlineStr"/>
      <c r="H1410" s="11" t="inlineStr">
        <is>
          <t>unknown</t>
        </is>
      </c>
      <c r="I1410" s="2" t="inlineStr">
        <is>
          <t>(1991) 43 DLT 624</t>
        </is>
      </c>
      <c r="J1410" s="11" t="n">
        <v>1991</v>
      </c>
      <c r="K1410" s="2" t="inlineStr">
        <is>
          <t>Anand Swaroop Vohra v. Bhim Sen Bahri and Another</t>
        </is>
      </c>
      <c r="L1410" s="11" t="inlineStr">
        <is>
          <t>Supreme Court</t>
        </is>
      </c>
      <c r="M1410" s="2" t="inlineStr">
        <is>
          <t>(1994) 4 JT 412; (1994) 3 SCALE 414; (1994) 5 SCC 372; (1994) 2 SCR 8 Supp; (1994) 2 UJ 405</t>
        </is>
      </c>
      <c r="N1410" s="11" t="n">
        <v>1994</v>
      </c>
      <c r="O1410" s="11" t="n"/>
      <c r="P1410" s="11" t="n"/>
      <c r="Q1410" s="11" t="n"/>
      <c r="R1410" s="2" t="n"/>
      <c r="S1410" s="2" t="n"/>
      <c r="T1410" s="11" t="inlineStr"/>
      <c r="U1410" s="11" t="inlineStr"/>
      <c r="V1410" s="11" t="inlineStr">
        <is>
          <t>outside_list</t>
        </is>
      </c>
      <c r="W1410" s="11" t="n"/>
      <c r="X1410" s="11" t="n"/>
      <c r="Y1410" s="11" t="n"/>
      <c r="Z1410" s="11" t="inlineStr">
        <is>
          <t>Mr. Advocate</t>
        </is>
      </c>
      <c r="AA1410" s="11" t="inlineStr">
        <is>
          <t>2026-10-07</t>
        </is>
      </c>
      <c r="AB1410" s="11" t="inlineStr">
        <is>
          <t>name_year</t>
        </is>
      </c>
      <c r="AC1410" s="2" t="inlineStr"/>
      <c r="AD1410" s="2" t="inlineStr">
        <is>
          <t>Madan Lal Lamba v. Tarlok Singh Sehgal (1991) was overruled by Anand Swaroop Vohra v. Bhim Sen Bahri and Another (1994).</t>
        </is>
      </c>
      <c r="AE1410" s="2" t="n"/>
      <c r="AF1410" s="11" t="inlineStr">
        <is>
          <t>created from list 1</t>
        </is>
      </c>
    </row>
    <row r="1411">
      <c r="A1411" s="11" t="inlineStr">
        <is>
          <t>L1-1410</t>
        </is>
      </c>
      <c r="B1411" s="11" t="inlineStr">
        <is>
          <t>List 1 (to ~2015)</t>
        </is>
      </c>
      <c r="C1411" s="11" t="inlineStr">
        <is>
          <t>list1</t>
        </is>
      </c>
      <c r="D1411" s="11" t="inlineStr">
        <is>
          <t>verified</t>
        </is>
      </c>
      <c r="E1411" s="11" t="inlineStr">
        <is>
          <t>reversed_on_appeal</t>
        </is>
      </c>
      <c r="F1411" s="2" t="inlineStr">
        <is>
          <t>K.C. Shukla v. Indian Airlines and Others</t>
        </is>
      </c>
      <c r="G1411" s="11" t="inlineStr"/>
      <c r="H1411" s="11" t="inlineStr">
        <is>
          <t>unknown</t>
        </is>
      </c>
      <c r="I1411" s="2" t="inlineStr">
        <is>
          <t>(1992) ILR Delhi 29</t>
        </is>
      </c>
      <c r="J1411" s="11" t="n">
        <v>1992</v>
      </c>
      <c r="K1411" s="2" t="inlineStr">
        <is>
          <t>Indian Airlines Corporation v. Capt. K.C. Shukla and Others</t>
        </is>
      </c>
      <c r="L1411" s="11" t="inlineStr">
        <is>
          <t>Supreme Court</t>
        </is>
      </c>
      <c r="M1411" s="2" t="inlineStr">
        <is>
          <t>(1992) 65 FLR 934; (1992) 5 JT 565; (1993) 1 LLJ 215; (1992) 2 SCALE 587; (1993) 1 SCC 17; (1992) 1 SCR 811 Supp; (1993) 2 SLJ 2; (1992) 2 UJ 796</t>
        </is>
      </c>
      <c r="N1411" s="11" t="n">
        <v>1992</v>
      </c>
      <c r="O1411" s="11" t="n"/>
      <c r="P1411" s="11" t="n"/>
      <c r="Q1411" s="11" t="n"/>
      <c r="R1411" s="2" t="n"/>
      <c r="S1411" s="2" t="n"/>
      <c r="T1411" s="11" t="inlineStr">
        <is>
          <t>yes</t>
        </is>
      </c>
      <c r="U1411" s="11" t="inlineStr"/>
      <c r="V1411" s="11" t="inlineStr">
        <is>
          <t>outside_list</t>
        </is>
      </c>
      <c r="W1411" s="11" t="n"/>
      <c r="X1411" s="11" t="n"/>
      <c r="Y1411" s="11" t="n"/>
      <c r="Z1411" s="11" t="inlineStr">
        <is>
          <t>Mr. Advocate</t>
        </is>
      </c>
      <c r="AA1411" s="11" t="inlineStr">
        <is>
          <t>2026-10-07</t>
        </is>
      </c>
      <c r="AB1411" s="11" t="inlineStr">
        <is>
          <t>name_year</t>
        </is>
      </c>
      <c r="AC1411" s="2" t="inlineStr"/>
      <c r="AD1411" s="2" t="inlineStr">
        <is>
          <t>K.C. Shukla v. Indian Airlines and Others (1992) was reversed on appeal by the Supreme Court in Indian Airlines Corporation v. Capt. K.C. Shukla and Others (1992).</t>
        </is>
      </c>
      <c r="AE1411" s="2" t="n"/>
      <c r="AF1411" s="11" t="inlineStr">
        <is>
          <t>created from list 1</t>
        </is>
      </c>
    </row>
    <row r="1412">
      <c r="A1412" s="11" t="inlineStr">
        <is>
          <t>L1-1411</t>
        </is>
      </c>
      <c r="B1412" s="11" t="inlineStr">
        <is>
          <t>List 1 (to ~2015)</t>
        </is>
      </c>
      <c r="C1412" s="11" t="inlineStr">
        <is>
          <t>list1</t>
        </is>
      </c>
      <c r="D1412" s="11" t="inlineStr">
        <is>
          <t>verified</t>
        </is>
      </c>
      <c r="E1412" s="11" t="inlineStr">
        <is>
          <t>reversed_on_appeal</t>
        </is>
      </c>
      <c r="F1412" s="2" t="inlineStr">
        <is>
          <t>Harish Kumar v. Union of India (UOI) and Others</t>
        </is>
      </c>
      <c r="G1412" s="11" t="inlineStr"/>
      <c r="H1412" s="11" t="inlineStr">
        <is>
          <t>unknown</t>
        </is>
      </c>
      <c r="I1412" s="2" t="inlineStr">
        <is>
          <t>(2005) 120 DLT 78; (2005) 82 DRJ 602</t>
        </is>
      </c>
      <c r="J1412" s="11" t="n">
        <v>2005</v>
      </c>
      <c r="K1412" s="2" t="inlineStr">
        <is>
          <t>Union of India (UOI) and Another v. Harish Kumar</t>
        </is>
      </c>
      <c r="L1412" s="11" t="inlineStr">
        <is>
          <t>Supreme Court</t>
        </is>
      </c>
      <c r="M1412" s="2" t="inlineStr">
        <is>
          <t>AIR 2007 SC 1430; (2008) 105 CLT 281; (2007) CriLJ 1815; (2007) 10 JT 254; (2007) 4 SCALE 261; (2008) 1 SCC 195; (2007) 4 SCR 994; (2007) AIRSCW 1820</t>
        </is>
      </c>
      <c r="N1412" s="11" t="n">
        <v>2007</v>
      </c>
      <c r="O1412" s="11" t="n"/>
      <c r="P1412" s="11" t="n"/>
      <c r="Q1412" s="11" t="n"/>
      <c r="R1412" s="2" t="n"/>
      <c r="S1412" s="2" t="n"/>
      <c r="T1412" s="11" t="inlineStr">
        <is>
          <t>yes</t>
        </is>
      </c>
      <c r="U1412" s="11" t="inlineStr"/>
      <c r="V1412" s="11" t="inlineStr">
        <is>
          <t>outside_list</t>
        </is>
      </c>
      <c r="W1412" s="11" t="n"/>
      <c r="X1412" s="11" t="n"/>
      <c r="Y1412" s="11" t="n"/>
      <c r="Z1412" s="11" t="inlineStr">
        <is>
          <t>Mr. Advocate</t>
        </is>
      </c>
      <c r="AA1412" s="11" t="inlineStr">
        <is>
          <t>2026-10-07</t>
        </is>
      </c>
      <c r="AB1412" s="11" t="inlineStr">
        <is>
          <t>name_year</t>
        </is>
      </c>
      <c r="AC1412" s="2" t="inlineStr"/>
      <c r="AD1412" s="2" t="inlineStr">
        <is>
          <t>Harish Kumar v. Union of India (UOI) and Others (2005) was reversed on appeal by the Supreme Court in Union of India (UOI) and Another v. Harish Kumar (2007).</t>
        </is>
      </c>
      <c r="AE1412" s="2" t="n"/>
      <c r="AF1412" s="11" t="inlineStr">
        <is>
          <t>created from list 1</t>
        </is>
      </c>
    </row>
    <row r="1413">
      <c r="A1413" s="11" t="inlineStr">
        <is>
          <t>L1-1412</t>
        </is>
      </c>
      <c r="B1413" s="11" t="inlineStr">
        <is>
          <t>List 1 (to ~2015)</t>
        </is>
      </c>
      <c r="C1413" s="11" t="inlineStr">
        <is>
          <t>list1</t>
        </is>
      </c>
      <c r="D1413" s="11" t="inlineStr">
        <is>
          <t>verified</t>
        </is>
      </c>
      <c r="E1413" s="11" t="inlineStr">
        <is>
          <t>reversed_on_appeal</t>
        </is>
      </c>
      <c r="F1413" s="2" t="inlineStr">
        <is>
          <t>Ramesh Chander v. Jagdish Chander and Others</t>
        </is>
      </c>
      <c r="G1413" s="11" t="inlineStr"/>
      <c r="H1413" s="11" t="inlineStr">
        <is>
          <t>unknown</t>
        </is>
      </c>
      <c r="I1413" s="2" t="inlineStr">
        <is>
          <t>(2001) 98 DLT 374</t>
        </is>
      </c>
      <c r="J1413" s="11" t="n">
        <v>2001</v>
      </c>
      <c r="K1413" s="2" t="inlineStr">
        <is>
          <t>Jagdish Chander v. Ramesh Chander and Others</t>
        </is>
      </c>
      <c r="L1413" s="11" t="inlineStr">
        <is>
          <t>Supreme Court</t>
        </is>
      </c>
      <c r="M1413" s="2" t="inlineStr">
        <is>
          <t>(2007) 2 ARBLR 302; (2007) 3 CompLJ 191; (2007) 6 JT 375; (2007) 147 PLR 18; (2007) 6 SCALE 325; (2007) 80 SCL 149; (2007) 5 SCR 720</t>
        </is>
      </c>
      <c r="N1413" s="11" t="n">
        <v>2007</v>
      </c>
      <c r="O1413" s="11" t="n"/>
      <c r="P1413" s="11" t="n"/>
      <c r="Q1413" s="11" t="n"/>
      <c r="R1413" s="2" t="n"/>
      <c r="S1413" s="2" t="n"/>
      <c r="T1413" s="11" t="inlineStr">
        <is>
          <t>yes</t>
        </is>
      </c>
      <c r="U1413" s="11" t="inlineStr"/>
      <c r="V1413" s="11" t="inlineStr">
        <is>
          <t>outside_list</t>
        </is>
      </c>
      <c r="W1413" s="11" t="n"/>
      <c r="X1413" s="11" t="n"/>
      <c r="Y1413" s="11" t="n"/>
      <c r="Z1413" s="11" t="inlineStr">
        <is>
          <t>Mr. Advocate</t>
        </is>
      </c>
      <c r="AA1413" s="11" t="inlineStr">
        <is>
          <t>2026-10-07</t>
        </is>
      </c>
      <c r="AB1413" s="11" t="inlineStr">
        <is>
          <t>name_year</t>
        </is>
      </c>
      <c r="AC1413" s="2" t="inlineStr"/>
      <c r="AD1413" s="2" t="inlineStr">
        <is>
          <t>Ramesh Chander v. Jagdish Chander and Others (2001) was reversed on appeal by the Supreme Court in Jagdish Chander v. Ramesh Chander and Others (2007).</t>
        </is>
      </c>
      <c r="AE1413" s="2" t="n"/>
      <c r="AF1413" s="11" t="inlineStr">
        <is>
          <t>created from list 1</t>
        </is>
      </c>
    </row>
    <row r="1414">
      <c r="A1414" s="11" t="inlineStr">
        <is>
          <t>L1-1413</t>
        </is>
      </c>
      <c r="B1414" s="11" t="inlineStr">
        <is>
          <t>List 1 (to ~2015)</t>
        </is>
      </c>
      <c r="C1414" s="11" t="inlineStr">
        <is>
          <t>list1</t>
        </is>
      </c>
      <c r="D1414" s="11" t="inlineStr">
        <is>
          <t>verified</t>
        </is>
      </c>
      <c r="E1414" s="11" t="inlineStr">
        <is>
          <t>overruled</t>
        </is>
      </c>
      <c r="F1414" s="2" t="inlineStr">
        <is>
          <t>M.P. Tewari v. Y.P. Chawla (ITO) and Others</t>
        </is>
      </c>
      <c r="G1414" s="11" t="inlineStr"/>
      <c r="H1414" s="11" t="inlineStr">
        <is>
          <t>unknown</t>
        </is>
      </c>
      <c r="I1414" s="2" t="inlineStr">
        <is>
          <t>(1991) 2 Crimes 241; (1991) 43 DLT 23; (1991) RLR 79; (1991) 58 TAXMAN 182</t>
        </is>
      </c>
      <c r="J1414" s="11" t="n">
        <v>1991</v>
      </c>
      <c r="K1414" s="2" t="inlineStr">
        <is>
          <t>Y.P. Chawla and others v. M.P. Tiwari and another</t>
        </is>
      </c>
      <c r="L1414" s="11" t="inlineStr">
        <is>
          <t>Supreme Court</t>
        </is>
      </c>
      <c r="M1414" s="2" t="inlineStr">
        <is>
          <t>AIR 1992 SC 1360; (1992) 2 CompLJ 36; (1992) 103 CTR 400; (1992) 195 ITR 607; (1992) 2 JT 429; (1992) 1 SCALE 760; (1992) 2 SCC 672; (1992) 2 SCR 440; (1992) 63 TAXMAN 538</t>
        </is>
      </c>
      <c r="N1414" s="11" t="n">
        <v>1992</v>
      </c>
      <c r="O1414" s="11" t="n"/>
      <c r="P1414" s="11" t="n"/>
      <c r="Q1414" s="11" t="n"/>
      <c r="R1414" s="2" t="n"/>
      <c r="S1414" s="2" t="n"/>
      <c r="T1414" s="11" t="inlineStr"/>
      <c r="U1414" s="11" t="inlineStr"/>
      <c r="V1414" s="11" t="inlineStr">
        <is>
          <t>outside_list</t>
        </is>
      </c>
      <c r="W1414" s="11" t="n"/>
      <c r="X1414" s="11" t="n"/>
      <c r="Y1414" s="11" t="n"/>
      <c r="Z1414" s="11" t="inlineStr">
        <is>
          <t>Mr. Advocate</t>
        </is>
      </c>
      <c r="AA1414" s="11" t="inlineStr">
        <is>
          <t>2026-10-07</t>
        </is>
      </c>
      <c r="AB1414" s="11" t="inlineStr">
        <is>
          <t>name_year</t>
        </is>
      </c>
      <c r="AC1414" s="2" t="inlineStr"/>
      <c r="AD1414" s="2" t="inlineStr">
        <is>
          <t>M.P. Tewari v. Y.P. Chawla (ITO) and Others (1991) was overruled by Y.P. Chawla and others v. M.P. Tiwari and another (1992).</t>
        </is>
      </c>
      <c r="AE1414" s="2" t="n"/>
      <c r="AF1414" s="11" t="inlineStr">
        <is>
          <t>created from list 1</t>
        </is>
      </c>
    </row>
    <row r="1415">
      <c r="A1415" s="11" t="inlineStr">
        <is>
          <t>L1-1414</t>
        </is>
      </c>
      <c r="B1415" s="11" t="inlineStr">
        <is>
          <t>List 1 (to ~2015)</t>
        </is>
      </c>
      <c r="C1415" s="11" t="inlineStr">
        <is>
          <t>list1</t>
        </is>
      </c>
      <c r="D1415" s="11" t="inlineStr">
        <is>
          <t>verified</t>
        </is>
      </c>
      <c r="E1415" s="11" t="inlineStr">
        <is>
          <t>overruled</t>
        </is>
      </c>
      <c r="F1415" s="2" t="inlineStr">
        <is>
          <t>Delhi Cloth and General Mills Co. Ltd. v. Hem Chand and Others</t>
        </is>
      </c>
      <c r="G1415" s="11" t="inlineStr"/>
      <c r="H1415" s="11" t="inlineStr">
        <is>
          <t>High Court/other (Delhi)</t>
        </is>
      </c>
      <c r="I1415" s="2" t="inlineStr">
        <is>
          <t>AIR 1972 Delhi 275; (1972) 8 DLT 473; (1972) 2 ILR Delhi 503; (1972) RLR 77</t>
        </is>
      </c>
      <c r="J1415" s="11" t="n">
        <v>1972</v>
      </c>
      <c r="K1415" s="2" t="inlineStr">
        <is>
          <t>Ram Murti v. Bhola Nath and Another</t>
        </is>
      </c>
      <c r="L1415" s="11" t="inlineStr">
        <is>
          <t>Supreme Court</t>
        </is>
      </c>
      <c r="M1415" s="2" t="inlineStr">
        <is>
          <t>AIR 1984 SC 1392; (1984) 1 SCALE 727; (1984) 3 SCC 111; (1984) 16 UJ 1094</t>
        </is>
      </c>
      <c r="N1415" s="11" t="n">
        <v>1984</v>
      </c>
      <c r="O1415" s="11" t="n"/>
      <c r="P1415" s="11" t="n"/>
      <c r="Q1415" s="11" t="n"/>
      <c r="R1415" s="2" t="n"/>
      <c r="S1415" s="2" t="n"/>
      <c r="T1415" s="11" t="inlineStr"/>
      <c r="U1415" s="11" t="inlineStr"/>
      <c r="V1415" s="11" t="inlineStr">
        <is>
          <t>outside_list</t>
        </is>
      </c>
      <c r="W1415" s="11" t="n"/>
      <c r="X1415" s="11" t="n"/>
      <c r="Y1415" s="11" t="n"/>
      <c r="Z1415" s="11" t="inlineStr">
        <is>
          <t>Mr. Advocate</t>
        </is>
      </c>
      <c r="AA1415" s="11" t="inlineStr">
        <is>
          <t>2026-10-07</t>
        </is>
      </c>
      <c r="AB1415" s="11" t="inlineStr">
        <is>
          <t>name_year</t>
        </is>
      </c>
      <c r="AC1415" s="2" t="inlineStr"/>
      <c r="AD1415" s="2" t="inlineStr">
        <is>
          <t>Delhi Cloth and General Mills Co. Ltd. v. Hem Chand and Others (1972) was overruled by Ram Murti v. Bhola Nath and Another (1984).</t>
        </is>
      </c>
      <c r="AE1415" s="2" t="n"/>
      <c r="AF1415" s="11" t="inlineStr">
        <is>
          <t>created from list 1</t>
        </is>
      </c>
    </row>
    <row r="1416">
      <c r="A1416" s="11" t="inlineStr">
        <is>
          <t>L1-1415</t>
        </is>
      </c>
      <c r="B1416" s="11" t="inlineStr">
        <is>
          <t>List 1 (to ~2015)</t>
        </is>
      </c>
      <c r="C1416" s="11" t="inlineStr">
        <is>
          <t>list1</t>
        </is>
      </c>
      <c r="D1416" s="11" t="inlineStr">
        <is>
          <t>verified</t>
        </is>
      </c>
      <c r="E1416" s="11" t="inlineStr">
        <is>
          <t>overruled</t>
        </is>
      </c>
      <c r="F1416" s="2" t="inlineStr">
        <is>
          <t>Gangu Singh, Ram Chander Singh, Mangat Singh and Harkesh Singh v. District Deputy Director of Consolidation, Consolidation Officer and Haji Ali Hasan</t>
        </is>
      </c>
      <c r="G1416" s="11" t="inlineStr"/>
      <c r="H1416" s="11" t="inlineStr">
        <is>
          <t>unknown</t>
        </is>
      </c>
      <c r="I1416" s="2" t="inlineStr">
        <is>
          <t>(2005) 4 AWC 3863</t>
        </is>
      </c>
      <c r="J1416" s="11" t="n">
        <v>2005</v>
      </c>
      <c r="K1416" s="2" t="inlineStr">
        <is>
          <t>Mazhar Hassan v. Gangu Singh and Others</t>
        </is>
      </c>
      <c r="L1416" s="11" t="inlineStr">
        <is>
          <t>unknown</t>
        </is>
      </c>
      <c r="M1416" s="2" t="inlineStr">
        <is>
          <t>(2008) 2 CLT 283; (2008) 1 JT 464; (2008) 1 SCALE 321; (2008) 4 SCC 38; (2008) AIRSCW 841; (2008) 1 Supreme 55</t>
        </is>
      </c>
      <c r="N1416" s="11" t="n">
        <v>2008</v>
      </c>
      <c r="O1416" s="11" t="n"/>
      <c r="P1416" s="11" t="n"/>
      <c r="Q1416" s="11" t="n"/>
      <c r="R1416" s="2" t="n"/>
      <c r="S1416" s="2" t="n"/>
      <c r="T1416" s="11" t="inlineStr"/>
      <c r="U1416" s="11" t="inlineStr"/>
      <c r="V1416" s="11" t="inlineStr">
        <is>
          <t>outside_list</t>
        </is>
      </c>
      <c r="W1416" s="11" t="n"/>
      <c r="X1416" s="11" t="n"/>
      <c r="Y1416" s="11" t="n"/>
      <c r="Z1416" s="11" t="inlineStr">
        <is>
          <t>Mr. Advocate</t>
        </is>
      </c>
      <c r="AA1416" s="11" t="inlineStr">
        <is>
          <t>2026-10-07</t>
        </is>
      </c>
      <c r="AB1416" s="11" t="inlineStr">
        <is>
          <t>name_year</t>
        </is>
      </c>
      <c r="AC1416" s="2" t="inlineStr"/>
      <c r="AD1416" s="2" t="inlineStr">
        <is>
          <t>Gangu Singh, Ram Chander Singh, Mangat Singh and Harkesh Singh v. District Deputy Director of Consolidation, Consolidation Officer and Haji Ali Hasan (2005) was overruled by Mazhar Hassan v. Gangu Singh and Others (2008).</t>
        </is>
      </c>
      <c r="AE1416" s="2" t="n"/>
      <c r="AF1416" s="11" t="inlineStr">
        <is>
          <t>created from list 1</t>
        </is>
      </c>
    </row>
    <row r="1417">
      <c r="A1417" s="11" t="inlineStr">
        <is>
          <t>L1-1416</t>
        </is>
      </c>
      <c r="B1417" s="11" t="inlineStr">
        <is>
          <t>List 1 (to ~2015)</t>
        </is>
      </c>
      <c r="C1417" s="11" t="inlineStr">
        <is>
          <t>list1</t>
        </is>
      </c>
      <c r="D1417" s="11" t="inlineStr">
        <is>
          <t>verified</t>
        </is>
      </c>
      <c r="E1417" s="11" t="inlineStr">
        <is>
          <t>overruled</t>
        </is>
      </c>
      <c r="F1417" s="2" t="inlineStr">
        <is>
          <t>Trishul Impex v. Union of India</t>
        </is>
      </c>
      <c r="G1417" s="11" t="inlineStr"/>
      <c r="H1417" s="11" t="inlineStr">
        <is>
          <t>unknown</t>
        </is>
      </c>
      <c r="I1417" s="2" t="inlineStr">
        <is>
          <t>(1991) 32 ECC 342; (1991) 34 ECR 161; (1992) 58 ELT 182; (1991) ILR Delhi 443</t>
        </is>
      </c>
      <c r="J1417" s="11" t="n">
        <v>1991</v>
      </c>
      <c r="K1417" s="2" t="inlineStr">
        <is>
          <t>International Airports Authority of India and Others v. Grand Slam International and Others</t>
        </is>
      </c>
      <c r="L1417" s="11" t="inlineStr">
        <is>
          <t>Supreme Court</t>
        </is>
      </c>
      <c r="M1417" s="2" t="inlineStr">
        <is>
          <t>(1995) 50 ECC 4; (1995) ECR 209; (1995) 77 ELT 753; (1995) 2 JT 452; (1995) 1 SCALE 859; (1995) 3 SCC 151; (1995) 2 SCR 149</t>
        </is>
      </c>
      <c r="N1417" s="11" t="n">
        <v>1995</v>
      </c>
      <c r="O1417" s="11" t="n"/>
      <c r="P1417" s="11" t="n"/>
      <c r="Q1417" s="11" t="n"/>
      <c r="R1417" s="2" t="n"/>
      <c r="S1417" s="2" t="n"/>
      <c r="T1417" s="11" t="inlineStr"/>
      <c r="U1417" s="11" t="inlineStr"/>
      <c r="V1417" s="11" t="inlineStr">
        <is>
          <t>outside_list</t>
        </is>
      </c>
      <c r="W1417" s="11" t="n"/>
      <c r="X1417" s="11" t="n"/>
      <c r="Y1417" s="11" t="n"/>
      <c r="Z1417" s="11" t="inlineStr">
        <is>
          <t>Mr. Advocate</t>
        </is>
      </c>
      <c r="AA1417" s="11" t="inlineStr">
        <is>
          <t>2026-10-07</t>
        </is>
      </c>
      <c r="AB1417" s="11" t="inlineStr">
        <is>
          <t>name_year</t>
        </is>
      </c>
      <c r="AC1417" s="2" t="inlineStr"/>
      <c r="AD1417" s="2" t="inlineStr">
        <is>
          <t>Trishul Impex v. Union of India (1991) was overruled by International Airports Authority of India and Others v. Grand Slam International and Others (1995).</t>
        </is>
      </c>
      <c r="AE1417" s="2" t="n"/>
      <c r="AF1417" s="11" t="inlineStr">
        <is>
          <t>created from list 1</t>
        </is>
      </c>
    </row>
    <row r="1418">
      <c r="A1418" s="11" t="inlineStr">
        <is>
          <t>L1-1417</t>
        </is>
      </c>
      <c r="B1418" s="11" t="inlineStr">
        <is>
          <t>List 1 (to ~2015)</t>
        </is>
      </c>
      <c r="C1418" s="11" t="inlineStr">
        <is>
          <t>list1</t>
        </is>
      </c>
      <c r="D1418" s="11" t="inlineStr">
        <is>
          <t>verified</t>
        </is>
      </c>
      <c r="E1418" s="11" t="inlineStr">
        <is>
          <t>reversed_on_appeal</t>
        </is>
      </c>
      <c r="F1418" s="2" t="inlineStr">
        <is>
          <t>Shiv Shankar Kapoor v. Amar Bose</t>
        </is>
      </c>
      <c r="G1418" s="11" t="inlineStr"/>
      <c r="H1418" s="11" t="inlineStr">
        <is>
          <t>unknown</t>
        </is>
      </c>
      <c r="I1418" s="2" t="inlineStr">
        <is>
          <t>(1987) 33 DLT 92</t>
        </is>
      </c>
      <c r="J1418" s="11" t="n">
        <v>1987</v>
      </c>
      <c r="K1418" s="2" t="inlineStr">
        <is>
          <t>Shiv Chander Kapoor v. Amar Bose</t>
        </is>
      </c>
      <c r="L1418" s="11" t="inlineStr">
        <is>
          <t>Supreme Court</t>
        </is>
      </c>
      <c r="M1418" s="2" t="inlineStr">
        <is>
          <t>AIR 1990 SC 325; (1989) 2 SCALE 1168; (1990) 1 SCC 234; (1989) 2 SCR 299 Supp</t>
        </is>
      </c>
      <c r="N1418" s="11" t="n">
        <v>1990</v>
      </c>
      <c r="O1418" s="11" t="n"/>
      <c r="P1418" s="11" t="n"/>
      <c r="Q1418" s="11" t="n"/>
      <c r="R1418" s="2" t="n"/>
      <c r="S1418" s="2" t="n"/>
      <c r="T1418" s="11" t="inlineStr">
        <is>
          <t>yes</t>
        </is>
      </c>
      <c r="U1418" s="11" t="inlineStr"/>
      <c r="V1418" s="11" t="inlineStr">
        <is>
          <t>outside_list</t>
        </is>
      </c>
      <c r="W1418" s="11" t="n"/>
      <c r="X1418" s="11" t="n"/>
      <c r="Y1418" s="11" t="n"/>
      <c r="Z1418" s="11" t="inlineStr">
        <is>
          <t>Mr. Advocate</t>
        </is>
      </c>
      <c r="AA1418" s="11" t="inlineStr">
        <is>
          <t>2026-10-07</t>
        </is>
      </c>
      <c r="AB1418" s="11" t="inlineStr">
        <is>
          <t>name_year</t>
        </is>
      </c>
      <c r="AC1418" s="2" t="inlineStr"/>
      <c r="AD1418" s="2" t="inlineStr">
        <is>
          <t>Shiv Shankar Kapoor v. Amar Bose (1987) was reversed on appeal by the Supreme Court in Shiv Chander Kapoor v. Amar Bose (1990).</t>
        </is>
      </c>
      <c r="AE1418" s="2" t="n"/>
      <c r="AF1418" s="11" t="inlineStr">
        <is>
          <t>created from list 1</t>
        </is>
      </c>
    </row>
    <row r="1419">
      <c r="A1419" s="11" t="inlineStr">
        <is>
          <t>L1-1418</t>
        </is>
      </c>
      <c r="B1419" s="11" t="inlineStr">
        <is>
          <t>List 1 (to ~2015)</t>
        </is>
      </c>
      <c r="C1419" s="11" t="inlineStr">
        <is>
          <t>list1</t>
        </is>
      </c>
      <c r="D1419" s="11" t="inlineStr">
        <is>
          <t>verified</t>
        </is>
      </c>
      <c r="E1419" s="11" t="inlineStr">
        <is>
          <t>reversed_on_appeal</t>
        </is>
      </c>
      <c r="F1419" s="2" t="inlineStr">
        <is>
          <t>Upper Deab Sugar Mills Ltd v. The Company Law Board</t>
        </is>
      </c>
      <c r="G1419" s="11" t="inlineStr"/>
      <c r="H1419" s="11" t="inlineStr">
        <is>
          <t>unknown</t>
        </is>
      </c>
      <c r="I1419" s="2" t="inlineStr">
        <is>
          <t>(1971) 41 CompCas 643; (1971) ILR Delhi 462</t>
        </is>
      </c>
      <c r="J1419" s="11" t="n">
        <v>1971</v>
      </c>
      <c r="K1419" s="2" t="inlineStr">
        <is>
          <t>The Company Law Board v. The Upper Doab Sugar Mills Ltd. and Others</t>
        </is>
      </c>
      <c r="L1419" s="11" t="inlineStr">
        <is>
          <t>Supreme Court</t>
        </is>
      </c>
      <c r="M1419" s="2" t="inlineStr">
        <is>
          <t>AIR 1977 SC 831; (1977) 47 CompCas 173; (1977) 2 SCC 198; (1977) 2 SCR 503; (1977) 9 UJ 79</t>
        </is>
      </c>
      <c r="N1419" s="11" t="n">
        <v>1977</v>
      </c>
      <c r="O1419" s="11" t="n"/>
      <c r="P1419" s="11" t="n"/>
      <c r="Q1419" s="11" t="n"/>
      <c r="R1419" s="2" t="n"/>
      <c r="S1419" s="2" t="n"/>
      <c r="T1419" s="11" t="inlineStr">
        <is>
          <t>yes</t>
        </is>
      </c>
      <c r="U1419" s="11" t="inlineStr"/>
      <c r="V1419" s="11" t="inlineStr">
        <is>
          <t>outside_list</t>
        </is>
      </c>
      <c r="W1419" s="11" t="n"/>
      <c r="X1419" s="11" t="n"/>
      <c r="Y1419" s="11" t="n"/>
      <c r="Z1419" s="11" t="inlineStr">
        <is>
          <t>Mr. Advocate</t>
        </is>
      </c>
      <c r="AA1419" s="11" t="inlineStr">
        <is>
          <t>2026-10-07</t>
        </is>
      </c>
      <c r="AB1419" s="11" t="inlineStr">
        <is>
          <t>name_year</t>
        </is>
      </c>
      <c r="AC1419" s="2" t="inlineStr"/>
      <c r="AD1419" s="2" t="inlineStr">
        <is>
          <t>Upper Deab Sugar Mills Ltd v. The Company Law Board (1971) was reversed on appeal by the Supreme Court in The Company Law Board v. The Upper Doab Sugar Mills Ltd. and Others (1977).</t>
        </is>
      </c>
      <c r="AE1419" s="2" t="n"/>
      <c r="AF1419" s="11" t="inlineStr">
        <is>
          <t>created from list 1</t>
        </is>
      </c>
    </row>
    <row r="1420">
      <c r="A1420" s="11" t="inlineStr">
        <is>
          <t>L1-1419</t>
        </is>
      </c>
      <c r="B1420" s="11" t="inlineStr">
        <is>
          <t>List 1 (to ~2015)</t>
        </is>
      </c>
      <c r="C1420" s="11" t="inlineStr">
        <is>
          <t>list1</t>
        </is>
      </c>
      <c r="D1420" s="11" t="inlineStr">
        <is>
          <t>verified</t>
        </is>
      </c>
      <c r="E1420" s="11" t="inlineStr">
        <is>
          <t>overruled</t>
        </is>
      </c>
      <c r="F1420" s="2" t="inlineStr">
        <is>
          <t>Sanghi Motors v. Union of India and others</t>
        </is>
      </c>
      <c r="G1420" s="11" t="inlineStr"/>
      <c r="H1420" s="11" t="inlineStr">
        <is>
          <t>unknown</t>
        </is>
      </c>
      <c r="I1420" s="2" t="inlineStr">
        <is>
          <t>(1991) 91 CTR 15; (1991) 187 ITR 703; (1991) 59 TAXMAN 163</t>
        </is>
      </c>
      <c r="J1420" s="11" t="n">
        <v>1991</v>
      </c>
      <c r="K1420" s="2" t="inlineStr">
        <is>
          <t>Allied Motors (P.) Ltd. v. Commissioner of Income Tax, Delhi</t>
        </is>
      </c>
      <c r="L1420" s="11" t="inlineStr">
        <is>
          <t>Supreme Court</t>
        </is>
      </c>
      <c r="M1420" s="2" t="inlineStr">
        <is>
          <t>AIR 1997 SC 1361; (1997) 224 ITR 677; (1997) 3 JT 418; (1997) 2 SCALE 575; (1997) 3 SCC 472; (1997) 2 SCR 780; (1997) 91 TAXMAN 205; (1997) AIRSCW 1473; (1997) 3 Supreme 255</t>
        </is>
      </c>
      <c r="N1420" s="11" t="n">
        <v>1997</v>
      </c>
      <c r="O1420" s="11" t="n"/>
      <c r="P1420" s="11" t="n"/>
      <c r="Q1420" s="11" t="n"/>
      <c r="R1420" s="2" t="n"/>
      <c r="S1420" s="2" t="n"/>
      <c r="T1420" s="11" t="inlineStr"/>
      <c r="U1420" s="11" t="inlineStr"/>
      <c r="V1420" s="11" t="inlineStr">
        <is>
          <t>outside_list</t>
        </is>
      </c>
      <c r="W1420" s="11" t="n"/>
      <c r="X1420" s="11" t="n"/>
      <c r="Y1420" s="11" t="n"/>
      <c r="Z1420" s="11" t="inlineStr">
        <is>
          <t>Mr. Advocate</t>
        </is>
      </c>
      <c r="AA1420" s="11" t="inlineStr">
        <is>
          <t>2026-10-07</t>
        </is>
      </c>
      <c r="AB1420" s="11" t="inlineStr">
        <is>
          <t>name_year</t>
        </is>
      </c>
      <c r="AC1420" s="2" t="inlineStr"/>
      <c r="AD1420" s="2" t="inlineStr">
        <is>
          <t>Sanghi Motors v. Union of India and others (1991) was overruled by Allied Motors (P.) Ltd. v. Commissioner of Income Tax, Delhi (1997).</t>
        </is>
      </c>
      <c r="AE1420" s="2" t="n"/>
      <c r="AF1420" s="11" t="inlineStr">
        <is>
          <t>created from list 1</t>
        </is>
      </c>
    </row>
    <row r="1421">
      <c r="A1421" s="11" t="inlineStr">
        <is>
          <t>L1-1420</t>
        </is>
      </c>
      <c r="B1421" s="11" t="inlineStr">
        <is>
          <t>List 1 (to ~2015)</t>
        </is>
      </c>
      <c r="C1421" s="11" t="inlineStr">
        <is>
          <t>list1</t>
        </is>
      </c>
      <c r="D1421" s="11" t="inlineStr">
        <is>
          <t>verified</t>
        </is>
      </c>
      <c r="E1421" s="11" t="inlineStr">
        <is>
          <t>overruled</t>
        </is>
      </c>
      <c r="F1421" s="2" t="inlineStr">
        <is>
          <t>Vashist Bhargava v. Income Tax Officer, Salary Circle</t>
        </is>
      </c>
      <c r="G1421" s="11" t="inlineStr"/>
      <c r="H1421" s="11" t="inlineStr">
        <is>
          <t>unknown</t>
        </is>
      </c>
      <c r="I1421" s="2" t="inlineStr">
        <is>
          <t>(1975) ILR Delhi 634; (1975) 99 ITR 148</t>
        </is>
      </c>
      <c r="J1421" s="11" t="n">
        <v>1975</v>
      </c>
      <c r="K1421" s="2" t="inlineStr">
        <is>
          <t>Indian and Eastern Newspaper Society, New Delhi v. Commissioner of Income Tax, New Delhi</t>
        </is>
      </c>
      <c r="L1421" s="11" t="inlineStr">
        <is>
          <t>Supreme Court</t>
        </is>
      </c>
      <c r="M1421" s="2" t="inlineStr">
        <is>
          <t>AIR 1979 SC 1960; (1979) 12 CTR 190; (1979) 119 ITR 996; (1979) 4 SCC 248; (1980) 1 SCR 442; (1979) 2 TAXMAN 197; (1980) 12 UJ 305</t>
        </is>
      </c>
      <c r="N1421" s="11" t="n">
        <v>1979</v>
      </c>
      <c r="O1421" s="11" t="n"/>
      <c r="P1421" s="11" t="n"/>
      <c r="Q1421" s="11" t="n"/>
      <c r="R1421" s="2" t="n"/>
      <c r="S1421" s="2" t="n"/>
      <c r="T1421" s="11" t="inlineStr"/>
      <c r="U1421" s="11" t="inlineStr"/>
      <c r="V1421" s="11" t="inlineStr">
        <is>
          <t>outside_list</t>
        </is>
      </c>
      <c r="W1421" s="11" t="n"/>
      <c r="X1421" s="11" t="n"/>
      <c r="Y1421" s="11" t="n"/>
      <c r="Z1421" s="11" t="inlineStr">
        <is>
          <t>Mr. Advocate</t>
        </is>
      </c>
      <c r="AA1421" s="11" t="inlineStr">
        <is>
          <t>2026-10-07</t>
        </is>
      </c>
      <c r="AB1421" s="11" t="inlineStr">
        <is>
          <t>name_year</t>
        </is>
      </c>
      <c r="AC1421" s="2" t="inlineStr"/>
      <c r="AD1421" s="2" t="inlineStr">
        <is>
          <t>Vashist Bhargava v. Income Tax Officer, Salary Circle (1975) was overruled by Indian and Eastern Newspaper Society, New Delhi v. Commissioner of Income Tax, New Delhi (1979).</t>
        </is>
      </c>
      <c r="AE1421" s="2" t="n"/>
      <c r="AF1421" s="11" t="inlineStr">
        <is>
          <t>created from list 1</t>
        </is>
      </c>
    </row>
    <row r="1422">
      <c r="A1422" s="11" t="inlineStr">
        <is>
          <t>L1-1421</t>
        </is>
      </c>
      <c r="B1422" s="11" t="inlineStr">
        <is>
          <t>List 1 (to ~2015)</t>
        </is>
      </c>
      <c r="C1422" s="11" t="inlineStr">
        <is>
          <t>list1</t>
        </is>
      </c>
      <c r="D1422" s="11" t="inlineStr">
        <is>
          <t>verified</t>
        </is>
      </c>
      <c r="E1422" s="11" t="inlineStr">
        <is>
          <t>overruled</t>
        </is>
      </c>
      <c r="F1422" s="2" t="inlineStr">
        <is>
          <t>Bhankerpur Simbhaoli Beverages Pvt. Ltd. v. The Company Law Board and Others</t>
        </is>
      </c>
      <c r="G1422" s="11" t="inlineStr"/>
      <c r="H1422" s="11" t="inlineStr">
        <is>
          <t>unknown</t>
        </is>
      </c>
      <c r="I1422" s="2" t="inlineStr">
        <is>
          <t>(1994) 79 CompCas 131; (1993) 51 DLT 483; (1993) 26 DRJ 584; (1994) 1 ILR Delhi 72</t>
        </is>
      </c>
      <c r="J1422" s="11" t="n">
        <v>1993</v>
      </c>
      <c r="K1422" s="2" t="inlineStr">
        <is>
          <t>Stridewell Leathers (P) Ltd. and others v. Bhankerpur Simbhaoli Beverages (P) Ltd.</t>
        </is>
      </c>
      <c r="L1422" s="11" t="inlineStr">
        <is>
          <t>Supreme Court</t>
        </is>
      </c>
      <c r="M1422" s="2" t="inlineStr">
        <is>
          <t>AIR 1994 SC 158; (1993) 79 CompCas 139; (1993) 5 JT 684; (1993) 4 SCALE 7; (1994) 1 SCC 34; (1993) 2 SCR 645 Supp; (1994) 1 UJ 140</t>
        </is>
      </c>
      <c r="N1422" s="11" t="n">
        <v>1994</v>
      </c>
      <c r="O1422" s="11" t="n"/>
      <c r="P1422" s="11" t="n"/>
      <c r="Q1422" s="11" t="n"/>
      <c r="R1422" s="2" t="n"/>
      <c r="S1422" s="2" t="n"/>
      <c r="T1422" s="11" t="inlineStr"/>
      <c r="U1422" s="11" t="inlineStr"/>
      <c r="V1422" s="11" t="inlineStr">
        <is>
          <t>outside_list</t>
        </is>
      </c>
      <c r="W1422" s="11" t="n"/>
      <c r="X1422" s="11" t="n"/>
      <c r="Y1422" s="11" t="n"/>
      <c r="Z1422" s="11" t="inlineStr">
        <is>
          <t>Mr. Advocate</t>
        </is>
      </c>
      <c r="AA1422" s="11" t="inlineStr">
        <is>
          <t>2026-10-07</t>
        </is>
      </c>
      <c r="AB1422" s="11" t="inlineStr">
        <is>
          <t>name_year</t>
        </is>
      </c>
      <c r="AC1422" s="2" t="inlineStr"/>
      <c r="AD1422" s="2" t="inlineStr">
        <is>
          <t>Bhankerpur Simbhaoli Beverages Pvt. Ltd. v. The Company Law Board and Others (1993) was overruled by Stridewell Leathers (P) Ltd. and others v. Bhankerpur Simbhaoli Beverages (P) Ltd. (1994).</t>
        </is>
      </c>
      <c r="AE1422" s="2" t="n"/>
      <c r="AF1422" s="11" t="inlineStr">
        <is>
          <t>created from list 1</t>
        </is>
      </c>
    </row>
    <row r="1423">
      <c r="A1423" s="11" t="inlineStr">
        <is>
          <t>L1-1422</t>
        </is>
      </c>
      <c r="B1423" s="11" t="inlineStr">
        <is>
          <t>List 1 (to ~2015)</t>
        </is>
      </c>
      <c r="C1423" s="11" t="inlineStr">
        <is>
          <t>list1</t>
        </is>
      </c>
      <c r="D1423" s="11" t="inlineStr">
        <is>
          <t>verified</t>
        </is>
      </c>
      <c r="E1423" s="11" t="inlineStr">
        <is>
          <t>overruled</t>
        </is>
      </c>
      <c r="F1423" s="2" t="inlineStr">
        <is>
          <t>Paras Laminates (P) Ltd. v. Customs, Excise and Gold (Control) Appellate Tribunal and Another</t>
        </is>
      </c>
      <c r="G1423" s="11" t="inlineStr"/>
      <c r="H1423" s="11" t="inlineStr">
        <is>
          <t>unknown</t>
        </is>
      </c>
      <c r="I1423" s="2" t="inlineStr">
        <is>
          <t>(1990) 68 CompCas 72; (1990) 40 DLT 179; (1990) 26 ECC 109; (1990) 26 ECR 483; (1990) 45 ELT 521; (1988) RLR 445(1)</t>
        </is>
      </c>
      <c r="J1423" s="11" t="n">
        <v>1988</v>
      </c>
      <c r="K1423" s="2" t="inlineStr">
        <is>
          <t>Union of India and another v. Paras Laminates (P) Ltd.</t>
        </is>
      </c>
      <c r="L1423" s="11" t="inlineStr">
        <is>
          <t>Supreme Court</t>
        </is>
      </c>
      <c r="M1423" s="2" t="inlineStr">
        <is>
          <t>AIR 1991 SC 696; (1990) 87 CTR 180; (1990) 30 ECR 305; (1990) 49 ELT 322; (1990) 186 ITR 722; (1990) 3 JT 510; (1990) 2 SCALE 283; (1990) 4 SCC 453; (1990) 3 SCR 789; (1991) 80 STC 263; (1990) 2 UJ 557</t>
        </is>
      </c>
      <c r="N1423" s="11" t="n">
        <v>1991</v>
      </c>
      <c r="O1423" s="11" t="n"/>
      <c r="P1423" s="11" t="n"/>
      <c r="Q1423" s="11" t="n"/>
      <c r="R1423" s="2" t="n"/>
      <c r="S1423" s="2" t="n"/>
      <c r="T1423" s="11" t="inlineStr"/>
      <c r="U1423" s="11" t="inlineStr"/>
      <c r="V1423" s="11" t="inlineStr">
        <is>
          <t>outside_list</t>
        </is>
      </c>
      <c r="W1423" s="11" t="n"/>
      <c r="X1423" s="11" t="n"/>
      <c r="Y1423" s="11" t="n"/>
      <c r="Z1423" s="11" t="inlineStr">
        <is>
          <t>Mr. Advocate</t>
        </is>
      </c>
      <c r="AA1423" s="11" t="inlineStr">
        <is>
          <t>2026-10-07</t>
        </is>
      </c>
      <c r="AB1423" s="11" t="inlineStr">
        <is>
          <t>name_year</t>
        </is>
      </c>
      <c r="AC1423" s="2" t="inlineStr"/>
      <c r="AD1423" s="2" t="inlineStr">
        <is>
          <t>Paras Laminates (P) Ltd. v. Customs, Excise and Gold (Control) Appellate Tribunal and Another (1988) was overruled by Union of India and another v. Paras Laminates (P) Ltd. (1991).</t>
        </is>
      </c>
      <c r="AE1423" s="2" t="n"/>
      <c r="AF1423" s="11" t="inlineStr">
        <is>
          <t>created from list 1</t>
        </is>
      </c>
    </row>
    <row r="1424">
      <c r="A1424" s="11" t="inlineStr">
        <is>
          <t>L1-1423</t>
        </is>
      </c>
      <c r="B1424" s="11" t="inlineStr">
        <is>
          <t>List 1 (to ~2015)</t>
        </is>
      </c>
      <c r="C1424" s="11" t="inlineStr">
        <is>
          <t>list1</t>
        </is>
      </c>
      <c r="D1424" s="11" t="inlineStr">
        <is>
          <t>verified</t>
        </is>
      </c>
      <c r="E1424" s="11" t="inlineStr">
        <is>
          <t>reversed_on_appeal</t>
        </is>
      </c>
      <c r="F1424" s="2" t="inlineStr">
        <is>
          <t>Harman Electronics P. Ltd. v. National Panasonic India Ltd.</t>
        </is>
      </c>
      <c r="G1424" s="11" t="inlineStr"/>
      <c r="H1424" s="11" t="inlineStr">
        <is>
          <t>unknown</t>
        </is>
      </c>
      <c r="I1424" s="2" t="inlineStr">
        <is>
          <t>(2004) 2 BC 535; (2004) 110 DLT 138; (2004) 73 DRJ 307</t>
        </is>
      </c>
      <c r="J1424" s="11" t="n">
        <v>2004</v>
      </c>
      <c r="K1424" s="2" t="inlineStr">
        <is>
          <t>Harman Electronics (P) Ltd. and Another v. National Panasonic India Ltd.</t>
        </is>
      </c>
      <c r="L1424" s="11" t="inlineStr">
        <is>
          <t>Supreme Court</t>
        </is>
      </c>
      <c r="M1424" s="2" t="inlineStr">
        <is>
          <t>(2009) 2 AD 21; AIR 2009 SC 1168; (2009) 1 CompLJ 29; (2009) CriLJ 1109; (2008) 13 JT 671; (2009) 153 PLR 525; (2008) 16 SCALE 317; (2009) 1 SCC 720; (2009) AIRSCW 410</t>
        </is>
      </c>
      <c r="N1424" s="11" t="n">
        <v>2009</v>
      </c>
      <c r="O1424" s="11" t="n"/>
      <c r="P1424" s="11" t="n"/>
      <c r="Q1424" s="11" t="n"/>
      <c r="R1424" s="2" t="n"/>
      <c r="S1424" s="2" t="n"/>
      <c r="T1424" s="11" t="inlineStr">
        <is>
          <t>yes</t>
        </is>
      </c>
      <c r="U1424" s="11" t="inlineStr"/>
      <c r="V1424" s="11" t="inlineStr">
        <is>
          <t>outside_list</t>
        </is>
      </c>
      <c r="W1424" s="11" t="n"/>
      <c r="X1424" s="11" t="n"/>
      <c r="Y1424" s="11" t="n"/>
      <c r="Z1424" s="11" t="inlineStr">
        <is>
          <t>Mr. Advocate</t>
        </is>
      </c>
      <c r="AA1424" s="11" t="inlineStr">
        <is>
          <t>2026-10-07</t>
        </is>
      </c>
      <c r="AB1424" s="11" t="inlineStr">
        <is>
          <t>name_year</t>
        </is>
      </c>
      <c r="AC1424" s="2" t="inlineStr"/>
      <c r="AD1424" s="2" t="inlineStr">
        <is>
          <t>Harman Electronics P. Ltd. v. National Panasonic India Ltd. (2004) was reversed on appeal by the Supreme Court in Harman Electronics (P) Ltd. and Another v. National Panasonic India Ltd. (2009).</t>
        </is>
      </c>
      <c r="AE1424" s="2" t="n"/>
      <c r="AF1424" s="11" t="inlineStr">
        <is>
          <t>created from list 1</t>
        </is>
      </c>
    </row>
    <row r="1425">
      <c r="A1425" s="11" t="inlineStr">
        <is>
          <t>L1-1424</t>
        </is>
      </c>
      <c r="B1425" s="11" t="inlineStr">
        <is>
          <t>List 1 (to ~2015)</t>
        </is>
      </c>
      <c r="C1425" s="11" t="inlineStr">
        <is>
          <t>list1</t>
        </is>
      </c>
      <c r="D1425" s="11" t="inlineStr">
        <is>
          <t>verified</t>
        </is>
      </c>
      <c r="E1425" s="11" t="inlineStr">
        <is>
          <t>reversed_on_appeal</t>
        </is>
      </c>
      <c r="F1425" s="2" t="inlineStr">
        <is>
          <t>Hansa Industries Pvt. Ltd. and Others v. Kidarsons Industries P. Ltd. and Others</t>
        </is>
      </c>
      <c r="G1425" s="11" t="inlineStr"/>
      <c r="H1425" s="11" t="inlineStr">
        <is>
          <t>unknown</t>
        </is>
      </c>
      <c r="I1425" s="2" t="inlineStr">
        <is>
          <t>(1998) 3 AD 27; (1998) 94 CompCas 552; (1998) 45 DRJ 149</t>
        </is>
      </c>
      <c r="J1425" s="11" t="n">
        <v>1998</v>
      </c>
      <c r="K1425" s="2" t="inlineStr">
        <is>
          <t>Hansa Industries Pvt. Ltd. and Others v. Kidarsons Industries Pvt. Ltd.</t>
        </is>
      </c>
      <c r="L1425" s="11" t="inlineStr">
        <is>
          <t>Supreme Court</t>
        </is>
      </c>
      <c r="M1425" s="2" t="inlineStr">
        <is>
          <t>AIR 2007 SC 18; (2006) 134 CompCas 1; (2006) 9 JT 100; (2006) 10 SCALE 170; (2006) 8 SCC 531; (2006) 72 SCL 117; (2006) 7 SCR 235 Supp</t>
        </is>
      </c>
      <c r="N1425" s="11" t="n">
        <v>2007</v>
      </c>
      <c r="O1425" s="11" t="n"/>
      <c r="P1425" s="11" t="n"/>
      <c r="Q1425" s="11" t="n"/>
      <c r="R1425" s="2" t="n"/>
      <c r="S1425" s="2" t="n"/>
      <c r="T1425" s="11" t="inlineStr">
        <is>
          <t>yes</t>
        </is>
      </c>
      <c r="U1425" s="11" t="inlineStr"/>
      <c r="V1425" s="11" t="inlineStr">
        <is>
          <t>outside_list</t>
        </is>
      </c>
      <c r="W1425" s="11" t="n"/>
      <c r="X1425" s="11" t="n"/>
      <c r="Y1425" s="11" t="n"/>
      <c r="Z1425" s="11" t="inlineStr">
        <is>
          <t>Mr. Advocate</t>
        </is>
      </c>
      <c r="AA1425" s="11" t="inlineStr">
        <is>
          <t>2026-10-07</t>
        </is>
      </c>
      <c r="AB1425" s="11" t="inlineStr">
        <is>
          <t>name_year</t>
        </is>
      </c>
      <c r="AC1425" s="2" t="inlineStr"/>
      <c r="AD1425" s="2" t="inlineStr">
        <is>
          <t>Hansa Industries Pvt. Ltd. and Others v. Kidarsons Industries P. Ltd. and Others (1998) was reversed on appeal by the Supreme Court in Hansa Industries Pvt. Ltd. and Others v. Kidarsons Industries Pvt. Ltd. (2007).</t>
        </is>
      </c>
      <c r="AE1425" s="2" t="n"/>
      <c r="AF1425" s="11" t="inlineStr">
        <is>
          <t>created from list 1</t>
        </is>
      </c>
    </row>
    <row r="1426">
      <c r="A1426" s="11" t="inlineStr">
        <is>
          <t>L1-1425</t>
        </is>
      </c>
      <c r="B1426" s="11" t="inlineStr">
        <is>
          <t>List 1 (to ~2015)</t>
        </is>
      </c>
      <c r="C1426" s="11" t="inlineStr">
        <is>
          <t>list1</t>
        </is>
      </c>
      <c r="D1426" s="11" t="inlineStr">
        <is>
          <t>verified</t>
        </is>
      </c>
      <c r="E1426" s="11" t="inlineStr">
        <is>
          <t>overruled</t>
        </is>
      </c>
      <c r="F1426" s="2" t="inlineStr">
        <is>
          <t>Mayur Syntex Ltd. (in Liquidation) and Atlantic Engineering Services Pvt. Ltd. v. Punjab and Sind Bank</t>
        </is>
      </c>
      <c r="G1426" s="11" t="inlineStr"/>
      <c r="H1426" s="11" t="inlineStr">
        <is>
          <t>unknown</t>
        </is>
      </c>
      <c r="I1426" s="2" t="inlineStr">
        <is>
          <t>(1997) 4 AD 821; (1999) 96 CompCas 974; (1997) 67 DLT 836</t>
        </is>
      </c>
      <c r="J1426" s="11" t="n">
        <v>1997</v>
      </c>
      <c r="K1426" s="2" t="inlineStr">
        <is>
          <t>Allahabad Bank v. Canara Bank and Another</t>
        </is>
      </c>
      <c r="L1426" s="11" t="inlineStr">
        <is>
          <t>Supreme Court</t>
        </is>
      </c>
      <c r="M1426" s="2" t="inlineStr">
        <is>
          <t>AIR 2000 SC 1535; (2000) 101 CompCas 64; (2000) 2 CTC 723; (2000) 4 JT 411; (2000) 3 SCALE 169; (2000) 4 SCC 406; (2000) 2 SCR 1102; (2000) AIRSCW 1347; (2000) 3 Supreme 205</t>
        </is>
      </c>
      <c r="N1426" s="11" t="n">
        <v>2000</v>
      </c>
      <c r="O1426" s="11" t="n"/>
      <c r="P1426" s="11" t="n"/>
      <c r="Q1426" s="11" t="n"/>
      <c r="R1426" s="2" t="n"/>
      <c r="S1426" s="2" t="n"/>
      <c r="T1426" s="11" t="inlineStr"/>
      <c r="U1426" s="11" t="inlineStr">
        <is>
          <t>needs_citation_or_year</t>
        </is>
      </c>
      <c r="V1426" s="11" t="inlineStr">
        <is>
          <t>outside_list</t>
        </is>
      </c>
      <c r="W1426" s="11" t="n"/>
      <c r="X1426" s="11" t="n"/>
      <c r="Y1426" s="11" t="n"/>
      <c r="Z1426" s="11" t="inlineStr">
        <is>
          <t>Mr. Advocate</t>
        </is>
      </c>
      <c r="AA1426" s="11" t="inlineStr">
        <is>
          <t>2026-10-07</t>
        </is>
      </c>
      <c r="AB1426" s="11" t="inlineStr">
        <is>
          <t>none</t>
        </is>
      </c>
      <c r="AC1426" s="2" t="inlineStr">
        <is>
          <t>L1-0300: overruled by Andhra Bank v. Official Liquidator and Another (2005)</t>
        </is>
      </c>
      <c r="AD1426" s="2" t="inlineStr">
        <is>
          <t>Mayur Syntex Ltd. (in Liquidation) and Atlantic Engineering Services Pvt. Ltd. v. Punjab and Sind Bank (1997) was overruled by Allahabad Bank v. Canara Bank and Another (2000). Note: Allahabad Bank v. Canara Bank and Another was itself later overruled by Andhra Bank v. Official Liquidator and Another (2005); the current position should be checked.</t>
        </is>
      </c>
      <c r="AE1426" s="2" t="n"/>
      <c r="AF1426" s="11" t="inlineStr">
        <is>
          <t>created from list 1</t>
        </is>
      </c>
    </row>
    <row r="1427">
      <c r="A1427" s="11" t="inlineStr">
        <is>
          <t>L1-1426</t>
        </is>
      </c>
      <c r="B1427" s="11" t="inlineStr">
        <is>
          <t>List 1 (to ~2015)</t>
        </is>
      </c>
      <c r="C1427" s="11" t="inlineStr">
        <is>
          <t>list1</t>
        </is>
      </c>
      <c r="D1427" s="11" t="inlineStr">
        <is>
          <t>verified</t>
        </is>
      </c>
      <c r="E1427" s="11" t="inlineStr">
        <is>
          <t>overruled</t>
        </is>
      </c>
      <c r="F1427" s="2" t="inlineStr">
        <is>
          <t>The Commissioner of Income Tax, Delhi v. Hindustan Industrial Corporation, New Delhi</t>
        </is>
      </c>
      <c r="G1427" s="11" t="inlineStr"/>
      <c r="H1427" s="11" t="inlineStr">
        <is>
          <t>unknown</t>
        </is>
      </c>
      <c r="I1427" s="2" t="inlineStr">
        <is>
          <t>(1972) ILR Delhi 233; (1972) 86 ITR 657</t>
        </is>
      </c>
      <c r="J1427" s="11" t="n">
        <v>1972</v>
      </c>
      <c r="K1427" s="2" t="inlineStr">
        <is>
          <t>The Commissioner of Income Tax, West Bengal 1, Calcutta v. Vegetables Products Ltd.</t>
        </is>
      </c>
      <c r="L1427" s="11" t="inlineStr">
        <is>
          <t>Supreme Court</t>
        </is>
      </c>
      <c r="M1427" s="2" t="inlineStr">
        <is>
          <t>AIR 1973 SC 927; (1973) 88 ITR 192; (1973) 1 SCC 442; (1973) 3 SCR 448; (1973) 5 UJ 583</t>
        </is>
      </c>
      <c r="N1427" s="11" t="n">
        <v>1973</v>
      </c>
      <c r="O1427" s="11" t="n"/>
      <c r="P1427" s="11" t="n"/>
      <c r="Q1427" s="11" t="n"/>
      <c r="R1427" s="2" t="n"/>
      <c r="S1427" s="2" t="n"/>
      <c r="T1427" s="11" t="inlineStr"/>
      <c r="U1427" s="11" t="inlineStr"/>
      <c r="V1427" s="11" t="inlineStr">
        <is>
          <t>outside_list</t>
        </is>
      </c>
      <c r="W1427" s="11" t="n"/>
      <c r="X1427" s="11" t="n"/>
      <c r="Y1427" s="11" t="n"/>
      <c r="Z1427" s="11" t="inlineStr">
        <is>
          <t>Mr. Advocate</t>
        </is>
      </c>
      <c r="AA1427" s="11" t="inlineStr">
        <is>
          <t>2026-10-07</t>
        </is>
      </c>
      <c r="AB1427" s="11" t="inlineStr">
        <is>
          <t>name_year</t>
        </is>
      </c>
      <c r="AC1427" s="2" t="inlineStr"/>
      <c r="AD1427" s="2" t="inlineStr">
        <is>
          <t>The Commissioner of Income Tax, Delhi v. Hindustan Industrial Corporation, New Delhi (1972) was overruled by The Commissioner of Income Tax, West Bengal 1, Calcutta v. Vegetables Products Ltd. (1973).</t>
        </is>
      </c>
      <c r="AE1427" s="2" t="n"/>
      <c r="AF1427" s="11" t="inlineStr">
        <is>
          <t>created from list 1</t>
        </is>
      </c>
    </row>
    <row r="1428">
      <c r="A1428" s="11" t="inlineStr">
        <is>
          <t>L1-1427</t>
        </is>
      </c>
      <c r="B1428" s="11" t="inlineStr">
        <is>
          <t>List 1 (to ~2015)</t>
        </is>
      </c>
      <c r="C1428" s="11" t="inlineStr">
        <is>
          <t>list1</t>
        </is>
      </c>
      <c r="D1428" s="11" t="inlineStr">
        <is>
          <t>verified</t>
        </is>
      </c>
      <c r="E1428" s="11" t="inlineStr">
        <is>
          <t>overruled</t>
        </is>
      </c>
      <c r="F1428" s="2" t="inlineStr">
        <is>
          <t>Khazano and Others v. Kani Ram and Others</t>
        </is>
      </c>
      <c r="G1428" s="11" t="inlineStr"/>
      <c r="H1428" s="11" t="inlineStr">
        <is>
          <t>unknown</t>
        </is>
      </c>
      <c r="I1428" s="2" t="inlineStr">
        <is>
          <t>(1970) ILR Delhi 408</t>
        </is>
      </c>
      <c r="J1428" s="11" t="n">
        <v>1970</v>
      </c>
      <c r="K1428" s="2" t="inlineStr">
        <is>
          <t>Kani Ram and Another v. Smt. Kazani and Others</t>
        </is>
      </c>
      <c r="L1428" s="11" t="inlineStr">
        <is>
          <t>Supreme Court</t>
        </is>
      </c>
      <c r="M1428" s="2" t="inlineStr">
        <is>
          <t>AIR 1972 SC 1427; (1972) 2 SCC 192; (1973) 1 SCR 254; (1972) 4 UJ 921</t>
        </is>
      </c>
      <c r="N1428" s="11" t="n">
        <v>1972</v>
      </c>
      <c r="O1428" s="11" t="n"/>
      <c r="P1428" s="11" t="n"/>
      <c r="Q1428" s="11" t="n"/>
      <c r="R1428" s="2" t="n"/>
      <c r="S1428" s="2" t="n"/>
      <c r="T1428" s="11" t="inlineStr"/>
      <c r="U1428" s="11" t="inlineStr"/>
      <c r="V1428" s="11" t="inlineStr">
        <is>
          <t>outside_list</t>
        </is>
      </c>
      <c r="W1428" s="11" t="n"/>
      <c r="X1428" s="11" t="n"/>
      <c r="Y1428" s="11" t="n"/>
      <c r="Z1428" s="11" t="inlineStr">
        <is>
          <t>Mr. Advocate</t>
        </is>
      </c>
      <c r="AA1428" s="11" t="inlineStr">
        <is>
          <t>2026-10-07</t>
        </is>
      </c>
      <c r="AB1428" s="11" t="inlineStr">
        <is>
          <t>name_year</t>
        </is>
      </c>
      <c r="AC1428" s="2" t="inlineStr"/>
      <c r="AD1428" s="2" t="inlineStr">
        <is>
          <t>Khazano and Others v. Kani Ram and Others (1970) was overruled by Kani Ram and Another v. Smt. Kazani and Others (1972).</t>
        </is>
      </c>
      <c r="AE1428" s="2" t="n"/>
      <c r="AF1428" s="11" t="inlineStr">
        <is>
          <t>created from list 1</t>
        </is>
      </c>
    </row>
    <row r="1429">
      <c r="A1429" s="11" t="inlineStr">
        <is>
          <t>L1-1428</t>
        </is>
      </c>
      <c r="B1429" s="11" t="inlineStr">
        <is>
          <t>List 1 (to ~2015)</t>
        </is>
      </c>
      <c r="C1429" s="11" t="inlineStr">
        <is>
          <t>list1</t>
        </is>
      </c>
      <c r="D1429" s="11" t="inlineStr">
        <is>
          <t>verified</t>
        </is>
      </c>
      <c r="E1429" s="11" t="inlineStr">
        <is>
          <t>reversed_on_appeal</t>
        </is>
      </c>
      <c r="F1429" s="2" t="inlineStr">
        <is>
          <t>Indian Bank v. Punjab National Bank and Another</t>
        </is>
      </c>
      <c r="G1429" s="11" t="inlineStr"/>
      <c r="H1429" s="11" t="inlineStr">
        <is>
          <t>unknown</t>
        </is>
      </c>
      <c r="I1429" s="2" t="inlineStr">
        <is>
          <t>(2001) 3 AD 793; (2001) 105 CompCas 363; (2001) 91 DLT 267</t>
        </is>
      </c>
      <c r="J1429" s="11" t="n">
        <v>2001</v>
      </c>
      <c r="K1429" s="2" t="inlineStr">
        <is>
          <t>Punjab National Bank v. Indian Bank and Another</t>
        </is>
      </c>
      <c r="L1429" s="11" t="inlineStr">
        <is>
          <t>Supreme Court</t>
        </is>
      </c>
      <c r="M1429" s="2" t="inlineStr">
        <is>
          <t>AIR 2003 SC 2284; (2004) 118 CompCas 1; (2003) 2 CTC 437; (2003) 4 JT 144; (2003) 134 PLR 486; (2003) 4 SCALE 267; (2003) 6 SCC 79; (2003) 3 SCR 836; (2003) AIRSCW 2250; (2003) 3 Supreme 607</t>
        </is>
      </c>
      <c r="N1429" s="11" t="n">
        <v>2003</v>
      </c>
      <c r="O1429" s="11" t="n"/>
      <c r="P1429" s="11" t="n"/>
      <c r="Q1429" s="11" t="n"/>
      <c r="R1429" s="2" t="n"/>
      <c r="S1429" s="2" t="n"/>
      <c r="T1429" s="11" t="inlineStr">
        <is>
          <t>yes</t>
        </is>
      </c>
      <c r="U1429" s="11" t="inlineStr"/>
      <c r="V1429" s="11" t="inlineStr">
        <is>
          <t>outside_list</t>
        </is>
      </c>
      <c r="W1429" s="11" t="n"/>
      <c r="X1429" s="11" t="n"/>
      <c r="Y1429" s="11" t="n"/>
      <c r="Z1429" s="11" t="inlineStr">
        <is>
          <t>Mr. Advocate</t>
        </is>
      </c>
      <c r="AA1429" s="11" t="inlineStr">
        <is>
          <t>2026-10-07</t>
        </is>
      </c>
      <c r="AB1429" s="11" t="inlineStr">
        <is>
          <t>name_year</t>
        </is>
      </c>
      <c r="AC1429" s="2" t="inlineStr"/>
      <c r="AD1429" s="2" t="inlineStr">
        <is>
          <t>Indian Bank v. Punjab National Bank and Another (2001) was reversed on appeal by the Supreme Court in Punjab National Bank v. Indian Bank and Another (2003).</t>
        </is>
      </c>
      <c r="AE1429" s="2" t="n"/>
      <c r="AF1429" s="11" t="inlineStr">
        <is>
          <t>created from list 1</t>
        </is>
      </c>
    </row>
    <row r="1430">
      <c r="A1430" s="11" t="inlineStr">
        <is>
          <t>L1-1429</t>
        </is>
      </c>
      <c r="B1430" s="11" t="inlineStr">
        <is>
          <t>List 1 (to ~2015)</t>
        </is>
      </c>
      <c r="C1430" s="11" t="inlineStr">
        <is>
          <t>list1</t>
        </is>
      </c>
      <c r="D1430" s="11" t="inlineStr">
        <is>
          <t>verified</t>
        </is>
      </c>
      <c r="E1430" s="11" t="inlineStr">
        <is>
          <t>overruled</t>
        </is>
      </c>
      <c r="F1430" s="2" t="inlineStr">
        <is>
          <t>Super Traders and another v. Union of India and others</t>
        </is>
      </c>
      <c r="G1430" s="11" t="inlineStr"/>
      <c r="H1430" s="11" t="inlineStr">
        <is>
          <t>unknown</t>
        </is>
      </c>
      <c r="I1430" s="2" t="inlineStr">
        <is>
          <t>(1983) 12 ELT 258</t>
        </is>
      </c>
      <c r="J1430" s="11" t="n">
        <v>1983</v>
      </c>
      <c r="K1430" s="2" t="inlineStr">
        <is>
          <t>M/s. Chheda Industries v. Collector of Customs, Madras</t>
        </is>
      </c>
      <c r="L1430" s="11" t="inlineStr">
        <is>
          <t>Supreme Court</t>
        </is>
      </c>
      <c r="M1430" s="2" t="inlineStr">
        <is>
          <t>AIR 1997 SC 2080; (1997) 91 ELT 241; (1997) 4 JT 215; (1997) 3 SCALE 329; (1997) 6 SCC 88; (1997) 3 SCR 343; (1997) AIRSCW 1907; (1997) 3 Supreme 619</t>
        </is>
      </c>
      <c r="N1430" s="11" t="n">
        <v>1997</v>
      </c>
      <c r="O1430" s="11" t="n"/>
      <c r="P1430" s="11" t="n"/>
      <c r="Q1430" s="11" t="n"/>
      <c r="R1430" s="2" t="n"/>
      <c r="S1430" s="2" t="n"/>
      <c r="T1430" s="11" t="inlineStr"/>
      <c r="U1430" s="11" t="inlineStr"/>
      <c r="V1430" s="11" t="inlineStr">
        <is>
          <t>outside_list</t>
        </is>
      </c>
      <c r="W1430" s="11" t="n"/>
      <c r="X1430" s="11" t="n"/>
      <c r="Y1430" s="11" t="n"/>
      <c r="Z1430" s="11" t="inlineStr">
        <is>
          <t>Mr. Advocate</t>
        </is>
      </c>
      <c r="AA1430" s="11" t="inlineStr">
        <is>
          <t>2026-10-07</t>
        </is>
      </c>
      <c r="AB1430" s="11" t="inlineStr">
        <is>
          <t>name_year</t>
        </is>
      </c>
      <c r="AC1430" s="2" t="inlineStr">
        <is>
          <t>L1-0229: overruled by Mafatlal Industries Ltd. and Others v. Union of India (UOI) and Others (1996)</t>
        </is>
      </c>
      <c r="AD1430" s="2" t="inlineStr">
        <is>
          <t>Super Traders and another v. Union of India and others (1983) was overruled by M/s. Chheda Industries v. Collector of Customs, Madras (1997). Note: M/s. Chheda Industries v. Collector of Customs, Madras was itself later overruled by Mafatlal Industries Ltd. and Others v. Union of India (UOI) and Others (1996); the current position should be checked.</t>
        </is>
      </c>
      <c r="AE1430" s="2" t="n"/>
      <c r="AF1430" s="11" t="inlineStr">
        <is>
          <t>created from list 1</t>
        </is>
      </c>
    </row>
    <row r="1431">
      <c r="A1431" s="11" t="inlineStr">
        <is>
          <t>L1-1430</t>
        </is>
      </c>
      <c r="B1431" s="11" t="inlineStr">
        <is>
          <t>List 1 (to ~2015)</t>
        </is>
      </c>
      <c r="C1431" s="11" t="inlineStr">
        <is>
          <t>list1</t>
        </is>
      </c>
      <c r="D1431" s="11" t="inlineStr">
        <is>
          <t>verified</t>
        </is>
      </c>
      <c r="E1431" s="11" t="inlineStr">
        <is>
          <t>reversed_on_appeal</t>
        </is>
      </c>
      <c r="F1431" s="2" t="inlineStr">
        <is>
          <t>Mohd. Yasin v. Municipal Corporation of Delhi</t>
        </is>
      </c>
      <c r="G1431" s="11" t="inlineStr"/>
      <c r="H1431" s="11" t="inlineStr">
        <is>
          <t>unknown</t>
        </is>
      </c>
      <c r="I1431" s="2" t="inlineStr">
        <is>
          <t>(1970) ILR Delhi 612</t>
        </is>
      </c>
      <c r="J1431" s="11" t="n">
        <v>1970</v>
      </c>
      <c r="K1431" s="2" t="inlineStr">
        <is>
          <t>Municipal Corporation of Delhi and Others v. Mohd. Yasin</t>
        </is>
      </c>
      <c r="L1431" s="11" t="inlineStr">
        <is>
          <t>Supreme Court</t>
        </is>
      </c>
      <c r="M1431" s="2" t="inlineStr">
        <is>
          <t>AIR 1983 SC 617; (1983) 37 CTR 133; (1983) 142 ITR 737; (1983) 1 SCALE 492; (1983) 3 SCC 229; (1983) 2 SCR 999</t>
        </is>
      </c>
      <c r="N1431" s="11" t="n">
        <v>1983</v>
      </c>
      <c r="O1431" s="11" t="n"/>
      <c r="P1431" s="11" t="n"/>
      <c r="Q1431" s="11" t="n"/>
      <c r="R1431" s="2" t="n"/>
      <c r="S1431" s="2" t="n"/>
      <c r="T1431" s="11" t="inlineStr">
        <is>
          <t>yes</t>
        </is>
      </c>
      <c r="U1431" s="11" t="inlineStr"/>
      <c r="V1431" s="11" t="inlineStr">
        <is>
          <t>outside_list</t>
        </is>
      </c>
      <c r="W1431" s="11" t="n"/>
      <c r="X1431" s="11" t="n"/>
      <c r="Y1431" s="11" t="n"/>
      <c r="Z1431" s="11" t="inlineStr">
        <is>
          <t>Mr. Advocate</t>
        </is>
      </c>
      <c r="AA1431" s="11" t="inlineStr">
        <is>
          <t>2026-10-07</t>
        </is>
      </c>
      <c r="AB1431" s="11" t="inlineStr">
        <is>
          <t>name_year</t>
        </is>
      </c>
      <c r="AC1431" s="2" t="inlineStr"/>
      <c r="AD1431" s="2" t="inlineStr">
        <is>
          <t>Mohd. Yasin v. Municipal Corporation of Delhi (1970) was reversed on appeal by the Supreme Court in Municipal Corporation of Delhi and Others v. Mohd. Yasin (1983).</t>
        </is>
      </c>
      <c r="AE1431" s="2" t="n"/>
      <c r="AF1431" s="11" t="inlineStr">
        <is>
          <t>created from list 1</t>
        </is>
      </c>
    </row>
    <row r="1432">
      <c r="A1432" s="11" t="inlineStr">
        <is>
          <t>L1-1431</t>
        </is>
      </c>
      <c r="B1432" s="11" t="inlineStr">
        <is>
          <t>List 1 (to ~2015)</t>
        </is>
      </c>
      <c r="C1432" s="11" t="inlineStr">
        <is>
          <t>list1</t>
        </is>
      </c>
      <c r="D1432" s="11" t="inlineStr">
        <is>
          <t>verified</t>
        </is>
      </c>
      <c r="E1432" s="11" t="inlineStr">
        <is>
          <t>overruled</t>
        </is>
      </c>
      <c r="F1432" s="2" t="inlineStr">
        <is>
          <t>Mohinder Singh v. Iqbal Singh</t>
        </is>
      </c>
      <c r="G1432" s="11" t="inlineStr"/>
      <c r="H1432" s="11" t="inlineStr">
        <is>
          <t>unknown</t>
        </is>
      </c>
      <c r="I1432" s="2" t="inlineStr">
        <is>
          <t>(1981) CriLJ 1773; (1981) 20 DLT 20; (1981) 2 DRJ 155; (1981) RLR 407</t>
        </is>
      </c>
      <c r="J1432" s="11" t="n">
        <v>1981</v>
      </c>
      <c r="K1432" s="2" t="inlineStr">
        <is>
          <t>Central Bureau of Investigation, Special Investigation Cell-I, New Delhi v. Anupam J. Kulkarni</t>
        </is>
      </c>
      <c r="L1432" s="11" t="inlineStr">
        <is>
          <t>Supreme Court</t>
        </is>
      </c>
      <c r="M1432" s="2" t="inlineStr">
        <is>
          <t>AIR 1992 SC 1768; (1992) CriLJ 2768; (1992) 2 Crimes 310; (1992) 3 JT 366; (1992) 1 SCALE 1024; (1992) 3 SCC 141; (1992) 3 SCR 158</t>
        </is>
      </c>
      <c r="N1432" s="11" t="n">
        <v>1992</v>
      </c>
      <c r="O1432" s="11" t="n"/>
      <c r="P1432" s="11" t="n"/>
      <c r="Q1432" s="11" t="n"/>
      <c r="R1432" s="2" t="n"/>
      <c r="S1432" s="2" t="n"/>
      <c r="T1432" s="11" t="inlineStr"/>
      <c r="U1432" s="11" t="inlineStr"/>
      <c r="V1432" s="11" t="inlineStr">
        <is>
          <t>outside_list</t>
        </is>
      </c>
      <c r="W1432" s="11" t="n"/>
      <c r="X1432" s="11" t="n"/>
      <c r="Y1432" s="11" t="n"/>
      <c r="Z1432" s="11" t="inlineStr">
        <is>
          <t>Mr. Advocate</t>
        </is>
      </c>
      <c r="AA1432" s="11" t="inlineStr">
        <is>
          <t>2026-10-07</t>
        </is>
      </c>
      <c r="AB1432" s="11" t="inlineStr">
        <is>
          <t>name_year</t>
        </is>
      </c>
      <c r="AC1432" s="2" t="inlineStr"/>
      <c r="AD1432" s="2" t="inlineStr">
        <is>
          <t>Mohinder Singh v. Iqbal Singh (1981) was overruled by Central Bureau of Investigation, Special Investigation Cell-I, New Delhi v. Anupam J. Kulkarni (1992).</t>
        </is>
      </c>
      <c r="AE1432" s="2" t="n"/>
      <c r="AF1432" s="11" t="inlineStr">
        <is>
          <t>created from list 1</t>
        </is>
      </c>
    </row>
    <row r="1433">
      <c r="A1433" s="11" t="inlineStr">
        <is>
          <t>L1-1432</t>
        </is>
      </c>
      <c r="B1433" s="11" t="inlineStr">
        <is>
          <t>List 1 (to ~2015)</t>
        </is>
      </c>
      <c r="C1433" s="11" t="inlineStr">
        <is>
          <t>list1</t>
        </is>
      </c>
      <c r="D1433" s="11" t="inlineStr">
        <is>
          <t>verified</t>
        </is>
      </c>
      <c r="E1433" s="11" t="inlineStr">
        <is>
          <t>overruled</t>
        </is>
      </c>
      <c r="F1433" s="2" t="inlineStr">
        <is>
          <t>Income Tax Officer and Others v. Narula Finance P. Ltd. (In liquidation)</t>
        </is>
      </c>
      <c r="G1433" s="11" t="inlineStr"/>
      <c r="H1433" s="11" t="inlineStr">
        <is>
          <t>unknown</t>
        </is>
      </c>
      <c r="I1433" s="2" t="inlineStr">
        <is>
          <t>(1978) 48 CompCas 720; (1978) 114 ITR 645</t>
        </is>
      </c>
      <c r="J1433" s="11" t="n">
        <v>1978</v>
      </c>
      <c r="K1433" s="2" t="inlineStr">
        <is>
          <t>Imperial Chit Funds (P) Ltd. v. Income Tax Officer, Ernakulam</t>
        </is>
      </c>
      <c r="L1433" s="11" t="inlineStr">
        <is>
          <t>Supreme Court</t>
        </is>
      </c>
      <c r="M1433" s="2" t="inlineStr">
        <is>
          <t>(1996) 3 AD 488; AIR 1996 SC 1887; (1996) 1 BC 659; (1996) 86 CompCas 555; (1996) 133 CTR 505; (1996) 219 ITR 498; (1996) 3 JT 410; (1996) 3 SCALE 20; (1996) 8 SCC 303; (1996) 3 SCR 640</t>
        </is>
      </c>
      <c r="N1433" s="11" t="n">
        <v>1996</v>
      </c>
      <c r="O1433" s="11" t="n"/>
      <c r="P1433" s="11" t="n"/>
      <c r="Q1433" s="11" t="n"/>
      <c r="R1433" s="2" t="n"/>
      <c r="S1433" s="2" t="n"/>
      <c r="T1433" s="11" t="inlineStr"/>
      <c r="U1433" s="11" t="inlineStr"/>
      <c r="V1433" s="11" t="inlineStr">
        <is>
          <t>outside_list</t>
        </is>
      </c>
      <c r="W1433" s="11" t="n"/>
      <c r="X1433" s="11" t="n"/>
      <c r="Y1433" s="11" t="n"/>
      <c r="Z1433" s="11" t="inlineStr">
        <is>
          <t>Mr. Advocate</t>
        </is>
      </c>
      <c r="AA1433" s="11" t="inlineStr">
        <is>
          <t>2026-10-07</t>
        </is>
      </c>
      <c r="AB1433" s="11" t="inlineStr">
        <is>
          <t>name_year</t>
        </is>
      </c>
      <c r="AC1433" s="2" t="inlineStr"/>
      <c r="AD1433" s="2" t="inlineStr">
        <is>
          <t>Income Tax Officer and Others v. Narula Finance P. Ltd. (In liquidation) (1978) was overruled by Imperial Chit Funds (P) Ltd. v. Income Tax Officer, Ernakulam (1996).</t>
        </is>
      </c>
      <c r="AE1433" s="2" t="n"/>
      <c r="AF1433" s="11" t="inlineStr">
        <is>
          <t>created from list 1</t>
        </is>
      </c>
    </row>
    <row r="1434">
      <c r="A1434" s="11" t="inlineStr">
        <is>
          <t>L1-1433</t>
        </is>
      </c>
      <c r="B1434" s="11" t="inlineStr">
        <is>
          <t>List 1 (to ~2015)</t>
        </is>
      </c>
      <c r="C1434" s="11" t="inlineStr">
        <is>
          <t>list1</t>
        </is>
      </c>
      <c r="D1434" s="11" t="inlineStr">
        <is>
          <t>verified</t>
        </is>
      </c>
      <c r="E1434" s="11" t="inlineStr">
        <is>
          <t>reversed_on_appeal</t>
        </is>
      </c>
      <c r="F1434" s="2" t="inlineStr">
        <is>
          <t>Dy. Comdt., S.C. Parashar v. Union of India (UOI)</t>
        </is>
      </c>
      <c r="G1434" s="11" t="inlineStr"/>
      <c r="H1434" s="11" t="inlineStr">
        <is>
          <t>unknown</t>
        </is>
      </c>
      <c r="I1434" s="2" t="inlineStr">
        <is>
          <t>(2003) 2 AD 733; (2003) 104 DLT 31; (2003) 68 DRJ 236; (2003) 3 SLJ 447</t>
        </is>
      </c>
      <c r="J1434" s="11" t="n">
        <v>2003</v>
      </c>
      <c r="K1434" s="2" t="inlineStr">
        <is>
          <t>Union of India (UOI) and Another v. S.C. Parashar</t>
        </is>
      </c>
      <c r="L1434" s="11" t="inlineStr">
        <is>
          <t>Supreme Court</t>
        </is>
      </c>
      <c r="M1434" s="2" t="inlineStr">
        <is>
          <t>AIR 2006 SC 3566; (2006) 109 FLR 228; (2006) 3 JT 162; (2006) 2 SCALE 527; (2006) 3 SCC 167; (2006) SCC(L&amp;S) 496; (2006) 2 SLJ 490</t>
        </is>
      </c>
      <c r="N1434" s="11" t="n">
        <v>2006</v>
      </c>
      <c r="O1434" s="11" t="n"/>
      <c r="P1434" s="11" t="n"/>
      <c r="Q1434" s="11" t="n"/>
      <c r="R1434" s="2" t="n"/>
      <c r="S1434" s="2" t="n"/>
      <c r="T1434" s="11" t="inlineStr">
        <is>
          <t>yes</t>
        </is>
      </c>
      <c r="U1434" s="11" t="inlineStr"/>
      <c r="V1434" s="11" t="inlineStr">
        <is>
          <t>outside_list</t>
        </is>
      </c>
      <c r="W1434" s="11" t="n"/>
      <c r="X1434" s="11" t="n"/>
      <c r="Y1434" s="11" t="n"/>
      <c r="Z1434" s="11" t="inlineStr">
        <is>
          <t>Mr. Advocate</t>
        </is>
      </c>
      <c r="AA1434" s="11" t="inlineStr">
        <is>
          <t>2026-10-07</t>
        </is>
      </c>
      <c r="AB1434" s="11" t="inlineStr">
        <is>
          <t>name_year</t>
        </is>
      </c>
      <c r="AC1434" s="2" t="inlineStr"/>
      <c r="AD1434" s="2" t="inlineStr">
        <is>
          <t>Dy. Comdt., S.C. Parashar v. Union of India (UOI) (2003) was reversed on appeal by the Supreme Court in Union of India (UOI) and Another v. S.C. Parashar (2006).</t>
        </is>
      </c>
      <c r="AE1434" s="2" t="n"/>
      <c r="AF1434" s="11" t="inlineStr">
        <is>
          <t>created from list 1</t>
        </is>
      </c>
    </row>
    <row r="1435">
      <c r="A1435" s="11" t="inlineStr">
        <is>
          <t>L1-1434</t>
        </is>
      </c>
      <c r="B1435" s="11" t="inlineStr">
        <is>
          <t>List 1 (to ~2015)</t>
        </is>
      </c>
      <c r="C1435" s="11" t="inlineStr">
        <is>
          <t>list1</t>
        </is>
      </c>
      <c r="D1435" s="11" t="inlineStr">
        <is>
          <t>verified</t>
        </is>
      </c>
      <c r="E1435" s="11" t="inlineStr">
        <is>
          <t>overruled</t>
        </is>
      </c>
      <c r="F1435" s="2" t="inlineStr">
        <is>
          <t>Darshan Lal Nagpal and Others v. Govt. of National Capital Territory Delhi and Others</t>
        </is>
      </c>
      <c r="G1435" s="11" t="inlineStr"/>
      <c r="H1435" s="11" t="inlineStr">
        <is>
          <t>unknown</t>
        </is>
      </c>
      <c r="I1435" s="2" t="inlineStr">
        <is>
          <t>(2011) 181 DLT 459; (2011) 121 DRJ 678</t>
        </is>
      </c>
      <c r="J1435" s="11" t="n">
        <v>2011</v>
      </c>
      <c r="K1435" s="2" t="inlineStr">
        <is>
          <t>Darshan Lal Nagpal (dead) by L.Rs. v. Government of NCT of Delhi and Others</t>
        </is>
      </c>
      <c r="L1435" s="11" t="inlineStr">
        <is>
          <t>Supreme Court</t>
        </is>
      </c>
      <c r="M1435" s="2" t="inlineStr">
        <is>
          <t>AIR 2012 SC 412; (2012) 1 JT 20; (2012) 1 SCALE 8; (2012) 2 SCC 327</t>
        </is>
      </c>
      <c r="N1435" s="11" t="n">
        <v>2012</v>
      </c>
      <c r="O1435" s="11" t="n"/>
      <c r="P1435" s="11" t="n"/>
      <c r="Q1435" s="11" t="n"/>
      <c r="R1435" s="2" t="n"/>
      <c r="S1435" s="2" t="n"/>
      <c r="T1435" s="11" t="inlineStr"/>
      <c r="U1435" s="11" t="inlineStr"/>
      <c r="V1435" s="11" t="inlineStr">
        <is>
          <t>outside_list</t>
        </is>
      </c>
      <c r="W1435" s="11" t="n"/>
      <c r="X1435" s="11" t="n"/>
      <c r="Y1435" s="11" t="n"/>
      <c r="Z1435" s="11" t="inlineStr">
        <is>
          <t>Mr. Advocate</t>
        </is>
      </c>
      <c r="AA1435" s="11" t="inlineStr">
        <is>
          <t>2026-10-07</t>
        </is>
      </c>
      <c r="AB1435" s="11" t="inlineStr">
        <is>
          <t>name_year</t>
        </is>
      </c>
      <c r="AC1435" s="2" t="inlineStr"/>
      <c r="AD1435" s="2" t="inlineStr">
        <is>
          <t>Darshan Lal Nagpal and Others v. Govt. of National Capital Territory Delhi and Others (2011) was overruled by Darshan Lal Nagpal (dead) by L.Rs. v. Government of NCT of Delhi and Others (2012).</t>
        </is>
      </c>
      <c r="AE1435" s="2" t="n"/>
      <c r="AF1435" s="11" t="inlineStr">
        <is>
          <t>created from list 1</t>
        </is>
      </c>
    </row>
    <row r="1436">
      <c r="A1436" s="11" t="inlineStr">
        <is>
          <t>L1-1435</t>
        </is>
      </c>
      <c r="B1436" s="11" t="inlineStr">
        <is>
          <t>List 1 (to ~2015)</t>
        </is>
      </c>
      <c r="C1436" s="11" t="inlineStr">
        <is>
          <t>list1</t>
        </is>
      </c>
      <c r="D1436" s="11" t="inlineStr">
        <is>
          <t>verified</t>
        </is>
      </c>
      <c r="E1436" s="11" t="inlineStr">
        <is>
          <t>overruled</t>
        </is>
      </c>
      <c r="F1436" s="2" t="inlineStr">
        <is>
          <t>Surjeet Choudhary v. Rani Chaudhary</t>
        </is>
      </c>
      <c r="G1436" s="11" t="inlineStr"/>
      <c r="H1436" s="11" t="inlineStr">
        <is>
          <t>High Court/other (Delhi)</t>
        </is>
      </c>
      <c r="I1436" s="2" t="inlineStr">
        <is>
          <t>AIR 1982 Delhi 71; (1981) 3 DRJ 86</t>
        </is>
      </c>
      <c r="J1436" s="11" t="n">
        <v>1982</v>
      </c>
      <c r="K1436" s="2" t="inlineStr">
        <is>
          <t>Rani Choudhury v. Lt.-Col. Suraj Jit Choudhury</t>
        </is>
      </c>
      <c r="L1436" s="11" t="inlineStr">
        <is>
          <t>Supreme Court</t>
        </is>
      </c>
      <c r="M1436" s="2" t="inlineStr">
        <is>
          <t>AIR 1982 SC 1397; (1982) 1 SCALE 657; (1982) 2 SCC 596; (1983) 1 SCR 372; (1982) 14 UJ 594</t>
        </is>
      </c>
      <c r="N1436" s="11" t="n">
        <v>1982</v>
      </c>
      <c r="O1436" s="11" t="n"/>
      <c r="P1436" s="11" t="n"/>
      <c r="Q1436" s="11" t="n"/>
      <c r="R1436" s="2" t="n"/>
      <c r="S1436" s="2" t="n"/>
      <c r="T1436" s="11" t="inlineStr"/>
      <c r="U1436" s="11" t="inlineStr"/>
      <c r="V1436" s="11" t="inlineStr">
        <is>
          <t>outside_list</t>
        </is>
      </c>
      <c r="W1436" s="11" t="n"/>
      <c r="X1436" s="11" t="n"/>
      <c r="Y1436" s="11" t="n"/>
      <c r="Z1436" s="11" t="inlineStr">
        <is>
          <t>Mr. Advocate</t>
        </is>
      </c>
      <c r="AA1436" s="11" t="inlineStr">
        <is>
          <t>2026-10-07</t>
        </is>
      </c>
      <c r="AB1436" s="11" t="inlineStr">
        <is>
          <t>name_year</t>
        </is>
      </c>
      <c r="AC1436" s="2" t="inlineStr"/>
      <c r="AD1436" s="2" t="inlineStr">
        <is>
          <t>Surjeet Choudhary v. Rani Chaudhary (1982) was overruled by Rani Choudhury v. Lt.-Col. Suraj Jit Choudhury (1982).</t>
        </is>
      </c>
      <c r="AE1436" s="2" t="n"/>
      <c r="AF1436" s="11" t="inlineStr">
        <is>
          <t>created from list 1</t>
        </is>
      </c>
    </row>
    <row r="1437">
      <c r="A1437" s="11" t="inlineStr">
        <is>
          <t>L1-1436</t>
        </is>
      </c>
      <c r="B1437" s="11" t="inlineStr">
        <is>
          <t>List 1 (to ~2015)</t>
        </is>
      </c>
      <c r="C1437" s="11" t="inlineStr">
        <is>
          <t>list1</t>
        </is>
      </c>
      <c r="D1437" s="11" t="inlineStr">
        <is>
          <t>verified</t>
        </is>
      </c>
      <c r="E1437" s="11" t="inlineStr">
        <is>
          <t>overruled</t>
        </is>
      </c>
      <c r="F1437" s="2" t="inlineStr">
        <is>
          <t>Municipal Corporation of Delhi and Others v. Kamla Bhandari and Others</t>
        </is>
      </c>
      <c r="G1437" s="11" t="inlineStr"/>
      <c r="H1437" s="11" t="inlineStr">
        <is>
          <t>unknown</t>
        </is>
      </c>
      <c r="I1437" s="2" t="inlineStr">
        <is>
          <t>(1970) ILR Delhi 66</t>
        </is>
      </c>
      <c r="J1437" s="11" t="n">
        <v>1970</v>
      </c>
      <c r="K1437" s="2" t="inlineStr">
        <is>
          <t>Shri. Chet Ram Vashist v. Municipal Corporation of Delhi and Another</t>
        </is>
      </c>
      <c r="L1437" s="11" t="inlineStr">
        <is>
          <t>Supreme Court</t>
        </is>
      </c>
      <c r="M1437" s="2" t="inlineStr">
        <is>
          <t>AIR 1981 SC 653; (1980) 4 SCC 647; (1981) 1 SCR 1073; (1981) 13 UJ 95</t>
        </is>
      </c>
      <c r="N1437" s="11" t="n">
        <v>1981</v>
      </c>
      <c r="O1437" s="11" t="n"/>
      <c r="P1437" s="11" t="n"/>
      <c r="Q1437" s="11" t="n"/>
      <c r="R1437" s="2" t="n"/>
      <c r="S1437" s="2" t="n"/>
      <c r="T1437" s="11" t="inlineStr"/>
      <c r="U1437" s="11" t="inlineStr"/>
      <c r="V1437" s="11" t="inlineStr">
        <is>
          <t>outside_list</t>
        </is>
      </c>
      <c r="W1437" s="11" t="n"/>
      <c r="X1437" s="11" t="n"/>
      <c r="Y1437" s="11" t="n"/>
      <c r="Z1437" s="11" t="inlineStr">
        <is>
          <t>Mr. Advocate</t>
        </is>
      </c>
      <c r="AA1437" s="11" t="inlineStr">
        <is>
          <t>2026-10-07</t>
        </is>
      </c>
      <c r="AB1437" s="11" t="inlineStr">
        <is>
          <t>name_year</t>
        </is>
      </c>
      <c r="AC1437" s="2" t="inlineStr"/>
      <c r="AD1437" s="2" t="inlineStr">
        <is>
          <t>Municipal Corporation of Delhi and Others v. Kamla Bhandari and Others (1970) was overruled by Shri. Chet Ram Vashist v. Municipal Corporation of Delhi and Another (1981).</t>
        </is>
      </c>
      <c r="AE1437" s="2" t="n"/>
      <c r="AF1437" s="11" t="inlineStr">
        <is>
          <t>created from list 1</t>
        </is>
      </c>
    </row>
    <row r="1438">
      <c r="A1438" s="11" t="inlineStr">
        <is>
          <t>L1-1437</t>
        </is>
      </c>
      <c r="B1438" s="11" t="inlineStr">
        <is>
          <t>List 1 (to ~2015)</t>
        </is>
      </c>
      <c r="C1438" s="11" t="inlineStr">
        <is>
          <t>list1</t>
        </is>
      </c>
      <c r="D1438" s="11" t="inlineStr">
        <is>
          <t>verified</t>
        </is>
      </c>
      <c r="E1438" s="11" t="inlineStr">
        <is>
          <t>reversed_on_appeal</t>
        </is>
      </c>
      <c r="F1438" s="2" t="inlineStr">
        <is>
          <t>Super Cassettes Industries Limited v. State of Uttar Pradesh</t>
        </is>
      </c>
      <c r="G1438" s="11" t="inlineStr"/>
      <c r="H1438" s="11" t="inlineStr">
        <is>
          <t>unknown</t>
        </is>
      </c>
      <c r="I1438" s="2" t="inlineStr">
        <is>
          <t>(2007) 7 AWC 6816; (2007) 103 RD 164</t>
        </is>
      </c>
      <c r="J1438" s="11" t="n">
        <v>2007</v>
      </c>
      <c r="K1438" s="2" t="inlineStr">
        <is>
          <t>Super Cassettes Industries Ltd. v. State of Uttar Pradesh and Another</t>
        </is>
      </c>
      <c r="L1438" s="11" t="inlineStr">
        <is>
          <t>unknown</t>
        </is>
      </c>
      <c r="M1438" s="2" t="inlineStr">
        <is>
          <t>(2009) 13 JT 272; (2009) 12 SCALE 656; (2009) 10 SCC 531; (2009) 15 SCR 627; (2009) 9 UJ 4474; (2010) AIRSCW 140; (2009) 7 Supreme 299</t>
        </is>
      </c>
      <c r="N1438" s="11" t="n">
        <v>2009</v>
      </c>
      <c r="O1438" s="11" t="n"/>
      <c r="P1438" s="11" t="n"/>
      <c r="Q1438" s="11" t="n"/>
      <c r="R1438" s="2" t="n"/>
      <c r="S1438" s="2" t="n"/>
      <c r="T1438" s="11" t="inlineStr">
        <is>
          <t>yes</t>
        </is>
      </c>
      <c r="U1438" s="11" t="inlineStr"/>
      <c r="V1438" s="11" t="inlineStr">
        <is>
          <t>outside_list</t>
        </is>
      </c>
      <c r="W1438" s="11" t="n"/>
      <c r="X1438" s="11" t="n"/>
      <c r="Y1438" s="11" t="n"/>
      <c r="Z1438" s="11" t="inlineStr">
        <is>
          <t>Mr. Advocate</t>
        </is>
      </c>
      <c r="AA1438" s="11" t="inlineStr">
        <is>
          <t>2026-10-07</t>
        </is>
      </c>
      <c r="AB1438" s="11" t="inlineStr">
        <is>
          <t>name_year</t>
        </is>
      </c>
      <c r="AC1438" s="2" t="inlineStr"/>
      <c r="AD1438" s="2" t="inlineStr">
        <is>
          <t>Super Cassettes Industries Limited v. State of Uttar Pradesh (2007) was reversed on appeal by the Supreme Court in Super Cassettes Industries Ltd. v. State of Uttar Pradesh and Another (2009).</t>
        </is>
      </c>
      <c r="AE1438" s="2" t="n"/>
      <c r="AF1438" s="11" t="inlineStr">
        <is>
          <t>created from list 1</t>
        </is>
      </c>
    </row>
    <row r="1439">
      <c r="A1439" s="11" t="inlineStr">
        <is>
          <t>L1-1438</t>
        </is>
      </c>
      <c r="B1439" s="11" t="inlineStr">
        <is>
          <t>List 1 (to ~2015)</t>
        </is>
      </c>
      <c r="C1439" s="11" t="inlineStr">
        <is>
          <t>list1</t>
        </is>
      </c>
      <c r="D1439" s="11" t="inlineStr">
        <is>
          <t>verified</t>
        </is>
      </c>
      <c r="E1439" s="11" t="inlineStr">
        <is>
          <t>overruled</t>
        </is>
      </c>
      <c r="F1439" s="2" t="inlineStr">
        <is>
          <t>Commissioner of Income Tax v. Modi Industries Ltd.</t>
        </is>
      </c>
      <c r="G1439" s="11" t="inlineStr"/>
      <c r="H1439" s="11" t="inlineStr">
        <is>
          <t>unknown</t>
        </is>
      </c>
      <c r="I1439" s="2" t="inlineStr">
        <is>
          <t>(1993) ILR Delhi 1; (1992) 197 ITR 655; (1993) 69 TAXMAN 252</t>
        </is>
      </c>
      <c r="J1439" s="11" t="n">
        <v>1992</v>
      </c>
      <c r="K1439" s="2" t="inlineStr">
        <is>
          <t>National Rayon Corporation Ltd. etc. v. Commissioner of Income Tax</t>
        </is>
      </c>
      <c r="L1439" s="11" t="inlineStr">
        <is>
          <t>Supreme Court</t>
        </is>
      </c>
      <c r="M1439" s="2" t="inlineStr">
        <is>
          <t>AIR 1997 SC 3487; (1997) 227 ITR 764; (1997) 7 JT 372; (1997) 5 SCALE 415; (1997) 7 SCC 56; (1997) 3 SCR 140 Supp; (1997) AIRSCW 3579; (1997) 7 Supreme 396</t>
        </is>
      </c>
      <c r="N1439" s="11" t="n">
        <v>1997</v>
      </c>
      <c r="O1439" s="11" t="n"/>
      <c r="P1439" s="11" t="n"/>
      <c r="Q1439" s="11" t="n"/>
      <c r="R1439" s="2" t="n"/>
      <c r="S1439" s="2" t="n"/>
      <c r="T1439" s="11" t="inlineStr"/>
      <c r="U1439" s="11" t="inlineStr"/>
      <c r="V1439" s="11" t="inlineStr">
        <is>
          <t>outside_list</t>
        </is>
      </c>
      <c r="W1439" s="11" t="n"/>
      <c r="X1439" s="11" t="n"/>
      <c r="Y1439" s="11" t="n"/>
      <c r="Z1439" s="11" t="inlineStr">
        <is>
          <t>Mr. Advocate</t>
        </is>
      </c>
      <c r="AA1439" s="11" t="inlineStr">
        <is>
          <t>2026-10-07</t>
        </is>
      </c>
      <c r="AB1439" s="11" t="inlineStr">
        <is>
          <t>name_year</t>
        </is>
      </c>
      <c r="AC1439" s="2" t="inlineStr"/>
      <c r="AD1439" s="2" t="inlineStr">
        <is>
          <t>Commissioner of Income Tax v. Modi Industries Ltd. (1992) was overruled by National Rayon Corporation Ltd. etc. v. Commissioner of Income Tax (1997).</t>
        </is>
      </c>
      <c r="AE1439" s="2" t="n"/>
      <c r="AF1439" s="11" t="inlineStr">
        <is>
          <t>created from list 1</t>
        </is>
      </c>
    </row>
    <row r="1440">
      <c r="A1440" s="11" t="inlineStr">
        <is>
          <t>L1-1439</t>
        </is>
      </c>
      <c r="B1440" s="11" t="inlineStr">
        <is>
          <t>List 1 (to ~2015)</t>
        </is>
      </c>
      <c r="C1440" s="11" t="inlineStr">
        <is>
          <t>list1</t>
        </is>
      </c>
      <c r="D1440" s="11" t="inlineStr">
        <is>
          <t>verified</t>
        </is>
      </c>
      <c r="E1440" s="11" t="inlineStr">
        <is>
          <t>reversed_on_appeal</t>
        </is>
      </c>
      <c r="F1440" s="2" t="inlineStr">
        <is>
          <t>The Commissioner of Income Tax, Delhi-1, New Delhi v. Mahalaxmi Sugar Mills, New Delhi</t>
        </is>
      </c>
      <c r="G1440" s="11" t="inlineStr"/>
      <c r="H1440" s="11" t="inlineStr">
        <is>
          <t>unknown</t>
        </is>
      </c>
      <c r="I1440" s="2" t="inlineStr">
        <is>
          <t>(1972) ILR Delhi 290; (1972) 85 ITR 320</t>
        </is>
      </c>
      <c r="J1440" s="11" t="n">
        <v>1972</v>
      </c>
      <c r="K1440" s="2" t="inlineStr">
        <is>
          <t>Mahalaxmi Sugar Mills Co. v. Commissioner of Income Tax , Delhi</t>
        </is>
      </c>
      <c r="L1440" s="11" t="inlineStr">
        <is>
          <t>Supreme Court</t>
        </is>
      </c>
      <c r="M1440" s="2" t="inlineStr">
        <is>
          <t>AIR 1980 SC 754; (1980) 123 ITR 429; (1980) 3 SCC 475; (1980) 3 SCR 421</t>
        </is>
      </c>
      <c r="N1440" s="11" t="n">
        <v>1980</v>
      </c>
      <c r="O1440" s="11" t="n"/>
      <c r="P1440" s="11" t="n"/>
      <c r="Q1440" s="11" t="n"/>
      <c r="R1440" s="2" t="n"/>
      <c r="S1440" s="2" t="n"/>
      <c r="T1440" s="11" t="inlineStr">
        <is>
          <t>yes</t>
        </is>
      </c>
      <c r="U1440" s="11" t="inlineStr"/>
      <c r="V1440" s="11" t="inlineStr">
        <is>
          <t>outside_list</t>
        </is>
      </c>
      <c r="W1440" s="11" t="n"/>
      <c r="X1440" s="11" t="n"/>
      <c r="Y1440" s="11" t="n"/>
      <c r="Z1440" s="11" t="inlineStr">
        <is>
          <t>Mr. Advocate</t>
        </is>
      </c>
      <c r="AA1440" s="11" t="inlineStr">
        <is>
          <t>2026-10-07</t>
        </is>
      </c>
      <c r="AB1440" s="11" t="inlineStr">
        <is>
          <t>name_year</t>
        </is>
      </c>
      <c r="AC1440" s="2" t="inlineStr"/>
      <c r="AD1440" s="2" t="inlineStr">
        <is>
          <t>The Commissioner of Income Tax, Delhi-1, New Delhi v. Mahalaxmi Sugar Mills, New Delhi (1972) was reversed on appeal by the Supreme Court in Mahalaxmi Sugar Mills Co. v. Commissioner of Income Tax , Delhi (1980).</t>
        </is>
      </c>
      <c r="AE1440" s="2" t="n"/>
      <c r="AF1440" s="11" t="inlineStr">
        <is>
          <t>created from list 1</t>
        </is>
      </c>
    </row>
    <row r="1441">
      <c r="A1441" s="11" t="inlineStr">
        <is>
          <t>L1-1440</t>
        </is>
      </c>
      <c r="B1441" s="11" t="inlineStr">
        <is>
          <t>List 1 (to ~2015)</t>
        </is>
      </c>
      <c r="C1441" s="11" t="inlineStr">
        <is>
          <t>list1</t>
        </is>
      </c>
      <c r="D1441" s="11" t="inlineStr">
        <is>
          <t>verified</t>
        </is>
      </c>
      <c r="E1441" s="11" t="inlineStr">
        <is>
          <t>overruled</t>
        </is>
      </c>
      <c r="F1441" s="2" t="inlineStr">
        <is>
          <t>Kimti Lal Kathuria and others v. Delhi Development Authority and others</t>
        </is>
      </c>
      <c r="G1441" s="11" t="inlineStr"/>
      <c r="H1441" s="11" t="inlineStr">
        <is>
          <t>unknown</t>
        </is>
      </c>
      <c r="I1441" s="2" t="inlineStr">
        <is>
          <t>(1988) 2 LLJ 254</t>
        </is>
      </c>
      <c r="J1441" s="11" t="n">
        <v>1988</v>
      </c>
      <c r="K1441" s="2" t="inlineStr">
        <is>
          <t>Roop Chand Adlakha and Others v. Delhi Development Authority and Others</t>
        </is>
      </c>
      <c r="L1441" s="11" t="inlineStr">
        <is>
          <t>Supreme Court</t>
        </is>
      </c>
      <c r="M1441" s="2" t="inlineStr">
        <is>
          <t>AIR 1989 SC 307; (1989) 58 FLR 549; (1988) 4 JT 114; (1989) LabIC 1268; (1988) 2 SCALE 897; (1989) 1 SCC 116 Supp; (1988) 3 SCR 253 Supp</t>
        </is>
      </c>
      <c r="N1441" s="11" t="n">
        <v>1989</v>
      </c>
      <c r="O1441" s="11" t="n"/>
      <c r="P1441" s="11" t="n"/>
      <c r="Q1441" s="11" t="n"/>
      <c r="R1441" s="2" t="n"/>
      <c r="S1441" s="2" t="n"/>
      <c r="T1441" s="11" t="inlineStr"/>
      <c r="U1441" s="11" t="inlineStr"/>
      <c r="V1441" s="11" t="inlineStr">
        <is>
          <t>outside_list</t>
        </is>
      </c>
      <c r="W1441" s="11" t="n"/>
      <c r="X1441" s="11" t="n"/>
      <c r="Y1441" s="11" t="n"/>
      <c r="Z1441" s="11" t="inlineStr">
        <is>
          <t>Mr. Advocate</t>
        </is>
      </c>
      <c r="AA1441" s="11" t="inlineStr">
        <is>
          <t>2026-10-07</t>
        </is>
      </c>
      <c r="AB1441" s="11" t="inlineStr">
        <is>
          <t>name_year</t>
        </is>
      </c>
      <c r="AC1441" s="2" t="inlineStr"/>
      <c r="AD1441" s="2" t="inlineStr">
        <is>
          <t>Kimti Lal Kathuria and others v. Delhi Development Authority and others (1988) was overruled by Roop Chand Adlakha and Others v. Delhi Development Authority and Others (1989).</t>
        </is>
      </c>
      <c r="AE1441" s="2" t="n"/>
      <c r="AF1441" s="11" t="inlineStr">
        <is>
          <t>created from list 1</t>
        </is>
      </c>
    </row>
    <row r="1442">
      <c r="A1442" s="11" t="inlineStr">
        <is>
          <t>L1-1441</t>
        </is>
      </c>
      <c r="B1442" s="11" t="inlineStr">
        <is>
          <t>List 1 (to ~2015)</t>
        </is>
      </c>
      <c r="C1442" s="11" t="inlineStr">
        <is>
          <t>list1</t>
        </is>
      </c>
      <c r="D1442" s="11" t="inlineStr">
        <is>
          <t>verified</t>
        </is>
      </c>
      <c r="E1442" s="11" t="inlineStr">
        <is>
          <t>overruled</t>
        </is>
      </c>
      <c r="F1442" s="2" t="inlineStr">
        <is>
          <t>Ms Swaran Sabharwal v. Commissioner of Police</t>
        </is>
      </c>
      <c r="G1442" s="11" t="inlineStr"/>
      <c r="H1442" s="11" t="inlineStr">
        <is>
          <t>unknown</t>
        </is>
      </c>
      <c r="I1442" s="2" t="inlineStr">
        <is>
          <t>(1990) 68 CompCas 652</t>
        </is>
      </c>
      <c r="J1442" s="11" t="n">
        <v>1990</v>
      </c>
      <c r="K1442" s="2" t="inlineStr">
        <is>
          <t>State of Maharashtra v. Tapas D. Neogy</t>
        </is>
      </c>
      <c r="L1442" s="11" t="inlineStr">
        <is>
          <t>Supreme Court</t>
        </is>
      </c>
      <c r="M1442" s="2" t="inlineStr">
        <is>
          <t>(1999) 98 CompCas 626; (1999) CriLJ 4305; (1999) 3 CTC 350; (1999) 7 JT 92; (1999) 5 SCALE 613; (1999) 7 SCC 685; (1999) 2 SCR 609 Supp; (2000) 1 UJ 431</t>
        </is>
      </c>
      <c r="N1442" s="11" t="n">
        <v>1999</v>
      </c>
      <c r="O1442" s="11" t="n"/>
      <c r="P1442" s="11" t="n"/>
      <c r="Q1442" s="11" t="n"/>
      <c r="R1442" s="2" t="n"/>
      <c r="S1442" s="2" t="n"/>
      <c r="T1442" s="11" t="inlineStr"/>
      <c r="U1442" s="11" t="inlineStr"/>
      <c r="V1442" s="11" t="inlineStr">
        <is>
          <t>outside_list</t>
        </is>
      </c>
      <c r="W1442" s="11" t="n"/>
      <c r="X1442" s="11" t="n"/>
      <c r="Y1442" s="11" t="n"/>
      <c r="Z1442" s="11" t="inlineStr">
        <is>
          <t>Mr. Advocate</t>
        </is>
      </c>
      <c r="AA1442" s="11" t="inlineStr">
        <is>
          <t>2026-10-07</t>
        </is>
      </c>
      <c r="AB1442" s="11" t="inlineStr">
        <is>
          <t>name_year</t>
        </is>
      </c>
      <c r="AC1442" s="2" t="inlineStr"/>
      <c r="AD1442" s="2" t="inlineStr">
        <is>
          <t>Ms Swaran Sabharwal v. Commissioner of Police (1990) was overruled by State of Maharashtra v. Tapas D. Neogy (1999).</t>
        </is>
      </c>
      <c r="AE1442" s="2" t="n"/>
      <c r="AF1442" s="11" t="inlineStr">
        <is>
          <t>created from list 1</t>
        </is>
      </c>
    </row>
    <row r="1443">
      <c r="A1443" s="11" t="inlineStr">
        <is>
          <t>L1-1442</t>
        </is>
      </c>
      <c r="B1443" s="11" t="inlineStr">
        <is>
          <t>List 1 (to ~2015)</t>
        </is>
      </c>
      <c r="C1443" s="11" t="inlineStr">
        <is>
          <t>list1</t>
        </is>
      </c>
      <c r="D1443" s="11" t="inlineStr">
        <is>
          <t>verified</t>
        </is>
      </c>
      <c r="E1443" s="11" t="inlineStr">
        <is>
          <t>overruled</t>
        </is>
      </c>
      <c r="F1443" s="2" t="inlineStr">
        <is>
          <t>Hindustan Everest Tools Ltd. v. Shakti Kumar</t>
        </is>
      </c>
      <c r="G1443" s="11" t="inlineStr"/>
      <c r="H1443" s="11" t="inlineStr">
        <is>
          <t>unknown</t>
        </is>
      </c>
      <c r="I1443" s="2" t="inlineStr">
        <is>
          <t>(1986) 29 DLT 216; (1986) 10 DRJ 22; (1986) 1 ILR Delhi 40; (1986) RLR 1</t>
        </is>
      </c>
      <c r="J1443" s="11" t="n">
        <v>1986</v>
      </c>
      <c r="K1443" s="2" t="inlineStr">
        <is>
          <t>Rakesh Kumar and Anr v. Hindustan Everest Tool Ltd.</t>
        </is>
      </c>
      <c r="L1443" s="11" t="inlineStr">
        <is>
          <t>Supreme Court</t>
        </is>
      </c>
      <c r="M1443" s="2" t="inlineStr">
        <is>
          <t>AIR 1988 SC 976; (1988) 1 JT 619; (1988) 1 SCALE 556; (1988) 2 SCC 165; (1988) 3 SCR 88; (1988) 1 UJ 613</t>
        </is>
      </c>
      <c r="N1443" s="11" t="n">
        <v>1988</v>
      </c>
      <c r="O1443" s="11" t="n"/>
      <c r="P1443" s="11" t="n"/>
      <c r="Q1443" s="11" t="n"/>
      <c r="R1443" s="2" t="n"/>
      <c r="S1443" s="2" t="n"/>
      <c r="T1443" s="11" t="inlineStr"/>
      <c r="U1443" s="11" t="inlineStr"/>
      <c r="V1443" s="11" t="inlineStr">
        <is>
          <t>outside_list</t>
        </is>
      </c>
      <c r="W1443" s="11" t="n"/>
      <c r="X1443" s="11" t="n"/>
      <c r="Y1443" s="11" t="n"/>
      <c r="Z1443" s="11" t="inlineStr">
        <is>
          <t>Mr. Advocate</t>
        </is>
      </c>
      <c r="AA1443" s="11" t="inlineStr">
        <is>
          <t>2026-10-07</t>
        </is>
      </c>
      <c r="AB1443" s="11" t="inlineStr">
        <is>
          <t>name_year</t>
        </is>
      </c>
      <c r="AC1443" s="2" t="inlineStr"/>
      <c r="AD1443" s="2" t="inlineStr">
        <is>
          <t>Hindustan Everest Tools Ltd. v. Shakti Kumar (1986) was overruled by Rakesh Kumar and Anr v. Hindustan Everest Tool Ltd. (1988).</t>
        </is>
      </c>
      <c r="AE1443" s="2" t="n"/>
      <c r="AF1443" s="11" t="inlineStr">
        <is>
          <t>created from list 1</t>
        </is>
      </c>
    </row>
    <row r="1444">
      <c r="A1444" s="11" t="inlineStr">
        <is>
          <t>L1-1443</t>
        </is>
      </c>
      <c r="B1444" s="11" t="inlineStr">
        <is>
          <t>List 1 (to ~2015)</t>
        </is>
      </c>
      <c r="C1444" s="11" t="inlineStr">
        <is>
          <t>list1</t>
        </is>
      </c>
      <c r="D1444" s="11" t="inlineStr">
        <is>
          <t>verified</t>
        </is>
      </c>
      <c r="E1444" s="11" t="inlineStr">
        <is>
          <t>reversed_on_appeal</t>
        </is>
      </c>
      <c r="F1444" s="2" t="inlineStr">
        <is>
          <t>Smt. Neelu Kohli v. Naveen Kohli</t>
        </is>
      </c>
      <c r="G1444" s="11" t="inlineStr"/>
      <c r="H1444" s="11" t="inlineStr">
        <is>
          <t>Allahabad</t>
        </is>
      </c>
      <c r="I1444" s="2" t="inlineStr">
        <is>
          <t>AIR 2004 All 1; (2003) 6 AWC 5414; (2004) 2 DMC 223</t>
        </is>
      </c>
      <c r="J1444" s="11" t="n">
        <v>2004</v>
      </c>
      <c r="K1444" s="2" t="inlineStr">
        <is>
          <t>Naveen Kohli v. Neelu Kohli</t>
        </is>
      </c>
      <c r="L1444" s="11" t="inlineStr">
        <is>
          <t>Supreme Court</t>
        </is>
      </c>
      <c r="M1444" s="2" t="inlineStr">
        <is>
          <t>AIR 2006 SC 1675; (2006) 2 CTC 510; (2006) 1 DMC 489; (2006) 3 JT 491; (2006) 3 SCALE 252; (2006) 4 SCC 558; (2006) AIRSCW 1550; (2006) 2 Supreme 627</t>
        </is>
      </c>
      <c r="N1444" s="11" t="n">
        <v>2006</v>
      </c>
      <c r="O1444" s="11" t="n"/>
      <c r="P1444" s="11" t="n"/>
      <c r="Q1444" s="11" t="n"/>
      <c r="R1444" s="2" t="n"/>
      <c r="S1444" s="2" t="n"/>
      <c r="T1444" s="11" t="inlineStr">
        <is>
          <t>yes</t>
        </is>
      </c>
      <c r="U1444" s="11" t="inlineStr"/>
      <c r="V1444" s="11" t="inlineStr">
        <is>
          <t>outside_list</t>
        </is>
      </c>
      <c r="W1444" s="11" t="n"/>
      <c r="X1444" s="11" t="n"/>
      <c r="Y1444" s="11" t="n"/>
      <c r="Z1444" s="11" t="inlineStr">
        <is>
          <t>Mr. Advocate</t>
        </is>
      </c>
      <c r="AA1444" s="11" t="inlineStr">
        <is>
          <t>2026-10-07</t>
        </is>
      </c>
      <c r="AB1444" s="11" t="inlineStr">
        <is>
          <t>name_year</t>
        </is>
      </c>
      <c r="AC1444" s="2" t="inlineStr"/>
      <c r="AD1444" s="2" t="inlineStr">
        <is>
          <t>Smt. Neelu Kohli v. Naveen Kohli (2004) was reversed on appeal by the Supreme Court in Naveen Kohli v. Neelu Kohli (2006).</t>
        </is>
      </c>
      <c r="AE1444" s="2" t="n"/>
      <c r="AF1444" s="11" t="inlineStr">
        <is>
          <t>created from list 1</t>
        </is>
      </c>
    </row>
    <row r="1445">
      <c r="A1445" s="11" t="inlineStr">
        <is>
          <t>L1-1444</t>
        </is>
      </c>
      <c r="B1445" s="11" t="inlineStr">
        <is>
          <t>List 1 (to ~2015)</t>
        </is>
      </c>
      <c r="C1445" s="11" t="inlineStr">
        <is>
          <t>list1</t>
        </is>
      </c>
      <c r="D1445" s="11" t="inlineStr">
        <is>
          <t>verified</t>
        </is>
      </c>
      <c r="E1445" s="11" t="inlineStr">
        <is>
          <t>overruled</t>
        </is>
      </c>
      <c r="F1445" s="2" t="inlineStr">
        <is>
          <t>Hyderabad Asbestos Cement Products Ltd. and another v. Union of India and others</t>
        </is>
      </c>
      <c r="G1445" s="11" t="inlineStr"/>
      <c r="H1445" s="11" t="inlineStr">
        <is>
          <t>unknown</t>
        </is>
      </c>
      <c r="I1445" s="2" t="inlineStr">
        <is>
          <t>(1990) 28 ECR 377; (1980) 6 ELT 735</t>
        </is>
      </c>
      <c r="J1445" s="11" t="n">
        <v>1980</v>
      </c>
      <c r="K1445" s="2" t="inlineStr">
        <is>
          <t>Collector of Central Excise, Madras v. Coimbatore Pioneer Fertilizers Ltd.</t>
        </is>
      </c>
      <c r="L1445" s="11" t="inlineStr">
        <is>
          <t>Supreme Court</t>
        </is>
      </c>
      <c r="M1445" s="2" t="inlineStr">
        <is>
          <t>(1998) 77 ECR 438; (1997) 92 ELT 6; (1998) 4 JT 436; (1997) 8 SCC 518</t>
        </is>
      </c>
      <c r="N1445" s="11" t="n">
        <v>1997</v>
      </c>
      <c r="O1445" s="11" t="n"/>
      <c r="P1445" s="11" t="n"/>
      <c r="Q1445" s="11" t="n"/>
      <c r="R1445" s="2" t="n"/>
      <c r="S1445" s="2" t="n"/>
      <c r="T1445" s="11" t="inlineStr"/>
      <c r="U1445" s="11" t="inlineStr"/>
      <c r="V1445" s="11" t="inlineStr">
        <is>
          <t>outside_list</t>
        </is>
      </c>
      <c r="W1445" s="11" t="n"/>
      <c r="X1445" s="11" t="n"/>
      <c r="Y1445" s="11" t="n"/>
      <c r="Z1445" s="11" t="inlineStr">
        <is>
          <t>Mr. Advocate</t>
        </is>
      </c>
      <c r="AA1445" s="11" t="inlineStr">
        <is>
          <t>2026-10-07</t>
        </is>
      </c>
      <c r="AB1445" s="11" t="inlineStr">
        <is>
          <t>name_year</t>
        </is>
      </c>
      <c r="AC1445" s="2" t="inlineStr"/>
      <c r="AD1445" s="2" t="inlineStr">
        <is>
          <t>Hyderabad Asbestos Cement Products Ltd. and another v. Union of India and others (1980) was overruled by Collector of Central Excise, Madras v. Coimbatore Pioneer Fertilizers Ltd. (1997).</t>
        </is>
      </c>
      <c r="AE1445" s="2" t="n"/>
      <c r="AF1445" s="11" t="inlineStr">
        <is>
          <t>created from list 1</t>
        </is>
      </c>
    </row>
    <row r="1446">
      <c r="A1446" s="11" t="inlineStr">
        <is>
          <t>L1-1445</t>
        </is>
      </c>
      <c r="B1446" s="11" t="inlineStr">
        <is>
          <t>List 1 (to ~2015)</t>
        </is>
      </c>
      <c r="C1446" s="11" t="inlineStr">
        <is>
          <t>list1</t>
        </is>
      </c>
      <c r="D1446" s="11" t="inlineStr">
        <is>
          <t>verified</t>
        </is>
      </c>
      <c r="E1446" s="11" t="inlineStr">
        <is>
          <t>reversed_on_appeal</t>
        </is>
      </c>
      <c r="F1446" s="2" t="inlineStr">
        <is>
          <t>Seth R. Dalmia v. The Union of India and Others</t>
        </is>
      </c>
      <c r="G1446" s="11" t="inlineStr"/>
      <c r="H1446" s="11" t="inlineStr">
        <is>
          <t>unknown</t>
        </is>
      </c>
      <c r="I1446" s="2" t="inlineStr">
        <is>
          <t>(1970) ILR Delhi 85</t>
        </is>
      </c>
      <c r="J1446" s="11" t="n">
        <v>1970</v>
      </c>
      <c r="K1446" s="2" t="inlineStr">
        <is>
          <t>Union of India (UOI) and Others v. Seth R. Dalmia</t>
        </is>
      </c>
      <c r="L1446" s="11" t="inlineStr">
        <is>
          <t>Supreme Court</t>
        </is>
      </c>
      <c r="M1446" s="2" t="inlineStr">
        <is>
          <t>AIR 1975 SC 1017; (1975) 4 SCC 16; (1975) 3 SCR 735; (1975) 7 UJ 275</t>
        </is>
      </c>
      <c r="N1446" s="11" t="n">
        <v>1975</v>
      </c>
      <c r="O1446" s="11" t="n"/>
      <c r="P1446" s="11" t="n"/>
      <c r="Q1446" s="11" t="n"/>
      <c r="R1446" s="2" t="n"/>
      <c r="S1446" s="2" t="n"/>
      <c r="T1446" s="11" t="inlineStr">
        <is>
          <t>yes</t>
        </is>
      </c>
      <c r="U1446" s="11" t="inlineStr"/>
      <c r="V1446" s="11" t="inlineStr">
        <is>
          <t>outside_list</t>
        </is>
      </c>
      <c r="W1446" s="11" t="n"/>
      <c r="X1446" s="11" t="n"/>
      <c r="Y1446" s="11" t="n"/>
      <c r="Z1446" s="11" t="inlineStr">
        <is>
          <t>Mr. Advocate</t>
        </is>
      </c>
      <c r="AA1446" s="11" t="inlineStr">
        <is>
          <t>2026-10-07</t>
        </is>
      </c>
      <c r="AB1446" s="11" t="inlineStr">
        <is>
          <t>name_year</t>
        </is>
      </c>
      <c r="AC1446" s="2" t="inlineStr"/>
      <c r="AD1446" s="2" t="inlineStr">
        <is>
          <t>Seth R. Dalmia v. The Union of India and Others (1970) was reversed on appeal by the Supreme Court in Union of India (UOI) and Others v. Seth R. Dalmia (1975).</t>
        </is>
      </c>
      <c r="AE1446" s="2" t="n"/>
      <c r="AF1446" s="11" t="inlineStr">
        <is>
          <t>created from list 1</t>
        </is>
      </c>
    </row>
    <row r="1447">
      <c r="A1447" s="11" t="inlineStr">
        <is>
          <t>L1-1446</t>
        </is>
      </c>
      <c r="B1447" s="11" t="inlineStr">
        <is>
          <t>List 1 (to ~2015)</t>
        </is>
      </c>
      <c r="C1447" s="11" t="inlineStr">
        <is>
          <t>list1</t>
        </is>
      </c>
      <c r="D1447" s="11" t="inlineStr">
        <is>
          <t>verified</t>
        </is>
      </c>
      <c r="E1447" s="11" t="inlineStr">
        <is>
          <t>reversed_on_appeal</t>
        </is>
      </c>
      <c r="F1447" s="2" t="inlineStr">
        <is>
          <t>Union of India and Another v. Rajdhani Grains and Jaggery Exchange Ltd. and Others</t>
        </is>
      </c>
      <c r="G1447" s="11" t="inlineStr"/>
      <c r="H1447" s="11" t="inlineStr">
        <is>
          <t>High Court/other (Delhi)</t>
        </is>
      </c>
      <c r="I1447" s="2" t="inlineStr">
        <is>
          <t>AIR 1973 Delhi 1; (1972) 2 ILR Delhi 899</t>
        </is>
      </c>
      <c r="J1447" s="11" t="n">
        <v>1973</v>
      </c>
      <c r="K1447" s="2" t="inlineStr">
        <is>
          <t>Union of India (UOI) and Another v. Rajdhani Grains and Jaggery Exchange Ltd. and Others</t>
        </is>
      </c>
      <c r="L1447" s="11" t="inlineStr">
        <is>
          <t>Supreme Court</t>
        </is>
      </c>
      <c r="M1447" s="2" t="inlineStr">
        <is>
          <t>AIR 1975 SC 1218; (1975) 1 SCC 676; (1975) SCR 1 Supp; (1975) 7 UJ 346</t>
        </is>
      </c>
      <c r="N1447" s="11" t="n">
        <v>1975</v>
      </c>
      <c r="O1447" s="11" t="n"/>
      <c r="P1447" s="11" t="n"/>
      <c r="Q1447" s="11" t="n"/>
      <c r="R1447" s="2" t="n"/>
      <c r="S1447" s="2" t="n"/>
      <c r="T1447" s="11" t="inlineStr">
        <is>
          <t>yes</t>
        </is>
      </c>
      <c r="U1447" s="11" t="inlineStr"/>
      <c r="V1447" s="11" t="inlineStr">
        <is>
          <t>outside_list</t>
        </is>
      </c>
      <c r="W1447" s="11" t="n"/>
      <c r="X1447" s="11" t="n"/>
      <c r="Y1447" s="11" t="n"/>
      <c r="Z1447" s="11" t="inlineStr">
        <is>
          <t>Mr. Advocate</t>
        </is>
      </c>
      <c r="AA1447" s="11" t="inlineStr">
        <is>
          <t>2026-10-07</t>
        </is>
      </c>
      <c r="AB1447" s="11" t="inlineStr">
        <is>
          <t>name_year</t>
        </is>
      </c>
      <c r="AC1447" s="2" t="inlineStr"/>
      <c r="AD1447" s="2" t="inlineStr">
        <is>
          <t>Union of India and Another v. Rajdhani Grains and Jaggery Exchange Ltd. and Others (1973) was reversed on appeal by the Supreme Court in Union of India (UOI) and Another v. Rajdhani Grains and Jaggery Exchange Ltd. and Others (1975).</t>
        </is>
      </c>
      <c r="AE1447" s="2" t="n"/>
      <c r="AF1447" s="11" t="inlineStr">
        <is>
          <t>created from list 1</t>
        </is>
      </c>
    </row>
    <row r="1448">
      <c r="A1448" s="11" t="inlineStr">
        <is>
          <t>L1-1447</t>
        </is>
      </c>
      <c r="B1448" s="11" t="inlineStr">
        <is>
          <t>List 1 (to ~2015)</t>
        </is>
      </c>
      <c r="C1448" s="11" t="inlineStr">
        <is>
          <t>list1</t>
        </is>
      </c>
      <c r="D1448" s="11" t="inlineStr">
        <is>
          <t>verified</t>
        </is>
      </c>
      <c r="E1448" s="11" t="inlineStr">
        <is>
          <t>reversed_on_appeal</t>
        </is>
      </c>
      <c r="F1448" s="2" t="inlineStr">
        <is>
          <t>Pali Ram v. State</t>
        </is>
      </c>
      <c r="G1448" s="11" t="inlineStr"/>
      <c r="H1448" s="11" t="inlineStr">
        <is>
          <t>unknown</t>
        </is>
      </c>
      <c r="I1448" s="2" t="inlineStr">
        <is>
          <t>(1975) CriLJ 1756; (1975) ILR Delhi 352</t>
        </is>
      </c>
      <c r="J1448" s="11" t="n">
        <v>1975</v>
      </c>
      <c r="K1448" s="2" t="inlineStr">
        <is>
          <t>The State (Delhi Administration) v. Pali Ram</t>
        </is>
      </c>
      <c r="L1448" s="11" t="inlineStr">
        <is>
          <t>Supreme Court</t>
        </is>
      </c>
      <c r="M1448" s="2" t="inlineStr">
        <is>
          <t>AIR 1979 SC 14; (1979) CriLJ 17; (1979) 2 SCC 158; (1979) SCC(Cri) 389; (1979) 1 SCR 931</t>
        </is>
      </c>
      <c r="N1448" s="11" t="n">
        <v>1979</v>
      </c>
      <c r="O1448" s="11" t="n"/>
      <c r="P1448" s="11" t="n"/>
      <c r="Q1448" s="11" t="n"/>
      <c r="R1448" s="2" t="n"/>
      <c r="S1448" s="2" t="n"/>
      <c r="T1448" s="11" t="inlineStr">
        <is>
          <t>yes</t>
        </is>
      </c>
      <c r="U1448" s="11" t="inlineStr"/>
      <c r="V1448" s="11" t="inlineStr">
        <is>
          <t>outside_list</t>
        </is>
      </c>
      <c r="W1448" s="11" t="n"/>
      <c r="X1448" s="11" t="n"/>
      <c r="Y1448" s="11" t="n"/>
      <c r="Z1448" s="11" t="inlineStr">
        <is>
          <t>Mr. Advocate</t>
        </is>
      </c>
      <c r="AA1448" s="11" t="inlineStr">
        <is>
          <t>2026-10-07</t>
        </is>
      </c>
      <c r="AB1448" s="11" t="inlineStr">
        <is>
          <t>name_year</t>
        </is>
      </c>
      <c r="AC1448" s="2" t="inlineStr"/>
      <c r="AD1448" s="2" t="inlineStr">
        <is>
          <t>Pali Ram v. State (1975) was reversed on appeal by the Supreme Court in The State (Delhi Administration) v. Pali Ram (1979).</t>
        </is>
      </c>
      <c r="AE1448" s="2" t="n"/>
      <c r="AF1448" s="11" t="inlineStr">
        <is>
          <t>created from list 1</t>
        </is>
      </c>
    </row>
    <row r="1449">
      <c r="A1449" s="11" t="inlineStr">
        <is>
          <t>L1-1448</t>
        </is>
      </c>
      <c r="B1449" s="11" t="inlineStr">
        <is>
          <t>List 1 (to ~2015)</t>
        </is>
      </c>
      <c r="C1449" s="11" t="inlineStr">
        <is>
          <t>list1</t>
        </is>
      </c>
      <c r="D1449" s="11" t="inlineStr">
        <is>
          <t>verified</t>
        </is>
      </c>
      <c r="E1449" s="11" t="inlineStr">
        <is>
          <t>reversed_on_appeal</t>
        </is>
      </c>
      <c r="F1449" s="2" t="inlineStr">
        <is>
          <t>Arraycom (India) Ltd. v. Union of India (UOI), All India Radio and BECIL</t>
        </is>
      </c>
      <c r="G1449" s="11" t="inlineStr"/>
      <c r="H1449" s="11" t="inlineStr">
        <is>
          <t>unknown</t>
        </is>
      </c>
      <c r="I1449" s="2" t="inlineStr">
        <is>
          <t>(2009) 157 DLT 659; (2010) 29 VST 546</t>
        </is>
      </c>
      <c r="J1449" s="11" t="n">
        <v>2009</v>
      </c>
      <c r="K1449" s="2" t="inlineStr">
        <is>
          <t>BECIL v. Arraycom India Ltd. and Others</t>
        </is>
      </c>
      <c r="L1449" s="11" t="inlineStr">
        <is>
          <t>Supreme Court</t>
        </is>
      </c>
      <c r="M1449" s="2" t="inlineStr">
        <is>
          <t>(2009) 13 JT 331; (2010) 157 PLR 398; (2010) 1 SCC 139; (2009) 15 SCR 277; (2010) 29 VST 555</t>
        </is>
      </c>
      <c r="N1449" s="11" t="n">
        <v>2009</v>
      </c>
      <c r="O1449" s="11" t="n"/>
      <c r="P1449" s="11" t="n"/>
      <c r="Q1449" s="11" t="n"/>
      <c r="R1449" s="2" t="n"/>
      <c r="S1449" s="2" t="n"/>
      <c r="T1449" s="11" t="inlineStr">
        <is>
          <t>yes</t>
        </is>
      </c>
      <c r="U1449" s="11" t="inlineStr"/>
      <c r="V1449" s="11" t="inlineStr">
        <is>
          <t>outside_list</t>
        </is>
      </c>
      <c r="W1449" s="11" t="n"/>
      <c r="X1449" s="11" t="n"/>
      <c r="Y1449" s="11" t="n"/>
      <c r="Z1449" s="11" t="inlineStr">
        <is>
          <t>Mr. Advocate</t>
        </is>
      </c>
      <c r="AA1449" s="11" t="inlineStr">
        <is>
          <t>2026-10-07</t>
        </is>
      </c>
      <c r="AB1449" s="11" t="inlineStr">
        <is>
          <t>name_year</t>
        </is>
      </c>
      <c r="AC1449" s="2" t="inlineStr"/>
      <c r="AD1449" s="2" t="inlineStr">
        <is>
          <t>Arraycom (India) Ltd. v. Union of India (UOI), All India Radio and BECIL (2009) was reversed on appeal by the Supreme Court in BECIL v. Arraycom India Ltd. and Others (2009).</t>
        </is>
      </c>
      <c r="AE1449" s="2" t="n"/>
      <c r="AF1449" s="11" t="inlineStr">
        <is>
          <t>created from list 1</t>
        </is>
      </c>
    </row>
    <row r="1450">
      <c r="A1450" s="11" t="inlineStr">
        <is>
          <t>L1-1449</t>
        </is>
      </c>
      <c r="B1450" s="11" t="inlineStr">
        <is>
          <t>List 1 (to ~2015)</t>
        </is>
      </c>
      <c r="C1450" s="11" t="inlineStr">
        <is>
          <t>list1</t>
        </is>
      </c>
      <c r="D1450" s="11" t="inlineStr">
        <is>
          <t>verified</t>
        </is>
      </c>
      <c r="E1450" s="11" t="inlineStr">
        <is>
          <t>overruled</t>
        </is>
      </c>
      <c r="F1450" s="2" t="inlineStr">
        <is>
          <t>Commissioner of Income Tax, Delhi-I v. Anand Prasad and others</t>
        </is>
      </c>
      <c r="G1450" s="11" t="inlineStr"/>
      <c r="H1450" s="11" t="inlineStr">
        <is>
          <t>unknown</t>
        </is>
      </c>
      <c r="I1450" s="2" t="inlineStr">
        <is>
          <t>(1981) 128 ITR 388; (1981) 5 TAXMAN 308</t>
        </is>
      </c>
      <c r="J1450" s="11" t="n">
        <v>1981</v>
      </c>
      <c r="K1450" s="2" t="inlineStr">
        <is>
          <t>National Thermal Power Co. Ltd. v. Commissioner of Income Tax</t>
        </is>
      </c>
      <c r="L1450" s="11" t="inlineStr">
        <is>
          <t>Supreme Court</t>
        </is>
      </c>
      <c r="M1450" s="2" t="inlineStr">
        <is>
          <t>(1999) 157 CTR 249; (1998) 99 ELT 200; (1998) 229 ITR 383; (1997) 7 SCC 489; (1998) 97 TAXMAN 358</t>
        </is>
      </c>
      <c r="N1450" s="11" t="n">
        <v>1997</v>
      </c>
      <c r="O1450" s="11" t="n"/>
      <c r="P1450" s="11" t="n"/>
      <c r="Q1450" s="11" t="n"/>
      <c r="R1450" s="2" t="n"/>
      <c r="S1450" s="2" t="n"/>
      <c r="T1450" s="11" t="inlineStr"/>
      <c r="U1450" s="11" t="inlineStr"/>
      <c r="V1450" s="11" t="inlineStr">
        <is>
          <t>outside_list</t>
        </is>
      </c>
      <c r="W1450" s="11" t="n"/>
      <c r="X1450" s="11" t="n"/>
      <c r="Y1450" s="11" t="n"/>
      <c r="Z1450" s="11" t="inlineStr">
        <is>
          <t>Mr. Advocate</t>
        </is>
      </c>
      <c r="AA1450" s="11" t="inlineStr">
        <is>
          <t>2026-10-07</t>
        </is>
      </c>
      <c r="AB1450" s="11" t="inlineStr">
        <is>
          <t>name_year</t>
        </is>
      </c>
      <c r="AC1450" s="2" t="inlineStr"/>
      <c r="AD1450" s="2" t="inlineStr">
        <is>
          <t>Commissioner of Income Tax, Delhi-I v. Anand Prasad and others (1981) was overruled by National Thermal Power Co. Ltd. v. Commissioner of Income Tax (1997).</t>
        </is>
      </c>
      <c r="AE1450" s="2" t="n"/>
      <c r="AF1450" s="11" t="inlineStr">
        <is>
          <t>created from list 1</t>
        </is>
      </c>
    </row>
    <row r="1451">
      <c r="A1451" s="11" t="inlineStr">
        <is>
          <t>L1-1450</t>
        </is>
      </c>
      <c r="B1451" s="11" t="inlineStr">
        <is>
          <t>List 1 (to ~2015)</t>
        </is>
      </c>
      <c r="C1451" s="11" t="inlineStr">
        <is>
          <t>list1</t>
        </is>
      </c>
      <c r="D1451" s="11" t="inlineStr">
        <is>
          <t>verified</t>
        </is>
      </c>
      <c r="E1451" s="11" t="inlineStr">
        <is>
          <t>overruled</t>
        </is>
      </c>
      <c r="F1451" s="2" t="inlineStr">
        <is>
          <t>Chinti etc. v. Daultu</t>
        </is>
      </c>
      <c r="G1451" s="11" t="inlineStr"/>
      <c r="H1451" s="11" t="inlineStr">
        <is>
          <t>High Court/other (Delhi)</t>
        </is>
      </c>
      <c r="I1451" s="2" t="inlineStr">
        <is>
          <t>AIR 1968 Delhi 264; (1968) 4 DLT 444; (1968) ILR Delhi 282 Supp</t>
        </is>
      </c>
      <c r="J1451" s="11" t="n">
        <v>1968</v>
      </c>
      <c r="K1451" s="2" t="inlineStr">
        <is>
          <t>Kalawatibai v. Soiryabai and others</t>
        </is>
      </c>
      <c r="L1451" s="11" t="inlineStr">
        <is>
          <t>Supreme Court</t>
        </is>
      </c>
      <c r="M1451" s="2" t="inlineStr">
        <is>
          <t>AIR 1991 SC 1581; (1991) 2 DMC 143; (1991) 2 JT 385; (1991) 1 SCALE 852; (1991) 3 SCC 410; (1991) 2 SCR 599; (1991) 2 UJ 230</t>
        </is>
      </c>
      <c r="N1451" s="11" t="n">
        <v>1991</v>
      </c>
      <c r="O1451" s="11" t="n"/>
      <c r="P1451" s="11" t="n"/>
      <c r="Q1451" s="11" t="n"/>
      <c r="R1451" s="2" t="n"/>
      <c r="S1451" s="2" t="n"/>
      <c r="T1451" s="11" t="inlineStr"/>
      <c r="U1451" s="11" t="inlineStr"/>
      <c r="V1451" s="11" t="inlineStr">
        <is>
          <t>outside_list</t>
        </is>
      </c>
      <c r="W1451" s="11" t="n"/>
      <c r="X1451" s="11" t="n"/>
      <c r="Y1451" s="11" t="n"/>
      <c r="Z1451" s="11" t="inlineStr">
        <is>
          <t>Mr. Advocate</t>
        </is>
      </c>
      <c r="AA1451" s="11" t="inlineStr">
        <is>
          <t>2026-10-07</t>
        </is>
      </c>
      <c r="AB1451" s="11" t="inlineStr">
        <is>
          <t>name_year</t>
        </is>
      </c>
      <c r="AC1451" s="2" t="inlineStr"/>
      <c r="AD1451" s="2" t="inlineStr">
        <is>
          <t>Chinti etc. v. Daultu (1968) was overruled by Kalawatibai v. Soiryabai and others (1991).</t>
        </is>
      </c>
      <c r="AE1451" s="2" t="n"/>
      <c r="AF1451" s="11" t="inlineStr">
        <is>
          <t>created from list 1</t>
        </is>
      </c>
    </row>
    <row r="1452">
      <c r="A1452" s="11" t="inlineStr">
        <is>
          <t>L1-1451</t>
        </is>
      </c>
      <c r="B1452" s="11" t="inlineStr">
        <is>
          <t>List 1 (to ~2015)</t>
        </is>
      </c>
      <c r="C1452" s="11" t="inlineStr">
        <is>
          <t>list1</t>
        </is>
      </c>
      <c r="D1452" s="11" t="inlineStr">
        <is>
          <t>verified</t>
        </is>
      </c>
      <c r="E1452" s="11" t="inlineStr">
        <is>
          <t>reversed_on_appeal</t>
        </is>
      </c>
      <c r="F1452" s="2" t="inlineStr">
        <is>
          <t>M/s. New Horizons Limited and another v. Union of India and others</t>
        </is>
      </c>
      <c r="G1452" s="11" t="inlineStr"/>
      <c r="H1452" s="11" t="inlineStr">
        <is>
          <t>High Court/other (Delhi)</t>
        </is>
      </c>
      <c r="I1452" s="2" t="inlineStr">
        <is>
          <t>AIR 1994 Delhi 126; (1997) 89 CompCas 785; (1993) 52 DLT 560; (1994) 28 DRJ 228; (1994) 1 ILR Delhi 476</t>
        </is>
      </c>
      <c r="J1452" s="11" t="n">
        <v>1994</v>
      </c>
      <c r="K1452" s="2" t="inlineStr">
        <is>
          <t>New Horizons Limited and Another v. Union of India (UOI) and Others</t>
        </is>
      </c>
      <c r="L1452" s="11" t="inlineStr">
        <is>
          <t>Supreme Court</t>
        </is>
      </c>
      <c r="M1452" s="2" t="inlineStr">
        <is>
          <t>(1997) 89 CompCas 849; (1995) 1 SCC 478; (1994) 5 SCR 310 Supp</t>
        </is>
      </c>
      <c r="N1452" s="11" t="n">
        <v>1994</v>
      </c>
      <c r="O1452" s="11" t="n"/>
      <c r="P1452" s="11" t="n"/>
      <c r="Q1452" s="11" t="n"/>
      <c r="R1452" s="2" t="n"/>
      <c r="S1452" s="2" t="n"/>
      <c r="T1452" s="11" t="inlineStr">
        <is>
          <t>yes</t>
        </is>
      </c>
      <c r="U1452" s="11" t="inlineStr"/>
      <c r="V1452" s="11" t="inlineStr">
        <is>
          <t>outside_list</t>
        </is>
      </c>
      <c r="W1452" s="11" t="n"/>
      <c r="X1452" s="11" t="n"/>
      <c r="Y1452" s="11" t="n"/>
      <c r="Z1452" s="11" t="inlineStr">
        <is>
          <t>Mr. Advocate</t>
        </is>
      </c>
      <c r="AA1452" s="11" t="inlineStr">
        <is>
          <t>2026-10-07</t>
        </is>
      </c>
      <c r="AB1452" s="11" t="inlineStr">
        <is>
          <t>name_year</t>
        </is>
      </c>
      <c r="AC1452" s="2" t="inlineStr"/>
      <c r="AD1452" s="2" t="inlineStr">
        <is>
          <t>M/s. New Horizons Limited and another v. Union of India and others (1994) was reversed on appeal by the Supreme Court in New Horizons Limited and Another v. Union of India (UOI) and Others (1994).</t>
        </is>
      </c>
      <c r="AE1452" s="2" t="n"/>
      <c r="AF1452" s="11" t="inlineStr">
        <is>
          <t>created from list 1</t>
        </is>
      </c>
    </row>
    <row r="1453">
      <c r="A1453" s="11" t="inlineStr">
        <is>
          <t>L1-1452</t>
        </is>
      </c>
      <c r="B1453" s="11" t="inlineStr">
        <is>
          <t>List 1 (to ~2015)</t>
        </is>
      </c>
      <c r="C1453" s="11" t="inlineStr">
        <is>
          <t>list1</t>
        </is>
      </c>
      <c r="D1453" s="11" t="inlineStr">
        <is>
          <t>verified</t>
        </is>
      </c>
      <c r="E1453" s="11" t="inlineStr">
        <is>
          <t>overruled</t>
        </is>
      </c>
      <c r="F1453" s="2" t="inlineStr">
        <is>
          <t>Dr. P.P. Kapur v. Union of India and Others</t>
        </is>
      </c>
      <c r="G1453" s="11" t="inlineStr"/>
      <c r="H1453" s="11" t="inlineStr">
        <is>
          <t>High Court/other (Delhi)</t>
        </is>
      </c>
      <c r="I1453" s="2" t="inlineStr">
        <is>
          <t>AIR 1990 Delhi 290; (1990) 41 DLT 483; (1990) ILR Delhi 244; (1990) RLR 318</t>
        </is>
      </c>
      <c r="J1453" s="11" t="n">
        <v>1990</v>
      </c>
      <c r="K1453" s="2" t="inlineStr">
        <is>
          <t>EMC Steel Limited, Calcutta v. Union of India (UOI) and Another</t>
        </is>
      </c>
      <c r="L1453" s="11" t="inlineStr">
        <is>
          <t>Supreme Court</t>
        </is>
      </c>
      <c r="M1453" s="2" t="inlineStr">
        <is>
          <t>(1991) 1 JT 447; (1991) 1 SCALE 206; (1991) 2 SCC 101; (1991) 1 SCR 381; (1991) 1 UJ 596</t>
        </is>
      </c>
      <c r="N1453" s="11" t="n">
        <v>1991</v>
      </c>
      <c r="O1453" s="11" t="n"/>
      <c r="P1453" s="11" t="n"/>
      <c r="Q1453" s="11" t="n"/>
      <c r="R1453" s="2" t="n"/>
      <c r="S1453" s="2" t="n"/>
      <c r="T1453" s="11" t="inlineStr"/>
      <c r="U1453" s="11" t="inlineStr"/>
      <c r="V1453" s="11" t="inlineStr">
        <is>
          <t>outside_list</t>
        </is>
      </c>
      <c r="W1453" s="11" t="n"/>
      <c r="X1453" s="11" t="n"/>
      <c r="Y1453" s="11" t="n"/>
      <c r="Z1453" s="11" t="inlineStr">
        <is>
          <t>Mr. Advocate</t>
        </is>
      </c>
      <c r="AA1453" s="11" t="inlineStr">
        <is>
          <t>2026-10-07</t>
        </is>
      </c>
      <c r="AB1453" s="11" t="inlineStr">
        <is>
          <t>name_year</t>
        </is>
      </c>
      <c r="AC1453" s="2" t="inlineStr"/>
      <c r="AD1453" s="2" t="inlineStr">
        <is>
          <t>Dr. P.P. Kapur v. Union of India and Others (1990) was overruled by EMC Steel Limited, Calcutta v. Union of India (UOI) and Another (1991).</t>
        </is>
      </c>
      <c r="AE1453" s="2" t="n"/>
      <c r="AF1453" s="11" t="inlineStr">
        <is>
          <t>created from list 1</t>
        </is>
      </c>
    </row>
    <row r="1454">
      <c r="A1454" s="11" t="inlineStr">
        <is>
          <t>L1-1453</t>
        </is>
      </c>
      <c r="B1454" s="11" t="inlineStr">
        <is>
          <t>List 1 (to ~2015)</t>
        </is>
      </c>
      <c r="C1454" s="11" t="inlineStr">
        <is>
          <t>list1</t>
        </is>
      </c>
      <c r="D1454" s="11" t="inlineStr">
        <is>
          <t>verified</t>
        </is>
      </c>
      <c r="E1454" s="11" t="inlineStr">
        <is>
          <t>reversed_on_appeal</t>
        </is>
      </c>
      <c r="F1454" s="2" t="inlineStr">
        <is>
          <t>Brij Mohan (Huf) v. Commissioner of Income Tax</t>
        </is>
      </c>
      <c r="G1454" s="11" t="inlineStr"/>
      <c r="H1454" s="11" t="inlineStr">
        <is>
          <t>unknown</t>
        </is>
      </c>
      <c r="I1454" s="2" t="inlineStr">
        <is>
          <t>(1986) 158 ITR 14</t>
        </is>
      </c>
      <c r="J1454" s="11" t="n">
        <v>1986</v>
      </c>
      <c r="K1454" s="2" t="inlineStr">
        <is>
          <t>Brij Mohan v. Commissioner of Income Tax, New Delhi</t>
        </is>
      </c>
      <c r="L1454" s="11" t="inlineStr">
        <is>
          <t>Supreme Court</t>
        </is>
      </c>
      <c r="M1454" s="2" t="inlineStr">
        <is>
          <t>AIR 1993 SC 2602; (1994) 116 CTR 64; (1993) 201 ITR 831; (1993) JT 491 Supp; (1993) 3 SCC 518 Supp; (1993) 69 TAXMAN 523</t>
        </is>
      </c>
      <c r="N1454" s="11" t="n">
        <v>1993</v>
      </c>
      <c r="O1454" s="11" t="n"/>
      <c r="P1454" s="11" t="n"/>
      <c r="Q1454" s="11" t="n"/>
      <c r="R1454" s="2" t="n"/>
      <c r="S1454" s="2" t="n"/>
      <c r="T1454" s="11" t="inlineStr">
        <is>
          <t>yes</t>
        </is>
      </c>
      <c r="U1454" s="11" t="inlineStr"/>
      <c r="V1454" s="11" t="inlineStr">
        <is>
          <t>outside_list</t>
        </is>
      </c>
      <c r="W1454" s="11" t="n"/>
      <c r="X1454" s="11" t="n"/>
      <c r="Y1454" s="11" t="n"/>
      <c r="Z1454" s="11" t="inlineStr">
        <is>
          <t>Mr. Advocate</t>
        </is>
      </c>
      <c r="AA1454" s="11" t="inlineStr">
        <is>
          <t>2026-10-07</t>
        </is>
      </c>
      <c r="AB1454" s="11" t="inlineStr">
        <is>
          <t>name_year</t>
        </is>
      </c>
      <c r="AC1454" s="2" t="inlineStr"/>
      <c r="AD1454" s="2" t="inlineStr">
        <is>
          <t>Brij Mohan (Huf) v. Commissioner of Income Tax (1986) was reversed on appeal by the Supreme Court in Brij Mohan v. Commissioner of Income Tax, New Delhi (1993).</t>
        </is>
      </c>
      <c r="AE1454" s="2" t="n"/>
      <c r="AF1454" s="11" t="inlineStr">
        <is>
          <t>created from list 1</t>
        </is>
      </c>
    </row>
    <row r="1455">
      <c r="A1455" s="11" t="inlineStr">
        <is>
          <t>L1-1454</t>
        </is>
      </c>
      <c r="B1455" s="11" t="inlineStr">
        <is>
          <t>List 1 (to ~2015)</t>
        </is>
      </c>
      <c r="C1455" s="11" t="inlineStr">
        <is>
          <t>list1</t>
        </is>
      </c>
      <c r="D1455" s="11" t="inlineStr">
        <is>
          <t>verified</t>
        </is>
      </c>
      <c r="E1455" s="11" t="inlineStr">
        <is>
          <t>reversed_on_appeal</t>
        </is>
      </c>
      <c r="F1455" s="2" t="inlineStr">
        <is>
          <t>The Lt. Governor of Delhi and Others v. Mandir Sita Ramji and Another</t>
        </is>
      </c>
      <c r="G1455" s="11" t="inlineStr"/>
      <c r="H1455" s="11" t="inlineStr">
        <is>
          <t>unknown</t>
        </is>
      </c>
      <c r="I1455" s="2" t="inlineStr">
        <is>
          <t>(1973) 1 ILR Delhi 57</t>
        </is>
      </c>
      <c r="J1455" s="11" t="n">
        <v>1973</v>
      </c>
      <c r="K1455" s="2" t="inlineStr">
        <is>
          <t>Shri Mandir Sita Ramji v. Lt. Governor of Delhi and Others</t>
        </is>
      </c>
      <c r="L1455" s="11" t="inlineStr">
        <is>
          <t>Supreme Court</t>
        </is>
      </c>
      <c r="M1455" s="2" t="inlineStr">
        <is>
          <t>AIR 1974 SC 1868; (1975) 77 PLR 333; (1975) 4 SCC 298; (1975) 1 SCR 597; (1974) 6 UJ 529</t>
        </is>
      </c>
      <c r="N1455" s="11" t="n">
        <v>1974</v>
      </c>
      <c r="O1455" s="11" t="n"/>
      <c r="P1455" s="11" t="n"/>
      <c r="Q1455" s="11" t="n"/>
      <c r="R1455" s="2" t="n"/>
      <c r="S1455" s="2" t="n"/>
      <c r="T1455" s="11" t="inlineStr">
        <is>
          <t>yes</t>
        </is>
      </c>
      <c r="U1455" s="11" t="inlineStr"/>
      <c r="V1455" s="11" t="inlineStr">
        <is>
          <t>outside_list</t>
        </is>
      </c>
      <c r="W1455" s="11" t="n"/>
      <c r="X1455" s="11" t="n"/>
      <c r="Y1455" s="11" t="n"/>
      <c r="Z1455" s="11" t="inlineStr">
        <is>
          <t>Mr. Advocate</t>
        </is>
      </c>
      <c r="AA1455" s="11" t="inlineStr">
        <is>
          <t>2026-10-07</t>
        </is>
      </c>
      <c r="AB1455" s="11" t="inlineStr">
        <is>
          <t>name_year</t>
        </is>
      </c>
      <c r="AC1455" s="2" t="inlineStr"/>
      <c r="AD1455" s="2" t="inlineStr">
        <is>
          <t>The Lt. Governor of Delhi and Others v. Mandir Sita Ramji and Another (1973) was reversed on appeal by the Supreme Court in Shri Mandir Sita Ramji v. Lt. Governor of Delhi and Others (1974).</t>
        </is>
      </c>
      <c r="AE1455" s="2" t="n"/>
      <c r="AF1455" s="11" t="inlineStr">
        <is>
          <t>created from list 1</t>
        </is>
      </c>
    </row>
    <row r="1456">
      <c r="A1456" s="11" t="inlineStr">
        <is>
          <t>L1-1455</t>
        </is>
      </c>
      <c r="B1456" s="11" t="inlineStr">
        <is>
          <t>List 1 (to ~2015)</t>
        </is>
      </c>
      <c r="C1456" s="11" t="inlineStr">
        <is>
          <t>list1</t>
        </is>
      </c>
      <c r="D1456" s="11" t="inlineStr">
        <is>
          <t>verified</t>
        </is>
      </c>
      <c r="E1456" s="11" t="inlineStr">
        <is>
          <t>reversed_on_appeal</t>
        </is>
      </c>
      <c r="F1456" s="2" t="inlineStr">
        <is>
          <t>Pritam Lal v. Anand Kaur</t>
        </is>
      </c>
      <c r="G1456" s="11" t="inlineStr"/>
      <c r="H1456" s="11" t="inlineStr">
        <is>
          <t>High Court/other (Delhi)</t>
        </is>
      </c>
      <c r="I1456" s="2" t="inlineStr">
        <is>
          <t>AIR 1976 Delhi 256; (1976) 12 DLT 209; (1976) 1 ILR Delhi 596; (1976) RLR 271</t>
        </is>
      </c>
      <c r="J1456" s="11" t="n">
        <v>1976</v>
      </c>
      <c r="K1456" s="2" t="inlineStr">
        <is>
          <t>Smt. Anand Kaur v. Pritam Lal</t>
        </is>
      </c>
      <c r="L1456" s="11" t="inlineStr">
        <is>
          <t>Supreme Court</t>
        </is>
      </c>
      <c r="M1456" s="2" t="inlineStr">
        <is>
          <t>AIR 1982 SC 777; (1982) 1 SCALE 2; (1982) 1 SCC 502; (1982) 3 SCR 43; (1982) 14 UJ 152</t>
        </is>
      </c>
      <c r="N1456" s="11" t="n">
        <v>1982</v>
      </c>
      <c r="O1456" s="11" t="n"/>
      <c r="P1456" s="11" t="n"/>
      <c r="Q1456" s="11" t="n"/>
      <c r="R1456" s="2" t="n"/>
      <c r="S1456" s="2" t="n"/>
      <c r="T1456" s="11" t="inlineStr">
        <is>
          <t>yes</t>
        </is>
      </c>
      <c r="U1456" s="11" t="inlineStr"/>
      <c r="V1456" s="11" t="inlineStr">
        <is>
          <t>outside_list</t>
        </is>
      </c>
      <c r="W1456" s="11" t="n"/>
      <c r="X1456" s="11" t="n"/>
      <c r="Y1456" s="11" t="n"/>
      <c r="Z1456" s="11" t="inlineStr">
        <is>
          <t>Mr. Advocate</t>
        </is>
      </c>
      <c r="AA1456" s="11" t="inlineStr">
        <is>
          <t>2026-10-07</t>
        </is>
      </c>
      <c r="AB1456" s="11" t="inlineStr">
        <is>
          <t>name_year</t>
        </is>
      </c>
      <c r="AC1456" s="2" t="inlineStr"/>
      <c r="AD1456" s="2" t="inlineStr">
        <is>
          <t>Pritam Lal v. Anand Kaur (1976) was reversed on appeal by the Supreme Court in Smt. Anand Kaur v. Pritam Lal (1982).</t>
        </is>
      </c>
      <c r="AE1456" s="2" t="n"/>
      <c r="AF1456" s="11" t="inlineStr">
        <is>
          <t>created from list 1</t>
        </is>
      </c>
    </row>
    <row r="1457">
      <c r="A1457" s="11" t="inlineStr">
        <is>
          <t>L1-1456</t>
        </is>
      </c>
      <c r="B1457" s="11" t="inlineStr">
        <is>
          <t>List 1 (to ~2015)</t>
        </is>
      </c>
      <c r="C1457" s="11" t="inlineStr">
        <is>
          <t>list1</t>
        </is>
      </c>
      <c r="D1457" s="11" t="inlineStr">
        <is>
          <t>verified</t>
        </is>
      </c>
      <c r="E1457" s="11" t="inlineStr">
        <is>
          <t>reversed_on_appeal</t>
        </is>
      </c>
      <c r="F1457" s="2" t="inlineStr">
        <is>
          <t>Hari Dev Sharma v. State</t>
        </is>
      </c>
      <c r="G1457" s="11" t="inlineStr"/>
      <c r="H1457" s="11" t="inlineStr">
        <is>
          <t>unknown</t>
        </is>
      </c>
      <c r="I1457" s="2" t="inlineStr">
        <is>
          <t>(1971) CriLJ 1615; (1971) ILR Delhi 538</t>
        </is>
      </c>
      <c r="J1457" s="11" t="n">
        <v>1971</v>
      </c>
      <c r="K1457" s="2" t="inlineStr">
        <is>
          <t>Hari Dev Sharma v. State (Delhi Administration)</t>
        </is>
      </c>
      <c r="L1457" s="11" t="inlineStr">
        <is>
          <t>Supreme Court</t>
        </is>
      </c>
      <c r="M1457" s="2" t="inlineStr">
        <is>
          <t>AIR 1976 SC 1489; (1976) CriLJ 1176; (1977) 3 SCC 352; (1976) 8 UJ 603</t>
        </is>
      </c>
      <c r="N1457" s="11" t="n">
        <v>1976</v>
      </c>
      <c r="O1457" s="11" t="n"/>
      <c r="P1457" s="11" t="n"/>
      <c r="Q1457" s="11" t="n"/>
      <c r="R1457" s="2" t="n"/>
      <c r="S1457" s="2" t="n"/>
      <c r="T1457" s="11" t="inlineStr">
        <is>
          <t>yes</t>
        </is>
      </c>
      <c r="U1457" s="11" t="inlineStr"/>
      <c r="V1457" s="11" t="inlineStr">
        <is>
          <t>outside_list</t>
        </is>
      </c>
      <c r="W1457" s="11" t="n"/>
      <c r="X1457" s="11" t="n"/>
      <c r="Y1457" s="11" t="n"/>
      <c r="Z1457" s="11" t="inlineStr">
        <is>
          <t>Mr. Advocate</t>
        </is>
      </c>
      <c r="AA1457" s="11" t="inlineStr">
        <is>
          <t>2026-10-07</t>
        </is>
      </c>
      <c r="AB1457" s="11" t="inlineStr">
        <is>
          <t>name_year</t>
        </is>
      </c>
      <c r="AC1457" s="2" t="inlineStr"/>
      <c r="AD1457" s="2" t="inlineStr">
        <is>
          <t>Hari Dev Sharma v. State (1971) was reversed on appeal by the Supreme Court in Hari Dev Sharma v. State (Delhi Administration) (1976).</t>
        </is>
      </c>
      <c r="AE1457" s="2" t="n"/>
      <c r="AF1457" s="11" t="inlineStr">
        <is>
          <t>created from list 1</t>
        </is>
      </c>
    </row>
    <row r="1458">
      <c r="A1458" s="11" t="inlineStr">
        <is>
          <t>L1-1457</t>
        </is>
      </c>
      <c r="B1458" s="11" t="inlineStr">
        <is>
          <t>List 1 (to ~2015)</t>
        </is>
      </c>
      <c r="C1458" s="11" t="inlineStr">
        <is>
          <t>list1</t>
        </is>
      </c>
      <c r="D1458" s="11" t="inlineStr">
        <is>
          <t>verified</t>
        </is>
      </c>
      <c r="E1458" s="11" t="inlineStr">
        <is>
          <t>overruled</t>
        </is>
      </c>
      <c r="F1458" s="2" t="inlineStr">
        <is>
          <t>B.D. Sethi and Others v. V.P. Dewan</t>
        </is>
      </c>
      <c r="G1458" s="11" t="inlineStr"/>
      <c r="H1458" s="11" t="inlineStr">
        <is>
          <t>unknown</t>
        </is>
      </c>
      <c r="I1458" s="2" t="inlineStr">
        <is>
          <t>(1971) 7 DLT 162</t>
        </is>
      </c>
      <c r="J1458" s="11" t="n">
        <v>1971</v>
      </c>
      <c r="K1458" s="2" t="inlineStr">
        <is>
          <t>Maj. Genl. A.S. Gauraya and Another v. S.N. Thakur and Another</t>
        </is>
      </c>
      <c r="L1458" s="11" t="inlineStr">
        <is>
          <t>Supreme Court</t>
        </is>
      </c>
      <c r="M1458" s="2" t="inlineStr">
        <is>
          <t>AIR 1986 SC 1440; (1986) CriLJ 1074; (1986) 3 Crimes 1; (1986) 1 SCALE 1128; (1986) 2 SCC 709; (1986) 2 SCR 771; (1986) 1 UJ 654</t>
        </is>
      </c>
      <c r="N1458" s="11" t="n">
        <v>1986</v>
      </c>
      <c r="O1458" s="11" t="n"/>
      <c r="P1458" s="11" t="n"/>
      <c r="Q1458" s="11" t="n"/>
      <c r="R1458" s="2" t="n"/>
      <c r="S1458" s="2" t="n"/>
      <c r="T1458" s="11" t="inlineStr"/>
      <c r="U1458" s="11" t="inlineStr"/>
      <c r="V1458" s="11" t="inlineStr">
        <is>
          <t>outside_list</t>
        </is>
      </c>
      <c r="W1458" s="11" t="n"/>
      <c r="X1458" s="11" t="n"/>
      <c r="Y1458" s="11" t="n"/>
      <c r="Z1458" s="11" t="inlineStr">
        <is>
          <t>Mr. Advocate</t>
        </is>
      </c>
      <c r="AA1458" s="11" t="inlineStr">
        <is>
          <t>2026-10-07</t>
        </is>
      </c>
      <c r="AB1458" s="11" t="inlineStr">
        <is>
          <t>name_year</t>
        </is>
      </c>
      <c r="AC1458" s="2" t="inlineStr"/>
      <c r="AD1458" s="2" t="inlineStr">
        <is>
          <t>B.D. Sethi and Others v. V.P. Dewan (1971) was overruled by Maj. Genl. A.S. Gauraya and Another v. S.N. Thakur and Another (1986).</t>
        </is>
      </c>
      <c r="AE1458" s="2" t="n"/>
      <c r="AF1458" s="11" t="inlineStr">
        <is>
          <t>created from list 1</t>
        </is>
      </c>
    </row>
    <row r="1459">
      <c r="A1459" s="11" t="inlineStr">
        <is>
          <t>L1-1458</t>
        </is>
      </c>
      <c r="B1459" s="11" t="inlineStr">
        <is>
          <t>List 1 (to ~2015)</t>
        </is>
      </c>
      <c r="C1459" s="11" t="inlineStr">
        <is>
          <t>list1</t>
        </is>
      </c>
      <c r="D1459" s="11" t="inlineStr">
        <is>
          <t>verified</t>
        </is>
      </c>
      <c r="E1459" s="11" t="inlineStr">
        <is>
          <t>reversed_on_appeal</t>
        </is>
      </c>
      <c r="F1459" s="2" t="inlineStr">
        <is>
          <t>Union of India v. Deo Narain and Others</t>
        </is>
      </c>
      <c r="G1459" s="11" t="inlineStr"/>
      <c r="H1459" s="11" t="inlineStr">
        <is>
          <t>unknown</t>
        </is>
      </c>
      <c r="I1459" s="2" t="inlineStr">
        <is>
          <t>(2002) 8 AD 525; (2002) 153 DLT 582</t>
        </is>
      </c>
      <c r="J1459" s="11" t="n">
        <v>2002</v>
      </c>
      <c r="K1459" s="2" t="inlineStr">
        <is>
          <t>Union of India (UOI) and Others v. Deo Narain and Others</t>
        </is>
      </c>
      <c r="L1459" s="11" t="inlineStr">
        <is>
          <t>unknown</t>
        </is>
      </c>
      <c r="M1459" s="2" t="inlineStr">
        <is>
          <t>(2008) 10 JT 294; (2008) 12 SCALE 439; (2008) 10 SCC 84; (2008) 2 SCC(L&amp;S) 985; (2009) 1 SLJ 269; (2009) 1 SLR 575; (2009) AIRSCW 353; (2008) 6 Supreme 608</t>
        </is>
      </c>
      <c r="N1459" s="11" t="n">
        <v>2008</v>
      </c>
      <c r="O1459" s="11" t="n"/>
      <c r="P1459" s="11" t="n"/>
      <c r="Q1459" s="11" t="n"/>
      <c r="R1459" s="2" t="n"/>
      <c r="S1459" s="2" t="n"/>
      <c r="T1459" s="11" t="inlineStr">
        <is>
          <t>yes</t>
        </is>
      </c>
      <c r="U1459" s="11" t="inlineStr"/>
      <c r="V1459" s="11" t="inlineStr">
        <is>
          <t>outside_list</t>
        </is>
      </c>
      <c r="W1459" s="11" t="n"/>
      <c r="X1459" s="11" t="n"/>
      <c r="Y1459" s="11" t="n"/>
      <c r="Z1459" s="11" t="inlineStr">
        <is>
          <t>Mr. Advocate</t>
        </is>
      </c>
      <c r="AA1459" s="11" t="inlineStr">
        <is>
          <t>2026-10-07</t>
        </is>
      </c>
      <c r="AB1459" s="11" t="inlineStr">
        <is>
          <t>name_year</t>
        </is>
      </c>
      <c r="AC1459" s="2" t="inlineStr"/>
      <c r="AD1459" s="2" t="inlineStr">
        <is>
          <t>Union of India v. Deo Narain and Others (2002) was reversed on appeal by the Supreme Court in Union of India (UOI) and Others v. Deo Narain and Others (2008).</t>
        </is>
      </c>
      <c r="AE1459" s="2" t="n"/>
      <c r="AF1459" s="11" t="inlineStr">
        <is>
          <t>created from list 1</t>
        </is>
      </c>
    </row>
    <row r="1460">
      <c r="A1460" s="11" t="inlineStr">
        <is>
          <t>L1-1459</t>
        </is>
      </c>
      <c r="B1460" s="11" t="inlineStr">
        <is>
          <t>List 1 (to ~2015)</t>
        </is>
      </c>
      <c r="C1460" s="11" t="inlineStr">
        <is>
          <t>list1</t>
        </is>
      </c>
      <c r="D1460" s="11" t="inlineStr">
        <is>
          <t>verified</t>
        </is>
      </c>
      <c r="E1460" s="11" t="inlineStr">
        <is>
          <t>overruled</t>
        </is>
      </c>
      <c r="F1460" s="2" t="inlineStr">
        <is>
          <t>Municipal Corporation, Delhi v. Laxmi Narain Tandon and Another</t>
        </is>
      </c>
      <c r="G1460" s="11" t="inlineStr"/>
      <c r="H1460" s="11" t="inlineStr">
        <is>
          <t>High Court/other (Delhi)</t>
        </is>
      </c>
      <c r="I1460" s="2" t="inlineStr">
        <is>
          <t>AIR 1970 Delhi 244; (1970) CriLJ 1605; (1970) 6 DLT 450</t>
        </is>
      </c>
      <c r="J1460" s="11" t="n">
        <v>1970</v>
      </c>
      <c r="K1460" s="2" t="inlineStr">
        <is>
          <t>Northern India Caterers (India) Ltd. v. Lt. Governor of Delhi</t>
        </is>
      </c>
      <c r="L1460" s="11" t="inlineStr">
        <is>
          <t>Supreme Court</t>
        </is>
      </c>
      <c r="M1460" s="2" t="inlineStr">
        <is>
          <t>AIR 1978 SC 1591; (1978) 4 SCC 36; (1979) 1 SCR 557; (1978) 42 STC 386</t>
        </is>
      </c>
      <c r="N1460" s="11" t="n">
        <v>1978</v>
      </c>
      <c r="O1460" s="11" t="n"/>
      <c r="P1460" s="11" t="n"/>
      <c r="Q1460" s="11" t="n"/>
      <c r="R1460" s="2" t="n"/>
      <c r="S1460" s="2" t="n"/>
      <c r="T1460" s="11" t="inlineStr"/>
      <c r="U1460" s="11" t="inlineStr"/>
      <c r="V1460" s="11" t="inlineStr">
        <is>
          <t>outside_list</t>
        </is>
      </c>
      <c r="W1460" s="11" t="n"/>
      <c r="X1460" s="11" t="n"/>
      <c r="Y1460" s="11" t="n"/>
      <c r="Z1460" s="11" t="inlineStr">
        <is>
          <t>Mr. Advocate</t>
        </is>
      </c>
      <c r="AA1460" s="11" t="inlineStr">
        <is>
          <t>2026-10-07</t>
        </is>
      </c>
      <c r="AB1460" s="11" t="inlineStr">
        <is>
          <t>name_year</t>
        </is>
      </c>
      <c r="AC1460" s="2" t="inlineStr"/>
      <c r="AD1460" s="2" t="inlineStr">
        <is>
          <t>Municipal Corporation, Delhi v. Laxmi Narain Tandon and Another (1970) was overruled by Northern India Caterers (India) Ltd. v. Lt. Governor of Delhi (1978).</t>
        </is>
      </c>
      <c r="AE1460" s="2" t="n"/>
      <c r="AF1460" s="11" t="inlineStr">
        <is>
          <t>created from list 1</t>
        </is>
      </c>
    </row>
    <row r="1461">
      <c r="A1461" s="11" t="inlineStr">
        <is>
          <t>L1-1460</t>
        </is>
      </c>
      <c r="B1461" s="11" t="inlineStr">
        <is>
          <t>List 1 (to ~2015)</t>
        </is>
      </c>
      <c r="C1461" s="11" t="inlineStr">
        <is>
          <t>list1</t>
        </is>
      </c>
      <c r="D1461" s="11" t="inlineStr">
        <is>
          <t>verified</t>
        </is>
      </c>
      <c r="E1461" s="11" t="inlineStr">
        <is>
          <t>reversed_on_appeal</t>
        </is>
      </c>
      <c r="F1461" s="2" t="inlineStr">
        <is>
          <t>Modi Rubber Ltd. v. Union of India and others</t>
        </is>
      </c>
      <c r="G1461" s="11" t="inlineStr"/>
      <c r="H1461" s="11" t="inlineStr">
        <is>
          <t>unknown</t>
        </is>
      </c>
      <c r="I1461" s="2" t="inlineStr">
        <is>
          <t>(1984) 2 ECC 30; (1983) 12 ELT 24</t>
        </is>
      </c>
      <c r="J1461" s="11" t="n">
        <v>1983</v>
      </c>
      <c r="K1461" s="2" t="inlineStr">
        <is>
          <t>Union of India (UOI) and Others v. Modi Rubber Ltd.</t>
        </is>
      </c>
      <c r="L1461" s="11" t="inlineStr">
        <is>
          <t>Supreme Court</t>
        </is>
      </c>
      <c r="M1461" s="2" t="inlineStr">
        <is>
          <t>AIR 1986 SC 1992; (1986) 10 ECC 73; (1986) 25 ELT 849; (1986) 1 JT 178; (1986) 2 SCALE 269; (1986) 4 SCC 66; (1986) 3 SCR 587; (1986) 2 UJ 646</t>
        </is>
      </c>
      <c r="N1461" s="11" t="n">
        <v>1986</v>
      </c>
      <c r="O1461" s="11" t="n"/>
      <c r="P1461" s="11" t="n"/>
      <c r="Q1461" s="11" t="n"/>
      <c r="R1461" s="2" t="n"/>
      <c r="S1461" s="2" t="n"/>
      <c r="T1461" s="11" t="inlineStr">
        <is>
          <t>yes</t>
        </is>
      </c>
      <c r="U1461" s="11" t="inlineStr"/>
      <c r="V1461" s="11" t="inlineStr">
        <is>
          <t>outside_list</t>
        </is>
      </c>
      <c r="W1461" s="11" t="n"/>
      <c r="X1461" s="11" t="n"/>
      <c r="Y1461" s="11" t="n"/>
      <c r="Z1461" s="11" t="inlineStr">
        <is>
          <t>Mr. Advocate</t>
        </is>
      </c>
      <c r="AA1461" s="11" t="inlineStr">
        <is>
          <t>2026-10-07</t>
        </is>
      </c>
      <c r="AB1461" s="11" t="inlineStr">
        <is>
          <t>name_year</t>
        </is>
      </c>
      <c r="AC1461" s="2" t="inlineStr"/>
      <c r="AD1461" s="2" t="inlineStr">
        <is>
          <t>Modi Rubber Ltd. v. Union of India and others (1983) was reversed on appeal by the Supreme Court in Union of India (UOI) and Others v. Modi Rubber Ltd. (1986).</t>
        </is>
      </c>
      <c r="AE1461" s="2" t="n"/>
      <c r="AF1461" s="11" t="inlineStr">
        <is>
          <t>created from list 1</t>
        </is>
      </c>
    </row>
    <row r="1462">
      <c r="A1462" s="11" t="inlineStr">
        <is>
          <t>L1-1461</t>
        </is>
      </c>
      <c r="B1462" s="11" t="inlineStr">
        <is>
          <t>List 1 (to ~2015)</t>
        </is>
      </c>
      <c r="C1462" s="11" t="inlineStr">
        <is>
          <t>list1</t>
        </is>
      </c>
      <c r="D1462" s="11" t="inlineStr">
        <is>
          <t>verified</t>
        </is>
      </c>
      <c r="E1462" s="11" t="inlineStr">
        <is>
          <t>overruled</t>
        </is>
      </c>
      <c r="F1462" s="2" t="inlineStr">
        <is>
          <t>Shakuntla Devi and others (Legal Representatives of Late Radha Kishan) v. Commissioner of Income Tax, New Delhi</t>
        </is>
      </c>
      <c r="G1462" s="11" t="inlineStr"/>
      <c r="H1462" s="11" t="inlineStr">
        <is>
          <t>unknown</t>
        </is>
      </c>
      <c r="I1462" s="2" t="inlineStr">
        <is>
          <t>(1980) 17 CTR 146; (1980) 125 ITR 18</t>
        </is>
      </c>
      <c r="J1462" s="11" t="n">
        <v>1980</v>
      </c>
      <c r="K1462" s="2" t="inlineStr">
        <is>
          <t>Jamnaprasad Kanhaiyalal v. Commissioner of Income Tax, M.P., Bhopal</t>
        </is>
      </c>
      <c r="L1462" s="11" t="inlineStr">
        <is>
          <t>Supreme Court</t>
        </is>
      </c>
      <c r="M1462" s="2" t="inlineStr">
        <is>
          <t>AIR 1981 SC 1759; (1981) 23 CTR 146; (1981) 130 ITR 244; (1981) 3 SCC 441; (1981) 3 SCR 849</t>
        </is>
      </c>
      <c r="N1462" s="11" t="n">
        <v>1981</v>
      </c>
      <c r="O1462" s="11" t="n"/>
      <c r="P1462" s="11" t="n"/>
      <c r="Q1462" s="11" t="n"/>
      <c r="R1462" s="2" t="n"/>
      <c r="S1462" s="2" t="n"/>
      <c r="T1462" s="11" t="inlineStr"/>
      <c r="U1462" s="11" t="inlineStr"/>
      <c r="V1462" s="11" t="inlineStr">
        <is>
          <t>outside_list</t>
        </is>
      </c>
      <c r="W1462" s="11" t="n"/>
      <c r="X1462" s="11" t="n"/>
      <c r="Y1462" s="11" t="n"/>
      <c r="Z1462" s="11" t="inlineStr">
        <is>
          <t>Mr. Advocate</t>
        </is>
      </c>
      <c r="AA1462" s="11" t="inlineStr">
        <is>
          <t>2026-10-07</t>
        </is>
      </c>
      <c r="AB1462" s="11" t="inlineStr">
        <is>
          <t>name_year</t>
        </is>
      </c>
      <c r="AC1462" s="2" t="inlineStr"/>
      <c r="AD1462" s="2" t="inlineStr">
        <is>
          <t>Shakuntla Devi and others (Legal Representatives of Late Radha Kishan) v. Commissioner of Income Tax, New Delhi (1980) was overruled by Jamnaprasad Kanhaiyalal v. Commissioner of Income Tax, M.P., Bhopal (1981).</t>
        </is>
      </c>
      <c r="AE1462" s="2" t="n"/>
      <c r="AF1462" s="11" t="inlineStr">
        <is>
          <t>created from list 1</t>
        </is>
      </c>
    </row>
    <row r="1463">
      <c r="A1463" s="11" t="inlineStr">
        <is>
          <t>L1-1462</t>
        </is>
      </c>
      <c r="B1463" s="11" t="inlineStr">
        <is>
          <t>List 1 (to ~2015)</t>
        </is>
      </c>
      <c r="C1463" s="11" t="inlineStr">
        <is>
          <t>list1</t>
        </is>
      </c>
      <c r="D1463" s="11" t="inlineStr">
        <is>
          <t>verified</t>
        </is>
      </c>
      <c r="E1463" s="11" t="inlineStr">
        <is>
          <t>reversed_on_appeal</t>
        </is>
      </c>
      <c r="F1463" s="2" t="inlineStr">
        <is>
          <t>Municipal Corporation of Delhi v. Karam Chand</t>
        </is>
      </c>
      <c r="G1463" s="11" t="inlineStr"/>
      <c r="H1463" s="11" t="inlineStr">
        <is>
          <t>unknown</t>
        </is>
      </c>
      <c r="I1463" s="2" t="inlineStr">
        <is>
          <t>(1974) 11 DLT 102</t>
        </is>
      </c>
      <c r="J1463" s="11" t="n">
        <v>1974</v>
      </c>
      <c r="K1463" s="2" t="inlineStr">
        <is>
          <t>Karam Chand v. Municipal Corporation of Delhi</t>
        </is>
      </c>
      <c r="L1463" s="11" t="inlineStr">
        <is>
          <t>Supreme Court</t>
        </is>
      </c>
      <c r="M1463" s="2" t="inlineStr">
        <is>
          <t>AIR 1979 SC 1707; (1979) CriLJ 1385; (1979) 4 SCC 752; (1980) SCC(Cri) 178</t>
        </is>
      </c>
      <c r="N1463" s="11" t="n">
        <v>1979</v>
      </c>
      <c r="O1463" s="11" t="n"/>
      <c r="P1463" s="11" t="n"/>
      <c r="Q1463" s="11" t="n"/>
      <c r="R1463" s="2" t="n"/>
      <c r="S1463" s="2" t="n"/>
      <c r="T1463" s="11" t="inlineStr">
        <is>
          <t>yes</t>
        </is>
      </c>
      <c r="U1463" s="11" t="inlineStr"/>
      <c r="V1463" s="11" t="inlineStr">
        <is>
          <t>outside_list</t>
        </is>
      </c>
      <c r="W1463" s="11" t="n"/>
      <c r="X1463" s="11" t="n"/>
      <c r="Y1463" s="11" t="n"/>
      <c r="Z1463" s="11" t="inlineStr">
        <is>
          <t>Mr. Advocate</t>
        </is>
      </c>
      <c r="AA1463" s="11" t="inlineStr">
        <is>
          <t>2026-10-07</t>
        </is>
      </c>
      <c r="AB1463" s="11" t="inlineStr">
        <is>
          <t>name_year</t>
        </is>
      </c>
      <c r="AC1463" s="2" t="inlineStr"/>
      <c r="AD1463" s="2" t="inlineStr">
        <is>
          <t>Municipal Corporation of Delhi v. Karam Chand (1974) was reversed on appeal by the Supreme Court in Karam Chand v. Municipal Corporation of Delhi (1979).</t>
        </is>
      </c>
      <c r="AE1463" s="2" t="n"/>
      <c r="AF1463" s="11" t="inlineStr">
        <is>
          <t>created from list 1</t>
        </is>
      </c>
    </row>
    <row r="1464">
      <c r="A1464" s="11" t="inlineStr">
        <is>
          <t>L1-1463</t>
        </is>
      </c>
      <c r="B1464" s="11" t="inlineStr">
        <is>
          <t>List 1 (to ~2015)</t>
        </is>
      </c>
      <c r="C1464" s="11" t="inlineStr">
        <is>
          <t>list1</t>
        </is>
      </c>
      <c r="D1464" s="11" t="inlineStr">
        <is>
          <t>verified</t>
        </is>
      </c>
      <c r="E1464" s="11" t="inlineStr">
        <is>
          <t>reversed_on_appeal</t>
        </is>
      </c>
      <c r="F1464" s="2" t="inlineStr">
        <is>
          <t>D.P. Maheshwari v. Delhi Administration and others</t>
        </is>
      </c>
      <c r="G1464" s="11" t="inlineStr"/>
      <c r="H1464" s="11" t="inlineStr">
        <is>
          <t>unknown</t>
        </is>
      </c>
      <c r="I1464" s="2" t="inlineStr">
        <is>
          <t>(1980) 18 DLT 460; (1981) 42 FLR 226; (1981) LabIC 179; (1981) 1 LLJ 267; (1981) 1 SLJ 406</t>
        </is>
      </c>
      <c r="J1464" s="11" t="n">
        <v>1980</v>
      </c>
      <c r="K1464" s="2" t="inlineStr">
        <is>
          <t>D.P. Maheshwari v. Delhi Administration and Others</t>
        </is>
      </c>
      <c r="L1464" s="11" t="inlineStr">
        <is>
          <t>Supreme Court</t>
        </is>
      </c>
      <c r="M1464" s="2" t="inlineStr">
        <is>
          <t>AIR 1984 SC 153; (1983) 2 LLJ 425; (1983) 2 SCALE 313; (1983) 4 SCC 293; (1983) 3 SCR 949; (1983) 2 SLJ 542</t>
        </is>
      </c>
      <c r="N1464" s="11" t="n">
        <v>1984</v>
      </c>
      <c r="O1464" s="11" t="n"/>
      <c r="P1464" s="11" t="n"/>
      <c r="Q1464" s="11" t="n"/>
      <c r="R1464" s="2" t="n"/>
      <c r="S1464" s="2" t="n"/>
      <c r="T1464" s="11" t="inlineStr">
        <is>
          <t>yes</t>
        </is>
      </c>
      <c r="U1464" s="11" t="inlineStr"/>
      <c r="V1464" s="11" t="inlineStr">
        <is>
          <t>outside_list</t>
        </is>
      </c>
      <c r="W1464" s="11" t="n"/>
      <c r="X1464" s="11" t="n"/>
      <c r="Y1464" s="11" t="n"/>
      <c r="Z1464" s="11" t="inlineStr">
        <is>
          <t>Mr. Advocate</t>
        </is>
      </c>
      <c r="AA1464" s="11" t="inlineStr">
        <is>
          <t>2026-10-07</t>
        </is>
      </c>
      <c r="AB1464" s="11" t="inlineStr">
        <is>
          <t>name_year</t>
        </is>
      </c>
      <c r="AC1464" s="2" t="inlineStr"/>
      <c r="AD1464" s="2" t="inlineStr">
        <is>
          <t>D.P. Maheshwari v. Delhi Administration and others (1980) was reversed on appeal by the Supreme Court in D.P. Maheshwari v. Delhi Administration and Others (1984).</t>
        </is>
      </c>
      <c r="AE1464" s="2" t="n"/>
      <c r="AF1464" s="11" t="inlineStr">
        <is>
          <t>created from list 1</t>
        </is>
      </c>
    </row>
    <row r="1465">
      <c r="A1465" s="11" t="inlineStr">
        <is>
          <t>L1-1464</t>
        </is>
      </c>
      <c r="B1465" s="11" t="inlineStr">
        <is>
          <t>List 1 (to ~2015)</t>
        </is>
      </c>
      <c r="C1465" s="11" t="inlineStr">
        <is>
          <t>list1</t>
        </is>
      </c>
      <c r="D1465" s="11" t="inlineStr">
        <is>
          <t>verified</t>
        </is>
      </c>
      <c r="E1465" s="11" t="inlineStr">
        <is>
          <t>overruled</t>
        </is>
      </c>
      <c r="F1465" s="2" t="inlineStr">
        <is>
          <t>Rattan Lal and Others v. Income Tax Officer</t>
        </is>
      </c>
      <c r="G1465" s="11" t="inlineStr"/>
      <c r="H1465" s="11" t="inlineStr">
        <is>
          <t>unknown</t>
        </is>
      </c>
      <c r="I1465" s="2" t="inlineStr">
        <is>
          <t>(1974) ILR Delhi 621; (1975) 98 ITR 681</t>
        </is>
      </c>
      <c r="J1465" s="11" t="n">
        <v>1974</v>
      </c>
      <c r="K1465" s="2" t="inlineStr">
        <is>
          <t>Jamnaprasad Kanhaiyalal v. Commissioner of Income Tax, M.P., Bhopal</t>
        </is>
      </c>
      <c r="L1465" s="11" t="inlineStr">
        <is>
          <t>Supreme Court</t>
        </is>
      </c>
      <c r="M1465" s="2" t="inlineStr">
        <is>
          <t>AIR 1981 SC 1759; (1981) 23 CTR 146; (1981) 130 ITR 244; (1981) 3 SCC 441; (1981) 3 SCR 849</t>
        </is>
      </c>
      <c r="N1465" s="11" t="n">
        <v>1981</v>
      </c>
      <c r="O1465" s="11" t="n"/>
      <c r="P1465" s="11" t="n"/>
      <c r="Q1465" s="11" t="n"/>
      <c r="R1465" s="2" t="n"/>
      <c r="S1465" s="2" t="n"/>
      <c r="T1465" s="11" t="inlineStr"/>
      <c r="U1465" s="11" t="inlineStr"/>
      <c r="V1465" s="11" t="inlineStr">
        <is>
          <t>outside_list</t>
        </is>
      </c>
      <c r="W1465" s="11" t="n"/>
      <c r="X1465" s="11" t="n"/>
      <c r="Y1465" s="11" t="n"/>
      <c r="Z1465" s="11" t="inlineStr">
        <is>
          <t>Mr. Advocate</t>
        </is>
      </c>
      <c r="AA1465" s="11" t="inlineStr">
        <is>
          <t>2026-10-07</t>
        </is>
      </c>
      <c r="AB1465" s="11" t="inlineStr">
        <is>
          <t>name_year</t>
        </is>
      </c>
      <c r="AC1465" s="2" t="inlineStr"/>
      <c r="AD1465" s="2" t="inlineStr">
        <is>
          <t>Rattan Lal and Others v. Income Tax Officer (1974) was overruled by Jamnaprasad Kanhaiyalal v. Commissioner of Income Tax, M.P., Bhopal (1981).</t>
        </is>
      </c>
      <c r="AE1465" s="2" t="n"/>
      <c r="AF1465" s="11" t="inlineStr">
        <is>
          <t>created from list 1</t>
        </is>
      </c>
    </row>
    <row r="1466">
      <c r="A1466" s="11" t="inlineStr">
        <is>
          <t>L1-1465</t>
        </is>
      </c>
      <c r="B1466" s="11" t="inlineStr">
        <is>
          <t>List 1 (to ~2015)</t>
        </is>
      </c>
      <c r="C1466" s="11" t="inlineStr">
        <is>
          <t>list1</t>
        </is>
      </c>
      <c r="D1466" s="11" t="inlineStr">
        <is>
          <t>verified</t>
        </is>
      </c>
      <c r="E1466" s="11" t="inlineStr">
        <is>
          <t>overruled</t>
        </is>
      </c>
      <c r="F1466" s="2" t="inlineStr">
        <is>
          <t>Commissioner of Income Tax, Delhi, New Delhi v. Ram Swarup Gupta</t>
        </is>
      </c>
      <c r="G1466" s="11" t="inlineStr"/>
      <c r="H1466" s="11" t="inlineStr">
        <is>
          <t>unknown</t>
        </is>
      </c>
      <c r="I1466" s="2" t="inlineStr">
        <is>
          <t>(1973) ILR Delhi 624; (1973) 92 ITR 495</t>
        </is>
      </c>
      <c r="J1466" s="11" t="n">
        <v>1973</v>
      </c>
      <c r="K1466" s="2" t="inlineStr">
        <is>
          <t>M/s. Garden Silk Weaving Factory, Surat v. The Commissioner of Income Tax, Gujarat, Ahmedabad</t>
        </is>
      </c>
      <c r="L1466" s="11" t="inlineStr">
        <is>
          <t>Supreme Court</t>
        </is>
      </c>
      <c r="M1466" s="2" t="inlineStr">
        <is>
          <t>AIR 1991 SC 1322; (1991) 94 CTR 136; (1991) 189 ITR 512; (1991) 5 JT 160; (1991) 1 SCALE 501; (1991) 2 SCC 684; (1991) 1 SCR 909</t>
        </is>
      </c>
      <c r="N1466" s="11" t="n">
        <v>1991</v>
      </c>
      <c r="O1466" s="11" t="n"/>
      <c r="P1466" s="11" t="n"/>
      <c r="Q1466" s="11" t="n"/>
      <c r="R1466" s="2" t="n"/>
      <c r="S1466" s="2" t="n"/>
      <c r="T1466" s="11" t="inlineStr"/>
      <c r="U1466" s="11" t="inlineStr"/>
      <c r="V1466" s="11" t="inlineStr">
        <is>
          <t>outside_list</t>
        </is>
      </c>
      <c r="W1466" s="11" t="n"/>
      <c r="X1466" s="11" t="n"/>
      <c r="Y1466" s="11" t="n"/>
      <c r="Z1466" s="11" t="inlineStr">
        <is>
          <t>Mr. Advocate</t>
        </is>
      </c>
      <c r="AA1466" s="11" t="inlineStr">
        <is>
          <t>2026-10-07</t>
        </is>
      </c>
      <c r="AB1466" s="11" t="inlineStr">
        <is>
          <t>name_year</t>
        </is>
      </c>
      <c r="AC1466" s="2" t="inlineStr"/>
      <c r="AD1466" s="2" t="inlineStr">
        <is>
          <t>Commissioner of Income Tax, Delhi, New Delhi v. Ram Swarup Gupta (1973) was overruled by M/s. Garden Silk Weaving Factory, Surat v. The Commissioner of Income Tax, Gujarat, Ahmedabad (1991).</t>
        </is>
      </c>
      <c r="AE1466" s="2" t="n"/>
      <c r="AF1466" s="11" t="inlineStr">
        <is>
          <t>created from list 1</t>
        </is>
      </c>
    </row>
    <row r="1467">
      <c r="A1467" s="11" t="inlineStr">
        <is>
          <t>L1-1466</t>
        </is>
      </c>
      <c r="B1467" s="11" t="inlineStr">
        <is>
          <t>List 1 (to ~2015)</t>
        </is>
      </c>
      <c r="C1467" s="11" t="inlineStr">
        <is>
          <t>list1</t>
        </is>
      </c>
      <c r="D1467" s="11" t="inlineStr">
        <is>
          <t>verified</t>
        </is>
      </c>
      <c r="E1467" s="11" t="inlineStr">
        <is>
          <t>overruled</t>
        </is>
      </c>
      <c r="F1467" s="2" t="inlineStr">
        <is>
          <t>Revisional Civil Union of India v. Jage and Others</t>
        </is>
      </c>
      <c r="G1467" s="11" t="inlineStr"/>
      <c r="H1467" s="11" t="inlineStr">
        <is>
          <t>unknown</t>
        </is>
      </c>
      <c r="I1467" s="2" t="inlineStr">
        <is>
          <t>(1976) ILR Delhi 515; (1976) RLR 588</t>
        </is>
      </c>
      <c r="J1467" s="11" t="n">
        <v>1976</v>
      </c>
      <c r="K1467" s="2" t="inlineStr">
        <is>
          <t>Ram Kumar and Others v. Union of India (UOI) and Others</t>
        </is>
      </c>
      <c r="L1467" s="11" t="inlineStr">
        <is>
          <t>Supreme Court</t>
        </is>
      </c>
      <c r="M1467" s="2" t="inlineStr">
        <is>
          <t>(1991) 1 JT 582; (1991) 1 SCALE 349; (1991) 2 SCC 247; (1991) 1 SCR 649</t>
        </is>
      </c>
      <c r="N1467" s="11" t="n">
        <v>1991</v>
      </c>
      <c r="O1467" s="11" t="n"/>
      <c r="P1467" s="11" t="n"/>
      <c r="Q1467" s="11" t="n"/>
      <c r="R1467" s="2" t="n"/>
      <c r="S1467" s="2" t="n"/>
      <c r="T1467" s="11" t="inlineStr"/>
      <c r="U1467" s="11" t="inlineStr"/>
      <c r="V1467" s="11" t="inlineStr">
        <is>
          <t>outside_list</t>
        </is>
      </c>
      <c r="W1467" s="11" t="n"/>
      <c r="X1467" s="11" t="n"/>
      <c r="Y1467" s="11" t="n"/>
      <c r="Z1467" s="11" t="inlineStr">
        <is>
          <t>Mr. Advocate</t>
        </is>
      </c>
      <c r="AA1467" s="11" t="inlineStr">
        <is>
          <t>2026-10-07</t>
        </is>
      </c>
      <c r="AB1467" s="11" t="inlineStr">
        <is>
          <t>name_year</t>
        </is>
      </c>
      <c r="AC1467" s="2" t="inlineStr"/>
      <c r="AD1467" s="2" t="inlineStr">
        <is>
          <t>Revisional Civil Union of India v. Jage and Others (1976) was overruled by Ram Kumar and Others v. Union of India (UOI) and Others (1991).</t>
        </is>
      </c>
      <c r="AE1467" s="2" t="n"/>
      <c r="AF1467" s="11" t="inlineStr">
        <is>
          <t>created from list 1</t>
        </is>
      </c>
    </row>
    <row r="1468">
      <c r="A1468" s="11" t="inlineStr">
        <is>
          <t>L1-1467</t>
        </is>
      </c>
      <c r="B1468" s="11" t="inlineStr">
        <is>
          <t>List 1 (to ~2015)</t>
        </is>
      </c>
      <c r="C1468" s="11" t="inlineStr">
        <is>
          <t>list1</t>
        </is>
      </c>
      <c r="D1468" s="11" t="inlineStr">
        <is>
          <t>verified</t>
        </is>
      </c>
      <c r="E1468" s="11" t="inlineStr">
        <is>
          <t>reversed_on_appeal</t>
        </is>
      </c>
      <c r="F1468" s="2" t="inlineStr">
        <is>
          <t>D.S. Bist and Sons v. Commissioner of Income Tax</t>
        </is>
      </c>
      <c r="G1468" s="11" t="inlineStr"/>
      <c r="H1468" s="11" t="inlineStr">
        <is>
          <t>unknown</t>
        </is>
      </c>
      <c r="I1468" s="2" t="inlineStr">
        <is>
          <t>(1972) ILR Delhi 843; (1972) 85 ITR 254</t>
        </is>
      </c>
      <c r="J1468" s="11" t="n">
        <v>1972</v>
      </c>
      <c r="K1468" s="2" t="inlineStr">
        <is>
          <t>D.S. Bist and Sons, Nainital v. Commissioner of Income Tax, Delhi Central, New Delhi</t>
        </is>
      </c>
      <c r="L1468" s="11" t="inlineStr">
        <is>
          <t>Supreme Court</t>
        </is>
      </c>
      <c r="M1468" s="2" t="inlineStr">
        <is>
          <t>AIR 1979 SC 379; (1979) 8 CTR 152; (1979) 116 ITR 131; (1979) 3 SCC 613; (1979) 2 SCR 224</t>
        </is>
      </c>
      <c r="N1468" s="11" t="n">
        <v>1979</v>
      </c>
      <c r="O1468" s="11" t="n"/>
      <c r="P1468" s="11" t="n"/>
      <c r="Q1468" s="11" t="n"/>
      <c r="R1468" s="2" t="n"/>
      <c r="S1468" s="2" t="n"/>
      <c r="T1468" s="11" t="inlineStr">
        <is>
          <t>yes</t>
        </is>
      </c>
      <c r="U1468" s="11" t="inlineStr"/>
      <c r="V1468" s="11" t="inlineStr">
        <is>
          <t>outside_list</t>
        </is>
      </c>
      <c r="W1468" s="11" t="n"/>
      <c r="X1468" s="11" t="n"/>
      <c r="Y1468" s="11" t="n"/>
      <c r="Z1468" s="11" t="inlineStr">
        <is>
          <t>Mr. Advocate</t>
        </is>
      </c>
      <c r="AA1468" s="11" t="inlineStr">
        <is>
          <t>2026-10-07</t>
        </is>
      </c>
      <c r="AB1468" s="11" t="inlineStr">
        <is>
          <t>name_year</t>
        </is>
      </c>
      <c r="AC1468" s="2" t="inlineStr"/>
      <c r="AD1468" s="2" t="inlineStr">
        <is>
          <t>D.S. Bist and Sons v. Commissioner of Income Tax (1972) was reversed on appeal by the Supreme Court in D.S. Bist and Sons, Nainital v. Commissioner of Income Tax, Delhi Central, New Delhi (1979).</t>
        </is>
      </c>
      <c r="AE1468" s="2" t="n"/>
      <c r="AF1468" s="11" t="inlineStr">
        <is>
          <t>created from list 1</t>
        </is>
      </c>
    </row>
    <row r="1469">
      <c r="A1469" s="11" t="inlineStr">
        <is>
          <t>L1-1468</t>
        </is>
      </c>
      <c r="B1469" s="11" t="inlineStr">
        <is>
          <t>List 1 (to ~2015)</t>
        </is>
      </c>
      <c r="C1469" s="11" t="inlineStr">
        <is>
          <t>list1</t>
        </is>
      </c>
      <c r="D1469" s="11" t="inlineStr">
        <is>
          <t>verified</t>
        </is>
      </c>
      <c r="E1469" s="11" t="inlineStr">
        <is>
          <t>reversed_on_appeal</t>
        </is>
      </c>
      <c r="F1469" s="2" t="inlineStr">
        <is>
          <t>Commissioner of Income Tax, Delhi, New Delhi v. Rajinder Nath and Others</t>
        </is>
      </c>
      <c r="G1469" s="11" t="inlineStr"/>
      <c r="H1469" s="11" t="inlineStr">
        <is>
          <t>unknown</t>
        </is>
      </c>
      <c r="I1469" s="2" t="inlineStr">
        <is>
          <t>(1972) ILR Delhi 312; (1972) 85 ITR 296</t>
        </is>
      </c>
      <c r="J1469" s="11" t="n">
        <v>1972</v>
      </c>
      <c r="K1469" s="2" t="inlineStr">
        <is>
          <t>Rajinder Nath and Others v. Commissioner of Income Tax , Delhi</t>
        </is>
      </c>
      <c r="L1469" s="11" t="inlineStr">
        <is>
          <t>Supreme Court</t>
        </is>
      </c>
      <c r="M1469" s="2" t="inlineStr">
        <is>
          <t>AIR 1979 SC 1933; (1979) 12 CTR 201; (1979) 120 ITR 14; (1979) 4 SCC 282; (1980) 1 SCR 272; (1979) 11 UJ 762</t>
        </is>
      </c>
      <c r="N1469" s="11" t="n">
        <v>1979</v>
      </c>
      <c r="O1469" s="11" t="n"/>
      <c r="P1469" s="11" t="n"/>
      <c r="Q1469" s="11" t="n"/>
      <c r="R1469" s="2" t="n"/>
      <c r="S1469" s="2" t="n"/>
      <c r="T1469" s="11" t="inlineStr">
        <is>
          <t>yes</t>
        </is>
      </c>
      <c r="U1469" s="11" t="inlineStr"/>
      <c r="V1469" s="11" t="inlineStr">
        <is>
          <t>outside_list</t>
        </is>
      </c>
      <c r="W1469" s="11" t="n"/>
      <c r="X1469" s="11" t="n"/>
      <c r="Y1469" s="11" t="n"/>
      <c r="Z1469" s="11" t="inlineStr">
        <is>
          <t>Mr. Advocate</t>
        </is>
      </c>
      <c r="AA1469" s="11" t="inlineStr">
        <is>
          <t>2026-10-07</t>
        </is>
      </c>
      <c r="AB1469" s="11" t="inlineStr">
        <is>
          <t>name_year</t>
        </is>
      </c>
      <c r="AC1469" s="2" t="inlineStr"/>
      <c r="AD1469" s="2" t="inlineStr">
        <is>
          <t>Commissioner of Income Tax, Delhi, New Delhi v. Rajinder Nath and Others (1972) was reversed on appeal by the Supreme Court in Rajinder Nath and Others v. Commissioner of Income Tax , Delhi (1979).</t>
        </is>
      </c>
      <c r="AE1469" s="2" t="n"/>
      <c r="AF1469" s="11" t="inlineStr">
        <is>
          <t>created from list 1</t>
        </is>
      </c>
    </row>
    <row r="1470">
      <c r="A1470" s="11" t="inlineStr">
        <is>
          <t>L1-1469</t>
        </is>
      </c>
      <c r="B1470" s="11" t="inlineStr">
        <is>
          <t>List 1 (to ~2015)</t>
        </is>
      </c>
      <c r="C1470" s="11" t="inlineStr">
        <is>
          <t>list1</t>
        </is>
      </c>
      <c r="D1470" s="11" t="inlineStr">
        <is>
          <t>verified</t>
        </is>
      </c>
      <c r="E1470" s="11" t="inlineStr">
        <is>
          <t>reversed_on_appeal</t>
        </is>
      </c>
      <c r="F1470" s="2" t="inlineStr">
        <is>
          <t>Dalmia Cement Ltd. v. Commissioner of Income Tax</t>
        </is>
      </c>
      <c r="G1470" s="11" t="inlineStr"/>
      <c r="H1470" s="11" t="inlineStr">
        <is>
          <t>unknown</t>
        </is>
      </c>
      <c r="I1470" s="2" t="inlineStr">
        <is>
          <t>(1991) 96 CTR 1; (1991) 191 ITR 331</t>
        </is>
      </c>
      <c r="J1470" s="11" t="n">
        <v>1991</v>
      </c>
      <c r="K1470" s="2" t="inlineStr">
        <is>
          <t>Dalmia Cement Ltd., Rajasthan v. Commissioner of Income Tax, New Delhi</t>
        </is>
      </c>
      <c r="L1470" s="11" t="inlineStr">
        <is>
          <t>Supreme Court</t>
        </is>
      </c>
      <c r="M1470" s="2" t="inlineStr">
        <is>
          <t>AIR 1999 SC 2154; (1999) 237 ITR 617; (1999) 3 JT 130; (1999) 2 SCALE 641; (1999) 4 SCC 124; (1999) 2 SCR 735; (1999) AIRSCW 2164; (1999) 4 Supreme 195</t>
        </is>
      </c>
      <c r="N1470" s="11" t="n">
        <v>1999</v>
      </c>
      <c r="O1470" s="11" t="n"/>
      <c r="P1470" s="11" t="n"/>
      <c r="Q1470" s="11" t="n"/>
      <c r="R1470" s="2" t="n"/>
      <c r="S1470" s="2" t="n"/>
      <c r="T1470" s="11" t="inlineStr">
        <is>
          <t>yes</t>
        </is>
      </c>
      <c r="U1470" s="11" t="inlineStr"/>
      <c r="V1470" s="11" t="inlineStr">
        <is>
          <t>outside_list</t>
        </is>
      </c>
      <c r="W1470" s="11" t="n"/>
      <c r="X1470" s="11" t="n"/>
      <c r="Y1470" s="11" t="n"/>
      <c r="Z1470" s="11" t="inlineStr">
        <is>
          <t>Mr. Advocate</t>
        </is>
      </c>
      <c r="AA1470" s="11" t="inlineStr">
        <is>
          <t>2026-10-07</t>
        </is>
      </c>
      <c r="AB1470" s="11" t="inlineStr">
        <is>
          <t>name_year</t>
        </is>
      </c>
      <c r="AC1470" s="2" t="inlineStr"/>
      <c r="AD1470" s="2" t="inlineStr">
        <is>
          <t>Dalmia Cement Ltd. v. Commissioner of Income Tax (1991) was reversed on appeal by the Supreme Court in Dalmia Cement Ltd., Rajasthan v. Commissioner of Income Tax, New Delhi (1999).</t>
        </is>
      </c>
      <c r="AE1470" s="2" t="n"/>
      <c r="AF1470" s="11" t="inlineStr">
        <is>
          <t>created from list 1</t>
        </is>
      </c>
    </row>
    <row r="1471">
      <c r="A1471" s="11" t="inlineStr">
        <is>
          <t>L1-1470</t>
        </is>
      </c>
      <c r="B1471" s="11" t="inlineStr">
        <is>
          <t>List 1 (to ~2015)</t>
        </is>
      </c>
      <c r="C1471" s="11" t="inlineStr">
        <is>
          <t>list1</t>
        </is>
      </c>
      <c r="D1471" s="11" t="inlineStr">
        <is>
          <t>verified</t>
        </is>
      </c>
      <c r="E1471" s="11" t="inlineStr">
        <is>
          <t>reversed_on_appeal</t>
        </is>
      </c>
      <c r="F1471" s="2" t="inlineStr">
        <is>
          <t>Trilok Chand Jain v. Dagi Ram Pindi Lall and Others</t>
        </is>
      </c>
      <c r="G1471" s="11" t="inlineStr"/>
      <c r="H1471" s="11" t="inlineStr">
        <is>
          <t>unknown</t>
        </is>
      </c>
      <c r="I1471" s="2" t="inlineStr">
        <is>
          <t>(1985) ILR Delhi 331; (1974) 95 ITR 34</t>
        </is>
      </c>
      <c r="J1471" s="11" t="n">
        <v>1974</v>
      </c>
      <c r="K1471" s="2" t="inlineStr">
        <is>
          <t>M/s. Dagi Ram Pindi Lall and another v. Trilok Chand Jain and others</t>
        </is>
      </c>
      <c r="L1471" s="11" t="inlineStr">
        <is>
          <t>Supreme Court</t>
        </is>
      </c>
      <c r="M1471" s="2" t="inlineStr">
        <is>
          <t>AIR 1992 SC 990; (1992) 102 CTR 170; (1992) 194 ITR 228; (1992) 1 JT 526; (1992) 1 SCALE 249; (1992) 2 SCC 13; (1992) 1 SCR 545; (1992) 60 TAXMAN 551</t>
        </is>
      </c>
      <c r="N1471" s="11" t="n">
        <v>1992</v>
      </c>
      <c r="O1471" s="11" t="n"/>
      <c r="P1471" s="11" t="n"/>
      <c r="Q1471" s="11" t="n"/>
      <c r="R1471" s="2" t="n"/>
      <c r="S1471" s="2" t="n"/>
      <c r="T1471" s="11" t="inlineStr">
        <is>
          <t>yes</t>
        </is>
      </c>
      <c r="U1471" s="11" t="inlineStr"/>
      <c r="V1471" s="11" t="inlineStr">
        <is>
          <t>outside_list</t>
        </is>
      </c>
      <c r="W1471" s="11" t="n"/>
      <c r="X1471" s="11" t="n"/>
      <c r="Y1471" s="11" t="n"/>
      <c r="Z1471" s="11" t="inlineStr">
        <is>
          <t>Mr. Advocate</t>
        </is>
      </c>
      <c r="AA1471" s="11" t="inlineStr">
        <is>
          <t>2026-10-07</t>
        </is>
      </c>
      <c r="AB1471" s="11" t="inlineStr">
        <is>
          <t>name_year</t>
        </is>
      </c>
      <c r="AC1471" s="2" t="inlineStr"/>
      <c r="AD1471" s="2" t="inlineStr">
        <is>
          <t>Trilok Chand Jain v. Dagi Ram Pindi Lall and Others (1974) was reversed on appeal by the Supreme Court in M/s. Dagi Ram Pindi Lall and another v. Trilok Chand Jain and others (1992).</t>
        </is>
      </c>
      <c r="AE1471" s="2" t="n"/>
      <c r="AF1471" s="11" t="inlineStr">
        <is>
          <t>created from list 1</t>
        </is>
      </c>
    </row>
    <row r="1472">
      <c r="A1472" s="11" t="inlineStr">
        <is>
          <t>L1-1471</t>
        </is>
      </c>
      <c r="B1472" s="11" t="inlineStr">
        <is>
          <t>List 1 (to ~2015)</t>
        </is>
      </c>
      <c r="C1472" s="11" t="inlineStr">
        <is>
          <t>list1</t>
        </is>
      </c>
      <c r="D1472" s="11" t="inlineStr">
        <is>
          <t>verified</t>
        </is>
      </c>
      <c r="E1472" s="11" t="inlineStr">
        <is>
          <t>overruled</t>
        </is>
      </c>
      <c r="F1472" s="2" t="inlineStr">
        <is>
          <t>The New India Assurance Co. Ltd. v. Union of India and Others</t>
        </is>
      </c>
      <c r="G1472" s="11" t="inlineStr"/>
      <c r="H1472" s="11" t="inlineStr">
        <is>
          <t>High Court/other (Delhi)</t>
        </is>
      </c>
      <c r="I1472" s="2" t="inlineStr">
        <is>
          <t>AIR 1981 Delhi 135; (1981) 20 DLT 68; (1981) 1 ILR Delhi 589; (1981) RLR 207</t>
        </is>
      </c>
      <c r="J1472" s="11" t="n">
        <v>1981</v>
      </c>
      <c r="K1472" s="2" t="inlineStr">
        <is>
          <t>Ratan Lal Adukia and another v. Union of India</t>
        </is>
      </c>
      <c r="L1472" s="11" t="inlineStr">
        <is>
          <t>Supreme Court</t>
        </is>
      </c>
      <c r="M1472" s="2" t="inlineStr">
        <is>
          <t>AIR 1990 SC 104(1); (1989) 3 SCR 440; (1989) 2 UJ 382</t>
        </is>
      </c>
      <c r="N1472" s="11" t="n">
        <v>1990</v>
      </c>
      <c r="O1472" s="11" t="n"/>
      <c r="P1472" s="11" t="n"/>
      <c r="Q1472" s="11" t="n"/>
      <c r="R1472" s="2" t="n"/>
      <c r="S1472" s="2" t="n"/>
      <c r="T1472" s="11" t="inlineStr"/>
      <c r="U1472" s="11" t="inlineStr"/>
      <c r="V1472" s="11" t="inlineStr">
        <is>
          <t>outside_list</t>
        </is>
      </c>
      <c r="W1472" s="11" t="n"/>
      <c r="X1472" s="11" t="n"/>
      <c r="Y1472" s="11" t="n"/>
      <c r="Z1472" s="11" t="inlineStr">
        <is>
          <t>Mr. Advocate</t>
        </is>
      </c>
      <c r="AA1472" s="11" t="inlineStr">
        <is>
          <t>2026-10-07</t>
        </is>
      </c>
      <c r="AB1472" s="11" t="inlineStr">
        <is>
          <t>name_year</t>
        </is>
      </c>
      <c r="AC1472" s="2" t="inlineStr"/>
      <c r="AD1472" s="2" t="inlineStr">
        <is>
          <t>The New India Assurance Co. Ltd. v. Union of India and Others (1981) was overruled by Ratan Lal Adukia and another v. Union of India (1990).</t>
        </is>
      </c>
      <c r="AE1472" s="2" t="n"/>
      <c r="AF1472" s="11" t="inlineStr">
        <is>
          <t>created from list 1</t>
        </is>
      </c>
    </row>
    <row r="1473">
      <c r="A1473" s="11" t="inlineStr">
        <is>
          <t>L1-1472</t>
        </is>
      </c>
      <c r="B1473" s="11" t="inlineStr">
        <is>
          <t>List 1 (to ~2015)</t>
        </is>
      </c>
      <c r="C1473" s="11" t="inlineStr">
        <is>
          <t>list1</t>
        </is>
      </c>
      <c r="D1473" s="11" t="inlineStr">
        <is>
          <t>verified</t>
        </is>
      </c>
      <c r="E1473" s="11" t="inlineStr">
        <is>
          <t>reversed_on_appeal</t>
        </is>
      </c>
      <c r="F1473" s="2" t="inlineStr">
        <is>
          <t>Vipin Maneklal and Others v. Sushil Kumar and Others</t>
        </is>
      </c>
      <c r="G1473" s="11" t="inlineStr"/>
      <c r="H1473" s="11" t="inlineStr">
        <is>
          <t>High Court/other (Delhi)</t>
        </is>
      </c>
      <c r="I1473" s="2" t="inlineStr">
        <is>
          <t>AIR 1983 Delhi 307</t>
        </is>
      </c>
      <c r="J1473" s="11" t="n">
        <v>1983</v>
      </c>
      <c r="K1473" s="2" t="inlineStr">
        <is>
          <t>Sushil Kumar Porwal and Others v. Vipin Maneklal and Others</t>
        </is>
      </c>
      <c r="L1473" s="11" t="inlineStr">
        <is>
          <t>Supreme Court</t>
        </is>
      </c>
      <c r="M1473" s="2" t="inlineStr">
        <is>
          <t>AIR 1987 SC 2167; (1987) 14 ECC 134; (1987) 13 ECR 279; (1987) 31 ELT 609; (1987) 3 JT 448; (1987) 2 SCALE 488; (1987) 4 SCC 276; (1987) 3 SCR 1116</t>
        </is>
      </c>
      <c r="N1473" s="11" t="n">
        <v>1987</v>
      </c>
      <c r="O1473" s="11" t="n"/>
      <c r="P1473" s="11" t="n"/>
      <c r="Q1473" s="11" t="n"/>
      <c r="R1473" s="2" t="n"/>
      <c r="S1473" s="2" t="n"/>
      <c r="T1473" s="11" t="inlineStr">
        <is>
          <t>yes</t>
        </is>
      </c>
      <c r="U1473" s="11" t="inlineStr"/>
      <c r="V1473" s="11" t="inlineStr">
        <is>
          <t>outside_list</t>
        </is>
      </c>
      <c r="W1473" s="11" t="n"/>
      <c r="X1473" s="11" t="n"/>
      <c r="Y1473" s="11" t="n"/>
      <c r="Z1473" s="11" t="inlineStr">
        <is>
          <t>Mr. Advocate</t>
        </is>
      </c>
      <c r="AA1473" s="11" t="inlineStr">
        <is>
          <t>2026-10-07</t>
        </is>
      </c>
      <c r="AB1473" s="11" t="inlineStr">
        <is>
          <t>name_year</t>
        </is>
      </c>
      <c r="AC1473" s="2" t="inlineStr"/>
      <c r="AD1473" s="2" t="inlineStr">
        <is>
          <t>Vipin Maneklal and Others v. Sushil Kumar and Others (1983) was reversed on appeal by the Supreme Court in Sushil Kumar Porwal and Others v. Vipin Maneklal and Others (1987).</t>
        </is>
      </c>
      <c r="AE1473" s="2" t="n"/>
      <c r="AF1473" s="11" t="inlineStr">
        <is>
          <t>created from list 1</t>
        </is>
      </c>
    </row>
    <row r="1474">
      <c r="A1474" s="11" t="inlineStr">
        <is>
          <t>L1-1473</t>
        </is>
      </c>
      <c r="B1474" s="11" t="inlineStr">
        <is>
          <t>List 1 (to ~2015)</t>
        </is>
      </c>
      <c r="C1474" s="11" t="inlineStr">
        <is>
          <t>list1</t>
        </is>
      </c>
      <c r="D1474" s="11" t="inlineStr">
        <is>
          <t>verified</t>
        </is>
      </c>
      <c r="E1474" s="11" t="inlineStr">
        <is>
          <t>overruled</t>
        </is>
      </c>
      <c r="F1474" s="2" t="inlineStr">
        <is>
          <t>Surinder Gupta v. Chief Commissioner of Income Tax and Others</t>
        </is>
      </c>
      <c r="G1474" s="11" t="inlineStr"/>
      <c r="H1474" s="11" t="inlineStr">
        <is>
          <t>unknown</t>
        </is>
      </c>
      <c r="I1474" s="2" t="inlineStr">
        <is>
          <t>(1996) 221 ITR 375; (1996) 84 TAXMAN 398</t>
        </is>
      </c>
      <c r="J1474" s="11" t="n">
        <v>1996</v>
      </c>
      <c r="K1474" s="2" t="inlineStr">
        <is>
          <t>Appropriate Authority and Commissioner Income Tax v. Smt. Varshaben Bharatbhai Shah and Others</t>
        </is>
      </c>
      <c r="L1474" s="11" t="inlineStr">
        <is>
          <t>Supreme Court</t>
        </is>
      </c>
      <c r="M1474" s="2" t="inlineStr">
        <is>
          <t>AIR 2001 SC 1339; (2001) 166 CTR 373; (2001) 248 ITR 342; (2001) 3 JT 468; (2001) 2 SCALE 411; (2001) 4 SCC 1; (2001) 2 SCR 349; (2001) AIRSCW 3174; (2001) AIRSCW 1069; (2001) 2 Supreme 305; (2001) 6 Supreme 327</t>
        </is>
      </c>
      <c r="N1474" s="11" t="n">
        <v>2001</v>
      </c>
      <c r="O1474" s="11" t="n"/>
      <c r="P1474" s="11" t="n"/>
      <c r="Q1474" s="11" t="n"/>
      <c r="R1474" s="2" t="n"/>
      <c r="S1474" s="2" t="n"/>
      <c r="T1474" s="11" t="inlineStr"/>
      <c r="U1474" s="11" t="inlineStr"/>
      <c r="V1474" s="11" t="inlineStr">
        <is>
          <t>outside_list</t>
        </is>
      </c>
      <c r="W1474" s="11" t="n"/>
      <c r="X1474" s="11" t="n"/>
      <c r="Y1474" s="11" t="n"/>
      <c r="Z1474" s="11" t="inlineStr">
        <is>
          <t>Mr. Advocate</t>
        </is>
      </c>
      <c r="AA1474" s="11" t="inlineStr">
        <is>
          <t>2026-10-07</t>
        </is>
      </c>
      <c r="AB1474" s="11" t="inlineStr">
        <is>
          <t>name_year</t>
        </is>
      </c>
      <c r="AC1474" s="2" t="inlineStr"/>
      <c r="AD1474" s="2" t="inlineStr">
        <is>
          <t>Surinder Gupta v. Chief Commissioner of Income Tax and Others (1996) was overruled by Appropriate Authority and Commissioner Income Tax v. Smt. Varshaben Bharatbhai Shah and Others (2001).</t>
        </is>
      </c>
      <c r="AE1474" s="2" t="n"/>
      <c r="AF1474" s="11" t="inlineStr">
        <is>
          <t>created from list 1</t>
        </is>
      </c>
    </row>
    <row r="1475">
      <c r="A1475" s="11" t="inlineStr">
        <is>
          <t>L1-1474</t>
        </is>
      </c>
      <c r="B1475" s="11" t="inlineStr">
        <is>
          <t>List 1 (to ~2015)</t>
        </is>
      </c>
      <c r="C1475" s="11" t="inlineStr">
        <is>
          <t>list1</t>
        </is>
      </c>
      <c r="D1475" s="11" t="inlineStr">
        <is>
          <t>verified</t>
        </is>
      </c>
      <c r="E1475" s="11" t="inlineStr">
        <is>
          <t>reversed_on_appeal</t>
        </is>
      </c>
      <c r="F1475" s="2" t="inlineStr">
        <is>
          <t>Super Cassette Industries Ltd. v. Entertainment Network (India) Ltd.</t>
        </is>
      </c>
      <c r="G1475" s="11" t="inlineStr"/>
      <c r="H1475" s="11" t="inlineStr">
        <is>
          <t>High Court/other (Delhi)</t>
        </is>
      </c>
      <c r="I1475" s="2" t="inlineStr">
        <is>
          <t>AIR 2004 Delhi 326; (2004) 112 DLT 549</t>
        </is>
      </c>
      <c r="J1475" s="11" t="n">
        <v>2004</v>
      </c>
      <c r="K1475" s="2" t="inlineStr">
        <is>
          <t>Entertainment Network (India) Ltd. v. Super Cassette Industries Ltd.</t>
        </is>
      </c>
      <c r="L1475" s="11" t="inlineStr">
        <is>
          <t>Supreme Court</t>
        </is>
      </c>
      <c r="M1475" s="2" t="inlineStr">
        <is>
          <t>(2008) 7 JT 11; (2008) 37 PTC 353; (2008) 9 SCALE 69; (2008) 13 SCC 30</t>
        </is>
      </c>
      <c r="N1475" s="11" t="n">
        <v>2008</v>
      </c>
      <c r="O1475" s="11" t="n"/>
      <c r="P1475" s="11" t="n"/>
      <c r="Q1475" s="11" t="n"/>
      <c r="R1475" s="2" t="n"/>
      <c r="S1475" s="2" t="n"/>
      <c r="T1475" s="11" t="inlineStr">
        <is>
          <t>yes</t>
        </is>
      </c>
      <c r="U1475" s="11" t="inlineStr"/>
      <c r="V1475" s="11" t="inlineStr">
        <is>
          <t>outside_list</t>
        </is>
      </c>
      <c r="W1475" s="11" t="n"/>
      <c r="X1475" s="11" t="n"/>
      <c r="Y1475" s="11" t="n"/>
      <c r="Z1475" s="11" t="inlineStr">
        <is>
          <t>Mr. Advocate</t>
        </is>
      </c>
      <c r="AA1475" s="11" t="inlineStr">
        <is>
          <t>2026-10-07</t>
        </is>
      </c>
      <c r="AB1475" s="11" t="inlineStr">
        <is>
          <t>name_year</t>
        </is>
      </c>
      <c r="AC1475" s="2" t="inlineStr"/>
      <c r="AD1475" s="2" t="inlineStr">
        <is>
          <t>Super Cassette Industries Ltd. v. Entertainment Network (India) Ltd. (2004) was reversed on appeal by the Supreme Court in Entertainment Network (India) Ltd. v. Super Cassette Industries Ltd. (2008).</t>
        </is>
      </c>
      <c r="AE1475" s="2" t="n"/>
      <c r="AF1475" s="11" t="inlineStr">
        <is>
          <t>created from list 1</t>
        </is>
      </c>
    </row>
    <row r="1476">
      <c r="A1476" s="11" t="inlineStr">
        <is>
          <t>L1-1475</t>
        </is>
      </c>
      <c r="B1476" s="11" t="inlineStr">
        <is>
          <t>List 1 (to ~2015)</t>
        </is>
      </c>
      <c r="C1476" s="11" t="inlineStr">
        <is>
          <t>list1</t>
        </is>
      </c>
      <c r="D1476" s="11" t="inlineStr">
        <is>
          <t>verified</t>
        </is>
      </c>
      <c r="E1476" s="11" t="inlineStr">
        <is>
          <t>overruled</t>
        </is>
      </c>
      <c r="F1476" s="2" t="inlineStr">
        <is>
          <t>K.R. Beri and Co. v. The Metal Goods Manufacturing Co. (P) Ltd.</t>
        </is>
      </c>
      <c r="G1476" s="11" t="inlineStr"/>
      <c r="H1476" s="11" t="inlineStr">
        <is>
          <t>High Court/other (Delhi)</t>
        </is>
      </c>
      <c r="I1476" s="2" t="inlineStr">
        <is>
          <t>AIR 1980 Delhi 299; (1980) 17 DLT 365</t>
        </is>
      </c>
      <c r="J1476" s="11" t="n">
        <v>1980</v>
      </c>
      <c r="K1476" s="2" t="inlineStr">
        <is>
          <t>Cycle Corporation of India Ltd. v. T. I. Raleigh Industries Pvt. Ltd. and others</t>
        </is>
      </c>
      <c r="L1476" s="11" t="inlineStr">
        <is>
          <t>Supreme Court</t>
        </is>
      </c>
      <c r="M1476" s="2" t="inlineStr">
        <is>
          <t>(1996) 4 AD 674; AIR 1996 SC 3295; (1996) 2 ARBLR 5; (1996) 5 JT 145; (1996) 4 SCALE 528; (1996) 9 SCC 430; (1996) 2 SCR 820 Supp</t>
        </is>
      </c>
      <c r="N1476" s="11" t="n">
        <v>1996</v>
      </c>
      <c r="O1476" s="11" t="n"/>
      <c r="P1476" s="11" t="n"/>
      <c r="Q1476" s="11" t="n"/>
      <c r="R1476" s="2" t="n"/>
      <c r="S1476" s="2" t="n"/>
      <c r="T1476" s="11" t="inlineStr"/>
      <c r="U1476" s="11" t="inlineStr"/>
      <c r="V1476" s="11" t="inlineStr">
        <is>
          <t>outside_list</t>
        </is>
      </c>
      <c r="W1476" s="11" t="n"/>
      <c r="X1476" s="11" t="n"/>
      <c r="Y1476" s="11" t="n"/>
      <c r="Z1476" s="11" t="inlineStr">
        <is>
          <t>Mr. Advocate</t>
        </is>
      </c>
      <c r="AA1476" s="11" t="inlineStr">
        <is>
          <t>2026-10-07</t>
        </is>
      </c>
      <c r="AB1476" s="11" t="inlineStr">
        <is>
          <t>name_year</t>
        </is>
      </c>
      <c r="AC1476" s="2" t="inlineStr"/>
      <c r="AD1476" s="2" t="inlineStr">
        <is>
          <t>K.R. Beri and Co. v. The Metal Goods Manufacturing Co. (P) Ltd. (1980) was overruled by Cycle Corporation of India Ltd. v. T. I. Raleigh Industries Pvt. Ltd. and others (1996).</t>
        </is>
      </c>
      <c r="AE1476" s="2" t="n"/>
      <c r="AF1476" s="11" t="inlineStr">
        <is>
          <t>created from list 1</t>
        </is>
      </c>
    </row>
    <row r="1477">
      <c r="A1477" s="11" t="inlineStr">
        <is>
          <t>L1-1476</t>
        </is>
      </c>
      <c r="B1477" s="11" t="inlineStr">
        <is>
          <t>List 1 (to ~2015)</t>
        </is>
      </c>
      <c r="C1477" s="11" t="inlineStr">
        <is>
          <t>list1</t>
        </is>
      </c>
      <c r="D1477" s="11" t="inlineStr">
        <is>
          <t>verified</t>
        </is>
      </c>
      <c r="E1477" s="11" t="inlineStr">
        <is>
          <t>reversed_on_appeal</t>
        </is>
      </c>
      <c r="F1477" s="2" t="inlineStr">
        <is>
          <t>Ram Chander Aggarwal v. Hans Raj Banga</t>
        </is>
      </c>
      <c r="G1477" s="11" t="inlineStr"/>
      <c r="H1477" s="11" t="inlineStr">
        <is>
          <t>unknown</t>
        </is>
      </c>
      <c r="I1477" s="2" t="inlineStr">
        <is>
          <t>(2002) 4 AD 453; (2002) 97 DLT 564; (2002) 63 DRJ 7</t>
        </is>
      </c>
      <c r="J1477" s="11" t="n">
        <v>2002</v>
      </c>
      <c r="K1477" s="2" t="inlineStr">
        <is>
          <t>Hans Raj Banga v. Ram Chander Aggarwal</t>
        </is>
      </c>
      <c r="L1477" s="11" t="inlineStr">
        <is>
          <t>Supreme Court</t>
        </is>
      </c>
      <c r="M1477" s="2" t="inlineStr">
        <is>
          <t>AIR 2005 SC 2384; (2005) 3 CTC 40; (2005) 5 JT 38; (2005) 141 PLR 185; (2005) 4 SCC 572; (2005) 3 SCR 994</t>
        </is>
      </c>
      <c r="N1477" s="11" t="n">
        <v>2005</v>
      </c>
      <c r="O1477" s="11" t="n"/>
      <c r="P1477" s="11" t="n"/>
      <c r="Q1477" s="11" t="n"/>
      <c r="R1477" s="2" t="n"/>
      <c r="S1477" s="2" t="n"/>
      <c r="T1477" s="11" t="inlineStr">
        <is>
          <t>yes</t>
        </is>
      </c>
      <c r="U1477" s="11" t="inlineStr"/>
      <c r="V1477" s="11" t="inlineStr">
        <is>
          <t>outside_list</t>
        </is>
      </c>
      <c r="W1477" s="11" t="n"/>
      <c r="X1477" s="11" t="n"/>
      <c r="Y1477" s="11" t="n"/>
      <c r="Z1477" s="11" t="inlineStr">
        <is>
          <t>Mr. Advocate</t>
        </is>
      </c>
      <c r="AA1477" s="11" t="inlineStr">
        <is>
          <t>2026-10-07</t>
        </is>
      </c>
      <c r="AB1477" s="11" t="inlineStr">
        <is>
          <t>name_year</t>
        </is>
      </c>
      <c r="AC1477" s="2" t="inlineStr"/>
      <c r="AD1477" s="2" t="inlineStr">
        <is>
          <t>Ram Chander Aggarwal v. Hans Raj Banga (2002) was reversed on appeal by the Supreme Court in Hans Raj Banga v. Ram Chander Aggarwal (2005).</t>
        </is>
      </c>
      <c r="AE1477" s="2" t="n"/>
      <c r="AF1477" s="11" t="inlineStr">
        <is>
          <t>created from list 1</t>
        </is>
      </c>
    </row>
    <row r="1478">
      <c r="A1478" s="11" t="inlineStr">
        <is>
          <t>L1-1477</t>
        </is>
      </c>
      <c r="B1478" s="11" t="inlineStr">
        <is>
          <t>List 1 (to ~2015)</t>
        </is>
      </c>
      <c r="C1478" s="11" t="inlineStr">
        <is>
          <t>list1</t>
        </is>
      </c>
      <c r="D1478" s="11" t="inlineStr">
        <is>
          <t>verified</t>
        </is>
      </c>
      <c r="E1478" s="11" t="inlineStr">
        <is>
          <t>reversed_on_appeal</t>
        </is>
      </c>
      <c r="F1478" s="2" t="inlineStr">
        <is>
          <t>K.M. Sharma v. Income Tax Officer and Others</t>
        </is>
      </c>
      <c r="G1478" s="11" t="inlineStr"/>
      <c r="H1478" s="11" t="inlineStr">
        <is>
          <t>unknown</t>
        </is>
      </c>
      <c r="I1478" s="2" t="inlineStr">
        <is>
          <t>(1996) 221 ITR 202</t>
        </is>
      </c>
      <c r="J1478" s="11" t="n">
        <v>1996</v>
      </c>
      <c r="K1478" s="2" t="inlineStr">
        <is>
          <t>K.M. Sharma v. Income Tax Officer, Ward 13(7), New Delhi</t>
        </is>
      </c>
      <c r="L1478" s="11" t="inlineStr">
        <is>
          <t>Supreme Court</t>
        </is>
      </c>
      <c r="M1478" s="2" t="inlineStr">
        <is>
          <t>AIR 2002 SC 1715; (2002) 174 CTR 210; (2002) 254 ITR 772; (2002) 4 JT 10; (2002) 3 SCALE 383; (2002) 4 SCC 339; (2002) 2 SCR 1047; (2002) 122 TAXMAN 426</t>
        </is>
      </c>
      <c r="N1478" s="11" t="n">
        <v>2002</v>
      </c>
      <c r="O1478" s="11" t="n"/>
      <c r="P1478" s="11" t="n"/>
      <c r="Q1478" s="11" t="n"/>
      <c r="R1478" s="2" t="n"/>
      <c r="S1478" s="2" t="n"/>
      <c r="T1478" s="11" t="inlineStr">
        <is>
          <t>yes</t>
        </is>
      </c>
      <c r="U1478" s="11" t="inlineStr"/>
      <c r="V1478" s="11" t="inlineStr">
        <is>
          <t>outside_list</t>
        </is>
      </c>
      <c r="W1478" s="11" t="n"/>
      <c r="X1478" s="11" t="n"/>
      <c r="Y1478" s="11" t="n"/>
      <c r="Z1478" s="11" t="inlineStr">
        <is>
          <t>Mr. Advocate</t>
        </is>
      </c>
      <c r="AA1478" s="11" t="inlineStr">
        <is>
          <t>2026-10-07</t>
        </is>
      </c>
      <c r="AB1478" s="11" t="inlineStr">
        <is>
          <t>name_year</t>
        </is>
      </c>
      <c r="AC1478" s="2" t="inlineStr"/>
      <c r="AD1478" s="2" t="inlineStr">
        <is>
          <t>K.M. Sharma v. Income Tax Officer and Others (1996) was reversed on appeal by the Supreme Court in K.M. Sharma v. Income Tax Officer, Ward 13(7), New Delhi (2002).</t>
        </is>
      </c>
      <c r="AE1478" s="2" t="n"/>
      <c r="AF1478" s="11" t="inlineStr">
        <is>
          <t>created from list 1</t>
        </is>
      </c>
    </row>
    <row r="1479">
      <c r="A1479" s="11" t="inlineStr">
        <is>
          <t>L1-1478</t>
        </is>
      </c>
      <c r="B1479" s="11" t="inlineStr">
        <is>
          <t>List 1 (to ~2015)</t>
        </is>
      </c>
      <c r="C1479" s="11" t="inlineStr">
        <is>
          <t>list1</t>
        </is>
      </c>
      <c r="D1479" s="11" t="inlineStr">
        <is>
          <t>verified</t>
        </is>
      </c>
      <c r="E1479" s="11" t="inlineStr">
        <is>
          <t>reversed_on_appeal</t>
        </is>
      </c>
      <c r="F1479" s="2" t="inlineStr">
        <is>
          <t>Delhi Urban House owners Welfare Association, J.P. Jain v. Union of India</t>
        </is>
      </c>
      <c r="G1479" s="11" t="inlineStr"/>
      <c r="H1479" s="11" t="inlineStr">
        <is>
          <t>unknown</t>
        </is>
      </c>
      <c r="I1479" s="2" t="inlineStr">
        <is>
          <t>(1995) 60 DLT 644; (1996) 37 DRJ 126; (1995) RLR 533</t>
        </is>
      </c>
      <c r="J1479" s="11" t="n">
        <v>1995</v>
      </c>
      <c r="K1479" s="2" t="inlineStr">
        <is>
          <t>Municipal Corporation of Delhi v. Delhi Urban House Owners’ Welfare Assn.</t>
        </is>
      </c>
      <c r="L1479" s="11" t="inlineStr">
        <is>
          <t>Supreme Court</t>
        </is>
      </c>
      <c r="M1479" s="2" t="inlineStr">
        <is>
          <t>AIR 1998 SC 36; (1997) 8 JT 363; (1997) 6 SCALE 353; (1997) 8 SCC 335; (1997) 4 SCR 418 Supp; (1997) 2 UJ 771</t>
        </is>
      </c>
      <c r="N1479" s="11" t="n">
        <v>1998</v>
      </c>
      <c r="O1479" s="11" t="n"/>
      <c r="P1479" s="11" t="n"/>
      <c r="Q1479" s="11" t="n"/>
      <c r="R1479" s="2" t="n"/>
      <c r="S1479" s="2" t="n"/>
      <c r="T1479" s="11" t="inlineStr">
        <is>
          <t>yes</t>
        </is>
      </c>
      <c r="U1479" s="11" t="inlineStr"/>
      <c r="V1479" s="11" t="inlineStr">
        <is>
          <t>outside_list</t>
        </is>
      </c>
      <c r="W1479" s="11" t="n"/>
      <c r="X1479" s="11" t="n"/>
      <c r="Y1479" s="11" t="n"/>
      <c r="Z1479" s="11" t="inlineStr">
        <is>
          <t>Mr. Advocate</t>
        </is>
      </c>
      <c r="AA1479" s="11" t="inlineStr">
        <is>
          <t>2026-10-07</t>
        </is>
      </c>
      <c r="AB1479" s="11" t="inlineStr">
        <is>
          <t>name_year</t>
        </is>
      </c>
      <c r="AC1479" s="2" t="inlineStr"/>
      <c r="AD1479" s="2" t="inlineStr">
        <is>
          <t>Delhi Urban House owners Welfare Association, J.P. Jain v. Union of India (1995) was reversed on appeal by the Supreme Court in Municipal Corporation of Delhi v. Delhi Urban House Owners’ Welfare Assn. (1998).</t>
        </is>
      </c>
      <c r="AE1479" s="2" t="n"/>
      <c r="AF1479" s="11" t="inlineStr">
        <is>
          <t>created from list 1</t>
        </is>
      </c>
    </row>
    <row r="1480">
      <c r="A1480" s="11" t="inlineStr">
        <is>
          <t>L1-1479</t>
        </is>
      </c>
      <c r="B1480" s="11" t="inlineStr">
        <is>
          <t>List 1 (to ~2015)</t>
        </is>
      </c>
      <c r="C1480" s="11" t="inlineStr">
        <is>
          <t>list1</t>
        </is>
      </c>
      <c r="D1480" s="11" t="inlineStr">
        <is>
          <t>verified</t>
        </is>
      </c>
      <c r="E1480" s="11" t="inlineStr">
        <is>
          <t>reversed_on_appeal</t>
        </is>
      </c>
      <c r="F1480" s="2" t="inlineStr">
        <is>
          <t>G.S. Bajwa v. Union of India and Others</t>
        </is>
      </c>
      <c r="G1480" s="11" t="inlineStr"/>
      <c r="H1480" s="11" t="inlineStr">
        <is>
          <t>unknown</t>
        </is>
      </c>
      <c r="I1480" s="2" t="inlineStr">
        <is>
          <t>(1995) 59 DLT 742</t>
        </is>
      </c>
      <c r="J1480" s="11" t="n">
        <v>1995</v>
      </c>
      <c r="K1480" s="2" t="inlineStr">
        <is>
          <t>Union of India (UOI) and Others v. Ex. Flt. Lt. G.S. Bajwa</t>
        </is>
      </c>
      <c r="L1480" s="11" t="inlineStr">
        <is>
          <t>Supreme Court</t>
        </is>
      </c>
      <c r="M1480" s="2" t="inlineStr">
        <is>
          <t>(2003) 4 JT 505; (2003) 4 SCALE 494; (2003) 9 SCC 630; (2003) 3 SCR 1092; (2003) 3 SLJ 288; (2003) 2 UJ 849</t>
        </is>
      </c>
      <c r="N1480" s="11" t="n">
        <v>2003</v>
      </c>
      <c r="O1480" s="11" t="n"/>
      <c r="P1480" s="11" t="n"/>
      <c r="Q1480" s="11" t="n"/>
      <c r="R1480" s="2" t="n"/>
      <c r="S1480" s="2" t="n"/>
      <c r="T1480" s="11" t="inlineStr">
        <is>
          <t>yes</t>
        </is>
      </c>
      <c r="U1480" s="11" t="inlineStr"/>
      <c r="V1480" s="11" t="inlineStr">
        <is>
          <t>outside_list</t>
        </is>
      </c>
      <c r="W1480" s="11" t="n"/>
      <c r="X1480" s="11" t="n"/>
      <c r="Y1480" s="11" t="n"/>
      <c r="Z1480" s="11" t="inlineStr">
        <is>
          <t>Mr. Advocate</t>
        </is>
      </c>
      <c r="AA1480" s="11" t="inlineStr">
        <is>
          <t>2026-10-07</t>
        </is>
      </c>
      <c r="AB1480" s="11" t="inlineStr">
        <is>
          <t>name_year</t>
        </is>
      </c>
      <c r="AC1480" s="2" t="inlineStr"/>
      <c r="AD1480" s="2" t="inlineStr">
        <is>
          <t>G.S. Bajwa v. Union of India and Others (1995) was reversed on appeal by the Supreme Court in Union of India (UOI) and Others v. Ex. Flt. Lt. G.S. Bajwa (2003).</t>
        </is>
      </c>
      <c r="AE1480" s="2" t="n"/>
      <c r="AF1480" s="11" t="inlineStr">
        <is>
          <t>created from list 1</t>
        </is>
      </c>
    </row>
    <row r="1481">
      <c r="A1481" s="11" t="inlineStr">
        <is>
          <t>L1-1480</t>
        </is>
      </c>
      <c r="B1481" s="11" t="inlineStr">
        <is>
          <t>List 1 (to ~2015)</t>
        </is>
      </c>
      <c r="C1481" s="11" t="inlineStr">
        <is>
          <t>list1</t>
        </is>
      </c>
      <c r="D1481" s="11" t="inlineStr">
        <is>
          <t>verified</t>
        </is>
      </c>
      <c r="E1481" s="11" t="inlineStr">
        <is>
          <t>reversed_on_appeal</t>
        </is>
      </c>
      <c r="F1481" s="2" t="inlineStr">
        <is>
          <t>All India Young Lawyers Association (Regd) v. Govt. of NCT of Delhi and Others</t>
        </is>
      </c>
      <c r="G1481" s="11" t="inlineStr"/>
      <c r="H1481" s="11" t="inlineStr">
        <is>
          <t>unknown</t>
        </is>
      </c>
      <c r="I1481" s="2" t="inlineStr">
        <is>
          <t>(2006) 128 DLT 29; (2006) 87 DRJ 704</t>
        </is>
      </c>
      <c r="J1481" s="11" t="n">
        <v>2006</v>
      </c>
      <c r="K1481" s="2" t="inlineStr">
        <is>
          <t>Govt. of NCT of Delhi and Others v. All India Young Lawyers Association (Regd.) and Another</t>
        </is>
      </c>
      <c r="L1481" s="11" t="inlineStr">
        <is>
          <t>Supreme Court</t>
        </is>
      </c>
      <c r="M1481" s="2" t="inlineStr">
        <is>
          <t>(2009) 14 JT 477; (2009) 3 SCALE 436; (2009) 14 SCC 49; (2009) 3 SCR 555</t>
        </is>
      </c>
      <c r="N1481" s="11" t="n">
        <v>2009</v>
      </c>
      <c r="O1481" s="11" t="n"/>
      <c r="P1481" s="11" t="n"/>
      <c r="Q1481" s="11" t="n"/>
      <c r="R1481" s="2" t="n"/>
      <c r="S1481" s="2" t="n"/>
      <c r="T1481" s="11" t="inlineStr">
        <is>
          <t>yes</t>
        </is>
      </c>
      <c r="U1481" s="11" t="inlineStr"/>
      <c r="V1481" s="11" t="inlineStr">
        <is>
          <t>outside_list</t>
        </is>
      </c>
      <c r="W1481" s="11" t="n"/>
      <c r="X1481" s="11" t="n"/>
      <c r="Y1481" s="11" t="n"/>
      <c r="Z1481" s="11" t="inlineStr">
        <is>
          <t>Mr. Advocate</t>
        </is>
      </c>
      <c r="AA1481" s="11" t="inlineStr">
        <is>
          <t>2026-10-07</t>
        </is>
      </c>
      <c r="AB1481" s="11" t="inlineStr">
        <is>
          <t>name_year</t>
        </is>
      </c>
      <c r="AC1481" s="2" t="inlineStr"/>
      <c r="AD1481" s="2" t="inlineStr">
        <is>
          <t>All India Young Lawyers Association (Regd) v. Govt. of NCT of Delhi and Others (2006) was reversed on appeal by the Supreme Court in Govt. of NCT of Delhi and Others v. All India Young Lawyers Association (Regd.) and Another (2009).</t>
        </is>
      </c>
      <c r="AE1481" s="2" t="n"/>
      <c r="AF1481" s="11" t="inlineStr">
        <is>
          <t>created from list 1</t>
        </is>
      </c>
    </row>
    <row r="1482">
      <c r="A1482" s="11" t="inlineStr">
        <is>
          <t>L1-1481</t>
        </is>
      </c>
      <c r="B1482" s="11" t="inlineStr">
        <is>
          <t>List 1 (to ~2015)</t>
        </is>
      </c>
      <c r="C1482" s="11" t="inlineStr">
        <is>
          <t>list1</t>
        </is>
      </c>
      <c r="D1482" s="11" t="inlineStr">
        <is>
          <t>verified</t>
        </is>
      </c>
      <c r="E1482" s="11" t="inlineStr">
        <is>
          <t>reversed_on_appeal</t>
        </is>
      </c>
      <c r="F1482" s="2" t="inlineStr">
        <is>
          <t>Hari Parkash v. Dental Council of India</t>
        </is>
      </c>
      <c r="G1482" s="11" t="inlineStr"/>
      <c r="H1482" s="11" t="inlineStr">
        <is>
          <t>unknown</t>
        </is>
      </c>
      <c r="I1482" s="2" t="inlineStr">
        <is>
          <t>(1996) 3 AD 533; (1996) 38 DRJ 177</t>
        </is>
      </c>
      <c r="J1482" s="11" t="n">
        <v>1996</v>
      </c>
      <c r="K1482" s="2" t="inlineStr">
        <is>
          <t>Dental Council of India and Another v. Hari Parkash and Others</t>
        </is>
      </c>
      <c r="L1482" s="11" t="inlineStr">
        <is>
          <t>Supreme Court</t>
        </is>
      </c>
      <c r="M1482" s="2" t="inlineStr">
        <is>
          <t>AIR 2001 SC 3303; (2001) 7 JT 342; (2001) 5 SCALE 573; (2001) 8 SCC 61; (2001) 4 SCT 336; (2001) 3 SLJ 468; (2001) AIRSCW 3353; (2001) 6 Supreme 556</t>
        </is>
      </c>
      <c r="N1482" s="11" t="n">
        <v>2001</v>
      </c>
      <c r="O1482" s="11" t="n"/>
      <c r="P1482" s="11" t="n"/>
      <c r="Q1482" s="11" t="n"/>
      <c r="R1482" s="2" t="n"/>
      <c r="S1482" s="2" t="n"/>
      <c r="T1482" s="11" t="inlineStr">
        <is>
          <t>yes</t>
        </is>
      </c>
      <c r="U1482" s="11" t="inlineStr"/>
      <c r="V1482" s="11" t="inlineStr">
        <is>
          <t>outside_list</t>
        </is>
      </c>
      <c r="W1482" s="11" t="n"/>
      <c r="X1482" s="11" t="n"/>
      <c r="Y1482" s="11" t="n"/>
      <c r="Z1482" s="11" t="inlineStr">
        <is>
          <t>Mr. Advocate</t>
        </is>
      </c>
      <c r="AA1482" s="11" t="inlineStr">
        <is>
          <t>2026-10-07</t>
        </is>
      </c>
      <c r="AB1482" s="11" t="inlineStr">
        <is>
          <t>name_year</t>
        </is>
      </c>
      <c r="AC1482" s="2" t="inlineStr"/>
      <c r="AD1482" s="2" t="inlineStr">
        <is>
          <t>Hari Parkash v. Dental Council of India (1996) was reversed on appeal by the Supreme Court in Dental Council of India and Another v. Hari Parkash and Others (2001).</t>
        </is>
      </c>
      <c r="AE1482" s="2" t="n"/>
      <c r="AF1482" s="11" t="inlineStr">
        <is>
          <t>created from list 1</t>
        </is>
      </c>
    </row>
    <row r="1483">
      <c r="A1483" s="11" t="inlineStr">
        <is>
          <t>L1-1482</t>
        </is>
      </c>
      <c r="B1483" s="11" t="inlineStr">
        <is>
          <t>List 1 (to ~2015)</t>
        </is>
      </c>
      <c r="C1483" s="11" t="inlineStr">
        <is>
          <t>list1</t>
        </is>
      </c>
      <c r="D1483" s="11" t="inlineStr">
        <is>
          <t>verified</t>
        </is>
      </c>
      <c r="E1483" s="11" t="inlineStr">
        <is>
          <t>reversed_on_appeal</t>
        </is>
      </c>
      <c r="F1483" s="2" t="inlineStr">
        <is>
          <t>Harbans Lal v. M.L. Wadhwan and Others</t>
        </is>
      </c>
      <c r="G1483" s="11" t="inlineStr"/>
      <c r="H1483" s="11" t="inlineStr">
        <is>
          <t>unknown</t>
        </is>
      </c>
      <c r="I1483" s="2" t="inlineStr">
        <is>
          <t>(1987) 31 DLT 32</t>
        </is>
      </c>
      <c r="J1483" s="11" t="n">
        <v>1987</v>
      </c>
      <c r="K1483" s="2" t="inlineStr">
        <is>
          <t>Harbans Lal v. M.L. Wadhawan and Others</t>
        </is>
      </c>
      <c r="L1483" s="11" t="inlineStr">
        <is>
          <t>Supreme Court</t>
        </is>
      </c>
      <c r="M1483" s="2" t="inlineStr">
        <is>
          <t>AIR 1987 SC 217; (1987) 62 CompCas 747; (1987) CriLJ 324; (1987) 1 Crimes 89; (1987) 12 ECC 128; (1987) 27 ELT 584; (1986) 1 JT 960; (1986) 2 SCALE 925; (1987) 1 SCC 151; (1987) 1 SCR 425; (1987) 1 UJ 510</t>
        </is>
      </c>
      <c r="N1483" s="11" t="n">
        <v>1987</v>
      </c>
      <c r="O1483" s="11" t="n"/>
      <c r="P1483" s="11" t="n"/>
      <c r="Q1483" s="11" t="n"/>
      <c r="R1483" s="2" t="n"/>
      <c r="S1483" s="2" t="n"/>
      <c r="T1483" s="11" t="inlineStr">
        <is>
          <t>yes</t>
        </is>
      </c>
      <c r="U1483" s="11" t="inlineStr"/>
      <c r="V1483" s="11" t="inlineStr">
        <is>
          <t>outside_list</t>
        </is>
      </c>
      <c r="W1483" s="11" t="n"/>
      <c r="X1483" s="11" t="n"/>
      <c r="Y1483" s="11" t="n"/>
      <c r="Z1483" s="11" t="inlineStr">
        <is>
          <t>Mr. Advocate</t>
        </is>
      </c>
      <c r="AA1483" s="11" t="inlineStr">
        <is>
          <t>2026-10-07</t>
        </is>
      </c>
      <c r="AB1483" s="11" t="inlineStr">
        <is>
          <t>name_year</t>
        </is>
      </c>
      <c r="AC1483" s="2" t="inlineStr"/>
      <c r="AD1483" s="2" t="inlineStr">
        <is>
          <t>Harbans Lal v. M.L. Wadhwan and Others (1987) was reversed on appeal by the Supreme Court in Harbans Lal v. M.L. Wadhawan and Others (1987).</t>
        </is>
      </c>
      <c r="AE1483" s="2" t="n"/>
      <c r="AF1483" s="11" t="inlineStr">
        <is>
          <t>created from list 1</t>
        </is>
      </c>
    </row>
    <row r="1484">
      <c r="A1484" s="11" t="inlineStr">
        <is>
          <t>L1-1483</t>
        </is>
      </c>
      <c r="B1484" s="11" t="inlineStr">
        <is>
          <t>List 1 (to ~2015)</t>
        </is>
      </c>
      <c r="C1484" s="11" t="inlineStr">
        <is>
          <t>list1</t>
        </is>
      </c>
      <c r="D1484" s="11" t="inlineStr">
        <is>
          <t>verified</t>
        </is>
      </c>
      <c r="E1484" s="11" t="inlineStr">
        <is>
          <t>overruled</t>
        </is>
      </c>
      <c r="F1484" s="2" t="inlineStr">
        <is>
          <t>K.T. Advani v. The State</t>
        </is>
      </c>
      <c r="G1484" s="11" t="inlineStr"/>
      <c r="H1484" s="11" t="inlineStr">
        <is>
          <t>unknown</t>
        </is>
      </c>
      <c r="I1484" s="2" t="inlineStr">
        <is>
          <t>(1985) CriLJ 1325</t>
        </is>
      </c>
      <c r="J1484" s="11" t="n">
        <v>1985</v>
      </c>
      <c r="K1484" s="2" t="inlineStr">
        <is>
          <t>Poolpandi v. Superintendent, Central Excise and others etc.</t>
        </is>
      </c>
      <c r="L1484" s="11" t="inlineStr">
        <is>
          <t>Supreme Court</t>
        </is>
      </c>
      <c r="M1484" s="2" t="inlineStr">
        <is>
          <t>AIR 1992 SC 1795; (1992) 75 CompCas 504; (1992) CriLJ 2761; (1992) 2 Crimes 648; (1994) 46 ECC 249; (1992) 42 ECR 7; (1992) 60 ELT 24; (1992) 4 JT 119; (1992) 1 SCALE 1114; (1992) 3 SCC 259; (1992) 3 SCR 247; (1992) 62 TAXMAN 447</t>
        </is>
      </c>
      <c r="N1484" s="11" t="n">
        <v>1992</v>
      </c>
      <c r="O1484" s="11" t="n"/>
      <c r="P1484" s="11" t="n"/>
      <c r="Q1484" s="11" t="n"/>
      <c r="R1484" s="2" t="n"/>
      <c r="S1484" s="2" t="n"/>
      <c r="T1484" s="11" t="inlineStr"/>
      <c r="U1484" s="11" t="inlineStr"/>
      <c r="V1484" s="11" t="inlineStr">
        <is>
          <t>outside_list</t>
        </is>
      </c>
      <c r="W1484" s="11" t="n"/>
      <c r="X1484" s="11" t="n"/>
      <c r="Y1484" s="11" t="n"/>
      <c r="Z1484" s="11" t="inlineStr">
        <is>
          <t>Mr. Advocate</t>
        </is>
      </c>
      <c r="AA1484" s="11" t="inlineStr">
        <is>
          <t>2026-10-07</t>
        </is>
      </c>
      <c r="AB1484" s="11" t="inlineStr">
        <is>
          <t>name_year</t>
        </is>
      </c>
      <c r="AC1484" s="2" t="inlineStr"/>
      <c r="AD1484" s="2" t="inlineStr">
        <is>
          <t>K.T. Advani v. The State (1985) was overruled by Poolpandi v. Superintendent, Central Excise and others etc. (1992).</t>
        </is>
      </c>
      <c r="AE1484" s="2" t="n"/>
      <c r="AF1484" s="11" t="inlineStr">
        <is>
          <t>created from list 1</t>
        </is>
      </c>
    </row>
    <row r="1485">
      <c r="A1485" s="11" t="inlineStr">
        <is>
          <t>L1-1484</t>
        </is>
      </c>
      <c r="B1485" s="11" t="inlineStr">
        <is>
          <t>List 1 (to ~2015)</t>
        </is>
      </c>
      <c r="C1485" s="11" t="inlineStr">
        <is>
          <t>list1</t>
        </is>
      </c>
      <c r="D1485" s="11" t="inlineStr">
        <is>
          <t>verified</t>
        </is>
      </c>
      <c r="E1485" s="11" t="inlineStr">
        <is>
          <t>overruled</t>
        </is>
      </c>
      <c r="F1485" s="2" t="inlineStr">
        <is>
          <t>Laxman Singh v. Jai Parkash and Others</t>
        </is>
      </c>
      <c r="G1485" s="11" t="inlineStr"/>
      <c r="H1485" s="11" t="inlineStr">
        <is>
          <t>unknown</t>
        </is>
      </c>
      <c r="I1485" s="2" t="inlineStr">
        <is>
          <t>(1984) 2 Crimes 918; (1985) 27 DLT 161</t>
        </is>
      </c>
      <c r="J1485" s="11" t="n">
        <v>1984</v>
      </c>
      <c r="K1485" s="2" t="inlineStr">
        <is>
          <t>Bansi Lal and Others v. Laxman Singh</t>
        </is>
      </c>
      <c r="L1485" s="11" t="inlineStr">
        <is>
          <t>Supreme Court</t>
        </is>
      </c>
      <c r="M1485" s="2" t="inlineStr">
        <is>
          <t>AIR 1986 SC 1721; (1986) CriLJ 1603; (1986) 3 Crimes 159; (1986) JT 49; (1986) 90 PLR 334; (1986) 2 SCALE 2; (1986) 3 SCC 444; (1986) 3 SCR 191</t>
        </is>
      </c>
      <c r="N1485" s="11" t="n">
        <v>1986</v>
      </c>
      <c r="O1485" s="11" t="n"/>
      <c r="P1485" s="11" t="n"/>
      <c r="Q1485" s="11" t="n"/>
      <c r="R1485" s="2" t="n"/>
      <c r="S1485" s="2" t="n"/>
      <c r="T1485" s="11" t="inlineStr"/>
      <c r="U1485" s="11" t="inlineStr"/>
      <c r="V1485" s="11" t="inlineStr">
        <is>
          <t>outside_list</t>
        </is>
      </c>
      <c r="W1485" s="11" t="n"/>
      <c r="X1485" s="11" t="n"/>
      <c r="Y1485" s="11" t="n"/>
      <c r="Z1485" s="11" t="inlineStr">
        <is>
          <t>Mr. Advocate</t>
        </is>
      </c>
      <c r="AA1485" s="11" t="inlineStr">
        <is>
          <t>2026-10-07</t>
        </is>
      </c>
      <c r="AB1485" s="11" t="inlineStr">
        <is>
          <t>name_year</t>
        </is>
      </c>
      <c r="AC1485" s="2" t="inlineStr"/>
      <c r="AD1485" s="2" t="inlineStr">
        <is>
          <t>Laxman Singh v. Jai Parkash and Others (1984) was overruled by Bansi Lal and Others v. Laxman Singh (1986).</t>
        </is>
      </c>
      <c r="AE1485" s="2" t="n"/>
      <c r="AF1485" s="11" t="inlineStr">
        <is>
          <t>created from list 1</t>
        </is>
      </c>
    </row>
    <row r="1486">
      <c r="A1486" s="11" t="inlineStr">
        <is>
          <t>L1-1485</t>
        </is>
      </c>
      <c r="B1486" s="11" t="inlineStr">
        <is>
          <t>List 1 (to ~2015)</t>
        </is>
      </c>
      <c r="C1486" s="11" t="inlineStr">
        <is>
          <t>list1</t>
        </is>
      </c>
      <c r="D1486" s="11" t="inlineStr">
        <is>
          <t>verified</t>
        </is>
      </c>
      <c r="E1486" s="11" t="inlineStr">
        <is>
          <t>overruled</t>
        </is>
      </c>
      <c r="F1486" s="2" t="inlineStr">
        <is>
          <t>Kailash Sharma v. State</t>
        </is>
      </c>
      <c r="G1486" s="11" t="inlineStr"/>
      <c r="H1486" s="11" t="inlineStr">
        <is>
          <t>unknown</t>
        </is>
      </c>
      <c r="I1486" s="2" t="inlineStr">
        <is>
          <t>(1973) CriLJ 1021</t>
        </is>
      </c>
      <c r="J1486" s="11" t="n">
        <v>1973</v>
      </c>
      <c r="K1486" s="2" t="inlineStr">
        <is>
          <t>Ajay Agarwal v. Union of India and others</t>
        </is>
      </c>
      <c r="L1486" s="11" t="inlineStr">
        <is>
          <t>Supreme Court</t>
        </is>
      </c>
      <c r="M1486" s="2" t="inlineStr">
        <is>
          <t>AIR 1993 SC 1637; (1994) 79 CompCas 1; (1993) CriLJ 2516; (1993) 2 Crimes 342; (1993) 3 JT 203; (1993) 2 SCALE 757; (1993) 3 SCC 609; (1993) 3 SCR 543</t>
        </is>
      </c>
      <c r="N1486" s="11" t="n">
        <v>1993</v>
      </c>
      <c r="O1486" s="11" t="n"/>
      <c r="P1486" s="11" t="n"/>
      <c r="Q1486" s="11" t="n"/>
      <c r="R1486" s="2" t="n"/>
      <c r="S1486" s="2" t="n"/>
      <c r="T1486" s="11" t="inlineStr"/>
      <c r="U1486" s="11" t="inlineStr"/>
      <c r="V1486" s="11" t="inlineStr">
        <is>
          <t>outside_list</t>
        </is>
      </c>
      <c r="W1486" s="11" t="n"/>
      <c r="X1486" s="11" t="n"/>
      <c r="Y1486" s="11" t="n"/>
      <c r="Z1486" s="11" t="inlineStr">
        <is>
          <t>Mr. Advocate</t>
        </is>
      </c>
      <c r="AA1486" s="11" t="inlineStr">
        <is>
          <t>2026-10-07</t>
        </is>
      </c>
      <c r="AB1486" s="11" t="inlineStr">
        <is>
          <t>name_year</t>
        </is>
      </c>
      <c r="AC1486" s="2" t="inlineStr"/>
      <c r="AD1486" s="2" t="inlineStr">
        <is>
          <t>Kailash Sharma v. State (1973) was overruled by Ajay Agarwal v. Union of India and others (1993).</t>
        </is>
      </c>
      <c r="AE1486" s="2" t="n"/>
      <c r="AF1486" s="11" t="inlineStr">
        <is>
          <t>created from list 1</t>
        </is>
      </c>
    </row>
    <row r="1487">
      <c r="A1487" s="11" t="inlineStr">
        <is>
          <t>L1-1486</t>
        </is>
      </c>
      <c r="B1487" s="11" t="inlineStr">
        <is>
          <t>List 1 (to ~2015)</t>
        </is>
      </c>
      <c r="C1487" s="11" t="inlineStr">
        <is>
          <t>list1</t>
        </is>
      </c>
      <c r="D1487" s="11" t="inlineStr">
        <is>
          <t>verified</t>
        </is>
      </c>
      <c r="E1487" s="11" t="inlineStr">
        <is>
          <t>reversed_on_appeal</t>
        </is>
      </c>
      <c r="F1487" s="2" t="inlineStr">
        <is>
          <t>Mahalaxmi Sugar Mills Co. Ltd. v. Commissioner of Income Tax</t>
        </is>
      </c>
      <c r="G1487" s="11" t="inlineStr"/>
      <c r="H1487" s="11" t="inlineStr">
        <is>
          <t>unknown</t>
        </is>
      </c>
      <c r="I1487" s="2" t="inlineStr">
        <is>
          <t>(1974) 94 ITR 592</t>
        </is>
      </c>
      <c r="J1487" s="11" t="n">
        <v>1974</v>
      </c>
      <c r="K1487" s="2" t="inlineStr">
        <is>
          <t>Commissioner of Income Tax, Delhi v. Mahalaxmi Sugar Mills Co. Ltd.</t>
        </is>
      </c>
      <c r="L1487" s="11" t="inlineStr">
        <is>
          <t>Supreme Court</t>
        </is>
      </c>
      <c r="M1487" s="2" t="inlineStr">
        <is>
          <t>AIR 1986 SC 2111; (1986) 58 CTR 138; (1986) 160 ITR 920; (1986) JT 228; (1986) 2 SCALE 166; (1986) 3 SCC 544; (1986) 3 SCR 150</t>
        </is>
      </c>
      <c r="N1487" s="11" t="n">
        <v>1986</v>
      </c>
      <c r="O1487" s="11" t="n"/>
      <c r="P1487" s="11" t="n"/>
      <c r="Q1487" s="11" t="n"/>
      <c r="R1487" s="2" t="n"/>
      <c r="S1487" s="2" t="n"/>
      <c r="T1487" s="11" t="inlineStr">
        <is>
          <t>yes</t>
        </is>
      </c>
      <c r="U1487" s="11" t="inlineStr"/>
      <c r="V1487" s="11" t="inlineStr">
        <is>
          <t>outside_list</t>
        </is>
      </c>
      <c r="W1487" s="11" t="n"/>
      <c r="X1487" s="11" t="n"/>
      <c r="Y1487" s="11" t="n"/>
      <c r="Z1487" s="11" t="inlineStr">
        <is>
          <t>Mr. Advocate</t>
        </is>
      </c>
      <c r="AA1487" s="11" t="inlineStr">
        <is>
          <t>2026-10-07</t>
        </is>
      </c>
      <c r="AB1487" s="11" t="inlineStr">
        <is>
          <t>name_year</t>
        </is>
      </c>
      <c r="AC1487" s="2" t="inlineStr"/>
      <c r="AD1487" s="2" t="inlineStr">
        <is>
          <t>Mahalaxmi Sugar Mills Co. Ltd. v. Commissioner of Income Tax (1974) was reversed on appeal by the Supreme Court in Commissioner of Income Tax, Delhi v. Mahalaxmi Sugar Mills Co. Ltd. (1986).</t>
        </is>
      </c>
      <c r="AE1487" s="2" t="n"/>
      <c r="AF1487" s="11" t="inlineStr">
        <is>
          <t>created from list 1</t>
        </is>
      </c>
    </row>
    <row r="1488">
      <c r="A1488" s="11" t="inlineStr">
        <is>
          <t>L1-1487</t>
        </is>
      </c>
      <c r="B1488" s="11" t="inlineStr">
        <is>
          <t>List 1 (to ~2015)</t>
        </is>
      </c>
      <c r="C1488" s="11" t="inlineStr">
        <is>
          <t>list1</t>
        </is>
      </c>
      <c r="D1488" s="11" t="inlineStr">
        <is>
          <t>verified</t>
        </is>
      </c>
      <c r="E1488" s="11" t="inlineStr">
        <is>
          <t>reversed_on_appeal</t>
        </is>
      </c>
      <c r="F1488" s="2" t="inlineStr">
        <is>
          <t>Baldev Sahai Bangia v. R.C. Bhasin</t>
        </is>
      </c>
      <c r="G1488" s="11" t="inlineStr"/>
      <c r="H1488" s="11" t="inlineStr">
        <is>
          <t>High Court/other (Delhi)</t>
        </is>
      </c>
      <c r="I1488" s="2" t="inlineStr">
        <is>
          <t>AIR 1980 Delhi 145; (1980) 17 DLT 461; (1980) 1 DRJ 60; (1980) RLR 319</t>
        </is>
      </c>
      <c r="J1488" s="11" t="n">
        <v>1980</v>
      </c>
      <c r="K1488" s="2" t="inlineStr">
        <is>
          <t>Baldev Sahai Bangia v. R.C. Bhasin</t>
        </is>
      </c>
      <c r="L1488" s="11" t="inlineStr">
        <is>
          <t>Supreme Court</t>
        </is>
      </c>
      <c r="M1488" s="2" t="inlineStr">
        <is>
          <t>AIR 1982 SC 1091; (1982) 1 SCALE 366; (1982) 2 SCC 210; (1982) 3 SCR 670; (1982) 14 UJ 405</t>
        </is>
      </c>
      <c r="N1488" s="11" t="n">
        <v>1982</v>
      </c>
      <c r="O1488" s="11" t="n"/>
      <c r="P1488" s="11" t="n"/>
      <c r="Q1488" s="11" t="n"/>
      <c r="R1488" s="2" t="n"/>
      <c r="S1488" s="2" t="n"/>
      <c r="T1488" s="11" t="inlineStr">
        <is>
          <t>yes</t>
        </is>
      </c>
      <c r="U1488" s="11" t="inlineStr"/>
      <c r="V1488" s="11" t="inlineStr">
        <is>
          <t>outside_list</t>
        </is>
      </c>
      <c r="W1488" s="11" t="n"/>
      <c r="X1488" s="11" t="n"/>
      <c r="Y1488" s="11" t="n"/>
      <c r="Z1488" s="11" t="inlineStr">
        <is>
          <t>Mr. Advocate</t>
        </is>
      </c>
      <c r="AA1488" s="11" t="inlineStr">
        <is>
          <t>2026-10-07</t>
        </is>
      </c>
      <c r="AB1488" s="11" t="inlineStr">
        <is>
          <t>name_year</t>
        </is>
      </c>
      <c r="AC1488" s="2" t="inlineStr"/>
      <c r="AD1488" s="2" t="inlineStr">
        <is>
          <t>Baldev Sahai Bangia v. R.C. Bhasin (1980) was reversed on appeal by the Supreme Court in Baldev Sahai Bangia v. R.C. Bhasin (1982).</t>
        </is>
      </c>
      <c r="AE1488" s="2" t="n"/>
      <c r="AF1488" s="11" t="inlineStr">
        <is>
          <t>created from list 1</t>
        </is>
      </c>
    </row>
    <row r="1489">
      <c r="A1489" s="11" t="inlineStr">
        <is>
          <t>L1-1488</t>
        </is>
      </c>
      <c r="B1489" s="11" t="inlineStr">
        <is>
          <t>List 1 (to ~2015)</t>
        </is>
      </c>
      <c r="C1489" s="11" t="inlineStr">
        <is>
          <t>list1</t>
        </is>
      </c>
      <c r="D1489" s="11" t="inlineStr">
        <is>
          <t>verified</t>
        </is>
      </c>
      <c r="E1489" s="11" t="inlineStr">
        <is>
          <t>reversed_on_appeal</t>
        </is>
      </c>
      <c r="F1489" s="2" t="inlineStr">
        <is>
          <t>Prem Ghandra Sharma v. V.S. Talwar</t>
        </is>
      </c>
      <c r="G1489" s="11" t="inlineStr"/>
      <c r="H1489" s="11" t="inlineStr">
        <is>
          <t>unknown</t>
        </is>
      </c>
      <c r="I1489" s="2" t="inlineStr">
        <is>
          <t>(1980) 17 DLT 572</t>
        </is>
      </c>
      <c r="J1489" s="11" t="n">
        <v>1980</v>
      </c>
      <c r="K1489" s="2" t="inlineStr">
        <is>
          <t>V.S. Talwar v. Prem Chandra Sharma</t>
        </is>
      </c>
      <c r="L1489" s="11" t="inlineStr">
        <is>
          <t>Supreme Court</t>
        </is>
      </c>
      <c r="M1489" s="2" t="inlineStr">
        <is>
          <t>AIR 1984 SC 664(1); (1984) 1 SCALE 367; (1984) 2 SCC 420; (1984) 3 SCR 51; (1984) 16 UJ 349</t>
        </is>
      </c>
      <c r="N1489" s="11" t="n">
        <v>1984</v>
      </c>
      <c r="O1489" s="11" t="n"/>
      <c r="P1489" s="11" t="n"/>
      <c r="Q1489" s="11" t="n"/>
      <c r="R1489" s="2" t="n"/>
      <c r="S1489" s="2" t="n"/>
      <c r="T1489" s="11" t="inlineStr">
        <is>
          <t>yes</t>
        </is>
      </c>
      <c r="U1489" s="11" t="inlineStr"/>
      <c r="V1489" s="11" t="inlineStr">
        <is>
          <t>outside_list</t>
        </is>
      </c>
      <c r="W1489" s="11" t="n"/>
      <c r="X1489" s="11" t="n"/>
      <c r="Y1489" s="11" t="n"/>
      <c r="Z1489" s="11" t="inlineStr">
        <is>
          <t>Mr. Advocate</t>
        </is>
      </c>
      <c r="AA1489" s="11" t="inlineStr">
        <is>
          <t>2026-10-07</t>
        </is>
      </c>
      <c r="AB1489" s="11" t="inlineStr">
        <is>
          <t>name_year</t>
        </is>
      </c>
      <c r="AC1489" s="2" t="inlineStr"/>
      <c r="AD1489" s="2" t="inlineStr">
        <is>
          <t>Prem Ghandra Sharma v. V.S. Talwar (1980) was reversed on appeal by the Supreme Court in V.S. Talwar v. Prem Chandra Sharma (1984).</t>
        </is>
      </c>
      <c r="AE1489" s="2" t="n"/>
      <c r="AF1489" s="11" t="inlineStr">
        <is>
          <t>created from list 1</t>
        </is>
      </c>
    </row>
    <row r="1490">
      <c r="A1490" s="11" t="inlineStr">
        <is>
          <t>L1-1489</t>
        </is>
      </c>
      <c r="B1490" s="11" t="inlineStr">
        <is>
          <t>List 1 (to ~2015)</t>
        </is>
      </c>
      <c r="C1490" s="11" t="inlineStr">
        <is>
          <t>list1</t>
        </is>
      </c>
      <c r="D1490" s="11" t="inlineStr">
        <is>
          <t>verified</t>
        </is>
      </c>
      <c r="E1490" s="11" t="inlineStr">
        <is>
          <t>reversed_on_appeal</t>
        </is>
      </c>
      <c r="F1490" s="2" t="inlineStr">
        <is>
          <t>Union of India v. Jaswant Rai</t>
        </is>
      </c>
      <c r="G1490" s="11" t="inlineStr"/>
      <c r="H1490" s="11" t="inlineStr">
        <is>
          <t>High Court/other (Delhi)</t>
        </is>
      </c>
      <c r="I1490" s="2" t="inlineStr">
        <is>
          <t>AIR 1984 Delhi 215; (1994) 53 DLT 854(2); (1984) RLR 252</t>
        </is>
      </c>
      <c r="J1490" s="11" t="n">
        <v>1984</v>
      </c>
      <c r="K1490" s="2" t="inlineStr">
        <is>
          <t>Union of India and Others v. Jaswant Rai Kochhar and Others</t>
        </is>
      </c>
      <c r="L1490" s="11" t="inlineStr">
        <is>
          <t>Supreme Court</t>
        </is>
      </c>
      <c r="M1490" s="2" t="inlineStr">
        <is>
          <t>(1996) 3 AD 396; AIR 1996 SC 1352; (1996) 1 CTC 539; (1996) 3 JT 671; (1996) 3 SCALE 119; (1996) 3 SCC 491; (1996) 3 SCR 206; (1996) 2 UJ 21</t>
        </is>
      </c>
      <c r="N1490" s="11" t="n">
        <v>1996</v>
      </c>
      <c r="O1490" s="11" t="n"/>
      <c r="P1490" s="11" t="n"/>
      <c r="Q1490" s="11" t="n"/>
      <c r="R1490" s="2" t="n"/>
      <c r="S1490" s="2" t="n"/>
      <c r="T1490" s="11" t="inlineStr">
        <is>
          <t>yes</t>
        </is>
      </c>
      <c r="U1490" s="11" t="inlineStr"/>
      <c r="V1490" s="11" t="inlineStr">
        <is>
          <t>outside_list</t>
        </is>
      </c>
      <c r="W1490" s="11" t="n"/>
      <c r="X1490" s="11" t="n"/>
      <c r="Y1490" s="11" t="n"/>
      <c r="Z1490" s="11" t="inlineStr">
        <is>
          <t>Mr. Advocate</t>
        </is>
      </c>
      <c r="AA1490" s="11" t="inlineStr">
        <is>
          <t>2026-10-07</t>
        </is>
      </c>
      <c r="AB1490" s="11" t="inlineStr">
        <is>
          <t>name_year</t>
        </is>
      </c>
      <c r="AC1490" s="2" t="inlineStr"/>
      <c r="AD1490" s="2" t="inlineStr">
        <is>
          <t>Union of India v. Jaswant Rai (1984) was reversed on appeal by the Supreme Court in Union of India and Others v. Jaswant Rai Kochhar and Others (1996).</t>
        </is>
      </c>
      <c r="AE1490" s="2" t="n"/>
      <c r="AF1490" s="11" t="inlineStr">
        <is>
          <t>created from list 1</t>
        </is>
      </c>
    </row>
    <row r="1491">
      <c r="A1491" s="11" t="inlineStr">
        <is>
          <t>L1-1490</t>
        </is>
      </c>
      <c r="B1491" s="11" t="inlineStr">
        <is>
          <t>List 1 (to ~2015)</t>
        </is>
      </c>
      <c r="C1491" s="11" t="inlineStr">
        <is>
          <t>list1</t>
        </is>
      </c>
      <c r="D1491" s="11" t="inlineStr">
        <is>
          <t>verified</t>
        </is>
      </c>
      <c r="E1491" s="11" t="inlineStr">
        <is>
          <t>overruled</t>
        </is>
      </c>
      <c r="F1491" s="2" t="inlineStr">
        <is>
          <t>Manphul Singh Sharma v. Ahmedi Begum and Others</t>
        </is>
      </c>
      <c r="G1491" s="11" t="inlineStr"/>
      <c r="H1491" s="11" t="inlineStr">
        <is>
          <t>High Court/other (Delhi)</t>
        </is>
      </c>
      <c r="I1491" s="2" t="inlineStr">
        <is>
          <t>AIR 1982 Delhi 87; (1981) 20 DLT 364; (1981) 2 DRJ 262; (1982) ILR Delhi 253</t>
        </is>
      </c>
      <c r="J1491" s="11" t="n">
        <v>1982</v>
      </c>
      <c r="K1491" s="2" t="inlineStr">
        <is>
          <t>Manphul Singh Sharma v. Ahmedi Begum (Smt) (Since Deceased) through her Alleged Legal Representative/Successors (A) M.A. Khan (B) Delhi Wakf Board</t>
        </is>
      </c>
      <c r="L1491" s="11" t="inlineStr">
        <is>
          <t>Supreme Court</t>
        </is>
      </c>
      <c r="M1491" s="2" t="inlineStr">
        <is>
          <t>(1994) 5 JT 49; (1994) 3 SCALE 712; (1994) 5 SCC 465; (1994) 2 SCR 495 Supp</t>
        </is>
      </c>
      <c r="N1491" s="11" t="n">
        <v>1994</v>
      </c>
      <c r="O1491" s="11" t="n"/>
      <c r="P1491" s="11" t="n"/>
      <c r="Q1491" s="11" t="n"/>
      <c r="R1491" s="2" t="n"/>
      <c r="S1491" s="2" t="n"/>
      <c r="T1491" s="11" t="inlineStr"/>
      <c r="U1491" s="11" t="inlineStr"/>
      <c r="V1491" s="11" t="inlineStr">
        <is>
          <t>outside_list</t>
        </is>
      </c>
      <c r="W1491" s="11" t="n"/>
      <c r="X1491" s="11" t="n"/>
      <c r="Y1491" s="11" t="n"/>
      <c r="Z1491" s="11" t="inlineStr">
        <is>
          <t>Mr. Advocate</t>
        </is>
      </c>
      <c r="AA1491" s="11" t="inlineStr">
        <is>
          <t>2026-10-07</t>
        </is>
      </c>
      <c r="AB1491" s="11" t="inlineStr">
        <is>
          <t>name_year</t>
        </is>
      </c>
      <c r="AC1491" s="2" t="inlineStr"/>
      <c r="AD1491" s="2" t="inlineStr">
        <is>
          <t>Manphul Singh Sharma v. Ahmedi Begum and Others (1982) was overruled by Manphul Singh Sharma v. Ahmedi Begum (Smt) (Since Deceased) through her Alleged Legal Representative/Successors (A) M.A. Khan (B) Delhi Wakf Board (1994).</t>
        </is>
      </c>
      <c r="AE1491" s="2" t="n"/>
      <c r="AF1491" s="11" t="inlineStr">
        <is>
          <t>created from list 1</t>
        </is>
      </c>
    </row>
    <row r="1492">
      <c r="A1492" s="11" t="inlineStr">
        <is>
          <t>L1-1491</t>
        </is>
      </c>
      <c r="B1492" s="11" t="inlineStr">
        <is>
          <t>List 1 (to ~2015)</t>
        </is>
      </c>
      <c r="C1492" s="11" t="inlineStr">
        <is>
          <t>list1</t>
        </is>
      </c>
      <c r="D1492" s="11" t="inlineStr">
        <is>
          <t>verified</t>
        </is>
      </c>
      <c r="E1492" s="11" t="inlineStr">
        <is>
          <t>reversed_on_appeal</t>
        </is>
      </c>
      <c r="F1492" s="2" t="inlineStr">
        <is>
          <t>Amarjit Singh v. Mrs. Khatoon Quamarain</t>
        </is>
      </c>
      <c r="G1492" s="11" t="inlineStr"/>
      <c r="H1492" s="11" t="inlineStr">
        <is>
          <t>unknown</t>
        </is>
      </c>
      <c r="I1492" s="2" t="inlineStr">
        <is>
          <t>(1983) 23 DLT 362</t>
        </is>
      </c>
      <c r="J1492" s="11" t="n">
        <v>1983</v>
      </c>
      <c r="K1492" s="2" t="inlineStr">
        <is>
          <t>Amarjit Singh v. Smt. Khatoon Quamarain</t>
        </is>
      </c>
      <c r="L1492" s="11" t="inlineStr">
        <is>
          <t>Supreme Court</t>
        </is>
      </c>
      <c r="M1492" s="2" t="inlineStr">
        <is>
          <t>AIR 1987 SC 741; (1986) JT 912; (1986) 2 SCALE 827; (1986) 4 SCC 736; (1987) 1 SCR 275</t>
        </is>
      </c>
      <c r="N1492" s="11" t="n">
        <v>1987</v>
      </c>
      <c r="O1492" s="11" t="n"/>
      <c r="P1492" s="11" t="n"/>
      <c r="Q1492" s="11" t="n"/>
      <c r="R1492" s="2" t="n"/>
      <c r="S1492" s="2" t="n"/>
      <c r="T1492" s="11" t="inlineStr">
        <is>
          <t>yes</t>
        </is>
      </c>
      <c r="U1492" s="11" t="inlineStr"/>
      <c r="V1492" s="11" t="inlineStr">
        <is>
          <t>outside_list</t>
        </is>
      </c>
      <c r="W1492" s="11" t="n"/>
      <c r="X1492" s="11" t="n"/>
      <c r="Y1492" s="11" t="n"/>
      <c r="Z1492" s="11" t="inlineStr">
        <is>
          <t>Mr. Advocate</t>
        </is>
      </c>
      <c r="AA1492" s="11" t="inlineStr">
        <is>
          <t>2026-10-07</t>
        </is>
      </c>
      <c r="AB1492" s="11" t="inlineStr">
        <is>
          <t>name_year</t>
        </is>
      </c>
      <c r="AC1492" s="2" t="inlineStr"/>
      <c r="AD1492" s="2" t="inlineStr">
        <is>
          <t>Amarjit Singh v. Mrs. Khatoon Quamarain (1983) was reversed on appeal by the Supreme Court in Amarjit Singh v. Smt. Khatoon Quamarain (1987).</t>
        </is>
      </c>
      <c r="AE1492" s="2" t="n"/>
      <c r="AF1492" s="11" t="inlineStr">
        <is>
          <t>created from list 1</t>
        </is>
      </c>
    </row>
    <row r="1493">
      <c r="A1493" s="11" t="inlineStr">
        <is>
          <t>L1-1492</t>
        </is>
      </c>
      <c r="B1493" s="11" t="inlineStr">
        <is>
          <t>List 1 (to ~2015)</t>
        </is>
      </c>
      <c r="C1493" s="11" t="inlineStr">
        <is>
          <t>list1</t>
        </is>
      </c>
      <c r="D1493" s="11" t="inlineStr">
        <is>
          <t>verified</t>
        </is>
      </c>
      <c r="E1493" s="11" t="inlineStr">
        <is>
          <t>overruled</t>
        </is>
      </c>
      <c r="F1493" s="2" t="inlineStr">
        <is>
          <t>Oriental Bank of Commerce v. Delhi Development Authority and Another</t>
        </is>
      </c>
      <c r="G1493" s="11" t="inlineStr"/>
      <c r="H1493" s="11" t="inlineStr">
        <is>
          <t>unknown</t>
        </is>
      </c>
      <c r="I1493" s="2" t="inlineStr">
        <is>
          <t>(1984) 55 CompCas 81; (1982) CriLJ 2230; (1983) ILR Delhi 419</t>
        </is>
      </c>
      <c r="J1493" s="11" t="n">
        <v>1982</v>
      </c>
      <c r="K1493" s="2" t="inlineStr">
        <is>
          <t>Union of India and another v. Ashok Kumar Mitra</t>
        </is>
      </c>
      <c r="L1493" s="11" t="inlineStr">
        <is>
          <t>Supreme Court</t>
        </is>
      </c>
      <c r="M1493" s="2" t="inlineStr">
        <is>
          <t>AIR 1995 SC 1976; (1995) CriLJ 3633; (1995) 1 Crimes 852; (1995) 1 CTC 388; (1995) 2 SCALE 47; (1995) 2 SCC 768; (1995) 2 SCR 369; (1995) 1 UJ 784</t>
        </is>
      </c>
      <c r="N1493" s="11" t="n">
        <v>1995</v>
      </c>
      <c r="O1493" s="11" t="n"/>
      <c r="P1493" s="11" t="n"/>
      <c r="Q1493" s="11" t="n"/>
      <c r="R1493" s="2" t="n"/>
      <c r="S1493" s="2" t="n"/>
      <c r="T1493" s="11" t="inlineStr"/>
      <c r="U1493" s="11" t="inlineStr"/>
      <c r="V1493" s="11" t="inlineStr">
        <is>
          <t>outside_list</t>
        </is>
      </c>
      <c r="W1493" s="11" t="n"/>
      <c r="X1493" s="11" t="n"/>
      <c r="Y1493" s="11" t="n"/>
      <c r="Z1493" s="11" t="inlineStr">
        <is>
          <t>Mr. Advocate</t>
        </is>
      </c>
      <c r="AA1493" s="11" t="inlineStr">
        <is>
          <t>2026-10-07</t>
        </is>
      </c>
      <c r="AB1493" s="11" t="inlineStr">
        <is>
          <t>name_year</t>
        </is>
      </c>
      <c r="AC1493" s="2" t="inlineStr"/>
      <c r="AD1493" s="2" t="inlineStr">
        <is>
          <t>Oriental Bank of Commerce v. Delhi Development Authority and Another (1982) was overruled by Union of India and another v. Ashok Kumar Mitra (1995).</t>
        </is>
      </c>
      <c r="AE1493" s="2" t="n"/>
      <c r="AF1493" s="11" t="inlineStr">
        <is>
          <t>created from list 1</t>
        </is>
      </c>
    </row>
    <row r="1494">
      <c r="A1494" s="11" t="inlineStr">
        <is>
          <t>L1-1493</t>
        </is>
      </c>
      <c r="B1494" s="11" t="inlineStr">
        <is>
          <t>List 1 (to ~2015)</t>
        </is>
      </c>
      <c r="C1494" s="11" t="inlineStr">
        <is>
          <t>list1</t>
        </is>
      </c>
      <c r="D1494" s="11" t="inlineStr">
        <is>
          <t>verified</t>
        </is>
      </c>
      <c r="E1494" s="11" t="inlineStr">
        <is>
          <t>overruled</t>
        </is>
      </c>
      <c r="F1494" s="2" t="inlineStr">
        <is>
          <t>Tanvi Trading and Credit Pvt. Ltd. and Others v. New Delhi Municipal Council and Others</t>
        </is>
      </c>
      <c r="G1494" s="11" t="inlineStr"/>
      <c r="H1494" s="11" t="inlineStr">
        <is>
          <t>unknown</t>
        </is>
      </c>
      <c r="I1494" s="2" t="inlineStr">
        <is>
          <t>(2004) 112 DLT 1</t>
        </is>
      </c>
      <c r="J1494" s="11" t="n">
        <v>2004</v>
      </c>
      <c r="K1494" s="2" t="inlineStr">
        <is>
          <t>N.D.M.C. and Others v. Tanvi Trading and Credit Pvt. Ltd. and Others</t>
        </is>
      </c>
      <c r="L1494" s="11" t="inlineStr">
        <is>
          <t>Supreme Court</t>
        </is>
      </c>
      <c r="M1494" s="2" t="inlineStr">
        <is>
          <t>(2008) 10 JT 109; (2008) 11 SCALE 742; (2008) 8 SCC 765</t>
        </is>
      </c>
      <c r="N1494" s="11" t="n">
        <v>2008</v>
      </c>
      <c r="O1494" s="11" t="n"/>
      <c r="P1494" s="11" t="n"/>
      <c r="Q1494" s="11" t="n"/>
      <c r="R1494" s="2" t="n"/>
      <c r="S1494" s="2" t="n"/>
      <c r="T1494" s="11" t="inlineStr"/>
      <c r="U1494" s="11" t="inlineStr"/>
      <c r="V1494" s="11" t="inlineStr">
        <is>
          <t>outside_list</t>
        </is>
      </c>
      <c r="W1494" s="11" t="n"/>
      <c r="X1494" s="11" t="n"/>
      <c r="Y1494" s="11" t="n"/>
      <c r="Z1494" s="11" t="inlineStr">
        <is>
          <t>Mr. Advocate</t>
        </is>
      </c>
      <c r="AA1494" s="11" t="inlineStr">
        <is>
          <t>2026-10-07</t>
        </is>
      </c>
      <c r="AB1494" s="11" t="inlineStr">
        <is>
          <t>name_year</t>
        </is>
      </c>
      <c r="AC1494" s="2" t="inlineStr"/>
      <c r="AD1494" s="2" t="inlineStr">
        <is>
          <t>Tanvi Trading and Credit Pvt. Ltd. and Others v. New Delhi Municipal Council and Others (2004) was overruled by N.D.M.C. and Others v. Tanvi Trading and Credit Pvt. Ltd. and Others (2008).</t>
        </is>
      </c>
      <c r="AE1494" s="2" t="n"/>
      <c r="AF1494" s="11" t="inlineStr">
        <is>
          <t>created from list 1</t>
        </is>
      </c>
    </row>
    <row r="1495">
      <c r="A1495" s="11" t="inlineStr">
        <is>
          <t>L1-1494</t>
        </is>
      </c>
      <c r="B1495" s="11" t="inlineStr">
        <is>
          <t>List 1 (to ~2015)</t>
        </is>
      </c>
      <c r="C1495" s="11" t="inlineStr">
        <is>
          <t>list1</t>
        </is>
      </c>
      <c r="D1495" s="11" t="inlineStr">
        <is>
          <t>verified</t>
        </is>
      </c>
      <c r="E1495" s="11" t="inlineStr">
        <is>
          <t>overruled</t>
        </is>
      </c>
      <c r="F1495" s="2" t="inlineStr">
        <is>
          <t>Bhupinder Singh v. Union of India and Others</t>
        </is>
      </c>
      <c r="G1495" s="11" t="inlineStr"/>
      <c r="H1495" s="11" t="inlineStr">
        <is>
          <t>unknown</t>
        </is>
      </c>
      <c r="I1495" s="2" t="inlineStr">
        <is>
          <t>(1985) 28 DLT 493; (1985) RLR 507</t>
        </is>
      </c>
      <c r="J1495" s="11" t="n">
        <v>1985</v>
      </c>
      <c r="K1495" s="2" t="inlineStr">
        <is>
          <t>Rajendrakumar Natvarlal Shah v. State of Gujarat and Others</t>
        </is>
      </c>
      <c r="L1495" s="11" t="inlineStr">
        <is>
          <t>Supreme Court</t>
        </is>
      </c>
      <c r="M1495" s="2" t="inlineStr">
        <is>
          <t>AIR 1988 SC 1255; (1991) 70 CompCas 549; (1988) CriLJ 1775; (1988) 2 Crimes 729; (1988) 2 JT 409; (1988) 1 SCALE 915; (1988) 3 SCC 153; (1988) 1 SCR 287 Supp</t>
        </is>
      </c>
      <c r="N1495" s="11" t="n">
        <v>1988</v>
      </c>
      <c r="O1495" s="11" t="n"/>
      <c r="P1495" s="11" t="n"/>
      <c r="Q1495" s="11" t="n"/>
      <c r="R1495" s="2" t="n"/>
      <c r="S1495" s="2" t="n"/>
      <c r="T1495" s="11" t="inlineStr"/>
      <c r="U1495" s="11" t="inlineStr"/>
      <c r="V1495" s="11" t="inlineStr">
        <is>
          <t>outside_list</t>
        </is>
      </c>
      <c r="W1495" s="11" t="n"/>
      <c r="X1495" s="11" t="n"/>
      <c r="Y1495" s="11" t="n"/>
      <c r="Z1495" s="11" t="inlineStr">
        <is>
          <t>Mr. Advocate</t>
        </is>
      </c>
      <c r="AA1495" s="11" t="inlineStr">
        <is>
          <t>2026-10-07</t>
        </is>
      </c>
      <c r="AB1495" s="11" t="inlineStr">
        <is>
          <t>name_year</t>
        </is>
      </c>
      <c r="AC1495" s="2" t="inlineStr"/>
      <c r="AD1495" s="2" t="inlineStr">
        <is>
          <t>Bhupinder Singh v. Union of India and Others (1985) was overruled by Rajendrakumar Natvarlal Shah v. State of Gujarat and Others (1988).</t>
        </is>
      </c>
      <c r="AE1495" s="2" t="n"/>
      <c r="AF1495" s="11" t="inlineStr">
        <is>
          <t>created from list 1</t>
        </is>
      </c>
    </row>
    <row r="1496">
      <c r="A1496" s="11" t="inlineStr">
        <is>
          <t>L1-1495</t>
        </is>
      </c>
      <c r="B1496" s="11" t="inlineStr">
        <is>
          <t>List 1 (to ~2015)</t>
        </is>
      </c>
      <c r="C1496" s="11" t="inlineStr">
        <is>
          <t>list1</t>
        </is>
      </c>
      <c r="D1496" s="11" t="inlineStr">
        <is>
          <t>verified</t>
        </is>
      </c>
      <c r="E1496" s="11" t="inlineStr">
        <is>
          <t>overruled</t>
        </is>
      </c>
      <c r="F1496" s="2" t="inlineStr">
        <is>
          <t>D.K. Jain v. Union of India and Others</t>
        </is>
      </c>
      <c r="G1496" s="11" t="inlineStr"/>
      <c r="H1496" s="11" t="inlineStr">
        <is>
          <t>unknown</t>
        </is>
      </c>
      <c r="I1496" s="2" t="inlineStr">
        <is>
          <t>(1991) 43 DLT 179</t>
        </is>
      </c>
      <c r="J1496" s="11" t="n">
        <v>1991</v>
      </c>
      <c r="K1496" s="2" t="inlineStr">
        <is>
          <t>Fertilizer Corporation of India Ltd. v. Union of India and Others</t>
        </is>
      </c>
      <c r="L1496" s="11" t="inlineStr">
        <is>
          <t>Supreme Court</t>
        </is>
      </c>
      <c r="M1496" s="2" t="inlineStr">
        <is>
          <t>(1996) 2 AD 98; AIR 1996 SC 2398; (1996) 2 JT 410; (1996) LabIC 2044; (1996) 2 SCALE 315; (1996) 3 SCC 325; (1996) 2 SCR 816; (1996) 1 UJ 729</t>
        </is>
      </c>
      <c r="N1496" s="11" t="n">
        <v>1996</v>
      </c>
      <c r="O1496" s="11" t="n"/>
      <c r="P1496" s="11" t="n"/>
      <c r="Q1496" s="11" t="n"/>
      <c r="R1496" s="2" t="n"/>
      <c r="S1496" s="2" t="n"/>
      <c r="T1496" s="11" t="inlineStr"/>
      <c r="U1496" s="11" t="inlineStr"/>
      <c r="V1496" s="11" t="inlineStr">
        <is>
          <t>outside_list</t>
        </is>
      </c>
      <c r="W1496" s="11" t="n"/>
      <c r="X1496" s="11" t="n"/>
      <c r="Y1496" s="11" t="n"/>
      <c r="Z1496" s="11" t="inlineStr">
        <is>
          <t>Mr. Advocate</t>
        </is>
      </c>
      <c r="AA1496" s="11" t="inlineStr">
        <is>
          <t>2026-10-07</t>
        </is>
      </c>
      <c r="AB1496" s="11" t="inlineStr">
        <is>
          <t>name_year</t>
        </is>
      </c>
      <c r="AC1496" s="2" t="inlineStr"/>
      <c r="AD1496" s="2" t="inlineStr">
        <is>
          <t>D.K. Jain v. Union of India and Others (1991) was overruled by Fertilizer Corporation of India Ltd. v. Union of India and Others (1996).</t>
        </is>
      </c>
      <c r="AE1496" s="2" t="n"/>
      <c r="AF1496" s="11" t="inlineStr">
        <is>
          <t>created from list 1</t>
        </is>
      </c>
    </row>
    <row r="1497">
      <c r="A1497" s="11" t="inlineStr">
        <is>
          <t>L1-1496</t>
        </is>
      </c>
      <c r="B1497" s="11" t="inlineStr">
        <is>
          <t>List 1 (to ~2015)</t>
        </is>
      </c>
      <c r="C1497" s="11" t="inlineStr">
        <is>
          <t>list1</t>
        </is>
      </c>
      <c r="D1497" s="11" t="inlineStr">
        <is>
          <t>verified</t>
        </is>
      </c>
      <c r="E1497" s="11" t="inlineStr">
        <is>
          <t>overruled</t>
        </is>
      </c>
      <c r="F1497" s="2" t="inlineStr">
        <is>
          <t>Tobu Enterpries Ltd. and Others v. The Lt. Governor, Delhi and Others</t>
        </is>
      </c>
      <c r="G1497" s="11" t="inlineStr"/>
      <c r="H1497" s="11" t="inlineStr">
        <is>
          <t>unknown</t>
        </is>
      </c>
      <c r="I1497" s="2" t="inlineStr">
        <is>
          <t>(1993) 4 AD 609; (1994) 53 DLT 255; (1994) 28 DRJ 515; (1994) 68 FLR 615; (1994) 2 ILR Delhi 35; (1994) 1 LLJ 1221</t>
        </is>
      </c>
      <c r="J1497" s="11" t="n">
        <v>1993</v>
      </c>
      <c r="K1497" s="2" t="inlineStr">
        <is>
          <t>Raj Kumar Gupta v. Lt. Governor, Delhi and others</t>
        </is>
      </c>
      <c r="L1497" s="11" t="inlineStr">
        <is>
          <t>Supreme Court</t>
        </is>
      </c>
      <c r="M1497" s="2" t="inlineStr">
        <is>
          <t>(1996) 8 AD 671; AIR 1997 SC 2680; (1996) 10 JT 559; (1997) 1 LLJ 994; (1996) 8 SCALE 177; (1997) 1 SCC 556; (1997) SCC(L&amp;S) 181; (1996) 8 SCR 464 Supp; (1997) 1 UJ 60; (1997) AIRSCW 2646; (1996) 8 Supreme 53</t>
        </is>
      </c>
      <c r="N1497" s="11" t="n">
        <v>1997</v>
      </c>
      <c r="O1497" s="11" t="n"/>
      <c r="P1497" s="11" t="n"/>
      <c r="Q1497" s="11" t="n"/>
      <c r="R1497" s="2" t="n"/>
      <c r="S1497" s="2" t="n"/>
      <c r="T1497" s="11" t="inlineStr"/>
      <c r="U1497" s="11" t="inlineStr"/>
      <c r="V1497" s="11" t="inlineStr">
        <is>
          <t>outside_list</t>
        </is>
      </c>
      <c r="W1497" s="11" t="n"/>
      <c r="X1497" s="11" t="n"/>
      <c r="Y1497" s="11" t="n"/>
      <c r="Z1497" s="11" t="inlineStr">
        <is>
          <t>Mr. Advocate</t>
        </is>
      </c>
      <c r="AA1497" s="11" t="inlineStr">
        <is>
          <t>2026-10-07</t>
        </is>
      </c>
      <c r="AB1497" s="11" t="inlineStr">
        <is>
          <t>name_year</t>
        </is>
      </c>
      <c r="AC1497" s="2" t="inlineStr"/>
      <c r="AD1497" s="2" t="inlineStr">
        <is>
          <t>Tobu Enterpries Ltd. and Others v. The Lt. Governor, Delhi and Others (1993) was overruled by Raj Kumar Gupta v. Lt. Governor, Delhi and others (1997).</t>
        </is>
      </c>
      <c r="AE1497" s="2" t="n"/>
      <c r="AF1497" s="11" t="inlineStr">
        <is>
          <t>created from list 1</t>
        </is>
      </c>
    </row>
    <row r="1498">
      <c r="A1498" s="11" t="inlineStr">
        <is>
          <t>L1-1497</t>
        </is>
      </c>
      <c r="B1498" s="11" t="inlineStr">
        <is>
          <t>List 1 (to ~2015)</t>
        </is>
      </c>
      <c r="C1498" s="11" t="inlineStr">
        <is>
          <t>list1</t>
        </is>
      </c>
      <c r="D1498" s="11" t="inlineStr">
        <is>
          <t>verified</t>
        </is>
      </c>
      <c r="E1498" s="11" t="inlineStr">
        <is>
          <t>overruled</t>
        </is>
      </c>
      <c r="F1498" s="2" t="inlineStr">
        <is>
          <t>Rajinder Singh v. State and Another</t>
        </is>
      </c>
      <c r="G1498" s="11" t="inlineStr"/>
      <c r="H1498" s="11" t="inlineStr">
        <is>
          <t>unknown</t>
        </is>
      </c>
      <c r="I1498" s="2" t="inlineStr">
        <is>
          <t>(1998) 6 AD 680; (1999) 1 Crimes 271; (1998) 76 DLT 264; (1999) 1 DMC 28; (1998) 47 DRJ 590; (1999) ILR Delhi 35</t>
        </is>
      </c>
      <c r="J1498" s="11" t="n">
        <v>1998</v>
      </c>
      <c r="K1498" s="2" t="inlineStr">
        <is>
          <t>Satvinder Kaur v. State (Govt. of N.C.T. of Delhi) and Another</t>
        </is>
      </c>
      <c r="L1498" s="11" t="inlineStr">
        <is>
          <t>Supreme Court</t>
        </is>
      </c>
      <c r="M1498" s="2" t="inlineStr">
        <is>
          <t>AIR 1999 SC 3596; (1999) 3 Crimes 157; (1999) 3 CTC 537; (1999) 2 DMC 512; (1999) 8 JT 25; (1999) 6 SCALE 323; (1999) 8 SCC 728; (1999) 3 SCR 348 Supp; (1999) AIRSCW 3607; (1999) 8 Supreme 447</t>
        </is>
      </c>
      <c r="N1498" s="11" t="n">
        <v>1999</v>
      </c>
      <c r="O1498" s="11" t="n"/>
      <c r="P1498" s="11" t="n"/>
      <c r="Q1498" s="11" t="n"/>
      <c r="R1498" s="2" t="n"/>
      <c r="S1498" s="2" t="n"/>
      <c r="T1498" s="11" t="inlineStr"/>
      <c r="U1498" s="11" t="inlineStr"/>
      <c r="V1498" s="11" t="inlineStr">
        <is>
          <t>outside_list</t>
        </is>
      </c>
      <c r="W1498" s="11" t="n"/>
      <c r="X1498" s="11" t="n"/>
      <c r="Y1498" s="11" t="n"/>
      <c r="Z1498" s="11" t="inlineStr">
        <is>
          <t>Mr. Advocate</t>
        </is>
      </c>
      <c r="AA1498" s="11" t="inlineStr">
        <is>
          <t>2026-10-07</t>
        </is>
      </c>
      <c r="AB1498" s="11" t="inlineStr">
        <is>
          <t>name_year</t>
        </is>
      </c>
      <c r="AC1498" s="2" t="inlineStr"/>
      <c r="AD1498" s="2" t="inlineStr">
        <is>
          <t>Rajinder Singh v. State and Another (1998) was overruled by Satvinder Kaur v. State (Govt. of N.C.T. of Delhi) and Another (1999).</t>
        </is>
      </c>
      <c r="AE1498" s="2" t="n"/>
      <c r="AF1498" s="11" t="inlineStr">
        <is>
          <t>created from list 1</t>
        </is>
      </c>
    </row>
    <row r="1499">
      <c r="A1499" s="11" t="inlineStr">
        <is>
          <t>L1-1498</t>
        </is>
      </c>
      <c r="B1499" s="11" t="inlineStr">
        <is>
          <t>List 1 (to ~2015)</t>
        </is>
      </c>
      <c r="C1499" s="11" t="inlineStr">
        <is>
          <t>list1</t>
        </is>
      </c>
      <c r="D1499" s="11" t="inlineStr">
        <is>
          <t>verified</t>
        </is>
      </c>
      <c r="E1499" s="11" t="inlineStr">
        <is>
          <t>overruled</t>
        </is>
      </c>
      <c r="F1499" s="2" t="inlineStr">
        <is>
          <t>Commissioner of Income Tax, Delhi-1, New Delhi v. M/s. Delhi Cattle Breeding Farms (P) Ltd., Delhi</t>
        </is>
      </c>
      <c r="G1499" s="11" t="inlineStr"/>
      <c r="H1499" s="11" t="inlineStr">
        <is>
          <t>unknown</t>
        </is>
      </c>
      <c r="I1499" s="2" t="inlineStr">
        <is>
          <t>(2002) 253 ITR 114; (2001) 118 TAXMAN 595</t>
        </is>
      </c>
      <c r="J1499" s="11" t="n">
        <v>2001</v>
      </c>
      <c r="K1499" s="2" t="inlineStr">
        <is>
          <t>Delhi Farming and Construction (P) Ltd. v. Commissioner of Income Tax, Delhi</t>
        </is>
      </c>
      <c r="L1499" s="11" t="inlineStr">
        <is>
          <t>Supreme Court</t>
        </is>
      </c>
      <c r="M1499" s="2" t="inlineStr">
        <is>
          <t>AIR 2003 SC 1316; (2003) 181 CTR 12; (2003) 260 ITR 561; (2003) 3 JT 267; (2003) 3 SCALE 406; (2003) 5 SCC 36; (2003) 3 SCR 35; (2003) AIRSCW 1726; (2003) 3 Supreme 431; (2003) 2 Supreme 886</t>
        </is>
      </c>
      <c r="N1499" s="11" t="n">
        <v>2003</v>
      </c>
      <c r="O1499" s="11" t="n"/>
      <c r="P1499" s="11" t="n"/>
      <c r="Q1499" s="11" t="n"/>
      <c r="R1499" s="2" t="n"/>
      <c r="S1499" s="2" t="n"/>
      <c r="T1499" s="11" t="inlineStr"/>
      <c r="U1499" s="11" t="inlineStr"/>
      <c r="V1499" s="11" t="inlineStr">
        <is>
          <t>outside_list</t>
        </is>
      </c>
      <c r="W1499" s="11" t="n"/>
      <c r="X1499" s="11" t="n"/>
      <c r="Y1499" s="11" t="n"/>
      <c r="Z1499" s="11" t="inlineStr">
        <is>
          <t>Mr. Advocate</t>
        </is>
      </c>
      <c r="AA1499" s="11" t="inlineStr">
        <is>
          <t>2026-10-07</t>
        </is>
      </c>
      <c r="AB1499" s="11" t="inlineStr">
        <is>
          <t>name_year</t>
        </is>
      </c>
      <c r="AC1499" s="2" t="inlineStr"/>
      <c r="AD1499" s="2" t="inlineStr">
        <is>
          <t>Commissioner of Income Tax, Delhi-1, New Delhi v. M/s. Delhi Cattle Breeding Farms (P) Ltd., Delhi (2001) was overruled by Delhi Farming and Construction (P) Ltd. v. Commissioner of Income Tax, Delhi (2003).</t>
        </is>
      </c>
      <c r="AE1499" s="2" t="n"/>
      <c r="AF1499" s="11" t="inlineStr">
        <is>
          <t>created from list 1</t>
        </is>
      </c>
    </row>
    <row r="1500">
      <c r="A1500" s="11" t="inlineStr">
        <is>
          <t>L1-1499</t>
        </is>
      </c>
      <c r="B1500" s="11" t="inlineStr">
        <is>
          <t>List 1 (to ~2015)</t>
        </is>
      </c>
      <c r="C1500" s="11" t="inlineStr">
        <is>
          <t>list1</t>
        </is>
      </c>
      <c r="D1500" s="11" t="inlineStr">
        <is>
          <t>verified</t>
        </is>
      </c>
      <c r="E1500" s="11" t="inlineStr">
        <is>
          <t>reversed_on_appeal</t>
        </is>
      </c>
      <c r="F1500" s="2" t="inlineStr">
        <is>
          <t>Chiranji Lal (Since Decd.) through L.Rs. v. Hari Das Sood (Since Decd.) through L.Rs.</t>
        </is>
      </c>
      <c r="G1500" s="11" t="inlineStr"/>
      <c r="H1500" s="11" t="inlineStr">
        <is>
          <t>unknown</t>
        </is>
      </c>
      <c r="I1500" s="2" t="inlineStr"/>
      <c r="J1500" s="11" t="n"/>
      <c r="K1500" s="2" t="inlineStr">
        <is>
          <t>Dr. Chiranji Lal (D) by LRs. v. Hari Das (D) by LRs.</t>
        </is>
      </c>
      <c r="L1500" s="11" t="inlineStr">
        <is>
          <t>Supreme Court</t>
        </is>
      </c>
      <c r="M1500" s="2" t="inlineStr">
        <is>
          <t>AIR 2005 SC 2564; (2005) 5 JT 329; (2005) 10 SCC 746; (2005) 1 SCR 359 Supp; (2005) 2 UJ 907</t>
        </is>
      </c>
      <c r="N1500" s="11" t="n">
        <v>2005</v>
      </c>
      <c r="O1500" s="11" t="n"/>
      <c r="P1500" s="11" t="n"/>
      <c r="Q1500" s="11" t="n"/>
      <c r="R1500" s="2" t="n"/>
      <c r="S1500" s="2" t="n"/>
      <c r="T1500" s="11" t="inlineStr">
        <is>
          <t>yes</t>
        </is>
      </c>
      <c r="U1500" s="11" t="inlineStr">
        <is>
          <t>no_citation_or_year_for_overruled, needs_citation_or_year</t>
        </is>
      </c>
      <c r="V1500" s="11" t="inlineStr">
        <is>
          <t>outside_list</t>
        </is>
      </c>
      <c r="W1500" s="11" t="n"/>
      <c r="X1500" s="11" t="n"/>
      <c r="Y1500" s="11" t="n"/>
      <c r="Z1500" s="11" t="inlineStr">
        <is>
          <t>Mr. Advocate</t>
        </is>
      </c>
      <c r="AA1500" s="11" t="inlineStr">
        <is>
          <t>2026-10-07</t>
        </is>
      </c>
      <c r="AB1500" s="11" t="inlineStr">
        <is>
          <t>none</t>
        </is>
      </c>
      <c r="AC1500" s="2" t="inlineStr"/>
      <c r="AD1500" s="2" t="inlineStr">
        <is>
          <t>Chiranji Lal (Since Decd.) through L.Rs. v. Hari Das Sood (Since Decd.) through L.Rs. was reversed on appeal by the Supreme Court in Dr. Chiranji Lal (D) by LRs. v. Hari Das (D) by LRs. (2005).</t>
        </is>
      </c>
      <c r="AE1500" s="2" t="n"/>
      <c r="AF1500" s="11" t="inlineStr">
        <is>
          <t>created from list 1</t>
        </is>
      </c>
    </row>
    <row r="1501">
      <c r="A1501" s="11" t="inlineStr">
        <is>
          <t>L1-1500</t>
        </is>
      </c>
      <c r="B1501" s="11" t="inlineStr">
        <is>
          <t>List 1 (to ~2015)</t>
        </is>
      </c>
      <c r="C1501" s="11" t="inlineStr">
        <is>
          <t>list1</t>
        </is>
      </c>
      <c r="D1501" s="11" t="inlineStr">
        <is>
          <t>verified</t>
        </is>
      </c>
      <c r="E1501" s="11" t="inlineStr">
        <is>
          <t>overruled</t>
        </is>
      </c>
      <c r="F1501" s="2" t="inlineStr">
        <is>
          <t>Anil Kumar Bhasin v. Union of India (UOI) and Others</t>
        </is>
      </c>
      <c r="G1501" s="11" t="inlineStr"/>
      <c r="H1501" s="11" t="inlineStr">
        <is>
          <t>unknown</t>
        </is>
      </c>
      <c r="I1501" s="2" t="inlineStr">
        <is>
          <t>(1987) CriLJ 1632</t>
        </is>
      </c>
      <c r="J1501" s="11" t="n">
        <v>1987</v>
      </c>
      <c r="K1501" s="2" t="inlineStr">
        <is>
          <t>Rajendrakumar Natvarlal Shah v. State of Gujarat and Others</t>
        </is>
      </c>
      <c r="L1501" s="11" t="inlineStr">
        <is>
          <t>Supreme Court</t>
        </is>
      </c>
      <c r="M1501" s="2" t="inlineStr">
        <is>
          <t>AIR 1988 SC 1255; (1991) 70 CompCas 549; (1988) CriLJ 1775; (1988) 2 Crimes 729; (1988) 2 JT 409; (1988) 1 SCALE 915; (1988) 3 SCC 153; (1988) 1 SCR 287 Supp</t>
        </is>
      </c>
      <c r="N1501" s="11" t="n">
        <v>1988</v>
      </c>
      <c r="O1501" s="11" t="n"/>
      <c r="P1501" s="11" t="n"/>
      <c r="Q1501" s="11" t="n"/>
      <c r="R1501" s="2" t="n"/>
      <c r="S1501" s="2" t="n"/>
      <c r="T1501" s="11" t="inlineStr"/>
      <c r="U1501" s="11" t="inlineStr"/>
      <c r="V1501" s="11" t="inlineStr">
        <is>
          <t>outside_list</t>
        </is>
      </c>
      <c r="W1501" s="11" t="n"/>
      <c r="X1501" s="11" t="n"/>
      <c r="Y1501" s="11" t="n"/>
      <c r="Z1501" s="11" t="inlineStr">
        <is>
          <t>Mr. Advocate</t>
        </is>
      </c>
      <c r="AA1501" s="11" t="inlineStr">
        <is>
          <t>2026-10-07</t>
        </is>
      </c>
      <c r="AB1501" s="11" t="inlineStr">
        <is>
          <t>name_year</t>
        </is>
      </c>
      <c r="AC1501" s="2" t="inlineStr"/>
      <c r="AD1501" s="2" t="inlineStr">
        <is>
          <t>Anil Kumar Bhasin v. Union of India (UOI) and Others (1987) was overruled by Rajendrakumar Natvarlal Shah v. State of Gujarat and Others (1988).</t>
        </is>
      </c>
      <c r="AE1501" s="2" t="n"/>
      <c r="AF1501" s="11" t="inlineStr">
        <is>
          <t>created from list 1</t>
        </is>
      </c>
    </row>
    <row r="1502">
      <c r="A1502" s="11" t="inlineStr">
        <is>
          <t>L1-1501</t>
        </is>
      </c>
      <c r="B1502" s="11" t="inlineStr">
        <is>
          <t>List 1 (to ~2015)</t>
        </is>
      </c>
      <c r="C1502" s="11" t="inlineStr">
        <is>
          <t>list1</t>
        </is>
      </c>
      <c r="D1502" s="11" t="inlineStr">
        <is>
          <t>verified</t>
        </is>
      </c>
      <c r="E1502" s="11" t="inlineStr">
        <is>
          <t>reversed_on_appeal</t>
        </is>
      </c>
      <c r="F1502" s="2" t="inlineStr">
        <is>
          <t>P.D. Yadav v. Union of India</t>
        </is>
      </c>
      <c r="G1502" s="11" t="inlineStr"/>
      <c r="H1502" s="11" t="inlineStr">
        <is>
          <t>unknown</t>
        </is>
      </c>
      <c r="I1502" s="2" t="inlineStr">
        <is>
          <t>(1997) 2 AD 901; (1997) 66 DLT 832; (1997) 41 DRJ 172; (1998) 1 ILR Delhi 30</t>
        </is>
      </c>
      <c r="J1502" s="11" t="n">
        <v>1997</v>
      </c>
      <c r="K1502" s="2" t="inlineStr">
        <is>
          <t>Union of India and Another v. P.D. Yadav</t>
        </is>
      </c>
      <c r="L1502" s="11" t="inlineStr">
        <is>
          <t>Supreme Court</t>
        </is>
      </c>
      <c r="M1502" s="2" t="inlineStr">
        <is>
          <t>(2001) 9 AD 30; (2001) 91 FLR 961; (2001) 8 JT 617; (2001) LabIC 4014; (2001) 7 SCALE 270; (2002) 1 SCC 405; (2001) 4 SCT 1002; (2002) 1 SLJ 299</t>
        </is>
      </c>
      <c r="N1502" s="11" t="n">
        <v>2001</v>
      </c>
      <c r="O1502" s="11" t="n"/>
      <c r="P1502" s="11" t="n"/>
      <c r="Q1502" s="11" t="n"/>
      <c r="R1502" s="2" t="n"/>
      <c r="S1502" s="2" t="n"/>
      <c r="T1502" s="11" t="inlineStr">
        <is>
          <t>yes</t>
        </is>
      </c>
      <c r="U1502" s="11" t="inlineStr"/>
      <c r="V1502" s="11" t="inlineStr">
        <is>
          <t>outside_list</t>
        </is>
      </c>
      <c r="W1502" s="11" t="n"/>
      <c r="X1502" s="11" t="n"/>
      <c r="Y1502" s="11" t="n"/>
      <c r="Z1502" s="11" t="inlineStr">
        <is>
          <t>Mr. Advocate</t>
        </is>
      </c>
      <c r="AA1502" s="11" t="inlineStr">
        <is>
          <t>2026-10-07</t>
        </is>
      </c>
      <c r="AB1502" s="11" t="inlineStr">
        <is>
          <t>name_year</t>
        </is>
      </c>
      <c r="AC1502" s="2" t="inlineStr"/>
      <c r="AD1502" s="2" t="inlineStr">
        <is>
          <t>P.D. Yadav v. Union of India (1997) was reversed on appeal by the Supreme Court in Union of India and Another v. P.D. Yadav (2001).</t>
        </is>
      </c>
      <c r="AE1502" s="2" t="n"/>
      <c r="AF1502" s="11" t="inlineStr">
        <is>
          <t>created from list 1</t>
        </is>
      </c>
    </row>
    <row r="1503">
      <c r="A1503" s="11" t="inlineStr">
        <is>
          <t>L1-1502</t>
        </is>
      </c>
      <c r="B1503" s="11" t="inlineStr">
        <is>
          <t>List 1 (to ~2015)</t>
        </is>
      </c>
      <c r="C1503" s="11" t="inlineStr">
        <is>
          <t>list1</t>
        </is>
      </c>
      <c r="D1503" s="11" t="inlineStr">
        <is>
          <t>verified</t>
        </is>
      </c>
      <c r="E1503" s="11" t="inlineStr">
        <is>
          <t>reversed_on_appeal</t>
        </is>
      </c>
      <c r="F1503" s="2" t="inlineStr">
        <is>
          <t>Ansaldo Caldaie Boilers India Pvt. Ltd. v. Union of India (UOI) and Another</t>
        </is>
      </c>
      <c r="G1503" s="11" t="inlineStr"/>
      <c r="H1503" s="11" t="inlineStr">
        <is>
          <t>unknown</t>
        </is>
      </c>
      <c r="I1503" s="2" t="inlineStr">
        <is>
          <t>(2011) 177 DLT 752</t>
        </is>
      </c>
      <c r="J1503" s="11" t="n">
        <v>2011</v>
      </c>
      <c r="K1503" s="2" t="inlineStr">
        <is>
          <t>NTPC Limited v. Ansaldo Caldaie Boilers India P. Ltd. and Another</t>
        </is>
      </c>
      <c r="L1503" s="11" t="inlineStr">
        <is>
          <t>Supreme Court</t>
        </is>
      </c>
      <c r="M1503" s="2" t="inlineStr">
        <is>
          <t>AIR 2012 SC 927; (2012) 114 CLT 762; (2012) 3 RCR(Civil) 20; (2012) 2 SCALE 563; (2012) 4 SCC 471; (2012) AIRSCW 1542; (2012) 3 Supreme 126</t>
        </is>
      </c>
      <c r="N1503" s="11" t="n">
        <v>2012</v>
      </c>
      <c r="O1503" s="11" t="n"/>
      <c r="P1503" s="11" t="n"/>
      <c r="Q1503" s="11" t="n"/>
      <c r="R1503" s="2" t="n"/>
      <c r="S1503" s="2" t="n"/>
      <c r="T1503" s="11" t="inlineStr">
        <is>
          <t>yes</t>
        </is>
      </c>
      <c r="U1503" s="11" t="inlineStr"/>
      <c r="V1503" s="11" t="inlineStr">
        <is>
          <t>outside_list</t>
        </is>
      </c>
      <c r="W1503" s="11" t="n"/>
      <c r="X1503" s="11" t="n"/>
      <c r="Y1503" s="11" t="n"/>
      <c r="Z1503" s="11" t="inlineStr">
        <is>
          <t>Mr. Advocate</t>
        </is>
      </c>
      <c r="AA1503" s="11" t="inlineStr">
        <is>
          <t>2026-10-07</t>
        </is>
      </c>
      <c r="AB1503" s="11" t="inlineStr">
        <is>
          <t>name_year</t>
        </is>
      </c>
      <c r="AC1503" s="2" t="inlineStr"/>
      <c r="AD1503" s="2" t="inlineStr">
        <is>
          <t>Ansaldo Caldaie Boilers India Pvt. Ltd. v. Union of India (UOI) and Another (2011) was reversed on appeal by the Supreme Court in NTPC Limited v. Ansaldo Caldaie Boilers India P. Ltd. and Another (2012).</t>
        </is>
      </c>
      <c r="AE1503" s="2" t="n"/>
      <c r="AF1503" s="11" t="inlineStr">
        <is>
          <t>created from list 1</t>
        </is>
      </c>
    </row>
    <row r="1504">
      <c r="A1504" s="11" t="inlineStr">
        <is>
          <t>L1-1503</t>
        </is>
      </c>
      <c r="B1504" s="11" t="inlineStr">
        <is>
          <t>List 1 (to ~2015)</t>
        </is>
      </c>
      <c r="C1504" s="11" t="inlineStr">
        <is>
          <t>list1</t>
        </is>
      </c>
      <c r="D1504" s="11" t="inlineStr">
        <is>
          <t>verified</t>
        </is>
      </c>
      <c r="E1504" s="11" t="inlineStr">
        <is>
          <t>reversed_on_appeal</t>
        </is>
      </c>
      <c r="F1504" s="2" t="inlineStr">
        <is>
          <t>Delhi Development Authority v. Ambitious Enterprises Another</t>
        </is>
      </c>
      <c r="G1504" s="11" t="inlineStr"/>
      <c r="H1504" s="11" t="inlineStr">
        <is>
          <t>unknown</t>
        </is>
      </c>
      <c r="I1504" s="2" t="inlineStr">
        <is>
          <t>(1994) 55 DLT 425</t>
        </is>
      </c>
      <c r="J1504" s="11" t="n">
        <v>1994</v>
      </c>
      <c r="K1504" s="2" t="inlineStr">
        <is>
          <t>Delhi Development Authority etc. v. M/s. Ambitious Enterprises and another</t>
        </is>
      </c>
      <c r="L1504" s="11" t="inlineStr">
        <is>
          <t>Supreme Court</t>
        </is>
      </c>
      <c r="M1504" s="2" t="inlineStr">
        <is>
          <t>AIR 1997 SC 3263; (1997) 6 JT 119; (1997) 4 SCALE 497; (1997) 6 SCC 420; (1997) 2 SCR 50 Supp; (1997) 2 UJ 250; (1997) AIRSCW 3323; (1997) 6 Supreme 305</t>
        </is>
      </c>
      <c r="N1504" s="11" t="n">
        <v>1997</v>
      </c>
      <c r="O1504" s="11" t="n"/>
      <c r="P1504" s="11" t="n"/>
      <c r="Q1504" s="11" t="n"/>
      <c r="R1504" s="2" t="n"/>
      <c r="S1504" s="2" t="n"/>
      <c r="T1504" s="11" t="inlineStr">
        <is>
          <t>yes</t>
        </is>
      </c>
      <c r="U1504" s="11" t="inlineStr"/>
      <c r="V1504" s="11" t="inlineStr">
        <is>
          <t>outside_list</t>
        </is>
      </c>
      <c r="W1504" s="11" t="n"/>
      <c r="X1504" s="11" t="n"/>
      <c r="Y1504" s="11" t="n"/>
      <c r="Z1504" s="11" t="inlineStr">
        <is>
          <t>Mr. Advocate</t>
        </is>
      </c>
      <c r="AA1504" s="11" t="inlineStr">
        <is>
          <t>2026-10-07</t>
        </is>
      </c>
      <c r="AB1504" s="11" t="inlineStr">
        <is>
          <t>name_year</t>
        </is>
      </c>
      <c r="AC1504" s="2" t="inlineStr"/>
      <c r="AD1504" s="2" t="inlineStr">
        <is>
          <t>Delhi Development Authority v. Ambitious Enterprises Another (1994) was reversed on appeal by the Supreme Court in Delhi Development Authority etc. v. M/s. Ambitious Enterprises and another (1997).</t>
        </is>
      </c>
      <c r="AE1504" s="2" t="n"/>
      <c r="AF1504" s="11" t="inlineStr">
        <is>
          <t>created from list 1</t>
        </is>
      </c>
    </row>
    <row r="1505">
      <c r="A1505" s="11" t="inlineStr">
        <is>
          <t>L1-1504</t>
        </is>
      </c>
      <c r="B1505" s="11" t="inlineStr">
        <is>
          <t>List 1 (to ~2015)</t>
        </is>
      </c>
      <c r="C1505" s="11" t="inlineStr">
        <is>
          <t>list1</t>
        </is>
      </c>
      <c r="D1505" s="11" t="inlineStr">
        <is>
          <t>verified</t>
        </is>
      </c>
      <c r="E1505" s="11" t="inlineStr">
        <is>
          <t>reversed_on_appeal</t>
        </is>
      </c>
      <c r="F1505" s="2" t="inlineStr">
        <is>
          <t>Shri Krishna Engg. Co. v. Commissioner of Sales Tax and Others</t>
        </is>
      </c>
      <c r="G1505" s="11" t="inlineStr"/>
      <c r="H1505" s="11" t="inlineStr">
        <is>
          <t>unknown</t>
        </is>
      </c>
      <c r="I1505" s="2" t="inlineStr">
        <is>
          <t>(2003) 131 STC 321</t>
        </is>
      </c>
      <c r="J1505" s="11" t="n">
        <v>2003</v>
      </c>
      <c r="K1505" s="2" t="inlineStr">
        <is>
          <t>Commissioner of Sales Tax, Delhi and Others v. Shri Krishna Engg. Co. and Others</t>
        </is>
      </c>
      <c r="L1505" s="11" t="inlineStr">
        <is>
          <t>Supreme Court</t>
        </is>
      </c>
      <c r="M1505" s="2" t="inlineStr">
        <is>
          <t>AIR 2005 SC 958; (2005) 1 JT 563; (2005) 2 SCC 692; (2005) 1 SCR 825; (2005) 139 STC 457</t>
        </is>
      </c>
      <c r="N1505" s="11" t="n">
        <v>2005</v>
      </c>
      <c r="O1505" s="11" t="n"/>
      <c r="P1505" s="11" t="n"/>
      <c r="Q1505" s="11" t="n"/>
      <c r="R1505" s="2" t="n"/>
      <c r="S1505" s="2" t="n"/>
      <c r="T1505" s="11" t="inlineStr">
        <is>
          <t>yes</t>
        </is>
      </c>
      <c r="U1505" s="11" t="inlineStr"/>
      <c r="V1505" s="11" t="inlineStr">
        <is>
          <t>outside_list</t>
        </is>
      </c>
      <c r="W1505" s="11" t="n"/>
      <c r="X1505" s="11" t="n"/>
      <c r="Y1505" s="11" t="n"/>
      <c r="Z1505" s="11" t="inlineStr">
        <is>
          <t>Mr. Advocate</t>
        </is>
      </c>
      <c r="AA1505" s="11" t="inlineStr">
        <is>
          <t>2026-10-07</t>
        </is>
      </c>
      <c r="AB1505" s="11" t="inlineStr">
        <is>
          <t>name_year</t>
        </is>
      </c>
      <c r="AC1505" s="2" t="inlineStr"/>
      <c r="AD1505" s="2" t="inlineStr">
        <is>
          <t>Shri Krishna Engg. Co. v. Commissioner of Sales Tax and Others (2003) was reversed on appeal by the Supreme Court in Commissioner of Sales Tax, Delhi and Others v. Shri Krishna Engg. Co. and Others (2005).</t>
        </is>
      </c>
      <c r="AE1505" s="2" t="n"/>
      <c r="AF1505" s="11" t="inlineStr">
        <is>
          <t>created from list 1</t>
        </is>
      </c>
    </row>
    <row r="1506">
      <c r="A1506" s="11" t="inlineStr">
        <is>
          <t>L1-1505</t>
        </is>
      </c>
      <c r="B1506" s="11" t="inlineStr">
        <is>
          <t>List 1 (to ~2015)</t>
        </is>
      </c>
      <c r="C1506" s="11" t="inlineStr">
        <is>
          <t>list1</t>
        </is>
      </c>
      <c r="D1506" s="11" t="inlineStr">
        <is>
          <t>verified</t>
        </is>
      </c>
      <c r="E1506" s="11" t="inlineStr">
        <is>
          <t>overruled</t>
        </is>
      </c>
      <c r="F1506" s="2" t="inlineStr">
        <is>
          <t>Ansal Properties and Industries Ltd. v. Appropriate Authority and Others</t>
        </is>
      </c>
      <c r="G1506" s="11" t="inlineStr"/>
      <c r="H1506" s="11" t="inlineStr">
        <is>
          <t>unknown</t>
        </is>
      </c>
      <c r="I1506" s="2" t="inlineStr">
        <is>
          <t>(1998) 72 DLT 84; (1999) 103 TAXMAN 306</t>
        </is>
      </c>
      <c r="J1506" s="11" t="n">
        <v>1998</v>
      </c>
      <c r="K1506" s="2" t="inlineStr">
        <is>
          <t>DLF Universal Ltd. v. Appropriate Authority and Another</t>
        </is>
      </c>
      <c r="L1506" s="11" t="inlineStr">
        <is>
          <t>Supreme Court</t>
        </is>
      </c>
      <c r="M1506" s="2" t="inlineStr">
        <is>
          <t>AIR 2000 SC 1985; (2000) 3 CTC 487; (2000) 243 ITR 730; (2000) 5 JT 469; (2000) 4 SCALE 351; (2000) 5 SCC 552; (2000) 110 TAXMAN 315; (2000) AIRSCW 1838; (2000) 4 Supreme 273</t>
        </is>
      </c>
      <c r="N1506" s="11" t="n">
        <v>2000</v>
      </c>
      <c r="O1506" s="11" t="n"/>
      <c r="P1506" s="11" t="n"/>
      <c r="Q1506" s="11" t="n"/>
      <c r="R1506" s="2" t="n"/>
      <c r="S1506" s="2" t="n"/>
      <c r="T1506" s="11" t="inlineStr"/>
      <c r="U1506" s="11" t="inlineStr"/>
      <c r="V1506" s="11" t="inlineStr">
        <is>
          <t>outside_list</t>
        </is>
      </c>
      <c r="W1506" s="11" t="n"/>
      <c r="X1506" s="11" t="n"/>
      <c r="Y1506" s="11" t="n"/>
      <c r="Z1506" s="11" t="inlineStr">
        <is>
          <t>Mr. Advocate</t>
        </is>
      </c>
      <c r="AA1506" s="11" t="inlineStr">
        <is>
          <t>2026-10-07</t>
        </is>
      </c>
      <c r="AB1506" s="11" t="inlineStr">
        <is>
          <t>name_year</t>
        </is>
      </c>
      <c r="AC1506" s="2" t="inlineStr"/>
      <c r="AD1506" s="2" t="inlineStr">
        <is>
          <t>Ansal Properties and Industries Ltd. v. Appropriate Authority and Others (1998) was overruled by DLF Universal Ltd. v. Appropriate Authority and Another (2000).</t>
        </is>
      </c>
      <c r="AE1506" s="2" t="n"/>
      <c r="AF1506" s="11" t="inlineStr">
        <is>
          <t>created from list 1</t>
        </is>
      </c>
    </row>
    <row r="1507">
      <c r="A1507" s="11" t="inlineStr">
        <is>
          <t>L1-1506</t>
        </is>
      </c>
      <c r="B1507" s="11" t="inlineStr">
        <is>
          <t>List 1 (to ~2015)</t>
        </is>
      </c>
      <c r="C1507" s="11" t="inlineStr">
        <is>
          <t>list1</t>
        </is>
      </c>
      <c r="D1507" s="11" t="inlineStr">
        <is>
          <t>verified</t>
        </is>
      </c>
      <c r="E1507" s="11" t="inlineStr">
        <is>
          <t>reversed_on_appeal</t>
        </is>
      </c>
      <c r="F1507" s="2" t="inlineStr">
        <is>
          <t>V.K. Sodhi and Others v. Lt. Governor and Others</t>
        </is>
      </c>
      <c r="G1507" s="11" t="inlineStr"/>
      <c r="H1507" s="11" t="inlineStr">
        <is>
          <t>unknown</t>
        </is>
      </c>
      <c r="I1507" s="2" t="inlineStr"/>
      <c r="J1507" s="11" t="n"/>
      <c r="K1507" s="2" t="inlineStr">
        <is>
          <t>Lt. Governor of Delhi and Others v. V.K. Sodhi and Others</t>
        </is>
      </c>
      <c r="L1507" s="11" t="inlineStr">
        <is>
          <t>Supreme Court</t>
        </is>
      </c>
      <c r="M1507" s="2" t="inlineStr">
        <is>
          <t>AIR 2007 SC 2885; (2007) 10 JT 137; (2007) 10 SCALE 41; (2007) 8 SCR 1027; (2007) AIRSCW 5268; (2007) 5 Supreme 909</t>
        </is>
      </c>
      <c r="N1507" s="11" t="n">
        <v>2007</v>
      </c>
      <c r="O1507" s="11" t="n"/>
      <c r="P1507" s="11" t="n"/>
      <c r="Q1507" s="11" t="n"/>
      <c r="R1507" s="2" t="n"/>
      <c r="S1507" s="2" t="n"/>
      <c r="T1507" s="11" t="inlineStr">
        <is>
          <t>yes</t>
        </is>
      </c>
      <c r="U1507" s="11" t="inlineStr">
        <is>
          <t>no_citation_or_year_for_overruled, needs_citation_or_year</t>
        </is>
      </c>
      <c r="V1507" s="11" t="inlineStr">
        <is>
          <t>outside_list</t>
        </is>
      </c>
      <c r="W1507" s="11" t="n"/>
      <c r="X1507" s="11" t="n"/>
      <c r="Y1507" s="11" t="n"/>
      <c r="Z1507" s="11" t="inlineStr">
        <is>
          <t>Mr. Advocate</t>
        </is>
      </c>
      <c r="AA1507" s="11" t="inlineStr">
        <is>
          <t>2026-10-07</t>
        </is>
      </c>
      <c r="AB1507" s="11" t="inlineStr">
        <is>
          <t>weak</t>
        </is>
      </c>
      <c r="AC1507" s="2" t="inlineStr"/>
      <c r="AD1507" s="2" t="inlineStr">
        <is>
          <t>V.K. Sodhi and Others v. Lt. Governor and Others was reversed on appeal by the Supreme Court in Lt. Governor of Delhi and Others v. V.K. Sodhi and Others (2007).</t>
        </is>
      </c>
      <c r="AE1507" s="2" t="n"/>
      <c r="AF1507" s="11" t="inlineStr">
        <is>
          <t>created from list 1</t>
        </is>
      </c>
    </row>
    <row r="1508">
      <c r="A1508" s="11" t="inlineStr">
        <is>
          <t>L1-1507</t>
        </is>
      </c>
      <c r="B1508" s="11" t="inlineStr">
        <is>
          <t>List 1 (to ~2015)</t>
        </is>
      </c>
      <c r="C1508" s="11" t="inlineStr">
        <is>
          <t>list1</t>
        </is>
      </c>
      <c r="D1508" s="11" t="inlineStr">
        <is>
          <t>verified</t>
        </is>
      </c>
      <c r="E1508" s="11" t="inlineStr">
        <is>
          <t>overruled</t>
        </is>
      </c>
      <c r="F1508" s="2" t="inlineStr">
        <is>
          <t>Mahinder Singh Jagdev v. Union of India and Others</t>
        </is>
      </c>
      <c r="G1508" s="11" t="inlineStr"/>
      <c r="H1508" s="11" t="inlineStr">
        <is>
          <t>unknown</t>
        </is>
      </c>
      <c r="I1508" s="2" t="inlineStr">
        <is>
          <t>(1994) 30 DRJ 330</t>
        </is>
      </c>
      <c r="J1508" s="11" t="n">
        <v>1994</v>
      </c>
      <c r="K1508" s="2" t="inlineStr">
        <is>
          <t>Secretary, Ministry of Works and Housing Govt. of India and Others v. Mohinder Singh Jagdev and Others</t>
        </is>
      </c>
      <c r="L1508" s="11" t="inlineStr">
        <is>
          <t>Supreme Court</t>
        </is>
      </c>
      <c r="M1508" s="2" t="inlineStr">
        <is>
          <t>(1996) 6 AD 738; (1996) 2 CTC 715; (1996) 74 FLR 2382; (1996) 8 JT 46; (1997) 1 LLJ 5; (1996) 6 SCALE 397; (1996) 6 SCC 229; (1996) 4 SCR 736 Supp</t>
        </is>
      </c>
      <c r="N1508" s="11" t="n">
        <v>1996</v>
      </c>
      <c r="O1508" s="11" t="n"/>
      <c r="P1508" s="11" t="n"/>
      <c r="Q1508" s="11" t="n"/>
      <c r="R1508" s="2" t="n"/>
      <c r="S1508" s="2" t="n"/>
      <c r="T1508" s="11" t="inlineStr"/>
      <c r="U1508" s="11" t="inlineStr"/>
      <c r="V1508" s="11" t="inlineStr">
        <is>
          <t>outside_list</t>
        </is>
      </c>
      <c r="W1508" s="11" t="n"/>
      <c r="X1508" s="11" t="n"/>
      <c r="Y1508" s="11" t="n"/>
      <c r="Z1508" s="11" t="inlineStr">
        <is>
          <t>Mr. Advocate</t>
        </is>
      </c>
      <c r="AA1508" s="11" t="inlineStr">
        <is>
          <t>2026-10-07</t>
        </is>
      </c>
      <c r="AB1508" s="11" t="inlineStr">
        <is>
          <t>name_year</t>
        </is>
      </c>
      <c r="AC1508" s="2" t="inlineStr"/>
      <c r="AD1508" s="2" t="inlineStr">
        <is>
          <t>Mahinder Singh Jagdev v. Union of India and Others (1994) was overruled by Secretary, Ministry of Works and Housing Govt. of India and Others v. Mohinder Singh Jagdev and Others (1996).</t>
        </is>
      </c>
      <c r="AE1508" s="2" t="n"/>
      <c r="AF1508" s="11" t="inlineStr">
        <is>
          <t>created from list 1</t>
        </is>
      </c>
    </row>
    <row r="1509">
      <c r="A1509" s="11" t="inlineStr">
        <is>
          <t>L1-1508</t>
        </is>
      </c>
      <c r="B1509" s="11" t="inlineStr">
        <is>
          <t>List 1 (to ~2015)</t>
        </is>
      </c>
      <c r="C1509" s="11" t="inlineStr">
        <is>
          <t>list1</t>
        </is>
      </c>
      <c r="D1509" s="11" t="inlineStr">
        <is>
          <t>verified</t>
        </is>
      </c>
      <c r="E1509" s="11" t="inlineStr">
        <is>
          <t>overruled</t>
        </is>
      </c>
      <c r="F1509" s="2" t="inlineStr">
        <is>
          <t>Duncans Industries Ltd. and Another v. Union of India (UOI)</t>
        </is>
      </c>
      <c r="G1509" s="11" t="inlineStr"/>
      <c r="H1509" s="11" t="inlineStr">
        <is>
          <t>Allahabad</t>
        </is>
      </c>
      <c r="I1509" s="2" t="inlineStr">
        <is>
          <t>AIR 2004 All 144</t>
        </is>
      </c>
      <c r="J1509" s="11" t="n">
        <v>2004</v>
      </c>
      <c r="K1509" s="2" t="inlineStr">
        <is>
          <t>Duncan Industries Ltd. and Another v. Union of India (UOI)</t>
        </is>
      </c>
      <c r="L1509" s="11" t="inlineStr">
        <is>
          <t>Supreme Court</t>
        </is>
      </c>
      <c r="M1509" s="2" t="inlineStr">
        <is>
          <t>AIR 2006 SC 3699; (2006) 2 JT 294; (2006) 2 SCALE 284; (2006) 3 SCC 129</t>
        </is>
      </c>
      <c r="N1509" s="11" t="n">
        <v>2006</v>
      </c>
      <c r="O1509" s="11" t="n"/>
      <c r="P1509" s="11" t="n"/>
      <c r="Q1509" s="11" t="n"/>
      <c r="R1509" s="2" t="n"/>
      <c r="S1509" s="2" t="n"/>
      <c r="T1509" s="11" t="inlineStr"/>
      <c r="U1509" s="11" t="inlineStr"/>
      <c r="V1509" s="11" t="inlineStr">
        <is>
          <t>outside_list</t>
        </is>
      </c>
      <c r="W1509" s="11" t="n"/>
      <c r="X1509" s="11" t="n"/>
      <c r="Y1509" s="11" t="n"/>
      <c r="Z1509" s="11" t="inlineStr">
        <is>
          <t>Mr. Advocate</t>
        </is>
      </c>
      <c r="AA1509" s="11" t="inlineStr">
        <is>
          <t>2026-10-07</t>
        </is>
      </c>
      <c r="AB1509" s="11" t="inlineStr">
        <is>
          <t>name_year</t>
        </is>
      </c>
      <c r="AC1509" s="2" t="inlineStr"/>
      <c r="AD1509" s="2" t="inlineStr">
        <is>
          <t>Duncans Industries Ltd. and Another v. Union of India (UOI) (2004) was overruled by Duncan Industries Ltd. and Another v. Union of India (UOI) (2006).</t>
        </is>
      </c>
      <c r="AE1509" s="2" t="n"/>
      <c r="AF1509" s="11" t="inlineStr">
        <is>
          <t>created from list 1</t>
        </is>
      </c>
    </row>
    <row r="1510">
      <c r="A1510" s="11" t="inlineStr">
        <is>
          <t>L1-1509</t>
        </is>
      </c>
      <c r="B1510" s="11" t="inlineStr">
        <is>
          <t>List 1 (to ~2015)</t>
        </is>
      </c>
      <c r="C1510" s="11" t="inlineStr">
        <is>
          <t>list1</t>
        </is>
      </c>
      <c r="D1510" s="11" t="inlineStr">
        <is>
          <t>verified</t>
        </is>
      </c>
      <c r="E1510" s="11" t="inlineStr">
        <is>
          <t>reversed_on_appeal</t>
        </is>
      </c>
      <c r="F1510" s="2" t="inlineStr">
        <is>
          <t>Prem Chand Gupta v. Management of Municipal Corporation of Delhi</t>
        </is>
      </c>
      <c r="G1510" s="11" t="inlineStr"/>
      <c r="H1510" s="11" t="inlineStr">
        <is>
          <t>unknown</t>
        </is>
      </c>
      <c r="I1510" s="2" t="inlineStr">
        <is>
          <t>(1997) 68 DLT 876; (1997) 42 DRJ 555</t>
        </is>
      </c>
      <c r="J1510" s="11" t="n">
        <v>1997</v>
      </c>
      <c r="K1510" s="2" t="inlineStr">
        <is>
          <t>Management Of MCD v. Prem Chand Gupta and Another</t>
        </is>
      </c>
      <c r="L1510" s="11" t="inlineStr">
        <is>
          <t>Supreme Court</t>
        </is>
      </c>
      <c r="M1510" s="2" t="inlineStr">
        <is>
          <t>AIR 2000 SC 454; (2000) 84 FLR 364; (1999) 10 JT 12; (2000) 1 LLJ 533; (1999) 7 SCALE 526; (1999) 5 SCR 403 Supp; (2000) 1 UJ 235; (1999) AIRSCW 4610; (1999) 10 Supreme 457</t>
        </is>
      </c>
      <c r="N1510" s="11" t="n">
        <v>2000</v>
      </c>
      <c r="O1510" s="11" t="n"/>
      <c r="P1510" s="11" t="n"/>
      <c r="Q1510" s="11" t="n"/>
      <c r="R1510" s="2" t="n"/>
      <c r="S1510" s="2" t="n"/>
      <c r="T1510" s="11" t="inlineStr">
        <is>
          <t>yes</t>
        </is>
      </c>
      <c r="U1510" s="11" t="inlineStr"/>
      <c r="V1510" s="11" t="inlineStr">
        <is>
          <t>outside_list</t>
        </is>
      </c>
      <c r="W1510" s="11" t="n"/>
      <c r="X1510" s="11" t="n"/>
      <c r="Y1510" s="11" t="n"/>
      <c r="Z1510" s="11" t="inlineStr">
        <is>
          <t>Mr. Advocate</t>
        </is>
      </c>
      <c r="AA1510" s="11" t="inlineStr">
        <is>
          <t>2026-10-07</t>
        </is>
      </c>
      <c r="AB1510" s="11" t="inlineStr">
        <is>
          <t>name_year</t>
        </is>
      </c>
      <c r="AC1510" s="2" t="inlineStr"/>
      <c r="AD1510" s="2" t="inlineStr">
        <is>
          <t>Prem Chand Gupta v. Management of Municipal Corporation of Delhi (1997) was reversed on appeal by the Supreme Court in Management Of MCD v. Prem Chand Gupta and Another (2000).</t>
        </is>
      </c>
      <c r="AE1510" s="2" t="n"/>
      <c r="AF1510" s="11" t="inlineStr">
        <is>
          <t>created from list 1</t>
        </is>
      </c>
    </row>
    <row r="1511">
      <c r="A1511" s="11" t="inlineStr">
        <is>
          <t>L1-1510</t>
        </is>
      </c>
      <c r="B1511" s="11" t="inlineStr">
        <is>
          <t>List 1 (to ~2015)</t>
        </is>
      </c>
      <c r="C1511" s="11" t="inlineStr">
        <is>
          <t>list1</t>
        </is>
      </c>
      <c r="D1511" s="11" t="inlineStr">
        <is>
          <t>verified</t>
        </is>
      </c>
      <c r="E1511" s="11" t="inlineStr">
        <is>
          <t>overruled</t>
        </is>
      </c>
      <c r="F1511" s="2" t="inlineStr">
        <is>
          <t>Contempt Proceedings v. Kanwar Singh Saini</t>
        </is>
      </c>
      <c r="G1511" s="11" t="inlineStr"/>
      <c r="H1511" s="11" t="inlineStr">
        <is>
          <t>unknown</t>
        </is>
      </c>
      <c r="I1511" s="2" t="inlineStr">
        <is>
          <t>(2009) 161 DLT 466; (2009) ILR Delhi 208 Supp; (2009) ILR Delhi 190 Supp</t>
        </is>
      </c>
      <c r="J1511" s="11" t="n">
        <v>2009</v>
      </c>
      <c r="K1511" s="2" t="inlineStr">
        <is>
          <t>Kanwar Singh Saini v. High Court of Delhi</t>
        </is>
      </c>
      <c r="L1511" s="11" t="inlineStr">
        <is>
          <t>Supreme Court</t>
        </is>
      </c>
      <c r="M1511" s="2" t="inlineStr">
        <is>
          <t>(2011) 4 RCR(Civil) 402; (2011) 4 RCR(Criminal) 407; (2011) 10 SCALE 725; (2012) 4 SCC 307; (2011) 6 UJ 4202</t>
        </is>
      </c>
      <c r="N1511" s="11" t="n">
        <v>2011</v>
      </c>
      <c r="O1511" s="11" t="n"/>
      <c r="P1511" s="11" t="n"/>
      <c r="Q1511" s="11" t="n"/>
      <c r="R1511" s="2" t="n"/>
      <c r="S1511" s="2" t="n"/>
      <c r="T1511" s="11" t="inlineStr"/>
      <c r="U1511" s="11" t="inlineStr"/>
      <c r="V1511" s="11" t="inlineStr">
        <is>
          <t>outside_list</t>
        </is>
      </c>
      <c r="W1511" s="11" t="n"/>
      <c r="X1511" s="11" t="n"/>
      <c r="Y1511" s="11" t="n"/>
      <c r="Z1511" s="11" t="inlineStr">
        <is>
          <t>Mr. Advocate</t>
        </is>
      </c>
      <c r="AA1511" s="11" t="inlineStr">
        <is>
          <t>2026-10-07</t>
        </is>
      </c>
      <c r="AB1511" s="11" t="inlineStr">
        <is>
          <t>name_year</t>
        </is>
      </c>
      <c r="AC1511" s="2" t="inlineStr"/>
      <c r="AD1511" s="2" t="inlineStr">
        <is>
          <t>Contempt Proceedings v. Kanwar Singh Saini (2009) was overruled by Kanwar Singh Saini v. High Court of Delhi (2011).</t>
        </is>
      </c>
      <c r="AE1511" s="2" t="n"/>
      <c r="AF1511" s="11" t="inlineStr">
        <is>
          <t>created from list 1</t>
        </is>
      </c>
    </row>
    <row r="1512">
      <c r="A1512" s="11" t="inlineStr">
        <is>
          <t>L1-1511</t>
        </is>
      </c>
      <c r="B1512" s="11" t="inlineStr">
        <is>
          <t>List 1 (to ~2015)</t>
        </is>
      </c>
      <c r="C1512" s="11" t="inlineStr">
        <is>
          <t>list1</t>
        </is>
      </c>
      <c r="D1512" s="11" t="inlineStr">
        <is>
          <t>verified</t>
        </is>
      </c>
      <c r="E1512" s="11" t="inlineStr">
        <is>
          <t>reversed_on_appeal</t>
        </is>
      </c>
      <c r="F1512" s="2" t="inlineStr">
        <is>
          <t>Housing and Urban Development Corporation Limited v. Leela Hotels Ltd.</t>
        </is>
      </c>
      <c r="G1512" s="11" t="inlineStr"/>
      <c r="H1512" s="11" t="inlineStr">
        <is>
          <t>unknown</t>
        </is>
      </c>
      <c r="I1512" s="2" t="inlineStr">
        <is>
          <t>(2010) 1 ILR Delhi 76</t>
        </is>
      </c>
      <c r="J1512" s="11" t="n">
        <v>2010</v>
      </c>
      <c r="K1512" s="2" t="inlineStr">
        <is>
          <t>Leela Hotels Ltd. v. Housing and Urban Development Corporation Ltd.</t>
        </is>
      </c>
      <c r="L1512" s="11" t="inlineStr">
        <is>
          <t>Supreme Court</t>
        </is>
      </c>
      <c r="M1512" s="2" t="inlineStr">
        <is>
          <t>AIR 2012 SC 903; (2011) 12 SCALE 573; (2012) 1 SCC 302</t>
        </is>
      </c>
      <c r="N1512" s="11" t="n">
        <v>2012</v>
      </c>
      <c r="O1512" s="11" t="n"/>
      <c r="P1512" s="11" t="n"/>
      <c r="Q1512" s="11" t="n"/>
      <c r="R1512" s="2" t="n"/>
      <c r="S1512" s="2" t="n"/>
      <c r="T1512" s="11" t="inlineStr">
        <is>
          <t>yes</t>
        </is>
      </c>
      <c r="U1512" s="11" t="inlineStr"/>
      <c r="V1512" s="11" t="inlineStr">
        <is>
          <t>outside_list</t>
        </is>
      </c>
      <c r="W1512" s="11" t="n"/>
      <c r="X1512" s="11" t="n"/>
      <c r="Y1512" s="11" t="n"/>
      <c r="Z1512" s="11" t="inlineStr">
        <is>
          <t>Mr. Advocate</t>
        </is>
      </c>
      <c r="AA1512" s="11" t="inlineStr">
        <is>
          <t>2026-10-07</t>
        </is>
      </c>
      <c r="AB1512" s="11" t="inlineStr">
        <is>
          <t>name_year</t>
        </is>
      </c>
      <c r="AC1512" s="2" t="inlineStr"/>
      <c r="AD1512" s="2" t="inlineStr">
        <is>
          <t>Housing and Urban Development Corporation Limited v. Leela Hotels Ltd. (2010) was reversed on appeal by the Supreme Court in Leela Hotels Ltd. v. Housing and Urban Development Corporation Ltd. (2012).</t>
        </is>
      </c>
      <c r="AE1512" s="2" t="n"/>
      <c r="AF1512" s="11" t="inlineStr">
        <is>
          <t>created from list 1</t>
        </is>
      </c>
    </row>
    <row r="1513">
      <c r="A1513" s="11" t="inlineStr">
        <is>
          <t>L1-1512</t>
        </is>
      </c>
      <c r="B1513" s="11" t="inlineStr">
        <is>
          <t>List 1 (to ~2015)</t>
        </is>
      </c>
      <c r="C1513" s="11" t="inlineStr">
        <is>
          <t>list1</t>
        </is>
      </c>
      <c r="D1513" s="11" t="inlineStr">
        <is>
          <t>verified</t>
        </is>
      </c>
      <c r="E1513" s="11" t="inlineStr">
        <is>
          <t>reversed_on_appeal</t>
        </is>
      </c>
      <c r="F1513" s="2" t="inlineStr">
        <is>
          <t>Kulwant Singh v. State</t>
        </is>
      </c>
      <c r="G1513" s="11" t="inlineStr"/>
      <c r="H1513" s="11" t="inlineStr">
        <is>
          <t>unknown</t>
        </is>
      </c>
      <c r="I1513" s="2" t="inlineStr">
        <is>
          <t>(2001) CriLJ 1021; (2001) 73 ECC 438</t>
        </is>
      </c>
      <c r="J1513" s="11" t="n">
        <v>2001</v>
      </c>
      <c r="K1513" s="2" t="inlineStr">
        <is>
          <t>State v. Kulwant Singh</t>
        </is>
      </c>
      <c r="L1513" s="11" t="inlineStr">
        <is>
          <t>Supreme Court</t>
        </is>
      </c>
      <c r="M1513" s="2" t="inlineStr">
        <is>
          <t>AIR 2003 SC 1599; (2003) CriLJ 1527; (2003) 86 ECC 33; (2003) 2 JT 470; (2003) 2 SCALE 11; (2003) 9 SCC 193; (2003) 1 SCR 995; (2003) 1 UJ 755; (2003) AIRSCW 982; (2003) 2 Supreme 33</t>
        </is>
      </c>
      <c r="N1513" s="11" t="n">
        <v>2003</v>
      </c>
      <c r="O1513" s="11" t="n"/>
      <c r="P1513" s="11" t="n"/>
      <c r="Q1513" s="11" t="n"/>
      <c r="R1513" s="2" t="n"/>
      <c r="S1513" s="2" t="n"/>
      <c r="T1513" s="11" t="inlineStr">
        <is>
          <t>yes</t>
        </is>
      </c>
      <c r="U1513" s="11" t="inlineStr"/>
      <c r="V1513" s="11" t="inlineStr">
        <is>
          <t>outside_list</t>
        </is>
      </c>
      <c r="W1513" s="11" t="n"/>
      <c r="X1513" s="11" t="n"/>
      <c r="Y1513" s="11" t="n"/>
      <c r="Z1513" s="11" t="inlineStr">
        <is>
          <t>Mr. Advocate</t>
        </is>
      </c>
      <c r="AA1513" s="11" t="inlineStr">
        <is>
          <t>2026-10-07</t>
        </is>
      </c>
      <c r="AB1513" s="11" t="inlineStr">
        <is>
          <t>name_year</t>
        </is>
      </c>
      <c r="AC1513" s="2" t="inlineStr"/>
      <c r="AD1513" s="2" t="inlineStr">
        <is>
          <t>Kulwant Singh v. State (2001) was reversed on appeal by the Supreme Court in State v. Kulwant Singh (2003).</t>
        </is>
      </c>
      <c r="AE1513" s="2" t="n"/>
      <c r="AF1513" s="11" t="inlineStr">
        <is>
          <t>created from list 1</t>
        </is>
      </c>
    </row>
    <row r="1514">
      <c r="A1514" s="11" t="inlineStr">
        <is>
          <t>L1-1513</t>
        </is>
      </c>
      <c r="B1514" s="11" t="inlineStr">
        <is>
          <t>List 1 (to ~2015)</t>
        </is>
      </c>
      <c r="C1514" s="11" t="inlineStr">
        <is>
          <t>list1</t>
        </is>
      </c>
      <c r="D1514" s="11" t="inlineStr">
        <is>
          <t>verified</t>
        </is>
      </c>
      <c r="E1514" s="11" t="inlineStr">
        <is>
          <t>overruled</t>
        </is>
      </c>
      <c r="F1514" s="2" t="inlineStr">
        <is>
          <t>1. Mrs. Kailash Suneja (C.W. NO. 5220 of 1993 AND C.M. No. 1988 of 1994) 2. Shatabdi Trading and Investments Pvt. Ltd. and others. (C.W. NO. 4153 of 1993 and C.M. No. 3199 of 1994) 3. Chauhan Builders and Constructions Pvt. Ltd. (C.W. NO. 4589 of 1994) 4. Shashi Sehgal (C.W. No. 3726 of 1994) 5. R. C. Chawla and Another (C.W. No. 3884 of 1994) v. Appropriate Authority and Others. DR. A. K. Garg and Another (C.W. No. 3139 of 1993) v. Kailash Nath and Associates and Others. Chiranji Estates Pvt. Ltd. (C.W. No. 5613 of 1993) v. Union of India and Others. Express Towers Pvt. Ltd. and Another (C.W. No. 4357 and C.M.S. Nos. 7857 of 1993, 2043 of 1994 and 1811 of 1995) v. Deputy Commissioner of Income Tax and Others. Mahesh Chandra Agarwal and Another (C.W. No. 3594 of 1990 and C.M. No. 6632 of 1993) v. Union of India and Others.</t>
        </is>
      </c>
      <c r="G1514" s="11" t="inlineStr"/>
      <c r="H1514" s="11" t="inlineStr">
        <is>
          <t>unknown</t>
        </is>
      </c>
      <c r="I1514" s="2" t="inlineStr">
        <is>
          <t>(1998) 231 ITR 318; (1998) 97 TAXMAN 144</t>
        </is>
      </c>
      <c r="J1514" s="11" t="n">
        <v>1998</v>
      </c>
      <c r="K1514" s="2" t="inlineStr">
        <is>
          <t>Union of India and Others v. M/s. Shatabadi Trading and Investment Pvt. Ltd. and Others</t>
        </is>
      </c>
      <c r="L1514" s="11" t="inlineStr">
        <is>
          <t>Supreme Court</t>
        </is>
      </c>
      <c r="M1514" s="2" t="inlineStr">
        <is>
          <t>AIR 2001 SC 3211; (2001) 169 CTR 409; (2001) 251 ITR 93; (2001) 6 JT 488; (2001) 5 SCALE 149; (2001) 6 SCC 748; (2001) 118 TAXMAN 309; (2001) AIRSCW 2994; (2001) 5 Supreme 735</t>
        </is>
      </c>
      <c r="N1514" s="11" t="n">
        <v>2001</v>
      </c>
      <c r="O1514" s="11" t="n"/>
      <c r="P1514" s="11" t="n"/>
      <c r="Q1514" s="11" t="n"/>
      <c r="R1514" s="2" t="n"/>
      <c r="S1514" s="2" t="n"/>
      <c r="T1514" s="11" t="inlineStr"/>
      <c r="U1514" s="11" t="inlineStr">
        <is>
          <t>needs_citation_or_year</t>
        </is>
      </c>
      <c r="V1514" s="11" t="inlineStr">
        <is>
          <t>outside_list</t>
        </is>
      </c>
      <c r="W1514" s="11" t="n"/>
      <c r="X1514" s="11" t="n"/>
      <c r="Y1514" s="11" t="n"/>
      <c r="Z1514" s="11" t="inlineStr">
        <is>
          <t>Mr. Advocate</t>
        </is>
      </c>
      <c r="AA1514" s="11" t="inlineStr">
        <is>
          <t>2026-10-07</t>
        </is>
      </c>
      <c r="AB1514" s="11" t="inlineStr">
        <is>
          <t>none</t>
        </is>
      </c>
      <c r="AC1514" s="2" t="inlineStr"/>
      <c r="AD1514" s="2" t="inlineStr">
        <is>
          <t>1. Mrs. Kailash Suneja (C.W. NO. 5220 of 1993 AND C.M. No. 1988 of 1994) 2. Shatabdi Trading and Investments Pvt. Ltd. and others. (C.W. NO. 4153 of 1993 and C.M. No. 3199 of 1994) 3. Chauhan Builders and Constructions Pvt. Ltd. (C.W. NO. 4589 of 1994) 4. Shashi Sehgal (C.W. No. 3726 of 1994) 5. R. C. Chawla and Another (C.W. No. 3884 of 1994) v. Appropriate Authority and Others. DR. A. K. Garg and Another (C.W. No. 3139 of 1993) v. Kailash Nath and Associates and Others. Chiranji Estates Pvt. Ltd. (C.W. No. 5613 of 1993) v. Union of India and Others. Express Towers Pvt. Ltd. and Another (C.W. No. 4357 and C.M.S. Nos. 7857 of 1993, 2043 of 1994 and 1811 of 1995) v. Deputy Commissioner of Income Tax and Others. Mahesh Chandra Agarwal and Another (C.W. No. 3594 of 1990 and C.M. No. 6632 of 1993) v. Union of India and Others. (1998) was overruled by Union of India and Others v. M/s. Shatabadi Trading and Investment Pvt. Ltd. and Others (2001).</t>
        </is>
      </c>
      <c r="AE1514" s="2" t="n"/>
      <c r="AF1514" s="11" t="inlineStr">
        <is>
          <t>created from list 1</t>
        </is>
      </c>
    </row>
    <row r="1515">
      <c r="A1515" s="11" t="inlineStr">
        <is>
          <t>L1-1514</t>
        </is>
      </c>
      <c r="B1515" s="11" t="inlineStr">
        <is>
          <t>List 1 (to ~2015)</t>
        </is>
      </c>
      <c r="C1515" s="11" t="inlineStr">
        <is>
          <t>list1</t>
        </is>
      </c>
      <c r="D1515" s="11" t="inlineStr">
        <is>
          <t>verified</t>
        </is>
      </c>
      <c r="E1515" s="11" t="inlineStr">
        <is>
          <t>reversed_on_appeal</t>
        </is>
      </c>
      <c r="F1515" s="2" t="inlineStr">
        <is>
          <t>Keti Construction (I) Ltd. v. Gas Authority of India Ltd. and Others</t>
        </is>
      </c>
      <c r="G1515" s="11" t="inlineStr"/>
      <c r="H1515" s="11" t="inlineStr">
        <is>
          <t>unknown</t>
        </is>
      </c>
      <c r="I1515" s="2" t="inlineStr">
        <is>
          <t>(2005) 1 ARBLR 230</t>
        </is>
      </c>
      <c r="J1515" s="11" t="n">
        <v>2005</v>
      </c>
      <c r="K1515" s="2" t="inlineStr">
        <is>
          <t>Gas Authority of India Ltd. and Another v. Keti Construction (I) Ltd. and Others</t>
        </is>
      </c>
      <c r="L1515" s="11" t="inlineStr">
        <is>
          <t>Supreme Court</t>
        </is>
      </c>
      <c r="M1515" s="2" t="inlineStr">
        <is>
          <t>(2007) 2 ARBLR 323; (2007) 4 CTC 435; (2007) 6 JT 581; (2007) 7 SCALE 98; (2007) 5 SCC 38; (2007) 6 SCR 439</t>
        </is>
      </c>
      <c r="N1515" s="11" t="n">
        <v>2007</v>
      </c>
      <c r="O1515" s="11" t="n"/>
      <c r="P1515" s="11" t="n"/>
      <c r="Q1515" s="11" t="n"/>
      <c r="R1515" s="2" t="n"/>
      <c r="S1515" s="2" t="n"/>
      <c r="T1515" s="11" t="inlineStr">
        <is>
          <t>yes</t>
        </is>
      </c>
      <c r="U1515" s="11" t="inlineStr"/>
      <c r="V1515" s="11" t="inlineStr">
        <is>
          <t>outside_list</t>
        </is>
      </c>
      <c r="W1515" s="11" t="n"/>
      <c r="X1515" s="11" t="n"/>
      <c r="Y1515" s="11" t="n"/>
      <c r="Z1515" s="11" t="inlineStr">
        <is>
          <t>Mr. Advocate</t>
        </is>
      </c>
      <c r="AA1515" s="11" t="inlineStr">
        <is>
          <t>2026-10-07</t>
        </is>
      </c>
      <c r="AB1515" s="11" t="inlineStr">
        <is>
          <t>name_year</t>
        </is>
      </c>
      <c r="AC1515" s="2" t="inlineStr"/>
      <c r="AD1515" s="2" t="inlineStr">
        <is>
          <t>Keti Construction (I) Ltd. v. Gas Authority of India Ltd. and Others (2005) was reversed on appeal by the Supreme Court in Gas Authority of India Ltd. and Another v. Keti Construction (I) Ltd. and Others (2007).</t>
        </is>
      </c>
      <c r="AE1515" s="2" t="n"/>
      <c r="AF1515" s="11" t="inlineStr">
        <is>
          <t>created from list 1</t>
        </is>
      </c>
    </row>
    <row r="1516">
      <c r="A1516" s="11" t="inlineStr">
        <is>
          <t>L1-1515</t>
        </is>
      </c>
      <c r="B1516" s="11" t="inlineStr">
        <is>
          <t>List 1 (to ~2015)</t>
        </is>
      </c>
      <c r="C1516" s="11" t="inlineStr">
        <is>
          <t>list1</t>
        </is>
      </c>
      <c r="D1516" s="11" t="inlineStr">
        <is>
          <t>verified</t>
        </is>
      </c>
      <c r="E1516" s="11" t="inlineStr">
        <is>
          <t>reversed_on_appeal</t>
        </is>
      </c>
      <c r="F1516" s="2" t="inlineStr">
        <is>
          <t>Kingston Computers (I) P. Ltd. v. State Bank of Travancore</t>
        </is>
      </c>
      <c r="G1516" s="11" t="inlineStr"/>
      <c r="H1516" s="11" t="inlineStr">
        <is>
          <t>unknown</t>
        </is>
      </c>
      <c r="I1516" s="2" t="inlineStr">
        <is>
          <t>(2009) 2 ILR Delhi 437; (2009) 153 PLR 18</t>
        </is>
      </c>
      <c r="J1516" s="11" t="n">
        <v>2009</v>
      </c>
      <c r="K1516" s="2" t="inlineStr">
        <is>
          <t>State Bank of Travancore v. Kingston Computers (I) P. Ltd.</t>
        </is>
      </c>
      <c r="L1516" s="11" t="inlineStr">
        <is>
          <t>Supreme Court</t>
        </is>
      </c>
      <c r="M1516" s="2" t="inlineStr">
        <is>
          <t>(2011) 102 CLA 124; (2011) 163 CompCas 37; (2011) 2 CompLJ 473; (2011) 3 JT 66; (2011) 164 PLR 120; (2011) 2 RCR(Civil) 869; (2011) 3 SCALE 33; (2011) 11 SCC 524; (2011) 107 SCL 377</t>
        </is>
      </c>
      <c r="N1516" s="11" t="n">
        <v>2011</v>
      </c>
      <c r="O1516" s="11" t="n"/>
      <c r="P1516" s="11" t="n"/>
      <c r="Q1516" s="11" t="n"/>
      <c r="R1516" s="2" t="n"/>
      <c r="S1516" s="2" t="n"/>
      <c r="T1516" s="11" t="inlineStr">
        <is>
          <t>yes</t>
        </is>
      </c>
      <c r="U1516" s="11" t="inlineStr"/>
      <c r="V1516" s="11" t="inlineStr">
        <is>
          <t>outside_list</t>
        </is>
      </c>
      <c r="W1516" s="11" t="n"/>
      <c r="X1516" s="11" t="n"/>
      <c r="Y1516" s="11" t="n"/>
      <c r="Z1516" s="11" t="inlineStr">
        <is>
          <t>Mr. Advocate</t>
        </is>
      </c>
      <c r="AA1516" s="11" t="inlineStr">
        <is>
          <t>2026-10-07</t>
        </is>
      </c>
      <c r="AB1516" s="11" t="inlineStr">
        <is>
          <t>name_year</t>
        </is>
      </c>
      <c r="AC1516" s="2" t="inlineStr"/>
      <c r="AD1516" s="2" t="inlineStr">
        <is>
          <t>Kingston Computers (I) P. Ltd. v. State Bank of Travancore (2009) was reversed on appeal by the Supreme Court in State Bank of Travancore v. Kingston Computers (I) P. Ltd. (2011).</t>
        </is>
      </c>
      <c r="AE1516" s="2" t="n"/>
      <c r="AF1516" s="11" t="inlineStr">
        <is>
          <t>created from list 1</t>
        </is>
      </c>
    </row>
    <row r="1517">
      <c r="A1517" s="11" t="inlineStr">
        <is>
          <t>L1-1516</t>
        </is>
      </c>
      <c r="B1517" s="11" t="inlineStr">
        <is>
          <t>List 1 (to ~2015)</t>
        </is>
      </c>
      <c r="C1517" s="11" t="inlineStr">
        <is>
          <t>list1</t>
        </is>
      </c>
      <c r="D1517" s="11" t="inlineStr">
        <is>
          <t>verified</t>
        </is>
      </c>
      <c r="E1517" s="11" t="inlineStr">
        <is>
          <t>reversed_on_appeal</t>
        </is>
      </c>
      <c r="F1517" s="2" t="inlineStr">
        <is>
          <t>Kajaria Ceramics Limited v. Trade Tax Tribunal and Others</t>
        </is>
      </c>
      <c r="G1517" s="11" t="inlineStr"/>
      <c r="H1517" s="11" t="inlineStr">
        <is>
          <t>unknown</t>
        </is>
      </c>
      <c r="I1517" s="2" t="inlineStr">
        <is>
          <t>(2000) 119 STC 117</t>
        </is>
      </c>
      <c r="J1517" s="11" t="n">
        <v>2000</v>
      </c>
      <c r="K1517" s="2" t="inlineStr">
        <is>
          <t>Commissioner of Trade Tax, U.P. and Another v. Kajaria Ceramics Ltd.</t>
        </is>
      </c>
      <c r="L1517" s="11" t="inlineStr">
        <is>
          <t>Supreme Court</t>
        </is>
      </c>
      <c r="M1517" s="2" t="inlineStr">
        <is>
          <t>AIR 2005 SC 2968; (2005) 191 ELT 20; (2005) 6 JT 28; (2005) 11 SCC 149; (2005) 1 SCR 437 Supp; (2005) 141 STC 406; (2005) AIRSCW 3450; (2005) 4 Supreme 699</t>
        </is>
      </c>
      <c r="N1517" s="11" t="n">
        <v>2005</v>
      </c>
      <c r="O1517" s="11" t="n"/>
      <c r="P1517" s="11" t="n"/>
      <c r="Q1517" s="11" t="n"/>
      <c r="R1517" s="2" t="n"/>
      <c r="S1517" s="2" t="n"/>
      <c r="T1517" s="11" t="inlineStr">
        <is>
          <t>yes</t>
        </is>
      </c>
      <c r="U1517" s="11" t="inlineStr"/>
      <c r="V1517" s="11" t="inlineStr">
        <is>
          <t>outside_list</t>
        </is>
      </c>
      <c r="W1517" s="11" t="n"/>
      <c r="X1517" s="11" t="n"/>
      <c r="Y1517" s="11" t="n"/>
      <c r="Z1517" s="11" t="inlineStr">
        <is>
          <t>Mr. Advocate</t>
        </is>
      </c>
      <c r="AA1517" s="11" t="inlineStr">
        <is>
          <t>2026-10-07</t>
        </is>
      </c>
      <c r="AB1517" s="11" t="inlineStr">
        <is>
          <t>name_year</t>
        </is>
      </c>
      <c r="AC1517" s="2" t="inlineStr"/>
      <c r="AD1517" s="2" t="inlineStr">
        <is>
          <t>Kajaria Ceramics Limited v. Trade Tax Tribunal and Others (2000) was reversed on appeal by the Supreme Court in Commissioner of Trade Tax, U.P. and Another v. Kajaria Ceramics Ltd. (2005).</t>
        </is>
      </c>
      <c r="AE1517" s="2" t="n"/>
      <c r="AF1517" s="11" t="inlineStr">
        <is>
          <t>created from list 1</t>
        </is>
      </c>
    </row>
    <row r="1518">
      <c r="A1518" s="11" t="inlineStr">
        <is>
          <t>L1-1517</t>
        </is>
      </c>
      <c r="B1518" s="11" t="inlineStr">
        <is>
          <t>List 1 (to ~2015)</t>
        </is>
      </c>
      <c r="C1518" s="11" t="inlineStr">
        <is>
          <t>list1</t>
        </is>
      </c>
      <c r="D1518" s="11" t="inlineStr">
        <is>
          <t>verified</t>
        </is>
      </c>
      <c r="E1518" s="11" t="inlineStr">
        <is>
          <t>reversed_on_appeal</t>
        </is>
      </c>
      <c r="F1518" s="2" t="inlineStr">
        <is>
          <t>Bhakra Beas Management Board v. Employees State Insurance Corporation and Another</t>
        </is>
      </c>
      <c r="G1518" s="11" t="inlineStr"/>
      <c r="H1518" s="11" t="inlineStr">
        <is>
          <t>unknown</t>
        </is>
      </c>
      <c r="I1518" s="2" t="inlineStr">
        <is>
          <t>(2003) 66 DRJ 286; (2003) 97 FLR 376; (2003) 2 LLJ 637</t>
        </is>
      </c>
      <c r="J1518" s="11" t="n">
        <v>2003</v>
      </c>
      <c r="K1518" s="2" t="inlineStr">
        <is>
          <t>Employees State Insurance Corporation v. Bhakra Beas Management Board and Another</t>
        </is>
      </c>
      <c r="L1518" s="11" t="inlineStr">
        <is>
          <t>Supreme Court</t>
        </is>
      </c>
      <c r="M1518" s="2" t="inlineStr">
        <is>
          <t>(2009) 123 FLR 318; (2009) 12 JT 441; (2009) 13 SCALE 8; (2009) 10 SCC 671; (2010) 1 SCC(L&amp;S) 97; (2009) 14 SCR 656; (2009) 7 SLR 204</t>
        </is>
      </c>
      <c r="N1518" s="11" t="n">
        <v>2009</v>
      </c>
      <c r="O1518" s="11" t="n"/>
      <c r="P1518" s="11" t="n"/>
      <c r="Q1518" s="11" t="n"/>
      <c r="R1518" s="2" t="n"/>
      <c r="S1518" s="2" t="n"/>
      <c r="T1518" s="11" t="inlineStr">
        <is>
          <t>yes</t>
        </is>
      </c>
      <c r="U1518" s="11" t="inlineStr"/>
      <c r="V1518" s="11" t="inlineStr">
        <is>
          <t>outside_list</t>
        </is>
      </c>
      <c r="W1518" s="11" t="n"/>
      <c r="X1518" s="11" t="n"/>
      <c r="Y1518" s="11" t="n"/>
      <c r="Z1518" s="11" t="inlineStr">
        <is>
          <t>Mr. Advocate</t>
        </is>
      </c>
      <c r="AA1518" s="11" t="inlineStr">
        <is>
          <t>2026-10-07</t>
        </is>
      </c>
      <c r="AB1518" s="11" t="inlineStr">
        <is>
          <t>name_year</t>
        </is>
      </c>
      <c r="AC1518" s="2" t="inlineStr"/>
      <c r="AD1518" s="2" t="inlineStr">
        <is>
          <t>Bhakra Beas Management Board v. Employees State Insurance Corporation and Another (2003) was reversed on appeal by the Supreme Court in Employees State Insurance Corporation v. Bhakra Beas Management Board and Another (2009).</t>
        </is>
      </c>
      <c r="AE1518" s="2" t="n"/>
      <c r="AF1518" s="11" t="inlineStr">
        <is>
          <t>created from list 1</t>
        </is>
      </c>
    </row>
    <row r="1519">
      <c r="A1519" s="11" t="inlineStr">
        <is>
          <t>L1-1518</t>
        </is>
      </c>
      <c r="B1519" s="11" t="inlineStr">
        <is>
          <t>List 1 (to ~2015)</t>
        </is>
      </c>
      <c r="C1519" s="11" t="inlineStr">
        <is>
          <t>list1</t>
        </is>
      </c>
      <c r="D1519" s="11" t="inlineStr">
        <is>
          <t>verified</t>
        </is>
      </c>
      <c r="E1519" s="11" t="inlineStr">
        <is>
          <t>reversed_on_appeal</t>
        </is>
      </c>
      <c r="F1519" s="2" t="inlineStr">
        <is>
          <t>Shri Vijay Kumar Khambate v. Shri Vinay Kumar Aggarwal</t>
        </is>
      </c>
      <c r="G1519" s="11" t="inlineStr"/>
      <c r="H1519" s="11" t="inlineStr">
        <is>
          <t>unknown</t>
        </is>
      </c>
      <c r="I1519" s="2" t="inlineStr">
        <is>
          <t>(2006) 130 DLT 474; (2006) 90 DRJ 565</t>
        </is>
      </c>
      <c r="J1519" s="11" t="n">
        <v>2006</v>
      </c>
      <c r="K1519" s="2" t="inlineStr">
        <is>
          <t>Vinay Kr. Khambate v. Vinay Kr. Aggarwal and Others</t>
        </is>
      </c>
      <c r="L1519" s="11" t="inlineStr">
        <is>
          <t>Supreme Court</t>
        </is>
      </c>
      <c r="M1519" s="2" t="inlineStr">
        <is>
          <t>AIR 2007 SC 2436; (2007) 4 JT 268; (2007) 3 SCALE 443; (2007) 12 SCC 24; (2006) 12 SCC 24; (2007) 3 SCR 1077</t>
        </is>
      </c>
      <c r="N1519" s="11" t="n">
        <v>2007</v>
      </c>
      <c r="O1519" s="11" t="n"/>
      <c r="P1519" s="11" t="n"/>
      <c r="Q1519" s="11" t="n"/>
      <c r="R1519" s="2" t="n"/>
      <c r="S1519" s="2" t="n"/>
      <c r="T1519" s="11" t="inlineStr">
        <is>
          <t>yes</t>
        </is>
      </c>
      <c r="U1519" s="11" t="inlineStr"/>
      <c r="V1519" s="11" t="inlineStr">
        <is>
          <t>outside_list</t>
        </is>
      </c>
      <c r="W1519" s="11" t="n"/>
      <c r="X1519" s="11" t="n"/>
      <c r="Y1519" s="11" t="n"/>
      <c r="Z1519" s="11" t="inlineStr">
        <is>
          <t>Mr. Advocate</t>
        </is>
      </c>
      <c r="AA1519" s="11" t="inlineStr">
        <is>
          <t>2026-10-07</t>
        </is>
      </c>
      <c r="AB1519" s="11" t="inlineStr">
        <is>
          <t>name_year</t>
        </is>
      </c>
      <c r="AC1519" s="2" t="inlineStr"/>
      <c r="AD1519" s="2" t="inlineStr">
        <is>
          <t>Shri Vijay Kumar Khambate v. Shri Vinay Kumar Aggarwal (2006) was reversed on appeal by the Supreme Court in Vinay Kr. Khambate v. Vinay Kr. Aggarwal and Others (2007).</t>
        </is>
      </c>
      <c r="AE1519" s="2" t="n"/>
      <c r="AF1519" s="11" t="inlineStr">
        <is>
          <t>created from list 1</t>
        </is>
      </c>
    </row>
    <row r="1520">
      <c r="A1520" s="11" t="inlineStr">
        <is>
          <t>L1-1519</t>
        </is>
      </c>
      <c r="B1520" s="11" t="inlineStr">
        <is>
          <t>List 1 (to ~2015)</t>
        </is>
      </c>
      <c r="C1520" s="11" t="inlineStr">
        <is>
          <t>list1</t>
        </is>
      </c>
      <c r="D1520" s="11" t="inlineStr">
        <is>
          <t>verified</t>
        </is>
      </c>
      <c r="E1520" s="11" t="inlineStr">
        <is>
          <t>reversed_on_appeal</t>
        </is>
      </c>
      <c r="F1520" s="2" t="inlineStr">
        <is>
          <t>Indian Oil Corporation Limited v. SPS Engineering Limited</t>
        </is>
      </c>
      <c r="G1520" s="11" t="inlineStr"/>
      <c r="H1520" s="11" t="inlineStr">
        <is>
          <t>unknown</t>
        </is>
      </c>
      <c r="I1520" s="2" t="inlineStr"/>
      <c r="J1520" s="11" t="n"/>
      <c r="K1520" s="2" t="inlineStr">
        <is>
          <t>Indian Oil Corporation Ltd. v. SPS Engineering Ltd.</t>
        </is>
      </c>
      <c r="L1520" s="11" t="inlineStr">
        <is>
          <t>Supreme Court</t>
        </is>
      </c>
      <c r="M1520" s="2" t="inlineStr">
        <is>
          <t>AIR 2011 SC 987; (2011) 1 ARBLR 373; (2011) 112 CLT 67; (2011) 2 CompLJ 19; (2011) 2 CTC 317; (2011) 3 RCR(Civil) 335; (2011) 2 SCALE 291; (2011) 3 SCC 507; (2011) 2 SCR 512; (2011) AIRSCW 3715; (2011) AIRSCW 4087; (2011) 5 Supreme 763</t>
        </is>
      </c>
      <c r="N1520" s="11" t="n">
        <v>2011</v>
      </c>
      <c r="O1520" s="11" t="n"/>
      <c r="P1520" s="11" t="n"/>
      <c r="Q1520" s="11" t="n"/>
      <c r="R1520" s="2" t="n"/>
      <c r="S1520" s="2" t="n"/>
      <c r="T1520" s="11" t="inlineStr">
        <is>
          <t>yes</t>
        </is>
      </c>
      <c r="U1520" s="11" t="inlineStr">
        <is>
          <t>no_citation_or_year_for_overruled, needs_citation_or_year</t>
        </is>
      </c>
      <c r="V1520" s="11" t="inlineStr">
        <is>
          <t>outside_list</t>
        </is>
      </c>
      <c r="W1520" s="11" t="n"/>
      <c r="X1520" s="11" t="n"/>
      <c r="Y1520" s="11" t="n"/>
      <c r="Z1520" s="11" t="inlineStr">
        <is>
          <t>Mr. Advocate</t>
        </is>
      </c>
      <c r="AA1520" s="11" t="inlineStr">
        <is>
          <t>2026-10-07</t>
        </is>
      </c>
      <c r="AB1520" s="11" t="inlineStr">
        <is>
          <t>weak</t>
        </is>
      </c>
      <c r="AC1520" s="2" t="inlineStr"/>
      <c r="AD1520" s="2" t="inlineStr">
        <is>
          <t>Indian Oil Corporation Limited v. SPS Engineering Limited was reversed on appeal by the Supreme Court in Indian Oil Corporation Ltd. v. SPS Engineering Ltd. (2011).</t>
        </is>
      </c>
      <c r="AE1520" s="2" t="n"/>
      <c r="AF1520" s="11" t="inlineStr">
        <is>
          <t>created from list 1</t>
        </is>
      </c>
    </row>
    <row r="1521">
      <c r="A1521" s="11" t="inlineStr">
        <is>
          <t>L1-1520</t>
        </is>
      </c>
      <c r="B1521" s="11" t="inlineStr">
        <is>
          <t>List 1 (to ~2015)</t>
        </is>
      </c>
      <c r="C1521" s="11" t="inlineStr">
        <is>
          <t>list1</t>
        </is>
      </c>
      <c r="D1521" s="11" t="inlineStr">
        <is>
          <t>verified</t>
        </is>
      </c>
      <c r="E1521" s="11" t="inlineStr">
        <is>
          <t>overruled</t>
        </is>
      </c>
      <c r="F1521" s="2" t="inlineStr">
        <is>
          <t>Sahara India Financial Corporation Ltd. v. Commissioner of Income Tax and Assistant Commissioner of Income Tax</t>
        </is>
      </c>
      <c r="G1521" s="11" t="inlineStr"/>
      <c r="H1521" s="11" t="inlineStr">
        <is>
          <t>unknown</t>
        </is>
      </c>
      <c r="I1521" s="2" t="inlineStr">
        <is>
          <t>(2006) 206 CTR 474; (2006) 92 DRJ 283; (2007) 289 ITR 397; (2006) 157 TAXMAN 279</t>
        </is>
      </c>
      <c r="J1521" s="11" t="n">
        <v>2006</v>
      </c>
      <c r="K1521" s="2" t="inlineStr">
        <is>
          <t>Sahara India (Firm), Lucknow v. Commissioner of Income Tax, Central-I and Another</t>
        </is>
      </c>
      <c r="L1521" s="11" t="inlineStr">
        <is>
          <t>Supreme Court</t>
        </is>
      </c>
      <c r="M1521" s="2" t="inlineStr">
        <is>
          <t>(2008) 216 CTR 303; (2008) 226 ELT 22; (2008) 300 ITR 403; (2008) 6 JT 83; (2008) 6 SCALE 733; (2008) 14 SCC 151; (2008) 169 TAXMAN 328</t>
        </is>
      </c>
      <c r="N1521" s="11" t="n">
        <v>2008</v>
      </c>
      <c r="O1521" s="11" t="n"/>
      <c r="P1521" s="11" t="n"/>
      <c r="Q1521" s="11" t="n"/>
      <c r="R1521" s="2" t="n"/>
      <c r="S1521" s="2" t="n"/>
      <c r="T1521" s="11" t="inlineStr"/>
      <c r="U1521" s="11" t="inlineStr"/>
      <c r="V1521" s="11" t="inlineStr">
        <is>
          <t>outside_list</t>
        </is>
      </c>
      <c r="W1521" s="11" t="n"/>
      <c r="X1521" s="11" t="n"/>
      <c r="Y1521" s="11" t="n"/>
      <c r="Z1521" s="11" t="inlineStr">
        <is>
          <t>Mr. Advocate</t>
        </is>
      </c>
      <c r="AA1521" s="11" t="inlineStr">
        <is>
          <t>2026-10-07</t>
        </is>
      </c>
      <c r="AB1521" s="11" t="inlineStr">
        <is>
          <t>name_year</t>
        </is>
      </c>
      <c r="AC1521" s="2" t="inlineStr"/>
      <c r="AD1521" s="2" t="inlineStr">
        <is>
          <t>Sahara India Financial Corporation Ltd. v. Commissioner of Income Tax and Assistant Commissioner of Income Tax (2006) was overruled by Sahara India (Firm), Lucknow v. Commissioner of Income Tax, Central-I and Another (2008).</t>
        </is>
      </c>
      <c r="AE1521" s="2" t="n"/>
      <c r="AF1521" s="11" t="inlineStr">
        <is>
          <t>created from list 1</t>
        </is>
      </c>
    </row>
    <row r="1522">
      <c r="A1522" s="11" t="inlineStr">
        <is>
          <t>L1-1521</t>
        </is>
      </c>
      <c r="B1522" s="11" t="inlineStr">
        <is>
          <t>List 1 (to ~2015)</t>
        </is>
      </c>
      <c r="C1522" s="11" t="inlineStr">
        <is>
          <t>list1</t>
        </is>
      </c>
      <c r="D1522" s="11" t="inlineStr">
        <is>
          <t>verified</t>
        </is>
      </c>
      <c r="E1522" s="11" t="inlineStr">
        <is>
          <t>reversed_on_appeal</t>
        </is>
      </c>
      <c r="F1522" s="2" t="inlineStr">
        <is>
          <t>Suresh Kumar Singh v. State of U.P.</t>
        </is>
      </c>
      <c r="G1522" s="11" t="inlineStr"/>
      <c r="H1522" s="11" t="inlineStr">
        <is>
          <t>unknown</t>
        </is>
      </c>
      <c r="I1522" s="2" t="inlineStr">
        <is>
          <t>(2008) CriLJ 2547</t>
        </is>
      </c>
      <c r="J1522" s="11" t="n">
        <v>2008</v>
      </c>
      <c r="K1522" s="2" t="inlineStr">
        <is>
          <t>Suresh Kumar Singh v. State of U.P.</t>
        </is>
      </c>
      <c r="L1522" s="11" t="inlineStr">
        <is>
          <t>unknown</t>
        </is>
      </c>
      <c r="M1522" s="2" t="inlineStr">
        <is>
          <t>(2009) CLT 1320; (2009) 13 JT 53; (2009) 7 SCALE 629; (2009) 17 SCC 243; (2011) 1 SCC(Cri) 989; (2009) 8 SCR 1068; (2009) AIRSCW 4014; (2009) 4 Supreme 529</t>
        </is>
      </c>
      <c r="N1522" s="11" t="n">
        <v>2009</v>
      </c>
      <c r="O1522" s="11" t="n"/>
      <c r="P1522" s="11" t="n"/>
      <c r="Q1522" s="11" t="n"/>
      <c r="R1522" s="2" t="n"/>
      <c r="S1522" s="2" t="n"/>
      <c r="T1522" s="11" t="inlineStr">
        <is>
          <t>yes</t>
        </is>
      </c>
      <c r="U1522" s="11" t="inlineStr"/>
      <c r="V1522" s="11" t="inlineStr">
        <is>
          <t>outside_list</t>
        </is>
      </c>
      <c r="W1522" s="11" t="n"/>
      <c r="X1522" s="11" t="n"/>
      <c r="Y1522" s="11" t="n"/>
      <c r="Z1522" s="11" t="inlineStr">
        <is>
          <t>Mr. Advocate</t>
        </is>
      </c>
      <c r="AA1522" s="11" t="inlineStr">
        <is>
          <t>2026-10-07</t>
        </is>
      </c>
      <c r="AB1522" s="11" t="inlineStr">
        <is>
          <t>name_year</t>
        </is>
      </c>
      <c r="AC1522" s="2" t="inlineStr"/>
      <c r="AD1522" s="2" t="inlineStr">
        <is>
          <t>Suresh Kumar Singh v. State of U.P. (2008) was reversed on appeal by the Supreme Court in Suresh Kumar Singh v. State of U.P. (2009).</t>
        </is>
      </c>
      <c r="AE1522" s="2" t="n"/>
      <c r="AF1522" s="11" t="inlineStr">
        <is>
          <t>created from list 1</t>
        </is>
      </c>
    </row>
    <row r="1523">
      <c r="A1523" s="11" t="inlineStr">
        <is>
          <t>L1-1522</t>
        </is>
      </c>
      <c r="B1523" s="11" t="inlineStr">
        <is>
          <t>List 1 (to ~2015)</t>
        </is>
      </c>
      <c r="C1523" s="11" t="inlineStr">
        <is>
          <t>list1</t>
        </is>
      </c>
      <c r="D1523" s="11" t="inlineStr">
        <is>
          <t>verified</t>
        </is>
      </c>
      <c r="E1523" s="11" t="inlineStr">
        <is>
          <t>reversed_on_appeal</t>
        </is>
      </c>
      <c r="F1523" s="2" t="inlineStr">
        <is>
          <t>State v. Sayed Mohd. Ahmad Kazmi</t>
        </is>
      </c>
      <c r="G1523" s="11" t="inlineStr"/>
      <c r="H1523" s="11" t="inlineStr">
        <is>
          <t>unknown</t>
        </is>
      </c>
      <c r="I1523" s="2" t="inlineStr"/>
      <c r="J1523" s="11" t="n"/>
      <c r="K1523" s="2" t="inlineStr">
        <is>
          <t>Sayed Mohd. Ahmed Kazmi v. State, GNCTD and Others</t>
        </is>
      </c>
      <c r="L1523" s="11" t="inlineStr">
        <is>
          <t>Supreme Court</t>
        </is>
      </c>
      <c r="M1523" s="2" t="inlineStr">
        <is>
          <t>AIR 2013 SC 152; AIR 2012 SC 660; (2013) CriLJ 200; (2012) 10 JT 609; (2012) 4 RCR(Criminal) 875; (2012) 10 SCALE 487; (2012) AIRSCW 766</t>
        </is>
      </c>
      <c r="N1523" s="11" t="n">
        <v>2013</v>
      </c>
      <c r="O1523" s="11" t="n"/>
      <c r="P1523" s="11" t="n"/>
      <c r="Q1523" s="11" t="n"/>
      <c r="R1523" s="2" t="n"/>
      <c r="S1523" s="2" t="n"/>
      <c r="T1523" s="11" t="inlineStr">
        <is>
          <t>yes</t>
        </is>
      </c>
      <c r="U1523" s="11" t="inlineStr">
        <is>
          <t>no_citation_or_year_for_overruled, needs_citation_or_year</t>
        </is>
      </c>
      <c r="V1523" s="11" t="inlineStr">
        <is>
          <t>outside_list</t>
        </is>
      </c>
      <c r="W1523" s="11" t="n"/>
      <c r="X1523" s="11" t="n"/>
      <c r="Y1523" s="11" t="n"/>
      <c r="Z1523" s="11" t="inlineStr">
        <is>
          <t>Mr. Advocate</t>
        </is>
      </c>
      <c r="AA1523" s="11" t="inlineStr">
        <is>
          <t>2026-10-07</t>
        </is>
      </c>
      <c r="AB1523" s="11" t="inlineStr">
        <is>
          <t>weak</t>
        </is>
      </c>
      <c r="AC1523" s="2" t="inlineStr"/>
      <c r="AD1523" s="2" t="inlineStr">
        <is>
          <t>State v. Sayed Mohd. Ahmad Kazmi was reversed on appeal by the Supreme Court in Sayed Mohd. Ahmed Kazmi v. State, GNCTD and Others (2013).</t>
        </is>
      </c>
      <c r="AE1523" s="2" t="n"/>
      <c r="AF1523" s="11" t="inlineStr">
        <is>
          <t>created from list 1</t>
        </is>
      </c>
    </row>
    <row r="1524">
      <c r="A1524" s="11" t="inlineStr">
        <is>
          <t>L1-1523</t>
        </is>
      </c>
      <c r="B1524" s="11" t="inlineStr">
        <is>
          <t>List 1 (to ~2015)</t>
        </is>
      </c>
      <c r="C1524" s="11" t="inlineStr">
        <is>
          <t>list1</t>
        </is>
      </c>
      <c r="D1524" s="11" t="inlineStr">
        <is>
          <t>verified</t>
        </is>
      </c>
      <c r="E1524" s="11" t="inlineStr">
        <is>
          <t>reversed_on_appeal</t>
        </is>
      </c>
      <c r="F1524" s="2" t="inlineStr">
        <is>
          <t>Kailash Nath Gupta v. Enquiry Officer, Allahabad Bank and Others</t>
        </is>
      </c>
      <c r="G1524" s="11" t="inlineStr"/>
      <c r="H1524" s="11" t="inlineStr">
        <is>
          <t>unknown</t>
        </is>
      </c>
      <c r="I1524" s="2" t="inlineStr">
        <is>
          <t>(1996) 74 FLR 2354; (1997) 2 LLJ 453</t>
        </is>
      </c>
      <c r="J1524" s="11" t="n">
        <v>1996</v>
      </c>
      <c r="K1524" s="2" t="inlineStr">
        <is>
          <t>Kailash Nath Gupta v. Enquiry Officer, (R.K. Rai), Allahabad Bank and Others</t>
        </is>
      </c>
      <c r="L1524" s="11" t="inlineStr">
        <is>
          <t>Supreme Court</t>
        </is>
      </c>
      <c r="M1524" s="2" t="inlineStr">
        <is>
          <t>AIR 2003 SC 1377; (2003) 97 FLR 556; (2003) 3 JT 322; (2003) 2 LLJ 367; (2003) 3 SCALE 428; (2003) 9 SCC 480; (2003) SCC(L&amp;S) 1137; (2003) AIRSCW 1813; (2003) 3 Supreme 318</t>
        </is>
      </c>
      <c r="N1524" s="11" t="n">
        <v>2003</v>
      </c>
      <c r="O1524" s="11" t="n"/>
      <c r="P1524" s="11" t="n"/>
      <c r="Q1524" s="11" t="n"/>
      <c r="R1524" s="2" t="n"/>
      <c r="S1524" s="2" t="n"/>
      <c r="T1524" s="11" t="inlineStr">
        <is>
          <t>yes</t>
        </is>
      </c>
      <c r="U1524" s="11" t="inlineStr"/>
      <c r="V1524" s="11" t="inlineStr">
        <is>
          <t>outside_list</t>
        </is>
      </c>
      <c r="W1524" s="11" t="n"/>
      <c r="X1524" s="11" t="n"/>
      <c r="Y1524" s="11" t="n"/>
      <c r="Z1524" s="11" t="inlineStr">
        <is>
          <t>Mr. Advocate</t>
        </is>
      </c>
      <c r="AA1524" s="11" t="inlineStr">
        <is>
          <t>2026-10-07</t>
        </is>
      </c>
      <c r="AB1524" s="11" t="inlineStr">
        <is>
          <t>name_year</t>
        </is>
      </c>
      <c r="AC1524" s="2" t="inlineStr"/>
      <c r="AD1524" s="2" t="inlineStr">
        <is>
          <t>Kailash Nath Gupta v. Enquiry Officer, Allahabad Bank and Others (1996) was reversed on appeal by the Supreme Court in Kailash Nath Gupta v. Enquiry Officer, (R.K. Rai), Allahabad Bank and Others (2003).</t>
        </is>
      </c>
      <c r="AE1524" s="2" t="n"/>
      <c r="AF1524" s="11" t="inlineStr">
        <is>
          <t>created from list 1</t>
        </is>
      </c>
    </row>
    <row r="1525">
      <c r="A1525" s="11" t="inlineStr">
        <is>
          <t>L1-1524</t>
        </is>
      </c>
      <c r="B1525" s="11" t="inlineStr">
        <is>
          <t>List 1 (to ~2015)</t>
        </is>
      </c>
      <c r="C1525" s="11" t="inlineStr">
        <is>
          <t>list1</t>
        </is>
      </c>
      <c r="D1525" s="11" t="inlineStr">
        <is>
          <t>verified</t>
        </is>
      </c>
      <c r="E1525" s="11" t="inlineStr">
        <is>
          <t>reversed_on_appeal</t>
        </is>
      </c>
      <c r="F1525" s="2" t="inlineStr">
        <is>
          <t>Bakeman’s Industries P. Limited v. New Cawnpore Floor Mills and Others</t>
        </is>
      </c>
      <c r="G1525" s="11" t="inlineStr"/>
      <c r="H1525" s="11" t="inlineStr">
        <is>
          <t>unknown</t>
        </is>
      </c>
      <c r="I1525" s="2" t="inlineStr">
        <is>
          <t>(2008) 3 CompLJ 38</t>
        </is>
      </c>
      <c r="J1525" s="11" t="n">
        <v>2008</v>
      </c>
      <c r="K1525" s="2" t="inlineStr">
        <is>
          <t>Bakemans Industries Pvt. Ltd. v. New Cawnpore Flour Mills and Others</t>
        </is>
      </c>
      <c r="L1525" s="11" t="inlineStr">
        <is>
          <t>Supreme Court</t>
        </is>
      </c>
      <c r="M1525" s="2" t="inlineStr">
        <is>
          <t>AIR 2008 SC 2699; (2008) 144 CompCas 71; (2008) 3 CompLJ 1; (2008) 151 PLR 670; (2008) 9 SCALE 566; (2008) 15 SCC 1; (2008) 84 SCL 489; (2008) AIRSCW 4507; (2008) 4 Supreme 581</t>
        </is>
      </c>
      <c r="N1525" s="11" t="n">
        <v>2008</v>
      </c>
      <c r="O1525" s="11" t="n"/>
      <c r="P1525" s="11" t="n"/>
      <c r="Q1525" s="11" t="n"/>
      <c r="R1525" s="2" t="n"/>
      <c r="S1525" s="2" t="n"/>
      <c r="T1525" s="11" t="inlineStr">
        <is>
          <t>yes</t>
        </is>
      </c>
      <c r="U1525" s="11" t="inlineStr"/>
      <c r="V1525" s="11" t="inlineStr">
        <is>
          <t>outside_list</t>
        </is>
      </c>
      <c r="W1525" s="11" t="n"/>
      <c r="X1525" s="11" t="n"/>
      <c r="Y1525" s="11" t="n"/>
      <c r="Z1525" s="11" t="inlineStr">
        <is>
          <t>Mr. Advocate</t>
        </is>
      </c>
      <c r="AA1525" s="11" t="inlineStr">
        <is>
          <t>2026-10-07</t>
        </is>
      </c>
      <c r="AB1525" s="11" t="inlineStr">
        <is>
          <t>name_year</t>
        </is>
      </c>
      <c r="AC1525" s="2" t="inlineStr"/>
      <c r="AD1525" s="2" t="inlineStr">
        <is>
          <t>Bakeman’s Industries P. Limited v. New Cawnpore Floor Mills and Others (2008) was reversed on appeal by the Supreme Court in Bakemans Industries Pvt. Ltd. v. New Cawnpore Flour Mills and Others (2008).</t>
        </is>
      </c>
      <c r="AE1525" s="2" t="n"/>
      <c r="AF1525" s="11" t="inlineStr">
        <is>
          <t>created from list 1</t>
        </is>
      </c>
    </row>
    <row r="1526">
      <c r="A1526" s="11" t="inlineStr">
        <is>
          <t>L1-1525</t>
        </is>
      </c>
      <c r="B1526" s="11" t="inlineStr">
        <is>
          <t>List 1 (to ~2015)</t>
        </is>
      </c>
      <c r="C1526" s="11" t="inlineStr">
        <is>
          <t>list1</t>
        </is>
      </c>
      <c r="D1526" s="11" t="inlineStr">
        <is>
          <t>verified</t>
        </is>
      </c>
      <c r="E1526" s="11" t="inlineStr">
        <is>
          <t>reversed_on_appeal</t>
        </is>
      </c>
      <c r="F1526" s="2" t="inlineStr">
        <is>
          <t>Manohar Singh v. Shri D.S. Sharma and Others</t>
        </is>
      </c>
      <c r="G1526" s="11" t="inlineStr"/>
      <c r="H1526" s="11" t="inlineStr">
        <is>
          <t>unknown</t>
        </is>
      </c>
      <c r="I1526" s="2" t="inlineStr">
        <is>
          <t>(2007) 142 DLT 539</t>
        </is>
      </c>
      <c r="J1526" s="11" t="n">
        <v>2007</v>
      </c>
      <c r="K1526" s="2" t="inlineStr">
        <is>
          <t>Manohar Singh v. D.S. Sharma and Another</t>
        </is>
      </c>
      <c r="L1526" s="11" t="inlineStr">
        <is>
          <t>Supreme Court</t>
        </is>
      </c>
      <c r="M1526" s="2" t="inlineStr">
        <is>
          <t>AIR 2010 SC 508; (2009) 5 CTC 569; (2009) 14 JT 191; (2010) 159 PLR 165; (2009) 13 SCALE 676; (2010) 1 SCC 53; (2009) 15 SCR 906</t>
        </is>
      </c>
      <c r="N1526" s="11" t="n">
        <v>2010</v>
      </c>
      <c r="O1526" s="11" t="n"/>
      <c r="P1526" s="11" t="n"/>
      <c r="Q1526" s="11" t="n"/>
      <c r="R1526" s="2" t="n"/>
      <c r="S1526" s="2" t="n"/>
      <c r="T1526" s="11" t="inlineStr">
        <is>
          <t>yes</t>
        </is>
      </c>
      <c r="U1526" s="11" t="inlineStr"/>
      <c r="V1526" s="11" t="inlineStr">
        <is>
          <t>outside_list</t>
        </is>
      </c>
      <c r="W1526" s="11" t="n"/>
      <c r="X1526" s="11" t="n"/>
      <c r="Y1526" s="11" t="n"/>
      <c r="Z1526" s="11" t="inlineStr">
        <is>
          <t>Mr. Advocate</t>
        </is>
      </c>
      <c r="AA1526" s="11" t="inlineStr">
        <is>
          <t>2026-10-07</t>
        </is>
      </c>
      <c r="AB1526" s="11" t="inlineStr">
        <is>
          <t>name_year</t>
        </is>
      </c>
      <c r="AC1526" s="2" t="inlineStr"/>
      <c r="AD1526" s="2" t="inlineStr">
        <is>
          <t>Manohar Singh v. Shri D.S. Sharma and Others (2007) was reversed on appeal by the Supreme Court in Manohar Singh v. D.S. Sharma and Another (2010).</t>
        </is>
      </c>
      <c r="AE1526" s="2" t="n"/>
      <c r="AF1526" s="11" t="inlineStr">
        <is>
          <t>created from list 1</t>
        </is>
      </c>
    </row>
    <row r="1527">
      <c r="A1527" s="11" t="inlineStr">
        <is>
          <t>L1-1526</t>
        </is>
      </c>
      <c r="B1527" s="11" t="inlineStr">
        <is>
          <t>List 1 (to ~2015)</t>
        </is>
      </c>
      <c r="C1527" s="11" t="inlineStr">
        <is>
          <t>list1</t>
        </is>
      </c>
      <c r="D1527" s="11" t="inlineStr">
        <is>
          <t>verified</t>
        </is>
      </c>
      <c r="E1527" s="11" t="inlineStr">
        <is>
          <t>reversed_on_appeal</t>
        </is>
      </c>
      <c r="F1527" s="2" t="inlineStr">
        <is>
          <t>Daya Sapra v. Vishnu Dutt Sharma</t>
        </is>
      </c>
      <c r="G1527" s="11" t="inlineStr"/>
      <c r="H1527" s="11" t="inlineStr">
        <is>
          <t>unknown</t>
        </is>
      </c>
      <c r="I1527" s="2" t="inlineStr">
        <is>
          <t>(2010) 2 CompLJ 91; (2008) 100 DRJ 578; (2007) 12 ILR Delhi 78</t>
        </is>
      </c>
      <c r="J1527" s="11" t="n">
        <v>2007</v>
      </c>
      <c r="K1527" s="2" t="inlineStr">
        <is>
          <t>Sh. Vishnu Dutt Sharma v. Smt. Daya Sapra</t>
        </is>
      </c>
      <c r="L1527" s="11" t="inlineStr">
        <is>
          <t>unknown</t>
        </is>
      </c>
      <c r="M1527" s="2" t="inlineStr">
        <is>
          <t>(2010) 2 CompLJ 79; (2009) 13 JT 44; (2009) 8 SCALE 698; (2009) 13 SCC 729; (2009) 8 SCR 977; (2009) AIRSCW 5341; (2009) 5 Supreme 258</t>
        </is>
      </c>
      <c r="N1527" s="11" t="n">
        <v>2009</v>
      </c>
      <c r="O1527" s="11" t="n"/>
      <c r="P1527" s="11" t="n"/>
      <c r="Q1527" s="11" t="n"/>
      <c r="R1527" s="2" t="n"/>
      <c r="S1527" s="2" t="n"/>
      <c r="T1527" s="11" t="inlineStr">
        <is>
          <t>yes</t>
        </is>
      </c>
      <c r="U1527" s="11" t="inlineStr"/>
      <c r="V1527" s="11" t="inlineStr">
        <is>
          <t>outside_list</t>
        </is>
      </c>
      <c r="W1527" s="11" t="n"/>
      <c r="X1527" s="11" t="n"/>
      <c r="Y1527" s="11" t="n"/>
      <c r="Z1527" s="11" t="inlineStr">
        <is>
          <t>Mr. Advocate</t>
        </is>
      </c>
      <c r="AA1527" s="11" t="inlineStr">
        <is>
          <t>2026-10-07</t>
        </is>
      </c>
      <c r="AB1527" s="11" t="inlineStr">
        <is>
          <t>name_year</t>
        </is>
      </c>
      <c r="AC1527" s="2" t="inlineStr"/>
      <c r="AD1527" s="2" t="inlineStr">
        <is>
          <t>Daya Sapra v. Vishnu Dutt Sharma (2007) was reversed on appeal by the Supreme Court in Sh. Vishnu Dutt Sharma v. Smt. Daya Sapra (2009).</t>
        </is>
      </c>
      <c r="AE1527" s="2" t="n"/>
      <c r="AF1527" s="11" t="inlineStr">
        <is>
          <t>created from list 1</t>
        </is>
      </c>
    </row>
    <row r="1528">
      <c r="A1528" s="11" t="inlineStr">
        <is>
          <t>L1-1527</t>
        </is>
      </c>
      <c r="B1528" s="11" t="inlineStr">
        <is>
          <t>List 1 (to ~2015)</t>
        </is>
      </c>
      <c r="C1528" s="11" t="inlineStr">
        <is>
          <t>list1</t>
        </is>
      </c>
      <c r="D1528" s="11" t="inlineStr">
        <is>
          <t>verified</t>
        </is>
      </c>
      <c r="E1528" s="11" t="inlineStr">
        <is>
          <t>reversed_on_appeal</t>
        </is>
      </c>
      <c r="F1528" s="2" t="inlineStr">
        <is>
          <t>Mr. Sunil Bansal v. Bharat Petroleum Corpn. Ltd. and Another</t>
        </is>
      </c>
      <c r="G1528" s="11" t="inlineStr"/>
      <c r="H1528" s="11" t="inlineStr">
        <is>
          <t>unknown</t>
        </is>
      </c>
      <c r="I1528" s="2" t="inlineStr">
        <is>
          <t>(2007) 9 ILR Delhi 5</t>
        </is>
      </c>
      <c r="J1528" s="11" t="n">
        <v>2007</v>
      </c>
      <c r="K1528" s="2" t="inlineStr">
        <is>
          <t>Bharat Petroleum Corporation Ltd. v. Sunil Bansal and Others</t>
        </is>
      </c>
      <c r="L1528" s="11" t="inlineStr">
        <is>
          <t>Supreme Court</t>
        </is>
      </c>
      <c r="M1528" s="2" t="inlineStr">
        <is>
          <t>(2009) 12 JT 335; (2009) 12 SCALE 604; (2009) 10 SCC 446; (2009) 14 SCR 711; (2009) 9 UJ 4318</t>
        </is>
      </c>
      <c r="N1528" s="11" t="n">
        <v>2009</v>
      </c>
      <c r="O1528" s="11" t="n"/>
      <c r="P1528" s="11" t="n"/>
      <c r="Q1528" s="11" t="n"/>
      <c r="R1528" s="2" t="n"/>
      <c r="S1528" s="2" t="n"/>
      <c r="T1528" s="11" t="inlineStr">
        <is>
          <t>yes</t>
        </is>
      </c>
      <c r="U1528" s="11" t="inlineStr"/>
      <c r="V1528" s="11" t="inlineStr">
        <is>
          <t>outside_list</t>
        </is>
      </c>
      <c r="W1528" s="11" t="n"/>
      <c r="X1528" s="11" t="n"/>
      <c r="Y1528" s="11" t="n"/>
      <c r="Z1528" s="11" t="inlineStr">
        <is>
          <t>Mr. Advocate</t>
        </is>
      </c>
      <c r="AA1528" s="11" t="inlineStr">
        <is>
          <t>2026-10-07</t>
        </is>
      </c>
      <c r="AB1528" s="11" t="inlineStr">
        <is>
          <t>name_year</t>
        </is>
      </c>
      <c r="AC1528" s="2" t="inlineStr"/>
      <c r="AD1528" s="2" t="inlineStr">
        <is>
          <t>Mr. Sunil Bansal v. Bharat Petroleum Corpn. Ltd. and Another (2007) was reversed on appeal by the Supreme Court in Bharat Petroleum Corporation Ltd. v. Sunil Bansal and Others (2009).</t>
        </is>
      </c>
      <c r="AE1528" s="2" t="n"/>
      <c r="AF1528" s="11" t="inlineStr">
        <is>
          <t>created from list 1</t>
        </is>
      </c>
    </row>
    <row r="1529">
      <c r="A1529" s="11" t="inlineStr">
        <is>
          <t>L1-1528</t>
        </is>
      </c>
      <c r="B1529" s="11" t="inlineStr">
        <is>
          <t>List 1 (to ~2015)</t>
        </is>
      </c>
      <c r="C1529" s="11" t="inlineStr">
        <is>
          <t>list1</t>
        </is>
      </c>
      <c r="D1529" s="11" t="inlineStr">
        <is>
          <t>verified</t>
        </is>
      </c>
      <c r="E1529" s="11" t="inlineStr">
        <is>
          <t>reversed_on_appeal</t>
        </is>
      </c>
      <c r="F1529" s="2" t="inlineStr">
        <is>
          <t>Commissioner of Income Tax v. Honda Siel Power Products Ltd. (formerly known as Shree Ram Honda Power Equipments Ltd.)</t>
        </is>
      </c>
      <c r="G1529" s="11" t="inlineStr"/>
      <c r="H1529" s="11" t="inlineStr">
        <is>
          <t>unknown</t>
        </is>
      </c>
      <c r="I1529" s="2" t="inlineStr">
        <is>
          <t>(2006) 206 CTR 328; (2007) 293 ITR 132; (2007) 158 TAXMAN 56</t>
        </is>
      </c>
      <c r="J1529" s="11" t="n">
        <v>2006</v>
      </c>
      <c r="K1529" s="2" t="inlineStr">
        <is>
          <t>Honda Siel Power Products Ltd. v. Commissioner of Income Tax, Delhi</t>
        </is>
      </c>
      <c r="L1529" s="11" t="inlineStr">
        <is>
          <t>Supreme Court</t>
        </is>
      </c>
      <c r="M1529" s="2" t="inlineStr">
        <is>
          <t>(2008) 221 ELT 11; (2007) 13 JT 481; (2007) 3 SCALE 472; (2007) 12 SCR 552; (2008) 9 STC 117; (2008) 1 UJ 10; (2008) 12 VST 200</t>
        </is>
      </c>
      <c r="N1529" s="11" t="n">
        <v>2007</v>
      </c>
      <c r="O1529" s="11" t="n"/>
      <c r="P1529" s="11" t="n"/>
      <c r="Q1529" s="11" t="n"/>
      <c r="R1529" s="2" t="n"/>
      <c r="S1529" s="2" t="n"/>
      <c r="T1529" s="11" t="inlineStr">
        <is>
          <t>yes</t>
        </is>
      </c>
      <c r="U1529" s="11" t="inlineStr"/>
      <c r="V1529" s="11" t="inlineStr">
        <is>
          <t>outside_list</t>
        </is>
      </c>
      <c r="W1529" s="11" t="n"/>
      <c r="X1529" s="11" t="n"/>
      <c r="Y1529" s="11" t="n"/>
      <c r="Z1529" s="11" t="inlineStr">
        <is>
          <t>Mr. Advocate</t>
        </is>
      </c>
      <c r="AA1529" s="11" t="inlineStr">
        <is>
          <t>2026-10-07</t>
        </is>
      </c>
      <c r="AB1529" s="11" t="inlineStr">
        <is>
          <t>name_year</t>
        </is>
      </c>
      <c r="AC1529" s="2" t="inlineStr"/>
      <c r="AD1529" s="2" t="inlineStr">
        <is>
          <t>Commissioner of Income Tax v. Honda Siel Power Products Ltd. (formerly known as Shree Ram Honda Power Equipments Ltd.) (2006) was reversed on appeal by the Supreme Court in Honda Siel Power Products Ltd. v. Commissioner of Income Tax, Delhi (2007).</t>
        </is>
      </c>
      <c r="AE1529" s="2" t="n"/>
      <c r="AF1529" s="11" t="inlineStr">
        <is>
          <t>created from list 1</t>
        </is>
      </c>
    </row>
    <row r="1530">
      <c r="A1530" s="11" t="inlineStr">
        <is>
          <t>L1-1529</t>
        </is>
      </c>
      <c r="B1530" s="11" t="inlineStr">
        <is>
          <t>List 1 (to ~2015)</t>
        </is>
      </c>
      <c r="C1530" s="11" t="inlineStr">
        <is>
          <t>list1</t>
        </is>
      </c>
      <c r="D1530" s="11" t="inlineStr">
        <is>
          <t>verified</t>
        </is>
      </c>
      <c r="E1530" s="11" t="inlineStr">
        <is>
          <t>overruled</t>
        </is>
      </c>
      <c r="F1530" s="2" t="inlineStr">
        <is>
          <t>AFHQ Civil Service (Direct Recruit Gazetted) Officers’ Association v. Union of India (UOI) and Others</t>
        </is>
      </c>
      <c r="G1530" s="11" t="inlineStr"/>
      <c r="H1530" s="11" t="inlineStr">
        <is>
          <t>unknown</t>
        </is>
      </c>
      <c r="I1530" s="2" t="inlineStr"/>
      <c r="J1530" s="11" t="n"/>
      <c r="K1530" s="2" t="inlineStr">
        <is>
          <t>AFHQ/ISOs SOs (DP) Association and Others v. Union of India (UOI) and Others</t>
        </is>
      </c>
      <c r="L1530" s="11" t="inlineStr">
        <is>
          <t>Supreme Court</t>
        </is>
      </c>
      <c r="M1530" s="2" t="inlineStr">
        <is>
          <t>(2008) 2 CLT 807; (2008) 2 JT 508; (2008) 2 SCALE 642; (2008) 3 SCC 331; (2008) 1 SCC(L&amp;S) 631</t>
        </is>
      </c>
      <c r="N1530" s="11" t="n">
        <v>2008</v>
      </c>
      <c r="O1530" s="11" t="n"/>
      <c r="P1530" s="11" t="n"/>
      <c r="Q1530" s="11" t="n"/>
      <c r="R1530" s="2" t="n"/>
      <c r="S1530" s="2" t="n"/>
      <c r="T1530" s="11" t="inlineStr"/>
      <c r="U1530" s="11" t="inlineStr">
        <is>
          <t>no_citation_or_year_for_overruled, needs_citation_or_year</t>
        </is>
      </c>
      <c r="V1530" s="11" t="inlineStr">
        <is>
          <t>outside_list</t>
        </is>
      </c>
      <c r="W1530" s="11" t="n"/>
      <c r="X1530" s="11" t="n"/>
      <c r="Y1530" s="11" t="n"/>
      <c r="Z1530" s="11" t="inlineStr">
        <is>
          <t>Mr. Advocate</t>
        </is>
      </c>
      <c r="AA1530" s="11" t="inlineStr">
        <is>
          <t>2026-10-07</t>
        </is>
      </c>
      <c r="AB1530" s="11" t="inlineStr">
        <is>
          <t>weak</t>
        </is>
      </c>
      <c r="AC1530" s="2" t="inlineStr"/>
      <c r="AD1530" s="2" t="inlineStr">
        <is>
          <t>AFHQ Civil Service (Direct Recruit Gazetted) Officers’ Association v. Union of India (UOI) and Others was overruled by AFHQ/ISOs SOs (DP) Association and Others v. Union of India (UOI) and Others (2008).</t>
        </is>
      </c>
      <c r="AE1530" s="2" t="n"/>
      <c r="AF1530" s="11" t="inlineStr">
        <is>
          <t>created from list 1</t>
        </is>
      </c>
    </row>
    <row r="1531">
      <c r="A1531" s="11" t="inlineStr">
        <is>
          <t>L1-1530</t>
        </is>
      </c>
      <c r="B1531" s="11" t="inlineStr">
        <is>
          <t>List 1 (to ~2015)</t>
        </is>
      </c>
      <c r="C1531" s="11" t="inlineStr">
        <is>
          <t>list1</t>
        </is>
      </c>
      <c r="D1531" s="11" t="inlineStr">
        <is>
          <t>verified</t>
        </is>
      </c>
      <c r="E1531" s="11" t="inlineStr">
        <is>
          <t>reversed_on_appeal</t>
        </is>
      </c>
      <c r="F1531" s="2" t="inlineStr">
        <is>
          <t>Maharaj Singh v. Vulcan Insurance Co. Ltd and Another</t>
        </is>
      </c>
      <c r="G1531" s="11" t="inlineStr"/>
      <c r="H1531" s="11" t="inlineStr">
        <is>
          <t>High Court/other (Delhi)</t>
        </is>
      </c>
      <c r="I1531" s="2" t="inlineStr">
        <is>
          <t>(1972) ACJ 130; AIR 1972 Delhi 182; (1973) 43 CompCas 177</t>
        </is>
      </c>
      <c r="J1531" s="11" t="n">
        <v>1972</v>
      </c>
      <c r="K1531" s="2" t="inlineStr">
        <is>
          <t>The Vulcan Insurance Co. Ltd. v. Maharaj Singh and Another</t>
        </is>
      </c>
      <c r="L1531" s="11" t="inlineStr">
        <is>
          <t>Supreme Court</t>
        </is>
      </c>
      <c r="M1531" s="2" t="inlineStr">
        <is>
          <t>AIR 1976 SC 287; (1976) 1 SCC 943; (1976) 2 SCR 62</t>
        </is>
      </c>
      <c r="N1531" s="11" t="n">
        <v>1976</v>
      </c>
      <c r="O1531" s="11" t="n"/>
      <c r="P1531" s="11" t="n"/>
      <c r="Q1531" s="11" t="n"/>
      <c r="R1531" s="2" t="n"/>
      <c r="S1531" s="2" t="n"/>
      <c r="T1531" s="11" t="inlineStr">
        <is>
          <t>yes</t>
        </is>
      </c>
      <c r="U1531" s="11" t="inlineStr"/>
      <c r="V1531" s="11" t="inlineStr">
        <is>
          <t>outside_list</t>
        </is>
      </c>
      <c r="W1531" s="11" t="n"/>
      <c r="X1531" s="11" t="n"/>
      <c r="Y1531" s="11" t="n"/>
      <c r="Z1531" s="11" t="inlineStr">
        <is>
          <t>Mr. Advocate</t>
        </is>
      </c>
      <c r="AA1531" s="11" t="inlineStr">
        <is>
          <t>2026-10-07</t>
        </is>
      </c>
      <c r="AB1531" s="11" t="inlineStr">
        <is>
          <t>name_year</t>
        </is>
      </c>
      <c r="AC1531" s="2" t="inlineStr"/>
      <c r="AD1531" s="2" t="inlineStr">
        <is>
          <t>Maharaj Singh v. Vulcan Insurance Co. Ltd and Another (1972) was reversed on appeal by the Supreme Court in The Vulcan Insurance Co. Ltd. v. Maharaj Singh and Another (1976).</t>
        </is>
      </c>
      <c r="AE1531" s="2" t="n"/>
      <c r="AF1531" s="11" t="inlineStr">
        <is>
          <t>created from list 1</t>
        </is>
      </c>
    </row>
    <row r="1532">
      <c r="A1532" s="11" t="inlineStr">
        <is>
          <t>L1-1531</t>
        </is>
      </c>
      <c r="B1532" s="11" t="inlineStr">
        <is>
          <t>List 1 (to ~2015)</t>
        </is>
      </c>
      <c r="C1532" s="11" t="inlineStr">
        <is>
          <t>list1</t>
        </is>
      </c>
      <c r="D1532" s="11" t="inlineStr">
        <is>
          <t>verified</t>
        </is>
      </c>
      <c r="E1532" s="11" t="inlineStr">
        <is>
          <t>overruled</t>
        </is>
      </c>
      <c r="F1532" s="2" t="inlineStr">
        <is>
          <t>M/s. P.N. B. Finance Ltd. v. Shital Prasad Jain and others</t>
        </is>
      </c>
      <c r="G1532" s="11" t="inlineStr"/>
      <c r="H1532" s="11" t="inlineStr">
        <is>
          <t>High Court/other (Delhi)</t>
        </is>
      </c>
      <c r="I1532" s="2" t="inlineStr">
        <is>
          <t>AIR 1991 Delhi 13; (1990) 2 BC 228; (1990) 69 CompCas 196; (1990) 41 DLT 452; (1990) 1 ILR Delhi 325; (1990) 185 ITR 298</t>
        </is>
      </c>
      <c r="J1532" s="11" t="n">
        <v>1991</v>
      </c>
      <c r="K1532" s="2" t="inlineStr">
        <is>
          <t>Olympus Superstructures Pvt. Ltd. v. Meena Vijay Khetan and Others</t>
        </is>
      </c>
      <c r="L1532" s="11" t="inlineStr">
        <is>
          <t>Supreme Court</t>
        </is>
      </c>
      <c r="M1532" s="2" t="inlineStr">
        <is>
          <t>AIR 1999 SC 2102; (1999) 2 ARBLR 695; (1999) 3 JT 514; (1999) 3 SCALE 587; (1999) 5 SCC 651; (1999) 3 SCR 490; (1999) 2 UJ 997; (1999) AIRSCW 1831; (1999) 5 Supreme 338</t>
        </is>
      </c>
      <c r="N1532" s="11" t="n">
        <v>1999</v>
      </c>
      <c r="O1532" s="11" t="n"/>
      <c r="P1532" s="11" t="n"/>
      <c r="Q1532" s="11" t="n"/>
      <c r="R1532" s="2" t="n"/>
      <c r="S1532" s="2" t="n"/>
      <c r="T1532" s="11" t="inlineStr"/>
      <c r="U1532" s="11" t="inlineStr"/>
      <c r="V1532" s="11" t="inlineStr">
        <is>
          <t>outside_list</t>
        </is>
      </c>
      <c r="W1532" s="11" t="n"/>
      <c r="X1532" s="11" t="n"/>
      <c r="Y1532" s="11" t="n"/>
      <c r="Z1532" s="11" t="inlineStr">
        <is>
          <t>Mr. Advocate</t>
        </is>
      </c>
      <c r="AA1532" s="11" t="inlineStr">
        <is>
          <t>2026-10-07</t>
        </is>
      </c>
      <c r="AB1532" s="11" t="inlineStr">
        <is>
          <t>name_year</t>
        </is>
      </c>
      <c r="AC1532" s="2" t="inlineStr"/>
      <c r="AD1532" s="2" t="inlineStr">
        <is>
          <t>M/s. P.N. B. Finance Ltd. v. Shital Prasad Jain and others (1991) was overruled by Olympus Superstructures Pvt. Ltd. v. Meena Vijay Khetan and Others (1999).</t>
        </is>
      </c>
      <c r="AE1532" s="2" t="n"/>
      <c r="AF1532" s="11" t="inlineStr">
        <is>
          <t>created from list 1</t>
        </is>
      </c>
    </row>
    <row r="1533">
      <c r="A1533" s="11" t="inlineStr">
        <is>
          <t>L1-1532</t>
        </is>
      </c>
      <c r="B1533" s="11" t="inlineStr">
        <is>
          <t>List 1 (to ~2015)</t>
        </is>
      </c>
      <c r="C1533" s="11" t="inlineStr">
        <is>
          <t>list1</t>
        </is>
      </c>
      <c r="D1533" s="11" t="inlineStr">
        <is>
          <t>verified</t>
        </is>
      </c>
      <c r="E1533" s="11" t="inlineStr">
        <is>
          <t>reversed_on_appeal</t>
        </is>
      </c>
      <c r="F1533" s="2" t="inlineStr">
        <is>
          <t>R.S. Garg v. State of U.P. and others</t>
        </is>
      </c>
      <c r="G1533" s="11" t="inlineStr"/>
      <c r="H1533" s="11" t="inlineStr">
        <is>
          <t>unknown</t>
        </is>
      </c>
      <c r="I1533" s="2" t="inlineStr">
        <is>
          <t>(2000) 3 AWC 2192; (2000) AWC 2192</t>
        </is>
      </c>
      <c r="J1533" s="11" t="n">
        <v>2000</v>
      </c>
      <c r="K1533" s="2" t="inlineStr">
        <is>
          <t>R.S. Garg v. State of U.P. and Others</t>
        </is>
      </c>
      <c r="L1533" s="11" t="inlineStr">
        <is>
          <t>Supreme Court</t>
        </is>
      </c>
      <c r="M1533" s="2" t="inlineStr">
        <is>
          <t>AIR 2006 SC 2912; (2006) 111 FLR 616; (2006) 7 JT 1; (2006) 7 SCALE 405; (2006) 6 SCC 430; (2006) SCC(L&amp;S) 1388; (2006) 4 SCR 120 Supp; (2006) AIRSCW 4040; (2006) 6 Supreme 324</t>
        </is>
      </c>
      <c r="N1533" s="11" t="n">
        <v>2006</v>
      </c>
      <c r="O1533" s="11" t="n"/>
      <c r="P1533" s="11" t="n"/>
      <c r="Q1533" s="11" t="n"/>
      <c r="R1533" s="2" t="n"/>
      <c r="S1533" s="2" t="n"/>
      <c r="T1533" s="11" t="inlineStr">
        <is>
          <t>yes</t>
        </is>
      </c>
      <c r="U1533" s="11" t="inlineStr"/>
      <c r="V1533" s="11" t="inlineStr">
        <is>
          <t>outside_list</t>
        </is>
      </c>
      <c r="W1533" s="11" t="n"/>
      <c r="X1533" s="11" t="n"/>
      <c r="Y1533" s="11" t="n"/>
      <c r="Z1533" s="11" t="inlineStr">
        <is>
          <t>Mr. Advocate</t>
        </is>
      </c>
      <c r="AA1533" s="11" t="inlineStr">
        <is>
          <t>2026-10-07</t>
        </is>
      </c>
      <c r="AB1533" s="11" t="inlineStr">
        <is>
          <t>name_year</t>
        </is>
      </c>
      <c r="AC1533" s="2" t="inlineStr"/>
      <c r="AD1533" s="2" t="inlineStr">
        <is>
          <t>R.S. Garg v. State of U.P. and others (2000) was reversed on appeal by the Supreme Court in R.S. Garg v. State of U.P. and Others (2006).</t>
        </is>
      </c>
      <c r="AE1533" s="2" t="n"/>
      <c r="AF1533" s="11" t="inlineStr">
        <is>
          <t>created from list 1</t>
        </is>
      </c>
    </row>
    <row r="1534">
      <c r="A1534" s="11" t="inlineStr">
        <is>
          <t>L1-1533</t>
        </is>
      </c>
      <c r="B1534" s="11" t="inlineStr">
        <is>
          <t>List 1 (to ~2015)</t>
        </is>
      </c>
      <c r="C1534" s="11" t="inlineStr">
        <is>
          <t>list1</t>
        </is>
      </c>
      <c r="D1534" s="11" t="inlineStr">
        <is>
          <t>verified</t>
        </is>
      </c>
      <c r="E1534" s="11" t="inlineStr">
        <is>
          <t>overruled</t>
        </is>
      </c>
      <c r="F1534" s="2" t="inlineStr">
        <is>
          <t>Justice Nand Lal Ganguly (Retd.) v. State of U.P. and others</t>
        </is>
      </c>
      <c r="G1534" s="11" t="inlineStr"/>
      <c r="H1534" s="11" t="inlineStr">
        <is>
          <t>unknown</t>
        </is>
      </c>
      <c r="I1534" s="2" t="inlineStr">
        <is>
          <t>(1999) 4 AWC 2985; (1999) AWC 2985</t>
        </is>
      </c>
      <c r="J1534" s="11" t="n">
        <v>1999</v>
      </c>
      <c r="K1534" s="2" t="inlineStr">
        <is>
          <t>Justice P. Venugopal v. Union of India (UOI) and Others</t>
        </is>
      </c>
      <c r="L1534" s="11" t="inlineStr">
        <is>
          <t>Supreme Court</t>
        </is>
      </c>
      <c r="M1534" s="2" t="inlineStr">
        <is>
          <t>AIR 2003 SC 3887; (2003) 1 JT 505 Supp; (2003) 7 SCALE 197; (2003) 7 SCC 726; (2003) SCC(L&amp;S) 1185; (2004) 1 UJ 332; (2003) AIRSCW 4472</t>
        </is>
      </c>
      <c r="N1534" s="11" t="n">
        <v>2003</v>
      </c>
      <c r="O1534" s="11" t="n"/>
      <c r="P1534" s="11" t="n"/>
      <c r="Q1534" s="11" t="n"/>
      <c r="R1534" s="2" t="n"/>
      <c r="S1534" s="2" t="n"/>
      <c r="T1534" s="11" t="inlineStr"/>
      <c r="U1534" s="11" t="inlineStr"/>
      <c r="V1534" s="11" t="inlineStr">
        <is>
          <t>outside_list</t>
        </is>
      </c>
      <c r="W1534" s="11" t="n"/>
      <c r="X1534" s="11" t="n"/>
      <c r="Y1534" s="11" t="n"/>
      <c r="Z1534" s="11" t="inlineStr">
        <is>
          <t>Mr. Advocate</t>
        </is>
      </c>
      <c r="AA1534" s="11" t="inlineStr">
        <is>
          <t>2026-10-07</t>
        </is>
      </c>
      <c r="AB1534" s="11" t="inlineStr">
        <is>
          <t>name_year</t>
        </is>
      </c>
      <c r="AC1534" s="2" t="inlineStr"/>
      <c r="AD1534" s="2" t="inlineStr">
        <is>
          <t>Justice Nand Lal Ganguly (Retd.) v. State of U.P. and others (1999) was overruled by Justice P. Venugopal v. Union of India (UOI) and Others (2003).</t>
        </is>
      </c>
      <c r="AE1534" s="2" t="n"/>
      <c r="AF1534" s="11" t="inlineStr">
        <is>
          <t>created from list 1</t>
        </is>
      </c>
    </row>
    <row r="1535">
      <c r="A1535" s="11" t="inlineStr">
        <is>
          <t>L1-1534</t>
        </is>
      </c>
      <c r="B1535" s="11" t="inlineStr">
        <is>
          <t>List 1 (to ~2015)</t>
        </is>
      </c>
      <c r="C1535" s="11" t="inlineStr">
        <is>
          <t>list1</t>
        </is>
      </c>
      <c r="D1535" s="11" t="inlineStr">
        <is>
          <t>verified</t>
        </is>
      </c>
      <c r="E1535" s="11" t="inlineStr">
        <is>
          <t>reversed_on_appeal</t>
        </is>
      </c>
      <c r="F1535" s="2" t="inlineStr">
        <is>
          <t>United Bank of India v. Pijush Kanti Nandy and Others</t>
        </is>
      </c>
      <c r="G1535" s="11" t="inlineStr"/>
      <c r="H1535" s="11" t="inlineStr">
        <is>
          <t>unknown</t>
        </is>
      </c>
      <c r="I1535" s="2" t="inlineStr">
        <is>
          <t>(2006) 1 CALLT 181; (2006) 1 CHN 45; (2006) 109 FLR 172; (2006) 2 LLJ 47</t>
        </is>
      </c>
      <c r="J1535" s="11" t="n">
        <v>2006</v>
      </c>
      <c r="K1535" s="2" t="inlineStr">
        <is>
          <t>United Bank of India v. Pijush Kanti Nandy and Others</t>
        </is>
      </c>
      <c r="L1535" s="11" t="inlineStr">
        <is>
          <t>Supreme Court</t>
        </is>
      </c>
      <c r="M1535" s="2" t="inlineStr">
        <is>
          <t>(2009) 122 FLR 988; (2009) 11 JT 37; (2009) 4 LLJ 13; (2009) 11 SCALE 318; (2009) 8 SCC 605; (2009) 2 SCC(L&amp;S) 534; (2009) 13 SCR 509</t>
        </is>
      </c>
      <c r="N1535" s="11" t="n">
        <v>2009</v>
      </c>
      <c r="O1535" s="11" t="n"/>
      <c r="P1535" s="11" t="n"/>
      <c r="Q1535" s="11" t="n"/>
      <c r="R1535" s="2" t="n"/>
      <c r="S1535" s="2" t="n"/>
      <c r="T1535" s="11" t="inlineStr">
        <is>
          <t>yes</t>
        </is>
      </c>
      <c r="U1535" s="11" t="inlineStr"/>
      <c r="V1535" s="11" t="inlineStr">
        <is>
          <t>outside_list</t>
        </is>
      </c>
      <c r="W1535" s="11" t="n"/>
      <c r="X1535" s="11" t="n"/>
      <c r="Y1535" s="11" t="n"/>
      <c r="Z1535" s="11" t="inlineStr">
        <is>
          <t>Mr. Advocate</t>
        </is>
      </c>
      <c r="AA1535" s="11" t="inlineStr">
        <is>
          <t>2026-10-07</t>
        </is>
      </c>
      <c r="AB1535" s="11" t="inlineStr">
        <is>
          <t>name_year</t>
        </is>
      </c>
      <c r="AC1535" s="2" t="inlineStr"/>
      <c r="AD1535" s="2" t="inlineStr">
        <is>
          <t>United Bank of India v. Pijush Kanti Nandy and Others (2006) was reversed on appeal by the Supreme Court in United Bank of India v. Pijush Kanti Nandy and Others (2009).</t>
        </is>
      </c>
      <c r="AE1535" s="2" t="n"/>
      <c r="AF1535" s="11" t="inlineStr">
        <is>
          <t>created from list 1</t>
        </is>
      </c>
    </row>
    <row r="1536">
      <c r="A1536" s="11" t="inlineStr">
        <is>
          <t>L1-1535</t>
        </is>
      </c>
      <c r="B1536" s="11" t="inlineStr">
        <is>
          <t>List 1 (to ~2015)</t>
        </is>
      </c>
      <c r="C1536" s="11" t="inlineStr">
        <is>
          <t>list1</t>
        </is>
      </c>
      <c r="D1536" s="11" t="inlineStr">
        <is>
          <t>verified</t>
        </is>
      </c>
      <c r="E1536" s="11" t="inlineStr">
        <is>
          <t>overruled</t>
        </is>
      </c>
      <c r="F1536" s="2" t="inlineStr">
        <is>
          <t>Commissioner of Income Tax v. Kay Charan Pvt. Ltd.</t>
        </is>
      </c>
      <c r="G1536" s="11" t="inlineStr"/>
      <c r="H1536" s="11" t="inlineStr">
        <is>
          <t>unknown</t>
        </is>
      </c>
      <c r="I1536" s="2" t="inlineStr">
        <is>
          <t>(1991) 98 CTR 266; (1991) 190 ITR 190</t>
        </is>
      </c>
      <c r="J1536" s="11" t="n">
        <v>1991</v>
      </c>
      <c r="K1536" s="2" t="inlineStr">
        <is>
          <t>Commissioner of Income Tax, Haryana v. M/s. Krishna Copper Steel Rolling Mills, Jagadhri etc.</t>
        </is>
      </c>
      <c r="L1536" s="11" t="inlineStr">
        <is>
          <t>Supreme Court</t>
        </is>
      </c>
      <c r="M1536" s="2" t="inlineStr">
        <is>
          <t>AIR 1992 SC 422; (1991) 3 CompLJ 367; (1991) 100 CTR 114; (1992) 193 ITR 281; (1991) 4 JT 350; (1991) 2 SCALE 1014; (1992) 1 SCC 732 Supp; (1991) 2 SCR 187 Supp; (1992) 60 TAXMAN 93</t>
        </is>
      </c>
      <c r="N1536" s="11" t="n">
        <v>1992</v>
      </c>
      <c r="O1536" s="11" t="n"/>
      <c r="P1536" s="11" t="n"/>
      <c r="Q1536" s="11" t="n"/>
      <c r="R1536" s="2" t="n"/>
      <c r="S1536" s="2" t="n"/>
      <c r="T1536" s="11" t="inlineStr"/>
      <c r="U1536" s="11" t="inlineStr"/>
      <c r="V1536" s="11" t="inlineStr">
        <is>
          <t>outside_list</t>
        </is>
      </c>
      <c r="W1536" s="11" t="n"/>
      <c r="X1536" s="11" t="n"/>
      <c r="Y1536" s="11" t="n"/>
      <c r="Z1536" s="11" t="inlineStr">
        <is>
          <t>Mr. Advocate</t>
        </is>
      </c>
      <c r="AA1536" s="11" t="inlineStr">
        <is>
          <t>2026-10-07</t>
        </is>
      </c>
      <c r="AB1536" s="11" t="inlineStr">
        <is>
          <t>name_year</t>
        </is>
      </c>
      <c r="AC1536" s="2" t="inlineStr"/>
      <c r="AD1536" s="2" t="inlineStr">
        <is>
          <t>Commissioner of Income Tax v. Kay Charan Pvt. Ltd. (1991) was overruled by Commissioner of Income Tax, Haryana v. M/s. Krishna Copper Steel Rolling Mills, Jagadhri etc. (1992).</t>
        </is>
      </c>
      <c r="AE1536" s="2" t="n"/>
      <c r="AF1536" s="11" t="inlineStr">
        <is>
          <t>created from list 1</t>
        </is>
      </c>
    </row>
    <row r="1537">
      <c r="A1537" s="11" t="inlineStr">
        <is>
          <t>L1-1536</t>
        </is>
      </c>
      <c r="B1537" s="11" t="inlineStr">
        <is>
          <t>List 1 (to ~2015)</t>
        </is>
      </c>
      <c r="C1537" s="11" t="inlineStr">
        <is>
          <t>list1</t>
        </is>
      </c>
      <c r="D1537" s="11" t="inlineStr">
        <is>
          <t>verified</t>
        </is>
      </c>
      <c r="E1537" s="11" t="inlineStr">
        <is>
          <t>overruled</t>
        </is>
      </c>
      <c r="F1537" s="2" t="inlineStr">
        <is>
          <t>I.F.C.I. Limited and Others v. SIDCO Leathers Ltd. (In Liquidation) and Another</t>
        </is>
      </c>
      <c r="G1537" s="11" t="inlineStr"/>
      <c r="H1537" s="11" t="inlineStr">
        <is>
          <t>unknown</t>
        </is>
      </c>
      <c r="I1537" s="2" t="inlineStr">
        <is>
          <t>(2006) 131 CompCas 429; (2006) 5 CompLJ 492; (2004) 3 UPLBEC 2512</t>
        </is>
      </c>
      <c r="J1537" s="11" t="n">
        <v>2004</v>
      </c>
      <c r="K1537" s="2" t="inlineStr">
        <is>
          <t>ICICI Bank Ltd. v. Sidco Leathers Ltd. and Others</t>
        </is>
      </c>
      <c r="L1537" s="11" t="inlineStr">
        <is>
          <t>Supreme Court</t>
        </is>
      </c>
      <c r="M1537" s="2" t="inlineStr">
        <is>
          <t>AIR 2006 SC 2088; (2007) 2 BC 51; (2006) 131 CompCas 451; (2006) 5 CompLJ 470; (2006) 2 CTC 847; (2006) 6 JT 274; (2006) 5 SCALE 27; (2006) 10 SCC 452; (2006) 67 SCL 383; (2006) 1 SCR 528 Supp; (2006) AIRSCW 2361; (2006) 6 Supreme 148</t>
        </is>
      </c>
      <c r="N1537" s="11" t="n">
        <v>2006</v>
      </c>
      <c r="O1537" s="11" t="n"/>
      <c r="P1537" s="11" t="n"/>
      <c r="Q1537" s="11" t="n"/>
      <c r="R1537" s="2" t="n"/>
      <c r="S1537" s="2" t="n"/>
      <c r="T1537" s="11" t="inlineStr"/>
      <c r="U1537" s="11" t="inlineStr"/>
      <c r="V1537" s="11" t="inlineStr">
        <is>
          <t>outside_list</t>
        </is>
      </c>
      <c r="W1537" s="11" t="n"/>
      <c r="X1537" s="11" t="n"/>
      <c r="Y1537" s="11" t="n"/>
      <c r="Z1537" s="11" t="inlineStr">
        <is>
          <t>Mr. Advocate</t>
        </is>
      </c>
      <c r="AA1537" s="11" t="inlineStr">
        <is>
          <t>2026-10-07</t>
        </is>
      </c>
      <c r="AB1537" s="11" t="inlineStr">
        <is>
          <t>name_year</t>
        </is>
      </c>
      <c r="AC1537" s="2" t="inlineStr"/>
      <c r="AD1537" s="2" t="inlineStr">
        <is>
          <t>I.F.C.I. Limited and Others v. SIDCO Leathers Ltd. (In Liquidation) and Another (2004) was overruled by ICICI Bank Ltd. v. Sidco Leathers Ltd. and Others (2006).</t>
        </is>
      </c>
      <c r="AE1537" s="2" t="n"/>
      <c r="AF1537" s="11" t="inlineStr">
        <is>
          <t>created from list 1</t>
        </is>
      </c>
    </row>
    <row r="1538">
      <c r="A1538" s="11" t="inlineStr">
        <is>
          <t>L1-1537</t>
        </is>
      </c>
      <c r="B1538" s="11" t="inlineStr">
        <is>
          <t>List 1 (to ~2015)</t>
        </is>
      </c>
      <c r="C1538" s="11" t="inlineStr">
        <is>
          <t>list1</t>
        </is>
      </c>
      <c r="D1538" s="11" t="inlineStr">
        <is>
          <t>verified</t>
        </is>
      </c>
      <c r="E1538" s="11" t="inlineStr">
        <is>
          <t>overruled</t>
        </is>
      </c>
      <c r="F1538" s="2" t="inlineStr">
        <is>
          <t>Chandrawanshi K.P. and Others v. National Thermal Power Corporation Ltd. and Others</t>
        </is>
      </c>
      <c r="G1538" s="11" t="inlineStr"/>
      <c r="H1538" s="11" t="inlineStr">
        <is>
          <t>unknown</t>
        </is>
      </c>
      <c r="I1538" s="2" t="inlineStr">
        <is>
          <t>(2004) 1 CGLJ 268; (2005) 1 LLJ 779; (2004) 2 MPJR 30</t>
        </is>
      </c>
      <c r="J1538" s="11" t="n">
        <v>2004</v>
      </c>
      <c r="K1538" s="2" t="inlineStr">
        <is>
          <t>BCPP Mazdoor Sangh and Another v. N.T.P.C. and Others</t>
        </is>
      </c>
      <c r="L1538" s="11" t="inlineStr">
        <is>
          <t>Supreme Court</t>
        </is>
      </c>
      <c r="M1538" s="2" t="inlineStr">
        <is>
          <t>AIR 2008 SC 336; (2007) 12 JT 156; (2007) 12 SCALE 204; (2007) 10 SCR 1084; (2008) 1 SLJ 319; (2007) AIRSCW 6879</t>
        </is>
      </c>
      <c r="N1538" s="11" t="n">
        <v>2008</v>
      </c>
      <c r="O1538" s="11" t="n"/>
      <c r="P1538" s="11" t="n"/>
      <c r="Q1538" s="11" t="n"/>
      <c r="R1538" s="2" t="n"/>
      <c r="S1538" s="2" t="n"/>
      <c r="T1538" s="11" t="inlineStr"/>
      <c r="U1538" s="11" t="inlineStr"/>
      <c r="V1538" s="11" t="inlineStr">
        <is>
          <t>outside_list</t>
        </is>
      </c>
      <c r="W1538" s="11" t="n"/>
      <c r="X1538" s="11" t="n"/>
      <c r="Y1538" s="11" t="n"/>
      <c r="Z1538" s="11" t="inlineStr">
        <is>
          <t>Mr. Advocate</t>
        </is>
      </c>
      <c r="AA1538" s="11" t="inlineStr">
        <is>
          <t>2026-10-07</t>
        </is>
      </c>
      <c r="AB1538" s="11" t="inlineStr">
        <is>
          <t>name_year</t>
        </is>
      </c>
      <c r="AC1538" s="2" t="inlineStr"/>
      <c r="AD1538" s="2" t="inlineStr">
        <is>
          <t>Chandrawanshi K.P. and Others v. National Thermal Power Corporation Ltd. and Others (2004) was overruled by BCPP Mazdoor Sangh and Another v. N.T.P.C. and Others (2008).</t>
        </is>
      </c>
      <c r="AE1538" s="2" t="n"/>
      <c r="AF1538" s="11" t="inlineStr">
        <is>
          <t>created from list 1</t>
        </is>
      </c>
    </row>
    <row r="1539">
      <c r="A1539" s="11" t="inlineStr">
        <is>
          <t>L1-1538</t>
        </is>
      </c>
      <c r="B1539" s="11" t="inlineStr">
        <is>
          <t>List 1 (to ~2015)</t>
        </is>
      </c>
      <c r="C1539" s="11" t="inlineStr">
        <is>
          <t>list1</t>
        </is>
      </c>
      <c r="D1539" s="11" t="inlineStr">
        <is>
          <t>verified</t>
        </is>
      </c>
      <c r="E1539" s="11" t="inlineStr">
        <is>
          <t>reversed_on_appeal</t>
        </is>
      </c>
      <c r="F1539" s="2" t="inlineStr">
        <is>
          <t>The Divisional Manager, New India assurance Company Ltd. v. Ranjana Prakash and Others</t>
        </is>
      </c>
      <c r="G1539" s="11" t="inlineStr"/>
      <c r="H1539" s="11" t="inlineStr">
        <is>
          <t>unknown</t>
        </is>
      </c>
      <c r="I1539" s="2" t="inlineStr"/>
      <c r="J1539" s="11" t="n"/>
      <c r="K1539" s="2" t="inlineStr">
        <is>
          <t>Ranjana Prakash and Others v. Divisional Manager and Another</t>
        </is>
      </c>
      <c r="L1539" s="11" t="inlineStr">
        <is>
          <t>Supreme Court</t>
        </is>
      </c>
      <c r="M1539" s="2" t="inlineStr">
        <is>
          <t>(2011) ACJ 2418; (2011) 4 RCR(Civil) 218; (2011) 8 SCALE 240; (2011) 9 SCR 616; (2011) 4 TAC 11</t>
        </is>
      </c>
      <c r="N1539" s="11" t="n">
        <v>2011</v>
      </c>
      <c r="O1539" s="11" t="n"/>
      <c r="P1539" s="11" t="n"/>
      <c r="Q1539" s="11" t="n"/>
      <c r="R1539" s="2" t="n"/>
      <c r="S1539" s="2" t="n"/>
      <c r="T1539" s="11" t="inlineStr">
        <is>
          <t>yes</t>
        </is>
      </c>
      <c r="U1539" s="11" t="inlineStr">
        <is>
          <t>no_citation_or_year_for_overruled, needs_citation_or_year</t>
        </is>
      </c>
      <c r="V1539" s="11" t="inlineStr">
        <is>
          <t>outside_list</t>
        </is>
      </c>
      <c r="W1539" s="11" t="n"/>
      <c r="X1539" s="11" t="n"/>
      <c r="Y1539" s="11" t="n"/>
      <c r="Z1539" s="11" t="inlineStr">
        <is>
          <t>Mr. Advocate</t>
        </is>
      </c>
      <c r="AA1539" s="11" t="inlineStr">
        <is>
          <t>2026-10-07</t>
        </is>
      </c>
      <c r="AB1539" s="11" t="inlineStr">
        <is>
          <t>weak</t>
        </is>
      </c>
      <c r="AC1539" s="2" t="inlineStr"/>
      <c r="AD1539" s="2" t="inlineStr">
        <is>
          <t>The Divisional Manager, New India assurance Company Ltd. v. Ranjana Prakash and Others was reversed on appeal by the Supreme Court in Ranjana Prakash and Others v. Divisional Manager and Another (2011).</t>
        </is>
      </c>
      <c r="AE1539" s="2" t="n"/>
      <c r="AF1539" s="11" t="inlineStr">
        <is>
          <t>created from list 1</t>
        </is>
      </c>
    </row>
    <row r="1540">
      <c r="A1540" s="11" t="inlineStr">
        <is>
          <t>L1-1539</t>
        </is>
      </c>
      <c r="B1540" s="11" t="inlineStr">
        <is>
          <t>List 1 (to ~2015)</t>
        </is>
      </c>
      <c r="C1540" s="11" t="inlineStr">
        <is>
          <t>list1</t>
        </is>
      </c>
      <c r="D1540" s="11" t="inlineStr">
        <is>
          <t>verified</t>
        </is>
      </c>
      <c r="E1540" s="11" t="inlineStr">
        <is>
          <t>overruled</t>
        </is>
      </c>
      <c r="F1540" s="2" t="inlineStr">
        <is>
          <t>Purshottam Dayal Varshney and Another v. Commissioner of Income Tax and Others</t>
        </is>
      </c>
      <c r="G1540" s="11" t="inlineStr"/>
      <c r="H1540" s="11" t="inlineStr">
        <is>
          <t>unknown</t>
        </is>
      </c>
      <c r="I1540" s="2" t="inlineStr">
        <is>
          <t>(1974) 94 ITR 187</t>
        </is>
      </c>
      <c r="J1540" s="11" t="n">
        <v>1974</v>
      </c>
      <c r="K1540" s="2" t="inlineStr">
        <is>
          <t>Commissioner of Income Tax, Hyderabad v. Chittor Electric Supply Corporation and another</t>
        </is>
      </c>
      <c r="L1540" s="11" t="inlineStr">
        <is>
          <t>Supreme Court</t>
        </is>
      </c>
      <c r="M1540" s="2" t="inlineStr">
        <is>
          <t>AIR 1995 SC 700; (1995) 123 CTR 583; (1995) 212 ITR 404; (1995) 1 JT 355; (1995) 1 SCALE 136; (1995) 2 SCC 430; (1995) 1 SCR 231</t>
        </is>
      </c>
      <c r="N1540" s="11" t="n">
        <v>1995</v>
      </c>
      <c r="O1540" s="11" t="n"/>
      <c r="P1540" s="11" t="n"/>
      <c r="Q1540" s="11" t="n"/>
      <c r="R1540" s="2" t="n"/>
      <c r="S1540" s="2" t="n"/>
      <c r="T1540" s="11" t="inlineStr"/>
      <c r="U1540" s="11" t="inlineStr"/>
      <c r="V1540" s="11" t="inlineStr">
        <is>
          <t>outside_list</t>
        </is>
      </c>
      <c r="W1540" s="11" t="n"/>
      <c r="X1540" s="11" t="n"/>
      <c r="Y1540" s="11" t="n"/>
      <c r="Z1540" s="11" t="inlineStr">
        <is>
          <t>Mr. Advocate</t>
        </is>
      </c>
      <c r="AA1540" s="11" t="inlineStr">
        <is>
          <t>2026-10-07</t>
        </is>
      </c>
      <c r="AB1540" s="11" t="inlineStr">
        <is>
          <t>name_year</t>
        </is>
      </c>
      <c r="AC1540" s="2" t="inlineStr"/>
      <c r="AD1540" s="2" t="inlineStr">
        <is>
          <t>Purshottam Dayal Varshney and Another v. Commissioner of Income Tax and Others (1974) was overruled by Commissioner of Income Tax, Hyderabad v. Chittor Electric Supply Corporation and another (1995).</t>
        </is>
      </c>
      <c r="AE1540" s="2" t="n"/>
      <c r="AF1540" s="11" t="inlineStr">
        <is>
          <t>created from list 1</t>
        </is>
      </c>
    </row>
    <row r="1541">
      <c r="A1541" s="11" t="inlineStr">
        <is>
          <t>L1-1540</t>
        </is>
      </c>
      <c r="B1541" s="11" t="inlineStr">
        <is>
          <t>List 1 (to ~2015)</t>
        </is>
      </c>
      <c r="C1541" s="11" t="inlineStr">
        <is>
          <t>list1</t>
        </is>
      </c>
      <c r="D1541" s="11" t="inlineStr">
        <is>
          <t>verified</t>
        </is>
      </c>
      <c r="E1541" s="11" t="inlineStr">
        <is>
          <t>overruled</t>
        </is>
      </c>
      <c r="F1541" s="2" t="inlineStr">
        <is>
          <t>Sahu Govind Prasad v. Commissioner of Income Tax</t>
        </is>
      </c>
      <c r="G1541" s="11" t="inlineStr"/>
      <c r="H1541" s="11" t="inlineStr">
        <is>
          <t>unknown</t>
        </is>
      </c>
      <c r="I1541" s="2" t="inlineStr">
        <is>
          <t>(1984) 38 CTR 297; (1983) 144 ITR 851</t>
        </is>
      </c>
      <c r="J1541" s="11" t="n">
        <v>1983</v>
      </c>
      <c r="K1541" s="2" t="inlineStr">
        <is>
          <t>Commissioner of Income Tax, Ludhiana v. Shri Om Prakash</t>
        </is>
      </c>
      <c r="L1541" s="11" t="inlineStr">
        <is>
          <t>Supreme Court</t>
        </is>
      </c>
      <c r="M1541" s="2" t="inlineStr">
        <is>
          <t>AIR 1999 SC 2534; (1999) 155 CTR 206; (1999) 238 ITR 1044; (1999) 5 JT 104; (1999) 4 SCALE 275; (1999) 6 SCC 349; (1999) 3 SCR 1186; (1999) AIRSCW 2699; (1999) 6 Supreme 246</t>
        </is>
      </c>
      <c r="N1541" s="11" t="n">
        <v>1999</v>
      </c>
      <c r="O1541" s="11" t="n"/>
      <c r="P1541" s="11" t="n"/>
      <c r="Q1541" s="11" t="n"/>
      <c r="R1541" s="2" t="n"/>
      <c r="S1541" s="2" t="n"/>
      <c r="T1541" s="11" t="inlineStr"/>
      <c r="U1541" s="11" t="inlineStr"/>
      <c r="V1541" s="11" t="inlineStr">
        <is>
          <t>outside_list</t>
        </is>
      </c>
      <c r="W1541" s="11" t="n"/>
      <c r="X1541" s="11" t="n"/>
      <c r="Y1541" s="11" t="n"/>
      <c r="Z1541" s="11" t="inlineStr">
        <is>
          <t>Mr. Advocate</t>
        </is>
      </c>
      <c r="AA1541" s="11" t="inlineStr">
        <is>
          <t>2026-10-07</t>
        </is>
      </c>
      <c r="AB1541" s="11" t="inlineStr">
        <is>
          <t>name_year</t>
        </is>
      </c>
      <c r="AC1541" s="2" t="inlineStr"/>
      <c r="AD1541" s="2" t="inlineStr">
        <is>
          <t>Sahu Govind Prasad v. Commissioner of Income Tax (1983) was overruled by Commissioner of Income Tax, Ludhiana v. Shri Om Prakash (1999).</t>
        </is>
      </c>
      <c r="AE1541" s="2" t="n"/>
      <c r="AF1541" s="11" t="inlineStr">
        <is>
          <t>created from list 1</t>
        </is>
      </c>
    </row>
    <row r="1542">
      <c r="A1542" s="11" t="inlineStr">
        <is>
          <t>L1-1541</t>
        </is>
      </c>
      <c r="B1542" s="11" t="inlineStr">
        <is>
          <t>List 1 (to ~2015)</t>
        </is>
      </c>
      <c r="C1542" s="11" t="inlineStr">
        <is>
          <t>list1</t>
        </is>
      </c>
      <c r="D1542" s="11" t="inlineStr">
        <is>
          <t>verified</t>
        </is>
      </c>
      <c r="E1542" s="11" t="inlineStr">
        <is>
          <t>overruled</t>
        </is>
      </c>
      <c r="F1542" s="2" t="inlineStr">
        <is>
          <t>Ganga Sharan Varshney v. Shakuntala Devi and Another</t>
        </is>
      </c>
      <c r="G1542" s="11" t="inlineStr"/>
      <c r="H1542" s="11" t="inlineStr">
        <is>
          <t>unknown</t>
        </is>
      </c>
      <c r="I1542" s="2" t="inlineStr">
        <is>
          <t>(1990) CriLJ 128; (1990) 1 DMC 71</t>
        </is>
      </c>
      <c r="J1542" s="11" t="n">
        <v>1990</v>
      </c>
      <c r="K1542" s="2" t="inlineStr">
        <is>
          <t>Kirtikant D. Vadodaria v. State of Gujarat and Another</t>
        </is>
      </c>
      <c r="L1542" s="11" t="inlineStr">
        <is>
          <t>Supreme Court</t>
        </is>
      </c>
      <c r="M1542" s="2" t="inlineStr">
        <is>
          <t>(1996) 4 AD 109; (1996) 2 Crimes 119; (1997) 2 DMC 164; (1996) 6 JT 244; (1996) 4 SCALE 44; (1996) 4 SCC 479; (1996) 2 SCR 45 Supp</t>
        </is>
      </c>
      <c r="N1542" s="11" t="n">
        <v>1996</v>
      </c>
      <c r="O1542" s="11" t="n"/>
      <c r="P1542" s="11" t="n"/>
      <c r="Q1542" s="11" t="n"/>
      <c r="R1542" s="2" t="n"/>
      <c r="S1542" s="2" t="n"/>
      <c r="T1542" s="11" t="inlineStr"/>
      <c r="U1542" s="11" t="inlineStr"/>
      <c r="V1542" s="11" t="inlineStr">
        <is>
          <t>outside_list</t>
        </is>
      </c>
      <c r="W1542" s="11" t="n"/>
      <c r="X1542" s="11" t="n"/>
      <c r="Y1542" s="11" t="n"/>
      <c r="Z1542" s="11" t="inlineStr">
        <is>
          <t>Mr. Advocate</t>
        </is>
      </c>
      <c r="AA1542" s="11" t="inlineStr">
        <is>
          <t>2026-10-07</t>
        </is>
      </c>
      <c r="AB1542" s="11" t="inlineStr">
        <is>
          <t>name_year</t>
        </is>
      </c>
      <c r="AC1542" s="2" t="inlineStr"/>
      <c r="AD1542" s="2" t="inlineStr">
        <is>
          <t>Ganga Sharan Varshney v. Shakuntala Devi and Another (1990) was overruled by Kirtikant D. Vadodaria v. State of Gujarat and Another (1996).</t>
        </is>
      </c>
      <c r="AE1542" s="2" t="n"/>
      <c r="AF1542" s="11" t="inlineStr">
        <is>
          <t>created from list 1</t>
        </is>
      </c>
    </row>
    <row r="1543">
      <c r="A1543" s="11" t="inlineStr">
        <is>
          <t>L1-1542</t>
        </is>
      </c>
      <c r="B1543" s="11" t="inlineStr">
        <is>
          <t>List 1 (to ~2015)</t>
        </is>
      </c>
      <c r="C1543" s="11" t="inlineStr">
        <is>
          <t>list1</t>
        </is>
      </c>
      <c r="D1543" s="11" t="inlineStr">
        <is>
          <t>verified</t>
        </is>
      </c>
      <c r="E1543" s="11" t="inlineStr">
        <is>
          <t>reversed_on_appeal</t>
        </is>
      </c>
      <c r="F1543" s="2" t="inlineStr">
        <is>
          <t>The Commissioner, Trade Tax v. S/S Kanpur Edibles Pvt. Limited</t>
        </is>
      </c>
      <c r="G1543" s="11" t="inlineStr"/>
      <c r="H1543" s="11" t="inlineStr">
        <is>
          <t>unknown</t>
        </is>
      </c>
      <c r="I1543" s="2" t="inlineStr">
        <is>
          <t>(2008) 18 VST 466</t>
        </is>
      </c>
      <c r="J1543" s="11" t="n">
        <v>2008</v>
      </c>
      <c r="K1543" s="2" t="inlineStr">
        <is>
          <t>S/s Kanpur Edibles Pvt. Ltd. v. Commissioner, Trade Tax, U.P.</t>
        </is>
      </c>
      <c r="L1543" s="11" t="inlineStr">
        <is>
          <t>Supreme Court</t>
        </is>
      </c>
      <c r="M1543" s="2" t="inlineStr">
        <is>
          <t>AIR 2009 SC 814; (2008) 14 SCALE 288; (2008) 15 SCC 617; (2009) 11 Vat Reporter 123; (2008) 18 VST 485</t>
        </is>
      </c>
      <c r="N1543" s="11" t="n">
        <v>2009</v>
      </c>
      <c r="O1543" s="11" t="n"/>
      <c r="P1543" s="11" t="n"/>
      <c r="Q1543" s="11" t="n"/>
      <c r="R1543" s="2" t="n"/>
      <c r="S1543" s="2" t="n"/>
      <c r="T1543" s="11" t="inlineStr">
        <is>
          <t>yes</t>
        </is>
      </c>
      <c r="U1543" s="11" t="inlineStr"/>
      <c r="V1543" s="11" t="inlineStr">
        <is>
          <t>outside_list</t>
        </is>
      </c>
      <c r="W1543" s="11" t="n"/>
      <c r="X1543" s="11" t="n"/>
      <c r="Y1543" s="11" t="n"/>
      <c r="Z1543" s="11" t="inlineStr">
        <is>
          <t>Mr. Advocate</t>
        </is>
      </c>
      <c r="AA1543" s="11" t="inlineStr">
        <is>
          <t>2026-10-07</t>
        </is>
      </c>
      <c r="AB1543" s="11" t="inlineStr">
        <is>
          <t>name_year</t>
        </is>
      </c>
      <c r="AC1543" s="2" t="inlineStr"/>
      <c r="AD1543" s="2" t="inlineStr">
        <is>
          <t>The Commissioner, Trade Tax v. S/S Kanpur Edibles Pvt. Limited (2008) was reversed on appeal by the Supreme Court in S/s Kanpur Edibles Pvt. Ltd. v. Commissioner, Trade Tax, U.P. (2009).</t>
        </is>
      </c>
      <c r="AE1543" s="2" t="n"/>
      <c r="AF1543" s="11" t="inlineStr">
        <is>
          <t>created from list 1</t>
        </is>
      </c>
    </row>
    <row r="1544">
      <c r="A1544" s="11" t="inlineStr">
        <is>
          <t>L1-1543</t>
        </is>
      </c>
      <c r="B1544" s="11" t="inlineStr">
        <is>
          <t>List 1 (to ~2015)</t>
        </is>
      </c>
      <c r="C1544" s="11" t="inlineStr">
        <is>
          <t>list1</t>
        </is>
      </c>
      <c r="D1544" s="11" t="inlineStr">
        <is>
          <t>verified</t>
        </is>
      </c>
      <c r="E1544" s="11" t="inlineStr">
        <is>
          <t>overruled</t>
        </is>
      </c>
      <c r="F1544" s="2" t="inlineStr">
        <is>
          <t>Bhagwan Singh and Others v. State of Bihar and Others</t>
        </is>
      </c>
      <c r="G1544" s="11" t="inlineStr"/>
      <c r="H1544" s="11" t="inlineStr">
        <is>
          <t>unknown</t>
        </is>
      </c>
      <c r="I1544" s="2" t="inlineStr"/>
      <c r="J1544" s="11" t="n"/>
      <c r="K1544" s="2" t="inlineStr">
        <is>
          <t>Arun Singh @ Arun Kumar Singh v. State of Bihar and Others</t>
        </is>
      </c>
      <c r="L1544" s="11" t="inlineStr">
        <is>
          <t>Supreme Court</t>
        </is>
      </c>
      <c r="M1544" s="2" t="inlineStr">
        <is>
          <t>AIR 2006 SC 1413; (2006) 3 JT 389; (2006) 3 SCALE 130; (2006) 9 SCC 375; (2006) AIRSCW 3653; (2006) AIRSCW 1306; (2006) 2 Supreme 550; (2006) 4 Supreme 169</t>
        </is>
      </c>
      <c r="N1544" s="11" t="n">
        <v>2006</v>
      </c>
      <c r="O1544" s="11" t="n"/>
      <c r="P1544" s="11" t="n"/>
      <c r="Q1544" s="11" t="n"/>
      <c r="R1544" s="2" t="n"/>
      <c r="S1544" s="2" t="n"/>
      <c r="T1544" s="11" t="inlineStr"/>
      <c r="U1544" s="11" t="inlineStr">
        <is>
          <t>no_citation_or_year_for_overruled, needs_citation_or_year</t>
        </is>
      </c>
      <c r="V1544" s="11" t="inlineStr">
        <is>
          <t>outside_list</t>
        </is>
      </c>
      <c r="W1544" s="11" t="n"/>
      <c r="X1544" s="11" t="n"/>
      <c r="Y1544" s="11" t="n"/>
      <c r="Z1544" s="11" t="inlineStr">
        <is>
          <t>Mr. Advocate</t>
        </is>
      </c>
      <c r="AA1544" s="11" t="inlineStr">
        <is>
          <t>2026-10-07</t>
        </is>
      </c>
      <c r="AB1544" s="11" t="inlineStr">
        <is>
          <t>weak</t>
        </is>
      </c>
      <c r="AC1544" s="2" t="inlineStr"/>
      <c r="AD1544" s="2" t="inlineStr">
        <is>
          <t>Bhagwan Singh and Others v. State of Bihar and Others was overruled by Arun Singh @ Arun Kumar Singh v. State of Bihar and Others (2006).</t>
        </is>
      </c>
      <c r="AE1544" s="2" t="n"/>
      <c r="AF1544" s="11" t="inlineStr">
        <is>
          <t>created from list 1</t>
        </is>
      </c>
    </row>
    <row r="1545">
      <c r="A1545" s="11" t="inlineStr">
        <is>
          <t>L1-1544</t>
        </is>
      </c>
      <c r="B1545" s="11" t="inlineStr">
        <is>
          <t>List 1 (to ~2015)</t>
        </is>
      </c>
      <c r="C1545" s="11" t="inlineStr">
        <is>
          <t>list1</t>
        </is>
      </c>
      <c r="D1545" s="11" t="inlineStr">
        <is>
          <t>verified</t>
        </is>
      </c>
      <c r="E1545" s="11" t="inlineStr">
        <is>
          <t>reversed_on_appeal</t>
        </is>
      </c>
      <c r="F1545" s="2" t="inlineStr">
        <is>
          <t>Ice and General Mills v. Income Tax Officer</t>
        </is>
      </c>
      <c r="G1545" s="11" t="inlineStr"/>
      <c r="H1545" s="11" t="inlineStr">
        <is>
          <t>unknown</t>
        </is>
      </c>
      <c r="I1545" s="2" t="inlineStr">
        <is>
          <t>(1972) 83 ITR 34</t>
        </is>
      </c>
      <c r="J1545" s="11" t="n">
        <v>1972</v>
      </c>
      <c r="K1545" s="2" t="inlineStr">
        <is>
          <t>The Ice and General Mills v. The Income Tax Officer, Central Circle II, Meerut</t>
        </is>
      </c>
      <c r="L1545" s="11" t="inlineStr">
        <is>
          <t>Supreme Court</t>
        </is>
      </c>
      <c r="M1545" s="2" t="inlineStr">
        <is>
          <t>(1979) 13 CTR 420; (1980) 121 ITR 547; (1980) 1 SCC 346; (1980) 2 SCR 236; (1980) 12 UJ 89</t>
        </is>
      </c>
      <c r="N1545" s="11" t="n">
        <v>1979</v>
      </c>
      <c r="O1545" s="11" t="n"/>
      <c r="P1545" s="11" t="n"/>
      <c r="Q1545" s="11" t="n"/>
      <c r="R1545" s="2" t="n"/>
      <c r="S1545" s="2" t="n"/>
      <c r="T1545" s="11" t="inlineStr">
        <is>
          <t>yes</t>
        </is>
      </c>
      <c r="U1545" s="11" t="inlineStr"/>
      <c r="V1545" s="11" t="inlineStr">
        <is>
          <t>outside_list</t>
        </is>
      </c>
      <c r="W1545" s="11" t="n"/>
      <c r="X1545" s="11" t="n"/>
      <c r="Y1545" s="11" t="n"/>
      <c r="Z1545" s="11" t="inlineStr">
        <is>
          <t>Mr. Advocate</t>
        </is>
      </c>
      <c r="AA1545" s="11" t="inlineStr">
        <is>
          <t>2026-10-07</t>
        </is>
      </c>
      <c r="AB1545" s="11" t="inlineStr">
        <is>
          <t>name_year</t>
        </is>
      </c>
      <c r="AC1545" s="2" t="inlineStr"/>
      <c r="AD1545" s="2" t="inlineStr">
        <is>
          <t>Ice and General Mills v. Income Tax Officer (1972) was reversed on appeal by the Supreme Court in The Ice and General Mills v. The Income Tax Officer, Central Circle II, Meerut (1979).</t>
        </is>
      </c>
      <c r="AE1545" s="2" t="n"/>
      <c r="AF1545" s="11" t="inlineStr">
        <is>
          <t>created from list 1</t>
        </is>
      </c>
    </row>
    <row r="1546">
      <c r="A1546" s="11" t="inlineStr">
        <is>
          <t>L1-1545</t>
        </is>
      </c>
      <c r="B1546" s="11" t="inlineStr">
        <is>
          <t>List 1 (to ~2015)</t>
        </is>
      </c>
      <c r="C1546" s="11" t="inlineStr">
        <is>
          <t>list1</t>
        </is>
      </c>
      <c r="D1546" s="11" t="inlineStr">
        <is>
          <t>verified</t>
        </is>
      </c>
      <c r="E1546" s="11" t="inlineStr">
        <is>
          <t>overruled</t>
        </is>
      </c>
      <c r="F1546" s="2" t="inlineStr">
        <is>
          <t>Lachchi Ram v. Emperor</t>
        </is>
      </c>
      <c r="G1546" s="11" t="inlineStr"/>
      <c r="H1546" s="11" t="inlineStr">
        <is>
          <t>Allahabad</t>
        </is>
      </c>
      <c r="I1546" s="2" t="inlineStr">
        <is>
          <t>AIR 1922 All 61; 65 Ind. Cas. 852</t>
        </is>
      </c>
      <c r="J1546" s="11" t="n">
        <v>1922</v>
      </c>
      <c r="K1546" s="2" t="inlineStr">
        <is>
          <t>Kanda Padayachi alias Kandaswamy v. State of Tamil Nadu</t>
        </is>
      </c>
      <c r="L1546" s="11" t="inlineStr">
        <is>
          <t>Supreme Court</t>
        </is>
      </c>
      <c r="M1546" s="2" t="inlineStr">
        <is>
          <t>AIR 1972 SC 66; (1972) CriLJ 11; (1971) 2 SCC 641; (1971) SCC(Cri) 623; (1972) 1 SCR 450</t>
        </is>
      </c>
      <c r="N1546" s="11" t="n">
        <v>1972</v>
      </c>
      <c r="O1546" s="11" t="n"/>
      <c r="P1546" s="11" t="n"/>
      <c r="Q1546" s="11" t="n"/>
      <c r="R1546" s="2" t="n"/>
      <c r="S1546" s="2" t="n"/>
      <c r="T1546" s="11" t="inlineStr"/>
      <c r="U1546" s="11" t="inlineStr"/>
      <c r="V1546" s="11" t="inlineStr">
        <is>
          <t>outside_list</t>
        </is>
      </c>
      <c r="W1546" s="11" t="n"/>
      <c r="X1546" s="11" t="n"/>
      <c r="Y1546" s="11" t="n"/>
      <c r="Z1546" s="11" t="inlineStr">
        <is>
          <t>Mr. Advocate</t>
        </is>
      </c>
      <c r="AA1546" s="11" t="inlineStr">
        <is>
          <t>2026-10-07</t>
        </is>
      </c>
      <c r="AB1546" s="11" t="inlineStr">
        <is>
          <t>name_year</t>
        </is>
      </c>
      <c r="AC1546" s="2" t="inlineStr"/>
      <c r="AD1546" s="2" t="inlineStr">
        <is>
          <t>Lachchi Ram v. Emperor (1922) was overruled by Kanda Padayachi alias Kandaswamy v. State of Tamil Nadu (1972).</t>
        </is>
      </c>
      <c r="AE1546" s="2" t="n"/>
      <c r="AF1546" s="11" t="inlineStr">
        <is>
          <t>created from list 1</t>
        </is>
      </c>
    </row>
    <row r="1547">
      <c r="A1547" s="11" t="inlineStr">
        <is>
          <t>L1-1546</t>
        </is>
      </c>
      <c r="B1547" s="11" t="inlineStr">
        <is>
          <t>List 1 (to ~2015)</t>
        </is>
      </c>
      <c r="C1547" s="11" t="inlineStr">
        <is>
          <t>list1</t>
        </is>
      </c>
      <c r="D1547" s="11" t="inlineStr">
        <is>
          <t>verified</t>
        </is>
      </c>
      <c r="E1547" s="11" t="inlineStr">
        <is>
          <t>overruled</t>
        </is>
      </c>
      <c r="F1547" s="2" t="inlineStr">
        <is>
          <t>The State v. Dhanpat Chamara and Others</t>
        </is>
      </c>
      <c r="G1547" s="11" t="inlineStr"/>
      <c r="H1547" s="11" t="inlineStr">
        <is>
          <t>High Court/other (Patna)</t>
        </is>
      </c>
      <c r="I1547" s="2" t="inlineStr">
        <is>
          <t>AIR 1960 Patna 582</t>
        </is>
      </c>
      <c r="J1547" s="11" t="n">
        <v>1960</v>
      </c>
      <c r="K1547" s="2" t="inlineStr">
        <is>
          <t>Surendra Narain alias Munna Pandey v. State of U.P.</t>
        </is>
      </c>
      <c r="L1547" s="11" t="inlineStr">
        <is>
          <t>Supreme Court</t>
        </is>
      </c>
      <c r="M1547" s="2" t="inlineStr">
        <is>
          <t>AIR 1997 SC 4156; (1998) CriLJ 359; (1997) 9 JT 72; (1997) 6 SCALE 675; (1998) 1 SCC 76; (1997) 5 SCR 97 Supp; (1998) 1 UJ 113</t>
        </is>
      </c>
      <c r="N1547" s="11" t="n">
        <v>1997</v>
      </c>
      <c r="O1547" s="11" t="n"/>
      <c r="P1547" s="11" t="n"/>
      <c r="Q1547" s="11" t="n"/>
      <c r="R1547" s="2" t="n"/>
      <c r="S1547" s="2" t="n"/>
      <c r="T1547" s="11" t="inlineStr"/>
      <c r="U1547" s="11" t="inlineStr"/>
      <c r="V1547" s="11" t="inlineStr">
        <is>
          <t>outside_list</t>
        </is>
      </c>
      <c r="W1547" s="11" t="n"/>
      <c r="X1547" s="11" t="n"/>
      <c r="Y1547" s="11" t="n"/>
      <c r="Z1547" s="11" t="inlineStr">
        <is>
          <t>Mr. Advocate</t>
        </is>
      </c>
      <c r="AA1547" s="11" t="inlineStr">
        <is>
          <t>2026-10-07</t>
        </is>
      </c>
      <c r="AB1547" s="11" t="inlineStr">
        <is>
          <t>name_year</t>
        </is>
      </c>
      <c r="AC1547" s="2" t="inlineStr"/>
      <c r="AD1547" s="2" t="inlineStr">
        <is>
          <t>The State v. Dhanpat Chamara and Others (1960) was overruled by Surendra Narain alias Munna Pandey v. State of U.P. (1997).</t>
        </is>
      </c>
      <c r="AE1547" s="2" t="n"/>
      <c r="AF1547" s="11" t="inlineStr">
        <is>
          <t>created from list 1</t>
        </is>
      </c>
    </row>
    <row r="1548">
      <c r="A1548" s="11" t="inlineStr">
        <is>
          <t>L1-1547</t>
        </is>
      </c>
      <c r="B1548" s="11" t="inlineStr">
        <is>
          <t>List 1 (to ~2015)</t>
        </is>
      </c>
      <c r="C1548" s="11" t="inlineStr">
        <is>
          <t>list1</t>
        </is>
      </c>
      <c r="D1548" s="11" t="inlineStr">
        <is>
          <t>verified</t>
        </is>
      </c>
      <c r="E1548" s="11" t="inlineStr">
        <is>
          <t>reversed_on_appeal</t>
        </is>
      </c>
      <c r="F1548" s="2" t="inlineStr">
        <is>
          <t>Sri Gajraj Jain and Another v. State of Bihar and Others</t>
        </is>
      </c>
      <c r="G1548" s="11" t="inlineStr"/>
      <c r="H1548" s="11" t="inlineStr">
        <is>
          <t>unknown</t>
        </is>
      </c>
      <c r="I1548" s="2" t="inlineStr">
        <is>
          <t>(2003) 2 BC 36; (2002) 4 PLJR 651</t>
        </is>
      </c>
      <c r="J1548" s="11" t="n">
        <v>2002</v>
      </c>
      <c r="K1548" s="2" t="inlineStr">
        <is>
          <t>Gajraj Jain v. State of Bihar and Others</t>
        </is>
      </c>
      <c r="L1548" s="11" t="inlineStr">
        <is>
          <t>Supreme Court</t>
        </is>
      </c>
      <c r="M1548" s="2" t="inlineStr">
        <is>
          <t>(2004) 3 BC 514; (2004) 121 CompCas 112; (2004) 5 SCALE 693; (2004) 7 SCC 151; (2004) 52 SCL 746; (2004) 2 SCR 677 Supp</t>
        </is>
      </c>
      <c r="N1548" s="11" t="n">
        <v>2004</v>
      </c>
      <c r="O1548" s="11" t="n"/>
      <c r="P1548" s="11" t="n"/>
      <c r="Q1548" s="11" t="n"/>
      <c r="R1548" s="2" t="n"/>
      <c r="S1548" s="2" t="n"/>
      <c r="T1548" s="11" t="inlineStr">
        <is>
          <t>yes</t>
        </is>
      </c>
      <c r="U1548" s="11" t="inlineStr"/>
      <c r="V1548" s="11" t="inlineStr">
        <is>
          <t>outside_list</t>
        </is>
      </c>
      <c r="W1548" s="11" t="n"/>
      <c r="X1548" s="11" t="n"/>
      <c r="Y1548" s="11" t="n"/>
      <c r="Z1548" s="11" t="inlineStr">
        <is>
          <t>Mr. Advocate</t>
        </is>
      </c>
      <c r="AA1548" s="11" t="inlineStr">
        <is>
          <t>2026-10-07</t>
        </is>
      </c>
      <c r="AB1548" s="11" t="inlineStr">
        <is>
          <t>name_year</t>
        </is>
      </c>
      <c r="AC1548" s="2" t="inlineStr"/>
      <c r="AD1548" s="2" t="inlineStr">
        <is>
          <t>Sri Gajraj Jain and Another v. State of Bihar and Others (2002) was reversed on appeal by the Supreme Court in Gajraj Jain v. State of Bihar and Others (2004).</t>
        </is>
      </c>
      <c r="AE1548" s="2" t="n"/>
      <c r="AF1548" s="11" t="inlineStr">
        <is>
          <t>created from list 1</t>
        </is>
      </c>
    </row>
    <row r="1549">
      <c r="A1549" s="11" t="inlineStr">
        <is>
          <t>L1-1548</t>
        </is>
      </c>
      <c r="B1549" s="11" t="inlineStr">
        <is>
          <t>List 1 (to ~2015)</t>
        </is>
      </c>
      <c r="C1549" s="11" t="inlineStr">
        <is>
          <t>list1</t>
        </is>
      </c>
      <c r="D1549" s="11" t="inlineStr">
        <is>
          <t>verified</t>
        </is>
      </c>
      <c r="E1549" s="11" t="inlineStr">
        <is>
          <t>reversed_on_appeal</t>
        </is>
      </c>
      <c r="F1549" s="2" t="inlineStr">
        <is>
          <t>Smt. Nita Taneja v. Asst. Controller of Estate Duty and Others</t>
        </is>
      </c>
      <c r="G1549" s="11" t="inlineStr"/>
      <c r="H1549" s="11" t="inlineStr">
        <is>
          <t>unknown</t>
        </is>
      </c>
      <c r="I1549" s="2" t="inlineStr">
        <is>
          <t>(1984) 150 ITR 668</t>
        </is>
      </c>
      <c r="J1549" s="11" t="n">
        <v>1984</v>
      </c>
      <c r="K1549" s="2" t="inlineStr">
        <is>
          <t>Nita Taneja (Smt) v. Asstt. Controller and Another</t>
        </is>
      </c>
      <c r="L1549" s="11" t="inlineStr">
        <is>
          <t>Supreme Court</t>
        </is>
      </c>
      <c r="M1549" s="2" t="inlineStr">
        <is>
          <t>(1995) 123 CTR 592; (1995) 211 ITR 462; (1995) 3 SCC 206 Supp</t>
        </is>
      </c>
      <c r="N1549" s="11" t="n">
        <v>1995</v>
      </c>
      <c r="O1549" s="11" t="n"/>
      <c r="P1549" s="11" t="n"/>
      <c r="Q1549" s="11" t="n"/>
      <c r="R1549" s="2" t="n"/>
      <c r="S1549" s="2" t="n"/>
      <c r="T1549" s="11" t="inlineStr">
        <is>
          <t>yes</t>
        </is>
      </c>
      <c r="U1549" s="11" t="inlineStr"/>
      <c r="V1549" s="11" t="inlineStr">
        <is>
          <t>outside_list</t>
        </is>
      </c>
      <c r="W1549" s="11" t="n"/>
      <c r="X1549" s="11" t="n"/>
      <c r="Y1549" s="11" t="n"/>
      <c r="Z1549" s="11" t="inlineStr">
        <is>
          <t>Mr. Advocate</t>
        </is>
      </c>
      <c r="AA1549" s="11" t="inlineStr">
        <is>
          <t>2026-10-07</t>
        </is>
      </c>
      <c r="AB1549" s="11" t="inlineStr">
        <is>
          <t>name_year</t>
        </is>
      </c>
      <c r="AC1549" s="2" t="inlineStr"/>
      <c r="AD1549" s="2" t="inlineStr">
        <is>
          <t>Smt. Nita Taneja v. Asst. Controller of Estate Duty and Others (1984) was reversed on appeal by the Supreme Court in Nita Taneja (Smt) v. Asstt. Controller and Another (1995).</t>
        </is>
      </c>
      <c r="AE1549" s="2" t="n"/>
      <c r="AF1549" s="11" t="inlineStr">
        <is>
          <t>created from list 1</t>
        </is>
      </c>
    </row>
    <row r="1550">
      <c r="A1550" s="11" t="inlineStr">
        <is>
          <t>L1-1549</t>
        </is>
      </c>
      <c r="B1550" s="11" t="inlineStr">
        <is>
          <t>List 1 (to ~2015)</t>
        </is>
      </c>
      <c r="C1550" s="11" t="inlineStr">
        <is>
          <t>list1</t>
        </is>
      </c>
      <c r="D1550" s="11" t="inlineStr">
        <is>
          <t>verified</t>
        </is>
      </c>
      <c r="E1550" s="11" t="inlineStr">
        <is>
          <t>reversed_on_appeal</t>
        </is>
      </c>
      <c r="F1550" s="2" t="inlineStr">
        <is>
          <t>Puspa Devi and Others v. Most. Anand Moyi Devi and Others</t>
        </is>
      </c>
      <c r="G1550" s="11" t="inlineStr"/>
      <c r="H1550" s="11" t="inlineStr">
        <is>
          <t>unknown</t>
        </is>
      </c>
      <c r="I1550" s="2" t="inlineStr"/>
      <c r="J1550" s="11" t="n"/>
      <c r="K1550" s="2" t="inlineStr">
        <is>
          <t>Deb Ratan Biswas and Others v. Most. Anand Moyi Devi and Others</t>
        </is>
      </c>
      <c r="L1550" s="11" t="inlineStr">
        <is>
          <t>Supreme Court</t>
        </is>
      </c>
      <c r="M1550" s="2" t="inlineStr">
        <is>
          <t>AIR 2011 SC 1653; (2011) 4 JT 244; (2011) 164 PLR 135; (2011) 3 RCR(Civil) 681; (2011) 4 SCALE 656; (2011) 7 SCR 303; (2011) AIRSCW 2597; (2011) 3 Supreme 254</t>
        </is>
      </c>
      <c r="N1550" s="11" t="n">
        <v>2011</v>
      </c>
      <c r="O1550" s="11" t="n"/>
      <c r="P1550" s="11" t="n"/>
      <c r="Q1550" s="11" t="n"/>
      <c r="R1550" s="2" t="n"/>
      <c r="S1550" s="2" t="n"/>
      <c r="T1550" s="11" t="inlineStr">
        <is>
          <t>yes</t>
        </is>
      </c>
      <c r="U1550" s="11" t="inlineStr">
        <is>
          <t>no_citation_or_year_for_overruled, needs_citation_or_year</t>
        </is>
      </c>
      <c r="V1550" s="11" t="inlineStr">
        <is>
          <t>outside_list</t>
        </is>
      </c>
      <c r="W1550" s="11" t="n"/>
      <c r="X1550" s="11" t="n"/>
      <c r="Y1550" s="11" t="n"/>
      <c r="Z1550" s="11" t="inlineStr">
        <is>
          <t>Mr. Advocate</t>
        </is>
      </c>
      <c r="AA1550" s="11" t="inlineStr">
        <is>
          <t>2026-10-07</t>
        </is>
      </c>
      <c r="AB1550" s="11" t="inlineStr">
        <is>
          <t>weak</t>
        </is>
      </c>
      <c r="AC1550" s="2" t="inlineStr"/>
      <c r="AD1550" s="2" t="inlineStr">
        <is>
          <t>Puspa Devi and Others v. Most. Anand Moyi Devi and Others was reversed on appeal by the Supreme Court in Deb Ratan Biswas and Others v. Most. Anand Moyi Devi and Others (2011).</t>
        </is>
      </c>
      <c r="AE1550" s="2" t="n"/>
      <c r="AF1550" s="11" t="inlineStr">
        <is>
          <t>created from list 1</t>
        </is>
      </c>
    </row>
    <row r="1551">
      <c r="A1551" s="11" t="inlineStr">
        <is>
          <t>L1-1550</t>
        </is>
      </c>
      <c r="B1551" s="11" t="inlineStr">
        <is>
          <t>List 1 (to ~2015)</t>
        </is>
      </c>
      <c r="C1551" s="11" t="inlineStr">
        <is>
          <t>list1</t>
        </is>
      </c>
      <c r="D1551" s="11" t="inlineStr">
        <is>
          <t>verified</t>
        </is>
      </c>
      <c r="E1551" s="11" t="inlineStr">
        <is>
          <t>overruled</t>
        </is>
      </c>
      <c r="F1551" s="2" t="inlineStr">
        <is>
          <t>Bishwanath Raut and Others v. Babu Ram Ratan Singh and Others</t>
        </is>
      </c>
      <c r="G1551" s="11" t="inlineStr"/>
      <c r="H1551" s="11" t="inlineStr">
        <is>
          <t>High Court/other (Patna)</t>
        </is>
      </c>
      <c r="I1551" s="2" t="inlineStr">
        <is>
          <t>AIR 1957 Patna 485</t>
        </is>
      </c>
      <c r="J1551" s="11" t="n">
        <v>1957</v>
      </c>
      <c r="K1551" s="2" t="inlineStr">
        <is>
          <t>Nagulapati Lakshmamma v. Mupparaju Subbaiah</t>
        </is>
      </c>
      <c r="L1551" s="11" t="inlineStr">
        <is>
          <t>Supreme Court</t>
        </is>
      </c>
      <c r="M1551" s="2" t="inlineStr">
        <is>
          <t>(1998) 3 AD 557; AIR 1998 SC 2904; (1998) 2 CTC 408; (1998) 3 JT 253; (1998) 119 PLR 528; (1998) 2 SCALE 705; (1998) 5 SCC 285; (1998) 2 SCR 723; (1998) AIRSCW 2254; (1998) 3 Supreme 614</t>
        </is>
      </c>
      <c r="N1551" s="11" t="n">
        <v>1998</v>
      </c>
      <c r="O1551" s="11" t="n"/>
      <c r="P1551" s="11" t="n"/>
      <c r="Q1551" s="11" t="n"/>
      <c r="R1551" s="2" t="n"/>
      <c r="S1551" s="2" t="n"/>
      <c r="T1551" s="11" t="inlineStr"/>
      <c r="U1551" s="11" t="inlineStr"/>
      <c r="V1551" s="11" t="inlineStr">
        <is>
          <t>outside_list</t>
        </is>
      </c>
      <c r="W1551" s="11" t="n"/>
      <c r="X1551" s="11" t="n"/>
      <c r="Y1551" s="11" t="n"/>
      <c r="Z1551" s="11" t="inlineStr">
        <is>
          <t>Mr. Advocate</t>
        </is>
      </c>
      <c r="AA1551" s="11" t="inlineStr">
        <is>
          <t>2026-10-07</t>
        </is>
      </c>
      <c r="AB1551" s="11" t="inlineStr">
        <is>
          <t>name_year</t>
        </is>
      </c>
      <c r="AC1551" s="2" t="inlineStr"/>
      <c r="AD1551" s="2" t="inlineStr">
        <is>
          <t>Bishwanath Raut and Others v. Babu Ram Ratan Singh and Others (1957) was overruled by Nagulapati Lakshmamma v. Mupparaju Subbaiah (1998).</t>
        </is>
      </c>
      <c r="AE1551" s="2" t="n"/>
      <c r="AF1551" s="11" t="inlineStr">
        <is>
          <t>created from list 1</t>
        </is>
      </c>
    </row>
    <row r="1552">
      <c r="A1552" s="11" t="inlineStr">
        <is>
          <t>L1-1551</t>
        </is>
      </c>
      <c r="B1552" s="11" t="inlineStr">
        <is>
          <t>List 1 (to ~2015)</t>
        </is>
      </c>
      <c r="C1552" s="11" t="inlineStr">
        <is>
          <t>list1</t>
        </is>
      </c>
      <c r="D1552" s="11" t="inlineStr">
        <is>
          <t>verified</t>
        </is>
      </c>
      <c r="E1552" s="11" t="inlineStr">
        <is>
          <t>overruled</t>
        </is>
      </c>
      <c r="F1552" s="2" t="inlineStr">
        <is>
          <t>Sidheshwar Prasad Singh and Others v. Ram Saroop Singh and Others</t>
        </is>
      </c>
      <c r="G1552" s="11" t="inlineStr"/>
      <c r="H1552" s="11" t="inlineStr">
        <is>
          <t>High Court/other (Patna)</t>
        </is>
      </c>
      <c r="I1552" s="2" t="inlineStr">
        <is>
          <t>AIR 1963 Patna 412</t>
        </is>
      </c>
      <c r="J1552" s="11" t="n">
        <v>1963</v>
      </c>
      <c r="K1552" s="2" t="inlineStr">
        <is>
          <t>Shivashankar Prasad Shah and Others v. Baikunth Nath Singh and Others</t>
        </is>
      </c>
      <c r="L1552" s="11" t="inlineStr">
        <is>
          <t>Supreme Court</t>
        </is>
      </c>
      <c r="M1552" s="2" t="inlineStr">
        <is>
          <t>AIR 1969 SC 971; (1969) 1 SCC 718; (1969) 3 SCR 908</t>
        </is>
      </c>
      <c r="N1552" s="11" t="n">
        <v>1969</v>
      </c>
      <c r="O1552" s="11" t="n"/>
      <c r="P1552" s="11" t="n"/>
      <c r="Q1552" s="11" t="n"/>
      <c r="R1552" s="2" t="n"/>
      <c r="S1552" s="2" t="n"/>
      <c r="T1552" s="11" t="inlineStr"/>
      <c r="U1552" s="11" t="inlineStr"/>
      <c r="V1552" s="11" t="inlineStr">
        <is>
          <t>outside_list</t>
        </is>
      </c>
      <c r="W1552" s="11" t="n"/>
      <c r="X1552" s="11" t="n"/>
      <c r="Y1552" s="11" t="n"/>
      <c r="Z1552" s="11" t="inlineStr">
        <is>
          <t>Mr. Advocate</t>
        </is>
      </c>
      <c r="AA1552" s="11" t="inlineStr">
        <is>
          <t>2026-10-07</t>
        </is>
      </c>
      <c r="AB1552" s="11" t="inlineStr">
        <is>
          <t>name_year</t>
        </is>
      </c>
      <c r="AC1552" s="2" t="inlineStr"/>
      <c r="AD1552" s="2" t="inlineStr">
        <is>
          <t>Sidheshwar Prasad Singh and Others v. Ram Saroop Singh and Others (1963) was overruled by Shivashankar Prasad Shah and Others v. Baikunth Nath Singh and Others (1969).</t>
        </is>
      </c>
      <c r="AE1552" s="2" t="n"/>
      <c r="AF1552" s="11" t="inlineStr">
        <is>
          <t>created from list 1</t>
        </is>
      </c>
    </row>
    <row r="1553">
      <c r="A1553" s="11" t="inlineStr">
        <is>
          <t>L1-1552</t>
        </is>
      </c>
      <c r="B1553" s="11" t="inlineStr">
        <is>
          <t>List 1 (to ~2015)</t>
        </is>
      </c>
      <c r="C1553" s="11" t="inlineStr">
        <is>
          <t>list1</t>
        </is>
      </c>
      <c r="D1553" s="11" t="inlineStr">
        <is>
          <t>verified</t>
        </is>
      </c>
      <c r="E1553" s="11" t="inlineStr">
        <is>
          <t>overruled</t>
        </is>
      </c>
      <c r="F1553" s="2" t="inlineStr">
        <is>
          <t>Sir Kameshwar Singh v. The Commr. of Income Tax</t>
        </is>
      </c>
      <c r="G1553" s="11" t="inlineStr"/>
      <c r="H1553" s="11" t="inlineStr">
        <is>
          <t>High Court/other (Patna)</t>
        </is>
      </c>
      <c r="I1553" s="2" t="inlineStr">
        <is>
          <t>AIR 1957 Patna 400; (1957) 32 ITR 377</t>
        </is>
      </c>
      <c r="J1553" s="11" t="n">
        <v>1957</v>
      </c>
      <c r="K1553" s="2" t="inlineStr">
        <is>
          <t>Commissioner of Income Tax, West Bengal-III v. Rajendra Prasad Moody</t>
        </is>
      </c>
      <c r="L1553" s="11" t="inlineStr">
        <is>
          <t>Supreme Court</t>
        </is>
      </c>
      <c r="M1553" s="2" t="inlineStr">
        <is>
          <t>AIR 1979 SC 373; (1978) 115 ITR 519; (1979) 1 SCC 250; (1979) 1 SCR 1047; (1978) 10 UJ 825</t>
        </is>
      </c>
      <c r="N1553" s="11" t="n">
        <v>1979</v>
      </c>
      <c r="O1553" s="11" t="n"/>
      <c r="P1553" s="11" t="n"/>
      <c r="Q1553" s="11" t="n"/>
      <c r="R1553" s="2" t="n"/>
      <c r="S1553" s="2" t="n"/>
      <c r="T1553" s="11" t="inlineStr"/>
      <c r="U1553" s="11" t="inlineStr"/>
      <c r="V1553" s="11" t="inlineStr">
        <is>
          <t>outside_list</t>
        </is>
      </c>
      <c r="W1553" s="11" t="n"/>
      <c r="X1553" s="11" t="n"/>
      <c r="Y1553" s="11" t="n"/>
      <c r="Z1553" s="11" t="inlineStr">
        <is>
          <t>Mr. Advocate</t>
        </is>
      </c>
      <c r="AA1553" s="11" t="inlineStr">
        <is>
          <t>2026-10-07</t>
        </is>
      </c>
      <c r="AB1553" s="11" t="inlineStr">
        <is>
          <t>name_year</t>
        </is>
      </c>
      <c r="AC1553" s="2" t="inlineStr"/>
      <c r="AD1553" s="2" t="inlineStr">
        <is>
          <t>Sir Kameshwar Singh v. The Commr. of Income Tax (1957) was overruled by Commissioner of Income Tax, West Bengal-III v. Rajendra Prasad Moody (1979).</t>
        </is>
      </c>
      <c r="AE1553" s="2" t="n"/>
      <c r="AF1553" s="11" t="inlineStr">
        <is>
          <t>created from list 1</t>
        </is>
      </c>
    </row>
    <row r="1554">
      <c r="A1554" s="11" t="inlineStr">
        <is>
          <t>L1-1553</t>
        </is>
      </c>
      <c r="B1554" s="11" t="inlineStr">
        <is>
          <t>List 1 (to ~2015)</t>
        </is>
      </c>
      <c r="C1554" s="11" t="inlineStr">
        <is>
          <t>list1</t>
        </is>
      </c>
      <c r="D1554" s="11" t="inlineStr">
        <is>
          <t>verified</t>
        </is>
      </c>
      <c r="E1554" s="11" t="inlineStr">
        <is>
          <t>overruled</t>
        </is>
      </c>
      <c r="F1554" s="2" t="inlineStr">
        <is>
          <t>Chandra Kishore Jha etc. v. The State of Bihar</t>
        </is>
      </c>
      <c r="G1554" s="11" t="inlineStr"/>
      <c r="H1554" s="11" t="inlineStr">
        <is>
          <t>unknown</t>
        </is>
      </c>
      <c r="I1554" s="2" t="inlineStr">
        <is>
          <t>(1975) CriLJ 1939</t>
        </is>
      </c>
      <c r="J1554" s="11" t="n">
        <v>1975</v>
      </c>
      <c r="K1554" s="2" t="inlineStr">
        <is>
          <t>Keshab Narayan Banerjee and Others v. The State of Bihar</t>
        </is>
      </c>
      <c r="L1554" s="11" t="inlineStr">
        <is>
          <t>Supreme Court</t>
        </is>
      </c>
      <c r="M1554" s="2" t="inlineStr">
        <is>
          <t>AIR 2000 SC 485; (2000) CriLJ 595; (1999) 10 JT 37; (1999) 7 SCALE 520; (1999) 7 SCALE 127; (2000) 1 SCC 607; (1999) 5 SCR 394 Supp; (2000) 1 UJ 180; (1999) AIRSCW 4646; (1999) 10 Supreme 372</t>
        </is>
      </c>
      <c r="N1554" s="11" t="n">
        <v>2000</v>
      </c>
      <c r="O1554" s="11" t="n"/>
      <c r="P1554" s="11" t="n"/>
      <c r="Q1554" s="11" t="n"/>
      <c r="R1554" s="2" t="n"/>
      <c r="S1554" s="2" t="n"/>
      <c r="T1554" s="11" t="inlineStr"/>
      <c r="U1554" s="11" t="inlineStr"/>
      <c r="V1554" s="11" t="inlineStr">
        <is>
          <t>outside_list</t>
        </is>
      </c>
      <c r="W1554" s="11" t="n"/>
      <c r="X1554" s="11" t="n"/>
      <c r="Y1554" s="11" t="n"/>
      <c r="Z1554" s="11" t="inlineStr">
        <is>
          <t>Mr. Advocate</t>
        </is>
      </c>
      <c r="AA1554" s="11" t="inlineStr">
        <is>
          <t>2026-10-07</t>
        </is>
      </c>
      <c r="AB1554" s="11" t="inlineStr">
        <is>
          <t>name_year</t>
        </is>
      </c>
      <c r="AC1554" s="2" t="inlineStr"/>
      <c r="AD1554" s="2" t="inlineStr">
        <is>
          <t>Chandra Kishore Jha etc. v. The State of Bihar (1975) was overruled by Keshab Narayan Banerjee and Others v. The State of Bihar (2000).</t>
        </is>
      </c>
      <c r="AE1554" s="2" t="n"/>
      <c r="AF1554" s="11" t="inlineStr">
        <is>
          <t>created from list 1</t>
        </is>
      </c>
    </row>
    <row r="1555">
      <c r="A1555" s="11" t="inlineStr">
        <is>
          <t>L1-1554</t>
        </is>
      </c>
      <c r="B1555" s="11" t="inlineStr">
        <is>
          <t>List 1 (to ~2015)</t>
        </is>
      </c>
      <c r="C1555" s="11" t="inlineStr">
        <is>
          <t>list1</t>
        </is>
      </c>
      <c r="D1555" s="11" t="inlineStr">
        <is>
          <t>verified</t>
        </is>
      </c>
      <c r="E1555" s="11" t="inlineStr">
        <is>
          <t>overruled</t>
        </is>
      </c>
      <c r="F1555" s="2" t="inlineStr">
        <is>
          <t>Commissioner of Income Tax v. Bihar Cotton Mills Limited</t>
        </is>
      </c>
      <c r="G1555" s="11" t="inlineStr"/>
      <c r="H1555" s="11" t="inlineStr">
        <is>
          <t>unknown</t>
        </is>
      </c>
      <c r="I1555" s="2" t="inlineStr">
        <is>
          <t>(1988) 170 ITR 290</t>
        </is>
      </c>
      <c r="J1555" s="11" t="n">
        <v>1988</v>
      </c>
      <c r="K1555" s="2" t="inlineStr">
        <is>
          <t>Commissioner of Income Tax, Lucknow v. M/s. Onkar Saran and Sons</t>
        </is>
      </c>
      <c r="L1555" s="11" t="inlineStr">
        <is>
          <t>Supreme Court</t>
        </is>
      </c>
      <c r="M1555" s="2" t="inlineStr">
        <is>
          <t>AIR 1992 SC 1139; (1992) 103 CTR 293; (1992) 195 ITR 1; (1992) 2 JT 567; (1992) 1 SCALE 651; (1992) 2 SCC 514; (1992) 2 SCR 187; (1992) 62 TAXMAN 440</t>
        </is>
      </c>
      <c r="N1555" s="11" t="n">
        <v>1992</v>
      </c>
      <c r="O1555" s="11" t="n"/>
      <c r="P1555" s="11" t="n"/>
      <c r="Q1555" s="11" t="n"/>
      <c r="R1555" s="2" t="n"/>
      <c r="S1555" s="2" t="n"/>
      <c r="T1555" s="11" t="inlineStr"/>
      <c r="U1555" s="11" t="inlineStr"/>
      <c r="V1555" s="11" t="inlineStr">
        <is>
          <t>outside_list</t>
        </is>
      </c>
      <c r="W1555" s="11" t="n"/>
      <c r="X1555" s="11" t="n"/>
      <c r="Y1555" s="11" t="n"/>
      <c r="Z1555" s="11" t="inlineStr">
        <is>
          <t>Mr. Advocate</t>
        </is>
      </c>
      <c r="AA1555" s="11" t="inlineStr">
        <is>
          <t>2026-10-07</t>
        </is>
      </c>
      <c r="AB1555" s="11" t="inlineStr">
        <is>
          <t>name_year</t>
        </is>
      </c>
      <c r="AC1555" s="2" t="inlineStr"/>
      <c r="AD1555" s="2" t="inlineStr">
        <is>
          <t>Commissioner of Income Tax v. Bihar Cotton Mills Limited (1988) was overruled by Commissioner of Income Tax, Lucknow v. M/s. Onkar Saran and Sons (1992).</t>
        </is>
      </c>
      <c r="AE1555" s="2" t="n"/>
      <c r="AF1555" s="11" t="inlineStr">
        <is>
          <t>created from list 1</t>
        </is>
      </c>
    </row>
    <row r="1556">
      <c r="A1556" s="11" t="inlineStr">
        <is>
          <t>L1-1555</t>
        </is>
      </c>
      <c r="B1556" s="11" t="inlineStr">
        <is>
          <t>List 1 (to ~2015)</t>
        </is>
      </c>
      <c r="C1556" s="11" t="inlineStr">
        <is>
          <t>list1</t>
        </is>
      </c>
      <c r="D1556" s="11" t="inlineStr">
        <is>
          <t>verified</t>
        </is>
      </c>
      <c r="E1556" s="11" t="inlineStr">
        <is>
          <t>overruled</t>
        </is>
      </c>
      <c r="F1556" s="2" t="inlineStr">
        <is>
          <t>Amarnath Singh v. Presiding Officer, Industrial Tribunal and Others</t>
        </is>
      </c>
      <c r="G1556" s="11" t="inlineStr"/>
      <c r="H1556" s="11" t="inlineStr">
        <is>
          <t>High Court/other (Patna)</t>
        </is>
      </c>
      <c r="I1556" s="2" t="inlineStr">
        <is>
          <t>AIR 1970 Patna 269; (1969) 17 BLJR 1078; (1970) 20 FLR 64; (1969) 2 PLJR 486</t>
        </is>
      </c>
      <c r="J1556" s="11" t="n">
        <v>1970</v>
      </c>
      <c r="K1556" s="2" t="inlineStr">
        <is>
          <t>Kishorebhai Khamanchand Goyal v. State of Gujarat and Another</t>
        </is>
      </c>
      <c r="L1556" s="11" t="inlineStr">
        <is>
          <t>Supreme Court</t>
        </is>
      </c>
      <c r="M1556" s="2" t="inlineStr">
        <is>
          <t>(2003) 8 JT 399; (2004) 1 LLJ 428; (2003) 9 SCALE 119; (2003) 12 SCC 274; (2003) 5 SCR 1 Supp; (2004) 1 UJ 398</t>
        </is>
      </c>
      <c r="N1556" s="11" t="n">
        <v>2003</v>
      </c>
      <c r="O1556" s="11" t="n"/>
      <c r="P1556" s="11" t="n"/>
      <c r="Q1556" s="11" t="n"/>
      <c r="R1556" s="2" t="n"/>
      <c r="S1556" s="2" t="n"/>
      <c r="T1556" s="11" t="inlineStr"/>
      <c r="U1556" s="11" t="inlineStr"/>
      <c r="V1556" s="11" t="inlineStr">
        <is>
          <t>outside_list</t>
        </is>
      </c>
      <c r="W1556" s="11" t="n"/>
      <c r="X1556" s="11" t="n"/>
      <c r="Y1556" s="11" t="n"/>
      <c r="Z1556" s="11" t="inlineStr">
        <is>
          <t>Mr. Advocate</t>
        </is>
      </c>
      <c r="AA1556" s="11" t="inlineStr">
        <is>
          <t>2026-10-07</t>
        </is>
      </c>
      <c r="AB1556" s="11" t="inlineStr">
        <is>
          <t>name_year</t>
        </is>
      </c>
      <c r="AC1556" s="2" t="inlineStr"/>
      <c r="AD1556" s="2" t="inlineStr">
        <is>
          <t>Amarnath Singh v. Presiding Officer, Industrial Tribunal and Others (1970) was overruled by Kishorebhai Khamanchand Goyal v. State of Gujarat and Another (2003).</t>
        </is>
      </c>
      <c r="AE1556" s="2" t="n"/>
      <c r="AF1556" s="11" t="inlineStr">
        <is>
          <t>created from list 1</t>
        </is>
      </c>
    </row>
    <row r="1557">
      <c r="A1557" s="11" t="inlineStr">
        <is>
          <t>L1-1556</t>
        </is>
      </c>
      <c r="B1557" s="11" t="inlineStr">
        <is>
          <t>List 1 (to ~2015)</t>
        </is>
      </c>
      <c r="C1557" s="11" t="inlineStr">
        <is>
          <t>list1</t>
        </is>
      </c>
      <c r="D1557" s="11" t="inlineStr">
        <is>
          <t>verified</t>
        </is>
      </c>
      <c r="E1557" s="11" t="inlineStr">
        <is>
          <t>overruled</t>
        </is>
      </c>
      <c r="F1557" s="2" t="inlineStr">
        <is>
          <t>Umesh Kumar Verma v. Chandrika Pd. Singh (since deceased) and Others</t>
        </is>
      </c>
      <c r="G1557" s="11" t="inlineStr"/>
      <c r="H1557" s="11" t="inlineStr">
        <is>
          <t>High Court/other (Patna)</t>
        </is>
      </c>
      <c r="I1557" s="2" t="inlineStr">
        <is>
          <t>AIR 1998 Patna 166; (1998) 46 BLJR 1353; (1998) 1 PLJR 732</t>
        </is>
      </c>
      <c r="J1557" s="11" t="n">
        <v>1998</v>
      </c>
      <c r="K1557" s="2" t="inlineStr">
        <is>
          <t>Chandrika Prasad (D) Thr. Lrs. and Another v. Umesh Kumar Verma and Others</t>
        </is>
      </c>
      <c r="L1557" s="11" t="inlineStr">
        <is>
          <t>Supreme Court</t>
        </is>
      </c>
      <c r="M1557" s="2" t="inlineStr">
        <is>
          <t>AIR 2002 SC 108; (2001) 9 JT 493; (2001) 8 SCALE 128; (2002) 1 SCC 531; (2001) AIRSCW 4669; (2001) 8 Supreme 275</t>
        </is>
      </c>
      <c r="N1557" s="11" t="n">
        <v>2002</v>
      </c>
      <c r="O1557" s="11" t="n"/>
      <c r="P1557" s="11" t="n"/>
      <c r="Q1557" s="11" t="n"/>
      <c r="R1557" s="2" t="n"/>
      <c r="S1557" s="2" t="n"/>
      <c r="T1557" s="11" t="inlineStr"/>
      <c r="U1557" s="11" t="inlineStr"/>
      <c r="V1557" s="11" t="inlineStr">
        <is>
          <t>outside_list</t>
        </is>
      </c>
      <c r="W1557" s="11" t="n"/>
      <c r="X1557" s="11" t="n"/>
      <c r="Y1557" s="11" t="n"/>
      <c r="Z1557" s="11" t="inlineStr">
        <is>
          <t>Mr. Advocate</t>
        </is>
      </c>
      <c r="AA1557" s="11" t="inlineStr">
        <is>
          <t>2026-10-07</t>
        </is>
      </c>
      <c r="AB1557" s="11" t="inlineStr">
        <is>
          <t>name_year</t>
        </is>
      </c>
      <c r="AC1557" s="2" t="inlineStr"/>
      <c r="AD1557" s="2" t="inlineStr">
        <is>
          <t>Umesh Kumar Verma v. Chandrika Pd. Singh (since deceased) and Others (1998) was overruled by Chandrika Prasad (D) Thr. Lrs. and Another v. Umesh Kumar Verma and Others (2002).</t>
        </is>
      </c>
      <c r="AE1557" s="2" t="n"/>
      <c r="AF1557" s="11" t="inlineStr">
        <is>
          <t>created from list 1</t>
        </is>
      </c>
    </row>
    <row r="1558">
      <c r="A1558" s="11" t="inlineStr">
        <is>
          <t>L1-1557</t>
        </is>
      </c>
      <c r="B1558" s="11" t="inlineStr">
        <is>
          <t>List 1 (to ~2015)</t>
        </is>
      </c>
      <c r="C1558" s="11" t="inlineStr">
        <is>
          <t>list1</t>
        </is>
      </c>
      <c r="D1558" s="11" t="inlineStr">
        <is>
          <t>verified</t>
        </is>
      </c>
      <c r="E1558" s="11" t="inlineStr">
        <is>
          <t>reversed_on_appeal</t>
        </is>
      </c>
      <c r="F1558" s="2" t="inlineStr">
        <is>
          <t>State of Bihar v. Bank of Bihar Ltd.</t>
        </is>
      </c>
      <c r="G1558" s="11" t="inlineStr"/>
      <c r="H1558" s="11" t="inlineStr">
        <is>
          <t>High Court/other (Patna)</t>
        </is>
      </c>
      <c r="I1558" s="2" t="inlineStr">
        <is>
          <t>AIR 1963 Patna 344</t>
        </is>
      </c>
      <c r="J1558" s="11" t="n">
        <v>1963</v>
      </c>
      <c r="K1558" s="2" t="inlineStr">
        <is>
          <t>The Bank of Bihar v. The State of Bihar and Others</t>
        </is>
      </c>
      <c r="L1558" s="11" t="inlineStr">
        <is>
          <t>Supreme Court</t>
        </is>
      </c>
      <c r="M1558" s="2" t="inlineStr">
        <is>
          <t>AIR 1971 SC 1210; (1971) 41 CompCas 591; (1972) 3 SCC 196; (1971) SCR 299 Supp; (1971) 3 UJ 638</t>
        </is>
      </c>
      <c r="N1558" s="11" t="n">
        <v>1971</v>
      </c>
      <c r="O1558" s="11" t="n"/>
      <c r="P1558" s="11" t="n"/>
      <c r="Q1558" s="11" t="n"/>
      <c r="R1558" s="2" t="n"/>
      <c r="S1558" s="2" t="n"/>
      <c r="T1558" s="11" t="inlineStr">
        <is>
          <t>yes</t>
        </is>
      </c>
      <c r="U1558" s="11" t="inlineStr"/>
      <c r="V1558" s="11" t="inlineStr">
        <is>
          <t>outside_list</t>
        </is>
      </c>
      <c r="W1558" s="11" t="n"/>
      <c r="X1558" s="11" t="n"/>
      <c r="Y1558" s="11" t="n"/>
      <c r="Z1558" s="11" t="inlineStr">
        <is>
          <t>Mr. Advocate</t>
        </is>
      </c>
      <c r="AA1558" s="11" t="inlineStr">
        <is>
          <t>2026-10-07</t>
        </is>
      </c>
      <c r="AB1558" s="11" t="inlineStr">
        <is>
          <t>citation</t>
        </is>
      </c>
      <c r="AC1558" s="2" t="inlineStr"/>
      <c r="AD1558" s="2" t="inlineStr">
        <is>
          <t>State of Bihar v. Bank of Bihar Ltd. (1963) was reversed on appeal by the Supreme Court in The Bank of Bihar v. The State of Bihar and Others (1971).</t>
        </is>
      </c>
      <c r="AE1558" s="2" t="n"/>
      <c r="AF1558" s="11" t="inlineStr">
        <is>
          <t>created from list 1</t>
        </is>
      </c>
    </row>
    <row r="1559">
      <c r="A1559" s="11" t="inlineStr">
        <is>
          <t>L1-1558</t>
        </is>
      </c>
      <c r="B1559" s="11" t="inlineStr">
        <is>
          <t>List 1 (to ~2015)</t>
        </is>
      </c>
      <c r="C1559" s="11" t="inlineStr">
        <is>
          <t>list1</t>
        </is>
      </c>
      <c r="D1559" s="11" t="inlineStr">
        <is>
          <t>verified</t>
        </is>
      </c>
      <c r="E1559" s="11" t="inlineStr">
        <is>
          <t>reversed_on_appeal</t>
        </is>
      </c>
      <c r="F1559" s="2" t="inlineStr">
        <is>
          <t>Bihar Pensioners Samaj v. The State of Bihar and Others</t>
        </is>
      </c>
      <c r="G1559" s="11" t="inlineStr"/>
      <c r="H1559" s="11" t="inlineStr">
        <is>
          <t>unknown</t>
        </is>
      </c>
      <c r="I1559" s="2" t="inlineStr"/>
      <c r="J1559" s="11" t="n"/>
      <c r="K1559" s="2" t="inlineStr">
        <is>
          <t>State of Bihar and Others v. Bihar Pensioners Samaj</t>
        </is>
      </c>
      <c r="L1559" s="11" t="inlineStr">
        <is>
          <t>Supreme Court</t>
        </is>
      </c>
      <c r="M1559" s="2" t="inlineStr">
        <is>
          <t>AIR 2006 SC 2100; (2006) 109 FLR 1088; (2006) 5 JT 131; (2006) 2 LLJ 1038; (2006) 4 SCALE 600; (2006) 5 SCC 65; (2006) SCC(L&amp;S) 913; (2006) AIRSCW 2324; (2006) 3 Supreme 743</t>
        </is>
      </c>
      <c r="N1559" s="11" t="n">
        <v>2006</v>
      </c>
      <c r="O1559" s="11" t="n"/>
      <c r="P1559" s="11" t="n"/>
      <c r="Q1559" s="11" t="n"/>
      <c r="R1559" s="2" t="n"/>
      <c r="S1559" s="2" t="n"/>
      <c r="T1559" s="11" t="inlineStr">
        <is>
          <t>yes</t>
        </is>
      </c>
      <c r="U1559" s="11" t="inlineStr">
        <is>
          <t>no_citation_or_year_for_overruled, needs_citation_or_year</t>
        </is>
      </c>
      <c r="V1559" s="11" t="inlineStr">
        <is>
          <t>outside_list</t>
        </is>
      </c>
      <c r="W1559" s="11" t="n"/>
      <c r="X1559" s="11" t="n"/>
      <c r="Y1559" s="11" t="n"/>
      <c r="Z1559" s="11" t="inlineStr">
        <is>
          <t>Mr. Advocate</t>
        </is>
      </c>
      <c r="AA1559" s="11" t="inlineStr">
        <is>
          <t>2026-10-07</t>
        </is>
      </c>
      <c r="AB1559" s="11" t="inlineStr">
        <is>
          <t>weak</t>
        </is>
      </c>
      <c r="AC1559" s="2" t="inlineStr"/>
      <c r="AD1559" s="2" t="inlineStr">
        <is>
          <t>Bihar Pensioners Samaj v. The State of Bihar and Others was reversed on appeal by the Supreme Court in State of Bihar and Others v. Bihar Pensioners Samaj (2006).</t>
        </is>
      </c>
      <c r="AE1559" s="2" t="n"/>
      <c r="AF1559" s="11" t="inlineStr">
        <is>
          <t>created from list 1</t>
        </is>
      </c>
    </row>
    <row r="1560">
      <c r="A1560" s="11" t="inlineStr">
        <is>
          <t>L1-1559</t>
        </is>
      </c>
      <c r="B1560" s="11" t="inlineStr">
        <is>
          <t>List 1 (to ~2015)</t>
        </is>
      </c>
      <c r="C1560" s="11" t="inlineStr">
        <is>
          <t>list1</t>
        </is>
      </c>
      <c r="D1560" s="11" t="inlineStr">
        <is>
          <t>verified</t>
        </is>
      </c>
      <c r="E1560" s="11" t="inlineStr">
        <is>
          <t>reversed_on_appeal</t>
        </is>
      </c>
      <c r="F1560" s="2" t="inlineStr">
        <is>
          <t>Maharaja Chintamani Saran Nath Sah Deo v. The Commissioner of Income Tax</t>
        </is>
      </c>
      <c r="G1560" s="11" t="inlineStr"/>
      <c r="H1560" s="11" t="inlineStr">
        <is>
          <t>High Court/other (Patna)</t>
        </is>
      </c>
      <c r="I1560" s="2" t="inlineStr">
        <is>
          <t>AIR 1966 Patna 326</t>
        </is>
      </c>
      <c r="J1560" s="11" t="n">
        <v>1966</v>
      </c>
      <c r="K1560" s="2" t="inlineStr">
        <is>
          <t>Maharaja Chintamani Saran Nath Sah Deo v. Commissioner of Income Tax, Bihar and Orissa</t>
        </is>
      </c>
      <c r="L1560" s="11" t="inlineStr">
        <is>
          <t>Supreme Court</t>
        </is>
      </c>
      <c r="M1560" s="2" t="inlineStr">
        <is>
          <t>AIR 1972 SC 80; (1971) 82 ITR 464; (1971) 2 SCC 521(1); (1971) 2 SCC 521; (1972) 1 SCR 36</t>
        </is>
      </c>
      <c r="N1560" s="11" t="n">
        <v>1972</v>
      </c>
      <c r="O1560" s="11" t="n"/>
      <c r="P1560" s="11" t="n"/>
      <c r="Q1560" s="11" t="n"/>
      <c r="R1560" s="2" t="n"/>
      <c r="S1560" s="2" t="n"/>
      <c r="T1560" s="11" t="inlineStr">
        <is>
          <t>yes</t>
        </is>
      </c>
      <c r="U1560" s="11" t="inlineStr"/>
      <c r="V1560" s="11" t="inlineStr">
        <is>
          <t>outside_list</t>
        </is>
      </c>
      <c r="W1560" s="11" t="n"/>
      <c r="X1560" s="11" t="n"/>
      <c r="Y1560" s="11" t="n"/>
      <c r="Z1560" s="11" t="inlineStr">
        <is>
          <t>Mr. Advocate</t>
        </is>
      </c>
      <c r="AA1560" s="11" t="inlineStr">
        <is>
          <t>2026-10-07</t>
        </is>
      </c>
      <c r="AB1560" s="11" t="inlineStr">
        <is>
          <t>name_year</t>
        </is>
      </c>
      <c r="AC1560" s="2" t="inlineStr"/>
      <c r="AD1560" s="2" t="inlineStr">
        <is>
          <t>Maharaja Chintamani Saran Nath Sah Deo v. The Commissioner of Income Tax (1966) was reversed on appeal by the Supreme Court in Maharaja Chintamani Saran Nath Sah Deo v. Commissioner of Income Tax, Bihar and Orissa (1972).</t>
        </is>
      </c>
      <c r="AE1560" s="2" t="n"/>
      <c r="AF1560" s="11" t="inlineStr">
        <is>
          <t>created from list 1</t>
        </is>
      </c>
    </row>
    <row r="1561">
      <c r="A1561" s="11" t="inlineStr">
        <is>
          <t>L1-1560</t>
        </is>
      </c>
      <c r="B1561" s="11" t="inlineStr">
        <is>
          <t>List 1 (to ~2015)</t>
        </is>
      </c>
      <c r="C1561" s="11" t="inlineStr">
        <is>
          <t>list1</t>
        </is>
      </c>
      <c r="D1561" s="11" t="inlineStr">
        <is>
          <t>verified</t>
        </is>
      </c>
      <c r="E1561" s="11" t="inlineStr">
        <is>
          <t>overruled</t>
        </is>
      </c>
      <c r="F1561" s="2" t="inlineStr">
        <is>
          <t>Bihar State Road Transport Corporation v. Orang Bahadur and Another</t>
        </is>
      </c>
      <c r="G1561" s="11" t="inlineStr"/>
      <c r="H1561" s="11" t="inlineStr">
        <is>
          <t>High Court/other (Patna)</t>
        </is>
      </c>
      <c r="I1561" s="2" t="inlineStr">
        <is>
          <t>AIR 1968 Patna 200; (1967) 1 LLJ 597</t>
        </is>
      </c>
      <c r="J1561" s="11" t="n">
        <v>1968</v>
      </c>
      <c r="K1561" s="2" t="inlineStr">
        <is>
          <t>Kishorebhai Khamanchand Goyal v. State of Gujarat and Another</t>
        </is>
      </c>
      <c r="L1561" s="11" t="inlineStr">
        <is>
          <t>Supreme Court</t>
        </is>
      </c>
      <c r="M1561" s="2" t="inlineStr">
        <is>
          <t>(2003) 8 JT 399; (2004) 1 LLJ 428; (2003) 9 SCALE 119; (2003) 12 SCC 274; (2003) 5 SCR 1 Supp; (2004) 1 UJ 398</t>
        </is>
      </c>
      <c r="N1561" s="11" t="n">
        <v>2003</v>
      </c>
      <c r="O1561" s="11" t="n"/>
      <c r="P1561" s="11" t="n"/>
      <c r="Q1561" s="11" t="n"/>
      <c r="R1561" s="2" t="n"/>
      <c r="S1561" s="2" t="n"/>
      <c r="T1561" s="11" t="inlineStr"/>
      <c r="U1561" s="11" t="inlineStr"/>
      <c r="V1561" s="11" t="inlineStr">
        <is>
          <t>outside_list</t>
        </is>
      </c>
      <c r="W1561" s="11" t="n"/>
      <c r="X1561" s="11" t="n"/>
      <c r="Y1561" s="11" t="n"/>
      <c r="Z1561" s="11" t="inlineStr">
        <is>
          <t>Mr. Advocate</t>
        </is>
      </c>
      <c r="AA1561" s="11" t="inlineStr">
        <is>
          <t>2026-10-07</t>
        </is>
      </c>
      <c r="AB1561" s="11" t="inlineStr">
        <is>
          <t>name_year</t>
        </is>
      </c>
      <c r="AC1561" s="2" t="inlineStr"/>
      <c r="AD1561" s="2" t="inlineStr">
        <is>
          <t>Bihar State Road Transport Corporation v. Orang Bahadur and Another (1968) was overruled by Kishorebhai Khamanchand Goyal v. State of Gujarat and Another (2003).</t>
        </is>
      </c>
      <c r="AE1561" s="2" t="n"/>
      <c r="AF1561" s="11" t="inlineStr">
        <is>
          <t>created from list 1</t>
        </is>
      </c>
    </row>
    <row r="1562">
      <c r="A1562" s="11" t="inlineStr">
        <is>
          <t>L1-1561</t>
        </is>
      </c>
      <c r="B1562" s="11" t="inlineStr">
        <is>
          <t>List 1 (to ~2015)</t>
        </is>
      </c>
      <c r="C1562" s="11" t="inlineStr">
        <is>
          <t>list1</t>
        </is>
      </c>
      <c r="D1562" s="11" t="inlineStr">
        <is>
          <t>verified</t>
        </is>
      </c>
      <c r="E1562" s="11" t="inlineStr">
        <is>
          <t>reversed_on_appeal</t>
        </is>
      </c>
      <c r="F1562" s="2" t="inlineStr">
        <is>
          <t>Dr. Sanjay Kumar Sinha and Others v. State of Bihar and Others</t>
        </is>
      </c>
      <c r="G1562" s="11" t="inlineStr"/>
      <c r="H1562" s="11" t="inlineStr">
        <is>
          <t>High Court/other (Patna)</t>
        </is>
      </c>
      <c r="I1562" s="2" t="inlineStr">
        <is>
          <t>AIR 1989 Patna 241; (1989) 37 BLJR 331; (1989) PLJR 759</t>
        </is>
      </c>
      <c r="J1562" s="11" t="n">
        <v>1989</v>
      </c>
      <c r="K1562" s="2" t="inlineStr">
        <is>
          <t>State of Bihar and others v. Dr. Sanjay Kumar Sinha and others</t>
        </is>
      </c>
      <c r="L1562" s="11" t="inlineStr">
        <is>
          <t>Supreme Court</t>
        </is>
      </c>
      <c r="M1562" s="2" t="inlineStr">
        <is>
          <t>AIR 1990 SC 749; (1989) 4 JT 320; (1989) 2 SCALE 1124; (1990) 4 SCC 624; (1989) 2 SCR 168 Supp</t>
        </is>
      </c>
      <c r="N1562" s="11" t="n">
        <v>1990</v>
      </c>
      <c r="O1562" s="11" t="n"/>
      <c r="P1562" s="11" t="n"/>
      <c r="Q1562" s="11" t="n"/>
      <c r="R1562" s="2" t="n"/>
      <c r="S1562" s="2" t="n"/>
      <c r="T1562" s="11" t="inlineStr">
        <is>
          <t>yes</t>
        </is>
      </c>
      <c r="U1562" s="11" t="inlineStr"/>
      <c r="V1562" s="11" t="inlineStr">
        <is>
          <t>outside_list</t>
        </is>
      </c>
      <c r="W1562" s="11" t="n"/>
      <c r="X1562" s="11" t="n"/>
      <c r="Y1562" s="11" t="n"/>
      <c r="Z1562" s="11" t="inlineStr">
        <is>
          <t>Mr. Advocate</t>
        </is>
      </c>
      <c r="AA1562" s="11" t="inlineStr">
        <is>
          <t>2026-10-07</t>
        </is>
      </c>
      <c r="AB1562" s="11" t="inlineStr">
        <is>
          <t>name_year</t>
        </is>
      </c>
      <c r="AC1562" s="2" t="inlineStr"/>
      <c r="AD1562" s="2" t="inlineStr">
        <is>
          <t>Dr. Sanjay Kumar Sinha and Others v. State of Bihar and Others (1989) was reversed on appeal by the Supreme Court in State of Bihar and others v. Dr. Sanjay Kumar Sinha and others (1990).</t>
        </is>
      </c>
      <c r="AE1562" s="2" t="n"/>
      <c r="AF1562" s="11" t="inlineStr">
        <is>
          <t>created from list 1</t>
        </is>
      </c>
    </row>
    <row r="1563">
      <c r="A1563" s="11" t="inlineStr">
        <is>
          <t>L1-1562</t>
        </is>
      </c>
      <c r="B1563" s="11" t="inlineStr">
        <is>
          <t>List 1 (to ~2015)</t>
        </is>
      </c>
      <c r="C1563" s="11" t="inlineStr">
        <is>
          <t>list1</t>
        </is>
      </c>
      <c r="D1563" s="11" t="inlineStr">
        <is>
          <t>verified</t>
        </is>
      </c>
      <c r="E1563" s="11" t="inlineStr">
        <is>
          <t>overruled</t>
        </is>
      </c>
      <c r="F1563" s="2" t="inlineStr">
        <is>
          <t>Maksudan Prasad v. Smt. Lakshmi Devi and Others</t>
        </is>
      </c>
      <c r="G1563" s="11" t="inlineStr"/>
      <c r="H1563" s="11" t="inlineStr">
        <is>
          <t>High Court/other (Patna)</t>
        </is>
      </c>
      <c r="I1563" s="2" t="inlineStr">
        <is>
          <t>AIR 1983 Patna 105; (1982) 30 BLJR 547; (1983) PLJR 120</t>
        </is>
      </c>
      <c r="J1563" s="11" t="n">
        <v>1983</v>
      </c>
      <c r="K1563" s="2" t="inlineStr">
        <is>
          <t>Shankar Balwant Lokhande (dead) by L.Rs. v. Chandrakant Shankar Lokhande and Another</t>
        </is>
      </c>
      <c r="L1563" s="11" t="inlineStr">
        <is>
          <t>Supreme Court</t>
        </is>
      </c>
      <c r="M1563" s="2" t="inlineStr">
        <is>
          <t>AIR 1995 SC 1211; (1995) 3 JT 186; (1992) 2 LLJ 18; (1995) 2 SCALE 318; (1995) 3 SCC 413; (1995) 2 SCR 776; (1992) 1 SLJ 7; (1995) 1 UJ 707</t>
        </is>
      </c>
      <c r="N1563" s="11" t="n">
        <v>1995</v>
      </c>
      <c r="O1563" s="11" t="n"/>
      <c r="P1563" s="11" t="n"/>
      <c r="Q1563" s="11" t="n"/>
      <c r="R1563" s="2" t="n"/>
      <c r="S1563" s="2" t="n"/>
      <c r="T1563" s="11" t="inlineStr"/>
      <c r="U1563" s="11" t="inlineStr"/>
      <c r="V1563" s="11" t="inlineStr">
        <is>
          <t>outside_list</t>
        </is>
      </c>
      <c r="W1563" s="11" t="n"/>
      <c r="X1563" s="11" t="n"/>
      <c r="Y1563" s="11" t="n"/>
      <c r="Z1563" s="11" t="inlineStr">
        <is>
          <t>Mr. Advocate</t>
        </is>
      </c>
      <c r="AA1563" s="11" t="inlineStr">
        <is>
          <t>2026-10-07</t>
        </is>
      </c>
      <c r="AB1563" s="11" t="inlineStr">
        <is>
          <t>name_year</t>
        </is>
      </c>
      <c r="AC1563" s="2" t="inlineStr"/>
      <c r="AD1563" s="2" t="inlineStr">
        <is>
          <t>Maksudan Prasad v. Smt. Lakshmi Devi and Others (1983) was overruled by Shankar Balwant Lokhande (dead) by L.Rs. v. Chandrakant Shankar Lokhande and Another (1995).</t>
        </is>
      </c>
      <c r="AE1563" s="2" t="n"/>
      <c r="AF1563" s="11" t="inlineStr">
        <is>
          <t>created from list 1</t>
        </is>
      </c>
    </row>
    <row r="1564">
      <c r="A1564" s="11" t="inlineStr">
        <is>
          <t>L1-1563</t>
        </is>
      </c>
      <c r="B1564" s="11" t="inlineStr">
        <is>
          <t>List 1 (to ~2015)</t>
        </is>
      </c>
      <c r="C1564" s="11" t="inlineStr">
        <is>
          <t>list1</t>
        </is>
      </c>
      <c r="D1564" s="11" t="inlineStr">
        <is>
          <t>verified</t>
        </is>
      </c>
      <c r="E1564" s="11" t="inlineStr">
        <is>
          <t>overruled</t>
        </is>
      </c>
      <c r="F1564" s="2" t="inlineStr">
        <is>
          <t>Sayedabad Tea Co. Ltd. v. State of Bihar</t>
        </is>
      </c>
      <c r="G1564" s="11" t="inlineStr"/>
      <c r="H1564" s="11" t="inlineStr">
        <is>
          <t>High Court/other (Patna)</t>
        </is>
      </c>
      <c r="I1564" s="2" t="inlineStr">
        <is>
          <t>AIR 1969 Patna 165; (1969) 17 BLJR 912</t>
        </is>
      </c>
      <c r="J1564" s="11" t="n">
        <v>1969</v>
      </c>
      <c r="K1564" s="2" t="inlineStr">
        <is>
          <t>Syedabad Tea Company Limited v. State of Bihar</t>
        </is>
      </c>
      <c r="L1564" s="11" t="inlineStr">
        <is>
          <t>Supreme Court</t>
        </is>
      </c>
      <c r="M1564" s="2" t="inlineStr">
        <is>
          <t>AIR 1983 SC 72; (1982) 2 SCALE 1110; (1983) 1 SCC 30; (1983) 1 SCR 878; (1983) 15 UJ 6</t>
        </is>
      </c>
      <c r="N1564" s="11" t="n">
        <v>1983</v>
      </c>
      <c r="O1564" s="11" t="n"/>
      <c r="P1564" s="11" t="n"/>
      <c r="Q1564" s="11" t="n"/>
      <c r="R1564" s="2" t="n"/>
      <c r="S1564" s="2" t="n"/>
      <c r="T1564" s="11" t="inlineStr"/>
      <c r="U1564" s="11" t="inlineStr"/>
      <c r="V1564" s="11" t="inlineStr">
        <is>
          <t>outside_list</t>
        </is>
      </c>
      <c r="W1564" s="11" t="n"/>
      <c r="X1564" s="11" t="n"/>
      <c r="Y1564" s="11" t="n"/>
      <c r="Z1564" s="11" t="inlineStr">
        <is>
          <t>Mr. Advocate</t>
        </is>
      </c>
      <c r="AA1564" s="11" t="inlineStr">
        <is>
          <t>2026-10-07</t>
        </is>
      </c>
      <c r="AB1564" s="11" t="inlineStr">
        <is>
          <t>name_year</t>
        </is>
      </c>
      <c r="AC1564" s="2" t="inlineStr"/>
      <c r="AD1564" s="2" t="inlineStr">
        <is>
          <t>Sayedabad Tea Co. Ltd. v. State of Bihar (1969) was overruled by Syedabad Tea Company Limited v. State of Bihar (1983).</t>
        </is>
      </c>
      <c r="AE1564" s="2" t="n"/>
      <c r="AF1564" s="11" t="inlineStr">
        <is>
          <t>created from list 1</t>
        </is>
      </c>
    </row>
    <row r="1565">
      <c r="A1565" s="11" t="inlineStr">
        <is>
          <t>L1-1564</t>
        </is>
      </c>
      <c r="B1565" s="11" t="inlineStr">
        <is>
          <t>List 1 (to ~2015)</t>
        </is>
      </c>
      <c r="C1565" s="11" t="inlineStr">
        <is>
          <t>list1</t>
        </is>
      </c>
      <c r="D1565" s="11" t="inlineStr">
        <is>
          <t>verified</t>
        </is>
      </c>
      <c r="E1565" s="11" t="inlineStr">
        <is>
          <t>reversed_on_appeal</t>
        </is>
      </c>
      <c r="F1565" s="2" t="inlineStr">
        <is>
          <t>Harihar Prasad Debuka and etc. v. State of Bihar and Others</t>
        </is>
      </c>
      <c r="G1565" s="11" t="inlineStr"/>
      <c r="H1565" s="11" t="inlineStr">
        <is>
          <t>High Court/other (Patna)</t>
        </is>
      </c>
      <c r="I1565" s="2" t="inlineStr">
        <is>
          <t>AIR 1987 Patna 175; (1987) PLJR 106; (1987) 66 STC 178</t>
        </is>
      </c>
      <c r="J1565" s="11" t="n">
        <v>1987</v>
      </c>
      <c r="K1565" s="2" t="inlineStr">
        <is>
          <t>State of Bihar and Others v. Harihar Prasad Debuka and Others</t>
        </is>
      </c>
      <c r="L1565" s="11" t="inlineStr">
        <is>
          <t>Supreme Court</t>
        </is>
      </c>
      <c r="M1565" s="2" t="inlineStr">
        <is>
          <t>AIR 1989 SC 1119; (1989) JT 34 Supp; (1989) 1 SCALE 464; (1989) 2 SCC 192; (1989) 1 SCR 796; (1989) 73 STC 353; (1989) 1 UJ 684</t>
        </is>
      </c>
      <c r="N1565" s="11" t="n">
        <v>1989</v>
      </c>
      <c r="O1565" s="11" t="n"/>
      <c r="P1565" s="11" t="n"/>
      <c r="Q1565" s="11" t="n"/>
      <c r="R1565" s="2" t="n"/>
      <c r="S1565" s="2" t="n"/>
      <c r="T1565" s="11" t="inlineStr">
        <is>
          <t>yes</t>
        </is>
      </c>
      <c r="U1565" s="11" t="inlineStr"/>
      <c r="V1565" s="11" t="inlineStr">
        <is>
          <t>outside_list</t>
        </is>
      </c>
      <c r="W1565" s="11" t="n"/>
      <c r="X1565" s="11" t="n"/>
      <c r="Y1565" s="11" t="n"/>
      <c r="Z1565" s="11" t="inlineStr">
        <is>
          <t>Mr. Advocate</t>
        </is>
      </c>
      <c r="AA1565" s="11" t="inlineStr">
        <is>
          <t>2026-10-07</t>
        </is>
      </c>
      <c r="AB1565" s="11" t="inlineStr">
        <is>
          <t>name_year</t>
        </is>
      </c>
      <c r="AC1565" s="2" t="inlineStr"/>
      <c r="AD1565" s="2" t="inlineStr">
        <is>
          <t>Harihar Prasad Debuka and etc. v. State of Bihar and Others (1987) was reversed on appeal by the Supreme Court in State of Bihar and Others v. Harihar Prasad Debuka and Others (1989).</t>
        </is>
      </c>
      <c r="AE1565" s="2" t="n"/>
      <c r="AF1565" s="11" t="inlineStr">
        <is>
          <t>created from list 1</t>
        </is>
      </c>
    </row>
    <row r="1566">
      <c r="A1566" s="11" t="inlineStr">
        <is>
          <t>L1-1565</t>
        </is>
      </c>
      <c r="B1566" s="11" t="inlineStr">
        <is>
          <t>List 1 (to ~2015)</t>
        </is>
      </c>
      <c r="C1566" s="11" t="inlineStr">
        <is>
          <t>list1</t>
        </is>
      </c>
      <c r="D1566" s="11" t="inlineStr">
        <is>
          <t>verified</t>
        </is>
      </c>
      <c r="E1566" s="11" t="inlineStr">
        <is>
          <t>reversed_on_appeal</t>
        </is>
      </c>
      <c r="F1566" s="2" t="inlineStr">
        <is>
          <t>Chemicot India Private Limited and Another v. Bihar State Financial Corporation and Others</t>
        </is>
      </c>
      <c r="G1566" s="11" t="inlineStr"/>
      <c r="H1566" s="11" t="inlineStr">
        <is>
          <t>unknown</t>
        </is>
      </c>
      <c r="I1566" s="2" t="inlineStr">
        <is>
          <t>(1999) 95 CompCas 418; (1996) 2 PLJR 106</t>
        </is>
      </c>
      <c r="J1566" s="11" t="n">
        <v>1996</v>
      </c>
      <c r="K1566" s="2" t="inlineStr">
        <is>
          <t>Bihar State Financial Corpn. and Others v. Chemicot India Pvt. Ltd. and Others</t>
        </is>
      </c>
      <c r="L1566" s="11" t="inlineStr">
        <is>
          <t>Supreme Court</t>
        </is>
      </c>
      <c r="M1566" s="2" t="inlineStr">
        <is>
          <t>(2006) 4 BC 132; (2006) 133 CompCas 338; (2006) 8 SCALE 525; (2006) 7 SCC 293; (2006) 5 SCR 312 Supp</t>
        </is>
      </c>
      <c r="N1566" s="11" t="n">
        <v>2006</v>
      </c>
      <c r="O1566" s="11" t="n"/>
      <c r="P1566" s="11" t="n"/>
      <c r="Q1566" s="11" t="n"/>
      <c r="R1566" s="2" t="n"/>
      <c r="S1566" s="2" t="n"/>
      <c r="T1566" s="11" t="inlineStr">
        <is>
          <t>yes</t>
        </is>
      </c>
      <c r="U1566" s="11" t="inlineStr"/>
      <c r="V1566" s="11" t="inlineStr">
        <is>
          <t>outside_list</t>
        </is>
      </c>
      <c r="W1566" s="11" t="n"/>
      <c r="X1566" s="11" t="n"/>
      <c r="Y1566" s="11" t="n"/>
      <c r="Z1566" s="11" t="inlineStr">
        <is>
          <t>Mr. Advocate</t>
        </is>
      </c>
      <c r="AA1566" s="11" t="inlineStr">
        <is>
          <t>2026-10-07</t>
        </is>
      </c>
      <c r="AB1566" s="11" t="inlineStr">
        <is>
          <t>name_year</t>
        </is>
      </c>
      <c r="AC1566" s="2" t="inlineStr"/>
      <c r="AD1566" s="2" t="inlineStr">
        <is>
          <t>Chemicot India Private Limited and Another v. Bihar State Financial Corporation and Others (1996) was reversed on appeal by the Supreme Court in Bihar State Financial Corpn. and Others v. Chemicot India Pvt. Ltd. and Others (2006).</t>
        </is>
      </c>
      <c r="AE1566" s="2" t="n"/>
      <c r="AF1566" s="11" t="inlineStr">
        <is>
          <t>created from list 1</t>
        </is>
      </c>
    </row>
    <row r="1567">
      <c r="A1567" s="11" t="inlineStr">
        <is>
          <t>L1-1566</t>
        </is>
      </c>
      <c r="B1567" s="11" t="inlineStr">
        <is>
          <t>List 1 (to ~2015)</t>
        </is>
      </c>
      <c r="C1567" s="11" t="inlineStr">
        <is>
          <t>list1</t>
        </is>
      </c>
      <c r="D1567" s="11" t="inlineStr">
        <is>
          <t>verified</t>
        </is>
      </c>
      <c r="E1567" s="11" t="inlineStr">
        <is>
          <t>overruled</t>
        </is>
      </c>
      <c r="F1567" s="2" t="inlineStr">
        <is>
          <t>Kali Prasad and Others v. Government of Bihar</t>
        </is>
      </c>
      <c r="G1567" s="11" t="inlineStr"/>
      <c r="H1567" s="11" t="inlineStr">
        <is>
          <t>High Court/other (Patna)</t>
        </is>
      </c>
      <c r="I1567" s="2" t="inlineStr">
        <is>
          <t>AIR 1945 Patna 461</t>
        </is>
      </c>
      <c r="J1567" s="11" t="n">
        <v>1945</v>
      </c>
      <c r="K1567" s="2" t="inlineStr">
        <is>
          <t>Deep Chand and Others v. Land Acquisition Officer and Others</t>
        </is>
      </c>
      <c r="L1567" s="11" t="inlineStr">
        <is>
          <t>Supreme Court</t>
        </is>
      </c>
      <c r="M1567" s="2" t="inlineStr">
        <is>
          <t>AIR 1994 SC 1901; (1994) 3 JT 319; (1994) 108 PLR 197; (1994) 2 SCALE 325; (1994) 4 SCC 99; (1994) 1 SCR 530</t>
        </is>
      </c>
      <c r="N1567" s="11" t="n">
        <v>1994</v>
      </c>
      <c r="O1567" s="11" t="n"/>
      <c r="P1567" s="11" t="n"/>
      <c r="Q1567" s="11" t="n"/>
      <c r="R1567" s="2" t="n"/>
      <c r="S1567" s="2" t="n"/>
      <c r="T1567" s="11" t="inlineStr"/>
      <c r="U1567" s="11" t="inlineStr"/>
      <c r="V1567" s="11" t="inlineStr">
        <is>
          <t>outside_list</t>
        </is>
      </c>
      <c r="W1567" s="11" t="n"/>
      <c r="X1567" s="11" t="n"/>
      <c r="Y1567" s="11" t="n"/>
      <c r="Z1567" s="11" t="inlineStr">
        <is>
          <t>Mr. Advocate</t>
        </is>
      </c>
      <c r="AA1567" s="11" t="inlineStr">
        <is>
          <t>2026-10-07</t>
        </is>
      </c>
      <c r="AB1567" s="11" t="inlineStr">
        <is>
          <t>name_year</t>
        </is>
      </c>
      <c r="AC1567" s="2" t="inlineStr"/>
      <c r="AD1567" s="2" t="inlineStr">
        <is>
          <t>Kali Prasad and Others v. Government of Bihar (1945) was overruled by Deep Chand and Others v. Land Acquisition Officer and Others (1994).</t>
        </is>
      </c>
      <c r="AE1567" s="2" t="n"/>
      <c r="AF1567" s="11" t="inlineStr">
        <is>
          <t>created from list 1</t>
        </is>
      </c>
    </row>
    <row r="1568">
      <c r="A1568" s="11" t="inlineStr">
        <is>
          <t>L1-1567</t>
        </is>
      </c>
      <c r="B1568" s="11" t="inlineStr">
        <is>
          <t>List 1 (to ~2015)</t>
        </is>
      </c>
      <c r="C1568" s="11" t="inlineStr">
        <is>
          <t>list1</t>
        </is>
      </c>
      <c r="D1568" s="11" t="inlineStr">
        <is>
          <t>verified</t>
        </is>
      </c>
      <c r="E1568" s="11" t="inlineStr">
        <is>
          <t>overruled</t>
        </is>
      </c>
      <c r="F1568" s="2" t="inlineStr">
        <is>
          <t>Suresh Singh v. The State of Bihar and Others</t>
        </is>
      </c>
      <c r="G1568" s="11" t="inlineStr"/>
      <c r="H1568" s="11" t="inlineStr">
        <is>
          <t>High Court/other (Patna)</t>
        </is>
      </c>
      <c r="I1568" s="2" t="inlineStr">
        <is>
          <t>AIR 1976 Patna 98</t>
        </is>
      </c>
      <c r="J1568" s="11" t="n">
        <v>1976</v>
      </c>
      <c r="K1568" s="2" t="inlineStr">
        <is>
          <t>Maheshwar Prasad Srivastava v. Suresh Singh and Others</t>
        </is>
      </c>
      <c r="L1568" s="11" t="inlineStr">
        <is>
          <t>Supreme Court</t>
        </is>
      </c>
      <c r="M1568" s="2" t="inlineStr">
        <is>
          <t>AIR 1976 SC 1404; (1976) 2 LLJ 381; (1977) 1 SCC 627; (1976) 3 SCR 769; (1976) 8 UJ 376</t>
        </is>
      </c>
      <c r="N1568" s="11" t="n">
        <v>1976</v>
      </c>
      <c r="O1568" s="11" t="n"/>
      <c r="P1568" s="11" t="n"/>
      <c r="Q1568" s="11" t="n"/>
      <c r="R1568" s="2" t="n"/>
      <c r="S1568" s="2" t="n"/>
      <c r="T1568" s="11" t="inlineStr"/>
      <c r="U1568" s="11" t="inlineStr"/>
      <c r="V1568" s="11" t="inlineStr">
        <is>
          <t>outside_list</t>
        </is>
      </c>
      <c r="W1568" s="11" t="n"/>
      <c r="X1568" s="11" t="n"/>
      <c r="Y1568" s="11" t="n"/>
      <c r="Z1568" s="11" t="inlineStr">
        <is>
          <t>Mr. Advocate</t>
        </is>
      </c>
      <c r="AA1568" s="11" t="inlineStr">
        <is>
          <t>2026-10-07</t>
        </is>
      </c>
      <c r="AB1568" s="11" t="inlineStr">
        <is>
          <t>name_year</t>
        </is>
      </c>
      <c r="AC1568" s="2" t="inlineStr"/>
      <c r="AD1568" s="2" t="inlineStr">
        <is>
          <t>Suresh Singh v. The State of Bihar and Others (1976) was overruled by Maheshwar Prasad Srivastava v. Suresh Singh and Others (1976).</t>
        </is>
      </c>
      <c r="AE1568" s="2" t="n"/>
      <c r="AF1568" s="11" t="inlineStr">
        <is>
          <t>created from list 1</t>
        </is>
      </c>
    </row>
    <row r="1569">
      <c r="A1569" s="11" t="inlineStr">
        <is>
          <t>L1-1568</t>
        </is>
      </c>
      <c r="B1569" s="11" t="inlineStr">
        <is>
          <t>List 1 (to ~2015)</t>
        </is>
      </c>
      <c r="C1569" s="11" t="inlineStr">
        <is>
          <t>list1</t>
        </is>
      </c>
      <c r="D1569" s="11" t="inlineStr">
        <is>
          <t>verified</t>
        </is>
      </c>
      <c r="E1569" s="11" t="inlineStr">
        <is>
          <t>overruled</t>
        </is>
      </c>
      <c r="F1569" s="2" t="inlineStr">
        <is>
          <t>Phul Kumari Devi v. Sambhu Prasad Singh and Others</t>
        </is>
      </c>
      <c r="G1569" s="11" t="inlineStr"/>
      <c r="H1569" s="11" t="inlineStr">
        <is>
          <t>High Court/other (Patna)</t>
        </is>
      </c>
      <c r="I1569" s="2" t="inlineStr">
        <is>
          <t>AIR 1965 Patna 87</t>
        </is>
      </c>
      <c r="J1569" s="11" t="n">
        <v>1965</v>
      </c>
      <c r="K1569" s="2" t="inlineStr">
        <is>
          <t>Shambhu Prasad Singh v. Mst. Phool Kumari and Others</t>
        </is>
      </c>
      <c r="L1569" s="11" t="inlineStr">
        <is>
          <t>Supreme Court</t>
        </is>
      </c>
      <c r="M1569" s="2" t="inlineStr">
        <is>
          <t>AIR 1971 SC 1337; (1971) 2 SCC 28; (1971) SCR 181 Supp</t>
        </is>
      </c>
      <c r="N1569" s="11" t="n">
        <v>1971</v>
      </c>
      <c r="O1569" s="11" t="n"/>
      <c r="P1569" s="11" t="n"/>
      <c r="Q1569" s="11" t="n"/>
      <c r="R1569" s="2" t="n"/>
      <c r="S1569" s="2" t="n"/>
      <c r="T1569" s="11" t="inlineStr"/>
      <c r="U1569" s="11" t="inlineStr"/>
      <c r="V1569" s="11" t="inlineStr">
        <is>
          <t>outside_list</t>
        </is>
      </c>
      <c r="W1569" s="11" t="n"/>
      <c r="X1569" s="11" t="n"/>
      <c r="Y1569" s="11" t="n"/>
      <c r="Z1569" s="11" t="inlineStr">
        <is>
          <t>Mr. Advocate</t>
        </is>
      </c>
      <c r="AA1569" s="11" t="inlineStr">
        <is>
          <t>2026-10-07</t>
        </is>
      </c>
      <c r="AB1569" s="11" t="inlineStr">
        <is>
          <t>name_year</t>
        </is>
      </c>
      <c r="AC1569" s="2" t="inlineStr"/>
      <c r="AD1569" s="2" t="inlineStr">
        <is>
          <t>Phul Kumari Devi v. Sambhu Prasad Singh and Others (1965) was overruled by Shambhu Prasad Singh v. Mst. Phool Kumari and Others (1971).</t>
        </is>
      </c>
      <c r="AE1569" s="2" t="n"/>
      <c r="AF1569" s="11" t="inlineStr">
        <is>
          <t>created from list 1</t>
        </is>
      </c>
    </row>
    <row r="1570">
      <c r="A1570" s="11" t="inlineStr">
        <is>
          <t>L1-1569</t>
        </is>
      </c>
      <c r="B1570" s="11" t="inlineStr">
        <is>
          <t>List 1 (to ~2015)</t>
        </is>
      </c>
      <c r="C1570" s="11" t="inlineStr">
        <is>
          <t>list1</t>
        </is>
      </c>
      <c r="D1570" s="11" t="inlineStr">
        <is>
          <t>verified</t>
        </is>
      </c>
      <c r="E1570" s="11" t="inlineStr">
        <is>
          <t>overruled</t>
        </is>
      </c>
      <c r="F1570" s="2" t="inlineStr">
        <is>
          <t>Brahmanath Singh and Others v. Chandrakali Kuer and Another</t>
        </is>
      </c>
      <c r="G1570" s="11" t="inlineStr"/>
      <c r="H1570" s="11" t="inlineStr">
        <is>
          <t>High Court/other (Patna)</t>
        </is>
      </c>
      <c r="I1570" s="2" t="inlineStr">
        <is>
          <t>AIR 1961 Patna 79</t>
        </is>
      </c>
      <c r="J1570" s="11" t="n">
        <v>1961</v>
      </c>
      <c r="K1570" s="2" t="inlineStr">
        <is>
          <t>Kale and Others v. Deputy Director of Consolidation and Others</t>
        </is>
      </c>
      <c r="L1570" s="11" t="inlineStr">
        <is>
          <t>Supreme Court</t>
        </is>
      </c>
      <c r="M1570" s="2" t="inlineStr">
        <is>
          <t>AIR 1976 SC 807; (1976) 3 SCC 119; (1976) 3 SCR 202</t>
        </is>
      </c>
      <c r="N1570" s="11" t="n">
        <v>1976</v>
      </c>
      <c r="O1570" s="11" t="n"/>
      <c r="P1570" s="11" t="n"/>
      <c r="Q1570" s="11" t="n"/>
      <c r="R1570" s="2" t="n"/>
      <c r="S1570" s="2" t="n"/>
      <c r="T1570" s="11" t="inlineStr"/>
      <c r="U1570" s="11" t="inlineStr"/>
      <c r="V1570" s="11" t="inlineStr">
        <is>
          <t>outside_list</t>
        </is>
      </c>
      <c r="W1570" s="11" t="n"/>
      <c r="X1570" s="11" t="n"/>
      <c r="Y1570" s="11" t="n"/>
      <c r="Z1570" s="11" t="inlineStr">
        <is>
          <t>Mr. Advocate</t>
        </is>
      </c>
      <c r="AA1570" s="11" t="inlineStr">
        <is>
          <t>2026-10-07</t>
        </is>
      </c>
      <c r="AB1570" s="11" t="inlineStr">
        <is>
          <t>name_year</t>
        </is>
      </c>
      <c r="AC1570" s="2" t="inlineStr"/>
      <c r="AD1570" s="2" t="inlineStr">
        <is>
          <t>Brahmanath Singh and Others v. Chandrakali Kuer and Another (1961) was overruled by Kale and Others v. Deputy Director of Consolidation and Others (1976).</t>
        </is>
      </c>
      <c r="AE1570" s="2" t="n"/>
      <c r="AF1570" s="11" t="inlineStr">
        <is>
          <t>created from list 1</t>
        </is>
      </c>
    </row>
    <row r="1571">
      <c r="A1571" s="11" t="inlineStr">
        <is>
          <t>L1-1570</t>
        </is>
      </c>
      <c r="B1571" s="11" t="inlineStr">
        <is>
          <t>List 1 (to ~2015)</t>
        </is>
      </c>
      <c r="C1571" s="11" t="inlineStr">
        <is>
          <t>list1</t>
        </is>
      </c>
      <c r="D1571" s="11" t="inlineStr">
        <is>
          <t>verified</t>
        </is>
      </c>
      <c r="E1571" s="11" t="inlineStr">
        <is>
          <t>reversed_on_appeal</t>
        </is>
      </c>
      <c r="F1571" s="2" t="inlineStr">
        <is>
          <t>Tata Iron and Steel Co. Ltd. v. Sudhir Chandra Sarkar</t>
        </is>
      </c>
      <c r="G1571" s="11" t="inlineStr"/>
      <c r="H1571" s="11" t="inlineStr">
        <is>
          <t>High Court/other (Patna)</t>
        </is>
      </c>
      <c r="I1571" s="2" t="inlineStr">
        <is>
          <t>AIR 1969 Patna 53</t>
        </is>
      </c>
      <c r="J1571" s="11" t="n">
        <v>1969</v>
      </c>
      <c r="K1571" s="2" t="inlineStr">
        <is>
          <t>Sudhir Chandra Sarkar v. Tata Iron and Steel Co. Ltd. and Others</t>
        </is>
      </c>
      <c r="L1571" s="11" t="inlineStr">
        <is>
          <t>Supreme Court</t>
        </is>
      </c>
      <c r="M1571" s="2" t="inlineStr">
        <is>
          <t>AIR 1984 SC 1064; (1984) 49 FLR 1; (1984) LabIC 790; (1984) 2 LLJ 223; (1984) 1 SCALE 586; (1984) 3 SCC 369; (1984) 3 SCR 325; (1984) 16 UJ 986</t>
        </is>
      </c>
      <c r="N1571" s="11" t="n">
        <v>1984</v>
      </c>
      <c r="O1571" s="11" t="n"/>
      <c r="P1571" s="11" t="n"/>
      <c r="Q1571" s="11" t="n"/>
      <c r="R1571" s="2" t="n"/>
      <c r="S1571" s="2" t="n"/>
      <c r="T1571" s="11" t="inlineStr">
        <is>
          <t>yes</t>
        </is>
      </c>
      <c r="U1571" s="11" t="inlineStr"/>
      <c r="V1571" s="11" t="inlineStr">
        <is>
          <t>outside_list</t>
        </is>
      </c>
      <c r="W1571" s="11" t="n"/>
      <c r="X1571" s="11" t="n"/>
      <c r="Y1571" s="11" t="n"/>
      <c r="Z1571" s="11" t="inlineStr">
        <is>
          <t>Mr. Advocate</t>
        </is>
      </c>
      <c r="AA1571" s="11" t="inlineStr">
        <is>
          <t>2026-10-07</t>
        </is>
      </c>
      <c r="AB1571" s="11" t="inlineStr">
        <is>
          <t>name_year</t>
        </is>
      </c>
      <c r="AC1571" s="2" t="inlineStr"/>
      <c r="AD1571" s="2" t="inlineStr">
        <is>
          <t>Tata Iron and Steel Co. Ltd. v. Sudhir Chandra Sarkar (1969) was reversed on appeal by the Supreme Court in Sudhir Chandra Sarkar v. Tata Iron and Steel Co. Ltd. and Others (1984).</t>
        </is>
      </c>
      <c r="AE1571" s="2" t="n"/>
      <c r="AF1571" s="11" t="inlineStr">
        <is>
          <t>created from list 1</t>
        </is>
      </c>
    </row>
    <row r="1572">
      <c r="A1572" s="11" t="inlineStr">
        <is>
          <t>L1-1571</t>
        </is>
      </c>
      <c r="B1572" s="11" t="inlineStr">
        <is>
          <t>List 1 (to ~2015)</t>
        </is>
      </c>
      <c r="C1572" s="11" t="inlineStr">
        <is>
          <t>list1</t>
        </is>
      </c>
      <c r="D1572" s="11" t="inlineStr">
        <is>
          <t>verified</t>
        </is>
      </c>
      <c r="E1572" s="11" t="inlineStr">
        <is>
          <t>overruled</t>
        </is>
      </c>
      <c r="F1572" s="2" t="inlineStr">
        <is>
          <t>K.C. Thomas v. R.L. Gadeock and Another</t>
        </is>
      </c>
      <c r="G1572" s="11" t="inlineStr"/>
      <c r="H1572" s="11" t="inlineStr">
        <is>
          <t>High Court/other (Patna)</t>
        </is>
      </c>
      <c r="I1572" s="2" t="inlineStr">
        <is>
          <t>AIR 1970 Patna 163; (1969) 17 BLJR 942; (1970) 1 LLJ 599; (1969) 2 PLJR 438</t>
        </is>
      </c>
      <c r="J1572" s="11" t="n">
        <v>1970</v>
      </c>
      <c r="K1572" s="2" t="inlineStr">
        <is>
          <t>Illachi Devi (D) by Lrs. and Others v. Jain Society, Protection of Orphans India and Others</t>
        </is>
      </c>
      <c r="L1572" s="11" t="inlineStr">
        <is>
          <t>Supreme Court</t>
        </is>
      </c>
      <c r="M1572" s="2" t="inlineStr">
        <is>
          <t>AIR 2003 SC 3397; (2004) 97 CLT 284; (2003) 4 CTC 98; (2003) 1 JT 428 Supp; (2003) 8 SCALE 190; (2003) 8 SCC 413; (2003) 4 SCR 62 Supp; (2003) AIRSCW 4824; (2003) 6 Supreme 981</t>
        </is>
      </c>
      <c r="N1572" s="11" t="n">
        <v>2003</v>
      </c>
      <c r="O1572" s="11" t="n"/>
      <c r="P1572" s="11" t="n"/>
      <c r="Q1572" s="11" t="n"/>
      <c r="R1572" s="2" t="n"/>
      <c r="S1572" s="2" t="n"/>
      <c r="T1572" s="11" t="inlineStr"/>
      <c r="U1572" s="11" t="inlineStr"/>
      <c r="V1572" s="11" t="inlineStr">
        <is>
          <t>outside_list</t>
        </is>
      </c>
      <c r="W1572" s="11" t="n"/>
      <c r="X1572" s="11" t="n"/>
      <c r="Y1572" s="11" t="n"/>
      <c r="Z1572" s="11" t="inlineStr">
        <is>
          <t>Mr. Advocate</t>
        </is>
      </c>
      <c r="AA1572" s="11" t="inlineStr">
        <is>
          <t>2026-10-07</t>
        </is>
      </c>
      <c r="AB1572" s="11" t="inlineStr">
        <is>
          <t>name_year</t>
        </is>
      </c>
      <c r="AC1572" s="2" t="inlineStr"/>
      <c r="AD1572" s="2" t="inlineStr">
        <is>
          <t>K.C. Thomas v. R.L. Gadeock and Another (1970) was overruled by Illachi Devi (D) by Lrs. and Others v. Jain Society, Protection of Orphans India and Others (2003).</t>
        </is>
      </c>
      <c r="AE1572" s="2" t="n"/>
      <c r="AF1572" s="11" t="inlineStr">
        <is>
          <t>created from list 1</t>
        </is>
      </c>
    </row>
    <row r="1573">
      <c r="A1573" s="11" t="inlineStr">
        <is>
          <t>L1-1572</t>
        </is>
      </c>
      <c r="B1573" s="11" t="inlineStr">
        <is>
          <t>List 1 (to ~2015)</t>
        </is>
      </c>
      <c r="C1573" s="11" t="inlineStr">
        <is>
          <t>list1</t>
        </is>
      </c>
      <c r="D1573" s="11" t="inlineStr">
        <is>
          <t>verified</t>
        </is>
      </c>
      <c r="E1573" s="11" t="inlineStr">
        <is>
          <t>reversed_on_appeal</t>
        </is>
      </c>
      <c r="F1573" s="2" t="inlineStr">
        <is>
          <t>Sunil Kumar Parimal and Another v. The State of Bihar and Others</t>
        </is>
      </c>
      <c r="G1573" s="11" t="inlineStr"/>
      <c r="H1573" s="11" t="inlineStr">
        <is>
          <t>unknown</t>
        </is>
      </c>
      <c r="I1573" s="2" t="inlineStr"/>
      <c r="J1573" s="11" t="n"/>
      <c r="K1573" s="2" t="inlineStr">
        <is>
          <t>Sunil Kumar Parimal and Another v. The State of Bihar and Others</t>
        </is>
      </c>
      <c r="L1573" s="11" t="inlineStr">
        <is>
          <t>Supreme Court</t>
        </is>
      </c>
      <c r="M1573" s="2" t="inlineStr">
        <is>
          <t>AIR 2008 SC 43; (2007) 11 JT 42; (2007) 11 SCALE 39; (2007) 10 SCC 150; (2007) 10 SCR 890; (2007) AIRSCW 6066; (2007) 6 Supreme 145</t>
        </is>
      </c>
      <c r="N1573" s="11" t="n">
        <v>2008</v>
      </c>
      <c r="O1573" s="11" t="n"/>
      <c r="P1573" s="11" t="n"/>
      <c r="Q1573" s="11" t="n"/>
      <c r="R1573" s="2" t="n"/>
      <c r="S1573" s="2" t="n"/>
      <c r="T1573" s="11" t="inlineStr">
        <is>
          <t>yes</t>
        </is>
      </c>
      <c r="U1573" s="11" t="inlineStr">
        <is>
          <t>no_citation_or_year_for_overruled, needs_citation_or_year</t>
        </is>
      </c>
      <c r="V1573" s="11" t="inlineStr">
        <is>
          <t>outside_list</t>
        </is>
      </c>
      <c r="W1573" s="11" t="n"/>
      <c r="X1573" s="11" t="n"/>
      <c r="Y1573" s="11" t="n"/>
      <c r="Z1573" s="11" t="inlineStr">
        <is>
          <t>Mr. Advocate</t>
        </is>
      </c>
      <c r="AA1573" s="11" t="inlineStr">
        <is>
          <t>2026-10-07</t>
        </is>
      </c>
      <c r="AB1573" s="11" t="inlineStr">
        <is>
          <t>weak</t>
        </is>
      </c>
      <c r="AC1573" s="2" t="inlineStr"/>
      <c r="AD1573" s="2" t="inlineStr">
        <is>
          <t>Sunil Kumar Parimal and Another v. The State of Bihar and Others was reversed on appeal by the Supreme Court in Sunil Kumar Parimal and Another v. The State of Bihar and Others (2008).</t>
        </is>
      </c>
      <c r="AE1573" s="2" t="n"/>
      <c r="AF1573" s="11" t="inlineStr">
        <is>
          <t>created from list 1</t>
        </is>
      </c>
    </row>
    <row r="1574">
      <c r="A1574" s="11" t="inlineStr">
        <is>
          <t>L1-1573</t>
        </is>
      </c>
      <c r="B1574" s="11" t="inlineStr">
        <is>
          <t>List 1 (to ~2015)</t>
        </is>
      </c>
      <c r="C1574" s="11" t="inlineStr">
        <is>
          <t>list1</t>
        </is>
      </c>
      <c r="D1574" s="11" t="inlineStr">
        <is>
          <t>verified</t>
        </is>
      </c>
      <c r="E1574" s="11" t="inlineStr">
        <is>
          <t>overruled</t>
        </is>
      </c>
      <c r="F1574" s="2" t="inlineStr">
        <is>
          <t>Black Diamond Industries and Another v. Coal Controllers and Others</t>
        </is>
      </c>
      <c r="G1574" s="11" t="inlineStr"/>
      <c r="H1574" s="11" t="inlineStr">
        <is>
          <t>High Court/other (Patna)</t>
        </is>
      </c>
      <c r="I1574" s="2" t="inlineStr">
        <is>
          <t>AIR 1988 Patna 239; (1986) PLJR 1136</t>
        </is>
      </c>
      <c r="J1574" s="11" t="n">
        <v>1988</v>
      </c>
      <c r="K1574" s="2" t="inlineStr">
        <is>
          <t>State of Bihar v. Tata Iron and Steel Co. Ltd.</t>
        </is>
      </c>
      <c r="L1574" s="11" t="inlineStr">
        <is>
          <t>Supreme Court</t>
        </is>
      </c>
      <c r="M1574" s="2" t="inlineStr">
        <is>
          <t>AIR 1995 SC 1170; (1995) 3 JT 479; (1995) 1 SCALE 792; (1995) 2 SCC 4 Supp; (1995) 2 SCR 102</t>
        </is>
      </c>
      <c r="N1574" s="11" t="n">
        <v>1995</v>
      </c>
      <c r="O1574" s="11" t="n"/>
      <c r="P1574" s="11" t="n"/>
      <c r="Q1574" s="11" t="n"/>
      <c r="R1574" s="2" t="n"/>
      <c r="S1574" s="2" t="n"/>
      <c r="T1574" s="11" t="inlineStr"/>
      <c r="U1574" s="11" t="inlineStr"/>
      <c r="V1574" s="11" t="inlineStr">
        <is>
          <t>outside_list</t>
        </is>
      </c>
      <c r="W1574" s="11" t="n"/>
      <c r="X1574" s="11" t="n"/>
      <c r="Y1574" s="11" t="n"/>
      <c r="Z1574" s="11" t="inlineStr">
        <is>
          <t>Mr. Advocate</t>
        </is>
      </c>
      <c r="AA1574" s="11" t="inlineStr">
        <is>
          <t>2026-10-07</t>
        </is>
      </c>
      <c r="AB1574" s="11" t="inlineStr">
        <is>
          <t>name_year</t>
        </is>
      </c>
      <c r="AC1574" s="2" t="inlineStr"/>
      <c r="AD1574" s="2" t="inlineStr">
        <is>
          <t>Black Diamond Industries and Another v. Coal Controllers and Others (1988) was overruled by State of Bihar v. Tata Iron and Steel Co. Ltd. (1995).</t>
        </is>
      </c>
      <c r="AE1574" s="2" t="n"/>
      <c r="AF1574" s="11" t="inlineStr">
        <is>
          <t>created from list 1</t>
        </is>
      </c>
    </row>
    <row r="1575">
      <c r="A1575" s="11" t="inlineStr">
        <is>
          <t>L1-1574</t>
        </is>
      </c>
      <c r="B1575" s="11" t="inlineStr">
        <is>
          <t>List 1 (to ~2015)</t>
        </is>
      </c>
      <c r="C1575" s="11" t="inlineStr">
        <is>
          <t>list1</t>
        </is>
      </c>
      <c r="D1575" s="11" t="inlineStr">
        <is>
          <t>verified</t>
        </is>
      </c>
      <c r="E1575" s="11" t="inlineStr">
        <is>
          <t>overruled</t>
        </is>
      </c>
      <c r="F1575" s="2" t="inlineStr">
        <is>
          <t>Tarkeshwar Upadhya and Another v. Mahesh Kahar and Others</t>
        </is>
      </c>
      <c r="G1575" s="11" t="inlineStr"/>
      <c r="H1575" s="11" t="inlineStr">
        <is>
          <t>High Court/other (Patna)</t>
        </is>
      </c>
      <c r="I1575" s="2" t="inlineStr">
        <is>
          <t>AIR 1981 Patna 348; (1982) 30 BLJR 21; (1982) PLJR 155</t>
        </is>
      </c>
      <c r="J1575" s="11" t="n">
        <v>1981</v>
      </c>
      <c r="K1575" s="2" t="inlineStr">
        <is>
          <t>Ram Sakal Singh v. Mosamat Monako Devi (Dead) and Others</t>
        </is>
      </c>
      <c r="L1575" s="11" t="inlineStr">
        <is>
          <t>Supreme Court</t>
        </is>
      </c>
      <c r="M1575" s="2" t="inlineStr">
        <is>
          <t>(1997) 3 JT 504; (1997) 2 SCALE 508; (1997) 5 SCC 192; (1997) 2 SCR 357</t>
        </is>
      </c>
      <c r="N1575" s="11" t="n">
        <v>1997</v>
      </c>
      <c r="O1575" s="11" t="n"/>
      <c r="P1575" s="11" t="n"/>
      <c r="Q1575" s="11" t="n"/>
      <c r="R1575" s="2" t="n"/>
      <c r="S1575" s="2" t="n"/>
      <c r="T1575" s="11" t="inlineStr"/>
      <c r="U1575" s="11" t="inlineStr"/>
      <c r="V1575" s="11" t="inlineStr">
        <is>
          <t>outside_list</t>
        </is>
      </c>
      <c r="W1575" s="11" t="n"/>
      <c r="X1575" s="11" t="n"/>
      <c r="Y1575" s="11" t="n"/>
      <c r="Z1575" s="11" t="inlineStr">
        <is>
          <t>Mr. Advocate</t>
        </is>
      </c>
      <c r="AA1575" s="11" t="inlineStr">
        <is>
          <t>2026-10-07</t>
        </is>
      </c>
      <c r="AB1575" s="11" t="inlineStr">
        <is>
          <t>name_year</t>
        </is>
      </c>
      <c r="AC1575" s="2" t="inlineStr"/>
      <c r="AD1575" s="2" t="inlineStr">
        <is>
          <t>Tarkeshwar Upadhya and Another v. Mahesh Kahar and Others (1981) was overruled by Ram Sakal Singh v. Mosamat Monako Devi (Dead) and Others (1997).</t>
        </is>
      </c>
      <c r="AE1575" s="2" t="n"/>
      <c r="AF1575" s="11" t="inlineStr">
        <is>
          <t>created from list 1</t>
        </is>
      </c>
    </row>
    <row r="1576">
      <c r="A1576" s="11" t="inlineStr">
        <is>
          <t>L1-1575</t>
        </is>
      </c>
      <c r="B1576" s="11" t="inlineStr">
        <is>
          <t>List 1 (to ~2015)</t>
        </is>
      </c>
      <c r="C1576" s="11" t="inlineStr">
        <is>
          <t>list1</t>
        </is>
      </c>
      <c r="D1576" s="11" t="inlineStr">
        <is>
          <t>verified</t>
        </is>
      </c>
      <c r="E1576" s="11" t="inlineStr">
        <is>
          <t>overruled</t>
        </is>
      </c>
      <c r="F1576" s="2" t="inlineStr">
        <is>
          <t>Din Dayal Singh v. The Bihar State Co-operative Marketing Union Ltd.</t>
        </is>
      </c>
      <c r="G1576" s="11" t="inlineStr"/>
      <c r="H1576" s="11" t="inlineStr">
        <is>
          <t>High Court/other (Patna)</t>
        </is>
      </c>
      <c r="I1576" s="2" t="inlineStr">
        <is>
          <t>AIR 1976 Patna 179; (1975) 9 PLJR 130; (1975) PLJR 130</t>
        </is>
      </c>
      <c r="J1576" s="11" t="n">
        <v>1976</v>
      </c>
      <c r="K1576" s="2" t="inlineStr">
        <is>
          <t>Yogendra Prasad v. Addl. Registrar, Co-op. Societies, Bihar and others</t>
        </is>
      </c>
      <c r="L1576" s="11" t="inlineStr">
        <is>
          <t>Supreme Court</t>
        </is>
      </c>
      <c r="M1576" s="2" t="inlineStr">
        <is>
          <t>AIR 1991 SC 2137; (1992) 1 BC 53; (1992) 1 SCC 720 Supp; (1991) 1 SCR 143 Supp; (1991) 2 UJ 635</t>
        </is>
      </c>
      <c r="N1576" s="11" t="n">
        <v>1991</v>
      </c>
      <c r="O1576" s="11" t="n"/>
      <c r="P1576" s="11" t="n"/>
      <c r="Q1576" s="11" t="n"/>
      <c r="R1576" s="2" t="n"/>
      <c r="S1576" s="2" t="n"/>
      <c r="T1576" s="11" t="inlineStr"/>
      <c r="U1576" s="11" t="inlineStr"/>
      <c r="V1576" s="11" t="inlineStr">
        <is>
          <t>outside_list</t>
        </is>
      </c>
      <c r="W1576" s="11" t="n"/>
      <c r="X1576" s="11" t="n"/>
      <c r="Y1576" s="11" t="n"/>
      <c r="Z1576" s="11" t="inlineStr">
        <is>
          <t>Mr. Advocate</t>
        </is>
      </c>
      <c r="AA1576" s="11" t="inlineStr">
        <is>
          <t>2026-10-07</t>
        </is>
      </c>
      <c r="AB1576" s="11" t="inlineStr">
        <is>
          <t>name_year</t>
        </is>
      </c>
      <c r="AC1576" s="2" t="inlineStr"/>
      <c r="AD1576" s="2" t="inlineStr">
        <is>
          <t>Din Dayal Singh v. The Bihar State Co-operative Marketing Union Ltd. (1976) was overruled by Yogendra Prasad v. Addl. Registrar, Co-op. Societies, Bihar and others (1991).</t>
        </is>
      </c>
      <c r="AE1576" s="2" t="n"/>
      <c r="AF1576" s="11" t="inlineStr">
        <is>
          <t>created from list 1</t>
        </is>
      </c>
    </row>
    <row r="1577">
      <c r="A1577" s="11" t="inlineStr">
        <is>
          <t>L1-1576</t>
        </is>
      </c>
      <c r="B1577" s="11" t="inlineStr">
        <is>
          <t>List 1 (to ~2015)</t>
        </is>
      </c>
      <c r="C1577" s="11" t="inlineStr">
        <is>
          <t>list1</t>
        </is>
      </c>
      <c r="D1577" s="11" t="inlineStr">
        <is>
          <t>verified</t>
        </is>
      </c>
      <c r="E1577" s="11" t="inlineStr">
        <is>
          <t>overruled</t>
        </is>
      </c>
      <c r="F1577" s="2" t="inlineStr">
        <is>
          <t>Bihar State Electricity Board v. Khalsa Brothers</t>
        </is>
      </c>
      <c r="G1577" s="11" t="inlineStr"/>
      <c r="H1577" s="11" t="inlineStr">
        <is>
          <t>High Court/other (Patna)</t>
        </is>
      </c>
      <c r="I1577" s="2" t="inlineStr">
        <is>
          <t>AIR 1988 Patna 304; (1988) PLJR 999</t>
        </is>
      </c>
      <c r="J1577" s="11" t="n">
        <v>1988</v>
      </c>
      <c r="K1577" s="2" t="inlineStr">
        <is>
          <t>Superintending Engineer and Others v. B. Subba Reddy</t>
        </is>
      </c>
      <c r="L1577" s="11" t="inlineStr">
        <is>
          <t>Supreme Court</t>
        </is>
      </c>
      <c r="M1577" s="2" t="inlineStr">
        <is>
          <t>AIR 1999 SC 1747; (1999) 2 ARBLR 304; (1999) 2 CTC 507; (1999) 3 JT 311; (1999) 122 PLR 585; (1999) 3 SCALE 55; (1999) 4 SCC 423; (1999) 2 SCR 880; (1999) 2 UJ 881; (1999) AIRSCW 1479; (1999) 4 Supreme 386</t>
        </is>
      </c>
      <c r="N1577" s="11" t="n">
        <v>1999</v>
      </c>
      <c r="O1577" s="11" t="n"/>
      <c r="P1577" s="11" t="n"/>
      <c r="Q1577" s="11" t="n"/>
      <c r="R1577" s="2" t="n"/>
      <c r="S1577" s="2" t="n"/>
      <c r="T1577" s="11" t="inlineStr"/>
      <c r="U1577" s="11" t="inlineStr"/>
      <c r="V1577" s="11" t="inlineStr">
        <is>
          <t>outside_list</t>
        </is>
      </c>
      <c r="W1577" s="11" t="n"/>
      <c r="X1577" s="11" t="n"/>
      <c r="Y1577" s="11" t="n"/>
      <c r="Z1577" s="11" t="inlineStr">
        <is>
          <t>Mr. Advocate</t>
        </is>
      </c>
      <c r="AA1577" s="11" t="inlineStr">
        <is>
          <t>2026-10-07</t>
        </is>
      </c>
      <c r="AB1577" s="11" t="inlineStr">
        <is>
          <t>name_year</t>
        </is>
      </c>
      <c r="AC1577" s="2" t="inlineStr">
        <is>
          <t>L1-0564: overruled by Municipal Corporation of Delhi and Others v. Intnl. Security and Intelligence Agency Ltd. (2003)</t>
        </is>
      </c>
      <c r="AD1577" s="2" t="inlineStr">
        <is>
          <t>Bihar State Electricity Board v. Khalsa Brothers (1988) was overruled by Superintending Engineer and Others v. B. Subba Reddy (1999). Note: Superintending Engineer and Others v. B. Subba Reddy was itself later overruled by Municipal Corporation of Delhi and Others v. Intnl. Security and Intelligence Agency Ltd. (2003); the current position should be checked.</t>
        </is>
      </c>
      <c r="AE1577" s="2" t="n"/>
      <c r="AF1577" s="11" t="inlineStr">
        <is>
          <t>created from list 1</t>
        </is>
      </c>
    </row>
    <row r="1578">
      <c r="A1578" s="11" t="inlineStr">
        <is>
          <t>L1-1577</t>
        </is>
      </c>
      <c r="B1578" s="11" t="inlineStr">
        <is>
          <t>List 1 (to ~2015)</t>
        </is>
      </c>
      <c r="C1578" s="11" t="inlineStr">
        <is>
          <t>list1</t>
        </is>
      </c>
      <c r="D1578" s="11" t="inlineStr">
        <is>
          <t>verified</t>
        </is>
      </c>
      <c r="E1578" s="11" t="inlineStr">
        <is>
          <t>reversed_on_appeal</t>
        </is>
      </c>
      <c r="F1578" s="2" t="inlineStr">
        <is>
          <t>Deonarayan Singh and Others v. Commissioner of Bhagalpur Division and Others</t>
        </is>
      </c>
      <c r="G1578" s="11" t="inlineStr"/>
      <c r="H1578" s="11" t="inlineStr">
        <is>
          <t>High Court/other (Patna)</t>
        </is>
      </c>
      <c r="I1578" s="2" t="inlineStr">
        <is>
          <t>AIR 1985 Patna 196; (1985) 33 BLJR 185; (1985) PLJR 1</t>
        </is>
      </c>
      <c r="J1578" s="11" t="n">
        <v>1985</v>
      </c>
      <c r="K1578" s="2" t="inlineStr">
        <is>
          <t>Deonarayan Singh and others v. Commissioner of Bhagalpur and others</t>
        </is>
      </c>
      <c r="L1578" s="11" t="inlineStr">
        <is>
          <t>Supreme Court</t>
        </is>
      </c>
      <c r="M1578" s="2" t="inlineStr">
        <is>
          <t>AIR 1997 SC 3680; (1997) 4 JT 662; (1997) 3 SCALE 656; (1997) 10 SCC 51; (1997) 3 SCR 941; (1997) AIRSCW 2189; (1997) 5 Supreme 186</t>
        </is>
      </c>
      <c r="N1578" s="11" t="n">
        <v>1997</v>
      </c>
      <c r="O1578" s="11" t="n"/>
      <c r="P1578" s="11" t="n"/>
      <c r="Q1578" s="11" t="n"/>
      <c r="R1578" s="2" t="n"/>
      <c r="S1578" s="2" t="n"/>
      <c r="T1578" s="11" t="inlineStr">
        <is>
          <t>yes</t>
        </is>
      </c>
      <c r="U1578" s="11" t="inlineStr"/>
      <c r="V1578" s="11" t="inlineStr">
        <is>
          <t>outside_list</t>
        </is>
      </c>
      <c r="W1578" s="11" t="n"/>
      <c r="X1578" s="11" t="n"/>
      <c r="Y1578" s="11" t="n"/>
      <c r="Z1578" s="11" t="inlineStr">
        <is>
          <t>Mr. Advocate</t>
        </is>
      </c>
      <c r="AA1578" s="11" t="inlineStr">
        <is>
          <t>2026-10-07</t>
        </is>
      </c>
      <c r="AB1578" s="11" t="inlineStr">
        <is>
          <t>name_year</t>
        </is>
      </c>
      <c r="AC1578" s="2" t="inlineStr"/>
      <c r="AD1578" s="2" t="inlineStr">
        <is>
          <t>Deonarayan Singh and Others v. Commissioner of Bhagalpur Division and Others (1985) was reversed on appeal by the Supreme Court in Deonarayan Singh and others v. Commissioner of Bhagalpur and others (1997).</t>
        </is>
      </c>
      <c r="AE1578" s="2" t="n"/>
      <c r="AF1578" s="11" t="inlineStr">
        <is>
          <t>created from list 1</t>
        </is>
      </c>
    </row>
    <row r="1579">
      <c r="A1579" s="11" t="inlineStr">
        <is>
          <t>L1-1578</t>
        </is>
      </c>
      <c r="B1579" s="11" t="inlineStr">
        <is>
          <t>List 1 (to ~2015)</t>
        </is>
      </c>
      <c r="C1579" s="11" t="inlineStr">
        <is>
          <t>list1</t>
        </is>
      </c>
      <c r="D1579" s="11" t="inlineStr">
        <is>
          <t>verified</t>
        </is>
      </c>
      <c r="E1579" s="11" t="inlineStr">
        <is>
          <t>overruled</t>
        </is>
      </c>
      <c r="F1579" s="2" t="inlineStr">
        <is>
          <t>Ravi Prakash v. IVth Addl. District Judge, Saharanpur and another</t>
        </is>
      </c>
      <c r="G1579" s="11" t="inlineStr"/>
      <c r="H1579" s="11" t="inlineStr">
        <is>
          <t>unknown</t>
        </is>
      </c>
      <c r="I1579" s="2" t="inlineStr">
        <is>
          <t>(2001) 3 AWC 2168</t>
        </is>
      </c>
      <c r="J1579" s="11" t="n">
        <v>2001</v>
      </c>
      <c r="K1579" s="2" t="inlineStr">
        <is>
          <t>Ranjeet Singh v. Ravi Prakash</t>
        </is>
      </c>
      <c r="L1579" s="11" t="inlineStr">
        <is>
          <t>Supreme Court</t>
        </is>
      </c>
      <c r="M1579" s="2" t="inlineStr">
        <is>
          <t>AIR 2004 SC 3892; (2004) 4 JT 127; (2004) 3 SCALE 481; (2004) 3 SCC 682; (2004) 3 SCR 250; (2004) AIRSCW 4221; (2004) 2 Supreme 582</t>
        </is>
      </c>
      <c r="N1579" s="11" t="n">
        <v>2004</v>
      </c>
      <c r="O1579" s="11" t="n"/>
      <c r="P1579" s="11" t="n"/>
      <c r="Q1579" s="11" t="n"/>
      <c r="R1579" s="2" t="n"/>
      <c r="S1579" s="2" t="n"/>
      <c r="T1579" s="11" t="inlineStr"/>
      <c r="U1579" s="11" t="inlineStr"/>
      <c r="V1579" s="11" t="inlineStr">
        <is>
          <t>outside_list</t>
        </is>
      </c>
      <c r="W1579" s="11" t="n"/>
      <c r="X1579" s="11" t="n"/>
      <c r="Y1579" s="11" t="n"/>
      <c r="Z1579" s="11" t="inlineStr">
        <is>
          <t>Mr. Advocate</t>
        </is>
      </c>
      <c r="AA1579" s="11" t="inlineStr">
        <is>
          <t>2026-10-07</t>
        </is>
      </c>
      <c r="AB1579" s="11" t="inlineStr">
        <is>
          <t>name_year</t>
        </is>
      </c>
      <c r="AC1579" s="2" t="inlineStr"/>
      <c r="AD1579" s="2" t="inlineStr">
        <is>
          <t>Ravi Prakash v. IVth Addl. District Judge, Saharanpur and another (2001) was overruled by Ranjeet Singh v. Ravi Prakash (2004).</t>
        </is>
      </c>
      <c r="AE1579" s="2" t="n"/>
      <c r="AF1579" s="11" t="inlineStr">
        <is>
          <t>created from list 1</t>
        </is>
      </c>
    </row>
    <row r="1580">
      <c r="A1580" s="11" t="inlineStr">
        <is>
          <t>L1-1579</t>
        </is>
      </c>
      <c r="B1580" s="11" t="inlineStr">
        <is>
          <t>List 1 (to ~2015)</t>
        </is>
      </c>
      <c r="C1580" s="11" t="inlineStr">
        <is>
          <t>list1</t>
        </is>
      </c>
      <c r="D1580" s="11" t="inlineStr">
        <is>
          <t>verified</t>
        </is>
      </c>
      <c r="E1580" s="11" t="inlineStr">
        <is>
          <t>overruled</t>
        </is>
      </c>
      <c r="F1580" s="2" t="inlineStr">
        <is>
          <t>Tetar Gope v. Ganauri Gope and Others</t>
        </is>
      </c>
      <c r="G1580" s="11" t="inlineStr"/>
      <c r="H1580" s="11" t="inlineStr">
        <is>
          <t>High Court/other (Patna)</t>
        </is>
      </c>
      <c r="I1580" s="2" t="inlineStr">
        <is>
          <t>AIR 1968 Patna 287; (1968) CriLJ 1108</t>
        </is>
      </c>
      <c r="J1580" s="11" t="n">
        <v>1968</v>
      </c>
      <c r="K1580" s="2" t="inlineStr">
        <is>
          <t>Zunjarrao Bhikaji Nagarkar v. U.O.I. and Others</t>
        </is>
      </c>
      <c r="L1580" s="11" t="inlineStr">
        <is>
          <t>Supreme Court</t>
        </is>
      </c>
      <c r="M1580" s="2" t="inlineStr">
        <is>
          <t>AIR 1999 SC 2881; (1999) 66 ECC 40; (1999) 84 ECR 29; (1999) 112 ELT 772; (1999) 5 JT 366; (2000) 1 LLJ 728; (1999) 4 SCALE 480; (1999) 7 SCC 409; (1999) SCC(L&amp;S) 1299; (1999) 1 SCR 87 Supp; (2000) 1 SLJ 291; (1999) AIRSCW 2779; (1999) 6 Supreme 523</t>
        </is>
      </c>
      <c r="N1580" s="11" t="n">
        <v>1999</v>
      </c>
      <c r="O1580" s="11" t="n"/>
      <c r="P1580" s="11" t="n"/>
      <c r="Q1580" s="11" t="n"/>
      <c r="R1580" s="2" t="n"/>
      <c r="S1580" s="2" t="n"/>
      <c r="T1580" s="11" t="inlineStr"/>
      <c r="U1580" s="11" t="inlineStr"/>
      <c r="V1580" s="11" t="inlineStr">
        <is>
          <t>outside_list</t>
        </is>
      </c>
      <c r="W1580" s="11" t="n"/>
      <c r="X1580" s="11" t="n"/>
      <c r="Y1580" s="11" t="n"/>
      <c r="Z1580" s="11" t="inlineStr">
        <is>
          <t>Mr. Advocate</t>
        </is>
      </c>
      <c r="AA1580" s="11" t="inlineStr">
        <is>
          <t>2026-10-07</t>
        </is>
      </c>
      <c r="AB1580" s="11" t="inlineStr">
        <is>
          <t>name_year</t>
        </is>
      </c>
      <c r="AC1580" s="2" t="inlineStr"/>
      <c r="AD1580" s="2" t="inlineStr">
        <is>
          <t>Tetar Gope v. Ganauri Gope and Others (1968) was overruled by Zunjarrao Bhikaji Nagarkar v. U.O.I. and Others (1999).</t>
        </is>
      </c>
      <c r="AE1580" s="2" t="n"/>
      <c r="AF1580" s="11" t="inlineStr">
        <is>
          <t>created from list 1</t>
        </is>
      </c>
    </row>
    <row r="1581">
      <c r="A1581" s="11" t="inlineStr">
        <is>
          <t>L1-1580</t>
        </is>
      </c>
      <c r="B1581" s="11" t="inlineStr">
        <is>
          <t>List 1 (to ~2015)</t>
        </is>
      </c>
      <c r="C1581" s="11" t="inlineStr">
        <is>
          <t>list1</t>
        </is>
      </c>
      <c r="D1581" s="11" t="inlineStr">
        <is>
          <t>verified</t>
        </is>
      </c>
      <c r="E1581" s="11" t="inlineStr">
        <is>
          <t>overruled</t>
        </is>
      </c>
      <c r="F1581" s="2" t="inlineStr">
        <is>
          <t>Dukhan Ram and Others v. Ram Nanda Singh and Others</t>
        </is>
      </c>
      <c r="G1581" s="11" t="inlineStr"/>
      <c r="H1581" s="11" t="inlineStr">
        <is>
          <t>High Court/other (Patna)</t>
        </is>
      </c>
      <c r="I1581" s="2" t="inlineStr">
        <is>
          <t>AIR 1961 Patna 425; (1961) CriLJ 662</t>
        </is>
      </c>
      <c r="J1581" s="11" t="n">
        <v>1961</v>
      </c>
      <c r="K1581" s="2" t="inlineStr">
        <is>
          <t>Deokuer and Another v. Sheoprasad Singh and Others</t>
        </is>
      </c>
      <c r="L1581" s="11" t="inlineStr">
        <is>
          <t>Supreme Court</t>
        </is>
      </c>
      <c r="M1581" s="2" t="inlineStr">
        <is>
          <t>AIR 1966 SC 359; (1965) 3 SCR 655</t>
        </is>
      </c>
      <c r="N1581" s="11" t="n">
        <v>1966</v>
      </c>
      <c r="O1581" s="11" t="n"/>
      <c r="P1581" s="11" t="n"/>
      <c r="Q1581" s="11" t="n"/>
      <c r="R1581" s="2" t="n"/>
      <c r="S1581" s="2" t="n"/>
      <c r="T1581" s="11" t="inlineStr"/>
      <c r="U1581" s="11" t="inlineStr"/>
      <c r="V1581" s="11" t="inlineStr">
        <is>
          <t>outside_list</t>
        </is>
      </c>
      <c r="W1581" s="11" t="n"/>
      <c r="X1581" s="11" t="n"/>
      <c r="Y1581" s="11" t="n"/>
      <c r="Z1581" s="11" t="inlineStr">
        <is>
          <t>Mr. Advocate</t>
        </is>
      </c>
      <c r="AA1581" s="11" t="inlineStr">
        <is>
          <t>2026-10-07</t>
        </is>
      </c>
      <c r="AB1581" s="11" t="inlineStr">
        <is>
          <t>name_year</t>
        </is>
      </c>
      <c r="AC1581" s="2" t="inlineStr"/>
      <c r="AD1581" s="2" t="inlineStr">
        <is>
          <t>Dukhan Ram and Others v. Ram Nanda Singh and Others (1961) was overruled by Deokuer and Another v. Sheoprasad Singh and Others (1966).</t>
        </is>
      </c>
      <c r="AE1581" s="2" t="n"/>
      <c r="AF1581" s="11" t="inlineStr">
        <is>
          <t>created from list 1</t>
        </is>
      </c>
    </row>
    <row r="1582">
      <c r="A1582" s="11" t="inlineStr">
        <is>
          <t>L1-1581</t>
        </is>
      </c>
      <c r="B1582" s="11" t="inlineStr">
        <is>
          <t>List 1 (to ~2015)</t>
        </is>
      </c>
      <c r="C1582" s="11" t="inlineStr">
        <is>
          <t>list1</t>
        </is>
      </c>
      <c r="D1582" s="11" t="inlineStr">
        <is>
          <t>verified</t>
        </is>
      </c>
      <c r="E1582" s="11" t="inlineStr">
        <is>
          <t>reversed_on_appeal</t>
        </is>
      </c>
      <c r="F1582" s="2" t="inlineStr">
        <is>
          <t>Sunil Kumar Singh v. Smt. Prabha and Others</t>
        </is>
      </c>
      <c r="G1582" s="11" t="inlineStr"/>
      <c r="H1582" s="11" t="inlineStr">
        <is>
          <t>unknown</t>
        </is>
      </c>
      <c r="I1582" s="2" t="inlineStr"/>
      <c r="J1582" s="11" t="n"/>
      <c r="K1582" s="2" t="inlineStr">
        <is>
          <t>Atul Singh and Others v. Sunil Kumar Singh and Others</t>
        </is>
      </c>
      <c r="L1582" s="11" t="inlineStr">
        <is>
          <t>Supreme Court</t>
        </is>
      </c>
      <c r="M1582" s="2" t="inlineStr">
        <is>
          <t>AIR 2008 SC 1016; (2008) 1 ARBLR 1; (2008) 1 CLT 168; (2008) 2 CTC 856; (2008) 1 SCALE 84; (2008) 2 SCC 602; (2008) 1 UJ 180; (2009) AIRSCW 206; (2008) AIRSCW 570; (2008) 7 Supreme 250; (2008) 1 Supreme 268</t>
        </is>
      </c>
      <c r="N1582" s="11" t="n">
        <v>2008</v>
      </c>
      <c r="O1582" s="11" t="n"/>
      <c r="P1582" s="11" t="n"/>
      <c r="Q1582" s="11" t="n"/>
      <c r="R1582" s="2" t="n"/>
      <c r="S1582" s="2" t="n"/>
      <c r="T1582" s="11" t="inlineStr">
        <is>
          <t>yes</t>
        </is>
      </c>
      <c r="U1582" s="11" t="inlineStr">
        <is>
          <t>no_citation_or_year_for_overruled, needs_citation_or_year</t>
        </is>
      </c>
      <c r="V1582" s="11" t="inlineStr">
        <is>
          <t>outside_list</t>
        </is>
      </c>
      <c r="W1582" s="11" t="n"/>
      <c r="X1582" s="11" t="n"/>
      <c r="Y1582" s="11" t="n"/>
      <c r="Z1582" s="11" t="inlineStr">
        <is>
          <t>Mr. Advocate</t>
        </is>
      </c>
      <c r="AA1582" s="11" t="inlineStr">
        <is>
          <t>2026-10-07</t>
        </is>
      </c>
      <c r="AB1582" s="11" t="inlineStr">
        <is>
          <t>weak</t>
        </is>
      </c>
      <c r="AC1582" s="2" t="inlineStr"/>
      <c r="AD1582" s="2" t="inlineStr">
        <is>
          <t>Sunil Kumar Singh v. Smt. Prabha and Others was reversed on appeal by the Supreme Court in Atul Singh and Others v. Sunil Kumar Singh and Others (2008).</t>
        </is>
      </c>
      <c r="AE1582" s="2" t="n"/>
      <c r="AF1582" s="11" t="inlineStr">
        <is>
          <t>created from list 1</t>
        </is>
      </c>
    </row>
    <row r="1583">
      <c r="A1583" s="11" t="inlineStr">
        <is>
          <t>L1-1582</t>
        </is>
      </c>
      <c r="B1583" s="11" t="inlineStr">
        <is>
          <t>List 1 (to ~2015)</t>
        </is>
      </c>
      <c r="C1583" s="11" t="inlineStr">
        <is>
          <t>list1</t>
        </is>
      </c>
      <c r="D1583" s="11" t="inlineStr">
        <is>
          <t>verified</t>
        </is>
      </c>
      <c r="E1583" s="11" t="inlineStr">
        <is>
          <t>overruled</t>
        </is>
      </c>
      <c r="F1583" s="2" t="inlineStr">
        <is>
          <t>Janki Mohan and Another v. Dr. S. Samaddar and Others</t>
        </is>
      </c>
      <c r="G1583" s="11" t="inlineStr"/>
      <c r="H1583" s="11" t="inlineStr">
        <is>
          <t>High Court/other (Patna)</t>
        </is>
      </c>
      <c r="I1583" s="2" t="inlineStr">
        <is>
          <t>AIR 1962 Patna 403</t>
        </is>
      </c>
      <c r="J1583" s="11" t="n">
        <v>1962</v>
      </c>
      <c r="K1583" s="2" t="inlineStr">
        <is>
          <t>Kancherla Lakshminarayana v. Mattaparthi Syamala and Others</t>
        </is>
      </c>
      <c r="L1583" s="11" t="inlineStr">
        <is>
          <t>Supreme Court</t>
        </is>
      </c>
      <c r="M1583" s="2" t="inlineStr">
        <is>
          <t>AIR 2008 SC 2069; (2008) 2 CTC 774; (2008) 3 SCALE 641; (2008) 14 SCC 258; (2008) 1 UJ 570; (2008) AIRSCW 2800</t>
        </is>
      </c>
      <c r="N1583" s="11" t="n">
        <v>2008</v>
      </c>
      <c r="O1583" s="11" t="n"/>
      <c r="P1583" s="11" t="n"/>
      <c r="Q1583" s="11" t="n"/>
      <c r="R1583" s="2" t="n"/>
      <c r="S1583" s="2" t="n"/>
      <c r="T1583" s="11" t="inlineStr"/>
      <c r="U1583" s="11" t="inlineStr"/>
      <c r="V1583" s="11" t="inlineStr">
        <is>
          <t>outside_list</t>
        </is>
      </c>
      <c r="W1583" s="11" t="n"/>
      <c r="X1583" s="11" t="n"/>
      <c r="Y1583" s="11" t="n"/>
      <c r="Z1583" s="11" t="inlineStr">
        <is>
          <t>Mr. Advocate</t>
        </is>
      </c>
      <c r="AA1583" s="11" t="inlineStr">
        <is>
          <t>2026-10-07</t>
        </is>
      </c>
      <c r="AB1583" s="11" t="inlineStr">
        <is>
          <t>name_year</t>
        </is>
      </c>
      <c r="AC1583" s="2" t="inlineStr"/>
      <c r="AD1583" s="2" t="inlineStr">
        <is>
          <t>Janki Mohan and Another v. Dr. S. Samaddar and Others (1962) was overruled by Kancherla Lakshminarayana v. Mattaparthi Syamala and Others (2008).</t>
        </is>
      </c>
      <c r="AE1583" s="2" t="n"/>
      <c r="AF1583" s="11" t="inlineStr">
        <is>
          <t>created from list 1</t>
        </is>
      </c>
    </row>
    <row r="1584">
      <c r="A1584" s="11" t="inlineStr">
        <is>
          <t>L1-1583</t>
        </is>
      </c>
      <c r="B1584" s="11" t="inlineStr">
        <is>
          <t>List 1 (to ~2015)</t>
        </is>
      </c>
      <c r="C1584" s="11" t="inlineStr">
        <is>
          <t>list1</t>
        </is>
      </c>
      <c r="D1584" s="11" t="inlineStr">
        <is>
          <t>verified</t>
        </is>
      </c>
      <c r="E1584" s="11" t="inlineStr">
        <is>
          <t>overruled</t>
        </is>
      </c>
      <c r="F1584" s="2" t="inlineStr">
        <is>
          <t>Kalyani Banerjee and Others v. The State of Bihar and Others</t>
        </is>
      </c>
      <c r="G1584" s="11" t="inlineStr"/>
      <c r="H1584" s="11" t="inlineStr">
        <is>
          <t>High Court/other (Patna)</t>
        </is>
      </c>
      <c r="I1584" s="2" t="inlineStr">
        <is>
          <t>AIR 1972 Patna 446</t>
        </is>
      </c>
      <c r="J1584" s="11" t="n">
        <v>1972</v>
      </c>
      <c r="K1584" s="2" t="inlineStr">
        <is>
          <t>Hindustan Steel Limited, Rourkela v. Smt. Kalyani Banerjee and Others</t>
        </is>
      </c>
      <c r="L1584" s="11" t="inlineStr">
        <is>
          <t>Supreme Court</t>
        </is>
      </c>
      <c r="M1584" s="2" t="inlineStr">
        <is>
          <t>AIR 1973 SC 408; (1973) 1 SCC 273; (1973) 3 SCR 1; (1973) 5 UJ 485</t>
        </is>
      </c>
      <c r="N1584" s="11" t="n">
        <v>1973</v>
      </c>
      <c r="O1584" s="11" t="n"/>
      <c r="P1584" s="11" t="n"/>
      <c r="Q1584" s="11" t="n"/>
      <c r="R1584" s="2" t="n"/>
      <c r="S1584" s="2" t="n"/>
      <c r="T1584" s="11" t="inlineStr"/>
      <c r="U1584" s="11" t="inlineStr"/>
      <c r="V1584" s="11" t="inlineStr">
        <is>
          <t>outside_list</t>
        </is>
      </c>
      <c r="W1584" s="11" t="n"/>
      <c r="X1584" s="11" t="n"/>
      <c r="Y1584" s="11" t="n"/>
      <c r="Z1584" s="11" t="inlineStr">
        <is>
          <t>Mr. Advocate</t>
        </is>
      </c>
      <c r="AA1584" s="11" t="inlineStr">
        <is>
          <t>2026-10-07</t>
        </is>
      </c>
      <c r="AB1584" s="11" t="inlineStr">
        <is>
          <t>name_year</t>
        </is>
      </c>
      <c r="AC1584" s="2" t="inlineStr"/>
      <c r="AD1584" s="2" t="inlineStr">
        <is>
          <t>Kalyani Banerjee and Others v. The State of Bihar and Others (1972) was overruled by Hindustan Steel Limited, Rourkela v. Smt. Kalyani Banerjee and Others (1973).</t>
        </is>
      </c>
      <c r="AE1584" s="2" t="n"/>
      <c r="AF1584" s="11" t="inlineStr">
        <is>
          <t>created from list 1</t>
        </is>
      </c>
    </row>
    <row r="1585">
      <c r="A1585" s="11" t="inlineStr">
        <is>
          <t>L1-1584</t>
        </is>
      </c>
      <c r="B1585" s="11" t="inlineStr">
        <is>
          <t>List 1 (to ~2015)</t>
        </is>
      </c>
      <c r="C1585" s="11" t="inlineStr">
        <is>
          <t>list1</t>
        </is>
      </c>
      <c r="D1585" s="11" t="inlineStr">
        <is>
          <t>verified</t>
        </is>
      </c>
      <c r="E1585" s="11" t="inlineStr">
        <is>
          <t>overruled</t>
        </is>
      </c>
      <c r="F1585" s="2" t="inlineStr">
        <is>
          <t>Commissioner of Income Tax v. Pure Nichitpur Colliery Company</t>
        </is>
      </c>
      <c r="G1585" s="11" t="inlineStr"/>
      <c r="H1585" s="11" t="inlineStr">
        <is>
          <t>unknown</t>
        </is>
      </c>
      <c r="I1585" s="2" t="inlineStr">
        <is>
          <t>(1975) 101 ITR 79; (1975) 8 PLJR 190; (1975) PLJR 190</t>
        </is>
      </c>
      <c r="J1585" s="11" t="n">
        <v>1975</v>
      </c>
      <c r="K1585" s="2" t="inlineStr">
        <is>
          <t>Income Tax Officer v. Atchaiah</t>
        </is>
      </c>
      <c r="L1585" s="11" t="inlineStr">
        <is>
          <t>Supreme Court</t>
        </is>
      </c>
      <c r="M1585" s="2" t="inlineStr">
        <is>
          <t>AIR 1996 SC 883; AIR 1995 SC 883; (1996) 130 CTR 404; (1996) 218 ITR 239; (1995) 9 JT 441; (1995) 7 SCALE 186; (1996) 1 SCC 417; (1995) 6 SCR 543 Supp</t>
        </is>
      </c>
      <c r="N1585" s="11" t="n">
        <v>1996</v>
      </c>
      <c r="O1585" s="11" t="n"/>
      <c r="P1585" s="11" t="n"/>
      <c r="Q1585" s="11" t="n"/>
      <c r="R1585" s="2" t="n"/>
      <c r="S1585" s="2" t="n"/>
      <c r="T1585" s="11" t="inlineStr"/>
      <c r="U1585" s="11" t="inlineStr"/>
      <c r="V1585" s="11" t="inlineStr">
        <is>
          <t>outside_list</t>
        </is>
      </c>
      <c r="W1585" s="11" t="n"/>
      <c r="X1585" s="11" t="n"/>
      <c r="Y1585" s="11" t="n"/>
      <c r="Z1585" s="11" t="inlineStr">
        <is>
          <t>Mr. Advocate</t>
        </is>
      </c>
      <c r="AA1585" s="11" t="inlineStr">
        <is>
          <t>2026-10-07</t>
        </is>
      </c>
      <c r="AB1585" s="11" t="inlineStr">
        <is>
          <t>name_year</t>
        </is>
      </c>
      <c r="AC1585" s="2" t="inlineStr"/>
      <c r="AD1585" s="2" t="inlineStr">
        <is>
          <t>Commissioner of Income Tax v. Pure Nichitpur Colliery Company (1975) was overruled by Income Tax Officer v. Atchaiah (1996).</t>
        </is>
      </c>
      <c r="AE1585" s="2" t="n"/>
      <c r="AF1585" s="11" t="inlineStr">
        <is>
          <t>created from list 1</t>
        </is>
      </c>
    </row>
    <row r="1586">
      <c r="A1586" s="11" t="inlineStr">
        <is>
          <t>L1-1585</t>
        </is>
      </c>
      <c r="B1586" s="11" t="inlineStr">
        <is>
          <t>List 1 (to ~2015)</t>
        </is>
      </c>
      <c r="C1586" s="11" t="inlineStr">
        <is>
          <t>list1</t>
        </is>
      </c>
      <c r="D1586" s="11" t="inlineStr">
        <is>
          <t>verified</t>
        </is>
      </c>
      <c r="E1586" s="11" t="inlineStr">
        <is>
          <t>reversed_on_appeal</t>
        </is>
      </c>
      <c r="F1586" s="2" t="inlineStr">
        <is>
          <t>Arun Kumar Sharma v. State of Bihar</t>
        </is>
      </c>
      <c r="G1586" s="11" t="inlineStr"/>
      <c r="H1586" s="11" t="inlineStr">
        <is>
          <t>unknown</t>
        </is>
      </c>
      <c r="I1586" s="2" t="inlineStr"/>
      <c r="J1586" s="11" t="n"/>
      <c r="K1586" s="2" t="inlineStr">
        <is>
          <t>Arun Kumar Sharma v. State of Bihar</t>
        </is>
      </c>
      <c r="L1586" s="11" t="inlineStr">
        <is>
          <t>Supreme Court</t>
        </is>
      </c>
      <c r="M1586" s="2" t="inlineStr">
        <is>
          <t>(2010) CriLJ 428; (2009) 2 DMC 826; (2009) 13 JT 88; (2009) 13 SCALE 124; (2010) 1 SCC 108; (2009) 14 SCR 1023; (2010) 1 UJ 132</t>
        </is>
      </c>
      <c r="N1586" s="11" t="n">
        <v>2009</v>
      </c>
      <c r="O1586" s="11" t="n"/>
      <c r="P1586" s="11" t="n"/>
      <c r="Q1586" s="11" t="n"/>
      <c r="R1586" s="2" t="n"/>
      <c r="S1586" s="2" t="n"/>
      <c r="T1586" s="11" t="inlineStr">
        <is>
          <t>yes</t>
        </is>
      </c>
      <c r="U1586" s="11" t="inlineStr">
        <is>
          <t>no_citation_or_year_for_overruled, needs_citation_or_year</t>
        </is>
      </c>
      <c r="V1586" s="11" t="inlineStr">
        <is>
          <t>outside_list</t>
        </is>
      </c>
      <c r="W1586" s="11" t="n"/>
      <c r="X1586" s="11" t="n"/>
      <c r="Y1586" s="11" t="n"/>
      <c r="Z1586" s="11" t="inlineStr">
        <is>
          <t>Mr. Advocate</t>
        </is>
      </c>
      <c r="AA1586" s="11" t="inlineStr">
        <is>
          <t>2026-10-07</t>
        </is>
      </c>
      <c r="AB1586" s="11" t="inlineStr">
        <is>
          <t>weak</t>
        </is>
      </c>
      <c r="AC1586" s="2" t="inlineStr"/>
      <c r="AD1586" s="2" t="inlineStr">
        <is>
          <t>Arun Kumar Sharma v. State of Bihar was reversed on appeal by the Supreme Court in Arun Kumar Sharma v. State of Bihar (2009).</t>
        </is>
      </c>
      <c r="AE1586" s="2" t="n"/>
      <c r="AF1586" s="11" t="inlineStr">
        <is>
          <t>created from list 1</t>
        </is>
      </c>
    </row>
    <row r="1587">
      <c r="A1587" s="11" t="inlineStr">
        <is>
          <t>L1-1586</t>
        </is>
      </c>
      <c r="B1587" s="11" t="inlineStr">
        <is>
          <t>List 1 (to ~2015)</t>
        </is>
      </c>
      <c r="C1587" s="11" t="inlineStr">
        <is>
          <t>list1</t>
        </is>
      </c>
      <c r="D1587" s="11" t="inlineStr">
        <is>
          <t>verified</t>
        </is>
      </c>
      <c r="E1587" s="11" t="inlineStr">
        <is>
          <t>overruled</t>
        </is>
      </c>
      <c r="F1587" s="2" t="inlineStr">
        <is>
          <t>Dr. Vijay Kumar Singh and Others v. State of Bihar and Others</t>
        </is>
      </c>
      <c r="G1587" s="11" t="inlineStr"/>
      <c r="H1587" s="11" t="inlineStr">
        <is>
          <t>unknown</t>
        </is>
      </c>
      <c r="I1587" s="2" t="inlineStr">
        <is>
          <t>(1990) 1 BLJR 486</t>
        </is>
      </c>
      <c r="J1587" s="11" t="n">
        <v>1990</v>
      </c>
      <c r="K1587" s="2" t="inlineStr">
        <is>
          <t>Suresh T. Kalichand v. Sampat Shripat Lambate and another</t>
        </is>
      </c>
      <c r="L1587" s="11" t="inlineStr">
        <is>
          <t>Supreme Court</t>
        </is>
      </c>
      <c r="M1587" s="2" t="inlineStr">
        <is>
          <t>AIR 1994 SC 583; (1994) CriLJ 611; (1993) 3 Crimes 531; (1993) 3 SCALE 876; (1994) 1 SCC 543 Supp</t>
        </is>
      </c>
      <c r="N1587" s="11" t="n">
        <v>1994</v>
      </c>
      <c r="O1587" s="11" t="n"/>
      <c r="P1587" s="11" t="n"/>
      <c r="Q1587" s="11" t="n"/>
      <c r="R1587" s="2" t="n"/>
      <c r="S1587" s="2" t="n"/>
      <c r="T1587" s="11" t="inlineStr"/>
      <c r="U1587" s="11" t="inlineStr"/>
      <c r="V1587" s="11" t="inlineStr">
        <is>
          <t>outside_list</t>
        </is>
      </c>
      <c r="W1587" s="11" t="n"/>
      <c r="X1587" s="11" t="n"/>
      <c r="Y1587" s="11" t="n"/>
      <c r="Z1587" s="11" t="inlineStr">
        <is>
          <t>Mr. Advocate</t>
        </is>
      </c>
      <c r="AA1587" s="11" t="inlineStr">
        <is>
          <t>2026-10-07</t>
        </is>
      </c>
      <c r="AB1587" s="11" t="inlineStr">
        <is>
          <t>name_year</t>
        </is>
      </c>
      <c r="AC1587" s="2" t="inlineStr"/>
      <c r="AD1587" s="2" t="inlineStr">
        <is>
          <t>Dr. Vijay Kumar Singh and Others v. State of Bihar and Others (1990) was overruled by Suresh T. Kalichand v. Sampat Shripat Lambate and another (1994).</t>
        </is>
      </c>
      <c r="AE1587" s="2" t="n"/>
      <c r="AF1587" s="11" t="inlineStr">
        <is>
          <t>created from list 1</t>
        </is>
      </c>
    </row>
    <row r="1588">
      <c r="A1588" s="11" t="inlineStr">
        <is>
          <t>L1-1587</t>
        </is>
      </c>
      <c r="B1588" s="11" t="inlineStr">
        <is>
          <t>List 1 (to ~2015)</t>
        </is>
      </c>
      <c r="C1588" s="11" t="inlineStr">
        <is>
          <t>list1</t>
        </is>
      </c>
      <c r="D1588" s="11" t="inlineStr">
        <is>
          <t>verified</t>
        </is>
      </c>
      <c r="E1588" s="11" t="inlineStr">
        <is>
          <t>reversed_on_appeal</t>
        </is>
      </c>
      <c r="F1588" s="2" t="inlineStr">
        <is>
          <t>P.S. Gandhi v. Commissioner of Wealth-tax</t>
        </is>
      </c>
      <c r="G1588" s="11" t="inlineStr"/>
      <c r="H1588" s="11" t="inlineStr">
        <is>
          <t>unknown</t>
        </is>
      </c>
      <c r="I1588" s="2" t="inlineStr">
        <is>
          <t>(1982) 28 CTR 71; (1983) 141 ITR 105; (1982) 11 TAXMAN 114</t>
        </is>
      </c>
      <c r="J1588" s="11" t="n">
        <v>1982</v>
      </c>
      <c r="K1588" s="2" t="inlineStr">
        <is>
          <t>F. S. Gandhi (Dead) by LRs. v. Commissioner of Wealth tax, Allahabad</t>
        </is>
      </c>
      <c r="L1588" s="11" t="inlineStr">
        <is>
          <t>Supreme Court</t>
        </is>
      </c>
      <c r="M1588" s="2" t="inlineStr">
        <is>
          <t>AIR 1991 SC 1866; (1990) 84 CTR 35; (1990) 18 ITR 34; (1990) 3 JT 476; (1990) 3 SCC 624; (1990) 2 SCR 886</t>
        </is>
      </c>
      <c r="N1588" s="11" t="n">
        <v>1991</v>
      </c>
      <c r="O1588" s="11" t="n"/>
      <c r="P1588" s="11" t="n"/>
      <c r="Q1588" s="11" t="n"/>
      <c r="R1588" s="2" t="n"/>
      <c r="S1588" s="2" t="n"/>
      <c r="T1588" s="11" t="inlineStr">
        <is>
          <t>yes</t>
        </is>
      </c>
      <c r="U1588" s="11" t="inlineStr"/>
      <c r="V1588" s="11" t="inlineStr">
        <is>
          <t>outside_list</t>
        </is>
      </c>
      <c r="W1588" s="11" t="n"/>
      <c r="X1588" s="11" t="n"/>
      <c r="Y1588" s="11" t="n"/>
      <c r="Z1588" s="11" t="inlineStr">
        <is>
          <t>Mr. Advocate</t>
        </is>
      </c>
      <c r="AA1588" s="11" t="inlineStr">
        <is>
          <t>2026-10-07</t>
        </is>
      </c>
      <c r="AB1588" s="11" t="inlineStr">
        <is>
          <t>name_year</t>
        </is>
      </c>
      <c r="AC1588" s="2" t="inlineStr"/>
      <c r="AD1588" s="2" t="inlineStr">
        <is>
          <t>P.S. Gandhi v. Commissioner of Wealth-tax (1982) was reversed on appeal by the Supreme Court in F. S. Gandhi (Dead) by LRs. v. Commissioner of Wealth tax, Allahabad (1991).</t>
        </is>
      </c>
      <c r="AE1588" s="2" t="n"/>
      <c r="AF1588" s="11" t="inlineStr">
        <is>
          <t>created from list 1</t>
        </is>
      </c>
    </row>
    <row r="1589">
      <c r="A1589" s="11" t="inlineStr">
        <is>
          <t>L1-1588</t>
        </is>
      </c>
      <c r="B1589" s="11" t="inlineStr">
        <is>
          <t>List 1 (to ~2015)</t>
        </is>
      </c>
      <c r="C1589" s="11" t="inlineStr">
        <is>
          <t>list1</t>
        </is>
      </c>
      <c r="D1589" s="11" t="inlineStr">
        <is>
          <t>verified</t>
        </is>
      </c>
      <c r="E1589" s="11" t="inlineStr">
        <is>
          <t>overruled</t>
        </is>
      </c>
      <c r="F1589" s="2" t="inlineStr">
        <is>
          <t>Jaisram Ramrekha Das v. G.I.P. Roy and Another</t>
        </is>
      </c>
      <c r="G1589" s="11" t="inlineStr"/>
      <c r="H1589" s="11" t="inlineStr">
        <is>
          <t>High Court/other (Patna)</t>
        </is>
      </c>
      <c r="I1589" s="2" t="inlineStr">
        <is>
          <t>AIR 1929 Patna 109</t>
        </is>
      </c>
      <c r="J1589" s="11" t="n">
        <v>1929</v>
      </c>
      <c r="K1589" s="2" t="inlineStr">
        <is>
          <t>Governor General in Council v. Musaddi Lal</t>
        </is>
      </c>
      <c r="L1589" s="11" t="inlineStr">
        <is>
          <t>Supreme Court</t>
        </is>
      </c>
      <c r="M1589" s="2" t="inlineStr">
        <is>
          <t>AIR 1961 SC 725; (1961) 3 SCR 647</t>
        </is>
      </c>
      <c r="N1589" s="11" t="n">
        <v>1961</v>
      </c>
      <c r="O1589" s="11" t="n"/>
      <c r="P1589" s="11" t="n"/>
      <c r="Q1589" s="11" t="n"/>
      <c r="R1589" s="2" t="n"/>
      <c r="S1589" s="2" t="n"/>
      <c r="T1589" s="11" t="inlineStr"/>
      <c r="U1589" s="11" t="inlineStr"/>
      <c r="V1589" s="11" t="inlineStr">
        <is>
          <t>outside_list</t>
        </is>
      </c>
      <c r="W1589" s="11" t="n"/>
      <c r="X1589" s="11" t="n"/>
      <c r="Y1589" s="11" t="n"/>
      <c r="Z1589" s="11" t="inlineStr">
        <is>
          <t>Mr. Advocate</t>
        </is>
      </c>
      <c r="AA1589" s="11" t="inlineStr">
        <is>
          <t>2026-10-07</t>
        </is>
      </c>
      <c r="AB1589" s="11" t="inlineStr">
        <is>
          <t>name_year</t>
        </is>
      </c>
      <c r="AC1589" s="2" t="inlineStr"/>
      <c r="AD1589" s="2" t="inlineStr">
        <is>
          <t>Jaisram Ramrekha Das v. G.I.P. Roy and Another (1929) was overruled by Governor General in Council v. Musaddi Lal (1961).</t>
        </is>
      </c>
      <c r="AE1589" s="2" t="n"/>
      <c r="AF1589" s="11" t="inlineStr">
        <is>
          <t>created from list 1</t>
        </is>
      </c>
    </row>
    <row r="1590">
      <c r="A1590" s="11" t="inlineStr">
        <is>
          <t>L1-1589</t>
        </is>
      </c>
      <c r="B1590" s="11" t="inlineStr">
        <is>
          <t>List 1 (to ~2015)</t>
        </is>
      </c>
      <c r="C1590" s="11" t="inlineStr">
        <is>
          <t>list1</t>
        </is>
      </c>
      <c r="D1590" s="11" t="inlineStr">
        <is>
          <t>verified</t>
        </is>
      </c>
      <c r="E1590" s="11" t="inlineStr">
        <is>
          <t>reversed_on_appeal</t>
        </is>
      </c>
      <c r="F1590" s="2" t="inlineStr">
        <is>
          <t>State Bank of India v. Ranjan Chemicals Ltd. and Another</t>
        </is>
      </c>
      <c r="G1590" s="11" t="inlineStr"/>
      <c r="H1590" s="11" t="inlineStr">
        <is>
          <t>unknown</t>
        </is>
      </c>
      <c r="I1590" s="2" t="inlineStr"/>
      <c r="J1590" s="11" t="n"/>
      <c r="K1590" s="2" t="inlineStr">
        <is>
          <t>State Bank of India v. Ranjan Chemicals Ltd. and Another</t>
        </is>
      </c>
      <c r="L1590" s="11" t="inlineStr">
        <is>
          <t>unknown</t>
        </is>
      </c>
      <c r="M1590" s="2" t="inlineStr">
        <is>
          <t>(2006) 134 CompCas 24; (2006) 10 SCALE 150; (2007) 1 SCC 97; (2006) 72 SCL 59; (2006) 7 SCR 145 Supp; (2006) AIRSCW 3169; (2006) 4 Supreme 407</t>
        </is>
      </c>
      <c r="N1590" s="11" t="n">
        <v>2006</v>
      </c>
      <c r="O1590" s="11" t="n"/>
      <c r="P1590" s="11" t="n"/>
      <c r="Q1590" s="11" t="n"/>
      <c r="R1590" s="2" t="n"/>
      <c r="S1590" s="2" t="n"/>
      <c r="T1590" s="11" t="inlineStr">
        <is>
          <t>yes</t>
        </is>
      </c>
      <c r="U1590" s="11" t="inlineStr">
        <is>
          <t>no_citation_or_year_for_overruled, needs_citation_or_year</t>
        </is>
      </c>
      <c r="V1590" s="11" t="inlineStr">
        <is>
          <t>outside_list</t>
        </is>
      </c>
      <c r="W1590" s="11" t="n"/>
      <c r="X1590" s="11" t="n"/>
      <c r="Y1590" s="11" t="n"/>
      <c r="Z1590" s="11" t="inlineStr">
        <is>
          <t>Mr. Advocate</t>
        </is>
      </c>
      <c r="AA1590" s="11" t="inlineStr">
        <is>
          <t>2026-10-07</t>
        </is>
      </c>
      <c r="AB1590" s="11" t="inlineStr">
        <is>
          <t>weak</t>
        </is>
      </c>
      <c r="AC1590" s="2" t="inlineStr"/>
      <c r="AD1590" s="2" t="inlineStr">
        <is>
          <t>State Bank of India v. Ranjan Chemicals Ltd. and Another was reversed on appeal by the Supreme Court in State Bank of India v. Ranjan Chemicals Ltd. and Another (2006).</t>
        </is>
      </c>
      <c r="AE1590" s="2" t="n"/>
      <c r="AF1590" s="11" t="inlineStr">
        <is>
          <t>created from list 1</t>
        </is>
      </c>
    </row>
    <row r="1591">
      <c r="A1591" s="11" t="inlineStr">
        <is>
          <t>L1-1590</t>
        </is>
      </c>
      <c r="B1591" s="11" t="inlineStr">
        <is>
          <t>List 1 (to ~2015)</t>
        </is>
      </c>
      <c r="C1591" s="11" t="inlineStr">
        <is>
          <t>list1</t>
        </is>
      </c>
      <c r="D1591" s="11" t="inlineStr">
        <is>
          <t>verified</t>
        </is>
      </c>
      <c r="E1591" s="11" t="inlineStr">
        <is>
          <t>reversed_on_appeal</t>
        </is>
      </c>
      <c r="F1591" s="2" t="inlineStr">
        <is>
          <t>Durga Prasad v. State</t>
        </is>
      </c>
      <c r="G1591" s="11" t="inlineStr"/>
      <c r="H1591" s="11" t="inlineStr">
        <is>
          <t>unknown</t>
        </is>
      </c>
      <c r="I1591" s="2" t="inlineStr">
        <is>
          <t>(1971) 41 AWR 175; (1971) CriLJ 1582</t>
        </is>
      </c>
      <c r="J1591" s="11" t="n">
        <v>1971</v>
      </c>
      <c r="K1591" s="2" t="inlineStr">
        <is>
          <t>State of U.P. v. Durga Prasad</t>
        </is>
      </c>
      <c r="L1591" s="11" t="inlineStr">
        <is>
          <t>Supreme Court</t>
        </is>
      </c>
      <c r="M1591" s="2" t="inlineStr">
        <is>
          <t>AIR 1974 SC 2136; (1974) CriLJ 1465; (1975) 3 SCC 210; (1974) SCC(Cri) 828; (1975) 1 SCR 881</t>
        </is>
      </c>
      <c r="N1591" s="11" t="n">
        <v>1974</v>
      </c>
      <c r="O1591" s="11" t="n"/>
      <c r="P1591" s="11" t="n"/>
      <c r="Q1591" s="11" t="n"/>
      <c r="R1591" s="2" t="n"/>
      <c r="S1591" s="2" t="n"/>
      <c r="T1591" s="11" t="inlineStr">
        <is>
          <t>yes</t>
        </is>
      </c>
      <c r="U1591" s="11" t="inlineStr"/>
      <c r="V1591" s="11" t="inlineStr">
        <is>
          <t>outside_list</t>
        </is>
      </c>
      <c r="W1591" s="11" t="n"/>
      <c r="X1591" s="11" t="n"/>
      <c r="Y1591" s="11" t="n"/>
      <c r="Z1591" s="11" t="inlineStr">
        <is>
          <t>Mr. Advocate</t>
        </is>
      </c>
      <c r="AA1591" s="11" t="inlineStr">
        <is>
          <t>2026-10-07</t>
        </is>
      </c>
      <c r="AB1591" s="11" t="inlineStr">
        <is>
          <t>name_year</t>
        </is>
      </c>
      <c r="AC1591" s="2" t="inlineStr"/>
      <c r="AD1591" s="2" t="inlineStr">
        <is>
          <t>Durga Prasad v. State (1971) was reversed on appeal by the Supreme Court in State of U.P. v. Durga Prasad (1974).</t>
        </is>
      </c>
      <c r="AE1591" s="2" t="n"/>
      <c r="AF1591" s="11" t="inlineStr">
        <is>
          <t>created from list 1</t>
        </is>
      </c>
    </row>
    <row r="1592">
      <c r="A1592" s="11" t="inlineStr">
        <is>
          <t>L1-1591</t>
        </is>
      </c>
      <c r="B1592" s="11" t="inlineStr">
        <is>
          <t>List 1 (to ~2015)</t>
        </is>
      </c>
      <c r="C1592" s="11" t="inlineStr">
        <is>
          <t>list1</t>
        </is>
      </c>
      <c r="D1592" s="11" t="inlineStr">
        <is>
          <t>verified</t>
        </is>
      </c>
      <c r="E1592" s="11" t="inlineStr">
        <is>
          <t>overruled</t>
        </is>
      </c>
      <c r="F1592" s="2" t="inlineStr">
        <is>
          <t>Bansropan Singh and Others v. Emperor</t>
        </is>
      </c>
      <c r="G1592" s="11" t="inlineStr"/>
      <c r="H1592" s="11" t="inlineStr">
        <is>
          <t>High Court/other (Patna)</t>
        </is>
      </c>
      <c r="I1592" s="2" t="inlineStr">
        <is>
          <t>AIR 1937 Patna 603</t>
        </is>
      </c>
      <c r="J1592" s="11" t="n">
        <v>1937</v>
      </c>
      <c r="K1592" s="2" t="inlineStr">
        <is>
          <t>Rajender Singh v. Ramdhar Singh and Others</t>
        </is>
      </c>
      <c r="L1592" s="11" t="inlineStr">
        <is>
          <t>Supreme Court</t>
        </is>
      </c>
      <c r="M1592" s="2" t="inlineStr">
        <is>
          <t>AIR 2001 SC 2220; (2001) 1 JT 95 Supp; (2001) 4 SCALE 170; (2001) 6 SCC 213; (2001) 3 SCR 736; (2001) AIRSCW 2118; (2001) 4 Supreme 170</t>
        </is>
      </c>
      <c r="N1592" s="11" t="n">
        <v>2001</v>
      </c>
      <c r="O1592" s="11" t="n"/>
      <c r="P1592" s="11" t="n"/>
      <c r="Q1592" s="11" t="n"/>
      <c r="R1592" s="2" t="n"/>
      <c r="S1592" s="2" t="n"/>
      <c r="T1592" s="11" t="inlineStr"/>
      <c r="U1592" s="11" t="inlineStr"/>
      <c r="V1592" s="11" t="inlineStr">
        <is>
          <t>outside_list</t>
        </is>
      </c>
      <c r="W1592" s="11" t="n"/>
      <c r="X1592" s="11" t="n"/>
      <c r="Y1592" s="11" t="n"/>
      <c r="Z1592" s="11" t="inlineStr">
        <is>
          <t>Mr. Advocate</t>
        </is>
      </c>
      <c r="AA1592" s="11" t="inlineStr">
        <is>
          <t>2026-10-07</t>
        </is>
      </c>
      <c r="AB1592" s="11" t="inlineStr">
        <is>
          <t>name_year</t>
        </is>
      </c>
      <c r="AC1592" s="2" t="inlineStr"/>
      <c r="AD1592" s="2" t="inlineStr">
        <is>
          <t>Bansropan Singh and Others v. Emperor (1937) was overruled by Rajender Singh v. Ramdhar Singh and Others (2001).</t>
        </is>
      </c>
      <c r="AE1592" s="2" t="n"/>
      <c r="AF1592" s="11" t="inlineStr">
        <is>
          <t>created from list 1</t>
        </is>
      </c>
    </row>
    <row r="1593">
      <c r="A1593" s="11" t="inlineStr">
        <is>
          <t>L1-1592</t>
        </is>
      </c>
      <c r="B1593" s="11" t="inlineStr">
        <is>
          <t>List 1 (to ~2015)</t>
        </is>
      </c>
      <c r="C1593" s="11" t="inlineStr">
        <is>
          <t>list1</t>
        </is>
      </c>
      <c r="D1593" s="11" t="inlineStr">
        <is>
          <t>verified</t>
        </is>
      </c>
      <c r="E1593" s="11" t="inlineStr">
        <is>
          <t>reversed_on_appeal</t>
        </is>
      </c>
      <c r="F1593" s="2" t="inlineStr">
        <is>
          <t>Bihar State Electricity Board and Another v. Ram Deo Prasad Singh and Others</t>
        </is>
      </c>
      <c r="G1593" s="11" t="inlineStr"/>
      <c r="H1593" s="11" t="inlineStr">
        <is>
          <t>unknown</t>
        </is>
      </c>
      <c r="I1593" s="2" t="inlineStr"/>
      <c r="J1593" s="11" t="n"/>
      <c r="K1593" s="2" t="inlineStr">
        <is>
          <t>Bihar State Electricity Board and Another v. Ram Deo Prasad Singh and Others</t>
        </is>
      </c>
      <c r="L1593" s="11" t="inlineStr">
        <is>
          <t>Supreme Court</t>
        </is>
      </c>
      <c r="M1593" s="2" t="inlineStr">
        <is>
          <t>(2011) 6 CTC 457; (2011) 10 SCALE 177; (2011) 5 UJ 3305</t>
        </is>
      </c>
      <c r="N1593" s="11" t="n">
        <v>2011</v>
      </c>
      <c r="O1593" s="11" t="n"/>
      <c r="P1593" s="11" t="n"/>
      <c r="Q1593" s="11" t="n"/>
      <c r="R1593" s="2" t="n"/>
      <c r="S1593" s="2" t="n"/>
      <c r="T1593" s="11" t="inlineStr">
        <is>
          <t>yes</t>
        </is>
      </c>
      <c r="U1593" s="11" t="inlineStr">
        <is>
          <t>no_citation_or_year_for_overruled, needs_citation_or_year</t>
        </is>
      </c>
      <c r="V1593" s="11" t="inlineStr">
        <is>
          <t>outside_list</t>
        </is>
      </c>
      <c r="W1593" s="11" t="n"/>
      <c r="X1593" s="11" t="n"/>
      <c r="Y1593" s="11" t="n"/>
      <c r="Z1593" s="11" t="inlineStr">
        <is>
          <t>Mr. Advocate</t>
        </is>
      </c>
      <c r="AA1593" s="11" t="inlineStr">
        <is>
          <t>2026-10-07</t>
        </is>
      </c>
      <c r="AB1593" s="11" t="inlineStr">
        <is>
          <t>weak</t>
        </is>
      </c>
      <c r="AC1593" s="2" t="inlineStr"/>
      <c r="AD1593" s="2" t="inlineStr">
        <is>
          <t>Bihar State Electricity Board and Another v. Ram Deo Prasad Singh and Others was reversed on appeal by the Supreme Court in Bihar State Electricity Board and Another v. Ram Deo Prasad Singh and Others (2011).</t>
        </is>
      </c>
      <c r="AE1593" s="2" t="n"/>
      <c r="AF1593" s="11" t="inlineStr">
        <is>
          <t>created from list 1</t>
        </is>
      </c>
    </row>
    <row r="1594">
      <c r="A1594" s="11" t="inlineStr">
        <is>
          <t>L1-1593</t>
        </is>
      </c>
      <c r="B1594" s="11" t="inlineStr">
        <is>
          <t>List 1 (to ~2015)</t>
        </is>
      </c>
      <c r="C1594" s="11" t="inlineStr">
        <is>
          <t>list1</t>
        </is>
      </c>
      <c r="D1594" s="11" t="inlineStr">
        <is>
          <t>verified</t>
        </is>
      </c>
      <c r="E1594" s="11" t="inlineStr">
        <is>
          <t>overruled</t>
        </is>
      </c>
      <c r="F1594" s="2" t="inlineStr">
        <is>
          <t>Sanjay Kumar and Others v. State of Bihar and Another</t>
        </is>
      </c>
      <c r="G1594" s="11" t="inlineStr"/>
      <c r="H1594" s="11" t="inlineStr">
        <is>
          <t>unknown</t>
        </is>
      </c>
      <c r="I1594" s="2" t="inlineStr">
        <is>
          <t>(2006) 2 DMC 171</t>
        </is>
      </c>
      <c r="J1594" s="11" t="n">
        <v>2006</v>
      </c>
      <c r="K1594" s="2" t="inlineStr">
        <is>
          <t>Renu Kumari v. Sanjay Kumar and Others</t>
        </is>
      </c>
      <c r="L1594" s="11" t="inlineStr">
        <is>
          <t>unknown</t>
        </is>
      </c>
      <c r="M1594" s="2" t="inlineStr">
        <is>
          <t>(2008) 4 JT 456; (2008) 4 SCALE 294; (2008) 12 SCC 346; (2009) AIRSCW 1712</t>
        </is>
      </c>
      <c r="N1594" s="11" t="n">
        <v>2008</v>
      </c>
      <c r="O1594" s="11" t="n"/>
      <c r="P1594" s="11" t="n"/>
      <c r="Q1594" s="11" t="n"/>
      <c r="R1594" s="2" t="n"/>
      <c r="S1594" s="2" t="n"/>
      <c r="T1594" s="11" t="inlineStr"/>
      <c r="U1594" s="11" t="inlineStr"/>
      <c r="V1594" s="11" t="inlineStr">
        <is>
          <t>outside_list</t>
        </is>
      </c>
      <c r="W1594" s="11" t="n"/>
      <c r="X1594" s="11" t="n"/>
      <c r="Y1594" s="11" t="n"/>
      <c r="Z1594" s="11" t="inlineStr">
        <is>
          <t>Mr. Advocate</t>
        </is>
      </c>
      <c r="AA1594" s="11" t="inlineStr">
        <is>
          <t>2026-10-07</t>
        </is>
      </c>
      <c r="AB1594" s="11" t="inlineStr">
        <is>
          <t>name_year</t>
        </is>
      </c>
      <c r="AC1594" s="2" t="inlineStr"/>
      <c r="AD1594" s="2" t="inlineStr">
        <is>
          <t>Sanjay Kumar and Others v. State of Bihar and Another (2006) was overruled by Renu Kumari v. Sanjay Kumar and Others (2008).</t>
        </is>
      </c>
      <c r="AE1594" s="2" t="n"/>
      <c r="AF1594" s="11" t="inlineStr">
        <is>
          <t>created from list 1</t>
        </is>
      </c>
    </row>
    <row r="1595">
      <c r="A1595" s="11" t="inlineStr">
        <is>
          <t>L1-1594</t>
        </is>
      </c>
      <c r="B1595" s="11" t="inlineStr">
        <is>
          <t>List 1 (to ~2015)</t>
        </is>
      </c>
      <c r="C1595" s="11" t="inlineStr">
        <is>
          <t>list1</t>
        </is>
      </c>
      <c r="D1595" s="11" t="inlineStr">
        <is>
          <t>verified</t>
        </is>
      </c>
      <c r="E1595" s="11" t="inlineStr">
        <is>
          <t>reversed_on_appeal</t>
        </is>
      </c>
      <c r="F1595" s="2" t="inlineStr">
        <is>
          <t>Crane Betel Nut Powder Works v. Commissioner of Customs and Central Excise and Another</t>
        </is>
      </c>
      <c r="G1595" s="11" t="inlineStr"/>
      <c r="H1595" s="11" t="inlineStr">
        <is>
          <t>unknown</t>
        </is>
      </c>
      <c r="I1595" s="2" t="inlineStr">
        <is>
          <t>(2006) 2 ALT 523</t>
        </is>
      </c>
      <c r="J1595" s="11" t="n">
        <v>2006</v>
      </c>
      <c r="K1595" s="2" t="inlineStr">
        <is>
          <t>Crane Betel Nut Powder Works v. Commissioner of Customs and Central Excise, Tirupathi and Another</t>
        </is>
      </c>
      <c r="L1595" s="11" t="inlineStr">
        <is>
          <t>Supreme Court</t>
        </is>
      </c>
      <c r="M1595" s="2" t="inlineStr">
        <is>
          <t>(2007) 116 ECC 418; (2007) ECR 418; (2007) 210 ELT 171; (2007) 4 JT 485; (2007) 4 SCALE 472; (2007) 4 SCC 155; (2007) 4 SCR 109</t>
        </is>
      </c>
      <c r="N1595" s="11" t="n">
        <v>2007</v>
      </c>
      <c r="O1595" s="11" t="n"/>
      <c r="P1595" s="11" t="n"/>
      <c r="Q1595" s="11" t="n"/>
      <c r="R1595" s="2" t="n"/>
      <c r="S1595" s="2" t="n"/>
      <c r="T1595" s="11" t="inlineStr">
        <is>
          <t>yes</t>
        </is>
      </c>
      <c r="U1595" s="11" t="inlineStr"/>
      <c r="V1595" s="11" t="inlineStr">
        <is>
          <t>outside_list</t>
        </is>
      </c>
      <c r="W1595" s="11" t="n"/>
      <c r="X1595" s="11" t="n"/>
      <c r="Y1595" s="11" t="n"/>
      <c r="Z1595" s="11" t="inlineStr">
        <is>
          <t>Mr. Advocate</t>
        </is>
      </c>
      <c r="AA1595" s="11" t="inlineStr">
        <is>
          <t>2026-10-07</t>
        </is>
      </c>
      <c r="AB1595" s="11" t="inlineStr">
        <is>
          <t>name_year</t>
        </is>
      </c>
      <c r="AC1595" s="2" t="inlineStr"/>
      <c r="AD1595" s="2" t="inlineStr">
        <is>
          <t>Crane Betel Nut Powder Works v. Commissioner of Customs and Central Excise and Another (2006) was reversed on appeal by the Supreme Court in Crane Betel Nut Powder Works v. Commissioner of Customs and Central Excise, Tirupathi and Another (2007).</t>
        </is>
      </c>
      <c r="AE1595" s="2" t="n"/>
      <c r="AF1595" s="11" t="inlineStr">
        <is>
          <t>created from list 1</t>
        </is>
      </c>
    </row>
    <row r="1596">
      <c r="A1596" s="11" t="inlineStr">
        <is>
          <t>L1-1595</t>
        </is>
      </c>
      <c r="B1596" s="11" t="inlineStr">
        <is>
          <t>List 1 (to ~2015)</t>
        </is>
      </c>
      <c r="C1596" s="11" t="inlineStr">
        <is>
          <t>list1</t>
        </is>
      </c>
      <c r="D1596" s="11" t="inlineStr">
        <is>
          <t>verified</t>
        </is>
      </c>
      <c r="E1596" s="11" t="inlineStr">
        <is>
          <t>reversed_on_appeal</t>
        </is>
      </c>
      <c r="F1596" s="2" t="inlineStr">
        <is>
          <t>Shalimar Video Company v. Divya Exports and Others</t>
        </is>
      </c>
      <c r="G1596" s="11" t="inlineStr"/>
      <c r="H1596" s="11" t="inlineStr">
        <is>
          <t>unknown</t>
        </is>
      </c>
      <c r="I1596" s="2" t="inlineStr">
        <is>
          <t>(2004) 6 ALD 447; (2004) 6 ALT 244</t>
        </is>
      </c>
      <c r="J1596" s="11" t="n">
        <v>2004</v>
      </c>
      <c r="K1596" s="2" t="inlineStr">
        <is>
          <t>Divya Exports v. Shalimar Video Company and Others</t>
        </is>
      </c>
      <c r="L1596" s="11" t="inlineStr">
        <is>
          <t>Supreme Court</t>
        </is>
      </c>
      <c r="M1596" s="2" t="inlineStr">
        <is>
          <t>AIR 2011 SC 3063; (2012) 1 RCR(Civil) 154; (2011) 9 SCALE 630; (2011) AIRSCW 5276</t>
        </is>
      </c>
      <c r="N1596" s="11" t="n">
        <v>2011</v>
      </c>
      <c r="O1596" s="11" t="n"/>
      <c r="P1596" s="11" t="n"/>
      <c r="Q1596" s="11" t="n"/>
      <c r="R1596" s="2" t="n"/>
      <c r="S1596" s="2" t="n"/>
      <c r="T1596" s="11" t="inlineStr">
        <is>
          <t>yes</t>
        </is>
      </c>
      <c r="U1596" s="11" t="inlineStr"/>
      <c r="V1596" s="11" t="inlineStr">
        <is>
          <t>outside_list</t>
        </is>
      </c>
      <c r="W1596" s="11" t="n"/>
      <c r="X1596" s="11" t="n"/>
      <c r="Y1596" s="11" t="n"/>
      <c r="Z1596" s="11" t="inlineStr">
        <is>
          <t>Mr. Advocate</t>
        </is>
      </c>
      <c r="AA1596" s="11" t="inlineStr">
        <is>
          <t>2026-10-07</t>
        </is>
      </c>
      <c r="AB1596" s="11" t="inlineStr">
        <is>
          <t>name_year</t>
        </is>
      </c>
      <c r="AC1596" s="2" t="inlineStr"/>
      <c r="AD1596" s="2" t="inlineStr">
        <is>
          <t>Shalimar Video Company v. Divya Exports and Others (2004) was reversed on appeal by the Supreme Court in Divya Exports v. Shalimar Video Company and Others (2011).</t>
        </is>
      </c>
      <c r="AE1596" s="2" t="n"/>
      <c r="AF1596" s="11" t="inlineStr">
        <is>
          <t>created from list 1</t>
        </is>
      </c>
    </row>
    <row r="1597">
      <c r="A1597" s="11" t="inlineStr">
        <is>
          <t>L1-1596</t>
        </is>
      </c>
      <c r="B1597" s="11" t="inlineStr">
        <is>
          <t>List 1 (to ~2015)</t>
        </is>
      </c>
      <c r="C1597" s="11" t="inlineStr">
        <is>
          <t>list1</t>
        </is>
      </c>
      <c r="D1597" s="11" t="inlineStr">
        <is>
          <t>verified</t>
        </is>
      </c>
      <c r="E1597" s="11" t="inlineStr">
        <is>
          <t>overruled</t>
        </is>
      </c>
      <c r="F1597" s="2" t="inlineStr">
        <is>
          <t>The Special Deputy Collector, Srisailam Project (L.A.), Atmakur v. B. Venkata Seshamma</t>
        </is>
      </c>
      <c r="G1597" s="11" t="inlineStr"/>
      <c r="H1597" s="11" t="inlineStr">
        <is>
          <t>Andhra Pradesh</t>
        </is>
      </c>
      <c r="I1597" s="2" t="inlineStr">
        <is>
          <t>AIR 1987 AP 136; (1987) 1 APLJ 297</t>
        </is>
      </c>
      <c r="J1597" s="11" t="n">
        <v>1987</v>
      </c>
      <c r="K1597" s="2" t="inlineStr">
        <is>
          <t>K.S. Paripoornan v. State of Kerala and Others</t>
        </is>
      </c>
      <c r="L1597" s="11" t="inlineStr">
        <is>
          <t>Supreme Court</t>
        </is>
      </c>
      <c r="M1597" s="2" t="inlineStr">
        <is>
          <t>AIR 1995 SC 1012; (1994) 6 JT 182; (1994) 4 SCALE 192; (1994) 5 SCC 593; (1994) 3 SCR 405 Supp</t>
        </is>
      </c>
      <c r="N1597" s="11" t="n">
        <v>1995</v>
      </c>
      <c r="O1597" s="11" t="n"/>
      <c r="P1597" s="11" t="n"/>
      <c r="Q1597" s="11" t="n"/>
      <c r="R1597" s="2" t="n"/>
      <c r="S1597" s="2" t="n"/>
      <c r="T1597" s="11" t="inlineStr"/>
      <c r="U1597" s="11" t="inlineStr"/>
      <c r="V1597" s="11" t="inlineStr">
        <is>
          <t>outside_list</t>
        </is>
      </c>
      <c r="W1597" s="11" t="n"/>
      <c r="X1597" s="11" t="n"/>
      <c r="Y1597" s="11" t="n"/>
      <c r="Z1597" s="11" t="inlineStr">
        <is>
          <t>Mr. Advocate</t>
        </is>
      </c>
      <c r="AA1597" s="11" t="inlineStr">
        <is>
          <t>2026-10-07</t>
        </is>
      </c>
      <c r="AB1597" s="11" t="inlineStr">
        <is>
          <t>name_year</t>
        </is>
      </c>
      <c r="AC1597" s="2" t="inlineStr"/>
      <c r="AD1597" s="2" t="inlineStr">
        <is>
          <t>The Special Deputy Collector, Srisailam Project (L.A.), Atmakur v. B. Venkata Seshamma (1987) was overruled by K.S. Paripoornan v. State of Kerala and Others (1995).</t>
        </is>
      </c>
      <c r="AE1597" s="2" t="n"/>
      <c r="AF1597" s="11" t="inlineStr">
        <is>
          <t>created from list 1</t>
        </is>
      </c>
    </row>
    <row r="1598">
      <c r="A1598" s="11" t="inlineStr">
        <is>
          <t>L1-1597</t>
        </is>
      </c>
      <c r="B1598" s="11" t="inlineStr">
        <is>
          <t>List 1 (to ~2015)</t>
        </is>
      </c>
      <c r="C1598" s="11" t="inlineStr">
        <is>
          <t>list1</t>
        </is>
      </c>
      <c r="D1598" s="11" t="inlineStr">
        <is>
          <t>verified</t>
        </is>
      </c>
      <c r="E1598" s="11" t="inlineStr">
        <is>
          <t>overruled</t>
        </is>
      </c>
      <c r="F1598" s="2" t="inlineStr">
        <is>
          <t>Pippalla Surya Bhagavan v. Member Secretary, APSEB, Hyderabad and others</t>
        </is>
      </c>
      <c r="G1598" s="11" t="inlineStr"/>
      <c r="H1598" s="11" t="inlineStr">
        <is>
          <t>unknown</t>
        </is>
      </c>
      <c r="I1598" s="2" t="inlineStr">
        <is>
          <t>(1999) 4 ALD 422; (1999) 4 ALT 357; (1999) 4 ALT 257; (1999) 2 APLJ 237; (1999) 2 LLJ 1004</t>
        </is>
      </c>
      <c r="J1598" s="11" t="n">
        <v>1999</v>
      </c>
      <c r="K1598" s="2" t="inlineStr">
        <is>
          <t>The Transmission Corporation of A.P. Ltd. and Others v. P. Surya Bhavagan</t>
        </is>
      </c>
      <c r="L1598" s="11" t="inlineStr">
        <is>
          <t>Supreme Court</t>
        </is>
      </c>
      <c r="M1598" s="2" t="inlineStr">
        <is>
          <t>AIR 2003 SC 2182; (2003) 4 JT 356; (2003) 2 LLJ 843; (2003) 4 SCALE 379; (2003) SCC(L&amp;S) 883; (2003) AIRSCW 2616</t>
        </is>
      </c>
      <c r="N1598" s="11" t="n">
        <v>2003</v>
      </c>
      <c r="O1598" s="11" t="n"/>
      <c r="P1598" s="11" t="n"/>
      <c r="Q1598" s="11" t="n"/>
      <c r="R1598" s="2" t="n"/>
      <c r="S1598" s="2" t="n"/>
      <c r="T1598" s="11" t="inlineStr"/>
      <c r="U1598" s="11" t="inlineStr"/>
      <c r="V1598" s="11" t="inlineStr">
        <is>
          <t>outside_list</t>
        </is>
      </c>
      <c r="W1598" s="11" t="n"/>
      <c r="X1598" s="11" t="n"/>
      <c r="Y1598" s="11" t="n"/>
      <c r="Z1598" s="11" t="inlineStr">
        <is>
          <t>Mr. Advocate</t>
        </is>
      </c>
      <c r="AA1598" s="11" t="inlineStr">
        <is>
          <t>2026-10-07</t>
        </is>
      </c>
      <c r="AB1598" s="11" t="inlineStr">
        <is>
          <t>name_year</t>
        </is>
      </c>
      <c r="AC1598" s="2" t="inlineStr"/>
      <c r="AD1598" s="2" t="inlineStr">
        <is>
          <t>Pippalla Surya Bhagavan v. Member Secretary, APSEB, Hyderabad and others (1999) was overruled by The Transmission Corporation of A.P. Ltd. and Others v. P. Surya Bhavagan (2003).</t>
        </is>
      </c>
      <c r="AE1598" s="2" t="n"/>
      <c r="AF1598" s="11" t="inlineStr">
        <is>
          <t>created from list 1</t>
        </is>
      </c>
    </row>
    <row r="1599">
      <c r="A1599" s="11" t="inlineStr">
        <is>
          <t>L1-1598</t>
        </is>
      </c>
      <c r="B1599" s="11" t="inlineStr">
        <is>
          <t>List 1 (to ~2015)</t>
        </is>
      </c>
      <c r="C1599" s="11" t="inlineStr">
        <is>
          <t>list1</t>
        </is>
      </c>
      <c r="D1599" s="11" t="inlineStr">
        <is>
          <t>verified</t>
        </is>
      </c>
      <c r="E1599" s="11" t="inlineStr">
        <is>
          <t>overruled</t>
        </is>
      </c>
      <c r="F1599" s="2" t="inlineStr">
        <is>
          <t>Abdul Khuddus and Others v. State of A.P. and Another</t>
        </is>
      </c>
      <c r="G1599" s="11" t="inlineStr"/>
      <c r="H1599" s="11" t="inlineStr">
        <is>
          <t>unknown</t>
        </is>
      </c>
      <c r="I1599" s="2" t="inlineStr">
        <is>
          <t>(1998) 6 ALD 246; (1998) 5 ALT 710; (1998) 3 APLJ 374</t>
        </is>
      </c>
      <c r="J1599" s="11" t="n">
        <v>1998</v>
      </c>
      <c r="K1599" s="2" t="inlineStr">
        <is>
          <t>State of Andhra Pradesh v. Abdul Khuddus (Dead) by LRs and Others</t>
        </is>
      </c>
      <c r="L1599" s="11" t="inlineStr">
        <is>
          <t>Supreme Court</t>
        </is>
      </c>
      <c r="M1599" s="2" t="inlineStr">
        <is>
          <t>(2007) 13 JT 431; (2007) 3 SCALE 546; (2007) 12 SCR 709</t>
        </is>
      </c>
      <c r="N1599" s="11" t="n">
        <v>2007</v>
      </c>
      <c r="O1599" s="11" t="n"/>
      <c r="P1599" s="11" t="n"/>
      <c r="Q1599" s="11" t="n"/>
      <c r="R1599" s="2" t="n"/>
      <c r="S1599" s="2" t="n"/>
      <c r="T1599" s="11" t="inlineStr"/>
      <c r="U1599" s="11" t="inlineStr"/>
      <c r="V1599" s="11" t="inlineStr">
        <is>
          <t>outside_list</t>
        </is>
      </c>
      <c r="W1599" s="11" t="n"/>
      <c r="X1599" s="11" t="n"/>
      <c r="Y1599" s="11" t="n"/>
      <c r="Z1599" s="11" t="inlineStr">
        <is>
          <t>Mr. Advocate</t>
        </is>
      </c>
      <c r="AA1599" s="11" t="inlineStr">
        <is>
          <t>2026-10-07</t>
        </is>
      </c>
      <c r="AB1599" s="11" t="inlineStr">
        <is>
          <t>name_year</t>
        </is>
      </c>
      <c r="AC1599" s="2" t="inlineStr"/>
      <c r="AD1599" s="2" t="inlineStr">
        <is>
          <t>Abdul Khuddus and Others v. State of A.P. and Another (1998) was overruled by State of Andhra Pradesh v. Abdul Khuddus (Dead) by LRs and Others (2007).</t>
        </is>
      </c>
      <c r="AE1599" s="2" t="n"/>
      <c r="AF1599" s="11" t="inlineStr">
        <is>
          <t>created from list 1</t>
        </is>
      </c>
    </row>
    <row r="1600">
      <c r="A1600" s="11" t="inlineStr">
        <is>
          <t>L1-1599</t>
        </is>
      </c>
      <c r="B1600" s="11" t="inlineStr">
        <is>
          <t>List 1 (to ~2015)</t>
        </is>
      </c>
      <c r="C1600" s="11" t="inlineStr">
        <is>
          <t>list1</t>
        </is>
      </c>
      <c r="D1600" s="11" t="inlineStr">
        <is>
          <t>verified</t>
        </is>
      </c>
      <c r="E1600" s="11" t="inlineStr">
        <is>
          <t>overruled</t>
        </is>
      </c>
      <c r="F1600" s="2" t="inlineStr">
        <is>
          <t>The Government of Andhra Pradesh and Another v. G. Jaya Prasad Rao and Others</t>
        </is>
      </c>
      <c r="G1600" s="11" t="inlineStr"/>
      <c r="H1600" s="11" t="inlineStr">
        <is>
          <t>unknown</t>
        </is>
      </c>
      <c r="I1600" s="2" t="inlineStr">
        <is>
          <t>(2002) 6 ALT 81</t>
        </is>
      </c>
      <c r="J1600" s="11" t="n">
        <v>2002</v>
      </c>
      <c r="K1600" s="2" t="inlineStr">
        <is>
          <t>Govt. of A.P. and Another v. G. Jaya Prasad Rao and Others</t>
        </is>
      </c>
      <c r="L1600" s="11" t="inlineStr">
        <is>
          <t>Supreme Court</t>
        </is>
      </c>
      <c r="M1600" s="2" t="inlineStr">
        <is>
          <t>AIR 2007 SC 1503; (2007) 4 JT 636; (2007) 4 SCALE 630; (2007) 11 SCC 528; (2008) 1 SCC(L&amp;S) 74; (2007) 4 SCR 256</t>
        </is>
      </c>
      <c r="N1600" s="11" t="n">
        <v>2007</v>
      </c>
      <c r="O1600" s="11" t="n"/>
      <c r="P1600" s="11" t="n"/>
      <c r="Q1600" s="11" t="n"/>
      <c r="R1600" s="2" t="n"/>
      <c r="S1600" s="2" t="n"/>
      <c r="T1600" s="11" t="inlineStr"/>
      <c r="U1600" s="11" t="inlineStr"/>
      <c r="V1600" s="11" t="inlineStr">
        <is>
          <t>outside_list</t>
        </is>
      </c>
      <c r="W1600" s="11" t="n"/>
      <c r="X1600" s="11" t="n"/>
      <c r="Y1600" s="11" t="n"/>
      <c r="Z1600" s="11" t="inlineStr">
        <is>
          <t>Mr. Advocate</t>
        </is>
      </c>
      <c r="AA1600" s="11" t="inlineStr">
        <is>
          <t>2026-10-07</t>
        </is>
      </c>
      <c r="AB1600" s="11" t="inlineStr">
        <is>
          <t>name_year</t>
        </is>
      </c>
      <c r="AC1600" s="2" t="inlineStr"/>
      <c r="AD1600" s="2" t="inlineStr">
        <is>
          <t>The Government of Andhra Pradesh and Another v. G. Jaya Prasad Rao and Others (2002) was overruled by Govt. of A.P. and Another v. G. Jaya Prasad Rao and Others (2007).</t>
        </is>
      </c>
      <c r="AE1600" s="2" t="n"/>
      <c r="AF1600" s="11" t="inlineStr">
        <is>
          <t>created from list 1</t>
        </is>
      </c>
    </row>
    <row r="1601">
      <c r="A1601" s="11" t="inlineStr">
        <is>
          <t>L1-1600</t>
        </is>
      </c>
      <c r="B1601" s="11" t="inlineStr">
        <is>
          <t>List 1 (to ~2015)</t>
        </is>
      </c>
      <c r="C1601" s="11" t="inlineStr">
        <is>
          <t>list1</t>
        </is>
      </c>
      <c r="D1601" s="11" t="inlineStr">
        <is>
          <t>verified</t>
        </is>
      </c>
      <c r="E1601" s="11" t="inlineStr">
        <is>
          <t>overruled</t>
        </is>
      </c>
      <c r="F1601" s="2" t="inlineStr">
        <is>
          <t>Shambhu Dayal v. Union of India (UOI) and Others</t>
        </is>
      </c>
      <c r="G1601" s="11" t="inlineStr"/>
      <c r="H1601" s="11" t="inlineStr">
        <is>
          <t>unknown</t>
        </is>
      </c>
      <c r="I1601" s="2" t="inlineStr">
        <is>
          <t>(2002) 2 AWC 1686; (2002) 147 ELT 35; (2002) 94 FLR 878; (2002) 2 UPLBEC 1501</t>
        </is>
      </c>
      <c r="J1601" s="11" t="n">
        <v>2002</v>
      </c>
      <c r="K1601" s="2" t="inlineStr">
        <is>
          <t>V.K. Majotra v. Union of India (UOI) and Another</t>
        </is>
      </c>
      <c r="L1601" s="11" t="inlineStr">
        <is>
          <t>Supreme Court</t>
        </is>
      </c>
      <c r="M1601" s="2" t="inlineStr">
        <is>
          <t>AIR 2003 SC 3909; (2003) 2 JT 137 Supp; (2003) 7 SCALE 297; (2003) 8 SCC 40; (2003) SCC(L&amp;S) 1202; (2003) 3 SCR 483 Supp; (2003) 2 UJ 1473; (2003) AIRSCW 4504; (2003) 6 Supreme 943</t>
        </is>
      </c>
      <c r="N1601" s="11" t="n">
        <v>2003</v>
      </c>
      <c r="O1601" s="11" t="n"/>
      <c r="P1601" s="11" t="n"/>
      <c r="Q1601" s="11" t="n"/>
      <c r="R1601" s="2" t="n"/>
      <c r="S1601" s="2" t="n"/>
      <c r="T1601" s="11" t="inlineStr"/>
      <c r="U1601" s="11" t="inlineStr"/>
      <c r="V1601" s="11" t="inlineStr">
        <is>
          <t>outside_list</t>
        </is>
      </c>
      <c r="W1601" s="11" t="n"/>
      <c r="X1601" s="11" t="n"/>
      <c r="Y1601" s="11" t="n"/>
      <c r="Z1601" s="11" t="inlineStr">
        <is>
          <t>Mr. Advocate</t>
        </is>
      </c>
      <c r="AA1601" s="11" t="inlineStr">
        <is>
          <t>2026-10-07</t>
        </is>
      </c>
      <c r="AB1601" s="11" t="inlineStr">
        <is>
          <t>name_year</t>
        </is>
      </c>
      <c r="AC1601" s="2" t="inlineStr"/>
      <c r="AD1601" s="2" t="inlineStr">
        <is>
          <t>Shambhu Dayal v. Union of India (UOI) and Others (2002) was overruled by V.K. Majotra v. Union of India (UOI) and Another (2003).</t>
        </is>
      </c>
      <c r="AE1601" s="2" t="n"/>
      <c r="AF1601" s="11" t="inlineStr">
        <is>
          <t>created from list 1</t>
        </is>
      </c>
    </row>
    <row r="1602">
      <c r="A1602" s="11" t="inlineStr">
        <is>
          <t>L1-1601</t>
        </is>
      </c>
      <c r="B1602" s="11" t="inlineStr">
        <is>
          <t>List 1 (to ~2015)</t>
        </is>
      </c>
      <c r="C1602" s="11" t="inlineStr">
        <is>
          <t>list1</t>
        </is>
      </c>
      <c r="D1602" s="11" t="inlineStr">
        <is>
          <t>verified</t>
        </is>
      </c>
      <c r="E1602" s="11" t="inlineStr">
        <is>
          <t>reversed_on_appeal</t>
        </is>
      </c>
      <c r="F1602" s="2" t="inlineStr">
        <is>
          <t>Goondla Venkateswarlu v. State of A.P. and Another</t>
        </is>
      </c>
      <c r="G1602" s="11" t="inlineStr"/>
      <c r="H1602" s="11" t="inlineStr">
        <is>
          <t>unknown</t>
        </is>
      </c>
      <c r="I1602" s="2" t="inlineStr">
        <is>
          <t>(2006) 1 ALD(Cri) 916; (2006) 2 ALT(Cri) 274; (2006) 2 APLJ 405; (2007) 5 VST 169</t>
        </is>
      </c>
      <c r="J1602" s="11" t="n">
        <v>2006</v>
      </c>
      <c r="K1602" s="2" t="inlineStr">
        <is>
          <t>Goondla Venkateswarlu v. State of A.P. and Another</t>
        </is>
      </c>
      <c r="L1602" s="11" t="inlineStr">
        <is>
          <t>Supreme Court</t>
        </is>
      </c>
      <c r="M1602" s="2" t="inlineStr">
        <is>
          <t>(2008) 230 ELT 202; (2008) 9 JT 521; (2008) 11 SCALE 707; (2008) 9 SCC 613</t>
        </is>
      </c>
      <c r="N1602" s="11" t="n">
        <v>2008</v>
      </c>
      <c r="O1602" s="11" t="n"/>
      <c r="P1602" s="11" t="n"/>
      <c r="Q1602" s="11" t="n"/>
      <c r="R1602" s="2" t="n"/>
      <c r="S1602" s="2" t="n"/>
      <c r="T1602" s="11" t="inlineStr">
        <is>
          <t>yes</t>
        </is>
      </c>
      <c r="U1602" s="11" t="inlineStr"/>
      <c r="V1602" s="11" t="inlineStr">
        <is>
          <t>outside_list</t>
        </is>
      </c>
      <c r="W1602" s="11" t="n"/>
      <c r="X1602" s="11" t="n"/>
      <c r="Y1602" s="11" t="n"/>
      <c r="Z1602" s="11" t="inlineStr">
        <is>
          <t>Mr. Advocate</t>
        </is>
      </c>
      <c r="AA1602" s="11" t="inlineStr">
        <is>
          <t>2026-10-07</t>
        </is>
      </c>
      <c r="AB1602" s="11" t="inlineStr">
        <is>
          <t>name_year</t>
        </is>
      </c>
      <c r="AC1602" s="2" t="inlineStr"/>
      <c r="AD1602" s="2" t="inlineStr">
        <is>
          <t>Goondla Venkateswarlu v. State of A.P. and Another (2006) was reversed on appeal by the Supreme Court in Goondla Venkateswarlu v. State of A.P. and Another (2008).</t>
        </is>
      </c>
      <c r="AE1602" s="2" t="n"/>
      <c r="AF1602" s="11" t="inlineStr">
        <is>
          <t>created from list 1</t>
        </is>
      </c>
    </row>
    <row r="1603">
      <c r="A1603" s="11" t="inlineStr">
        <is>
          <t>L1-1602</t>
        </is>
      </c>
      <c r="B1603" s="11" t="inlineStr">
        <is>
          <t>List 1 (to ~2015)</t>
        </is>
      </c>
      <c r="C1603" s="11" t="inlineStr">
        <is>
          <t>list1</t>
        </is>
      </c>
      <c r="D1603" s="11" t="inlineStr">
        <is>
          <t>verified</t>
        </is>
      </c>
      <c r="E1603" s="11" t="inlineStr">
        <is>
          <t>overruled</t>
        </is>
      </c>
      <c r="F1603" s="2" t="inlineStr">
        <is>
          <t>Government of Andhra Pradesh and another v. Syed Akbar</t>
        </is>
      </c>
      <c r="G1603" s="11" t="inlineStr"/>
      <c r="H1603" s="11" t="inlineStr">
        <is>
          <t>unknown</t>
        </is>
      </c>
      <c r="I1603" s="2" t="inlineStr">
        <is>
          <t>(1999) 5 ALD 391; (1999) 5 ALT 202</t>
        </is>
      </c>
      <c r="J1603" s="11" t="n">
        <v>1999</v>
      </c>
      <c r="K1603" s="2" t="inlineStr">
        <is>
          <t>Govt. of A.P. and Another v. Syed Akbar</t>
        </is>
      </c>
      <c r="L1603" s="11" t="inlineStr">
        <is>
          <t>Supreme Court</t>
        </is>
      </c>
      <c r="M1603" s="2" t="inlineStr">
        <is>
          <t>AIR 2005 SC 492; (2004) 5 CTC 506; (2004) 10 JT 569; (2004) 9 SCALE 553; (2005) 1 SCC 558; (2004) AIRSCW 7125; (2004) 8 Supreme 621</t>
        </is>
      </c>
      <c r="N1603" s="11" t="n">
        <v>2005</v>
      </c>
      <c r="O1603" s="11" t="n"/>
      <c r="P1603" s="11" t="n"/>
      <c r="Q1603" s="11" t="n"/>
      <c r="R1603" s="2" t="n"/>
      <c r="S1603" s="2" t="n"/>
      <c r="T1603" s="11" t="inlineStr"/>
      <c r="U1603" s="11" t="inlineStr"/>
      <c r="V1603" s="11" t="inlineStr">
        <is>
          <t>outside_list</t>
        </is>
      </c>
      <c r="W1603" s="11" t="n"/>
      <c r="X1603" s="11" t="n"/>
      <c r="Y1603" s="11" t="n"/>
      <c r="Z1603" s="11" t="inlineStr">
        <is>
          <t>Mr. Advocate</t>
        </is>
      </c>
      <c r="AA1603" s="11" t="inlineStr">
        <is>
          <t>2026-10-07</t>
        </is>
      </c>
      <c r="AB1603" s="11" t="inlineStr">
        <is>
          <t>name_year</t>
        </is>
      </c>
      <c r="AC1603" s="2" t="inlineStr"/>
      <c r="AD1603" s="2" t="inlineStr">
        <is>
          <t>Government of Andhra Pradesh and another v. Syed Akbar (1999) was overruled by Govt. of A.P. and Another v. Syed Akbar (2005).</t>
        </is>
      </c>
      <c r="AE1603" s="2" t="n"/>
      <c r="AF1603" s="11" t="inlineStr">
        <is>
          <t>created from list 1</t>
        </is>
      </c>
    </row>
    <row r="1604">
      <c r="A1604" s="11" t="inlineStr">
        <is>
          <t>L1-1603</t>
        </is>
      </c>
      <c r="B1604" s="11" t="inlineStr">
        <is>
          <t>List 1 (to ~2015)</t>
        </is>
      </c>
      <c r="C1604" s="11" t="inlineStr">
        <is>
          <t>list1</t>
        </is>
      </c>
      <c r="D1604" s="11" t="inlineStr">
        <is>
          <t>verified</t>
        </is>
      </c>
      <c r="E1604" s="11" t="inlineStr">
        <is>
          <t>reversed_on_appeal</t>
        </is>
      </c>
      <c r="F1604" s="2" t="inlineStr">
        <is>
          <t>K. Raghuram Babu v. Director General of Railway Protection Force, New Delhi and Others</t>
        </is>
      </c>
      <c r="G1604" s="11" t="inlineStr"/>
      <c r="H1604" s="11" t="inlineStr">
        <is>
          <t>unknown</t>
        </is>
      </c>
      <c r="I1604" s="2" t="inlineStr">
        <is>
          <t>(2001) 6 ALD 18; (2001) 5 ALT 543</t>
        </is>
      </c>
      <c r="J1604" s="11" t="n">
        <v>2001</v>
      </c>
      <c r="K1604" s="2" t="inlineStr">
        <is>
          <t>D.G. Railway Protection Force and Others v. K. Raghuram Babu</t>
        </is>
      </c>
      <c r="L1604" s="11" t="inlineStr">
        <is>
          <t>Supreme Court</t>
        </is>
      </c>
      <c r="M1604" s="2" t="inlineStr">
        <is>
          <t>AIR 2008 SC 1958; (2008) 117 FLR 375; (2008) 3 JT 140; (2008) 3 SCALE 453; (2008) 4 SCC 406; (2008) 1 SCC(L&amp;S) 1043; (2008) 3 SLJ 265; (2008) AIRSCW 2263</t>
        </is>
      </c>
      <c r="N1604" s="11" t="n">
        <v>2008</v>
      </c>
      <c r="O1604" s="11" t="n"/>
      <c r="P1604" s="11" t="n"/>
      <c r="Q1604" s="11" t="n"/>
      <c r="R1604" s="2" t="n"/>
      <c r="S1604" s="2" t="n"/>
      <c r="T1604" s="11" t="inlineStr">
        <is>
          <t>yes</t>
        </is>
      </c>
      <c r="U1604" s="11" t="inlineStr"/>
      <c r="V1604" s="11" t="inlineStr">
        <is>
          <t>outside_list</t>
        </is>
      </c>
      <c r="W1604" s="11" t="n"/>
      <c r="X1604" s="11" t="n"/>
      <c r="Y1604" s="11" t="n"/>
      <c r="Z1604" s="11" t="inlineStr">
        <is>
          <t>Mr. Advocate</t>
        </is>
      </c>
      <c r="AA1604" s="11" t="inlineStr">
        <is>
          <t>2026-10-07</t>
        </is>
      </c>
      <c r="AB1604" s="11" t="inlineStr">
        <is>
          <t>name_year</t>
        </is>
      </c>
      <c r="AC1604" s="2" t="inlineStr"/>
      <c r="AD1604" s="2" t="inlineStr">
        <is>
          <t>K. Raghuram Babu v. Director General of Railway Protection Force, New Delhi and Others (2001) was reversed on appeal by the Supreme Court in D.G. Railway Protection Force and Others v. K. Raghuram Babu (2008).</t>
        </is>
      </c>
      <c r="AE1604" s="2" t="n"/>
      <c r="AF1604" s="11" t="inlineStr">
        <is>
          <t>created from list 1</t>
        </is>
      </c>
    </row>
    <row r="1605">
      <c r="A1605" s="11" t="inlineStr">
        <is>
          <t>L1-1604</t>
        </is>
      </c>
      <c r="B1605" s="11" t="inlineStr">
        <is>
          <t>List 1 (to ~2015)</t>
        </is>
      </c>
      <c r="C1605" s="11" t="inlineStr">
        <is>
          <t>list1</t>
        </is>
      </c>
      <c r="D1605" s="11" t="inlineStr">
        <is>
          <t>verified</t>
        </is>
      </c>
      <c r="E1605" s="11" t="inlineStr">
        <is>
          <t>overruled</t>
        </is>
      </c>
      <c r="F1605" s="2" t="inlineStr">
        <is>
          <t>Metadin Agarwal (died) by LRs. v. Syed Abdul Razack and Others</t>
        </is>
      </c>
      <c r="G1605" s="11" t="inlineStr"/>
      <c r="H1605" s="11" t="inlineStr">
        <is>
          <t>unknown</t>
        </is>
      </c>
      <c r="I1605" s="2" t="inlineStr">
        <is>
          <t>(2004) 1 ALD 400; (2004) 3 ALT 765</t>
        </is>
      </c>
      <c r="J1605" s="11" t="n">
        <v>2004</v>
      </c>
      <c r="K1605" s="2" t="inlineStr">
        <is>
          <t>M. Meenakshi and Others v. Metadin Agarwal (D) by LRs. and Others</t>
        </is>
      </c>
      <c r="L1605" s="11" t="inlineStr">
        <is>
          <t>Supreme Court</t>
        </is>
      </c>
      <c r="M1605" s="2" t="inlineStr">
        <is>
          <t>(2006) 8 SCALE 566; (2006) 7 SCC 470; (2006) 5 SCR 505 Supp</t>
        </is>
      </c>
      <c r="N1605" s="11" t="n">
        <v>2006</v>
      </c>
      <c r="O1605" s="11" t="n"/>
      <c r="P1605" s="11" t="n"/>
      <c r="Q1605" s="11" t="n"/>
      <c r="R1605" s="2" t="n"/>
      <c r="S1605" s="2" t="n"/>
      <c r="T1605" s="11" t="inlineStr"/>
      <c r="U1605" s="11" t="inlineStr"/>
      <c r="V1605" s="11" t="inlineStr">
        <is>
          <t>outside_list</t>
        </is>
      </c>
      <c r="W1605" s="11" t="n"/>
      <c r="X1605" s="11" t="n"/>
      <c r="Y1605" s="11" t="n"/>
      <c r="Z1605" s="11" t="inlineStr">
        <is>
          <t>Mr. Advocate</t>
        </is>
      </c>
      <c r="AA1605" s="11" t="inlineStr">
        <is>
          <t>2026-10-07</t>
        </is>
      </c>
      <c r="AB1605" s="11" t="inlineStr">
        <is>
          <t>name_year</t>
        </is>
      </c>
      <c r="AC1605" s="2" t="inlineStr"/>
      <c r="AD1605" s="2" t="inlineStr">
        <is>
          <t>Metadin Agarwal (died) by LRs. v. Syed Abdul Razack and Others (2004) was overruled by M. Meenakshi and Others v. Metadin Agarwal (D) by LRs. and Others (2006).</t>
        </is>
      </c>
      <c r="AE1605" s="2" t="n"/>
      <c r="AF1605" s="11" t="inlineStr">
        <is>
          <t>created from list 1</t>
        </is>
      </c>
    </row>
    <row r="1606">
      <c r="A1606" s="11" t="inlineStr">
        <is>
          <t>L1-1605</t>
        </is>
      </c>
      <c r="B1606" s="11" t="inlineStr">
        <is>
          <t>List 1 (to ~2015)</t>
        </is>
      </c>
      <c r="C1606" s="11" t="inlineStr">
        <is>
          <t>list1</t>
        </is>
      </c>
      <c r="D1606" s="11" t="inlineStr">
        <is>
          <t>verified</t>
        </is>
      </c>
      <c r="E1606" s="11" t="inlineStr">
        <is>
          <t>overruled</t>
        </is>
      </c>
      <c r="F1606" s="2" t="inlineStr">
        <is>
          <t>Mukhtar Husain and Others v. Fattu and Others</t>
        </is>
      </c>
      <c r="G1606" s="11" t="inlineStr"/>
      <c r="H1606" s="11" t="inlineStr">
        <is>
          <t>unknown</t>
        </is>
      </c>
      <c r="I1606" s="2" t="inlineStr">
        <is>
          <t>(1975) AWC 462</t>
        </is>
      </c>
      <c r="J1606" s="11" t="n">
        <v>1975</v>
      </c>
      <c r="K1606" s="2" t="inlineStr">
        <is>
          <t>U.P. Shia Central Board of Wakf and Others v. U.P. Sun. Central Board of Wakf and Others</t>
        </is>
      </c>
      <c r="L1606" s="11" t="inlineStr">
        <is>
          <t>Supreme Court</t>
        </is>
      </c>
      <c r="M1606" s="2" t="inlineStr">
        <is>
          <t>AIR 2001 SC 2086; (2001) 5 JT 180; (2001) 3 SCALE 584; (2001) 5 SCC 162; (2001) 3 SCR 336; (2001) AIRSCW 1833; (2001) 3 Supreme 630</t>
        </is>
      </c>
      <c r="N1606" s="11" t="n">
        <v>2001</v>
      </c>
      <c r="O1606" s="11" t="n"/>
      <c r="P1606" s="11" t="n"/>
      <c r="Q1606" s="11" t="n"/>
      <c r="R1606" s="2" t="n"/>
      <c r="S1606" s="2" t="n"/>
      <c r="T1606" s="11" t="inlineStr"/>
      <c r="U1606" s="11" t="inlineStr"/>
      <c r="V1606" s="11" t="inlineStr">
        <is>
          <t>outside_list</t>
        </is>
      </c>
      <c r="W1606" s="11" t="n"/>
      <c r="X1606" s="11" t="n"/>
      <c r="Y1606" s="11" t="n"/>
      <c r="Z1606" s="11" t="inlineStr">
        <is>
          <t>Mr. Advocate</t>
        </is>
      </c>
      <c r="AA1606" s="11" t="inlineStr">
        <is>
          <t>2026-10-07</t>
        </is>
      </c>
      <c r="AB1606" s="11" t="inlineStr">
        <is>
          <t>name_year</t>
        </is>
      </c>
      <c r="AC1606" s="2" t="inlineStr"/>
      <c r="AD1606" s="2" t="inlineStr">
        <is>
          <t>Mukhtar Husain and Others v. Fattu and Others (1975) was overruled by U.P. Shia Central Board of Wakf and Others v. U.P. Sun. Central Board of Wakf and Others (2001).</t>
        </is>
      </c>
      <c r="AE1606" s="2" t="n"/>
      <c r="AF1606" s="11" t="inlineStr">
        <is>
          <t>created from list 1</t>
        </is>
      </c>
    </row>
    <row r="1607">
      <c r="A1607" s="11" t="inlineStr">
        <is>
          <t>L1-1606</t>
        </is>
      </c>
      <c r="B1607" s="11" t="inlineStr">
        <is>
          <t>List 1 (to ~2015)</t>
        </is>
      </c>
      <c r="C1607" s="11" t="inlineStr">
        <is>
          <t>list1</t>
        </is>
      </c>
      <c r="D1607" s="11" t="inlineStr">
        <is>
          <t>verified</t>
        </is>
      </c>
      <c r="E1607" s="11" t="inlineStr">
        <is>
          <t>reversed_on_appeal</t>
        </is>
      </c>
      <c r="F1607" s="2" t="inlineStr">
        <is>
          <t>C.J. Ayodhya Ram Singh and Others v. B. Venkatamuni and Anr</t>
        </is>
      </c>
      <c r="G1607" s="11" t="inlineStr"/>
      <c r="H1607" s="11" t="inlineStr">
        <is>
          <t>unknown</t>
        </is>
      </c>
      <c r="I1607" s="2" t="inlineStr">
        <is>
          <t>(2004) 6 ALD 607; (2004) 6 ALT 693</t>
        </is>
      </c>
      <c r="J1607" s="11" t="n">
        <v>2004</v>
      </c>
      <c r="K1607" s="2" t="inlineStr">
        <is>
          <t>B. Venkatamuni v. C.J. Ayodhya Ram Singh and Others</t>
        </is>
      </c>
      <c r="L1607" s="11" t="inlineStr">
        <is>
          <t>Supreme Court</t>
        </is>
      </c>
      <c r="M1607" s="2" t="inlineStr">
        <is>
          <t>AIR 2007 SC 311; (2006) 9 JT 415; (2006) 11 SCALE 148; (2006) 8 SCR 787 Supp</t>
        </is>
      </c>
      <c r="N1607" s="11" t="n">
        <v>2007</v>
      </c>
      <c r="O1607" s="11" t="n"/>
      <c r="P1607" s="11" t="n"/>
      <c r="Q1607" s="11" t="n"/>
      <c r="R1607" s="2" t="n"/>
      <c r="S1607" s="2" t="n"/>
      <c r="T1607" s="11" t="inlineStr">
        <is>
          <t>yes</t>
        </is>
      </c>
      <c r="U1607" s="11" t="inlineStr"/>
      <c r="V1607" s="11" t="inlineStr">
        <is>
          <t>outside_list</t>
        </is>
      </c>
      <c r="W1607" s="11" t="n"/>
      <c r="X1607" s="11" t="n"/>
      <c r="Y1607" s="11" t="n"/>
      <c r="Z1607" s="11" t="inlineStr">
        <is>
          <t>Mr. Advocate</t>
        </is>
      </c>
      <c r="AA1607" s="11" t="inlineStr">
        <is>
          <t>2026-10-07</t>
        </is>
      </c>
      <c r="AB1607" s="11" t="inlineStr">
        <is>
          <t>name_year</t>
        </is>
      </c>
      <c r="AC1607" s="2" t="inlineStr"/>
      <c r="AD1607" s="2" t="inlineStr">
        <is>
          <t>C.J. Ayodhya Ram Singh and Others v. B. Venkatamuni and Anr (2004) was reversed on appeal by the Supreme Court in B. Venkatamuni v. C.J. Ayodhya Ram Singh and Others (2007).</t>
        </is>
      </c>
      <c r="AE1607" s="2" t="n"/>
      <c r="AF1607" s="11" t="inlineStr">
        <is>
          <t>created from list 1</t>
        </is>
      </c>
    </row>
    <row r="1608">
      <c r="A1608" s="11" t="inlineStr">
        <is>
          <t>L1-1607</t>
        </is>
      </c>
      <c r="B1608" s="11" t="inlineStr">
        <is>
          <t>List 1 (to ~2015)</t>
        </is>
      </c>
      <c r="C1608" s="11" t="inlineStr">
        <is>
          <t>list1</t>
        </is>
      </c>
      <c r="D1608" s="11" t="inlineStr">
        <is>
          <t>verified</t>
        </is>
      </c>
      <c r="E1608" s="11" t="inlineStr">
        <is>
          <t>reversed_on_appeal</t>
        </is>
      </c>
      <c r="F1608" s="2" t="inlineStr">
        <is>
          <t>Land Acquisition Officer and Revenue Divisional Officer v. Koka Suryanarayana Rao and Others</t>
        </is>
      </c>
      <c r="G1608" s="11" t="inlineStr"/>
      <c r="H1608" s="11" t="inlineStr">
        <is>
          <t>unknown</t>
        </is>
      </c>
      <c r="I1608" s="2" t="inlineStr">
        <is>
          <t>(2010) 3 ALT 218</t>
        </is>
      </c>
      <c r="J1608" s="11" t="n">
        <v>2010</v>
      </c>
      <c r="K1608" s="2" t="inlineStr">
        <is>
          <t>Koka Suryanarayana Rao and Others v. Land Acquisition Officer and Rev. Div. Officer A.P.</t>
        </is>
      </c>
      <c r="L1608" s="11" t="inlineStr">
        <is>
          <t>Supreme Court</t>
        </is>
      </c>
      <c r="M1608" s="2" t="inlineStr">
        <is>
          <t>(2011) 4 JT 123; (2011) 3 SCALE 660; (2011) 4 SCC 186; (2011) 5 SCR 639</t>
        </is>
      </c>
      <c r="N1608" s="11" t="n">
        <v>2011</v>
      </c>
      <c r="O1608" s="11" t="n"/>
      <c r="P1608" s="11" t="n"/>
      <c r="Q1608" s="11" t="n"/>
      <c r="R1608" s="2" t="n"/>
      <c r="S1608" s="2" t="n"/>
      <c r="T1608" s="11" t="inlineStr">
        <is>
          <t>yes</t>
        </is>
      </c>
      <c r="U1608" s="11" t="inlineStr"/>
      <c r="V1608" s="11" t="inlineStr">
        <is>
          <t>outside_list</t>
        </is>
      </c>
      <c r="W1608" s="11" t="n"/>
      <c r="X1608" s="11" t="n"/>
      <c r="Y1608" s="11" t="n"/>
      <c r="Z1608" s="11" t="inlineStr">
        <is>
          <t>Mr. Advocate</t>
        </is>
      </c>
      <c r="AA1608" s="11" t="inlineStr">
        <is>
          <t>2026-10-07</t>
        </is>
      </c>
      <c r="AB1608" s="11" t="inlineStr">
        <is>
          <t>name_year</t>
        </is>
      </c>
      <c r="AC1608" s="2" t="inlineStr"/>
      <c r="AD1608" s="2" t="inlineStr">
        <is>
          <t>Land Acquisition Officer and Revenue Divisional Officer v. Koka Suryanarayana Rao and Others (2010) was reversed on appeal by the Supreme Court in Koka Suryanarayana Rao and Others v. Land Acquisition Officer and Rev. Div. Officer A.P. (2011).</t>
        </is>
      </c>
      <c r="AE1608" s="2" t="n"/>
      <c r="AF1608" s="11" t="inlineStr">
        <is>
          <t>created from list 1</t>
        </is>
      </c>
    </row>
    <row r="1609">
      <c r="A1609" s="11" t="inlineStr">
        <is>
          <t>L1-1608</t>
        </is>
      </c>
      <c r="B1609" s="11" t="inlineStr">
        <is>
          <t>List 1 (to ~2015)</t>
        </is>
      </c>
      <c r="C1609" s="11" t="inlineStr">
        <is>
          <t>list1</t>
        </is>
      </c>
      <c r="D1609" s="11" t="inlineStr">
        <is>
          <t>verified</t>
        </is>
      </c>
      <c r="E1609" s="11" t="inlineStr">
        <is>
          <t>reversed_on_appeal</t>
        </is>
      </c>
      <c r="F1609" s="2" t="inlineStr">
        <is>
          <t>Fizikem Laboratories Pvt. Ltd. and Another v. The Drugs Inspector and Another</t>
        </is>
      </c>
      <c r="G1609" s="11" t="inlineStr"/>
      <c r="H1609" s="11" t="inlineStr">
        <is>
          <t>unknown</t>
        </is>
      </c>
      <c r="I1609" s="2" t="inlineStr">
        <is>
          <t>(2006) 2 ALD(Cri) 286; (2006) 2 ALT(Cri) 473; (2006) CriLJ 3090</t>
        </is>
      </c>
      <c r="J1609" s="11" t="n">
        <v>2006</v>
      </c>
      <c r="K1609" s="2" t="inlineStr">
        <is>
          <t>The Drugs Inspector and Another v. Fizikem Laboratories Pvt. Ltd. and Another</t>
        </is>
      </c>
      <c r="L1609" s="11" t="inlineStr">
        <is>
          <t>Supreme Court</t>
        </is>
      </c>
      <c r="M1609" s="2" t="inlineStr">
        <is>
          <t>AIR 2008 SC 1932; (2008) 1 CLT 827; (2008) 4 JT 56; (2008) 4 SCALE 82; (2008) 4 SCC 784; (2008) AIRSCW 2192</t>
        </is>
      </c>
      <c r="N1609" s="11" t="n">
        <v>2008</v>
      </c>
      <c r="O1609" s="11" t="n"/>
      <c r="P1609" s="11" t="n"/>
      <c r="Q1609" s="11" t="n"/>
      <c r="R1609" s="2" t="n"/>
      <c r="S1609" s="2" t="n"/>
      <c r="T1609" s="11" t="inlineStr">
        <is>
          <t>yes</t>
        </is>
      </c>
      <c r="U1609" s="11" t="inlineStr"/>
      <c r="V1609" s="11" t="inlineStr">
        <is>
          <t>outside_list</t>
        </is>
      </c>
      <c r="W1609" s="11" t="n"/>
      <c r="X1609" s="11" t="n"/>
      <c r="Y1609" s="11" t="n"/>
      <c r="Z1609" s="11" t="inlineStr">
        <is>
          <t>Mr. Advocate</t>
        </is>
      </c>
      <c r="AA1609" s="11" t="inlineStr">
        <is>
          <t>2026-10-07</t>
        </is>
      </c>
      <c r="AB1609" s="11" t="inlineStr">
        <is>
          <t>name_year</t>
        </is>
      </c>
      <c r="AC1609" s="2" t="inlineStr"/>
      <c r="AD1609" s="2" t="inlineStr">
        <is>
          <t>Fizikem Laboratories Pvt. Ltd. and Another v. The Drugs Inspector and Another (2006) was reversed on appeal by the Supreme Court in The Drugs Inspector and Another v. Fizikem Laboratories Pvt. Ltd. and Another (2008).</t>
        </is>
      </c>
      <c r="AE1609" s="2" t="n"/>
      <c r="AF1609" s="11" t="inlineStr">
        <is>
          <t>created from list 1</t>
        </is>
      </c>
    </row>
    <row r="1610">
      <c r="A1610" s="11" t="inlineStr">
        <is>
          <t>L1-1609</t>
        </is>
      </c>
      <c r="B1610" s="11" t="inlineStr">
        <is>
          <t>List 1 (to ~2015)</t>
        </is>
      </c>
      <c r="C1610" s="11" t="inlineStr">
        <is>
          <t>list1</t>
        </is>
      </c>
      <c r="D1610" s="11" t="inlineStr">
        <is>
          <t>verified</t>
        </is>
      </c>
      <c r="E1610" s="11" t="inlineStr">
        <is>
          <t>overruled</t>
        </is>
      </c>
      <c r="F1610" s="2" t="inlineStr">
        <is>
          <t>Nimmakanyala Audi Narrayanammam v. State of Andhra Pradesh</t>
        </is>
      </c>
      <c r="G1610" s="11" t="inlineStr"/>
      <c r="H1610" s="11" t="inlineStr">
        <is>
          <t>Andhra Pradesh</t>
        </is>
      </c>
      <c r="I1610" s="2" t="inlineStr">
        <is>
          <t>AIR 1970 AP 119; (1970) CriLJ 443</t>
        </is>
      </c>
      <c r="J1610" s="11" t="n">
        <v>1970</v>
      </c>
      <c r="K1610" s="2" t="inlineStr">
        <is>
          <t>Pritish v. State of Maharashtra and Others</t>
        </is>
      </c>
      <c r="L1610" s="11" t="inlineStr">
        <is>
          <t>Supreme Court</t>
        </is>
      </c>
      <c r="M1610" s="2" t="inlineStr">
        <is>
          <t>AIR 2002 SC 236; (2002) CriLJ 548; (2002) 1 Crimes 180; (2001) 9 JT 574; (2001) 8 SCALE 235; (2002) 1 SCC 253; (2002) 1 UJ 246; (2001) AIRSCW 4910; (2001) 8 Supreme 336</t>
        </is>
      </c>
      <c r="N1610" s="11" t="n">
        <v>2002</v>
      </c>
      <c r="O1610" s="11" t="n"/>
      <c r="P1610" s="11" t="n"/>
      <c r="Q1610" s="11" t="n"/>
      <c r="R1610" s="2" t="n"/>
      <c r="S1610" s="2" t="n"/>
      <c r="T1610" s="11" t="inlineStr"/>
      <c r="U1610" s="11" t="inlineStr"/>
      <c r="V1610" s="11" t="inlineStr">
        <is>
          <t>outside_list</t>
        </is>
      </c>
      <c r="W1610" s="11" t="n"/>
      <c r="X1610" s="11" t="n"/>
      <c r="Y1610" s="11" t="n"/>
      <c r="Z1610" s="11" t="inlineStr">
        <is>
          <t>Mr. Advocate</t>
        </is>
      </c>
      <c r="AA1610" s="11" t="inlineStr">
        <is>
          <t>2026-10-07</t>
        </is>
      </c>
      <c r="AB1610" s="11" t="inlineStr">
        <is>
          <t>name_year</t>
        </is>
      </c>
      <c r="AC1610" s="2" t="inlineStr"/>
      <c r="AD1610" s="2" t="inlineStr">
        <is>
          <t>Nimmakanyala Audi Narrayanammam v. State of Andhra Pradesh (1970) was overruled by Pritish v. State of Maharashtra and Others (2002).</t>
        </is>
      </c>
      <c r="AE1610" s="2" t="n"/>
      <c r="AF1610" s="11" t="inlineStr">
        <is>
          <t>created from list 1</t>
        </is>
      </c>
    </row>
    <row r="1611">
      <c r="A1611" s="11" t="inlineStr">
        <is>
          <t>L1-1610</t>
        </is>
      </c>
      <c r="B1611" s="11" t="inlineStr">
        <is>
          <t>List 1 (to ~2015)</t>
        </is>
      </c>
      <c r="C1611" s="11" t="inlineStr">
        <is>
          <t>list1</t>
        </is>
      </c>
      <c r="D1611" s="11" t="inlineStr">
        <is>
          <t>verified</t>
        </is>
      </c>
      <c r="E1611" s="11" t="inlineStr">
        <is>
          <t>reversed_on_appeal</t>
        </is>
      </c>
      <c r="F1611" s="2" t="inlineStr">
        <is>
          <t>P. Laxmi Devi v. Government of A.P. and others</t>
        </is>
      </c>
      <c r="G1611" s="11" t="inlineStr"/>
      <c r="H1611" s="11" t="inlineStr">
        <is>
          <t>Andhra Pradesh</t>
        </is>
      </c>
      <c r="I1611" s="2" t="inlineStr">
        <is>
          <t>AIR 2001 AP 446; (2001) 4 ALD 336; (2001) 3 ALT 666</t>
        </is>
      </c>
      <c r="J1611" s="11" t="n">
        <v>2001</v>
      </c>
      <c r="K1611" s="2" t="inlineStr">
        <is>
          <t>Government of Andhra Pradesh and Others v. Smt. P. Laxmi Devi</t>
        </is>
      </c>
      <c r="L1611" s="11" t="inlineStr">
        <is>
          <t>Supreme Court</t>
        </is>
      </c>
      <c r="M1611" s="2" t="inlineStr">
        <is>
          <t>AIR 2008 SC 1640; (2008) 2 JT 639; (2008) 3 SCALE 45; (2008) 4 SCC 720; (2008) AIRSCW 1826; (2008) 2 Supreme 472</t>
        </is>
      </c>
      <c r="N1611" s="11" t="n">
        <v>2008</v>
      </c>
      <c r="O1611" s="11" t="n"/>
      <c r="P1611" s="11" t="n"/>
      <c r="Q1611" s="11" t="n"/>
      <c r="R1611" s="2" t="n"/>
      <c r="S1611" s="2" t="n"/>
      <c r="T1611" s="11" t="inlineStr">
        <is>
          <t>yes</t>
        </is>
      </c>
      <c r="U1611" s="11" t="inlineStr"/>
      <c r="V1611" s="11" t="inlineStr">
        <is>
          <t>outside_list</t>
        </is>
      </c>
      <c r="W1611" s="11" t="n"/>
      <c r="X1611" s="11" t="n"/>
      <c r="Y1611" s="11" t="n"/>
      <c r="Z1611" s="11" t="inlineStr">
        <is>
          <t>Mr. Advocate</t>
        </is>
      </c>
      <c r="AA1611" s="11" t="inlineStr">
        <is>
          <t>2026-10-07</t>
        </is>
      </c>
      <c r="AB1611" s="11" t="inlineStr">
        <is>
          <t>name_year</t>
        </is>
      </c>
      <c r="AC1611" s="2" t="inlineStr"/>
      <c r="AD1611" s="2" t="inlineStr">
        <is>
          <t>P. Laxmi Devi v. Government of A.P. and others (2001) was reversed on appeal by the Supreme Court in Government of Andhra Pradesh and Others v. Smt. P. Laxmi Devi (2008).</t>
        </is>
      </c>
      <c r="AE1611" s="2" t="n"/>
      <c r="AF1611" s="11" t="inlineStr">
        <is>
          <t>created from list 1</t>
        </is>
      </c>
    </row>
    <row r="1612">
      <c r="A1612" s="11" t="inlineStr">
        <is>
          <t>L1-1611</t>
        </is>
      </c>
      <c r="B1612" s="11" t="inlineStr">
        <is>
          <t>List 1 (to ~2015)</t>
        </is>
      </c>
      <c r="C1612" s="11" t="inlineStr">
        <is>
          <t>list1</t>
        </is>
      </c>
      <c r="D1612" s="11" t="inlineStr">
        <is>
          <t>verified</t>
        </is>
      </c>
      <c r="E1612" s="11" t="inlineStr">
        <is>
          <t>reversed_on_appeal</t>
        </is>
      </c>
      <c r="F1612" s="2" t="inlineStr">
        <is>
          <t>P. Chandra Mouli v. Govt. of A.P., Dept. of Home and Others</t>
        </is>
      </c>
      <c r="G1612" s="11" t="inlineStr"/>
      <c r="H1612" s="11" t="inlineStr">
        <is>
          <t>unknown</t>
        </is>
      </c>
      <c r="I1612" s="2" t="inlineStr">
        <is>
          <t>(2005) 4 ALD 663; (2005) 3 ALT 162</t>
        </is>
      </c>
      <c r="J1612" s="11" t="n">
        <v>2005</v>
      </c>
      <c r="K1612" s="2" t="inlineStr">
        <is>
          <t>The Govt. of A.P. and Others v. P. Chandra Mouli and Another</t>
        </is>
      </c>
      <c r="L1612" s="11" t="inlineStr">
        <is>
          <t>Supreme Court</t>
        </is>
      </c>
      <c r="M1612" s="2" t="inlineStr">
        <is>
          <t>(2009) 13 SCC 272; (2010) 1 SCC(L&amp;S) 237; (2009) 6 SCR 374; (2009) 3 SLJ 128; (2009) 5 UJ 2412</t>
        </is>
      </c>
      <c r="N1612" s="11" t="n">
        <v>2009</v>
      </c>
      <c r="O1612" s="11" t="n"/>
      <c r="P1612" s="11" t="n"/>
      <c r="Q1612" s="11" t="n"/>
      <c r="R1612" s="2" t="n"/>
      <c r="S1612" s="2" t="n"/>
      <c r="T1612" s="11" t="inlineStr">
        <is>
          <t>yes</t>
        </is>
      </c>
      <c r="U1612" s="11" t="inlineStr"/>
      <c r="V1612" s="11" t="inlineStr">
        <is>
          <t>outside_list</t>
        </is>
      </c>
      <c r="W1612" s="11" t="n"/>
      <c r="X1612" s="11" t="n"/>
      <c r="Y1612" s="11" t="n"/>
      <c r="Z1612" s="11" t="inlineStr">
        <is>
          <t>Mr. Advocate</t>
        </is>
      </c>
      <c r="AA1612" s="11" t="inlineStr">
        <is>
          <t>2026-10-07</t>
        </is>
      </c>
      <c r="AB1612" s="11" t="inlineStr">
        <is>
          <t>name_year</t>
        </is>
      </c>
      <c r="AC1612" s="2" t="inlineStr"/>
      <c r="AD1612" s="2" t="inlineStr">
        <is>
          <t>P. Chandra Mouli v. Govt. of A.P., Dept. of Home and Others (2005) was reversed on appeal by the Supreme Court in The Govt. of A.P. and Others v. P. Chandra Mouli and Another (2009).</t>
        </is>
      </c>
      <c r="AE1612" s="2" t="n"/>
      <c r="AF1612" s="11" t="inlineStr">
        <is>
          <t>created from list 1</t>
        </is>
      </c>
    </row>
    <row r="1613">
      <c r="A1613" s="11" t="inlineStr">
        <is>
          <t>L1-1612</t>
        </is>
      </c>
      <c r="B1613" s="11" t="inlineStr">
        <is>
          <t>List 1 (to ~2015)</t>
        </is>
      </c>
      <c r="C1613" s="11" t="inlineStr">
        <is>
          <t>list1</t>
        </is>
      </c>
      <c r="D1613" s="11" t="inlineStr">
        <is>
          <t>verified</t>
        </is>
      </c>
      <c r="E1613" s="11" t="inlineStr">
        <is>
          <t>overruled</t>
        </is>
      </c>
      <c r="F1613" s="2" t="inlineStr">
        <is>
          <t>Government of Andhra Pradesh and Another v. J.B. Educational Society, Hyderabad and Another</t>
        </is>
      </c>
      <c r="G1613" s="11" t="inlineStr"/>
      <c r="H1613" s="11" t="inlineStr">
        <is>
          <t>Andhra Pradesh</t>
        </is>
      </c>
      <c r="I1613" s="2" t="inlineStr">
        <is>
          <t>AIR 1998 AP 400; (1998) 3 ALD 736; (1998) 3 ALT 584; (1998) 2 APLJ 76</t>
        </is>
      </c>
      <c r="J1613" s="11" t="n">
        <v>1998</v>
      </c>
      <c r="K1613" s="2" t="inlineStr">
        <is>
          <t>Govt. of A.P. and Another v. J.B. Educational Society and Another</t>
        </is>
      </c>
      <c r="L1613" s="11" t="inlineStr">
        <is>
          <t>Supreme Court</t>
        </is>
      </c>
      <c r="M1613" s="2" t="inlineStr">
        <is>
          <t>AIR 2005 SC 2014; (2005) 3 CTC 555; (2005) 2 ESC 184; (2005) 2 JT 521; (2005) 3 SCC 212; (2005) 2 SCR 302</t>
        </is>
      </c>
      <c r="N1613" s="11" t="n">
        <v>2005</v>
      </c>
      <c r="O1613" s="11" t="n"/>
      <c r="P1613" s="11" t="n"/>
      <c r="Q1613" s="11" t="n"/>
      <c r="R1613" s="2" t="n"/>
      <c r="S1613" s="2" t="n"/>
      <c r="T1613" s="11" t="inlineStr"/>
      <c r="U1613" s="11" t="inlineStr"/>
      <c r="V1613" s="11" t="inlineStr">
        <is>
          <t>outside_list</t>
        </is>
      </c>
      <c r="W1613" s="11" t="n"/>
      <c r="X1613" s="11" t="n"/>
      <c r="Y1613" s="11" t="n"/>
      <c r="Z1613" s="11" t="inlineStr">
        <is>
          <t>Mr. Advocate</t>
        </is>
      </c>
      <c r="AA1613" s="11" t="inlineStr">
        <is>
          <t>2026-10-07</t>
        </is>
      </c>
      <c r="AB1613" s="11" t="inlineStr">
        <is>
          <t>name_year</t>
        </is>
      </c>
      <c r="AC1613" s="2" t="inlineStr"/>
      <c r="AD1613" s="2" t="inlineStr">
        <is>
          <t>Government of Andhra Pradesh and Another v. J.B. Educational Society, Hyderabad and Another (1998) was overruled by Govt. of A.P. and Another v. J.B. Educational Society and Another (2005).</t>
        </is>
      </c>
      <c r="AE1613" s="2" t="n"/>
      <c r="AF1613" s="11" t="inlineStr">
        <is>
          <t>created from list 1</t>
        </is>
      </c>
    </row>
    <row r="1614">
      <c r="A1614" s="11" t="inlineStr">
        <is>
          <t>L1-1613</t>
        </is>
      </c>
      <c r="B1614" s="11" t="inlineStr">
        <is>
          <t>List 1 (to ~2015)</t>
        </is>
      </c>
      <c r="C1614" s="11" t="inlineStr">
        <is>
          <t>list1</t>
        </is>
      </c>
      <c r="D1614" s="11" t="inlineStr">
        <is>
          <t>verified</t>
        </is>
      </c>
      <c r="E1614" s="11" t="inlineStr">
        <is>
          <t>reversed_on_appeal</t>
        </is>
      </c>
      <c r="F1614" s="2" t="inlineStr">
        <is>
          <t>Kurapati Maria Das v. Dr. Ambedker Seva Samajam and Others</t>
        </is>
      </c>
      <c r="G1614" s="11" t="inlineStr"/>
      <c r="H1614" s="11" t="inlineStr">
        <is>
          <t>Andhra Pradesh</t>
        </is>
      </c>
      <c r="I1614" s="2" t="inlineStr">
        <is>
          <t>AIR 2007 AP 330; (2007) 6 ALD 334; (2007) 5 ALT 347</t>
        </is>
      </c>
      <c r="J1614" s="11" t="n">
        <v>2007</v>
      </c>
      <c r="K1614" s="2" t="inlineStr">
        <is>
          <t>Kurapati Maria Das v. Dr. Ambedkar Seva Samajan and Others</t>
        </is>
      </c>
      <c r="L1614" s="11" t="inlineStr">
        <is>
          <t>Supreme Court</t>
        </is>
      </c>
      <c r="M1614" s="2" t="inlineStr">
        <is>
          <t>AIR 2009 SC 2475; (2009) 6 JT 67; (2009) 7 SCC 387; (2009) 6 SCR 498; (2009) 5 UJ 2312; (2009) AIRSCW 4603</t>
        </is>
      </c>
      <c r="N1614" s="11" t="n">
        <v>2009</v>
      </c>
      <c r="O1614" s="11" t="n"/>
      <c r="P1614" s="11" t="n"/>
      <c r="Q1614" s="11" t="n"/>
      <c r="R1614" s="2" t="n"/>
      <c r="S1614" s="2" t="n"/>
      <c r="T1614" s="11" t="inlineStr">
        <is>
          <t>yes</t>
        </is>
      </c>
      <c r="U1614" s="11" t="inlineStr"/>
      <c r="V1614" s="11" t="inlineStr">
        <is>
          <t>outside_list</t>
        </is>
      </c>
      <c r="W1614" s="11" t="n"/>
      <c r="X1614" s="11" t="n"/>
      <c r="Y1614" s="11" t="n"/>
      <c r="Z1614" s="11" t="inlineStr">
        <is>
          <t>Mr. Advocate</t>
        </is>
      </c>
      <c r="AA1614" s="11" t="inlineStr">
        <is>
          <t>2026-10-07</t>
        </is>
      </c>
      <c r="AB1614" s="11" t="inlineStr">
        <is>
          <t>name_year</t>
        </is>
      </c>
      <c r="AC1614" s="2" t="inlineStr"/>
      <c r="AD1614" s="2" t="inlineStr">
        <is>
          <t>Kurapati Maria Das v. Dr. Ambedker Seva Samajam and Others (2007) was reversed on appeal by the Supreme Court in Kurapati Maria Das v. Dr. Ambedkar Seva Samajan and Others (2009).</t>
        </is>
      </c>
      <c r="AE1614" s="2" t="n"/>
      <c r="AF1614" s="11" t="inlineStr">
        <is>
          <t>created from list 1</t>
        </is>
      </c>
    </row>
    <row r="1615">
      <c r="A1615" s="11" t="inlineStr">
        <is>
          <t>L1-1614</t>
        </is>
      </c>
      <c r="B1615" s="11" t="inlineStr">
        <is>
          <t>List 1 (to ~2015)</t>
        </is>
      </c>
      <c r="C1615" s="11" t="inlineStr">
        <is>
          <t>list1</t>
        </is>
      </c>
      <c r="D1615" s="11" t="inlineStr">
        <is>
          <t>verified</t>
        </is>
      </c>
      <c r="E1615" s="11" t="inlineStr">
        <is>
          <t>overruled</t>
        </is>
      </c>
      <c r="F1615" s="2" t="inlineStr">
        <is>
          <t>Pattan Sardar Khan v. Pattan Rasool Khan and Another</t>
        </is>
      </c>
      <c r="G1615" s="11" t="inlineStr"/>
      <c r="H1615" s="11" t="inlineStr">
        <is>
          <t>unknown</t>
        </is>
      </c>
      <c r="I1615" s="2" t="inlineStr">
        <is>
          <t>(1994) 1 ALT 15; (1994) 1 APLJ 65</t>
        </is>
      </c>
      <c r="J1615" s="11" t="n">
        <v>1994</v>
      </c>
      <c r="K1615" s="2" t="inlineStr">
        <is>
          <t>Pattam Khader Khan v. Pattam Sardar Khan and Another</t>
        </is>
      </c>
      <c r="L1615" s="11" t="inlineStr">
        <is>
          <t>Supreme Court</t>
        </is>
      </c>
      <c r="M1615" s="2" t="inlineStr">
        <is>
          <t>(1996) 5 AD 381; (1996) 2 BC 275; (1996) 6 JT 201; (1996) 5 SCALE 63(1); (1996) 5 SCALE 63; (1996) 5 SCC 48; (1996) 3 SCR 320 Supp</t>
        </is>
      </c>
      <c r="N1615" s="11" t="n">
        <v>1996</v>
      </c>
      <c r="O1615" s="11" t="n"/>
      <c r="P1615" s="11" t="n"/>
      <c r="Q1615" s="11" t="n"/>
      <c r="R1615" s="2" t="n"/>
      <c r="S1615" s="2" t="n"/>
      <c r="T1615" s="11" t="inlineStr"/>
      <c r="U1615" s="11" t="inlineStr"/>
      <c r="V1615" s="11" t="inlineStr">
        <is>
          <t>outside_list</t>
        </is>
      </c>
      <c r="W1615" s="11" t="n"/>
      <c r="X1615" s="11" t="n"/>
      <c r="Y1615" s="11" t="n"/>
      <c r="Z1615" s="11" t="inlineStr">
        <is>
          <t>Mr. Advocate</t>
        </is>
      </c>
      <c r="AA1615" s="11" t="inlineStr">
        <is>
          <t>2026-10-07</t>
        </is>
      </c>
      <c r="AB1615" s="11" t="inlineStr">
        <is>
          <t>name_year</t>
        </is>
      </c>
      <c r="AC1615" s="2" t="inlineStr"/>
      <c r="AD1615" s="2" t="inlineStr">
        <is>
          <t>Pattan Sardar Khan v. Pattan Rasool Khan and Another (1994) was overruled by Pattam Khader Khan v. Pattam Sardar Khan and Another (1996).</t>
        </is>
      </c>
      <c r="AE1615" s="2" t="n"/>
      <c r="AF1615" s="11" t="inlineStr">
        <is>
          <t>created from list 1</t>
        </is>
      </c>
    </row>
    <row r="1616">
      <c r="A1616" s="11" t="inlineStr">
        <is>
          <t>L1-1615</t>
        </is>
      </c>
      <c r="B1616" s="11" t="inlineStr">
        <is>
          <t>List 1 (to ~2015)</t>
        </is>
      </c>
      <c r="C1616" s="11" t="inlineStr">
        <is>
          <t>list1</t>
        </is>
      </c>
      <c r="D1616" s="11" t="inlineStr">
        <is>
          <t>verified</t>
        </is>
      </c>
      <c r="E1616" s="11" t="inlineStr">
        <is>
          <t>reversed_on_appeal</t>
        </is>
      </c>
      <c r="F1616" s="2" t="inlineStr">
        <is>
          <t>Moriroku Ut India Pvt. Ltd. v. State of U.P. and Others</t>
        </is>
      </c>
      <c r="G1616" s="11" t="inlineStr"/>
      <c r="H1616" s="11" t="inlineStr">
        <is>
          <t>unknown</t>
        </is>
      </c>
      <c r="I1616" s="2" t="inlineStr">
        <is>
          <t>(2007) 7 VST 482</t>
        </is>
      </c>
      <c r="J1616" s="11" t="n">
        <v>2007</v>
      </c>
      <c r="K1616" s="2" t="inlineStr">
        <is>
          <t>Moriroku UT India (P) Ltd. v. State of U.P. and Others</t>
        </is>
      </c>
      <c r="L1616" s="11" t="inlineStr">
        <is>
          <t>Supreme Court</t>
        </is>
      </c>
      <c r="M1616" s="2" t="inlineStr">
        <is>
          <t>(2008) 3 CLT 3; (2008) 224 ELT 365; (2008) 3 JT 508; (2008) 4 SCALE 27; (2008) 4 SCC 548; (2008) 15 VST 559</t>
        </is>
      </c>
      <c r="N1616" s="11" t="n">
        <v>2008</v>
      </c>
      <c r="O1616" s="11" t="n"/>
      <c r="P1616" s="11" t="n"/>
      <c r="Q1616" s="11" t="n"/>
      <c r="R1616" s="2" t="n"/>
      <c r="S1616" s="2" t="n"/>
      <c r="T1616" s="11" t="inlineStr">
        <is>
          <t>yes</t>
        </is>
      </c>
      <c r="U1616" s="11" t="inlineStr"/>
      <c r="V1616" s="11" t="inlineStr">
        <is>
          <t>outside_list</t>
        </is>
      </c>
      <c r="W1616" s="11" t="n"/>
      <c r="X1616" s="11" t="n"/>
      <c r="Y1616" s="11" t="n"/>
      <c r="Z1616" s="11" t="inlineStr">
        <is>
          <t>Mr. Advocate</t>
        </is>
      </c>
      <c r="AA1616" s="11" t="inlineStr">
        <is>
          <t>2026-10-07</t>
        </is>
      </c>
      <c r="AB1616" s="11" t="inlineStr">
        <is>
          <t>name_year</t>
        </is>
      </c>
      <c r="AC1616" s="2" t="inlineStr"/>
      <c r="AD1616" s="2" t="inlineStr">
        <is>
          <t>Moriroku Ut India Pvt. Ltd. v. State of U.P. and Others (2007) was reversed on appeal by the Supreme Court in Moriroku UT India (P) Ltd. v. State of U.P. and Others (2008).</t>
        </is>
      </c>
      <c r="AE1616" s="2" t="n"/>
      <c r="AF1616" s="11" t="inlineStr">
        <is>
          <t>created from list 1</t>
        </is>
      </c>
    </row>
    <row r="1617">
      <c r="A1617" s="11" t="inlineStr">
        <is>
          <t>L1-1616</t>
        </is>
      </c>
      <c r="B1617" s="11" t="inlineStr">
        <is>
          <t>List 1 (to ~2015)</t>
        </is>
      </c>
      <c r="C1617" s="11" t="inlineStr">
        <is>
          <t>list1</t>
        </is>
      </c>
      <c r="D1617" s="11" t="inlineStr">
        <is>
          <t>verified</t>
        </is>
      </c>
      <c r="E1617" s="11" t="inlineStr">
        <is>
          <t>overruled</t>
        </is>
      </c>
      <c r="F1617" s="2" t="inlineStr">
        <is>
          <t>Commissioner of Income Tax v. Radhaswami Satsangh</t>
        </is>
      </c>
      <c r="G1617" s="11" t="inlineStr"/>
      <c r="H1617" s="11" t="inlineStr">
        <is>
          <t>unknown</t>
        </is>
      </c>
      <c r="I1617" s="2" t="inlineStr">
        <is>
          <t>(1980) 19 CTR 345; (1981) 132 ITR 647</t>
        </is>
      </c>
      <c r="J1617" s="11" t="n">
        <v>1980</v>
      </c>
      <c r="K1617" s="2" t="inlineStr">
        <is>
          <t>M/s. Radhasoami Satsang Saomi Bagh, Agra v. Commissioner of Income Tax</t>
        </is>
      </c>
      <c r="L1617" s="11" t="inlineStr">
        <is>
          <t>Supreme Court</t>
        </is>
      </c>
      <c r="M1617" s="2" t="inlineStr">
        <is>
          <t>AIR 1992 SC 377; (1991) 100 CTR 267; (1992) 193 ITR 321; (1991) 4 JT 313; (1991) 2 SCALE 1199; (1992) 1 SCC 659; (1991) 2 SCR 312 Supp; (1992) 60 TAXMAN 248</t>
        </is>
      </c>
      <c r="N1617" s="11" t="n">
        <v>1992</v>
      </c>
      <c r="O1617" s="11" t="n"/>
      <c r="P1617" s="11" t="n"/>
      <c r="Q1617" s="11" t="n"/>
      <c r="R1617" s="2" t="n"/>
      <c r="S1617" s="2" t="n"/>
      <c r="T1617" s="11" t="inlineStr"/>
      <c r="U1617" s="11" t="inlineStr"/>
      <c r="V1617" s="11" t="inlineStr">
        <is>
          <t>outside_list</t>
        </is>
      </c>
      <c r="W1617" s="11" t="n"/>
      <c r="X1617" s="11" t="n"/>
      <c r="Y1617" s="11" t="n"/>
      <c r="Z1617" s="11" t="inlineStr">
        <is>
          <t>Mr. Advocate</t>
        </is>
      </c>
      <c r="AA1617" s="11" t="inlineStr">
        <is>
          <t>2026-10-07</t>
        </is>
      </c>
      <c r="AB1617" s="11" t="inlineStr">
        <is>
          <t>name_year</t>
        </is>
      </c>
      <c r="AC1617" s="2" t="inlineStr"/>
      <c r="AD1617" s="2" t="inlineStr">
        <is>
          <t>Commissioner of Income Tax v. Radhaswami Satsangh (1980) was overruled by M/s. Radhasoami Satsang Saomi Bagh, Agra v. Commissioner of Income Tax (1992).</t>
        </is>
      </c>
      <c r="AE1617" s="2" t="n"/>
      <c r="AF1617" s="11" t="inlineStr">
        <is>
          <t>created from list 1</t>
        </is>
      </c>
    </row>
    <row r="1618">
      <c r="A1618" s="11" t="inlineStr">
        <is>
          <t>L1-1617</t>
        </is>
      </c>
      <c r="B1618" s="11" t="inlineStr">
        <is>
          <t>List 1 (to ~2015)</t>
        </is>
      </c>
      <c r="C1618" s="11" t="inlineStr">
        <is>
          <t>list1</t>
        </is>
      </c>
      <c r="D1618" s="11" t="inlineStr">
        <is>
          <t>verified</t>
        </is>
      </c>
      <c r="E1618" s="11" t="inlineStr">
        <is>
          <t>reversed_on_appeal</t>
        </is>
      </c>
      <c r="F1618" s="2" t="inlineStr">
        <is>
          <t>Thadikonda Ramulu Firm and others v. Mallavarapu Kasivisweswara Rao</t>
        </is>
      </c>
      <c r="G1618" s="11" t="inlineStr"/>
      <c r="H1618" s="11" t="inlineStr">
        <is>
          <t>unknown</t>
        </is>
      </c>
      <c r="I1618" s="2" t="inlineStr">
        <is>
          <t>(2000) 3 ALD 493; (2000) 1 ALT 467</t>
        </is>
      </c>
      <c r="J1618" s="11" t="n">
        <v>2000</v>
      </c>
      <c r="K1618" s="2" t="inlineStr">
        <is>
          <t>Mallavarapu Kasivisweswara Rao v. Thadikonda Ramulu Firm and Others</t>
        </is>
      </c>
      <c r="L1618" s="11" t="inlineStr">
        <is>
          <t>Supreme Court</t>
        </is>
      </c>
      <c r="M1618" s="2" t="inlineStr">
        <is>
          <t>AIR 2008 SC 2898; (2008) 3 BC 416; (2008) CLT 1063; (2008) 11 JT 43; (2008) 8 SCALE 680; (2008) 7 SCC 655; (2008) AIRSCW 4777; (2008) 4 Supreme 79</t>
        </is>
      </c>
      <c r="N1618" s="11" t="n">
        <v>2008</v>
      </c>
      <c r="O1618" s="11" t="n"/>
      <c r="P1618" s="11" t="n"/>
      <c r="Q1618" s="11" t="n"/>
      <c r="R1618" s="2" t="n"/>
      <c r="S1618" s="2" t="n"/>
      <c r="T1618" s="11" t="inlineStr">
        <is>
          <t>yes</t>
        </is>
      </c>
      <c r="U1618" s="11" t="inlineStr"/>
      <c r="V1618" s="11" t="inlineStr">
        <is>
          <t>outside_list</t>
        </is>
      </c>
      <c r="W1618" s="11" t="n"/>
      <c r="X1618" s="11" t="n"/>
      <c r="Y1618" s="11" t="n"/>
      <c r="Z1618" s="11" t="inlineStr">
        <is>
          <t>Mr. Advocate</t>
        </is>
      </c>
      <c r="AA1618" s="11" t="inlineStr">
        <is>
          <t>2026-10-07</t>
        </is>
      </c>
      <c r="AB1618" s="11" t="inlineStr">
        <is>
          <t>name_year</t>
        </is>
      </c>
      <c r="AC1618" s="2" t="inlineStr"/>
      <c r="AD1618" s="2" t="inlineStr">
        <is>
          <t>Thadikonda Ramulu Firm and others v. Mallavarapu Kasivisweswara Rao (2000) was reversed on appeal by the Supreme Court in Mallavarapu Kasivisweswara Rao v. Thadikonda Ramulu Firm and Others (2008).</t>
        </is>
      </c>
      <c r="AE1618" s="2" t="n"/>
      <c r="AF1618" s="11" t="inlineStr">
        <is>
          <t>created from list 1</t>
        </is>
      </c>
    </row>
    <row r="1619">
      <c r="A1619" s="11" t="inlineStr">
        <is>
          <t>L1-1618</t>
        </is>
      </c>
      <c r="B1619" s="11" t="inlineStr">
        <is>
          <t>List 1 (to ~2015)</t>
        </is>
      </c>
      <c r="C1619" s="11" t="inlineStr">
        <is>
          <t>list1</t>
        </is>
      </c>
      <c r="D1619" s="11" t="inlineStr">
        <is>
          <t>verified</t>
        </is>
      </c>
      <c r="E1619" s="11" t="inlineStr">
        <is>
          <t>reversed_on_appeal</t>
        </is>
      </c>
      <c r="F1619" s="2" t="inlineStr">
        <is>
          <t>COMMISSIONER OF Income Tax, ANDHRA PRADESH v. CHAKKA NARAYANA.</t>
        </is>
      </c>
      <c r="G1619" s="11" t="inlineStr"/>
      <c r="H1619" s="11" t="inlineStr">
        <is>
          <t>unknown</t>
        </is>
      </c>
      <c r="I1619" s="2" t="inlineStr">
        <is>
          <t>(1961) 43 ITR 249</t>
        </is>
      </c>
      <c r="J1619" s="11" t="n">
        <v>1961</v>
      </c>
      <c r="K1619" s="2" t="inlineStr">
        <is>
          <t>Ramchandar Shivanarayan v. The Commissioner of Income Tax, Andhra Pradesh</t>
        </is>
      </c>
      <c r="L1619" s="11" t="inlineStr">
        <is>
          <t>Supreme Court</t>
        </is>
      </c>
      <c r="M1619" s="2" t="inlineStr">
        <is>
          <t>AIR 1978 SC 278; AIR 1977 SC 278; (1978) 111 ITR 263; (1977) 4 SCC 529; (1978) 1 SCR 801; (1977) 9 UJ 759</t>
        </is>
      </c>
      <c r="N1619" s="11" t="n">
        <v>1978</v>
      </c>
      <c r="O1619" s="11" t="n"/>
      <c r="P1619" s="11" t="n"/>
      <c r="Q1619" s="11" t="n"/>
      <c r="R1619" s="2" t="n"/>
      <c r="S1619" s="2" t="n"/>
      <c r="T1619" s="11" t="inlineStr">
        <is>
          <t>yes</t>
        </is>
      </c>
      <c r="U1619" s="11" t="inlineStr"/>
      <c r="V1619" s="11" t="inlineStr">
        <is>
          <t>outside_list</t>
        </is>
      </c>
      <c r="W1619" s="11" t="n"/>
      <c r="X1619" s="11" t="n"/>
      <c r="Y1619" s="11" t="n"/>
      <c r="Z1619" s="11" t="inlineStr">
        <is>
          <t>Mr. Advocate</t>
        </is>
      </c>
      <c r="AA1619" s="11" t="inlineStr">
        <is>
          <t>2026-10-07</t>
        </is>
      </c>
      <c r="AB1619" s="11" t="inlineStr">
        <is>
          <t>name_year</t>
        </is>
      </c>
      <c r="AC1619" s="2" t="inlineStr"/>
      <c r="AD1619" s="2" t="inlineStr">
        <is>
          <t>COMMISSIONER OF Income Tax, ANDHRA PRADESH v. CHAKKA NARAYANA. (1961) was reversed on appeal by the Supreme Court in Ramchandar Shivanarayan v. The Commissioner of Income Tax, Andhra Pradesh (1978).</t>
        </is>
      </c>
      <c r="AE1619" s="2" t="n"/>
      <c r="AF1619" s="11" t="inlineStr">
        <is>
          <t>created from list 1</t>
        </is>
      </c>
    </row>
    <row r="1620">
      <c r="A1620" s="11" t="inlineStr">
        <is>
          <t>L1-1619</t>
        </is>
      </c>
      <c r="B1620" s="11" t="inlineStr">
        <is>
          <t>List 1 (to ~2015)</t>
        </is>
      </c>
      <c r="C1620" s="11" t="inlineStr">
        <is>
          <t>list1</t>
        </is>
      </c>
      <c r="D1620" s="11" t="inlineStr">
        <is>
          <t>verified</t>
        </is>
      </c>
      <c r="E1620" s="11" t="inlineStr">
        <is>
          <t>reversed_on_appeal</t>
        </is>
      </c>
      <c r="F1620" s="2" t="inlineStr">
        <is>
          <t>Registrar, NTR University of Health Sciences, Vijayawada v. Dr. G. Babu Rajendra Prasad and another</t>
        </is>
      </c>
      <c r="G1620" s="11" t="inlineStr"/>
      <c r="H1620" s="11" t="inlineStr">
        <is>
          <t>Andhra Pradesh</t>
        </is>
      </c>
      <c r="I1620" s="2" t="inlineStr">
        <is>
          <t>AIR 2000 AP 308; (2000) 3 ALD 209; (2000) 2 ALT 716</t>
        </is>
      </c>
      <c r="J1620" s="11" t="n">
        <v>2000</v>
      </c>
      <c r="K1620" s="2" t="inlineStr">
        <is>
          <t>N.T.R. University of Health Sciences, Vijaywada v. G. Babu Rajendra Prasad and Another</t>
        </is>
      </c>
      <c r="L1620" s="11" t="inlineStr">
        <is>
          <t>Supreme Court</t>
        </is>
      </c>
      <c r="M1620" s="2" t="inlineStr">
        <is>
          <t>AIR 2003 SC 1947; (2003) 3 SCALE 54; (2003) 5 SCC 350; (2003) 2 SCR 781; (2003) AIRSCW 1438; (2003) 2 Supreme 549</t>
        </is>
      </c>
      <c r="N1620" s="11" t="n">
        <v>2003</v>
      </c>
      <c r="O1620" s="11" t="n"/>
      <c r="P1620" s="11" t="n"/>
      <c r="Q1620" s="11" t="n"/>
      <c r="R1620" s="2" t="n"/>
      <c r="S1620" s="2" t="n"/>
      <c r="T1620" s="11" t="inlineStr">
        <is>
          <t>yes</t>
        </is>
      </c>
      <c r="U1620" s="11" t="inlineStr"/>
      <c r="V1620" s="11" t="inlineStr">
        <is>
          <t>outside_list</t>
        </is>
      </c>
      <c r="W1620" s="11" t="n"/>
      <c r="X1620" s="11" t="n"/>
      <c r="Y1620" s="11" t="n"/>
      <c r="Z1620" s="11" t="inlineStr">
        <is>
          <t>Mr. Advocate</t>
        </is>
      </c>
      <c r="AA1620" s="11" t="inlineStr">
        <is>
          <t>2026-10-07</t>
        </is>
      </c>
      <c r="AB1620" s="11" t="inlineStr">
        <is>
          <t>name_year</t>
        </is>
      </c>
      <c r="AC1620" s="2" t="inlineStr"/>
      <c r="AD1620" s="2" t="inlineStr">
        <is>
          <t>Registrar, NTR University of Health Sciences, Vijayawada v. Dr. G. Babu Rajendra Prasad and another (2000) was reversed on appeal by the Supreme Court in N.T.R. University of Health Sciences, Vijaywada v. G. Babu Rajendra Prasad and Another (2003).</t>
        </is>
      </c>
      <c r="AE1620" s="2" t="n"/>
      <c r="AF1620" s="11" t="inlineStr">
        <is>
          <t>created from list 1</t>
        </is>
      </c>
    </row>
    <row r="1621">
      <c r="A1621" s="11" t="inlineStr">
        <is>
          <t>L1-1620</t>
        </is>
      </c>
      <c r="B1621" s="11" t="inlineStr">
        <is>
          <t>List 1 (to ~2015)</t>
        </is>
      </c>
      <c r="C1621" s="11" t="inlineStr">
        <is>
          <t>list1</t>
        </is>
      </c>
      <c r="D1621" s="11" t="inlineStr">
        <is>
          <t>verified</t>
        </is>
      </c>
      <c r="E1621" s="11" t="inlineStr">
        <is>
          <t>reversed_on_appeal</t>
        </is>
      </c>
      <c r="F1621" s="2" t="inlineStr">
        <is>
          <t>Dr. Ambedkar Educational Society, Hyd. v. Kamakshi Buildings, Hyd. and others</t>
        </is>
      </c>
      <c r="G1621" s="11" t="inlineStr"/>
      <c r="H1621" s="11" t="inlineStr">
        <is>
          <t>unknown</t>
        </is>
      </c>
      <c r="I1621" s="2" t="inlineStr">
        <is>
          <t>(2000) 2 ALD 629; (2000) 2 ALT 418; (2000) 2 APLJ 181</t>
        </is>
      </c>
      <c r="J1621" s="11" t="n">
        <v>2000</v>
      </c>
      <c r="K1621" s="2" t="inlineStr">
        <is>
          <t>Kamakshi Builders v. Ambedkar Educational Society and Others</t>
        </is>
      </c>
      <c r="L1621" s="11" t="inlineStr">
        <is>
          <t>Supreme Court</t>
        </is>
      </c>
      <c r="M1621" s="2" t="inlineStr">
        <is>
          <t>AIR 2007 SC 2191; (2007) 148 PLR 59; (2007) 7 SCALE 475; (2007) 12 SCC 27; (2007) 7 SCR 339; (2007) AIRSCW 3850; (2007) 4 Supreme 455</t>
        </is>
      </c>
      <c r="N1621" s="11" t="n">
        <v>2007</v>
      </c>
      <c r="O1621" s="11" t="n"/>
      <c r="P1621" s="11" t="n"/>
      <c r="Q1621" s="11" t="n"/>
      <c r="R1621" s="2" t="n"/>
      <c r="S1621" s="2" t="n"/>
      <c r="T1621" s="11" t="inlineStr">
        <is>
          <t>yes</t>
        </is>
      </c>
      <c r="U1621" s="11" t="inlineStr"/>
      <c r="V1621" s="11" t="inlineStr">
        <is>
          <t>outside_list</t>
        </is>
      </c>
      <c r="W1621" s="11" t="n"/>
      <c r="X1621" s="11" t="n"/>
      <c r="Y1621" s="11" t="n"/>
      <c r="Z1621" s="11" t="inlineStr">
        <is>
          <t>Mr. Advocate</t>
        </is>
      </c>
      <c r="AA1621" s="11" t="inlineStr">
        <is>
          <t>2026-10-07</t>
        </is>
      </c>
      <c r="AB1621" s="11" t="inlineStr">
        <is>
          <t>name_year</t>
        </is>
      </c>
      <c r="AC1621" s="2" t="inlineStr"/>
      <c r="AD1621" s="2" t="inlineStr">
        <is>
          <t>Dr. Ambedkar Educational Society, Hyd. v. Kamakshi Buildings, Hyd. and others (2000) was reversed on appeal by the Supreme Court in Kamakshi Builders v. Ambedkar Educational Society and Others (2007).</t>
        </is>
      </c>
      <c r="AE1621" s="2" t="n"/>
      <c r="AF1621" s="11" t="inlineStr">
        <is>
          <t>created from list 1</t>
        </is>
      </c>
    </row>
    <row r="1622">
      <c r="A1622" s="11" t="inlineStr">
        <is>
          <t>L1-1621</t>
        </is>
      </c>
      <c r="B1622" s="11" t="inlineStr">
        <is>
          <t>List 1 (to ~2015)</t>
        </is>
      </c>
      <c r="C1622" s="11" t="inlineStr">
        <is>
          <t>list1</t>
        </is>
      </c>
      <c r="D1622" s="11" t="inlineStr">
        <is>
          <t>verified</t>
        </is>
      </c>
      <c r="E1622" s="11" t="inlineStr">
        <is>
          <t>overruled</t>
        </is>
      </c>
      <c r="F1622" s="2" t="inlineStr">
        <is>
          <t>Anchuru Veerapa Naidu v. Gurijala Venkaiah Chowdari</t>
        </is>
      </c>
      <c r="G1622" s="11" t="inlineStr"/>
      <c r="H1622" s="11" t="inlineStr">
        <is>
          <t>Andhra Pradesh</t>
        </is>
      </c>
      <c r="I1622" s="2" t="inlineStr">
        <is>
          <t>AIR 1961 AP 534</t>
        </is>
      </c>
      <c r="J1622" s="11" t="n">
        <v>1961</v>
      </c>
      <c r="K1622" s="2" t="inlineStr">
        <is>
          <t>Kalavakurti Venkata Subbaiah v. Bala Gurappagari Guruvi Reddy</t>
        </is>
      </c>
      <c r="L1622" s="11" t="inlineStr">
        <is>
          <t>Supreme Court</t>
        </is>
      </c>
      <c r="M1622" s="2" t="inlineStr">
        <is>
          <t>AIR 1999 SC 2958; (1999) 5 JT 389; (1999) 4 SCALE 466; (1999) 7 SCC 114; (1999) 1 SCR 75 Supp; (1999) AIRSCW 2872; (1999) 6 Supreme 419</t>
        </is>
      </c>
      <c r="N1622" s="11" t="n">
        <v>1999</v>
      </c>
      <c r="O1622" s="11" t="n"/>
      <c r="P1622" s="11" t="n"/>
      <c r="Q1622" s="11" t="n"/>
      <c r="R1622" s="2" t="n"/>
      <c r="S1622" s="2" t="n"/>
      <c r="T1622" s="11" t="inlineStr"/>
      <c r="U1622" s="11" t="inlineStr"/>
      <c r="V1622" s="11" t="inlineStr">
        <is>
          <t>outside_list</t>
        </is>
      </c>
      <c r="W1622" s="11" t="n"/>
      <c r="X1622" s="11" t="n"/>
      <c r="Y1622" s="11" t="n"/>
      <c r="Z1622" s="11" t="inlineStr">
        <is>
          <t>Mr. Advocate</t>
        </is>
      </c>
      <c r="AA1622" s="11" t="inlineStr">
        <is>
          <t>2026-10-07</t>
        </is>
      </c>
      <c r="AB1622" s="11" t="inlineStr">
        <is>
          <t>name_year</t>
        </is>
      </c>
      <c r="AC1622" s="2" t="inlineStr"/>
      <c r="AD1622" s="2" t="inlineStr">
        <is>
          <t>Anchuru Veerapa Naidu v. Gurijala Venkaiah Chowdari (1961) was overruled by Kalavakurti Venkata Subbaiah v. Bala Gurappagari Guruvi Reddy (1999).</t>
        </is>
      </c>
      <c r="AE1622" s="2" t="n"/>
      <c r="AF1622" s="11" t="inlineStr">
        <is>
          <t>created from list 1</t>
        </is>
      </c>
    </row>
    <row r="1623">
      <c r="A1623" s="11" t="inlineStr">
        <is>
          <t>L1-1622</t>
        </is>
      </c>
      <c r="B1623" s="11" t="inlineStr">
        <is>
          <t>List 1 (to ~2015)</t>
        </is>
      </c>
      <c r="C1623" s="11" t="inlineStr">
        <is>
          <t>list1</t>
        </is>
      </c>
      <c r="D1623" s="11" t="inlineStr">
        <is>
          <t>verified</t>
        </is>
      </c>
      <c r="E1623" s="11" t="inlineStr">
        <is>
          <t>overruled</t>
        </is>
      </c>
      <c r="F1623" s="2" t="inlineStr">
        <is>
          <t>M.V. Subba Rao v. State of Andhra Pradesh and Another</t>
        </is>
      </c>
      <c r="G1623" s="11" t="inlineStr"/>
      <c r="H1623" s="11" t="inlineStr">
        <is>
          <t>Andhra Pradesh</t>
        </is>
      </c>
      <c r="I1623" s="2" t="inlineStr">
        <is>
          <t>AIR 1978 AP 453; (1987) 2 ALT 328</t>
        </is>
      </c>
      <c r="J1623" s="11" t="n">
        <v>1978</v>
      </c>
      <c r="K1623" s="2" t="inlineStr">
        <is>
          <t>D.K. Trivedi and Sons and Others v. State of Gujarat and Others</t>
        </is>
      </c>
      <c r="L1623" s="11" t="inlineStr">
        <is>
          <t>Supreme Court</t>
        </is>
      </c>
      <c r="M1623" s="2" t="inlineStr">
        <is>
          <t>AIR 1986 SC 1323(1); (1986) 1 SCALE 1133; (1986) 1 SCC 20 Supp; (1986) SCC 20 Supp; (1986) 1 SCR 479; (1986) 2 UJ 301</t>
        </is>
      </c>
      <c r="N1623" s="11" t="n">
        <v>1986</v>
      </c>
      <c r="O1623" s="11" t="n"/>
      <c r="P1623" s="11" t="n"/>
      <c r="Q1623" s="11" t="n"/>
      <c r="R1623" s="2" t="n"/>
      <c r="S1623" s="2" t="n"/>
      <c r="T1623" s="11" t="inlineStr"/>
      <c r="U1623" s="11" t="inlineStr"/>
      <c r="V1623" s="11" t="inlineStr">
        <is>
          <t>outside_list</t>
        </is>
      </c>
      <c r="W1623" s="11" t="n"/>
      <c r="X1623" s="11" t="n"/>
      <c r="Y1623" s="11" t="n"/>
      <c r="Z1623" s="11" t="inlineStr">
        <is>
          <t>Mr. Advocate</t>
        </is>
      </c>
      <c r="AA1623" s="11" t="inlineStr">
        <is>
          <t>2026-10-07</t>
        </is>
      </c>
      <c r="AB1623" s="11" t="inlineStr">
        <is>
          <t>name_year</t>
        </is>
      </c>
      <c r="AC1623" s="2" t="inlineStr"/>
      <c r="AD1623" s="2" t="inlineStr">
        <is>
          <t>M.V. Subba Rao v. State of Andhra Pradesh and Another (1978) was overruled by D.K. Trivedi and Sons and Others v. State of Gujarat and Others (1986).</t>
        </is>
      </c>
      <c r="AE1623" s="2" t="n"/>
      <c r="AF1623" s="11" t="inlineStr">
        <is>
          <t>created from list 1</t>
        </is>
      </c>
    </row>
    <row r="1624">
      <c r="A1624" s="11" t="inlineStr">
        <is>
          <t>L1-1623</t>
        </is>
      </c>
      <c r="B1624" s="11" t="inlineStr">
        <is>
          <t>List 1 (to ~2015)</t>
        </is>
      </c>
      <c r="C1624" s="11" t="inlineStr">
        <is>
          <t>list1</t>
        </is>
      </c>
      <c r="D1624" s="11" t="inlineStr">
        <is>
          <t>verified</t>
        </is>
      </c>
      <c r="E1624" s="11" t="inlineStr">
        <is>
          <t>overruled</t>
        </is>
      </c>
      <c r="F1624" s="2" t="inlineStr">
        <is>
          <t>Government of Andhra Pradesh and Another v. Bactchala BalaiahAIR 1985 AP 52</t>
        </is>
      </c>
      <c r="G1624" s="11" t="inlineStr"/>
      <c r="H1624" s="11" t="inlineStr">
        <is>
          <t>unknown</t>
        </is>
      </c>
      <c r="I1624" s="2" t="inlineStr"/>
      <c r="J1624" s="11" t="n"/>
      <c r="K1624" s="2" t="inlineStr">
        <is>
          <t>Union of India and Others v. Manager, M/s. Jain and Associates</t>
        </is>
      </c>
      <c r="L1624" s="11" t="inlineStr">
        <is>
          <t>Supreme Court</t>
        </is>
      </c>
      <c r="M1624" s="2" t="inlineStr">
        <is>
          <t>AIR 2001 SC 809; (2001) 2 JT 286; (2001) 1 SCALE 635; (2001) 3 SCC 277; (2001) 1 SCR 889; (2001) 2 UJ 1040; (2001) AIRSCW 607; (2001) 1 Supreme 593</t>
        </is>
      </c>
      <c r="N1624" s="11" t="n">
        <v>2001</v>
      </c>
      <c r="O1624" s="11" t="n"/>
      <c r="P1624" s="11" t="n"/>
      <c r="Q1624" s="11" t="n"/>
      <c r="R1624" s="2" t="n"/>
      <c r="S1624" s="2" t="n"/>
      <c r="T1624" s="11" t="inlineStr"/>
      <c r="U1624" s="11" t="inlineStr">
        <is>
          <t>no_citation_or_year_for_overruled, needs_citation_or_year</t>
        </is>
      </c>
      <c r="V1624" s="11" t="inlineStr">
        <is>
          <t>outside_list</t>
        </is>
      </c>
      <c r="W1624" s="11" t="n"/>
      <c r="X1624" s="11" t="n"/>
      <c r="Y1624" s="11" t="n"/>
      <c r="Z1624" s="11" t="inlineStr">
        <is>
          <t>Mr. Advocate</t>
        </is>
      </c>
      <c r="AA1624" s="11" t="inlineStr">
        <is>
          <t>2026-10-07</t>
        </is>
      </c>
      <c r="AB1624" s="11" t="inlineStr">
        <is>
          <t>weak</t>
        </is>
      </c>
      <c r="AC1624" s="2" t="inlineStr"/>
      <c r="AD1624" s="2" t="inlineStr">
        <is>
          <t>Government of Andhra Pradesh and Another v. Bactchala BalaiahAIR 1985 AP 52 was overruled by Union of India and Others v. Manager, M/s. Jain and Associates (2001).</t>
        </is>
      </c>
      <c r="AE1624" s="2" t="n"/>
      <c r="AF1624" s="11" t="inlineStr">
        <is>
          <t>created from list 1</t>
        </is>
      </c>
    </row>
    <row r="1625">
      <c r="A1625" s="11" t="inlineStr">
        <is>
          <t>L1-1624</t>
        </is>
      </c>
      <c r="B1625" s="11" t="inlineStr">
        <is>
          <t>List 1 (to ~2015)</t>
        </is>
      </c>
      <c r="C1625" s="11" t="inlineStr">
        <is>
          <t>list1</t>
        </is>
      </c>
      <c r="D1625" s="11" t="inlineStr">
        <is>
          <t>verified</t>
        </is>
      </c>
      <c r="E1625" s="11" t="inlineStr">
        <is>
          <t>overruled</t>
        </is>
      </c>
      <c r="F1625" s="2" t="inlineStr">
        <is>
          <t>Andhra Kesari Education Society v. Government of Andhra Pradesh and Others</t>
        </is>
      </c>
      <c r="G1625" s="11" t="inlineStr"/>
      <c r="H1625" s="11" t="inlineStr">
        <is>
          <t>Andhra Pradesh</t>
        </is>
      </c>
      <c r="I1625" s="2" t="inlineStr">
        <is>
          <t>AIR 1984 AP 251; (1984) 2 APLJ 255</t>
        </is>
      </c>
      <c r="J1625" s="11" t="n">
        <v>1984</v>
      </c>
      <c r="K1625" s="2" t="inlineStr">
        <is>
          <t>Unni Krishnan, J.P. and others v. State of Andhra Pradesh and others etc.</t>
        </is>
      </c>
      <c r="L1625" s="11" t="inlineStr">
        <is>
          <t>Supreme Court</t>
        </is>
      </c>
      <c r="M1625" s="2" t="inlineStr">
        <is>
          <t>AIR 1993 SC 2178; (1993) 1 JT 474; (1993) 1 SCALE 290; (1992) 2 SCALE 703; (1993) 1 SCC 645; (1993) 1 SCR 594</t>
        </is>
      </c>
      <c r="N1625" s="11" t="n">
        <v>1993</v>
      </c>
      <c r="O1625" s="11" t="n"/>
      <c r="P1625" s="11" t="n"/>
      <c r="Q1625" s="11" t="n"/>
      <c r="R1625" s="2" t="n"/>
      <c r="S1625" s="2" t="n"/>
      <c r="T1625" s="11" t="inlineStr"/>
      <c r="U1625" s="11" t="inlineStr"/>
      <c r="V1625" s="11" t="inlineStr">
        <is>
          <t>outside_list</t>
        </is>
      </c>
      <c r="W1625" s="11" t="n"/>
      <c r="X1625" s="11" t="n"/>
      <c r="Y1625" s="11" t="n"/>
      <c r="Z1625" s="11" t="inlineStr">
        <is>
          <t>Mr. Advocate</t>
        </is>
      </c>
      <c r="AA1625" s="11" t="inlineStr">
        <is>
          <t>2026-10-07</t>
        </is>
      </c>
      <c r="AB1625" s="11" t="inlineStr">
        <is>
          <t>name_year</t>
        </is>
      </c>
      <c r="AC1625" s="2" t="inlineStr">
        <is>
          <t>L1-0380: overruled by T.M.A. Pai Foundation and Others v. State of Karnataka and Others (2003)</t>
        </is>
      </c>
      <c r="AD1625" s="2" t="inlineStr">
        <is>
          <t>Andhra Kesari Education Society v. Government of Andhra Pradesh and Others (1984) was overruled by Unni Krishnan, J.P. and others v. State of Andhra Pradesh and others etc. (1993). Note: Unni Krishnan, J.P. and others v. State of Andhra Pradesh and others etc. was itself later overruled by T.M.A. Pai Foundation and Others v. State of Karnataka and Others (2003); the current position should be checked.</t>
        </is>
      </c>
      <c r="AE1625" s="2" t="n"/>
      <c r="AF1625" s="11" t="inlineStr">
        <is>
          <t>created from list 1</t>
        </is>
      </c>
    </row>
    <row r="1626">
      <c r="A1626" s="11" t="inlineStr">
        <is>
          <t>L1-1625</t>
        </is>
      </c>
      <c r="B1626" s="11" t="inlineStr">
        <is>
          <t>List 1 (to ~2015)</t>
        </is>
      </c>
      <c r="C1626" s="11" t="inlineStr">
        <is>
          <t>list1</t>
        </is>
      </c>
      <c r="D1626" s="11" t="inlineStr">
        <is>
          <t>verified</t>
        </is>
      </c>
      <c r="E1626" s="11" t="inlineStr">
        <is>
          <t>overruled</t>
        </is>
      </c>
      <c r="F1626" s="2" t="inlineStr">
        <is>
          <t>T. Sareetha v. T. Venkata Subbaiah</t>
        </is>
      </c>
      <c r="G1626" s="11" t="inlineStr"/>
      <c r="H1626" s="11" t="inlineStr">
        <is>
          <t>Andhra Pradesh</t>
        </is>
      </c>
      <c r="I1626" s="2" t="inlineStr">
        <is>
          <t>AIR 1983 AP 356; (1983) 2 APLJ 37</t>
        </is>
      </c>
      <c r="J1626" s="11" t="n">
        <v>1983</v>
      </c>
      <c r="K1626" s="2" t="inlineStr">
        <is>
          <t>Smt. Saroj Rani v. Sudarshan Kumar Chadha</t>
        </is>
      </c>
      <c r="L1626" s="11" t="inlineStr">
        <is>
          <t>Supreme Court</t>
        </is>
      </c>
      <c r="M1626" s="2" t="inlineStr">
        <is>
          <t>AIR 1984 SC 1562; (1984) 2 SCALE 118; (1984) 4 SCC 90; (1985) 1 SCR 303; (1985) 17 UJ 146</t>
        </is>
      </c>
      <c r="N1626" s="11" t="n">
        <v>1984</v>
      </c>
      <c r="O1626" s="11" t="n"/>
      <c r="P1626" s="11" t="n"/>
      <c r="Q1626" s="11" t="n"/>
      <c r="R1626" s="2" t="n"/>
      <c r="S1626" s="2" t="n"/>
      <c r="T1626" s="11" t="inlineStr"/>
      <c r="U1626" s="11" t="inlineStr"/>
      <c r="V1626" s="11" t="inlineStr">
        <is>
          <t>outside_list</t>
        </is>
      </c>
      <c r="W1626" s="11" t="n"/>
      <c r="X1626" s="11" t="n"/>
      <c r="Y1626" s="11" t="n"/>
      <c r="Z1626" s="11" t="inlineStr">
        <is>
          <t>Mr. Advocate</t>
        </is>
      </c>
      <c r="AA1626" s="11" t="inlineStr">
        <is>
          <t>2026-10-07</t>
        </is>
      </c>
      <c r="AB1626" s="11" t="inlineStr">
        <is>
          <t>name_year</t>
        </is>
      </c>
      <c r="AC1626" s="2" t="inlineStr"/>
      <c r="AD1626" s="2" t="inlineStr">
        <is>
          <t>T. Sareetha v. T. Venkata Subbaiah (1983) was overruled by Smt. Saroj Rani v. Sudarshan Kumar Chadha (1984).</t>
        </is>
      </c>
      <c r="AE1626" s="2" t="n"/>
      <c r="AF1626" s="11" t="inlineStr">
        <is>
          <t>created from list 1</t>
        </is>
      </c>
    </row>
    <row r="1627">
      <c r="A1627" s="11" t="inlineStr">
        <is>
          <t>L1-1626</t>
        </is>
      </c>
      <c r="B1627" s="11" t="inlineStr">
        <is>
          <t>List 1 (to ~2015)</t>
        </is>
      </c>
      <c r="C1627" s="11" t="inlineStr">
        <is>
          <t>list1</t>
        </is>
      </c>
      <c r="D1627" s="11" t="inlineStr">
        <is>
          <t>verified</t>
        </is>
      </c>
      <c r="E1627" s="11" t="inlineStr">
        <is>
          <t>overruled</t>
        </is>
      </c>
      <c r="F1627" s="2" t="inlineStr">
        <is>
          <t>Uravakonda Vijayaraj Paul v. The State and Others</t>
        </is>
      </c>
      <c r="G1627" s="11" t="inlineStr"/>
      <c r="H1627" s="11" t="inlineStr">
        <is>
          <t>unknown</t>
        </is>
      </c>
      <c r="I1627" s="2" t="inlineStr">
        <is>
          <t>(1986) CriLJ 2104</t>
        </is>
      </c>
      <c r="J1627" s="11" t="n">
        <v>1986</v>
      </c>
      <c r="K1627" s="2" t="inlineStr">
        <is>
          <t>Cheeranthoodika Ahmmedkutty and Another v. Parambur Mariakutty Umma and Others</t>
        </is>
      </c>
      <c r="L1627" s="11" t="inlineStr">
        <is>
          <t>Supreme Court</t>
        </is>
      </c>
      <c r="M1627" s="2" t="inlineStr">
        <is>
          <t>AIR 2000 SC 1853; (2000) 1 JT 650; (2000) 1 SCALE 462; (2000) 2 SCC 417; (2000) 1 SCR 725; (2000) AIRSCW 426; (2000) 1 Supreme 409</t>
        </is>
      </c>
      <c r="N1627" s="11" t="n">
        <v>2000</v>
      </c>
      <c r="O1627" s="11" t="n"/>
      <c r="P1627" s="11" t="n"/>
      <c r="Q1627" s="11" t="n"/>
      <c r="R1627" s="2" t="n"/>
      <c r="S1627" s="2" t="n"/>
      <c r="T1627" s="11" t="inlineStr"/>
      <c r="U1627" s="11" t="inlineStr"/>
      <c r="V1627" s="11" t="inlineStr">
        <is>
          <t>outside_list</t>
        </is>
      </c>
      <c r="W1627" s="11" t="n"/>
      <c r="X1627" s="11" t="n"/>
      <c r="Y1627" s="11" t="n"/>
      <c r="Z1627" s="11" t="inlineStr">
        <is>
          <t>Mr. Advocate</t>
        </is>
      </c>
      <c r="AA1627" s="11" t="inlineStr">
        <is>
          <t>2026-10-07</t>
        </is>
      </c>
      <c r="AB1627" s="11" t="inlineStr">
        <is>
          <t>name_year</t>
        </is>
      </c>
      <c r="AC1627" s="2" t="inlineStr"/>
      <c r="AD1627" s="2" t="inlineStr">
        <is>
          <t>Uravakonda Vijayaraj Paul v. The State and Others (1986) was overruled by Cheeranthoodika Ahmmedkutty and Another v. Parambur Mariakutty Umma and Others (2000).</t>
        </is>
      </c>
      <c r="AE1627" s="2" t="n"/>
      <c r="AF1627" s="11" t="inlineStr">
        <is>
          <t>created from list 1</t>
        </is>
      </c>
    </row>
    <row r="1628">
      <c r="A1628" s="11" t="inlineStr">
        <is>
          <t>L1-1627</t>
        </is>
      </c>
      <c r="B1628" s="11" t="inlineStr">
        <is>
          <t>List 1 (to ~2015)</t>
        </is>
      </c>
      <c r="C1628" s="11" t="inlineStr">
        <is>
          <t>list1</t>
        </is>
      </c>
      <c r="D1628" s="11" t="inlineStr">
        <is>
          <t>verified</t>
        </is>
      </c>
      <c r="E1628" s="11" t="inlineStr">
        <is>
          <t>reversed_on_appeal</t>
        </is>
      </c>
      <c r="F1628" s="2" t="inlineStr">
        <is>
          <t>Nandanam Construction Company and Others v. Assistant Commissioner (Intelligence) No. IV, Hyderabad</t>
        </is>
      </c>
      <c r="G1628" s="11" t="inlineStr"/>
      <c r="H1628" s="11" t="inlineStr">
        <is>
          <t>unknown</t>
        </is>
      </c>
      <c r="I1628" s="2" t="inlineStr">
        <is>
          <t>(1983) 53 STC 42</t>
        </is>
      </c>
      <c r="J1628" s="11" t="n">
        <v>1983</v>
      </c>
      <c r="K1628" s="2" t="inlineStr">
        <is>
          <t>Assistant Commissioner (Intelligence) v. Nandanam Construction Co.</t>
        </is>
      </c>
      <c r="L1628" s="11" t="inlineStr">
        <is>
          <t>Supreme Court</t>
        </is>
      </c>
      <c r="M1628" s="2" t="inlineStr">
        <is>
          <t>AIR 1999 SC 3496; (1999) ECR 822; (1999) 7 JT 265; (1999) 6 SCALE 89; (1999) 8 SCC 69; (1999) 3 SCR 13 Supp; (1999) 115 STC 427; (1999) AIRSCW 3488; (1999) 9 Supreme 229</t>
        </is>
      </c>
      <c r="N1628" s="11" t="n">
        <v>1999</v>
      </c>
      <c r="O1628" s="11" t="n"/>
      <c r="P1628" s="11" t="n"/>
      <c r="Q1628" s="11" t="n"/>
      <c r="R1628" s="2" t="n"/>
      <c r="S1628" s="2" t="n"/>
      <c r="T1628" s="11" t="inlineStr">
        <is>
          <t>yes</t>
        </is>
      </c>
      <c r="U1628" s="11" t="inlineStr"/>
      <c r="V1628" s="11" t="inlineStr">
        <is>
          <t>outside_list</t>
        </is>
      </c>
      <c r="W1628" s="11" t="n"/>
      <c r="X1628" s="11" t="n"/>
      <c r="Y1628" s="11" t="n"/>
      <c r="Z1628" s="11" t="inlineStr">
        <is>
          <t>Mr. Advocate</t>
        </is>
      </c>
      <c r="AA1628" s="11" t="inlineStr">
        <is>
          <t>2026-10-07</t>
        </is>
      </c>
      <c r="AB1628" s="11" t="inlineStr">
        <is>
          <t>name_year</t>
        </is>
      </c>
      <c r="AC1628" s="2" t="inlineStr"/>
      <c r="AD1628" s="2" t="inlineStr">
        <is>
          <t>Nandanam Construction Company and Others v. Assistant Commissioner (Intelligence) No. IV, Hyderabad (1983) was reversed on appeal by the Supreme Court in Assistant Commissioner (Intelligence) v. Nandanam Construction Co. (1999).</t>
        </is>
      </c>
      <c r="AE1628" s="2" t="n"/>
      <c r="AF1628" s="11" t="inlineStr">
        <is>
          <t>created from list 1</t>
        </is>
      </c>
    </row>
    <row r="1629">
      <c r="A1629" s="11" t="inlineStr">
        <is>
          <t>L1-1628</t>
        </is>
      </c>
      <c r="B1629" s="11" t="inlineStr">
        <is>
          <t>List 1 (to ~2015)</t>
        </is>
      </c>
      <c r="C1629" s="11" t="inlineStr">
        <is>
          <t>list1</t>
        </is>
      </c>
      <c r="D1629" s="11" t="inlineStr">
        <is>
          <t>verified</t>
        </is>
      </c>
      <c r="E1629" s="11" t="inlineStr">
        <is>
          <t>reversed_on_appeal</t>
        </is>
      </c>
      <c r="F1629" s="2" t="inlineStr">
        <is>
          <t>Het Ram and Others v. State</t>
        </is>
      </c>
      <c r="G1629" s="11" t="inlineStr"/>
      <c r="H1629" s="11" t="inlineStr">
        <is>
          <t>unknown</t>
        </is>
      </c>
      <c r="I1629" s="2" t="inlineStr">
        <is>
          <t>(1974) CriLJ 871</t>
        </is>
      </c>
      <c r="J1629" s="11" t="n">
        <v>1974</v>
      </c>
      <c r="K1629" s="2" t="inlineStr">
        <is>
          <t>The State of Uttar Pradesh v. Het Ram and Others</t>
        </is>
      </c>
      <c r="L1629" s="11" t="inlineStr">
        <is>
          <t>Supreme Court</t>
        </is>
      </c>
      <c r="M1629" s="2" t="inlineStr">
        <is>
          <t>AIR 1976 SC 2124; (1976) CriLJ 1644; (1976) 3 SCC 672; (1976) SCC(Cri) 502; (1976) 3 SCR 319; (1976) 8 UJ 256</t>
        </is>
      </c>
      <c r="N1629" s="11" t="n">
        <v>1976</v>
      </c>
      <c r="O1629" s="11" t="n"/>
      <c r="P1629" s="11" t="n"/>
      <c r="Q1629" s="11" t="n"/>
      <c r="R1629" s="2" t="n"/>
      <c r="S1629" s="2" t="n"/>
      <c r="T1629" s="11" t="inlineStr">
        <is>
          <t>yes</t>
        </is>
      </c>
      <c r="U1629" s="11" t="inlineStr"/>
      <c r="V1629" s="11" t="inlineStr">
        <is>
          <t>outside_list</t>
        </is>
      </c>
      <c r="W1629" s="11" t="n"/>
      <c r="X1629" s="11" t="n"/>
      <c r="Y1629" s="11" t="n"/>
      <c r="Z1629" s="11" t="inlineStr">
        <is>
          <t>Mr. Advocate</t>
        </is>
      </c>
      <c r="AA1629" s="11" t="inlineStr">
        <is>
          <t>2026-10-07</t>
        </is>
      </c>
      <c r="AB1629" s="11" t="inlineStr">
        <is>
          <t>name_year</t>
        </is>
      </c>
      <c r="AC1629" s="2" t="inlineStr"/>
      <c r="AD1629" s="2" t="inlineStr">
        <is>
          <t>Het Ram and Others v. State (1974) was reversed on appeal by the Supreme Court in The State of Uttar Pradesh v. Het Ram and Others (1976).</t>
        </is>
      </c>
      <c r="AE1629" s="2" t="n"/>
      <c r="AF1629" s="11" t="inlineStr">
        <is>
          <t>created from list 1</t>
        </is>
      </c>
    </row>
    <row r="1630">
      <c r="A1630" s="11" t="inlineStr">
        <is>
          <t>L1-1629</t>
        </is>
      </c>
      <c r="B1630" s="11" t="inlineStr">
        <is>
          <t>List 1 (to ~2015)</t>
        </is>
      </c>
      <c r="C1630" s="11" t="inlineStr">
        <is>
          <t>list1</t>
        </is>
      </c>
      <c r="D1630" s="11" t="inlineStr">
        <is>
          <t>verified</t>
        </is>
      </c>
      <c r="E1630" s="11" t="inlineStr">
        <is>
          <t>overruled</t>
        </is>
      </c>
      <c r="F1630" s="2" t="inlineStr">
        <is>
          <t>Shaik Dada Saheb v. Shaik Mastan Bee and Another</t>
        </is>
      </c>
      <c r="G1630" s="11" t="inlineStr"/>
      <c r="H1630" s="11" t="inlineStr">
        <is>
          <t>unknown</t>
        </is>
      </c>
      <c r="I1630" s="2" t="inlineStr">
        <is>
          <t>(1994) 2 ALT(Cri) 554; (1995) 2 DMC 473</t>
        </is>
      </c>
      <c r="J1630" s="11" t="n">
        <v>1994</v>
      </c>
      <c r="K1630" s="2" t="inlineStr">
        <is>
          <t>Danial Latifi and Another v. Union of India</t>
        </is>
      </c>
      <c r="L1630" s="11" t="inlineStr">
        <is>
          <t>Supreme Court</t>
        </is>
      </c>
      <c r="M1630" s="2" t="inlineStr">
        <is>
          <t>(2001) 8 AD 1; AIR 2001 SC 3958; (2001) CriLJ 4660; (2001) 2 DMC 714; (2001) 8 JT 218; (2001) 6 SCALE 537; (2001) 7 SCC 740; (2001) AIRSCW 3932; (2001) 7 Supreme 297</t>
        </is>
      </c>
      <c r="N1630" s="11" t="n">
        <v>2001</v>
      </c>
      <c r="O1630" s="11" t="n"/>
      <c r="P1630" s="11" t="n"/>
      <c r="Q1630" s="11" t="n"/>
      <c r="R1630" s="2" t="n"/>
      <c r="S1630" s="2" t="n"/>
      <c r="T1630" s="11" t="inlineStr"/>
      <c r="U1630" s="11" t="inlineStr"/>
      <c r="V1630" s="11" t="inlineStr">
        <is>
          <t>outside_list</t>
        </is>
      </c>
      <c r="W1630" s="11" t="n"/>
      <c r="X1630" s="11" t="n"/>
      <c r="Y1630" s="11" t="n"/>
      <c r="Z1630" s="11" t="inlineStr">
        <is>
          <t>Mr. Advocate</t>
        </is>
      </c>
      <c r="AA1630" s="11" t="inlineStr">
        <is>
          <t>2026-10-07</t>
        </is>
      </c>
      <c r="AB1630" s="11" t="inlineStr">
        <is>
          <t>name_year</t>
        </is>
      </c>
      <c r="AC1630" s="2" t="inlineStr"/>
      <c r="AD1630" s="2" t="inlineStr">
        <is>
          <t>Shaik Dada Saheb v. Shaik Mastan Bee and Another (1994) was overruled by Danial Latifi and Another v. Union of India (2001).</t>
        </is>
      </c>
      <c r="AE1630" s="2" t="n"/>
      <c r="AF1630" s="11" t="inlineStr">
        <is>
          <t>created from list 1</t>
        </is>
      </c>
    </row>
    <row r="1631">
      <c r="A1631" s="11" t="inlineStr">
        <is>
          <t>L1-1630</t>
        </is>
      </c>
      <c r="B1631" s="11" t="inlineStr">
        <is>
          <t>List 1 (to ~2015)</t>
        </is>
      </c>
      <c r="C1631" s="11" t="inlineStr">
        <is>
          <t>list1</t>
        </is>
      </c>
      <c r="D1631" s="11" t="inlineStr">
        <is>
          <t>verified</t>
        </is>
      </c>
      <c r="E1631" s="11" t="inlineStr">
        <is>
          <t>reversed_on_appeal</t>
        </is>
      </c>
      <c r="F1631" s="2" t="inlineStr">
        <is>
          <t>Commissioner of Wealth Tax v. Smt. Hashmatunnisa Begum</t>
        </is>
      </c>
      <c r="G1631" s="11" t="inlineStr"/>
      <c r="H1631" s="11" t="inlineStr">
        <is>
          <t>unknown</t>
        </is>
      </c>
      <c r="I1631" s="2" t="inlineStr">
        <is>
          <t>(1977) 108 ITR 98</t>
        </is>
      </c>
      <c r="J1631" s="11" t="n">
        <v>1977</v>
      </c>
      <c r="K1631" s="2" t="inlineStr">
        <is>
          <t>Commissioner of Wealth Tax v. Smt. Hashmatunnisa Begum</t>
        </is>
      </c>
      <c r="L1631" s="11" t="inlineStr">
        <is>
          <t>Supreme Court</t>
        </is>
      </c>
      <c r="M1631" s="2" t="inlineStr">
        <is>
          <t>(1989) 75 CTR 194; (1989) 40 ELT 239; (1989) 176 ITR 98; (1989) 1 JT 92; (1989) 1 SCALE 85; (1989) 2 SCC 43 Supp; (1989) 1 SCR 155; (1989) 1 UJ 383</t>
        </is>
      </c>
      <c r="N1631" s="11" t="n">
        <v>1989</v>
      </c>
      <c r="O1631" s="11" t="n"/>
      <c r="P1631" s="11" t="n"/>
      <c r="Q1631" s="11" t="n"/>
      <c r="R1631" s="2" t="n"/>
      <c r="S1631" s="2" t="n"/>
      <c r="T1631" s="11" t="inlineStr">
        <is>
          <t>yes</t>
        </is>
      </c>
      <c r="U1631" s="11" t="inlineStr"/>
      <c r="V1631" s="11" t="inlineStr">
        <is>
          <t>outside_list</t>
        </is>
      </c>
      <c r="W1631" s="11" t="n"/>
      <c r="X1631" s="11" t="n"/>
      <c r="Y1631" s="11" t="n"/>
      <c r="Z1631" s="11" t="inlineStr">
        <is>
          <t>Mr. Advocate</t>
        </is>
      </c>
      <c r="AA1631" s="11" t="inlineStr">
        <is>
          <t>2026-10-07</t>
        </is>
      </c>
      <c r="AB1631" s="11" t="inlineStr">
        <is>
          <t>name_year</t>
        </is>
      </c>
      <c r="AC1631" s="2" t="inlineStr"/>
      <c r="AD1631" s="2" t="inlineStr">
        <is>
          <t>Commissioner of Wealth Tax v. Smt. Hashmatunnisa Begum (1977) was reversed on appeal by the Supreme Court in Commissioner of Wealth Tax v. Smt. Hashmatunnisa Begum (1989).</t>
        </is>
      </c>
      <c r="AE1631" s="2" t="n"/>
      <c r="AF1631" s="11" t="inlineStr">
        <is>
          <t>created from list 1</t>
        </is>
      </c>
    </row>
    <row r="1632">
      <c r="A1632" s="11" t="inlineStr">
        <is>
          <t>L1-1631</t>
        </is>
      </c>
      <c r="B1632" s="11" t="inlineStr">
        <is>
          <t>List 1 (to ~2015)</t>
        </is>
      </c>
      <c r="C1632" s="11" t="inlineStr">
        <is>
          <t>list1</t>
        </is>
      </c>
      <c r="D1632" s="11" t="inlineStr">
        <is>
          <t>verified</t>
        </is>
      </c>
      <c r="E1632" s="11" t="inlineStr">
        <is>
          <t>reversed_on_appeal</t>
        </is>
      </c>
      <c r="F1632" s="2" t="inlineStr">
        <is>
          <t>The Commissioner, Trade Tax v. S/s The Cooperative Company Limited</t>
        </is>
      </c>
      <c r="G1632" s="11" t="inlineStr"/>
      <c r="H1632" s="11" t="inlineStr">
        <is>
          <t>unknown</t>
        </is>
      </c>
      <c r="I1632" s="2" t="inlineStr"/>
      <c r="J1632" s="11" t="n"/>
      <c r="K1632" s="2" t="inlineStr">
        <is>
          <t>Co-operative Company Ltd. v. Commissioner of Trade Tax, U.P.</t>
        </is>
      </c>
      <c r="L1632" s="11" t="inlineStr">
        <is>
          <t>Supreme Court</t>
        </is>
      </c>
      <c r="M1632" s="2" t="inlineStr">
        <is>
          <t>(2007) 6 JT 49; (2007) 6 SCALE 61; (2007) 5 SCR 476; (2007) 7 VST 174</t>
        </is>
      </c>
      <c r="N1632" s="11" t="n">
        <v>2007</v>
      </c>
      <c r="O1632" s="11" t="n"/>
      <c r="P1632" s="11" t="n"/>
      <c r="Q1632" s="11" t="n"/>
      <c r="R1632" s="2" t="n"/>
      <c r="S1632" s="2" t="n"/>
      <c r="T1632" s="11" t="inlineStr">
        <is>
          <t>yes</t>
        </is>
      </c>
      <c r="U1632" s="11" t="inlineStr">
        <is>
          <t>no_citation_or_year_for_overruled, needs_citation_or_year</t>
        </is>
      </c>
      <c r="V1632" s="11" t="inlineStr">
        <is>
          <t>outside_list</t>
        </is>
      </c>
      <c r="W1632" s="11" t="n"/>
      <c r="X1632" s="11" t="n"/>
      <c r="Y1632" s="11" t="n"/>
      <c r="Z1632" s="11" t="inlineStr">
        <is>
          <t>Mr. Advocate</t>
        </is>
      </c>
      <c r="AA1632" s="11" t="inlineStr">
        <is>
          <t>2026-10-07</t>
        </is>
      </c>
      <c r="AB1632" s="11" t="inlineStr">
        <is>
          <t>weak</t>
        </is>
      </c>
      <c r="AC1632" s="2" t="inlineStr"/>
      <c r="AD1632" s="2" t="inlineStr">
        <is>
          <t>The Commissioner, Trade Tax v. S/s The Cooperative Company Limited was reversed on appeal by the Supreme Court in Co-operative Company Ltd. v. Commissioner of Trade Tax, U.P. (2007).</t>
        </is>
      </c>
      <c r="AE1632" s="2" t="n"/>
      <c r="AF1632" s="11" t="inlineStr">
        <is>
          <t>created from list 1</t>
        </is>
      </c>
    </row>
    <row r="1633">
      <c r="A1633" s="11" t="inlineStr">
        <is>
          <t>L1-1632</t>
        </is>
      </c>
      <c r="B1633" s="11" t="inlineStr">
        <is>
          <t>List 1 (to ~2015)</t>
        </is>
      </c>
      <c r="C1633" s="11" t="inlineStr">
        <is>
          <t>list1</t>
        </is>
      </c>
      <c r="D1633" s="11" t="inlineStr">
        <is>
          <t>verified</t>
        </is>
      </c>
      <c r="E1633" s="11" t="inlineStr">
        <is>
          <t>overruled</t>
        </is>
      </c>
      <c r="F1633" s="2" t="inlineStr">
        <is>
          <t>Chigurupalli Suryanarayana v. The Amadalavalasa Co-operative Agricultural Industrial Society Ltd.</t>
        </is>
      </c>
      <c r="G1633" s="11" t="inlineStr"/>
      <c r="H1633" s="11" t="inlineStr">
        <is>
          <t>Andhra Pradesh</t>
        </is>
      </c>
      <c r="I1633" s="2" t="inlineStr">
        <is>
          <t>AIR 1975 AP 196</t>
        </is>
      </c>
      <c r="J1633" s="11" t="n">
        <v>1975</v>
      </c>
      <c r="K1633" s="2" t="inlineStr">
        <is>
          <t>Kedarnath v. Mohan Lal Kesarwari and Others</t>
        </is>
      </c>
      <c r="L1633" s="11" t="inlineStr">
        <is>
          <t>Supreme Court</t>
        </is>
      </c>
      <c r="M1633" s="2" t="inlineStr">
        <is>
          <t>AIR 2002 SC 582; (2002) 1 JT 82; (2002) 1 SCALE 87; (2002) 2 SCC 16; (2002) 1 SCR 144; (2002) AIRSCW 170; (2002) 1 Supreme 72</t>
        </is>
      </c>
      <c r="N1633" s="11" t="n">
        <v>2002</v>
      </c>
      <c r="O1633" s="11" t="n"/>
      <c r="P1633" s="11" t="n"/>
      <c r="Q1633" s="11" t="n"/>
      <c r="R1633" s="2" t="n"/>
      <c r="S1633" s="2" t="n"/>
      <c r="T1633" s="11" t="inlineStr"/>
      <c r="U1633" s="11" t="inlineStr"/>
      <c r="V1633" s="11" t="inlineStr">
        <is>
          <t>outside_list</t>
        </is>
      </c>
      <c r="W1633" s="11" t="n"/>
      <c r="X1633" s="11" t="n"/>
      <c r="Y1633" s="11" t="n"/>
      <c r="Z1633" s="11" t="inlineStr">
        <is>
          <t>Mr. Advocate</t>
        </is>
      </c>
      <c r="AA1633" s="11" t="inlineStr">
        <is>
          <t>2026-10-07</t>
        </is>
      </c>
      <c r="AB1633" s="11" t="inlineStr">
        <is>
          <t>name_year</t>
        </is>
      </c>
      <c r="AC1633" s="2" t="inlineStr"/>
      <c r="AD1633" s="2" t="inlineStr">
        <is>
          <t>Chigurupalli Suryanarayana v. The Amadalavalasa Co-operative Agricultural Industrial Society Ltd. (1975) was overruled by Kedarnath v. Mohan Lal Kesarwari and Others (2002).</t>
        </is>
      </c>
      <c r="AE1633" s="2" t="n"/>
      <c r="AF1633" s="11" t="inlineStr">
        <is>
          <t>created from list 1</t>
        </is>
      </c>
    </row>
    <row r="1634">
      <c r="A1634" s="11" t="inlineStr">
        <is>
          <t>L1-1633</t>
        </is>
      </c>
      <c r="B1634" s="11" t="inlineStr">
        <is>
          <t>List 1 (to ~2015)</t>
        </is>
      </c>
      <c r="C1634" s="11" t="inlineStr">
        <is>
          <t>list1</t>
        </is>
      </c>
      <c r="D1634" s="11" t="inlineStr">
        <is>
          <t>verified</t>
        </is>
      </c>
      <c r="E1634" s="11" t="inlineStr">
        <is>
          <t>reversed_on_appeal</t>
        </is>
      </c>
      <c r="F1634" s="2" t="inlineStr">
        <is>
          <t>P. Purushotham Reddy and another v. Pratap Steels Ltd.</t>
        </is>
      </c>
      <c r="G1634" s="11" t="inlineStr"/>
      <c r="H1634" s="11" t="inlineStr">
        <is>
          <t>unknown</t>
        </is>
      </c>
      <c r="I1634" s="2" t="inlineStr">
        <is>
          <t>(2000) 1 ALD 592</t>
        </is>
      </c>
      <c r="J1634" s="11" t="n">
        <v>2000</v>
      </c>
      <c r="K1634" s="2" t="inlineStr">
        <is>
          <t>P. Purushottam Reddy and Another v. Pratap Steels Ltd.</t>
        </is>
      </c>
      <c r="L1634" s="11" t="inlineStr">
        <is>
          <t>Supreme Court</t>
        </is>
      </c>
      <c r="M1634" s="2" t="inlineStr">
        <is>
          <t>AIR 2002 SC 771; (2002) 5 JT 5; (2002) 1 SCALE 447; (2002) 2 SCC 686; (2002) 1 SCR 586; (2002) AIRSCW 417; (2002) 1 Supreme 357</t>
        </is>
      </c>
      <c r="N1634" s="11" t="n">
        <v>2002</v>
      </c>
      <c r="O1634" s="11" t="n"/>
      <c r="P1634" s="11" t="n"/>
      <c r="Q1634" s="11" t="n"/>
      <c r="R1634" s="2" t="n"/>
      <c r="S1634" s="2" t="n"/>
      <c r="T1634" s="11" t="inlineStr">
        <is>
          <t>yes</t>
        </is>
      </c>
      <c r="U1634" s="11" t="inlineStr"/>
      <c r="V1634" s="11" t="inlineStr">
        <is>
          <t>outside_list</t>
        </is>
      </c>
      <c r="W1634" s="11" t="n"/>
      <c r="X1634" s="11" t="n"/>
      <c r="Y1634" s="11" t="n"/>
      <c r="Z1634" s="11" t="inlineStr">
        <is>
          <t>Mr. Advocate</t>
        </is>
      </c>
      <c r="AA1634" s="11" t="inlineStr">
        <is>
          <t>2026-10-07</t>
        </is>
      </c>
      <c r="AB1634" s="11" t="inlineStr">
        <is>
          <t>name_year</t>
        </is>
      </c>
      <c r="AC1634" s="2" t="inlineStr"/>
      <c r="AD1634" s="2" t="inlineStr">
        <is>
          <t>P. Purushotham Reddy and another v. Pratap Steels Ltd. (2000) was reversed on appeal by the Supreme Court in P. Purushottam Reddy and Another v. Pratap Steels Ltd. (2002).</t>
        </is>
      </c>
      <c r="AE1634" s="2" t="n"/>
      <c r="AF1634" s="11" t="inlineStr">
        <is>
          <t>created from list 1</t>
        </is>
      </c>
    </row>
    <row r="1635">
      <c r="A1635" s="11" t="inlineStr">
        <is>
          <t>L1-1634</t>
        </is>
      </c>
      <c r="B1635" s="11" t="inlineStr">
        <is>
          <t>List 1 (to ~2015)</t>
        </is>
      </c>
      <c r="C1635" s="11" t="inlineStr">
        <is>
          <t>list1</t>
        </is>
      </c>
      <c r="D1635" s="11" t="inlineStr">
        <is>
          <t>verified</t>
        </is>
      </c>
      <c r="E1635" s="11" t="inlineStr">
        <is>
          <t>overruled</t>
        </is>
      </c>
      <c r="F1635" s="2" t="inlineStr">
        <is>
          <t>Jagath Swapna and Company Jagtial v. Church of south India Trust Association Madras and Others</t>
        </is>
      </c>
      <c r="G1635" s="11" t="inlineStr"/>
      <c r="H1635" s="11" t="inlineStr">
        <is>
          <t>Andhra Pradesh</t>
        </is>
      </c>
      <c r="I1635" s="2" t="inlineStr">
        <is>
          <t>AIR 2011 AP 81</t>
        </is>
      </c>
      <c r="J1635" s="11" t="n">
        <v>2011</v>
      </c>
      <c r="K1635" s="2" t="inlineStr">
        <is>
          <t>J. Samuel and Others v. Gattu Mahesh and Others</t>
        </is>
      </c>
      <c r="L1635" s="11" t="inlineStr">
        <is>
          <t>unknown</t>
        </is>
      </c>
      <c r="M1635" s="2" t="inlineStr">
        <is>
          <t>(2012) 2 CTC 94; (2012) 1 JT 169; (2012) 167 PLR 93; (2012) 1 RCR(Civil) 903; (2012) 1 SCALE 330; (2012) 2 SCC 300; (2012) 1 UJ 588; (2012) AIRSCW 1035; (2012) 1 Supreme 568</t>
        </is>
      </c>
      <c r="N1635" s="11" t="n">
        <v>2012</v>
      </c>
      <c r="O1635" s="11" t="n"/>
      <c r="P1635" s="11" t="n"/>
      <c r="Q1635" s="11" t="n"/>
      <c r="R1635" s="2" t="n"/>
      <c r="S1635" s="2" t="n"/>
      <c r="T1635" s="11" t="inlineStr"/>
      <c r="U1635" s="11" t="inlineStr"/>
      <c r="V1635" s="11" t="inlineStr">
        <is>
          <t>outside_list</t>
        </is>
      </c>
      <c r="W1635" s="11" t="n"/>
      <c r="X1635" s="11" t="n"/>
      <c r="Y1635" s="11" t="n"/>
      <c r="Z1635" s="11" t="inlineStr">
        <is>
          <t>Mr. Advocate</t>
        </is>
      </c>
      <c r="AA1635" s="11" t="inlineStr">
        <is>
          <t>2026-10-07</t>
        </is>
      </c>
      <c r="AB1635" s="11" t="inlineStr">
        <is>
          <t>name_year</t>
        </is>
      </c>
      <c r="AC1635" s="2" t="inlineStr"/>
      <c r="AD1635" s="2" t="inlineStr">
        <is>
          <t>Jagath Swapna and Company Jagtial v. Church of south India Trust Association Madras and Others (2011) was overruled by J. Samuel and Others v. Gattu Mahesh and Others (2012).</t>
        </is>
      </c>
      <c r="AE1635" s="2" t="n"/>
      <c r="AF1635" s="11" t="inlineStr">
        <is>
          <t>created from list 1</t>
        </is>
      </c>
    </row>
    <row r="1636">
      <c r="A1636" s="11" t="inlineStr">
        <is>
          <t>L1-1635</t>
        </is>
      </c>
      <c r="B1636" s="11" t="inlineStr">
        <is>
          <t>List 1 (to ~2015)</t>
        </is>
      </c>
      <c r="C1636" s="11" t="inlineStr">
        <is>
          <t>list1</t>
        </is>
      </c>
      <c r="D1636" s="11" t="inlineStr">
        <is>
          <t>verified</t>
        </is>
      </c>
      <c r="E1636" s="11" t="inlineStr">
        <is>
          <t>overruled</t>
        </is>
      </c>
      <c r="F1636" s="2" t="inlineStr">
        <is>
          <t>Purushotham Haridas and Others v. Amruth Ghee Co. Ltd., Guntur and Others</t>
        </is>
      </c>
      <c r="G1636" s="11" t="inlineStr"/>
      <c r="H1636" s="11" t="inlineStr">
        <is>
          <t>Andhra Pradesh</t>
        </is>
      </c>
      <c r="I1636" s="2" t="inlineStr">
        <is>
          <t>AIR 1961 AP 143</t>
        </is>
      </c>
      <c r="J1636" s="11" t="n">
        <v>1961</v>
      </c>
      <c r="K1636" s="2" t="inlineStr">
        <is>
          <t>Special Land Acquisition Officer v. Puttaiah and others</t>
        </is>
      </c>
      <c r="L1636" s="11" t="inlineStr">
        <is>
          <t>Supreme Court</t>
        </is>
      </c>
      <c r="M1636" s="2" t="inlineStr">
        <is>
          <t>AIR 1996 SC 136; AIR 1995 SC 136; (1995) 6 JT 657; (1995) 5 SCALE 176; (1995) 5 SCC 577; (1995) 2 SCR 782 Supp</t>
        </is>
      </c>
      <c r="N1636" s="11" t="n">
        <v>1996</v>
      </c>
      <c r="O1636" s="11" t="n"/>
      <c r="P1636" s="11" t="n"/>
      <c r="Q1636" s="11" t="n"/>
      <c r="R1636" s="2" t="n"/>
      <c r="S1636" s="2" t="n"/>
      <c r="T1636" s="11" t="inlineStr"/>
      <c r="U1636" s="11" t="inlineStr"/>
      <c r="V1636" s="11" t="inlineStr">
        <is>
          <t>outside_list</t>
        </is>
      </c>
      <c r="W1636" s="11" t="n"/>
      <c r="X1636" s="11" t="n"/>
      <c r="Y1636" s="11" t="n"/>
      <c r="Z1636" s="11" t="inlineStr">
        <is>
          <t>Mr. Advocate</t>
        </is>
      </c>
      <c r="AA1636" s="11" t="inlineStr">
        <is>
          <t>2026-10-07</t>
        </is>
      </c>
      <c r="AB1636" s="11" t="inlineStr">
        <is>
          <t>name_year</t>
        </is>
      </c>
      <c r="AC1636" s="2" t="inlineStr"/>
      <c r="AD1636" s="2" t="inlineStr">
        <is>
          <t>Purushotham Haridas and Others v. Amruth Ghee Co. Ltd., Guntur and Others (1961) was overruled by Special Land Acquisition Officer v. Puttaiah and others (1996).</t>
        </is>
      </c>
      <c r="AE1636" s="2" t="n"/>
      <c r="AF1636" s="11" t="inlineStr">
        <is>
          <t>created from list 1</t>
        </is>
      </c>
    </row>
    <row r="1637">
      <c r="A1637" s="11" t="inlineStr">
        <is>
          <t>L1-1636</t>
        </is>
      </c>
      <c r="B1637" s="11" t="inlineStr">
        <is>
          <t>List 1 (to ~2015)</t>
        </is>
      </c>
      <c r="C1637" s="11" t="inlineStr">
        <is>
          <t>list1</t>
        </is>
      </c>
      <c r="D1637" s="11" t="inlineStr">
        <is>
          <t>verified</t>
        </is>
      </c>
      <c r="E1637" s="11" t="inlineStr">
        <is>
          <t>overruled</t>
        </is>
      </c>
      <c r="F1637" s="2" t="inlineStr">
        <is>
          <t>Tadi Adinarayana Reddy v. Union of India and Others</t>
        </is>
      </c>
      <c r="G1637" s="11" t="inlineStr"/>
      <c r="H1637" s="11" t="inlineStr">
        <is>
          <t>unknown</t>
        </is>
      </c>
      <c r="I1637" s="2" t="inlineStr">
        <is>
          <t>(1997) 90 CompCas 376</t>
        </is>
      </c>
      <c r="J1637" s="11" t="n">
        <v>1997</v>
      </c>
      <c r="K1637" s="2" t="inlineStr">
        <is>
          <t>Sri Ramdas Motor Transport Ltd. and Others v. Tadi Adhinarayana Reddy and Others</t>
        </is>
      </c>
      <c r="L1637" s="11" t="inlineStr">
        <is>
          <t>Supreme Court</t>
        </is>
      </c>
      <c r="M1637" s="2" t="inlineStr">
        <is>
          <t>AIR 1997 SC 2189; (1997) 90 CompCas 383; (1997) 10 JT 667; (1997) 4 SCALE 4; (1997) 5 SCC 446; (1997) 3 SCR 1160; (1997) AIRSCW 2051; (1997) 5 Supreme 29</t>
        </is>
      </c>
      <c r="N1637" s="11" t="n">
        <v>1997</v>
      </c>
      <c r="O1637" s="11" t="n"/>
      <c r="P1637" s="11" t="n"/>
      <c r="Q1637" s="11" t="n"/>
      <c r="R1637" s="2" t="n"/>
      <c r="S1637" s="2" t="n"/>
      <c r="T1637" s="11" t="inlineStr"/>
      <c r="U1637" s="11" t="inlineStr"/>
      <c r="V1637" s="11" t="inlineStr">
        <is>
          <t>outside_list</t>
        </is>
      </c>
      <c r="W1637" s="11" t="n"/>
      <c r="X1637" s="11" t="n"/>
      <c r="Y1637" s="11" t="n"/>
      <c r="Z1637" s="11" t="inlineStr">
        <is>
          <t>Mr. Advocate</t>
        </is>
      </c>
      <c r="AA1637" s="11" t="inlineStr">
        <is>
          <t>2026-10-07</t>
        </is>
      </c>
      <c r="AB1637" s="11" t="inlineStr">
        <is>
          <t>name_year</t>
        </is>
      </c>
      <c r="AC1637" s="2" t="inlineStr"/>
      <c r="AD1637" s="2" t="inlineStr">
        <is>
          <t>Tadi Adinarayana Reddy v. Union of India and Others (1997) was overruled by Sri Ramdas Motor Transport Ltd. and Others v. Tadi Adhinarayana Reddy and Others (1997).</t>
        </is>
      </c>
      <c r="AE1637" s="2" t="n"/>
      <c r="AF1637" s="11" t="inlineStr">
        <is>
          <t>created from list 1</t>
        </is>
      </c>
    </row>
    <row r="1638">
      <c r="A1638" s="11" t="inlineStr">
        <is>
          <t>L1-1637</t>
        </is>
      </c>
      <c r="B1638" s="11" t="inlineStr">
        <is>
          <t>List 1 (to ~2015)</t>
        </is>
      </c>
      <c r="C1638" s="11" t="inlineStr">
        <is>
          <t>list1</t>
        </is>
      </c>
      <c r="D1638" s="11" t="inlineStr">
        <is>
          <t>verified</t>
        </is>
      </c>
      <c r="E1638" s="11" t="inlineStr">
        <is>
          <t>reversed_on_appeal</t>
        </is>
      </c>
      <c r="F1638" s="2" t="inlineStr">
        <is>
          <t>N. Khadervali Saheb and Another v. N. Gudu Sahib and Others</t>
        </is>
      </c>
      <c r="G1638" s="11" t="inlineStr"/>
      <c r="H1638" s="11" t="inlineStr">
        <is>
          <t>Andhra Pradesh</t>
        </is>
      </c>
      <c r="I1638" s="2" t="inlineStr">
        <is>
          <t>AIR 1994 AP 126</t>
        </is>
      </c>
      <c r="J1638" s="11" t="n">
        <v>1994</v>
      </c>
      <c r="K1638" s="2" t="inlineStr">
        <is>
          <t>N. Khadervali Saheb (Dead) by LRs. and Another v. N. Gudu Sahib (Dead) and Others</t>
        </is>
      </c>
      <c r="L1638" s="11" t="inlineStr">
        <is>
          <t>Supreme Court</t>
        </is>
      </c>
      <c r="M1638" s="2" t="inlineStr">
        <is>
          <t>AIR 2003 SC 1524; (2003) 1 ARBLR 647; (2003) 1 CTC 496; (2003) 1 JT 640; (2003) 1 SCALE 642; (2003) 3 SCC 229; (2003) 1 SCR 868; (2003) 2 UJ 826; (2003) AIRSCW 881; (2003) 1 Supreme 921</t>
        </is>
      </c>
      <c r="N1638" s="11" t="n">
        <v>2003</v>
      </c>
      <c r="O1638" s="11" t="n"/>
      <c r="P1638" s="11" t="n"/>
      <c r="Q1638" s="11" t="n"/>
      <c r="R1638" s="2" t="n"/>
      <c r="S1638" s="2" t="n"/>
      <c r="T1638" s="11" t="inlineStr">
        <is>
          <t>yes</t>
        </is>
      </c>
      <c r="U1638" s="11" t="inlineStr"/>
      <c r="V1638" s="11" t="inlineStr">
        <is>
          <t>outside_list</t>
        </is>
      </c>
      <c r="W1638" s="11" t="n"/>
      <c r="X1638" s="11" t="n"/>
      <c r="Y1638" s="11" t="n"/>
      <c r="Z1638" s="11" t="inlineStr">
        <is>
          <t>Mr. Advocate</t>
        </is>
      </c>
      <c r="AA1638" s="11" t="inlineStr">
        <is>
          <t>2026-10-07</t>
        </is>
      </c>
      <c r="AB1638" s="11" t="inlineStr">
        <is>
          <t>name_year</t>
        </is>
      </c>
      <c r="AC1638" s="2" t="inlineStr"/>
      <c r="AD1638" s="2" t="inlineStr">
        <is>
          <t>N. Khadervali Saheb and Another v. N. Gudu Sahib and Others (1994) was reversed on appeal by the Supreme Court in N. Khadervali Saheb (Dead) by LRs. and Another v. N. Gudu Sahib (Dead) and Others (2003).</t>
        </is>
      </c>
      <c r="AE1638" s="2" t="n"/>
      <c r="AF1638" s="11" t="inlineStr">
        <is>
          <t>created from list 1</t>
        </is>
      </c>
    </row>
    <row r="1639">
      <c r="A1639" s="11" t="inlineStr">
        <is>
          <t>L1-1638</t>
        </is>
      </c>
      <c r="B1639" s="11" t="inlineStr">
        <is>
          <t>List 1 (to ~2015)</t>
        </is>
      </c>
      <c r="C1639" s="11" t="inlineStr">
        <is>
          <t>list1</t>
        </is>
      </c>
      <c r="D1639" s="11" t="inlineStr">
        <is>
          <t>verified</t>
        </is>
      </c>
      <c r="E1639" s="11" t="inlineStr">
        <is>
          <t>overruled</t>
        </is>
      </c>
      <c r="F1639" s="2" t="inlineStr">
        <is>
          <t>A.V. Ramana and Others v. Government of Andhra Pradesh and Others</t>
        </is>
      </c>
      <c r="G1639" s="11" t="inlineStr"/>
      <c r="H1639" s="11" t="inlineStr">
        <is>
          <t>Andhra Pradesh</t>
        </is>
      </c>
      <c r="I1639" s="2" t="inlineStr">
        <is>
          <t>AIR 1981 AP 55</t>
        </is>
      </c>
      <c r="J1639" s="11" t="n">
        <v>1981</v>
      </c>
      <c r="K1639" s="2" t="inlineStr">
        <is>
          <t>Osmania University and others v. A.V. Ramana and others</t>
        </is>
      </c>
      <c r="L1639" s="11" t="inlineStr">
        <is>
          <t>Supreme Court</t>
        </is>
      </c>
      <c r="M1639" s="2" t="inlineStr">
        <is>
          <t>AIR 1991 SC 2127; (1992) 1 SCC 535 Supp</t>
        </is>
      </c>
      <c r="N1639" s="11" t="n">
        <v>1991</v>
      </c>
      <c r="O1639" s="11" t="n"/>
      <c r="P1639" s="11" t="n"/>
      <c r="Q1639" s="11" t="n"/>
      <c r="R1639" s="2" t="n"/>
      <c r="S1639" s="2" t="n"/>
      <c r="T1639" s="11" t="inlineStr"/>
      <c r="U1639" s="11" t="inlineStr"/>
      <c r="V1639" s="11" t="inlineStr">
        <is>
          <t>outside_list</t>
        </is>
      </c>
      <c r="W1639" s="11" t="n"/>
      <c r="X1639" s="11" t="n"/>
      <c r="Y1639" s="11" t="n"/>
      <c r="Z1639" s="11" t="inlineStr">
        <is>
          <t>Mr. Advocate</t>
        </is>
      </c>
      <c r="AA1639" s="11" t="inlineStr">
        <is>
          <t>2026-10-07</t>
        </is>
      </c>
      <c r="AB1639" s="11" t="inlineStr">
        <is>
          <t>citation</t>
        </is>
      </c>
      <c r="AC1639" s="2" t="inlineStr"/>
      <c r="AD1639" s="2" t="inlineStr">
        <is>
          <t>A.V. Ramana and Others v. Government of Andhra Pradesh and Others (1981) was overruled by Osmania University and others v. A.V. Ramana and others (1991).</t>
        </is>
      </c>
      <c r="AE1639" s="2" t="n"/>
      <c r="AF1639" s="11" t="inlineStr">
        <is>
          <t>created from list 1</t>
        </is>
      </c>
    </row>
    <row r="1640">
      <c r="A1640" s="11" t="inlineStr">
        <is>
          <t>L1-1639</t>
        </is>
      </c>
      <c r="B1640" s="11" t="inlineStr">
        <is>
          <t>List 1 (to ~2015)</t>
        </is>
      </c>
      <c r="C1640" s="11" t="inlineStr">
        <is>
          <t>list1</t>
        </is>
      </c>
      <c r="D1640" s="11" t="inlineStr">
        <is>
          <t>verified</t>
        </is>
      </c>
      <c r="E1640" s="11" t="inlineStr">
        <is>
          <t>reversed_on_appeal</t>
        </is>
      </c>
      <c r="F1640" s="2" t="inlineStr">
        <is>
          <t>Madhuri Rajeshwar v. The Commissioner of Income Tax, Andhra Pradesh, Hyderabad</t>
        </is>
      </c>
      <c r="G1640" s="11" t="inlineStr"/>
      <c r="H1640" s="11" t="inlineStr">
        <is>
          <t>Andhra Pradesh</t>
        </is>
      </c>
      <c r="I1640" s="2" t="inlineStr">
        <is>
          <t>AIR 1963 AP 455; (1964) 51 ITR 213</t>
        </is>
      </c>
      <c r="J1640" s="11" t="n">
        <v>1963</v>
      </c>
      <c r="K1640" s="2" t="inlineStr">
        <is>
          <t>Ramchandar Shivanarayan v. The Commissioner of Income Tax, Andhra Pradesh</t>
        </is>
      </c>
      <c r="L1640" s="11" t="inlineStr">
        <is>
          <t>Supreme Court</t>
        </is>
      </c>
      <c r="M1640" s="2" t="inlineStr">
        <is>
          <t>AIR 1978 SC 278; AIR 1977 SC 278; (1978) 111 ITR 263; (1977) 4 SCC 529; (1978) 1 SCR 801; (1977) 9 UJ 759</t>
        </is>
      </c>
      <c r="N1640" s="11" t="n">
        <v>1978</v>
      </c>
      <c r="O1640" s="11" t="n"/>
      <c r="P1640" s="11" t="n"/>
      <c r="Q1640" s="11" t="n"/>
      <c r="R1640" s="2" t="n"/>
      <c r="S1640" s="2" t="n"/>
      <c r="T1640" s="11" t="inlineStr">
        <is>
          <t>yes</t>
        </is>
      </c>
      <c r="U1640" s="11" t="inlineStr"/>
      <c r="V1640" s="11" t="inlineStr">
        <is>
          <t>outside_list</t>
        </is>
      </c>
      <c r="W1640" s="11" t="n"/>
      <c r="X1640" s="11" t="n"/>
      <c r="Y1640" s="11" t="n"/>
      <c r="Z1640" s="11" t="inlineStr">
        <is>
          <t>Mr. Advocate</t>
        </is>
      </c>
      <c r="AA1640" s="11" t="inlineStr">
        <is>
          <t>2026-10-07</t>
        </is>
      </c>
      <c r="AB1640" s="11" t="inlineStr">
        <is>
          <t>name_year</t>
        </is>
      </c>
      <c r="AC1640" s="2" t="inlineStr"/>
      <c r="AD1640" s="2" t="inlineStr">
        <is>
          <t>Madhuri Rajeshwar v. The Commissioner of Income Tax, Andhra Pradesh, Hyderabad (1963) was reversed on appeal by the Supreme Court in Ramchandar Shivanarayan v. The Commissioner of Income Tax, Andhra Pradesh (1978).</t>
        </is>
      </c>
      <c r="AE1640" s="2" t="n"/>
      <c r="AF1640" s="11" t="inlineStr">
        <is>
          <t>created from list 1</t>
        </is>
      </c>
    </row>
    <row r="1641">
      <c r="A1641" s="11" t="inlineStr">
        <is>
          <t>L1-1640</t>
        </is>
      </c>
      <c r="B1641" s="11" t="inlineStr">
        <is>
          <t>List 1 (to ~2015)</t>
        </is>
      </c>
      <c r="C1641" s="11" t="inlineStr">
        <is>
          <t>list1</t>
        </is>
      </c>
      <c r="D1641" s="11" t="inlineStr">
        <is>
          <t>verified</t>
        </is>
      </c>
      <c r="E1641" s="11" t="inlineStr">
        <is>
          <t>overruled</t>
        </is>
      </c>
      <c r="F1641" s="2" t="inlineStr">
        <is>
          <t>Addl. Income Tax Officer, Cuddappah, and Anr v. Cuddapah STAR TRANSPORT CO. LTD.</t>
        </is>
      </c>
      <c r="G1641" s="11" t="inlineStr"/>
      <c r="H1641" s="11" t="inlineStr">
        <is>
          <t>unknown</t>
        </is>
      </c>
      <c r="I1641" s="2" t="inlineStr">
        <is>
          <t>(1960) 2 AnWR 398; (1960) 40 ITR 200</t>
        </is>
      </c>
      <c r="J1641" s="11" t="n">
        <v>1960</v>
      </c>
      <c r="K1641" s="2" t="inlineStr">
        <is>
          <t>Dwarka Nath v. Income Tax Officer, Special Circle D-ward, Kanpur and Another</t>
        </is>
      </c>
      <c r="L1641" s="11" t="inlineStr">
        <is>
          <t>Supreme Court</t>
        </is>
      </c>
      <c r="M1641" s="2" t="inlineStr">
        <is>
          <t>AIR 1966 SC 81; (1965) 57 ITR 349; (1965) 3 SCR 536</t>
        </is>
      </c>
      <c r="N1641" s="11" t="n">
        <v>1966</v>
      </c>
      <c r="O1641" s="11" t="n"/>
      <c r="P1641" s="11" t="n"/>
      <c r="Q1641" s="11" t="n"/>
      <c r="R1641" s="2" t="n"/>
      <c r="S1641" s="2" t="n"/>
      <c r="T1641" s="11" t="inlineStr"/>
      <c r="U1641" s="11" t="inlineStr"/>
      <c r="V1641" s="11" t="inlineStr">
        <is>
          <t>outside_list</t>
        </is>
      </c>
      <c r="W1641" s="11" t="n"/>
      <c r="X1641" s="11" t="n"/>
      <c r="Y1641" s="11" t="n"/>
      <c r="Z1641" s="11" t="inlineStr">
        <is>
          <t>Mr. Advocate</t>
        </is>
      </c>
      <c r="AA1641" s="11" t="inlineStr">
        <is>
          <t>2026-10-07</t>
        </is>
      </c>
      <c r="AB1641" s="11" t="inlineStr">
        <is>
          <t>name_year</t>
        </is>
      </c>
      <c r="AC1641" s="2" t="inlineStr">
        <is>
          <t>L1-0576: overruled by Prabodh Verma and Others v. State of Uttar Pradesh and Others (1985)</t>
        </is>
      </c>
      <c r="AD1641" s="2" t="inlineStr">
        <is>
          <t>Addl. Income Tax Officer, Cuddappah, and Anr v. Cuddapah STAR TRANSPORT CO. LTD. (1960) was overruled by Dwarka Nath v. Income Tax Officer, Special Circle D-ward, Kanpur and Another (1966). Note: Dwarka Nath v. Income Tax Officer, Special Circle D-ward, Kanpur and Another was itself later overruled by Prabodh Verma and Others v. State of Uttar Pradesh and Others (1985); the current position should be checked.</t>
        </is>
      </c>
      <c r="AE1641" s="2" t="n"/>
      <c r="AF1641" s="11" t="inlineStr">
        <is>
          <t>created from list 1</t>
        </is>
      </c>
    </row>
    <row r="1642">
      <c r="A1642" s="11" t="inlineStr">
        <is>
          <t>L1-1641</t>
        </is>
      </c>
      <c r="B1642" s="11" t="inlineStr">
        <is>
          <t>List 1 (to ~2015)</t>
        </is>
      </c>
      <c r="C1642" s="11" t="inlineStr">
        <is>
          <t>list1</t>
        </is>
      </c>
      <c r="D1642" s="11" t="inlineStr">
        <is>
          <t>verified</t>
        </is>
      </c>
      <c r="E1642" s="11" t="inlineStr">
        <is>
          <t>overruled</t>
        </is>
      </c>
      <c r="F1642" s="2" t="inlineStr">
        <is>
          <t>Commissioner of Income Tax, Andhra Pradesh-IV v. Nalli Venkataramana and Others</t>
        </is>
      </c>
      <c r="G1642" s="11" t="inlineStr"/>
      <c r="H1642" s="11" t="inlineStr">
        <is>
          <t>unknown</t>
        </is>
      </c>
      <c r="I1642" s="2" t="inlineStr">
        <is>
          <t>(1984) 3 APLJ 323; (1984) 38 CTR 17; (1984) 145 ITR 759</t>
        </is>
      </c>
      <c r="J1642" s="11" t="n">
        <v>1984</v>
      </c>
      <c r="K1642" s="2" t="inlineStr">
        <is>
          <t>Bihari Lal Jaiswal and Others v. Commissioner of Income Tax and Others</t>
        </is>
      </c>
      <c r="L1642" s="11" t="inlineStr">
        <is>
          <t>Supreme Court</t>
        </is>
      </c>
      <c r="M1642" s="2" t="inlineStr">
        <is>
          <t>(1996) 130 CTR 143; (1996) 217 ITR 746; (1995) 8 JT 257; (1995) 6 SCALE 508; (1996) 1 SCC 443; (1995) 5 SCR 285 Supp; (1996) 84 TAXMAN 236</t>
        </is>
      </c>
      <c r="N1642" s="11" t="n">
        <v>1995</v>
      </c>
      <c r="O1642" s="11" t="n"/>
      <c r="P1642" s="11" t="n"/>
      <c r="Q1642" s="11" t="n"/>
      <c r="R1642" s="2" t="n"/>
      <c r="S1642" s="2" t="n"/>
      <c r="T1642" s="11" t="inlineStr"/>
      <c r="U1642" s="11" t="inlineStr"/>
      <c r="V1642" s="11" t="inlineStr">
        <is>
          <t>outside_list</t>
        </is>
      </c>
      <c r="W1642" s="11" t="n"/>
      <c r="X1642" s="11" t="n"/>
      <c r="Y1642" s="11" t="n"/>
      <c r="Z1642" s="11" t="inlineStr">
        <is>
          <t>Mr. Advocate</t>
        </is>
      </c>
      <c r="AA1642" s="11" t="inlineStr">
        <is>
          <t>2026-10-07</t>
        </is>
      </c>
      <c r="AB1642" s="11" t="inlineStr">
        <is>
          <t>name_year</t>
        </is>
      </c>
      <c r="AC1642" s="2" t="inlineStr"/>
      <c r="AD1642" s="2" t="inlineStr">
        <is>
          <t>Commissioner of Income Tax, Andhra Pradesh-IV v. Nalli Venkataramana and Others (1984) was overruled by Bihari Lal Jaiswal and Others v. Commissioner of Income Tax and Others (1995).</t>
        </is>
      </c>
      <c r="AE1642" s="2" t="n"/>
      <c r="AF1642" s="11" t="inlineStr">
        <is>
          <t>created from list 1</t>
        </is>
      </c>
    </row>
    <row r="1643">
      <c r="A1643" s="11" t="inlineStr">
        <is>
          <t>L1-1642</t>
        </is>
      </c>
      <c r="B1643" s="11" t="inlineStr">
        <is>
          <t>List 1 (to ~2015)</t>
        </is>
      </c>
      <c r="C1643" s="11" t="inlineStr">
        <is>
          <t>list1</t>
        </is>
      </c>
      <c r="D1643" s="11" t="inlineStr">
        <is>
          <t>verified</t>
        </is>
      </c>
      <c r="E1643" s="11" t="inlineStr">
        <is>
          <t>reversed_on_appeal</t>
        </is>
      </c>
      <c r="F1643" s="2" t="inlineStr">
        <is>
          <t>Ambae Picture Palace v. Entertainment Tax Officer and Another</t>
        </is>
      </c>
      <c r="G1643" s="11" t="inlineStr"/>
      <c r="H1643" s="11" t="inlineStr">
        <is>
          <t>unknown</t>
        </is>
      </c>
      <c r="I1643" s="2" t="inlineStr">
        <is>
          <t>(1987) 1 APLJ 49; (1986) 162 ITR 772</t>
        </is>
      </c>
      <c r="J1643" s="11" t="n">
        <v>1986</v>
      </c>
      <c r="K1643" s="2" t="inlineStr">
        <is>
          <t>Entertainment Tax Officer and Another v. Ambae Picture Palace</t>
        </is>
      </c>
      <c r="L1643" s="11" t="inlineStr">
        <is>
          <t>Supreme Court</t>
        </is>
      </c>
      <c r="M1643" s="2" t="inlineStr">
        <is>
          <t>(1993) 6 JT 221; (1993) 4 SCALE 295; (1994) 1 SCC 209; (1993) 3 SCR 453 Supp; (1995) 96 STC 338</t>
        </is>
      </c>
      <c r="N1643" s="11" t="n">
        <v>1993</v>
      </c>
      <c r="O1643" s="11" t="n"/>
      <c r="P1643" s="11" t="n"/>
      <c r="Q1643" s="11" t="n"/>
      <c r="R1643" s="2" t="n"/>
      <c r="S1643" s="2" t="n"/>
      <c r="T1643" s="11" t="inlineStr">
        <is>
          <t>yes</t>
        </is>
      </c>
      <c r="U1643" s="11" t="inlineStr"/>
      <c r="V1643" s="11" t="inlineStr">
        <is>
          <t>outside_list</t>
        </is>
      </c>
      <c r="W1643" s="11" t="n"/>
      <c r="X1643" s="11" t="n"/>
      <c r="Y1643" s="11" t="n"/>
      <c r="Z1643" s="11" t="inlineStr">
        <is>
          <t>Mr. Advocate</t>
        </is>
      </c>
      <c r="AA1643" s="11" t="inlineStr">
        <is>
          <t>2026-10-07</t>
        </is>
      </c>
      <c r="AB1643" s="11" t="inlineStr">
        <is>
          <t>name_year</t>
        </is>
      </c>
      <c r="AC1643" s="2" t="inlineStr"/>
      <c r="AD1643" s="2" t="inlineStr">
        <is>
          <t>Ambae Picture Palace v. Entertainment Tax Officer and Another (1986) was reversed on appeal by the Supreme Court in Entertainment Tax Officer and Another v. Ambae Picture Palace (1993).</t>
        </is>
      </c>
      <c r="AE1643" s="2" t="n"/>
      <c r="AF1643" s="11" t="inlineStr">
        <is>
          <t>created from list 1</t>
        </is>
      </c>
    </row>
    <row r="1644">
      <c r="A1644" s="11" t="inlineStr">
        <is>
          <t>L1-1643</t>
        </is>
      </c>
      <c r="B1644" s="11" t="inlineStr">
        <is>
          <t>List 1 (to ~2015)</t>
        </is>
      </c>
      <c r="C1644" s="11" t="inlineStr">
        <is>
          <t>list1</t>
        </is>
      </c>
      <c r="D1644" s="11" t="inlineStr">
        <is>
          <t>verified</t>
        </is>
      </c>
      <c r="E1644" s="11" t="inlineStr">
        <is>
          <t>overruled</t>
        </is>
      </c>
      <c r="F1644" s="2" t="inlineStr">
        <is>
          <t>Commissioner of Income Tax v. Kapoorchand Shrimal</t>
        </is>
      </c>
      <c r="G1644" s="11" t="inlineStr"/>
      <c r="H1644" s="11" t="inlineStr">
        <is>
          <t>unknown</t>
        </is>
      </c>
      <c r="I1644" s="2" t="inlineStr">
        <is>
          <t>(1974) 95 ITR 20</t>
        </is>
      </c>
      <c r="J1644" s="11" t="n">
        <v>1974</v>
      </c>
      <c r="K1644" s="2" t="inlineStr">
        <is>
          <t>Kapurchand Shrimal v. Commissioner of Income Tax, Andhra Pradesh, Hyderabad</t>
        </is>
      </c>
      <c r="L1644" s="11" t="inlineStr">
        <is>
          <t>Supreme Court</t>
        </is>
      </c>
      <c r="M1644" s="2" t="inlineStr">
        <is>
          <t>AIR 1981 SC 1965; (1981) 24 CTR 345; (1981) 131 ITR 451; (1981) 3 SCALE 1330; (1981) 4 SCC 317; (1982) 1 SCR 505; (1981) 13 UJ 746</t>
        </is>
      </c>
      <c r="N1644" s="11" t="n">
        <v>1981</v>
      </c>
      <c r="O1644" s="11" t="n"/>
      <c r="P1644" s="11" t="n"/>
      <c r="Q1644" s="11" t="n"/>
      <c r="R1644" s="2" t="n"/>
      <c r="S1644" s="2" t="n"/>
      <c r="T1644" s="11" t="inlineStr"/>
      <c r="U1644" s="11" t="inlineStr"/>
      <c r="V1644" s="11" t="inlineStr">
        <is>
          <t>outside_list</t>
        </is>
      </c>
      <c r="W1644" s="11" t="n"/>
      <c r="X1644" s="11" t="n"/>
      <c r="Y1644" s="11" t="n"/>
      <c r="Z1644" s="11" t="inlineStr">
        <is>
          <t>Mr. Advocate</t>
        </is>
      </c>
      <c r="AA1644" s="11" t="inlineStr">
        <is>
          <t>2026-10-07</t>
        </is>
      </c>
      <c r="AB1644" s="11" t="inlineStr">
        <is>
          <t>name_year</t>
        </is>
      </c>
      <c r="AC1644" s="2" t="inlineStr"/>
      <c r="AD1644" s="2" t="inlineStr">
        <is>
          <t>Commissioner of Income Tax v. Kapoorchand Shrimal (1974) was overruled by Kapurchand Shrimal v. Commissioner of Income Tax, Andhra Pradesh, Hyderabad (1981).</t>
        </is>
      </c>
      <c r="AE1644" s="2" t="n"/>
      <c r="AF1644" s="11" t="inlineStr">
        <is>
          <t>created from list 1</t>
        </is>
      </c>
    </row>
    <row r="1645">
      <c r="A1645" s="11" t="inlineStr">
        <is>
          <t>L1-1644</t>
        </is>
      </c>
      <c r="B1645" s="11" t="inlineStr">
        <is>
          <t>List 1 (to ~2015)</t>
        </is>
      </c>
      <c r="C1645" s="11" t="inlineStr">
        <is>
          <t>list1</t>
        </is>
      </c>
      <c r="D1645" s="11" t="inlineStr">
        <is>
          <t>verified</t>
        </is>
      </c>
      <c r="E1645" s="11" t="inlineStr">
        <is>
          <t>overruled</t>
        </is>
      </c>
      <c r="F1645" s="2" t="inlineStr">
        <is>
          <t>Khaja Begum v. Gulam Mohiuddin and Others</t>
        </is>
      </c>
      <c r="G1645" s="11" t="inlineStr"/>
      <c r="H1645" s="11" t="inlineStr">
        <is>
          <t>Andhra Pradesh</t>
        </is>
      </c>
      <c r="I1645" s="2" t="inlineStr">
        <is>
          <t>AIR 1976 AP 65</t>
        </is>
      </c>
      <c r="J1645" s="11" t="n">
        <v>1976</v>
      </c>
      <c r="K1645" s="2" t="inlineStr">
        <is>
          <t>Karuppaswamy and Others v. C. Ramamurthy</t>
        </is>
      </c>
      <c r="L1645" s="11" t="inlineStr">
        <is>
          <t>Supreme Court</t>
        </is>
      </c>
      <c r="M1645" s="2" t="inlineStr">
        <is>
          <t>AIR 1993 SC 2324; (1993) 2 BC 341; (1993) 4 JT 192; (1993) 3 SCALE 165; (1993) 4 SCC 41; (1993) 1 SCR 121 Supp</t>
        </is>
      </c>
      <c r="N1645" s="11" t="n">
        <v>1993</v>
      </c>
      <c r="O1645" s="11" t="n"/>
      <c r="P1645" s="11" t="n"/>
      <c r="Q1645" s="11" t="n"/>
      <c r="R1645" s="2" t="n"/>
      <c r="S1645" s="2" t="n"/>
      <c r="T1645" s="11" t="inlineStr"/>
      <c r="U1645" s="11" t="inlineStr"/>
      <c r="V1645" s="11" t="inlineStr">
        <is>
          <t>outside_list</t>
        </is>
      </c>
      <c r="W1645" s="11" t="n"/>
      <c r="X1645" s="11" t="n"/>
      <c r="Y1645" s="11" t="n"/>
      <c r="Z1645" s="11" t="inlineStr">
        <is>
          <t>Mr. Advocate</t>
        </is>
      </c>
      <c r="AA1645" s="11" t="inlineStr">
        <is>
          <t>2026-10-07</t>
        </is>
      </c>
      <c r="AB1645" s="11" t="inlineStr">
        <is>
          <t>name_year</t>
        </is>
      </c>
      <c r="AC1645" s="2" t="inlineStr"/>
      <c r="AD1645" s="2" t="inlineStr">
        <is>
          <t>Khaja Begum v. Gulam Mohiuddin and Others (1976) was overruled by Karuppaswamy and Others v. C. Ramamurthy (1993).</t>
        </is>
      </c>
      <c r="AE1645" s="2" t="n"/>
      <c r="AF1645" s="11" t="inlineStr">
        <is>
          <t>created from list 1</t>
        </is>
      </c>
    </row>
    <row r="1646">
      <c r="A1646" s="11" t="inlineStr">
        <is>
          <t>L1-1645</t>
        </is>
      </c>
      <c r="B1646" s="11" t="inlineStr">
        <is>
          <t>List 1 (to ~2015)</t>
        </is>
      </c>
      <c r="C1646" s="11" t="inlineStr">
        <is>
          <t>list1</t>
        </is>
      </c>
      <c r="D1646" s="11" t="inlineStr">
        <is>
          <t>verified</t>
        </is>
      </c>
      <c r="E1646" s="11" t="inlineStr">
        <is>
          <t>reversed_on_appeal</t>
        </is>
      </c>
      <c r="F1646" s="2" t="inlineStr">
        <is>
          <t>Sugui Bai @ Shakuntala Bai and Others v. Rafat Ali</t>
        </is>
      </c>
      <c r="G1646" s="11" t="inlineStr"/>
      <c r="H1646" s="11" t="inlineStr">
        <is>
          <t>unknown</t>
        </is>
      </c>
      <c r="I1646" s="2" t="inlineStr">
        <is>
          <t>(1998) 1 ALD 693; (1998) 1 ALT 359; (1998) 1 APLJ 154</t>
        </is>
      </c>
      <c r="J1646" s="11" t="n">
        <v>1998</v>
      </c>
      <c r="K1646" s="2" t="inlineStr">
        <is>
          <t>Rafat Ali v. Sugni Bai and Others</t>
        </is>
      </c>
      <c r="L1646" s="11" t="inlineStr">
        <is>
          <t>Supreme Court</t>
        </is>
      </c>
      <c r="M1646" s="2" t="inlineStr">
        <is>
          <t>AIR 1999 SC 283; (1998) 8 JT 157; (1999) 123 PLR 437; (1998) 6 SCALE 221; (1999) 1 SCC 133; (1998) 3 SCR 20 Supp; (1998) AIRSCW 3802; (1998) 8 Supreme 555</t>
        </is>
      </c>
      <c r="N1646" s="11" t="n">
        <v>1999</v>
      </c>
      <c r="O1646" s="11" t="n"/>
      <c r="P1646" s="11" t="n"/>
      <c r="Q1646" s="11" t="n"/>
      <c r="R1646" s="2" t="n"/>
      <c r="S1646" s="2" t="n"/>
      <c r="T1646" s="11" t="inlineStr">
        <is>
          <t>yes</t>
        </is>
      </c>
      <c r="U1646" s="11" t="inlineStr"/>
      <c r="V1646" s="11" t="inlineStr">
        <is>
          <t>outside_list</t>
        </is>
      </c>
      <c r="W1646" s="11" t="n"/>
      <c r="X1646" s="11" t="n"/>
      <c r="Y1646" s="11" t="n"/>
      <c r="Z1646" s="11" t="inlineStr">
        <is>
          <t>Mr. Advocate</t>
        </is>
      </c>
      <c r="AA1646" s="11" t="inlineStr">
        <is>
          <t>2026-10-07</t>
        </is>
      </c>
      <c r="AB1646" s="11" t="inlineStr">
        <is>
          <t>name_year</t>
        </is>
      </c>
      <c r="AC1646" s="2" t="inlineStr"/>
      <c r="AD1646" s="2" t="inlineStr">
        <is>
          <t>Sugui Bai @ Shakuntala Bai and Others v. Rafat Ali (1998) was reversed on appeal by the Supreme Court in Rafat Ali v. Sugni Bai and Others (1999).</t>
        </is>
      </c>
      <c r="AE1646" s="2" t="n"/>
      <c r="AF1646" s="11" t="inlineStr">
        <is>
          <t>created from list 1</t>
        </is>
      </c>
    </row>
    <row r="1647">
      <c r="A1647" s="11" t="inlineStr">
        <is>
          <t>L1-1646</t>
        </is>
      </c>
      <c r="B1647" s="11" t="inlineStr">
        <is>
          <t>List 1 (to ~2015)</t>
        </is>
      </c>
      <c r="C1647" s="11" t="inlineStr">
        <is>
          <t>list1</t>
        </is>
      </c>
      <c r="D1647" s="11" t="inlineStr">
        <is>
          <t>verified</t>
        </is>
      </c>
      <c r="E1647" s="11" t="inlineStr">
        <is>
          <t>overruled</t>
        </is>
      </c>
      <c r="F1647" s="2" t="inlineStr">
        <is>
          <t>Karnati Rangaiah v. A. Sultan Mohiddin and Brothers and Others</t>
        </is>
      </c>
      <c r="G1647" s="11" t="inlineStr"/>
      <c r="H1647" s="11" t="inlineStr">
        <is>
          <t>Andhra Pradesh</t>
        </is>
      </c>
      <c r="I1647" s="2" t="inlineStr">
        <is>
          <t>AIR 1957 AP 513</t>
        </is>
      </c>
      <c r="J1647" s="11" t="n">
        <v>1957</v>
      </c>
      <c r="K1647" s="2" t="inlineStr">
        <is>
          <t>State of Punjab and Another v. Hari Krishan Sharma</t>
        </is>
      </c>
      <c r="L1647" s="11" t="inlineStr">
        <is>
          <t>Supreme Court</t>
        </is>
      </c>
      <c r="M1647" s="2" t="inlineStr">
        <is>
          <t>AIR 1966 SC 1081; (1966) 2 SCR 982</t>
        </is>
      </c>
      <c r="N1647" s="11" t="n">
        <v>1966</v>
      </c>
      <c r="O1647" s="11" t="n"/>
      <c r="P1647" s="11" t="n"/>
      <c r="Q1647" s="11" t="n"/>
      <c r="R1647" s="2" t="n"/>
      <c r="S1647" s="2" t="n"/>
      <c r="T1647" s="11" t="inlineStr"/>
      <c r="U1647" s="11" t="inlineStr"/>
      <c r="V1647" s="11" t="inlineStr">
        <is>
          <t>outside_list</t>
        </is>
      </c>
      <c r="W1647" s="11" t="n"/>
      <c r="X1647" s="11" t="n"/>
      <c r="Y1647" s="11" t="n"/>
      <c r="Z1647" s="11" t="inlineStr">
        <is>
          <t>Mr. Advocate</t>
        </is>
      </c>
      <c r="AA1647" s="11" t="inlineStr">
        <is>
          <t>2026-10-07</t>
        </is>
      </c>
      <c r="AB1647" s="11" t="inlineStr">
        <is>
          <t>name_year</t>
        </is>
      </c>
      <c r="AC1647" s="2" t="inlineStr"/>
      <c r="AD1647" s="2" t="inlineStr">
        <is>
          <t>Karnati Rangaiah v. A. Sultan Mohiddin and Brothers and Others (1957) was overruled by State of Punjab and Another v. Hari Krishan Sharma (1966).</t>
        </is>
      </c>
      <c r="AE1647" s="2" t="n"/>
      <c r="AF1647" s="11" t="inlineStr">
        <is>
          <t>created from list 1</t>
        </is>
      </c>
    </row>
    <row r="1648">
      <c r="A1648" s="11" t="inlineStr">
        <is>
          <t>L1-1647</t>
        </is>
      </c>
      <c r="B1648" s="11" t="inlineStr">
        <is>
          <t>List 1 (to ~2015)</t>
        </is>
      </c>
      <c r="C1648" s="11" t="inlineStr">
        <is>
          <t>list1</t>
        </is>
      </c>
      <c r="D1648" s="11" t="inlineStr">
        <is>
          <t>verified</t>
        </is>
      </c>
      <c r="E1648" s="11" t="inlineStr">
        <is>
          <t>overruled</t>
        </is>
      </c>
      <c r="F1648" s="2" t="inlineStr">
        <is>
          <t>The Food Inspector, Kovur, Hyderabad v. Jaladanki Fajamma and Others</t>
        </is>
      </c>
      <c r="G1648" s="11" t="inlineStr"/>
      <c r="H1648" s="11" t="inlineStr">
        <is>
          <t>unknown</t>
        </is>
      </c>
      <c r="I1648" s="2" t="inlineStr"/>
      <c r="J1648" s="11" t="n"/>
      <c r="K1648" s="2" t="inlineStr">
        <is>
          <t>T.V. Usman v. Food Inspector, Tellicherry Municipality, Tellicherry</t>
        </is>
      </c>
      <c r="L1648" s="11" t="inlineStr">
        <is>
          <t>Supreme Court</t>
        </is>
      </c>
      <c r="M1648" s="2" t="inlineStr">
        <is>
          <t>AIR 1994 SC 1818; (1994) 1 JT 260; (1994) 1 SCALE 179; (1994) 1 SCC 754; (1994) 1 UJ 365</t>
        </is>
      </c>
      <c r="N1648" s="11" t="n">
        <v>1994</v>
      </c>
      <c r="O1648" s="11" t="n"/>
      <c r="P1648" s="11" t="n"/>
      <c r="Q1648" s="11" t="n"/>
      <c r="R1648" s="2" t="n"/>
      <c r="S1648" s="2" t="n"/>
      <c r="T1648" s="11" t="inlineStr"/>
      <c r="U1648" s="11" t="inlineStr">
        <is>
          <t>no_citation_or_year_for_overruled, needs_citation_or_year</t>
        </is>
      </c>
      <c r="V1648" s="11" t="inlineStr">
        <is>
          <t>outside_list</t>
        </is>
      </c>
      <c r="W1648" s="11" t="n"/>
      <c r="X1648" s="11" t="n"/>
      <c r="Y1648" s="11" t="n"/>
      <c r="Z1648" s="11" t="inlineStr">
        <is>
          <t>Mr. Advocate</t>
        </is>
      </c>
      <c r="AA1648" s="11" t="inlineStr">
        <is>
          <t>2026-10-07</t>
        </is>
      </c>
      <c r="AB1648" s="11" t="inlineStr">
        <is>
          <t>weak</t>
        </is>
      </c>
      <c r="AC1648" s="2" t="inlineStr"/>
      <c r="AD1648" s="2" t="inlineStr">
        <is>
          <t>The Food Inspector, Kovur, Hyderabad v. Jaladanki Fajamma and Others was overruled by T.V. Usman v. Food Inspector, Tellicherry Municipality, Tellicherry (1994).</t>
        </is>
      </c>
      <c r="AE1648" s="2" t="n"/>
      <c r="AF1648" s="11" t="inlineStr">
        <is>
          <t>created from list 1</t>
        </is>
      </c>
    </row>
    <row r="1649">
      <c r="A1649" s="11" t="inlineStr">
        <is>
          <t>L1-1648</t>
        </is>
      </c>
      <c r="B1649" s="11" t="inlineStr">
        <is>
          <t>List 1 (to ~2015)</t>
        </is>
      </c>
      <c r="C1649" s="11" t="inlineStr">
        <is>
          <t>list1</t>
        </is>
      </c>
      <c r="D1649" s="11" t="inlineStr">
        <is>
          <t>verified</t>
        </is>
      </c>
      <c r="E1649" s="11" t="inlineStr">
        <is>
          <t>overruled</t>
        </is>
      </c>
      <c r="F1649" s="2" t="inlineStr">
        <is>
          <t>Revenue Divisional Officer v. Dasari Ganga Raju and others</t>
        </is>
      </c>
      <c r="G1649" s="11" t="inlineStr"/>
      <c r="H1649" s="11" t="inlineStr">
        <is>
          <t>Andhra Pradesh</t>
        </is>
      </c>
      <c r="I1649" s="2" t="inlineStr">
        <is>
          <t>AIR 1991 AP 110</t>
        </is>
      </c>
      <c r="J1649" s="11" t="n">
        <v>1991</v>
      </c>
      <c r="K1649" s="2" t="inlineStr">
        <is>
          <t>K.S. Shivadevamma and others v. Assistant Commissioner and Land Acqusition Officer and another</t>
        </is>
      </c>
      <c r="L1649" s="11" t="inlineStr">
        <is>
          <t>Supreme Court</t>
        </is>
      </c>
      <c r="M1649" s="2" t="inlineStr">
        <is>
          <t>AIR 1996 SC 2886; (1995) 9 JT 501; (1996) 1 SCALE 118; (1996) 2 SCC 62; (1995) 6 SCR 364 Supp</t>
        </is>
      </c>
      <c r="N1649" s="11" t="n">
        <v>1996</v>
      </c>
      <c r="O1649" s="11" t="n"/>
      <c r="P1649" s="11" t="n"/>
      <c r="Q1649" s="11" t="n"/>
      <c r="R1649" s="2" t="n"/>
      <c r="S1649" s="2" t="n"/>
      <c r="T1649" s="11" t="inlineStr"/>
      <c r="U1649" s="11" t="inlineStr"/>
      <c r="V1649" s="11" t="inlineStr">
        <is>
          <t>outside_list</t>
        </is>
      </c>
      <c r="W1649" s="11" t="n"/>
      <c r="X1649" s="11" t="n"/>
      <c r="Y1649" s="11" t="n"/>
      <c r="Z1649" s="11" t="inlineStr">
        <is>
          <t>Mr. Advocate</t>
        </is>
      </c>
      <c r="AA1649" s="11" t="inlineStr">
        <is>
          <t>2026-10-07</t>
        </is>
      </c>
      <c r="AB1649" s="11" t="inlineStr">
        <is>
          <t>name_year</t>
        </is>
      </c>
      <c r="AC1649" s="2" t="inlineStr"/>
      <c r="AD1649" s="2" t="inlineStr">
        <is>
          <t>Revenue Divisional Officer v. Dasari Ganga Raju and others (1991) was overruled by K.S. Shivadevamma and others v. Assistant Commissioner and Land Acqusition Officer and another (1996).</t>
        </is>
      </c>
      <c r="AE1649" s="2" t="n"/>
      <c r="AF1649" s="11" t="inlineStr">
        <is>
          <t>created from list 1</t>
        </is>
      </c>
    </row>
    <row r="1650">
      <c r="A1650" s="11" t="inlineStr">
        <is>
          <t>L1-1649</t>
        </is>
      </c>
      <c r="B1650" s="11" t="inlineStr">
        <is>
          <t>List 1 (to ~2015)</t>
        </is>
      </c>
      <c r="C1650" s="11" t="inlineStr">
        <is>
          <t>list1</t>
        </is>
      </c>
      <c r="D1650" s="11" t="inlineStr">
        <is>
          <t>verified</t>
        </is>
      </c>
      <c r="E1650" s="11" t="inlineStr">
        <is>
          <t>overruled</t>
        </is>
      </c>
      <c r="F1650" s="2" t="inlineStr">
        <is>
          <t>Bharat Heavy Electricals Limited v. Additional Industrial Tribunal-cum-Additional Labour Court, Hyderabad and Others</t>
        </is>
      </c>
      <c r="G1650" s="11" t="inlineStr"/>
      <c r="H1650" s="11" t="inlineStr">
        <is>
          <t>unknown</t>
        </is>
      </c>
      <c r="I1650" s="2" t="inlineStr">
        <is>
          <t>(2002) 1 ALD 777; (2002) 1 ALT 151; (2002) 93 FLR 269</t>
        </is>
      </c>
      <c r="J1650" s="11" t="n">
        <v>2002</v>
      </c>
      <c r="K1650" s="2" t="inlineStr">
        <is>
          <t>Bharat Heavy Electricals Ltd. v. M. Chandrasekhar Reddy and Others</t>
        </is>
      </c>
      <c r="L1650" s="11" t="inlineStr">
        <is>
          <t>Supreme Court</t>
        </is>
      </c>
      <c r="M1650" s="2" t="inlineStr">
        <is>
          <t>AIR 2005 SC 2769; (2005) 104 FLR 806; (2005) 1 JT 474; (2005) 1 LLJ 865; (2005) 2 SCC 481; (2005) SCC(L&amp;S) 282</t>
        </is>
      </c>
      <c r="N1650" s="11" t="n">
        <v>2005</v>
      </c>
      <c r="O1650" s="11" t="n"/>
      <c r="P1650" s="11" t="n"/>
      <c r="Q1650" s="11" t="n"/>
      <c r="R1650" s="2" t="n"/>
      <c r="S1650" s="2" t="n"/>
      <c r="T1650" s="11" t="inlineStr"/>
      <c r="U1650" s="11" t="inlineStr"/>
      <c r="V1650" s="11" t="inlineStr">
        <is>
          <t>outside_list</t>
        </is>
      </c>
      <c r="W1650" s="11" t="n"/>
      <c r="X1650" s="11" t="n"/>
      <c r="Y1650" s="11" t="n"/>
      <c r="Z1650" s="11" t="inlineStr">
        <is>
          <t>Mr. Advocate</t>
        </is>
      </c>
      <c r="AA1650" s="11" t="inlineStr">
        <is>
          <t>2026-10-07</t>
        </is>
      </c>
      <c r="AB1650" s="11" t="inlineStr">
        <is>
          <t>name_year</t>
        </is>
      </c>
      <c r="AC1650" s="2" t="inlineStr"/>
      <c r="AD1650" s="2" t="inlineStr">
        <is>
          <t>Bharat Heavy Electricals Limited v. Additional Industrial Tribunal-cum-Additional Labour Court, Hyderabad and Others (2002) was overruled by Bharat Heavy Electricals Ltd. v. M. Chandrasekhar Reddy and Others (2005).</t>
        </is>
      </c>
      <c r="AE1650" s="2" t="n"/>
      <c r="AF1650" s="11" t="inlineStr">
        <is>
          <t>created from list 1</t>
        </is>
      </c>
    </row>
    <row r="1651">
      <c r="A1651" s="11" t="inlineStr">
        <is>
          <t>L1-1650</t>
        </is>
      </c>
      <c r="B1651" s="11" t="inlineStr">
        <is>
          <t>List 1 (to ~2015)</t>
        </is>
      </c>
      <c r="C1651" s="11" t="inlineStr">
        <is>
          <t>list1</t>
        </is>
      </c>
      <c r="D1651" s="11" t="inlineStr">
        <is>
          <t>verified</t>
        </is>
      </c>
      <c r="E1651" s="11" t="inlineStr">
        <is>
          <t>overruled</t>
        </is>
      </c>
      <c r="F1651" s="2" t="inlineStr">
        <is>
          <t>Commissioner of Income Tax v. Coromandel Fertilisers Ltd.</t>
        </is>
      </c>
      <c r="G1651" s="11" t="inlineStr"/>
      <c r="H1651" s="11" t="inlineStr">
        <is>
          <t>unknown</t>
        </is>
      </c>
      <c r="I1651" s="2" t="inlineStr">
        <is>
          <t>(1991) 187 ITR 673</t>
        </is>
      </c>
      <c r="J1651" s="11" t="n">
        <v>1991</v>
      </c>
      <c r="K1651" s="2" t="inlineStr">
        <is>
          <t>Commissioner of Income Tax, Gujarat v. Arvind Mills Ltd.</t>
        </is>
      </c>
      <c r="L1651" s="11" t="inlineStr">
        <is>
          <t>Supreme Court</t>
        </is>
      </c>
      <c r="M1651" s="2" t="inlineStr">
        <is>
          <t>AIR 1992 SC 718; (1992) 101 CTR 91; (1992) 193 ITR 255; (1991) 5 JT 341; (1991) 2 SCALE 1320; (1992) 2 SCC 190 Supp; (1991) 3 SCR 303 Supp; (1992) 60 TAXMAN 192</t>
        </is>
      </c>
      <c r="N1651" s="11" t="n">
        <v>1992</v>
      </c>
      <c r="O1651" s="11" t="n"/>
      <c r="P1651" s="11" t="n"/>
      <c r="Q1651" s="11" t="n"/>
      <c r="R1651" s="2" t="n"/>
      <c r="S1651" s="2" t="n"/>
      <c r="T1651" s="11" t="inlineStr"/>
      <c r="U1651" s="11" t="inlineStr"/>
      <c r="V1651" s="11" t="inlineStr">
        <is>
          <t>outside_list</t>
        </is>
      </c>
      <c r="W1651" s="11" t="n"/>
      <c r="X1651" s="11" t="n"/>
      <c r="Y1651" s="11" t="n"/>
      <c r="Z1651" s="11" t="inlineStr">
        <is>
          <t>Mr. Advocate</t>
        </is>
      </c>
      <c r="AA1651" s="11" t="inlineStr">
        <is>
          <t>2026-10-07</t>
        </is>
      </c>
      <c r="AB1651" s="11" t="inlineStr">
        <is>
          <t>name_year</t>
        </is>
      </c>
      <c r="AC1651" s="2" t="inlineStr"/>
      <c r="AD1651" s="2" t="inlineStr">
        <is>
          <t>Commissioner of Income Tax v. Coromandel Fertilisers Ltd. (1991) was overruled by Commissioner of Income Tax, Gujarat v. Arvind Mills Ltd. (1992).</t>
        </is>
      </c>
      <c r="AE1651" s="2" t="n"/>
      <c r="AF1651" s="11" t="inlineStr">
        <is>
          <t>created from list 1</t>
        </is>
      </c>
    </row>
    <row r="1652">
      <c r="A1652" s="11" t="inlineStr">
        <is>
          <t>L1-1651</t>
        </is>
      </c>
      <c r="B1652" s="11" t="inlineStr">
        <is>
          <t>List 1 (to ~2015)</t>
        </is>
      </c>
      <c r="C1652" s="11" t="inlineStr">
        <is>
          <t>list1</t>
        </is>
      </c>
      <c r="D1652" s="11" t="inlineStr">
        <is>
          <t>verified</t>
        </is>
      </c>
      <c r="E1652" s="11" t="inlineStr">
        <is>
          <t>reversed_on_appeal</t>
        </is>
      </c>
      <c r="F1652" s="2" t="inlineStr">
        <is>
          <t>Joint Director of Mines Safety Hyderabad Region, Hyderabad v. The Tandur and Navandgi Stone Quarries (P) Ltd., Hyderabad</t>
        </is>
      </c>
      <c r="G1652" s="11" t="inlineStr"/>
      <c r="H1652" s="11" t="inlineStr">
        <is>
          <t>Andhra Pradesh</t>
        </is>
      </c>
      <c r="I1652" s="2" t="inlineStr">
        <is>
          <t>AIR 1973 AP 315; (1973) 1 APLJ 253</t>
        </is>
      </c>
      <c r="J1652" s="11" t="n">
        <v>1973</v>
      </c>
      <c r="K1652" s="2" t="inlineStr">
        <is>
          <t>Joint Director of Mines Safety v. Tandur and Nayandgi Stone Quarries (P) Ltd.</t>
        </is>
      </c>
      <c r="L1652" s="11" t="inlineStr">
        <is>
          <t>Supreme Court</t>
        </is>
      </c>
      <c r="M1652" s="2" t="inlineStr">
        <is>
          <t>AIR 1987 SC 1253; (1987) 2 JT 153; (1987) 1 SCALE 813; (1987) 3 SCC 208; (1987) 2 SCR 800; (1987) 1 UJ 751</t>
        </is>
      </c>
      <c r="N1652" s="11" t="n">
        <v>1987</v>
      </c>
      <c r="O1652" s="11" t="n"/>
      <c r="P1652" s="11" t="n"/>
      <c r="Q1652" s="11" t="n"/>
      <c r="R1652" s="2" t="n"/>
      <c r="S1652" s="2" t="n"/>
      <c r="T1652" s="11" t="inlineStr">
        <is>
          <t>yes</t>
        </is>
      </c>
      <c r="U1652" s="11" t="inlineStr"/>
      <c r="V1652" s="11" t="inlineStr">
        <is>
          <t>outside_list</t>
        </is>
      </c>
      <c r="W1652" s="11" t="n"/>
      <c r="X1652" s="11" t="n"/>
      <c r="Y1652" s="11" t="n"/>
      <c r="Z1652" s="11" t="inlineStr">
        <is>
          <t>Mr. Advocate</t>
        </is>
      </c>
      <c r="AA1652" s="11" t="inlineStr">
        <is>
          <t>2026-10-07</t>
        </is>
      </c>
      <c r="AB1652" s="11" t="inlineStr">
        <is>
          <t>name_year</t>
        </is>
      </c>
      <c r="AC1652" s="2" t="inlineStr"/>
      <c r="AD1652" s="2" t="inlineStr">
        <is>
          <t>Joint Director of Mines Safety Hyderabad Region, Hyderabad v. The Tandur and Navandgi Stone Quarries (P) Ltd., Hyderabad (1973) was reversed on appeal by the Supreme Court in Joint Director of Mines Safety v. Tandur and Nayandgi Stone Quarries (P) Ltd. (1987).</t>
        </is>
      </c>
      <c r="AE1652" s="2" t="n"/>
      <c r="AF1652" s="11" t="inlineStr">
        <is>
          <t>created from list 1</t>
        </is>
      </c>
    </row>
    <row r="1653">
      <c r="A1653" s="11" t="inlineStr">
        <is>
          <t>L1-1652</t>
        </is>
      </c>
      <c r="B1653" s="11" t="inlineStr">
        <is>
          <t>List 1 (to ~2015)</t>
        </is>
      </c>
      <c r="C1653" s="11" t="inlineStr">
        <is>
          <t>list1</t>
        </is>
      </c>
      <c r="D1653" s="11" t="inlineStr">
        <is>
          <t>verified</t>
        </is>
      </c>
      <c r="E1653" s="11" t="inlineStr">
        <is>
          <t>overruled</t>
        </is>
      </c>
      <c r="F1653" s="2" t="inlineStr">
        <is>
          <t>Andhra Pradesh State Transport Corporation v. R. Maheshwari and Others</t>
        </is>
      </c>
      <c r="G1653" s="11" t="inlineStr"/>
      <c r="H1653" s="11" t="inlineStr">
        <is>
          <t>Andhra Pradesh</t>
        </is>
      </c>
      <c r="I1653" s="2" t="inlineStr">
        <is>
          <t>AIR 1976 AP 232</t>
        </is>
      </c>
      <c r="J1653" s="11" t="n">
        <v>1976</v>
      </c>
      <c r="K1653" s="2" t="inlineStr">
        <is>
          <t>Andhra Pradesh State Road Transport Corporation, Hyderabad v. G.T. Venkataswamy Reddy and others</t>
        </is>
      </c>
      <c r="L1653" s="11" t="inlineStr">
        <is>
          <t>Supreme Court</t>
        </is>
      </c>
      <c r="M1653" s="2" t="inlineStr">
        <is>
          <t>(1992) 2 ACC 513; AIR 1993 SC 327; AIR 1992 SC 327; (1992) 5 JT 640; (1992) 2 SCALE 251; (1992) 4 SCC 234; (1992) 1 SCR 4 Supp; (1992) 2 UJ 667</t>
        </is>
      </c>
      <c r="N1653" s="11" t="n">
        <v>1993</v>
      </c>
      <c r="O1653" s="11" t="n"/>
      <c r="P1653" s="11" t="n"/>
      <c r="Q1653" s="11" t="n"/>
      <c r="R1653" s="2" t="n"/>
      <c r="S1653" s="2" t="n"/>
      <c r="T1653" s="11" t="inlineStr"/>
      <c r="U1653" s="11" t="inlineStr"/>
      <c r="V1653" s="11" t="inlineStr">
        <is>
          <t>outside_list</t>
        </is>
      </c>
      <c r="W1653" s="11" t="n"/>
      <c r="X1653" s="11" t="n"/>
      <c r="Y1653" s="11" t="n"/>
      <c r="Z1653" s="11" t="inlineStr">
        <is>
          <t>Mr. Advocate</t>
        </is>
      </c>
      <c r="AA1653" s="11" t="inlineStr">
        <is>
          <t>2026-10-07</t>
        </is>
      </c>
      <c r="AB1653" s="11" t="inlineStr">
        <is>
          <t>name_year</t>
        </is>
      </c>
      <c r="AC1653" s="2" t="inlineStr"/>
      <c r="AD1653" s="2" t="inlineStr">
        <is>
          <t>Andhra Pradesh State Transport Corporation v. R. Maheshwari and Others (1976) was overruled by Andhra Pradesh State Road Transport Corporation, Hyderabad v. G.T. Venkataswamy Reddy and others (1993).</t>
        </is>
      </c>
      <c r="AE1653" s="2" t="n"/>
      <c r="AF1653" s="11" t="inlineStr">
        <is>
          <t>created from list 1</t>
        </is>
      </c>
    </row>
    <row r="1654">
      <c r="A1654" s="11" t="inlineStr">
        <is>
          <t>L1-1653</t>
        </is>
      </c>
      <c r="B1654" s="11" t="inlineStr">
        <is>
          <t>List 1 (to ~2015)</t>
        </is>
      </c>
      <c r="C1654" s="11" t="inlineStr">
        <is>
          <t>list1</t>
        </is>
      </c>
      <c r="D1654" s="11" t="inlineStr">
        <is>
          <t>verified</t>
        </is>
      </c>
      <c r="E1654" s="11" t="inlineStr">
        <is>
          <t>overruled</t>
        </is>
      </c>
      <c r="F1654" s="2" t="inlineStr">
        <is>
          <t>B. Bhaskara Reddy v. Government of Andhra Pradesh and Another</t>
        </is>
      </c>
      <c r="G1654" s="11" t="inlineStr"/>
      <c r="H1654" s="11" t="inlineStr">
        <is>
          <t>unknown</t>
        </is>
      </c>
      <c r="I1654" s="2" t="inlineStr">
        <is>
          <t>(1981) 1 LLJ 342</t>
        </is>
      </c>
      <c r="J1654" s="11" t="n">
        <v>1981</v>
      </c>
      <c r="K1654" s="2" t="inlineStr">
        <is>
          <t>Union of India and Another v. Balbir Singh and Another</t>
        </is>
      </c>
      <c r="L1654" s="11" t="inlineStr">
        <is>
          <t>Supreme Court</t>
        </is>
      </c>
      <c r="M1654" s="2" t="inlineStr">
        <is>
          <t>AIR 1998 SC 2043; (1998) 79 FLR 694; (1998) 3 JT 695; (2000) 1 LLJ 279; (1998) 3 SCALE 422; (1998) 5 SCC 216; (1998) SCC(L&amp;S) 1310; (1998) AIRSCW 1900; (1998) 4 Supreme 425</t>
        </is>
      </c>
      <c r="N1654" s="11" t="n">
        <v>1998</v>
      </c>
      <c r="O1654" s="11" t="n"/>
      <c r="P1654" s="11" t="n"/>
      <c r="Q1654" s="11" t="n"/>
      <c r="R1654" s="2" t="n"/>
      <c r="S1654" s="2" t="n"/>
      <c r="T1654" s="11" t="inlineStr"/>
      <c r="U1654" s="11" t="inlineStr"/>
      <c r="V1654" s="11" t="inlineStr">
        <is>
          <t>outside_list</t>
        </is>
      </c>
      <c r="W1654" s="11" t="n"/>
      <c r="X1654" s="11" t="n"/>
      <c r="Y1654" s="11" t="n"/>
      <c r="Z1654" s="11" t="inlineStr">
        <is>
          <t>Mr. Advocate</t>
        </is>
      </c>
      <c r="AA1654" s="11" t="inlineStr">
        <is>
          <t>2026-10-07</t>
        </is>
      </c>
      <c r="AB1654" s="11" t="inlineStr">
        <is>
          <t>name_year</t>
        </is>
      </c>
      <c r="AC1654" s="2" t="inlineStr"/>
      <c r="AD1654" s="2" t="inlineStr">
        <is>
          <t>B. Bhaskara Reddy v. Government of Andhra Pradesh and Another (1981) was overruled by Union of India and Another v. Balbir Singh and Another (1998).</t>
        </is>
      </c>
      <c r="AE1654" s="2" t="n"/>
      <c r="AF1654" s="11" t="inlineStr">
        <is>
          <t>created from list 1</t>
        </is>
      </c>
    </row>
    <row r="1655">
      <c r="A1655" s="11" t="inlineStr">
        <is>
          <t>L1-1654</t>
        </is>
      </c>
      <c r="B1655" s="11" t="inlineStr">
        <is>
          <t>List 1 (to ~2015)</t>
        </is>
      </c>
      <c r="C1655" s="11" t="inlineStr">
        <is>
          <t>list1</t>
        </is>
      </c>
      <c r="D1655" s="11" t="inlineStr">
        <is>
          <t>verified</t>
        </is>
      </c>
      <c r="E1655" s="11" t="inlineStr">
        <is>
          <t>reversed_on_appeal</t>
        </is>
      </c>
      <c r="F1655" s="2" t="inlineStr">
        <is>
          <t>Assistant Collector of Central Excises Rajahmundry Division v. Duncan Agro Industries Ltd. and Others</t>
        </is>
      </c>
      <c r="G1655" s="11" t="inlineStr"/>
      <c r="H1655" s="11" t="inlineStr">
        <is>
          <t>unknown</t>
        </is>
      </c>
      <c r="I1655" s="2" t="inlineStr">
        <is>
          <t>(1992) CriLJ 231; (1992) 57 ELT 545</t>
        </is>
      </c>
      <c r="J1655" s="11" t="n">
        <v>1992</v>
      </c>
      <c r="K1655" s="2" t="inlineStr">
        <is>
          <t>The Assistant Collector of Central Excise, Rajamundry v. Duncan Agro Industries Ltd. and Others</t>
        </is>
      </c>
      <c r="L1655" s="11" t="inlineStr">
        <is>
          <t>Supreme Court</t>
        </is>
      </c>
      <c r="M1655" s="2" t="inlineStr">
        <is>
          <t>AIR 2000 SC 2901; (2000) CriLJ 4035; (2000) 71 ECC 233; (2000) 120 ELT 280; (2000) 8 JT 530; (2000) 5 SCALE 454; (2000) 7 SCC 53; (2000) 2 SCR 162 Supp; (2000) AIRSCW 3150; (2000) 5 Supreme 444</t>
        </is>
      </c>
      <c r="N1655" s="11" t="n">
        <v>2000</v>
      </c>
      <c r="O1655" s="11" t="n"/>
      <c r="P1655" s="11" t="n"/>
      <c r="Q1655" s="11" t="n"/>
      <c r="R1655" s="2" t="n"/>
      <c r="S1655" s="2" t="n"/>
      <c r="T1655" s="11" t="inlineStr">
        <is>
          <t>yes</t>
        </is>
      </c>
      <c r="U1655" s="11" t="inlineStr"/>
      <c r="V1655" s="11" t="inlineStr">
        <is>
          <t>outside_list</t>
        </is>
      </c>
      <c r="W1655" s="11" t="n"/>
      <c r="X1655" s="11" t="n"/>
      <c r="Y1655" s="11" t="n"/>
      <c r="Z1655" s="11" t="inlineStr">
        <is>
          <t>Mr. Advocate</t>
        </is>
      </c>
      <c r="AA1655" s="11" t="inlineStr">
        <is>
          <t>2026-10-07</t>
        </is>
      </c>
      <c r="AB1655" s="11" t="inlineStr">
        <is>
          <t>name_year</t>
        </is>
      </c>
      <c r="AC1655" s="2" t="inlineStr"/>
      <c r="AD1655" s="2" t="inlineStr">
        <is>
          <t>Assistant Collector of Central Excises Rajahmundry Division v. Duncan Agro Industries Ltd. and Others (1992) was reversed on appeal by the Supreme Court in The Assistant Collector of Central Excise, Rajamundry v. Duncan Agro Industries Ltd. and Others (2000).</t>
        </is>
      </c>
      <c r="AE1655" s="2" t="n"/>
      <c r="AF1655" s="11" t="inlineStr">
        <is>
          <t>created from list 1</t>
        </is>
      </c>
    </row>
    <row r="1656">
      <c r="A1656" s="11" t="inlineStr">
        <is>
          <t>L1-1655</t>
        </is>
      </c>
      <c r="B1656" s="11" t="inlineStr">
        <is>
          <t>List 1 (to ~2015)</t>
        </is>
      </c>
      <c r="C1656" s="11" t="inlineStr">
        <is>
          <t>list1</t>
        </is>
      </c>
      <c r="D1656" s="11" t="inlineStr">
        <is>
          <t>verified</t>
        </is>
      </c>
      <c r="E1656" s="11" t="inlineStr">
        <is>
          <t>overruled</t>
        </is>
      </c>
      <c r="F1656" s="2" t="inlineStr">
        <is>
          <t>Vajra Chemical Pvt. Ltd. v. Andhra Pradesh State Financial Corporation and Others</t>
        </is>
      </c>
      <c r="G1656" s="11" t="inlineStr"/>
      <c r="H1656" s="11" t="inlineStr">
        <is>
          <t>unknown</t>
        </is>
      </c>
      <c r="I1656" s="2" t="inlineStr">
        <is>
          <t>(1996) 3 ALT 629; (1996) 2 APLJ 221; (1996) 1 APLJ 221; (1998) 94 CompCas 81</t>
        </is>
      </c>
      <c r="J1656" s="11" t="n">
        <v>1996</v>
      </c>
      <c r="K1656" s="2" t="inlineStr">
        <is>
          <t>A.P. State Financial Corporation v. Vajra Chemicals and others</t>
        </is>
      </c>
      <c r="L1656" s="11" t="inlineStr">
        <is>
          <t>Supreme Court</t>
        </is>
      </c>
      <c r="M1656" s="2" t="inlineStr">
        <is>
          <t>AIR 1997 SC 3059; (1998) 94 CompCas 96; (1997) 6 JT 381; (1997) 5 SCALE 1; (1997) 7 SCC 76; (1997) 2 SCR 702 Supp; (1997) AIRSCW 3096</t>
        </is>
      </c>
      <c r="N1656" s="11" t="n">
        <v>1997</v>
      </c>
      <c r="O1656" s="11" t="n"/>
      <c r="P1656" s="11" t="n"/>
      <c r="Q1656" s="11" t="n"/>
      <c r="R1656" s="2" t="n"/>
      <c r="S1656" s="2" t="n"/>
      <c r="T1656" s="11" t="inlineStr"/>
      <c r="U1656" s="11" t="inlineStr"/>
      <c r="V1656" s="11" t="inlineStr">
        <is>
          <t>outside_list</t>
        </is>
      </c>
      <c r="W1656" s="11" t="n"/>
      <c r="X1656" s="11" t="n"/>
      <c r="Y1656" s="11" t="n"/>
      <c r="Z1656" s="11" t="inlineStr">
        <is>
          <t>Mr. Advocate</t>
        </is>
      </c>
      <c r="AA1656" s="11" t="inlineStr">
        <is>
          <t>2026-10-07</t>
        </is>
      </c>
      <c r="AB1656" s="11" t="inlineStr">
        <is>
          <t>name_year</t>
        </is>
      </c>
      <c r="AC1656" s="2" t="inlineStr"/>
      <c r="AD1656" s="2" t="inlineStr">
        <is>
          <t>Vajra Chemical Pvt. Ltd. v. Andhra Pradesh State Financial Corporation and Others (1996) was overruled by A.P. State Financial Corporation v. Vajra Chemicals and others (1997).</t>
        </is>
      </c>
      <c r="AE1656" s="2" t="n"/>
      <c r="AF1656" s="11" t="inlineStr">
        <is>
          <t>created from list 1</t>
        </is>
      </c>
    </row>
    <row r="1657">
      <c r="A1657" s="11" t="inlineStr">
        <is>
          <t>L1-1656</t>
        </is>
      </c>
      <c r="B1657" s="11" t="inlineStr">
        <is>
          <t>List 1 (to ~2015)</t>
        </is>
      </c>
      <c r="C1657" s="11" t="inlineStr">
        <is>
          <t>list1</t>
        </is>
      </c>
      <c r="D1657" s="11" t="inlineStr">
        <is>
          <t>verified</t>
        </is>
      </c>
      <c r="E1657" s="11" t="inlineStr">
        <is>
          <t>reversed_on_appeal</t>
        </is>
      </c>
      <c r="F1657" s="2" t="inlineStr">
        <is>
          <t>Union of India (UOI) v. Col. L.S.N. Murthy and Another</t>
        </is>
      </c>
      <c r="G1657" s="11" t="inlineStr"/>
      <c r="H1657" s="11" t="inlineStr">
        <is>
          <t>unknown</t>
        </is>
      </c>
      <c r="I1657" s="2" t="inlineStr">
        <is>
          <t>(2006) 4 ALD 368; (2006) 4 ALT 256; (2006) 2 APLJ 170; (2006) 3 ARBLR 552</t>
        </is>
      </c>
      <c r="J1657" s="11" t="n">
        <v>2006</v>
      </c>
      <c r="K1657" s="2" t="inlineStr">
        <is>
          <t>Union of India (UOI) v. Col. L.S.N. Murthy and Another</t>
        </is>
      </c>
      <c r="L1657" s="11" t="inlineStr">
        <is>
          <t>Supreme Court</t>
        </is>
      </c>
      <c r="M1657" s="2" t="inlineStr">
        <is>
          <t>(2012) 1 CTC 329; (2011) 13 JT 258; (2012) 3 RCR(Civil) 629; (2011) 13 SCALE 67; (2012) 1 SCC 718</t>
        </is>
      </c>
      <c r="N1657" s="11" t="n">
        <v>2011</v>
      </c>
      <c r="O1657" s="11" t="n"/>
      <c r="P1657" s="11" t="n"/>
      <c r="Q1657" s="11" t="n"/>
      <c r="R1657" s="2" t="n"/>
      <c r="S1657" s="2" t="n"/>
      <c r="T1657" s="11" t="inlineStr">
        <is>
          <t>yes</t>
        </is>
      </c>
      <c r="U1657" s="11" t="inlineStr"/>
      <c r="V1657" s="11" t="inlineStr">
        <is>
          <t>outside_list</t>
        </is>
      </c>
      <c r="W1657" s="11" t="n"/>
      <c r="X1657" s="11" t="n"/>
      <c r="Y1657" s="11" t="n"/>
      <c r="Z1657" s="11" t="inlineStr">
        <is>
          <t>Mr. Advocate</t>
        </is>
      </c>
      <c r="AA1657" s="11" t="inlineStr">
        <is>
          <t>2026-10-07</t>
        </is>
      </c>
      <c r="AB1657" s="11" t="inlineStr">
        <is>
          <t>name_year</t>
        </is>
      </c>
      <c r="AC1657" s="2" t="inlineStr"/>
      <c r="AD1657" s="2" t="inlineStr">
        <is>
          <t>Union of India (UOI) v. Col. L.S.N. Murthy and Another (2006) was reversed on appeal by the Supreme Court in Union of India (UOI) v. Col. L.S.N. Murthy and Another (2011).</t>
        </is>
      </c>
      <c r="AE1657" s="2" t="n"/>
      <c r="AF1657" s="11" t="inlineStr">
        <is>
          <t>created from list 1</t>
        </is>
      </c>
    </row>
    <row r="1658">
      <c r="A1658" s="11" t="inlineStr">
        <is>
          <t>L1-1657</t>
        </is>
      </c>
      <c r="B1658" s="11" t="inlineStr">
        <is>
          <t>List 1 (to ~2015)</t>
        </is>
      </c>
      <c r="C1658" s="11" t="inlineStr">
        <is>
          <t>list1</t>
        </is>
      </c>
      <c r="D1658" s="11" t="inlineStr">
        <is>
          <t>verified</t>
        </is>
      </c>
      <c r="E1658" s="11" t="inlineStr">
        <is>
          <t>overruled</t>
        </is>
      </c>
      <c r="F1658" s="2" t="inlineStr">
        <is>
          <t>Mopeds India Ltd. v. Assistant Collector, Central Excise, Nellore Division and Others</t>
        </is>
      </c>
      <c r="G1658" s="11" t="inlineStr"/>
      <c r="H1658" s="11" t="inlineStr">
        <is>
          <t>unknown</t>
        </is>
      </c>
      <c r="I1658" s="2" t="inlineStr">
        <is>
          <t>(1985) 4 ECC 170; (1984) 18 ELT 249</t>
        </is>
      </c>
      <c r="J1658" s="11" t="n">
        <v>1984</v>
      </c>
      <c r="K1658" s="2" t="inlineStr">
        <is>
          <t>Moped India Ltd. v. Asstt. Collector of Central Excise, Nellore and Others</t>
        </is>
      </c>
      <c r="L1658" s="11" t="inlineStr">
        <is>
          <t>Supreme Court</t>
        </is>
      </c>
      <c r="M1658" s="2" t="inlineStr">
        <is>
          <t>(1986) 8 ECC 63; (1986) 23 ELT 8; (1985) 2 SCALE 1379; (1986) 1 SCC 125; (1985) 1 SCR 954 Supp</t>
        </is>
      </c>
      <c r="N1658" s="11" t="n">
        <v>1985</v>
      </c>
      <c r="O1658" s="11" t="n"/>
      <c r="P1658" s="11" t="n"/>
      <c r="Q1658" s="11" t="n"/>
      <c r="R1658" s="2" t="n"/>
      <c r="S1658" s="2" t="n"/>
      <c r="T1658" s="11" t="inlineStr"/>
      <c r="U1658" s="11" t="inlineStr"/>
      <c r="V1658" s="11" t="inlineStr">
        <is>
          <t>outside_list</t>
        </is>
      </c>
      <c r="W1658" s="11" t="n"/>
      <c r="X1658" s="11" t="n"/>
      <c r="Y1658" s="11" t="n"/>
      <c r="Z1658" s="11" t="inlineStr">
        <is>
          <t>Mr. Advocate</t>
        </is>
      </c>
      <c r="AA1658" s="11" t="inlineStr">
        <is>
          <t>2026-10-07</t>
        </is>
      </c>
      <c r="AB1658" s="11" t="inlineStr">
        <is>
          <t>name_year</t>
        </is>
      </c>
      <c r="AC1658" s="2" t="inlineStr"/>
      <c r="AD1658" s="2" t="inlineStr">
        <is>
          <t>Mopeds India Ltd. v. Assistant Collector, Central Excise, Nellore Division and Others (1984) was overruled by Moped India Ltd. v. Asstt. Collector of Central Excise, Nellore and Others (1985).</t>
        </is>
      </c>
      <c r="AE1658" s="2" t="n"/>
      <c r="AF1658" s="11" t="inlineStr">
        <is>
          <t>created from list 1</t>
        </is>
      </c>
    </row>
    <row r="1659">
      <c r="A1659" s="11" t="inlineStr">
        <is>
          <t>L1-1658</t>
        </is>
      </c>
      <c r="B1659" s="11" t="inlineStr">
        <is>
          <t>List 1 (to ~2015)</t>
        </is>
      </c>
      <c r="C1659" s="11" t="inlineStr">
        <is>
          <t>list1</t>
        </is>
      </c>
      <c r="D1659" s="11" t="inlineStr">
        <is>
          <t>verified</t>
        </is>
      </c>
      <c r="E1659" s="11" t="inlineStr">
        <is>
          <t>overruled</t>
        </is>
      </c>
      <c r="F1659" s="2" t="inlineStr">
        <is>
          <t>Chevuru Suryanarayana Reddy and Others v. Government of Andhra Pradesh and Another</t>
        </is>
      </c>
      <c r="G1659" s="11" t="inlineStr"/>
      <c r="H1659" s="11" t="inlineStr">
        <is>
          <t>Andhra Pradesh</t>
        </is>
      </c>
      <c r="I1659" s="2" t="inlineStr">
        <is>
          <t>AIR 1983 AP 17</t>
        </is>
      </c>
      <c r="J1659" s="11" t="n">
        <v>1983</v>
      </c>
      <c r="K1659" s="2" t="inlineStr">
        <is>
          <t>Deepak Pahwa and Others v. Lt. Governor of Delhi and Others</t>
        </is>
      </c>
      <c r="L1659" s="11" t="inlineStr">
        <is>
          <t>Supreme Court</t>
        </is>
      </c>
      <c r="M1659" s="2" t="inlineStr">
        <is>
          <t>AIR 1984 SC 1721; (1984) 2 SCALE 239; (1984) 4 SCC 308; (1985) 1 SCR 588; (1985) 17 UJ 237</t>
        </is>
      </c>
      <c r="N1659" s="11" t="n">
        <v>1984</v>
      </c>
      <c r="O1659" s="11" t="n"/>
      <c r="P1659" s="11" t="n"/>
      <c r="Q1659" s="11" t="n"/>
      <c r="R1659" s="2" t="n"/>
      <c r="S1659" s="2" t="n"/>
      <c r="T1659" s="11" t="inlineStr"/>
      <c r="U1659" s="11" t="inlineStr"/>
      <c r="V1659" s="11" t="inlineStr">
        <is>
          <t>outside_list</t>
        </is>
      </c>
      <c r="W1659" s="11" t="n"/>
      <c r="X1659" s="11" t="n"/>
      <c r="Y1659" s="11" t="n"/>
      <c r="Z1659" s="11" t="inlineStr">
        <is>
          <t>Mr. Advocate</t>
        </is>
      </c>
      <c r="AA1659" s="11" t="inlineStr">
        <is>
          <t>2026-10-07</t>
        </is>
      </c>
      <c r="AB1659" s="11" t="inlineStr">
        <is>
          <t>name_year</t>
        </is>
      </c>
      <c r="AC1659" s="2" t="inlineStr"/>
      <c r="AD1659" s="2" t="inlineStr">
        <is>
          <t>Chevuru Suryanarayana Reddy and Others v. Government of Andhra Pradesh and Another (1983) was overruled by Deepak Pahwa and Others v. Lt. Governor of Delhi and Others (1984).</t>
        </is>
      </c>
      <c r="AE1659" s="2" t="n"/>
      <c r="AF1659" s="11" t="inlineStr">
        <is>
          <t>created from list 1</t>
        </is>
      </c>
    </row>
    <row r="1660">
      <c r="A1660" s="11" t="inlineStr">
        <is>
          <t>L1-1659</t>
        </is>
      </c>
      <c r="B1660" s="11" t="inlineStr">
        <is>
          <t>List 1 (to ~2015)</t>
        </is>
      </c>
      <c r="C1660" s="11" t="inlineStr">
        <is>
          <t>list1</t>
        </is>
      </c>
      <c r="D1660" s="11" t="inlineStr">
        <is>
          <t>verified</t>
        </is>
      </c>
      <c r="E1660" s="11" t="inlineStr">
        <is>
          <t>overruled</t>
        </is>
      </c>
      <c r="F1660" s="2" t="inlineStr">
        <is>
          <t>Nazir Ahmed Ansari v. Lateef Bi and Others</t>
        </is>
      </c>
      <c r="G1660" s="11" t="inlineStr"/>
      <c r="H1660" s="11" t="inlineStr">
        <is>
          <t>unknown</t>
        </is>
      </c>
      <c r="I1660" s="2" t="inlineStr">
        <is>
          <t>(1996) 1 ALD(Cri) 396; (1996) 1 ALT(Cri) 419; (1996) CriLJ 1548; (1996) 1 DMC 300</t>
        </is>
      </c>
      <c r="J1660" s="11" t="n">
        <v>1996</v>
      </c>
      <c r="K1660" s="2" t="inlineStr">
        <is>
          <t>Danial Latifi and Another v. Union of India</t>
        </is>
      </c>
      <c r="L1660" s="11" t="inlineStr">
        <is>
          <t>Supreme Court</t>
        </is>
      </c>
      <c r="M1660" s="2" t="inlineStr">
        <is>
          <t>(2001) 8 AD 1; AIR 2001 SC 3958; (2001) CriLJ 4660; (2001) 2 DMC 714; (2001) 8 JT 218; (2001) 6 SCALE 537; (2001) 7 SCC 740; (2001) AIRSCW 3932; (2001) 7 Supreme 297</t>
        </is>
      </c>
      <c r="N1660" s="11" t="n">
        <v>2001</v>
      </c>
      <c r="O1660" s="11" t="n"/>
      <c r="P1660" s="11" t="n"/>
      <c r="Q1660" s="11" t="n"/>
      <c r="R1660" s="2" t="n"/>
      <c r="S1660" s="2" t="n"/>
      <c r="T1660" s="11" t="inlineStr"/>
      <c r="U1660" s="11" t="inlineStr"/>
      <c r="V1660" s="11" t="inlineStr">
        <is>
          <t>outside_list</t>
        </is>
      </c>
      <c r="W1660" s="11" t="n"/>
      <c r="X1660" s="11" t="n"/>
      <c r="Y1660" s="11" t="n"/>
      <c r="Z1660" s="11" t="inlineStr">
        <is>
          <t>Mr. Advocate</t>
        </is>
      </c>
      <c r="AA1660" s="11" t="inlineStr">
        <is>
          <t>2026-10-07</t>
        </is>
      </c>
      <c r="AB1660" s="11" t="inlineStr">
        <is>
          <t>name_year</t>
        </is>
      </c>
      <c r="AC1660" s="2" t="inlineStr"/>
      <c r="AD1660" s="2" t="inlineStr">
        <is>
          <t>Nazir Ahmed Ansari v. Lateef Bi and Others (1996) was overruled by Danial Latifi and Another v. Union of India (2001).</t>
        </is>
      </c>
      <c r="AE1660" s="2" t="n"/>
      <c r="AF1660" s="11" t="inlineStr">
        <is>
          <t>created from list 1</t>
        </is>
      </c>
    </row>
    <row r="1661">
      <c r="A1661" s="11" t="inlineStr">
        <is>
          <t>L1-1660</t>
        </is>
      </c>
      <c r="B1661" s="11" t="inlineStr">
        <is>
          <t>List 1 (to ~2015)</t>
        </is>
      </c>
      <c r="C1661" s="11" t="inlineStr">
        <is>
          <t>list1</t>
        </is>
      </c>
      <c r="D1661" s="11" t="inlineStr">
        <is>
          <t>verified</t>
        </is>
      </c>
      <c r="E1661" s="11" t="inlineStr">
        <is>
          <t>overruled</t>
        </is>
      </c>
      <c r="F1661" s="2" t="inlineStr">
        <is>
          <t>P.K. Banerji v. Commissioner of Wealth Tax</t>
        </is>
      </c>
      <c r="G1661" s="11" t="inlineStr"/>
      <c r="H1661" s="11" t="inlineStr">
        <is>
          <t>unknown</t>
        </is>
      </c>
      <c r="I1661" s="2" t="inlineStr">
        <is>
          <t>(1972) 83 ITR 117</t>
        </is>
      </c>
      <c r="J1661" s="11" t="n">
        <v>1972</v>
      </c>
      <c r="K1661" s="2" t="inlineStr">
        <is>
          <t>Commissioner of Wealth-tax v. P.K. Banerjee (decd., by legal representatives)</t>
        </is>
      </c>
      <c r="L1661" s="11" t="inlineStr">
        <is>
          <t>Supreme Court</t>
        </is>
      </c>
      <c r="M1661" s="2" t="inlineStr">
        <is>
          <t>AIR 1981 SC 401; (1980) 19 CTR 376; (1980) 125 ITR 641; (1981) 1 SCC 63; (1981) 1 SCR 657; (1980) 12 UJ 934</t>
        </is>
      </c>
      <c r="N1661" s="11" t="n">
        <v>1981</v>
      </c>
      <c r="O1661" s="11" t="n"/>
      <c r="P1661" s="11" t="n"/>
      <c r="Q1661" s="11" t="n"/>
      <c r="R1661" s="2" t="n"/>
      <c r="S1661" s="2" t="n"/>
      <c r="T1661" s="11" t="inlineStr"/>
      <c r="U1661" s="11" t="inlineStr"/>
      <c r="V1661" s="11" t="inlineStr">
        <is>
          <t>outside_list</t>
        </is>
      </c>
      <c r="W1661" s="11" t="n"/>
      <c r="X1661" s="11" t="n"/>
      <c r="Y1661" s="11" t="n"/>
      <c r="Z1661" s="11" t="inlineStr">
        <is>
          <t>Mr. Advocate</t>
        </is>
      </c>
      <c r="AA1661" s="11" t="inlineStr">
        <is>
          <t>2026-10-07</t>
        </is>
      </c>
      <c r="AB1661" s="11" t="inlineStr">
        <is>
          <t>name_year</t>
        </is>
      </c>
      <c r="AC1661" s="2" t="inlineStr"/>
      <c r="AD1661" s="2" t="inlineStr">
        <is>
          <t>P.K. Banerji v. Commissioner of Wealth Tax (1972) was overruled by Commissioner of Wealth-tax v. P.K. Banerjee (decd., by legal representatives) (1981).</t>
        </is>
      </c>
      <c r="AE1661" s="2" t="n"/>
      <c r="AF1661" s="11" t="inlineStr">
        <is>
          <t>created from list 1</t>
        </is>
      </c>
    </row>
    <row r="1662">
      <c r="A1662" s="11" t="inlineStr">
        <is>
          <t>L1-1661</t>
        </is>
      </c>
      <c r="B1662" s="11" t="inlineStr">
        <is>
          <t>List 1 (to ~2015)</t>
        </is>
      </c>
      <c r="C1662" s="11" t="inlineStr">
        <is>
          <t>list1</t>
        </is>
      </c>
      <c r="D1662" s="11" t="inlineStr">
        <is>
          <t>verified</t>
        </is>
      </c>
      <c r="E1662" s="11" t="inlineStr">
        <is>
          <t>reversed_on_appeal</t>
        </is>
      </c>
      <c r="F1662" s="2" t="inlineStr">
        <is>
          <t>K. Purushotham Reddy v. State of A.P. and others</t>
        </is>
      </c>
      <c r="G1662" s="11" t="inlineStr"/>
      <c r="H1662" s="11" t="inlineStr">
        <is>
          <t>unknown</t>
        </is>
      </c>
      <c r="I1662" s="2" t="inlineStr">
        <is>
          <t>(2001) 5 ALD 250; (2001) 3 ALT 689</t>
        </is>
      </c>
      <c r="J1662" s="11" t="n">
        <v>2001</v>
      </c>
      <c r="K1662" s="2" t="inlineStr">
        <is>
          <t>State of A.P. v. K. Purushotham Reddy and Others</t>
        </is>
      </c>
      <c r="L1662" s="11" t="inlineStr">
        <is>
          <t>Supreme Court</t>
        </is>
      </c>
      <c r="M1662" s="2" t="inlineStr">
        <is>
          <t>AIR 2003 SC 1956; (2003) 3 SCALE 88; (2003) 9 SCC 564; (2003) 2 SCR 832; (2003) AIRSCW 1449; (2003) 2 Supreme 630</t>
        </is>
      </c>
      <c r="N1662" s="11" t="n">
        <v>2003</v>
      </c>
      <c r="O1662" s="11" t="n"/>
      <c r="P1662" s="11" t="n"/>
      <c r="Q1662" s="11" t="n"/>
      <c r="R1662" s="2" t="n"/>
      <c r="S1662" s="2" t="n"/>
      <c r="T1662" s="11" t="inlineStr">
        <is>
          <t>yes</t>
        </is>
      </c>
      <c r="U1662" s="11" t="inlineStr"/>
      <c r="V1662" s="11" t="inlineStr">
        <is>
          <t>outside_list</t>
        </is>
      </c>
      <c r="W1662" s="11" t="n"/>
      <c r="X1662" s="11" t="n"/>
      <c r="Y1662" s="11" t="n"/>
      <c r="Z1662" s="11" t="inlineStr">
        <is>
          <t>Mr. Advocate</t>
        </is>
      </c>
      <c r="AA1662" s="11" t="inlineStr">
        <is>
          <t>2026-10-07</t>
        </is>
      </c>
      <c r="AB1662" s="11" t="inlineStr">
        <is>
          <t>name_year</t>
        </is>
      </c>
      <c r="AC1662" s="2" t="inlineStr"/>
      <c r="AD1662" s="2" t="inlineStr">
        <is>
          <t>K. Purushotham Reddy v. State of A.P. and others (2001) was reversed on appeal by the Supreme Court in State of A.P. v. K. Purushotham Reddy and Others (2003).</t>
        </is>
      </c>
      <c r="AE1662" s="2" t="n"/>
      <c r="AF1662" s="11" t="inlineStr">
        <is>
          <t>created from list 1</t>
        </is>
      </c>
    </row>
    <row r="1663">
      <c r="A1663" s="11" t="inlineStr">
        <is>
          <t>L1-1662</t>
        </is>
      </c>
      <c r="B1663" s="11" t="inlineStr">
        <is>
          <t>List 1 (to ~2015)</t>
        </is>
      </c>
      <c r="C1663" s="11" t="inlineStr">
        <is>
          <t>list1</t>
        </is>
      </c>
      <c r="D1663" s="11" t="inlineStr">
        <is>
          <t>verified</t>
        </is>
      </c>
      <c r="E1663" s="11" t="inlineStr">
        <is>
          <t>overruled</t>
        </is>
      </c>
      <c r="F1663" s="2" t="inlineStr">
        <is>
          <t>In Re: Narsiah and Others</t>
        </is>
      </c>
      <c r="G1663" s="11" t="inlineStr"/>
      <c r="H1663" s="11" t="inlineStr">
        <is>
          <t>Andhra Pradesh</t>
        </is>
      </c>
      <c r="I1663" s="2" t="inlineStr">
        <is>
          <t>AIR 1959 AP 313; (1959) CriLJ 689</t>
        </is>
      </c>
      <c r="J1663" s="11" t="n">
        <v>1959</v>
      </c>
      <c r="K1663" s="2" t="inlineStr">
        <is>
          <t>Tanviben Pankaj Kumar Divetia v. State of Gujarat</t>
        </is>
      </c>
      <c r="L1663" s="11" t="inlineStr">
        <is>
          <t>Supreme Court</t>
        </is>
      </c>
      <c r="M1663" s="2" t="inlineStr">
        <is>
          <t>AIR 1997 SC 2193; (1997) CriLJ 2535; (1997) 2 Crimes 109; (1997) 5 JT 233; (1997) 4 SCALE 33; (1997) 7 SCC 156; (1997) 1 SCR 96 Supp; (1997) 2 UJ 205; (1997) AIRSCW 2055; (1997) 4 Supreme 517</t>
        </is>
      </c>
      <c r="N1663" s="11" t="n">
        <v>1997</v>
      </c>
      <c r="O1663" s="11" t="n"/>
      <c r="P1663" s="11" t="n"/>
      <c r="Q1663" s="11" t="n"/>
      <c r="R1663" s="2" t="n"/>
      <c r="S1663" s="2" t="n"/>
      <c r="T1663" s="11" t="inlineStr"/>
      <c r="U1663" s="11" t="inlineStr"/>
      <c r="V1663" s="11" t="inlineStr">
        <is>
          <t>outside_list</t>
        </is>
      </c>
      <c r="W1663" s="11" t="n"/>
      <c r="X1663" s="11" t="n"/>
      <c r="Y1663" s="11" t="n"/>
      <c r="Z1663" s="11" t="inlineStr">
        <is>
          <t>Mr. Advocate</t>
        </is>
      </c>
      <c r="AA1663" s="11" t="inlineStr">
        <is>
          <t>2026-10-07</t>
        </is>
      </c>
      <c r="AB1663" s="11" t="inlineStr">
        <is>
          <t>citation</t>
        </is>
      </c>
      <c r="AC1663" s="2" t="inlineStr"/>
      <c r="AD1663" s="2" t="inlineStr">
        <is>
          <t>In Re: Narsiah and Others (1959) was overruled by Tanviben Pankaj Kumar Divetia v. State of Gujarat (1997).</t>
        </is>
      </c>
      <c r="AE1663" s="2" t="n"/>
      <c r="AF1663" s="11" t="inlineStr">
        <is>
          <t>created from list 1</t>
        </is>
      </c>
    </row>
    <row r="1664">
      <c r="A1664" s="11" t="inlineStr">
        <is>
          <t>L1-1663</t>
        </is>
      </c>
      <c r="B1664" s="11" t="inlineStr">
        <is>
          <t>List 1 (to ~2015)</t>
        </is>
      </c>
      <c r="C1664" s="11" t="inlineStr">
        <is>
          <t>list1</t>
        </is>
      </c>
      <c r="D1664" s="11" t="inlineStr">
        <is>
          <t>verified</t>
        </is>
      </c>
      <c r="E1664" s="11" t="inlineStr">
        <is>
          <t>reversed_on_appeal</t>
        </is>
      </c>
      <c r="F1664" s="2" t="inlineStr">
        <is>
          <t>Corromandal Pharmaceuticals Limited v. Deputy Commercial Tax Officer and Others</t>
        </is>
      </c>
      <c r="G1664" s="11" t="inlineStr"/>
      <c r="H1664" s="11" t="inlineStr">
        <is>
          <t>unknown</t>
        </is>
      </c>
      <c r="I1664" s="2" t="inlineStr">
        <is>
          <t>(1996) 87 CompCas 92</t>
        </is>
      </c>
      <c r="J1664" s="11" t="n">
        <v>1996</v>
      </c>
      <c r="K1664" s="2" t="inlineStr">
        <is>
          <t>Deputy Commercial Tax Officer and Others v. Corromandal Pharmaceuticals and Others</t>
        </is>
      </c>
      <c r="L1664" s="11" t="inlineStr">
        <is>
          <t>Supreme Court</t>
        </is>
      </c>
      <c r="M1664" s="2" t="inlineStr">
        <is>
          <t>AIR 1997 SC 2027; (1997) 89 CompCas 1; (1997) 3 JT 660; (1997) 2 SCALE 640; (1997) 10 SCC 649; (1997) 2 SCR 1026; (1997) 105 STC 327; (1997) AIRSCW 1816; (1997) 4 Supreme 259</t>
        </is>
      </c>
      <c r="N1664" s="11" t="n">
        <v>1997</v>
      </c>
      <c r="O1664" s="11" t="n"/>
      <c r="P1664" s="11" t="n"/>
      <c r="Q1664" s="11" t="n"/>
      <c r="R1664" s="2" t="n"/>
      <c r="S1664" s="2" t="n"/>
      <c r="T1664" s="11" t="inlineStr">
        <is>
          <t>yes</t>
        </is>
      </c>
      <c r="U1664" s="11" t="inlineStr"/>
      <c r="V1664" s="11" t="inlineStr">
        <is>
          <t>outside_list</t>
        </is>
      </c>
      <c r="W1664" s="11" t="n"/>
      <c r="X1664" s="11" t="n"/>
      <c r="Y1664" s="11" t="n"/>
      <c r="Z1664" s="11" t="inlineStr">
        <is>
          <t>Mr. Advocate</t>
        </is>
      </c>
      <c r="AA1664" s="11" t="inlineStr">
        <is>
          <t>2026-10-07</t>
        </is>
      </c>
      <c r="AB1664" s="11" t="inlineStr">
        <is>
          <t>name_year</t>
        </is>
      </c>
      <c r="AC1664" s="2" t="inlineStr"/>
      <c r="AD1664" s="2" t="inlineStr">
        <is>
          <t>Corromandal Pharmaceuticals Limited v. Deputy Commercial Tax Officer and Others (1996) was reversed on appeal by the Supreme Court in Deputy Commercial Tax Officer and Others v. Corromandal Pharmaceuticals and Others (1997).</t>
        </is>
      </c>
      <c r="AE1664" s="2" t="n"/>
      <c r="AF1664" s="11" t="inlineStr">
        <is>
          <t>created from list 1</t>
        </is>
      </c>
    </row>
    <row r="1665">
      <c r="A1665" s="11" t="inlineStr">
        <is>
          <t>L1-1664</t>
        </is>
      </c>
      <c r="B1665" s="11" t="inlineStr">
        <is>
          <t>List 1 (to ~2015)</t>
        </is>
      </c>
      <c r="C1665" s="11" t="inlineStr">
        <is>
          <t>list1</t>
        </is>
      </c>
      <c r="D1665" s="11" t="inlineStr">
        <is>
          <t>verified</t>
        </is>
      </c>
      <c r="E1665" s="11" t="inlineStr">
        <is>
          <t>reversed_on_appeal</t>
        </is>
      </c>
      <c r="F1665" s="2" t="inlineStr">
        <is>
          <t>State of A.P. v. M. Nageshwar Rao</t>
        </is>
      </c>
      <c r="G1665" s="11" t="inlineStr"/>
      <c r="H1665" s="11" t="inlineStr">
        <is>
          <t>unknown</t>
        </is>
      </c>
      <c r="I1665" s="2" t="inlineStr">
        <is>
          <t>(2007) 2 ALD(Cri) 817</t>
        </is>
      </c>
      <c r="J1665" s="11" t="n">
        <v>2007</v>
      </c>
      <c r="K1665" s="2" t="inlineStr">
        <is>
          <t>M. Nageshwar Rao v. State of Andhra Pradesh</t>
        </is>
      </c>
      <c r="L1665" s="11" t="inlineStr">
        <is>
          <t>Supreme Court</t>
        </is>
      </c>
      <c r="M1665" s="2" t="inlineStr">
        <is>
          <t>(2011) 1 Crimes 145; (2011) 1 JCC 432; (2011) 1 JT 31; (2011) 4 RCR(Criminal) 225; (2011) 1 SCALE 99; (2011) 2 SCC 188; (2011) 1 SCC(Cri) 646; (2011) 1 SCR 608</t>
        </is>
      </c>
      <c r="N1665" s="11" t="n">
        <v>2011</v>
      </c>
      <c r="O1665" s="11" t="n"/>
      <c r="P1665" s="11" t="n"/>
      <c r="Q1665" s="11" t="n"/>
      <c r="R1665" s="2" t="n"/>
      <c r="S1665" s="2" t="n"/>
      <c r="T1665" s="11" t="inlineStr">
        <is>
          <t>yes</t>
        </is>
      </c>
      <c r="U1665" s="11" t="inlineStr"/>
      <c r="V1665" s="11" t="inlineStr">
        <is>
          <t>outside_list</t>
        </is>
      </c>
      <c r="W1665" s="11" t="n"/>
      <c r="X1665" s="11" t="n"/>
      <c r="Y1665" s="11" t="n"/>
      <c r="Z1665" s="11" t="inlineStr">
        <is>
          <t>Mr. Advocate</t>
        </is>
      </c>
      <c r="AA1665" s="11" t="inlineStr">
        <is>
          <t>2026-10-07</t>
        </is>
      </c>
      <c r="AB1665" s="11" t="inlineStr">
        <is>
          <t>name_year</t>
        </is>
      </c>
      <c r="AC1665" s="2" t="inlineStr"/>
      <c r="AD1665" s="2" t="inlineStr">
        <is>
          <t>State of A.P. v. M. Nageshwar Rao (2007) was reversed on appeal by the Supreme Court in M. Nageshwar Rao v. State of Andhra Pradesh (2011).</t>
        </is>
      </c>
      <c r="AE1665" s="2" t="n"/>
      <c r="AF1665" s="11" t="inlineStr">
        <is>
          <t>created from list 1</t>
        </is>
      </c>
    </row>
    <row r="1666">
      <c r="A1666" s="11" t="inlineStr">
        <is>
          <t>L1-1665</t>
        </is>
      </c>
      <c r="B1666" s="11" t="inlineStr">
        <is>
          <t>List 1 (to ~2015)</t>
        </is>
      </c>
      <c r="C1666" s="11" t="inlineStr">
        <is>
          <t>list1</t>
        </is>
      </c>
      <c r="D1666" s="11" t="inlineStr">
        <is>
          <t>verified</t>
        </is>
      </c>
      <c r="E1666" s="11" t="inlineStr">
        <is>
          <t>reversed_on_appeal</t>
        </is>
      </c>
      <c r="F1666" s="2" t="inlineStr">
        <is>
          <t>M. Bagi Reddy and another v. T. Krishna Reddy and others</t>
        </is>
      </c>
      <c r="G1666" s="11" t="inlineStr"/>
      <c r="H1666" s="11" t="inlineStr">
        <is>
          <t>unknown</t>
        </is>
      </c>
      <c r="I1666" s="2" t="inlineStr">
        <is>
          <t>(2000) 4 ALD 360; (2000) 4 ALT 235; (2000) 2 APLJ 337</t>
        </is>
      </c>
      <c r="J1666" s="11" t="n">
        <v>2000</v>
      </c>
      <c r="K1666" s="2" t="inlineStr">
        <is>
          <t>T. Krishna Reddy and Others v. M. Bagi Reddy and Another</t>
        </is>
      </c>
      <c r="L1666" s="11" t="inlineStr">
        <is>
          <t>Supreme Court</t>
        </is>
      </c>
      <c r="M1666" s="2" t="inlineStr">
        <is>
          <t>(2008) 3 CLT 525; (2008) 7 SCC 590</t>
        </is>
      </c>
      <c r="N1666" s="11" t="n">
        <v>2008</v>
      </c>
      <c r="O1666" s="11" t="n"/>
      <c r="P1666" s="11" t="n"/>
      <c r="Q1666" s="11" t="n"/>
      <c r="R1666" s="2" t="n"/>
      <c r="S1666" s="2" t="n"/>
      <c r="T1666" s="11" t="inlineStr">
        <is>
          <t>yes</t>
        </is>
      </c>
      <c r="U1666" s="11" t="inlineStr"/>
      <c r="V1666" s="11" t="inlineStr">
        <is>
          <t>outside_list</t>
        </is>
      </c>
      <c r="W1666" s="11" t="n"/>
      <c r="X1666" s="11" t="n"/>
      <c r="Y1666" s="11" t="n"/>
      <c r="Z1666" s="11" t="inlineStr">
        <is>
          <t>Mr. Advocate</t>
        </is>
      </c>
      <c r="AA1666" s="11" t="inlineStr">
        <is>
          <t>2026-10-07</t>
        </is>
      </c>
      <c r="AB1666" s="11" t="inlineStr">
        <is>
          <t>name_year</t>
        </is>
      </c>
      <c r="AC1666" s="2" t="inlineStr"/>
      <c r="AD1666" s="2" t="inlineStr">
        <is>
          <t>M. Bagi Reddy and another v. T. Krishna Reddy and others (2000) was reversed on appeal by the Supreme Court in T. Krishna Reddy and Others v. M. Bagi Reddy and Another (2008).</t>
        </is>
      </c>
      <c r="AE1666" s="2" t="n"/>
      <c r="AF1666" s="11" t="inlineStr">
        <is>
          <t>created from list 1</t>
        </is>
      </c>
    </row>
    <row r="1667">
      <c r="A1667" s="11" t="inlineStr">
        <is>
          <t>L1-1666</t>
        </is>
      </c>
      <c r="B1667" s="11" t="inlineStr">
        <is>
          <t>List 1 (to ~2015)</t>
        </is>
      </c>
      <c r="C1667" s="11" t="inlineStr">
        <is>
          <t>list1</t>
        </is>
      </c>
      <c r="D1667" s="11" t="inlineStr">
        <is>
          <t>verified</t>
        </is>
      </c>
      <c r="E1667" s="11" t="inlineStr">
        <is>
          <t>overruled</t>
        </is>
      </c>
      <c r="F1667" s="2" t="inlineStr">
        <is>
          <t>P. Buchi Reddy and others v. Ananthula Sudhakar</t>
        </is>
      </c>
      <c r="G1667" s="11" t="inlineStr"/>
      <c r="H1667" s="11" t="inlineStr">
        <is>
          <t>Andhra Pradesh</t>
        </is>
      </c>
      <c r="I1667" s="2" t="inlineStr">
        <is>
          <t>AIR 1999 AP 188; (1999) 2 ALD 327; (1999) 2 ALT 192; (1999) 1 APLJ 226</t>
        </is>
      </c>
      <c r="J1667" s="11" t="n">
        <v>1999</v>
      </c>
      <c r="K1667" s="2" t="inlineStr">
        <is>
          <t>Anathula Sudhakar v. P. Buchi Reddy (Dead) by LRs. and Others</t>
        </is>
      </c>
      <c r="L1667" s="11" t="inlineStr">
        <is>
          <t>Supreme Court</t>
        </is>
      </c>
      <c r="M1667" s="2" t="inlineStr">
        <is>
          <t>AIR 2008 SC 2033; (2008) 3 CLT 23; (2008) 4 SCALE 718; (2008) 4 SCC 594; (2008) AIRSCW 4959</t>
        </is>
      </c>
      <c r="N1667" s="11" t="n">
        <v>2008</v>
      </c>
      <c r="O1667" s="11" t="n"/>
      <c r="P1667" s="11" t="n"/>
      <c r="Q1667" s="11" t="n"/>
      <c r="R1667" s="2" t="n"/>
      <c r="S1667" s="2" t="n"/>
      <c r="T1667" s="11" t="inlineStr"/>
      <c r="U1667" s="11" t="inlineStr"/>
      <c r="V1667" s="11" t="inlineStr">
        <is>
          <t>outside_list</t>
        </is>
      </c>
      <c r="W1667" s="11" t="n"/>
      <c r="X1667" s="11" t="n"/>
      <c r="Y1667" s="11" t="n"/>
      <c r="Z1667" s="11" t="inlineStr">
        <is>
          <t>Mr. Advocate</t>
        </is>
      </c>
      <c r="AA1667" s="11" t="inlineStr">
        <is>
          <t>2026-10-07</t>
        </is>
      </c>
      <c r="AB1667" s="11" t="inlineStr">
        <is>
          <t>name_year</t>
        </is>
      </c>
      <c r="AC1667" s="2" t="inlineStr"/>
      <c r="AD1667" s="2" t="inlineStr">
        <is>
          <t>P. Buchi Reddy and others v. Ananthula Sudhakar (1999) was overruled by Anathula Sudhakar v. P. Buchi Reddy (Dead) by LRs. and Others (2008).</t>
        </is>
      </c>
      <c r="AE1667" s="2" t="n"/>
      <c r="AF1667" s="11" t="inlineStr">
        <is>
          <t>created from list 1</t>
        </is>
      </c>
    </row>
    <row r="1668">
      <c r="A1668" s="11" t="inlineStr">
        <is>
          <t>L1-1667</t>
        </is>
      </c>
      <c r="B1668" s="11" t="inlineStr">
        <is>
          <t>List 1 (to ~2015)</t>
        </is>
      </c>
      <c r="C1668" s="11" t="inlineStr">
        <is>
          <t>list1</t>
        </is>
      </c>
      <c r="D1668" s="11" t="inlineStr">
        <is>
          <t>verified</t>
        </is>
      </c>
      <c r="E1668" s="11" t="inlineStr">
        <is>
          <t>overruled</t>
        </is>
      </c>
      <c r="F1668" s="2" t="inlineStr">
        <is>
          <t>The Appellate Collector of Customs and Central Excise and Another v. T.N. Khamibati</t>
        </is>
      </c>
      <c r="G1668" s="11" t="inlineStr"/>
      <c r="H1668" s="11" t="inlineStr">
        <is>
          <t>unknown</t>
        </is>
      </c>
      <c r="I1668" s="2" t="inlineStr">
        <is>
          <t>(1977) CriLJ 1331</t>
        </is>
      </c>
      <c r="J1668" s="11" t="n">
        <v>1977</v>
      </c>
      <c r="K1668" s="2" t="inlineStr">
        <is>
          <t>Harbans Lal v. Collector or Central Excise and Customs, Chandigarh</t>
        </is>
      </c>
      <c r="L1668" s="11" t="inlineStr">
        <is>
          <t>Supreme Court</t>
        </is>
      </c>
      <c r="M1668" s="2" t="inlineStr">
        <is>
          <t>AIR 1993 SC 2487; (1993) 44 ECC 183; (1993) 48 ECR 219; (1993) 67 ELT 20; (1993) 4 JT 135; (1993) 3 SCALE 64; (1993) 3 SCC 656; (1993) 1 SCR 131 Supp</t>
        </is>
      </c>
      <c r="N1668" s="11" t="n">
        <v>1993</v>
      </c>
      <c r="O1668" s="11" t="n"/>
      <c r="P1668" s="11" t="n"/>
      <c r="Q1668" s="11" t="n"/>
      <c r="R1668" s="2" t="n"/>
      <c r="S1668" s="2" t="n"/>
      <c r="T1668" s="11" t="inlineStr"/>
      <c r="U1668" s="11" t="inlineStr"/>
      <c r="V1668" s="11" t="inlineStr">
        <is>
          <t>outside_list</t>
        </is>
      </c>
      <c r="W1668" s="11" t="n"/>
      <c r="X1668" s="11" t="n"/>
      <c r="Y1668" s="11" t="n"/>
      <c r="Z1668" s="11" t="inlineStr">
        <is>
          <t>Mr. Advocate</t>
        </is>
      </c>
      <c r="AA1668" s="11" t="inlineStr">
        <is>
          <t>2026-10-07</t>
        </is>
      </c>
      <c r="AB1668" s="11" t="inlineStr">
        <is>
          <t>name_year</t>
        </is>
      </c>
      <c r="AC1668" s="2" t="inlineStr"/>
      <c r="AD1668" s="2" t="inlineStr">
        <is>
          <t>The Appellate Collector of Customs and Central Excise and Another v. T.N. Khamibati (1977) was overruled by Harbans Lal v. Collector or Central Excise and Customs, Chandigarh (1993).</t>
        </is>
      </c>
      <c r="AE1668" s="2" t="n"/>
      <c r="AF1668" s="11" t="inlineStr">
        <is>
          <t>created from list 1</t>
        </is>
      </c>
    </row>
    <row r="1669">
      <c r="A1669" s="11" t="inlineStr">
        <is>
          <t>L1-1668</t>
        </is>
      </c>
      <c r="B1669" s="11" t="inlineStr">
        <is>
          <t>List 1 (to ~2015)</t>
        </is>
      </c>
      <c r="C1669" s="11" t="inlineStr">
        <is>
          <t>list1</t>
        </is>
      </c>
      <c r="D1669" s="11" t="inlineStr">
        <is>
          <t>verified</t>
        </is>
      </c>
      <c r="E1669" s="11" t="inlineStr">
        <is>
          <t>overruled</t>
        </is>
      </c>
      <c r="F1669" s="2" t="inlineStr">
        <is>
          <t>Dr. D. Renuka v. Commissioner of Wealth-tax</t>
        </is>
      </c>
      <c r="G1669" s="11" t="inlineStr"/>
      <c r="H1669" s="11" t="inlineStr">
        <is>
          <t>unknown</t>
        </is>
      </c>
      <c r="I1669" s="2" t="inlineStr"/>
      <c r="J1669" s="11" t="n"/>
      <c r="K1669" s="2" t="inlineStr">
        <is>
          <t>Bharat Hari Singhania and others v. Commissioner of Wealth Tax (Central) and others</t>
        </is>
      </c>
      <c r="L1669" s="11" t="inlineStr">
        <is>
          <t>Supreme Court</t>
        </is>
      </c>
      <c r="M1669" s="2" t="inlineStr">
        <is>
          <t>AIR 1994 SC 1355; (1994) 118 CTR 125; (1994) 207 ITR 1; (1994) 2 JT 6; (1994) 1 SCALE 644; (1994) 3 SCC 46 Supp; (1994) 1 SCR 1033; (1994) 73 TAXMAN 3</t>
        </is>
      </c>
      <c r="N1669" s="11" t="n">
        <v>1994</v>
      </c>
      <c r="O1669" s="11" t="n"/>
      <c r="P1669" s="11" t="n"/>
      <c r="Q1669" s="11" t="n"/>
      <c r="R1669" s="2" t="n"/>
      <c r="S1669" s="2" t="n"/>
      <c r="T1669" s="11" t="inlineStr"/>
      <c r="U1669" s="11" t="inlineStr">
        <is>
          <t>no_citation_or_year_for_overruled, needs_citation_or_year</t>
        </is>
      </c>
      <c r="V1669" s="11" t="inlineStr">
        <is>
          <t>outside_list</t>
        </is>
      </c>
      <c r="W1669" s="11" t="n"/>
      <c r="X1669" s="11" t="n"/>
      <c r="Y1669" s="11" t="n"/>
      <c r="Z1669" s="11" t="inlineStr">
        <is>
          <t>Mr. Advocate</t>
        </is>
      </c>
      <c r="AA1669" s="11" t="inlineStr">
        <is>
          <t>2026-10-07</t>
        </is>
      </c>
      <c r="AB1669" s="11" t="inlineStr">
        <is>
          <t>weak</t>
        </is>
      </c>
      <c r="AC1669" s="2" t="inlineStr"/>
      <c r="AD1669" s="2" t="inlineStr">
        <is>
          <t>Dr. D. Renuka v. Commissioner of Wealth-tax was overruled by Bharat Hari Singhania and others v. Commissioner of Wealth Tax (Central) and others (1994).</t>
        </is>
      </c>
      <c r="AE1669" s="2" t="n"/>
      <c r="AF1669" s="11" t="inlineStr">
        <is>
          <t>created from list 1</t>
        </is>
      </c>
    </row>
    <row r="1670">
      <c r="A1670" s="11" t="inlineStr">
        <is>
          <t>L1-1669</t>
        </is>
      </c>
      <c r="B1670" s="11" t="inlineStr">
        <is>
          <t>List 1 (to ~2015)</t>
        </is>
      </c>
      <c r="C1670" s="11" t="inlineStr">
        <is>
          <t>list1</t>
        </is>
      </c>
      <c r="D1670" s="11" t="inlineStr">
        <is>
          <t>verified</t>
        </is>
      </c>
      <c r="E1670" s="11" t="inlineStr">
        <is>
          <t>overruled</t>
        </is>
      </c>
      <c r="F1670" s="2" t="inlineStr">
        <is>
          <t>Smt. Y. Anasuya v. Government of Andhra Pradesh and Others</t>
        </is>
      </c>
      <c r="G1670" s="11" t="inlineStr"/>
      <c r="H1670" s="11" t="inlineStr">
        <is>
          <t>unknown</t>
        </is>
      </c>
      <c r="I1670" s="2" t="inlineStr">
        <is>
          <t>(1993) 1 ALT 661</t>
        </is>
      </c>
      <c r="J1670" s="11" t="n">
        <v>1993</v>
      </c>
      <c r="K1670" s="2" t="inlineStr">
        <is>
          <t>R.V. Bhupal Prasad v. State of Andhra Pradesh and others</t>
        </is>
      </c>
      <c r="L1670" s="11" t="inlineStr">
        <is>
          <t>Supreme Court</t>
        </is>
      </c>
      <c r="M1670" s="2" t="inlineStr">
        <is>
          <t>AIR 1996 SC 140; AIR 1995 SC 140; (1995) 2 CTC 342; (1995) 6 JT 258; (1995) 5 SCALE 41; (1995) 5 SCC 698; (1995) 2 SCR 658 Supp</t>
        </is>
      </c>
      <c r="N1670" s="11" t="n">
        <v>1996</v>
      </c>
      <c r="O1670" s="11" t="n"/>
      <c r="P1670" s="11" t="n"/>
      <c r="Q1670" s="11" t="n"/>
      <c r="R1670" s="2" t="n"/>
      <c r="S1670" s="2" t="n"/>
      <c r="T1670" s="11" t="inlineStr"/>
      <c r="U1670" s="11" t="inlineStr"/>
      <c r="V1670" s="11" t="inlineStr">
        <is>
          <t>outside_list</t>
        </is>
      </c>
      <c r="W1670" s="11" t="n"/>
      <c r="X1670" s="11" t="n"/>
      <c r="Y1670" s="11" t="n"/>
      <c r="Z1670" s="11" t="inlineStr">
        <is>
          <t>Mr. Advocate</t>
        </is>
      </c>
      <c r="AA1670" s="11" t="inlineStr">
        <is>
          <t>2026-10-07</t>
        </is>
      </c>
      <c r="AB1670" s="11" t="inlineStr">
        <is>
          <t>name_year</t>
        </is>
      </c>
      <c r="AC1670" s="2" t="inlineStr"/>
      <c r="AD1670" s="2" t="inlineStr">
        <is>
          <t>Smt. Y. Anasuya v. Government of Andhra Pradesh and Others (1993) was overruled by R.V. Bhupal Prasad v. State of Andhra Pradesh and others (1996).</t>
        </is>
      </c>
      <c r="AE1670" s="2" t="n"/>
      <c r="AF1670" s="11" t="inlineStr">
        <is>
          <t>created from list 1</t>
        </is>
      </c>
    </row>
    <row r="1671">
      <c r="A1671" s="11" t="inlineStr">
        <is>
          <t>L1-1670</t>
        </is>
      </c>
      <c r="B1671" s="11" t="inlineStr">
        <is>
          <t>List 1 (to ~2015)</t>
        </is>
      </c>
      <c r="C1671" s="11" t="inlineStr">
        <is>
          <t>list1</t>
        </is>
      </c>
      <c r="D1671" s="11" t="inlineStr">
        <is>
          <t>verified</t>
        </is>
      </c>
      <c r="E1671" s="11" t="inlineStr">
        <is>
          <t>overruled</t>
        </is>
      </c>
      <c r="F1671" s="2" t="inlineStr">
        <is>
          <t>APSRTC, Musheerabad, Hyd. v. State Transport Appellate Tribunal, Hyd. and others</t>
        </is>
      </c>
      <c r="G1671" s="11" t="inlineStr"/>
      <c r="H1671" s="11" t="inlineStr">
        <is>
          <t>Andhra Pradesh</t>
        </is>
      </c>
      <c r="I1671" s="2" t="inlineStr">
        <is>
          <t>(2002) 2 ACC 337; (2001) 2 ACC 760; AIR 2000 AP 252; (2001) 3 ALD 235; (2001) 2 ALT 532</t>
        </is>
      </c>
      <c r="J1671" s="11" t="n">
        <v>2000</v>
      </c>
      <c r="K1671" s="2" t="inlineStr">
        <is>
          <t>A.P.S.R.T.C. v. Regional Transport Authority and Another</t>
        </is>
      </c>
      <c r="L1671" s="11" t="inlineStr">
        <is>
          <t>Supreme Court</t>
        </is>
      </c>
      <c r="M1671" s="2" t="inlineStr">
        <is>
          <t>(2005) 2 ACC 384; AIR 2005 SC 2663; (2005) 5 JT 50; (2005) 4 SCC 391; (2005) 3 SCR 931</t>
        </is>
      </c>
      <c r="N1671" s="11" t="n">
        <v>2005</v>
      </c>
      <c r="O1671" s="11" t="n"/>
      <c r="P1671" s="11" t="n"/>
      <c r="Q1671" s="11" t="n"/>
      <c r="R1671" s="2" t="n"/>
      <c r="S1671" s="2" t="n"/>
      <c r="T1671" s="11" t="inlineStr"/>
      <c r="U1671" s="11" t="inlineStr"/>
      <c r="V1671" s="11" t="inlineStr">
        <is>
          <t>outside_list</t>
        </is>
      </c>
      <c r="W1671" s="11" t="n"/>
      <c r="X1671" s="11" t="n"/>
      <c r="Y1671" s="11" t="n"/>
      <c r="Z1671" s="11" t="inlineStr">
        <is>
          <t>Mr. Advocate</t>
        </is>
      </c>
      <c r="AA1671" s="11" t="inlineStr">
        <is>
          <t>2026-10-07</t>
        </is>
      </c>
      <c r="AB1671" s="11" t="inlineStr">
        <is>
          <t>name_year</t>
        </is>
      </c>
      <c r="AC1671" s="2" t="inlineStr"/>
      <c r="AD1671" s="2" t="inlineStr">
        <is>
          <t>APSRTC, Musheerabad, Hyd. v. State Transport Appellate Tribunal, Hyd. and others (2000) was overruled by A.P.S.R.T.C. v. Regional Transport Authority and Another (2005).</t>
        </is>
      </c>
      <c r="AE1671" s="2" t="n"/>
      <c r="AF1671" s="11" t="inlineStr">
        <is>
          <t>created from list 1</t>
        </is>
      </c>
    </row>
    <row r="1672">
      <c r="A1672" s="11" t="inlineStr">
        <is>
          <t>L1-1671</t>
        </is>
      </c>
      <c r="B1672" s="11" t="inlineStr">
        <is>
          <t>List 1 (to ~2015)</t>
        </is>
      </c>
      <c r="C1672" s="11" t="inlineStr">
        <is>
          <t>list1</t>
        </is>
      </c>
      <c r="D1672" s="11" t="inlineStr">
        <is>
          <t>verified</t>
        </is>
      </c>
      <c r="E1672" s="11" t="inlineStr">
        <is>
          <t>overruled</t>
        </is>
      </c>
      <c r="F1672" s="2" t="inlineStr">
        <is>
          <t>Kukkala Balakrishna Rao and Others v. Vijaya Oil Mill and Others</t>
        </is>
      </c>
      <c r="G1672" s="11" t="inlineStr"/>
      <c r="H1672" s="11" t="inlineStr">
        <is>
          <t>Andhra Pradesh</t>
        </is>
      </c>
      <c r="I1672" s="2" t="inlineStr">
        <is>
          <t>AIR 2006 AP 98; (2006) 1 ALD 360</t>
        </is>
      </c>
      <c r="J1672" s="11" t="n">
        <v>2006</v>
      </c>
      <c r="K1672" s="2" t="inlineStr">
        <is>
          <t>Bokka Subba Rao v. Kukkala Balakrishna and Others</t>
        </is>
      </c>
      <c r="L1672" s="11" t="inlineStr">
        <is>
          <t>Supreme Court</t>
        </is>
      </c>
      <c r="M1672" s="2" t="inlineStr">
        <is>
          <t>(2008) 2 CLT 61; (2008) 2 JT 401; (2008) 2 SCALE 396; (2008) 3 SCC 99</t>
        </is>
      </c>
      <c r="N1672" s="11" t="n">
        <v>2008</v>
      </c>
      <c r="O1672" s="11" t="n"/>
      <c r="P1672" s="11" t="n"/>
      <c r="Q1672" s="11" t="n"/>
      <c r="R1672" s="2" t="n"/>
      <c r="S1672" s="2" t="n"/>
      <c r="T1672" s="11" t="inlineStr"/>
      <c r="U1672" s="11" t="inlineStr"/>
      <c r="V1672" s="11" t="inlineStr">
        <is>
          <t>outside_list</t>
        </is>
      </c>
      <c r="W1672" s="11" t="n"/>
      <c r="X1672" s="11" t="n"/>
      <c r="Y1672" s="11" t="n"/>
      <c r="Z1672" s="11" t="inlineStr">
        <is>
          <t>Mr. Advocate</t>
        </is>
      </c>
      <c r="AA1672" s="11" t="inlineStr">
        <is>
          <t>2026-10-07</t>
        </is>
      </c>
      <c r="AB1672" s="11" t="inlineStr">
        <is>
          <t>name_year</t>
        </is>
      </c>
      <c r="AC1672" s="2" t="inlineStr"/>
      <c r="AD1672" s="2" t="inlineStr">
        <is>
          <t>Kukkala Balakrishna Rao and Others v. Vijaya Oil Mill and Others (2006) was overruled by Bokka Subba Rao v. Kukkala Balakrishna and Others (2008).</t>
        </is>
      </c>
      <c r="AE1672" s="2" t="n"/>
      <c r="AF1672" s="11" t="inlineStr">
        <is>
          <t>created from list 1</t>
        </is>
      </c>
    </row>
    <row r="1673">
      <c r="A1673" s="11" t="inlineStr">
        <is>
          <t>L1-1672</t>
        </is>
      </c>
      <c r="B1673" s="11" t="inlineStr">
        <is>
          <t>List 1 (to ~2015)</t>
        </is>
      </c>
      <c r="C1673" s="11" t="inlineStr">
        <is>
          <t>list1</t>
        </is>
      </c>
      <c r="D1673" s="11" t="inlineStr">
        <is>
          <t>verified</t>
        </is>
      </c>
      <c r="E1673" s="11" t="inlineStr">
        <is>
          <t>reversed_on_appeal</t>
        </is>
      </c>
      <c r="F1673" s="2" t="inlineStr">
        <is>
          <t>P. Rama Rao and Another v. Union of India (UOI) and Others</t>
        </is>
      </c>
      <c r="G1673" s="11" t="inlineStr"/>
      <c r="H1673" s="11" t="inlineStr">
        <is>
          <t>unknown</t>
        </is>
      </c>
      <c r="I1673" s="2" t="inlineStr">
        <is>
          <t>(1996) 1 ALT 100</t>
        </is>
      </c>
      <c r="J1673" s="11" t="n">
        <v>1996</v>
      </c>
      <c r="K1673" s="2" t="inlineStr">
        <is>
          <t>Victorian Granites (P) Ltd. v. P. Rama Rao and Others</t>
        </is>
      </c>
      <c r="L1673" s="11" t="inlineStr">
        <is>
          <t>Supreme Court</t>
        </is>
      </c>
      <c r="M1673" s="2" t="inlineStr">
        <is>
          <t>(1996) 9 JT 303; (1996) 7 SCALE 342; (1996) 10 SCC 665; (1996) 5 SCR 692 Supp</t>
        </is>
      </c>
      <c r="N1673" s="11" t="n">
        <v>1996</v>
      </c>
      <c r="O1673" s="11" t="n"/>
      <c r="P1673" s="11" t="n"/>
      <c r="Q1673" s="11" t="n"/>
      <c r="R1673" s="2" t="n"/>
      <c r="S1673" s="2" t="n"/>
      <c r="T1673" s="11" t="inlineStr">
        <is>
          <t>yes</t>
        </is>
      </c>
      <c r="U1673" s="11" t="inlineStr"/>
      <c r="V1673" s="11" t="inlineStr">
        <is>
          <t>outside_list</t>
        </is>
      </c>
      <c r="W1673" s="11" t="n"/>
      <c r="X1673" s="11" t="n"/>
      <c r="Y1673" s="11" t="n"/>
      <c r="Z1673" s="11" t="inlineStr">
        <is>
          <t>Mr. Advocate</t>
        </is>
      </c>
      <c r="AA1673" s="11" t="inlineStr">
        <is>
          <t>2026-10-07</t>
        </is>
      </c>
      <c r="AB1673" s="11" t="inlineStr">
        <is>
          <t>name_year</t>
        </is>
      </c>
      <c r="AC1673" s="2" t="inlineStr"/>
      <c r="AD1673" s="2" t="inlineStr">
        <is>
          <t>P. Rama Rao and Another v. Union of India (UOI) and Others (1996) was reversed on appeal by the Supreme Court in Victorian Granites (P) Ltd. v. P. Rama Rao and Others (1996).</t>
        </is>
      </c>
      <c r="AE1673" s="2" t="n"/>
      <c r="AF1673" s="11" t="inlineStr">
        <is>
          <t>created from list 1</t>
        </is>
      </c>
    </row>
    <row r="1674">
      <c r="A1674" s="11" t="inlineStr">
        <is>
          <t>L1-1673</t>
        </is>
      </c>
      <c r="B1674" s="11" t="inlineStr">
        <is>
          <t>List 1 (to ~2015)</t>
        </is>
      </c>
      <c r="C1674" s="11" t="inlineStr">
        <is>
          <t>list1</t>
        </is>
      </c>
      <c r="D1674" s="11" t="inlineStr">
        <is>
          <t>verified</t>
        </is>
      </c>
      <c r="E1674" s="11" t="inlineStr">
        <is>
          <t>overruled</t>
        </is>
      </c>
      <c r="F1674" s="2" t="inlineStr">
        <is>
          <t>State of Uttar Pradesh v. The District Registrar, Meerut and Another</t>
        </is>
      </c>
      <c r="G1674" s="11" t="inlineStr"/>
      <c r="H1674" s="11" t="inlineStr">
        <is>
          <t>Allahabad</t>
        </is>
      </c>
      <c r="I1674" s="2" t="inlineStr">
        <is>
          <t>AIR 1971 All 390; (1971) 41 AWR 69</t>
        </is>
      </c>
      <c r="J1674" s="11" t="n">
        <v>1971</v>
      </c>
      <c r="K1674" s="2" t="inlineStr">
        <is>
          <t>State of Himachal Pradesh and Others v. Shivalik Agro Poly Products and Others</t>
        </is>
      </c>
      <c r="L1674" s="11" t="inlineStr">
        <is>
          <t>Supreme Court</t>
        </is>
      </c>
      <c r="M1674" s="2" t="inlineStr">
        <is>
          <t>AIR 2004 SC 4393; (2004) 7 JT 371; (2004) 7 SCALE 658; (2004) 8 SCC 556; (2004) AIRSCW 5207; (2004) 7 Supreme 78</t>
        </is>
      </c>
      <c r="N1674" s="11" t="n">
        <v>2004</v>
      </c>
      <c r="O1674" s="11" t="n"/>
      <c r="P1674" s="11" t="n"/>
      <c r="Q1674" s="11" t="n"/>
      <c r="R1674" s="2" t="n"/>
      <c r="S1674" s="2" t="n"/>
      <c r="T1674" s="11" t="inlineStr"/>
      <c r="U1674" s="11" t="inlineStr"/>
      <c r="V1674" s="11" t="inlineStr">
        <is>
          <t>outside_list</t>
        </is>
      </c>
      <c r="W1674" s="11" t="n"/>
      <c r="X1674" s="11" t="n"/>
      <c r="Y1674" s="11" t="n"/>
      <c r="Z1674" s="11" t="inlineStr">
        <is>
          <t>Mr. Advocate</t>
        </is>
      </c>
      <c r="AA1674" s="11" t="inlineStr">
        <is>
          <t>2026-10-07</t>
        </is>
      </c>
      <c r="AB1674" s="11" t="inlineStr">
        <is>
          <t>citation</t>
        </is>
      </c>
      <c r="AC1674" s="2" t="inlineStr"/>
      <c r="AD1674" s="2" t="inlineStr">
        <is>
          <t>State of Uttar Pradesh v. The District Registrar, Meerut and Another (1971) was overruled by State of Himachal Pradesh and Others v. Shivalik Agro Poly Products and Others (2004).</t>
        </is>
      </c>
      <c r="AE1674" s="2" t="n"/>
      <c r="AF1674" s="11" t="inlineStr">
        <is>
          <t>created from list 1</t>
        </is>
      </c>
    </row>
    <row r="1675">
      <c r="A1675" s="11" t="inlineStr">
        <is>
          <t>L1-1674</t>
        </is>
      </c>
      <c r="B1675" s="11" t="inlineStr">
        <is>
          <t>List 1 (to ~2015)</t>
        </is>
      </c>
      <c r="C1675" s="11" t="inlineStr">
        <is>
          <t>list1</t>
        </is>
      </c>
      <c r="D1675" s="11" t="inlineStr">
        <is>
          <t>verified</t>
        </is>
      </c>
      <c r="E1675" s="11" t="inlineStr">
        <is>
          <t>reversed_on_appeal</t>
        </is>
      </c>
      <c r="F1675" s="2" t="inlineStr">
        <is>
          <t>Indian Iron and Steel Co. Limited v. Tiwari Road Lines</t>
        </is>
      </c>
      <c r="G1675" s="11" t="inlineStr"/>
      <c r="H1675" s="11" t="inlineStr">
        <is>
          <t>Andhra Pradesh</t>
        </is>
      </c>
      <c r="I1675" s="2" t="inlineStr">
        <is>
          <t>AIR 2006 AP 1; (2005) 6 ALD 140; (2005) 6 ALT 113; (2006) 1 ARBLR 609</t>
        </is>
      </c>
      <c r="J1675" s="11" t="n">
        <v>2006</v>
      </c>
      <c r="K1675" s="2" t="inlineStr">
        <is>
          <t>The Iron and Steel Company Limited v. Tiwari Road Lines</t>
        </is>
      </c>
      <c r="L1675" s="11" t="inlineStr">
        <is>
          <t>Supreme Court</t>
        </is>
      </c>
      <c r="M1675" s="2" t="inlineStr">
        <is>
          <t>AIR 2007 SC 2064; (2007) 2 ARBLR 270; (2007) 5 CompLJ 1; (2007) 6 JT 526; (2007) 6 SCALE 682; (2007) 5 SCC 703; (2007) 6 SCR 156; (2007) AIRSCW 3172; (2007) 3 Supreme 1066</t>
        </is>
      </c>
      <c r="N1675" s="11" t="n">
        <v>2007</v>
      </c>
      <c r="O1675" s="11" t="n"/>
      <c r="P1675" s="11" t="n"/>
      <c r="Q1675" s="11" t="n"/>
      <c r="R1675" s="2" t="n"/>
      <c r="S1675" s="2" t="n"/>
      <c r="T1675" s="11" t="inlineStr">
        <is>
          <t>yes</t>
        </is>
      </c>
      <c r="U1675" s="11" t="inlineStr"/>
      <c r="V1675" s="11" t="inlineStr">
        <is>
          <t>outside_list</t>
        </is>
      </c>
      <c r="W1675" s="11" t="n"/>
      <c r="X1675" s="11" t="n"/>
      <c r="Y1675" s="11" t="n"/>
      <c r="Z1675" s="11" t="inlineStr">
        <is>
          <t>Mr. Advocate</t>
        </is>
      </c>
      <c r="AA1675" s="11" t="inlineStr">
        <is>
          <t>2026-10-07</t>
        </is>
      </c>
      <c r="AB1675" s="11" t="inlineStr">
        <is>
          <t>name_year</t>
        </is>
      </c>
      <c r="AC1675" s="2" t="inlineStr"/>
      <c r="AD1675" s="2" t="inlineStr">
        <is>
          <t>Indian Iron and Steel Co. Limited v. Tiwari Road Lines (2006) was reversed on appeal by the Supreme Court in The Iron and Steel Company Limited v. Tiwari Road Lines (2007).</t>
        </is>
      </c>
      <c r="AE1675" s="2" t="n"/>
      <c r="AF1675" s="11" t="inlineStr">
        <is>
          <t>created from list 1</t>
        </is>
      </c>
    </row>
    <row r="1676">
      <c r="A1676" s="11" t="inlineStr">
        <is>
          <t>L1-1675</t>
        </is>
      </c>
      <c r="B1676" s="11" t="inlineStr">
        <is>
          <t>List 1 (to ~2015)</t>
        </is>
      </c>
      <c r="C1676" s="11" t="inlineStr">
        <is>
          <t>list1</t>
        </is>
      </c>
      <c r="D1676" s="11" t="inlineStr">
        <is>
          <t>verified</t>
        </is>
      </c>
      <c r="E1676" s="11" t="inlineStr">
        <is>
          <t>overruled</t>
        </is>
      </c>
      <c r="F1676" s="2" t="inlineStr">
        <is>
          <t>A.P.S.R.T.C. v. Eswara Dass and others</t>
        </is>
      </c>
      <c r="G1676" s="11" t="inlineStr"/>
      <c r="H1676" s="11" t="inlineStr">
        <is>
          <t>unknown</t>
        </is>
      </c>
      <c r="I1676" s="2" t="inlineStr">
        <is>
          <t>(1999) 5 ALD 426; (1999) 6 ALT 701; (2000) 1 LLJ 665</t>
        </is>
      </c>
      <c r="J1676" s="11" t="n">
        <v>1999</v>
      </c>
      <c r="K1676" s="2" t="inlineStr">
        <is>
          <t>A.P.S.R.T.C. and Another v. B.S. David Paul</t>
        </is>
      </c>
      <c r="L1676" s="11" t="inlineStr">
        <is>
          <t>Supreme Court</t>
        </is>
      </c>
      <c r="M1676" s="2" t="inlineStr">
        <is>
          <t>AIR 2006 SC 961; (2006) 108 FLR 1005; (2006) 2 JT 149; (2006) 1 LLJ 999; (2006) 2 SCALE 110; (2006) 2 SCC 282; (2006) SCC(L&amp;S) 287; (2006) 1 SCR 1001; (2006) 2 SLJ 379; (2006) AIRSCW 661; (2006) 1 Supreme 564</t>
        </is>
      </c>
      <c r="N1676" s="11" t="n">
        <v>2006</v>
      </c>
      <c r="O1676" s="11" t="n"/>
      <c r="P1676" s="11" t="n"/>
      <c r="Q1676" s="11" t="n"/>
      <c r="R1676" s="2" t="n"/>
      <c r="S1676" s="2" t="n"/>
      <c r="T1676" s="11" t="inlineStr"/>
      <c r="U1676" s="11" t="inlineStr"/>
      <c r="V1676" s="11" t="inlineStr">
        <is>
          <t>outside_list</t>
        </is>
      </c>
      <c r="W1676" s="11" t="n"/>
      <c r="X1676" s="11" t="n"/>
      <c r="Y1676" s="11" t="n"/>
      <c r="Z1676" s="11" t="inlineStr">
        <is>
          <t>Mr. Advocate</t>
        </is>
      </c>
      <c r="AA1676" s="11" t="inlineStr">
        <is>
          <t>2026-10-07</t>
        </is>
      </c>
      <c r="AB1676" s="11" t="inlineStr">
        <is>
          <t>name_year</t>
        </is>
      </c>
      <c r="AC1676" s="2" t="inlineStr"/>
      <c r="AD1676" s="2" t="inlineStr">
        <is>
          <t>A.P.S.R.T.C. v. Eswara Dass and others (1999) was overruled by A.P.S.R.T.C. and Another v. B.S. David Paul (2006).</t>
        </is>
      </c>
      <c r="AE1676" s="2" t="n"/>
      <c r="AF1676" s="11" t="inlineStr">
        <is>
          <t>created from list 1</t>
        </is>
      </c>
    </row>
    <row r="1677">
      <c r="A1677" s="11" t="inlineStr">
        <is>
          <t>L1-1676</t>
        </is>
      </c>
      <c r="B1677" s="11" t="inlineStr">
        <is>
          <t>List 1 (to ~2015)</t>
        </is>
      </c>
      <c r="C1677" s="11" t="inlineStr">
        <is>
          <t>list1</t>
        </is>
      </c>
      <c r="D1677" s="11" t="inlineStr">
        <is>
          <t>verified</t>
        </is>
      </c>
      <c r="E1677" s="11" t="inlineStr">
        <is>
          <t>reversed_on_appeal</t>
        </is>
      </c>
      <c r="F1677" s="2" t="inlineStr">
        <is>
          <t>M. Srinivasulu and Another v. The State of A.P.</t>
        </is>
      </c>
      <c r="G1677" s="11" t="inlineStr"/>
      <c r="H1677" s="11" t="inlineStr">
        <is>
          <t>unknown</t>
        </is>
      </c>
      <c r="I1677" s="2" t="inlineStr">
        <is>
          <t>(2001) 2 ALD(Cri) 429; (2001) 2 ALT(Cri) 179; (2001) 2 DMC 658</t>
        </is>
      </c>
      <c r="J1677" s="11" t="n">
        <v>2001</v>
      </c>
      <c r="K1677" s="2" t="inlineStr">
        <is>
          <t>M. Srinivasulu v. State of A.P.</t>
        </is>
      </c>
      <c r="L1677" s="11" t="inlineStr">
        <is>
          <t>Supreme Court</t>
        </is>
      </c>
      <c r="M1677" s="2" t="inlineStr">
        <is>
          <t>AIR 2007 SC 3146; (2007) 2 DMC 693; (2008) 149 PLR 321; (2007) 11 SCALE 12; (2007) 9 SCR 842; (2007) AIRSCW 5647</t>
        </is>
      </c>
      <c r="N1677" s="11" t="n">
        <v>2007</v>
      </c>
      <c r="O1677" s="11" t="n"/>
      <c r="P1677" s="11" t="n"/>
      <c r="Q1677" s="11" t="n"/>
      <c r="R1677" s="2" t="n"/>
      <c r="S1677" s="2" t="n"/>
      <c r="T1677" s="11" t="inlineStr">
        <is>
          <t>yes</t>
        </is>
      </c>
      <c r="U1677" s="11" t="inlineStr">
        <is>
          <t>needs_citation_or_year</t>
        </is>
      </c>
      <c r="V1677" s="11" t="inlineStr">
        <is>
          <t>outside_list</t>
        </is>
      </c>
      <c r="W1677" s="11" t="n"/>
      <c r="X1677" s="11" t="n"/>
      <c r="Y1677" s="11" t="n"/>
      <c r="Z1677" s="11" t="inlineStr">
        <is>
          <t>Mr. Advocate</t>
        </is>
      </c>
      <c r="AA1677" s="11" t="inlineStr">
        <is>
          <t>2026-10-07</t>
        </is>
      </c>
      <c r="AB1677" s="11" t="inlineStr">
        <is>
          <t>none</t>
        </is>
      </c>
      <c r="AC1677" s="2" t="inlineStr"/>
      <c r="AD1677" s="2" t="inlineStr">
        <is>
          <t>M. Srinivasulu and Another v. The State of A.P. (2001) was reversed on appeal by the Supreme Court in M. Srinivasulu v. State of A.P. (2007).</t>
        </is>
      </c>
      <c r="AE1677" s="2" t="n"/>
      <c r="AF1677" s="11" t="inlineStr">
        <is>
          <t>created from list 1</t>
        </is>
      </c>
    </row>
    <row r="1678">
      <c r="A1678" s="11" t="inlineStr">
        <is>
          <t>L1-1677</t>
        </is>
      </c>
      <c r="B1678" s="11" t="inlineStr">
        <is>
          <t>List 1 (to ~2015)</t>
        </is>
      </c>
      <c r="C1678" s="11" t="inlineStr">
        <is>
          <t>list1</t>
        </is>
      </c>
      <c r="D1678" s="11" t="inlineStr">
        <is>
          <t>verified</t>
        </is>
      </c>
      <c r="E1678" s="11" t="inlineStr">
        <is>
          <t>overruled</t>
        </is>
      </c>
      <c r="F1678" s="2" t="inlineStr">
        <is>
          <t>Sponge Iron India Ltd. v. B.V. Radhakrishna and Another</t>
        </is>
      </c>
      <c r="G1678" s="11" t="inlineStr"/>
      <c r="H1678" s="11" t="inlineStr">
        <is>
          <t>unknown</t>
        </is>
      </c>
      <c r="I1678" s="2" t="inlineStr">
        <is>
          <t>(1996) 3 ALT 557</t>
        </is>
      </c>
      <c r="J1678" s="11" t="n">
        <v>1996</v>
      </c>
      <c r="K1678" s="2" t="inlineStr">
        <is>
          <t>B.V. Radha Krishna v. Sponge Iron India Ltd.</t>
        </is>
      </c>
      <c r="L1678" s="11" t="inlineStr">
        <is>
          <t>Supreme Court</t>
        </is>
      </c>
      <c r="M1678" s="2" t="inlineStr">
        <is>
          <t>AIR 1997 SC 1324; (1997) 3 JT 327; (1997) 2 SCALE 469; (1997) 4 SCC 693; (1997) 2 SCR 707; (1997) 1 UJ 661; (1997) AIRSCW 1422; (1997) 3 Supreme 1</t>
        </is>
      </c>
      <c r="N1678" s="11" t="n">
        <v>1997</v>
      </c>
      <c r="O1678" s="11" t="n"/>
      <c r="P1678" s="11" t="n"/>
      <c r="Q1678" s="11" t="n"/>
      <c r="R1678" s="2" t="n"/>
      <c r="S1678" s="2" t="n"/>
      <c r="T1678" s="11" t="inlineStr"/>
      <c r="U1678" s="11" t="inlineStr"/>
      <c r="V1678" s="11" t="inlineStr">
        <is>
          <t>outside_list</t>
        </is>
      </c>
      <c r="W1678" s="11" t="n"/>
      <c r="X1678" s="11" t="n"/>
      <c r="Y1678" s="11" t="n"/>
      <c r="Z1678" s="11" t="inlineStr">
        <is>
          <t>Mr. Advocate</t>
        </is>
      </c>
      <c r="AA1678" s="11" t="inlineStr">
        <is>
          <t>2026-10-07</t>
        </is>
      </c>
      <c r="AB1678" s="11" t="inlineStr">
        <is>
          <t>name_year</t>
        </is>
      </c>
      <c r="AC1678" s="2" t="inlineStr"/>
      <c r="AD1678" s="2" t="inlineStr">
        <is>
          <t>Sponge Iron India Ltd. v. B.V. Radhakrishna and Another (1996) was overruled by B.V. Radha Krishna v. Sponge Iron India Ltd. (1997).</t>
        </is>
      </c>
      <c r="AE1678" s="2" t="n"/>
      <c r="AF1678" s="11" t="inlineStr">
        <is>
          <t>created from list 1</t>
        </is>
      </c>
    </row>
    <row r="1679">
      <c r="A1679" s="11" t="inlineStr">
        <is>
          <t>L1-1678</t>
        </is>
      </c>
      <c r="B1679" s="11" t="inlineStr">
        <is>
          <t>List 1 (to ~2015)</t>
        </is>
      </c>
      <c r="C1679" s="11" t="inlineStr">
        <is>
          <t>list1</t>
        </is>
      </c>
      <c r="D1679" s="11" t="inlineStr">
        <is>
          <t>verified</t>
        </is>
      </c>
      <c r="E1679" s="11" t="inlineStr">
        <is>
          <t>overruled</t>
        </is>
      </c>
      <c r="F1679" s="2" t="inlineStr">
        <is>
          <t>Baloji Badhavath and Others v. Government of Andhra Pradesh and Another</t>
        </is>
      </c>
      <c r="G1679" s="11" t="inlineStr"/>
      <c r="H1679" s="11" t="inlineStr">
        <is>
          <t>unknown</t>
        </is>
      </c>
      <c r="I1679" s="2" t="inlineStr">
        <is>
          <t>(2009) 1 ALT 15</t>
        </is>
      </c>
      <c r="J1679" s="11" t="n">
        <v>2009</v>
      </c>
      <c r="K1679" s="2" t="inlineStr">
        <is>
          <t>A.P. Public Service Commission v. Baloji Badhavath and Others</t>
        </is>
      </c>
      <c r="L1679" s="11" t="inlineStr">
        <is>
          <t>Supreme Court</t>
        </is>
      </c>
      <c r="M1679" s="2" t="inlineStr">
        <is>
          <t>(2009) 5 JT 563; (2009) 5 SCC 1; (2009) 1 SCC(L&amp;S) 999; (2009) 5 SCR 688; (2009) 3 SLJ 476; (2009) 4 SLR 635; (2009) 4 UJ 1692</t>
        </is>
      </c>
      <c r="N1679" s="11" t="n">
        <v>2009</v>
      </c>
      <c r="O1679" s="11" t="n"/>
      <c r="P1679" s="11" t="n"/>
      <c r="Q1679" s="11" t="n"/>
      <c r="R1679" s="2" t="n"/>
      <c r="S1679" s="2" t="n"/>
      <c r="T1679" s="11" t="inlineStr"/>
      <c r="U1679" s="11" t="inlineStr"/>
      <c r="V1679" s="11" t="inlineStr">
        <is>
          <t>outside_list</t>
        </is>
      </c>
      <c r="W1679" s="11" t="n"/>
      <c r="X1679" s="11" t="n"/>
      <c r="Y1679" s="11" t="n"/>
      <c r="Z1679" s="11" t="inlineStr">
        <is>
          <t>Mr. Advocate</t>
        </is>
      </c>
      <c r="AA1679" s="11" t="inlineStr">
        <is>
          <t>2026-10-07</t>
        </is>
      </c>
      <c r="AB1679" s="11" t="inlineStr">
        <is>
          <t>name_year</t>
        </is>
      </c>
      <c r="AC1679" s="2" t="inlineStr"/>
      <c r="AD1679" s="2" t="inlineStr">
        <is>
          <t>Baloji Badhavath and Others v. Government of Andhra Pradesh and Another (2009) was overruled by A.P. Public Service Commission v. Baloji Badhavath and Others (2009).</t>
        </is>
      </c>
      <c r="AE1679" s="2" t="n"/>
      <c r="AF1679" s="11" t="inlineStr">
        <is>
          <t>created from list 1</t>
        </is>
      </c>
    </row>
    <row r="1680">
      <c r="A1680" s="11" t="inlineStr">
        <is>
          <t>L1-1679</t>
        </is>
      </c>
      <c r="B1680" s="11" t="inlineStr">
        <is>
          <t>List 1 (to ~2015)</t>
        </is>
      </c>
      <c r="C1680" s="11" t="inlineStr">
        <is>
          <t>list1</t>
        </is>
      </c>
      <c r="D1680" s="11" t="inlineStr">
        <is>
          <t>verified</t>
        </is>
      </c>
      <c r="E1680" s="11" t="inlineStr">
        <is>
          <t>reversed_on_appeal</t>
        </is>
      </c>
      <c r="F1680" s="2" t="inlineStr">
        <is>
          <t>Commissioner of Income Tax v. M.P. Jatia</t>
        </is>
      </c>
      <c r="G1680" s="11" t="inlineStr"/>
      <c r="H1680" s="11" t="inlineStr">
        <is>
          <t>unknown</t>
        </is>
      </c>
      <c r="I1680" s="2" t="inlineStr">
        <is>
          <t>(1970) 76 ITR 201</t>
        </is>
      </c>
      <c r="J1680" s="11" t="n">
        <v>1970</v>
      </c>
      <c r="K1680" s="2" t="inlineStr">
        <is>
          <t>The Commissioner of Income Tax, Lucknow v. Sh. Madho Pd. Jatia</t>
        </is>
      </c>
      <c r="L1680" s="11" t="inlineStr">
        <is>
          <t>Supreme Court</t>
        </is>
      </c>
      <c r="M1680" s="2" t="inlineStr">
        <is>
          <t>AIR 1977 SC 420; (1976) 4 SCC 92; (1977) 1 SCR 202; (1976) 8 UJ 810</t>
        </is>
      </c>
      <c r="N1680" s="11" t="n">
        <v>1977</v>
      </c>
      <c r="O1680" s="11" t="n"/>
      <c r="P1680" s="11" t="n"/>
      <c r="Q1680" s="11" t="n"/>
      <c r="R1680" s="2" t="n"/>
      <c r="S1680" s="2" t="n"/>
      <c r="T1680" s="11" t="inlineStr">
        <is>
          <t>yes</t>
        </is>
      </c>
      <c r="U1680" s="11" t="inlineStr"/>
      <c r="V1680" s="11" t="inlineStr">
        <is>
          <t>outside_list</t>
        </is>
      </c>
      <c r="W1680" s="11" t="n"/>
      <c r="X1680" s="11" t="n"/>
      <c r="Y1680" s="11" t="n"/>
      <c r="Z1680" s="11" t="inlineStr">
        <is>
          <t>Mr. Advocate</t>
        </is>
      </c>
      <c r="AA1680" s="11" t="inlineStr">
        <is>
          <t>2026-10-07</t>
        </is>
      </c>
      <c r="AB1680" s="11" t="inlineStr">
        <is>
          <t>name_year</t>
        </is>
      </c>
      <c r="AC1680" s="2" t="inlineStr">
        <is>
          <t>L1-0474: listed in our reference list as overruled by Commissioner of Income Tax, West Bengal-1, Calcutta v. Simon Carves Limited (1976), but the list is inconsistent on this entry</t>
        </is>
      </c>
      <c r="AD1680" s="2" t="inlineStr">
        <is>
          <t>Commissioner of Income Tax v. M.P. Jatia (1970) was reversed on appeal by the Supreme Court in The Commissioner of Income Tax, Lucknow v. Sh. Madho Pd. Jatia (1977). Note: The Commissioner of Income Tax, Lucknow v. Sh. Madho Pd. Jatia was itself later listed in our reference list as overruled by Commissioner of Income Tax, West Bengal-1, Calcutta v. Simon Carves Limited (1976), but the list is inconsistent on this entry; the current position should be checked.</t>
        </is>
      </c>
      <c r="AE1680" s="2" t="n"/>
      <c r="AF1680" s="11" t="inlineStr">
        <is>
          <t>created from list 1</t>
        </is>
      </c>
    </row>
    <row r="1681">
      <c r="A1681" s="11" t="inlineStr">
        <is>
          <t>L1-1680</t>
        </is>
      </c>
      <c r="B1681" s="11" t="inlineStr">
        <is>
          <t>List 1 (to ~2015)</t>
        </is>
      </c>
      <c r="C1681" s="11" t="inlineStr">
        <is>
          <t>list1</t>
        </is>
      </c>
      <c r="D1681" s="11" t="inlineStr">
        <is>
          <t>verified</t>
        </is>
      </c>
      <c r="E1681" s="11" t="inlineStr">
        <is>
          <t>reversed_on_appeal</t>
        </is>
      </c>
      <c r="F1681" s="2" t="inlineStr">
        <is>
          <t>State of Andhra Pradesh and Others v. Pioneer Builders</t>
        </is>
      </c>
      <c r="G1681" s="11" t="inlineStr"/>
      <c r="H1681" s="11" t="inlineStr">
        <is>
          <t>unknown</t>
        </is>
      </c>
      <c r="I1681" s="2" t="inlineStr">
        <is>
          <t>(1999) 3 ALT 1</t>
        </is>
      </c>
      <c r="J1681" s="11" t="n">
        <v>1999</v>
      </c>
      <c r="K1681" s="2" t="inlineStr">
        <is>
          <t>State of A.P. and Others v. Pioneer Builders, A.P.</t>
        </is>
      </c>
      <c r="L1681" s="11" t="inlineStr">
        <is>
          <t>Supreme Court</t>
        </is>
      </c>
      <c r="M1681" s="2" t="inlineStr">
        <is>
          <t>AIR 2007 SC 113; (2006) 12 JT 272; (2006) 9 SCALE 520; (2006) 12 SCC 119; (2006) 6 SCR 571 Supp</t>
        </is>
      </c>
      <c r="N1681" s="11" t="n">
        <v>2007</v>
      </c>
      <c r="O1681" s="11" t="n"/>
      <c r="P1681" s="11" t="n"/>
      <c r="Q1681" s="11" t="n"/>
      <c r="R1681" s="2" t="n"/>
      <c r="S1681" s="2" t="n"/>
      <c r="T1681" s="11" t="inlineStr">
        <is>
          <t>yes</t>
        </is>
      </c>
      <c r="U1681" s="11" t="inlineStr"/>
      <c r="V1681" s="11" t="inlineStr">
        <is>
          <t>outside_list</t>
        </is>
      </c>
      <c r="W1681" s="11" t="n"/>
      <c r="X1681" s="11" t="n"/>
      <c r="Y1681" s="11" t="n"/>
      <c r="Z1681" s="11" t="inlineStr">
        <is>
          <t>Mr. Advocate</t>
        </is>
      </c>
      <c r="AA1681" s="11" t="inlineStr">
        <is>
          <t>2026-10-07</t>
        </is>
      </c>
      <c r="AB1681" s="11" t="inlineStr">
        <is>
          <t>name_year</t>
        </is>
      </c>
      <c r="AC1681" s="2" t="inlineStr"/>
      <c r="AD1681" s="2" t="inlineStr">
        <is>
          <t>State of Andhra Pradesh and Others v. Pioneer Builders (1999) was reversed on appeal by the Supreme Court in State of A.P. and Others v. Pioneer Builders, A.P. (2007).</t>
        </is>
      </c>
      <c r="AE1681" s="2" t="n"/>
      <c r="AF1681" s="11" t="inlineStr">
        <is>
          <t>created from list 1</t>
        </is>
      </c>
    </row>
    <row r="1682">
      <c r="A1682" s="11" t="inlineStr">
        <is>
          <t>L1-1681</t>
        </is>
      </c>
      <c r="B1682" s="11" t="inlineStr">
        <is>
          <t>List 1 (to ~2015)</t>
        </is>
      </c>
      <c r="C1682" s="11" t="inlineStr">
        <is>
          <t>list1</t>
        </is>
      </c>
      <c r="D1682" s="11" t="inlineStr">
        <is>
          <t>verified</t>
        </is>
      </c>
      <c r="E1682" s="11" t="inlineStr">
        <is>
          <t>overruled</t>
        </is>
      </c>
      <c r="F1682" s="2" t="inlineStr">
        <is>
          <t>M. Radha Krishnamurthy v. The State of A.P.</t>
        </is>
      </c>
      <c r="G1682" s="11" t="inlineStr"/>
      <c r="H1682" s="11" t="inlineStr">
        <is>
          <t>unknown</t>
        </is>
      </c>
      <c r="I1682" s="2" t="inlineStr">
        <is>
          <t>(2001) 2 ALT(Cri) 203</t>
        </is>
      </c>
      <c r="J1682" s="11" t="n">
        <v>2001</v>
      </c>
      <c r="K1682" s="2" t="inlineStr">
        <is>
          <t>State of A.P. v. M. Radha Krishna Murthy</t>
        </is>
      </c>
      <c r="L1682" s="11" t="inlineStr">
        <is>
          <t>Supreme Court</t>
        </is>
      </c>
      <c r="M1682" s="2" t="inlineStr">
        <is>
          <t>(2009) CLT 812; (2009) CriLJ 1896; (2009) 3 JT 410; (2009) 3 SCALE 649; (2009) 5 SCC 117; (2009) 4 SCR 67</t>
        </is>
      </c>
      <c r="N1682" s="11" t="n">
        <v>2009</v>
      </c>
      <c r="O1682" s="11" t="n"/>
      <c r="P1682" s="11" t="n"/>
      <c r="Q1682" s="11" t="n"/>
      <c r="R1682" s="2" t="n"/>
      <c r="S1682" s="2" t="n"/>
      <c r="T1682" s="11" t="inlineStr"/>
      <c r="U1682" s="11" t="inlineStr"/>
      <c r="V1682" s="11" t="inlineStr">
        <is>
          <t>outside_list</t>
        </is>
      </c>
      <c r="W1682" s="11" t="n"/>
      <c r="X1682" s="11" t="n"/>
      <c r="Y1682" s="11" t="n"/>
      <c r="Z1682" s="11" t="inlineStr">
        <is>
          <t>Mr. Advocate</t>
        </is>
      </c>
      <c r="AA1682" s="11" t="inlineStr">
        <is>
          <t>2026-10-07</t>
        </is>
      </c>
      <c r="AB1682" s="11" t="inlineStr">
        <is>
          <t>name_year</t>
        </is>
      </c>
      <c r="AC1682" s="2" t="inlineStr"/>
      <c r="AD1682" s="2" t="inlineStr">
        <is>
          <t>M. Radha Krishnamurthy v. The State of A.P. (2001) was overruled by State of A.P. v. M. Radha Krishna Murthy (2009).</t>
        </is>
      </c>
      <c r="AE1682" s="2" t="n"/>
      <c r="AF1682" s="11" t="inlineStr">
        <is>
          <t>created from list 1</t>
        </is>
      </c>
    </row>
    <row r="1683">
      <c r="A1683" s="11" t="inlineStr">
        <is>
          <t>L1-1682</t>
        </is>
      </c>
      <c r="B1683" s="11" t="inlineStr">
        <is>
          <t>List 1 (to ~2015)</t>
        </is>
      </c>
      <c r="C1683" s="11" t="inlineStr">
        <is>
          <t>list1</t>
        </is>
      </c>
      <c r="D1683" s="11" t="inlineStr">
        <is>
          <t>verified</t>
        </is>
      </c>
      <c r="E1683" s="11" t="inlineStr">
        <is>
          <t>reversed_on_appeal</t>
        </is>
      </c>
      <c r="F1683" s="2" t="inlineStr">
        <is>
          <t>Aloke Mitra v. Controller of Estate Duty</t>
        </is>
      </c>
      <c r="G1683" s="11" t="inlineStr"/>
      <c r="H1683" s="11" t="inlineStr">
        <is>
          <t>unknown</t>
        </is>
      </c>
      <c r="I1683" s="2" t="inlineStr">
        <is>
          <t>(1971) 41 AWR 827; (1971) 82 ITR 430</t>
        </is>
      </c>
      <c r="J1683" s="11" t="n">
        <v>1971</v>
      </c>
      <c r="K1683" s="2" t="inlineStr">
        <is>
          <t>Controller of Estate Duty, Lucknow v. Aloke Mitra</t>
        </is>
      </c>
      <c r="L1683" s="11" t="inlineStr">
        <is>
          <t>Supreme Court</t>
        </is>
      </c>
      <c r="M1683" s="2" t="inlineStr">
        <is>
          <t>AIR 1981 SC 102; (1980) 16 CTR 49; (1980) 126 ITR 599; (1981) 2 SCC 121; (1981) 1 SCR 943; (1980) 4 TAXMAN 19</t>
        </is>
      </c>
      <c r="N1683" s="11" t="n">
        <v>1981</v>
      </c>
      <c r="O1683" s="11" t="n"/>
      <c r="P1683" s="11" t="n"/>
      <c r="Q1683" s="11" t="n"/>
      <c r="R1683" s="2" t="n"/>
      <c r="S1683" s="2" t="n"/>
      <c r="T1683" s="11" t="inlineStr">
        <is>
          <t>yes</t>
        </is>
      </c>
      <c r="U1683" s="11" t="inlineStr"/>
      <c r="V1683" s="11" t="inlineStr">
        <is>
          <t>outside_list</t>
        </is>
      </c>
      <c r="W1683" s="11" t="n"/>
      <c r="X1683" s="11" t="n"/>
      <c r="Y1683" s="11" t="n"/>
      <c r="Z1683" s="11" t="inlineStr">
        <is>
          <t>Mr. Advocate</t>
        </is>
      </c>
      <c r="AA1683" s="11" t="inlineStr">
        <is>
          <t>2026-10-07</t>
        </is>
      </c>
      <c r="AB1683" s="11" t="inlineStr">
        <is>
          <t>name_year</t>
        </is>
      </c>
      <c r="AC1683" s="2" t="inlineStr"/>
      <c r="AD1683" s="2" t="inlineStr">
        <is>
          <t>Aloke Mitra v. Controller of Estate Duty (1971) was reversed on appeal by the Supreme Court in Controller of Estate Duty, Lucknow v. Aloke Mitra (1981).</t>
        </is>
      </c>
      <c r="AE1683" s="2" t="n"/>
      <c r="AF1683" s="11" t="inlineStr">
        <is>
          <t>created from list 1</t>
        </is>
      </c>
    </row>
    <row r="1684">
      <c r="A1684" s="11" t="inlineStr">
        <is>
          <t>L1-1683</t>
        </is>
      </c>
      <c r="B1684" s="11" t="inlineStr">
        <is>
          <t>List 1 (to ~2015)</t>
        </is>
      </c>
      <c r="C1684" s="11" t="inlineStr">
        <is>
          <t>list1</t>
        </is>
      </c>
      <c r="D1684" s="11" t="inlineStr">
        <is>
          <t>verified</t>
        </is>
      </c>
      <c r="E1684" s="11" t="inlineStr">
        <is>
          <t>overruled</t>
        </is>
      </c>
      <c r="F1684" s="2" t="inlineStr">
        <is>
          <t>Biswanath Chakraborty and Others v. State of West Bengal and Others</t>
        </is>
      </c>
      <c r="G1684" s="11" t="inlineStr"/>
      <c r="H1684" s="11" t="inlineStr">
        <is>
          <t>unknown</t>
        </is>
      </c>
      <c r="I1684" s="2" t="inlineStr">
        <is>
          <t>(2003) 2 CALLT 129</t>
        </is>
      </c>
      <c r="J1684" s="11" t="n">
        <v>2003</v>
      </c>
      <c r="K1684" s="2" t="inlineStr">
        <is>
          <t>Sankar Deb Acharya and Others v. Biswanath Chakraborty and Others</t>
        </is>
      </c>
      <c r="L1684" s="11" t="inlineStr">
        <is>
          <t>Supreme Court</t>
        </is>
      </c>
      <c r="M1684" s="2" t="inlineStr">
        <is>
          <t>(2006) 9 JT 370; (2006) 10 SCALE 528; (2007) 1 SCC 309; (2007) 1 SCC(L&amp;S) 192; (2006) 7 SCR 651 Supp</t>
        </is>
      </c>
      <c r="N1684" s="11" t="n">
        <v>2006</v>
      </c>
      <c r="O1684" s="11" t="n"/>
      <c r="P1684" s="11" t="n"/>
      <c r="Q1684" s="11" t="n"/>
      <c r="R1684" s="2" t="n"/>
      <c r="S1684" s="2" t="n"/>
      <c r="T1684" s="11" t="inlineStr"/>
      <c r="U1684" s="11" t="inlineStr"/>
      <c r="V1684" s="11" t="inlineStr">
        <is>
          <t>outside_list</t>
        </is>
      </c>
      <c r="W1684" s="11" t="n"/>
      <c r="X1684" s="11" t="n"/>
      <c r="Y1684" s="11" t="n"/>
      <c r="Z1684" s="11" t="inlineStr">
        <is>
          <t>Mr. Advocate</t>
        </is>
      </c>
      <c r="AA1684" s="11" t="inlineStr">
        <is>
          <t>2026-10-07</t>
        </is>
      </c>
      <c r="AB1684" s="11" t="inlineStr">
        <is>
          <t>name_year</t>
        </is>
      </c>
      <c r="AC1684" s="2" t="inlineStr"/>
      <c r="AD1684" s="2" t="inlineStr">
        <is>
          <t>Biswanath Chakraborty and Others v. State of West Bengal and Others (2003) was overruled by Sankar Deb Acharya and Others v. Biswanath Chakraborty and Others (2006).</t>
        </is>
      </c>
      <c r="AE1684" s="2" t="n"/>
      <c r="AF1684" s="11" t="inlineStr">
        <is>
          <t>created from list 1</t>
        </is>
      </c>
    </row>
    <row r="1685">
      <c r="A1685" s="11" t="inlineStr">
        <is>
          <t>L1-1684</t>
        </is>
      </c>
      <c r="B1685" s="11" t="inlineStr">
        <is>
          <t>List 1 (to ~2015)</t>
        </is>
      </c>
      <c r="C1685" s="11" t="inlineStr">
        <is>
          <t>list1</t>
        </is>
      </c>
      <c r="D1685" s="11" t="inlineStr">
        <is>
          <t>verified</t>
        </is>
      </c>
      <c r="E1685" s="11" t="inlineStr">
        <is>
          <t>overruled</t>
        </is>
      </c>
      <c r="F1685" s="2" t="inlineStr">
        <is>
          <t>Roop Narain Ramchandra (P.) Ltd. v. Commissioner of Income Tax</t>
        </is>
      </c>
      <c r="G1685" s="11" t="inlineStr"/>
      <c r="H1685" s="11" t="inlineStr">
        <is>
          <t>unknown</t>
        </is>
      </c>
      <c r="I1685" s="2" t="inlineStr">
        <is>
          <t>(1972) 84 ITR 181</t>
        </is>
      </c>
      <c r="J1685" s="11" t="n">
        <v>1972</v>
      </c>
      <c r="K1685" s="2" t="inlineStr">
        <is>
          <t>Jaipur Mineral Development Syndicate, Jaipur v. The Commissioner of Income Tax, New Delhi</t>
        </is>
      </c>
      <c r="L1685" s="11" t="inlineStr">
        <is>
          <t>Supreme Court</t>
        </is>
      </c>
      <c r="M1685" s="2" t="inlineStr">
        <is>
          <t>AIR 1977 SC 1348; (1977) 106 ITR 653; (1977) 1 SCC 508; (1977) 2 SCR 460</t>
        </is>
      </c>
      <c r="N1685" s="11" t="n">
        <v>1977</v>
      </c>
      <c r="O1685" s="11" t="n"/>
      <c r="P1685" s="11" t="n"/>
      <c r="Q1685" s="11" t="n"/>
      <c r="R1685" s="2" t="n"/>
      <c r="S1685" s="2" t="n"/>
      <c r="T1685" s="11" t="inlineStr"/>
      <c r="U1685" s="11" t="inlineStr"/>
      <c r="V1685" s="11" t="inlineStr">
        <is>
          <t>outside_list</t>
        </is>
      </c>
      <c r="W1685" s="11" t="n"/>
      <c r="X1685" s="11" t="n"/>
      <c r="Y1685" s="11" t="n"/>
      <c r="Z1685" s="11" t="inlineStr">
        <is>
          <t>Mr. Advocate</t>
        </is>
      </c>
      <c r="AA1685" s="11" t="inlineStr">
        <is>
          <t>2026-10-07</t>
        </is>
      </c>
      <c r="AB1685" s="11" t="inlineStr">
        <is>
          <t>name_year</t>
        </is>
      </c>
      <c r="AC1685" s="2" t="inlineStr"/>
      <c r="AD1685" s="2" t="inlineStr">
        <is>
          <t>Roop Narain Ramchandra (P.) Ltd. v. Commissioner of Income Tax (1972) was overruled by Jaipur Mineral Development Syndicate, Jaipur v. The Commissioner of Income Tax, New Delhi (1977).</t>
        </is>
      </c>
      <c r="AE1685" s="2" t="n"/>
      <c r="AF1685" s="11" t="inlineStr">
        <is>
          <t>created from list 1</t>
        </is>
      </c>
    </row>
    <row r="1686">
      <c r="A1686" s="11" t="inlineStr">
        <is>
          <t>L1-1685</t>
        </is>
      </c>
      <c r="B1686" s="11" t="inlineStr">
        <is>
          <t>List 1 (to ~2015)</t>
        </is>
      </c>
      <c r="C1686" s="11" t="inlineStr">
        <is>
          <t>list1</t>
        </is>
      </c>
      <c r="D1686" s="11" t="inlineStr">
        <is>
          <t>verified</t>
        </is>
      </c>
      <c r="E1686" s="11" t="inlineStr">
        <is>
          <t>reversed_on_appeal</t>
        </is>
      </c>
      <c r="F1686" s="2" t="inlineStr">
        <is>
          <t>Prakash Chandra Mishra and Another v. Rajendra Prasad Gupta and Others</t>
        </is>
      </c>
      <c r="G1686" s="11" t="inlineStr"/>
      <c r="H1686" s="11" t="inlineStr">
        <is>
          <t>unknown</t>
        </is>
      </c>
      <c r="I1686" s="2" t="inlineStr">
        <is>
          <t>(2004) 2 AWC 1673; (2004) 97 RD 137</t>
        </is>
      </c>
      <c r="J1686" s="11" t="n">
        <v>2004</v>
      </c>
      <c r="K1686" s="2" t="inlineStr">
        <is>
          <t>Rajendra Prasad Gupta v. Prakash Chandra Mishra and Others</t>
        </is>
      </c>
      <c r="L1686" s="11" t="inlineStr">
        <is>
          <t>Supreme Court</t>
        </is>
      </c>
      <c r="M1686" s="2" t="inlineStr">
        <is>
          <t>AIR 2011 SC 1137; (2011) 112 CLT 66; (2011) 2 CTC 463; (2011) 1 RCR(Civil) 801; (2011) 1 SCALE 469; (2011) 1 SCR 321; (2011) AIRSCW 1318</t>
        </is>
      </c>
      <c r="N1686" s="11" t="n">
        <v>2011</v>
      </c>
      <c r="O1686" s="11" t="n"/>
      <c r="P1686" s="11" t="n"/>
      <c r="Q1686" s="11" t="n"/>
      <c r="R1686" s="2" t="n"/>
      <c r="S1686" s="2" t="n"/>
      <c r="T1686" s="11" t="inlineStr">
        <is>
          <t>yes</t>
        </is>
      </c>
      <c r="U1686" s="11" t="inlineStr"/>
      <c r="V1686" s="11" t="inlineStr">
        <is>
          <t>outside_list</t>
        </is>
      </c>
      <c r="W1686" s="11" t="n"/>
      <c r="X1686" s="11" t="n"/>
      <c r="Y1686" s="11" t="n"/>
      <c r="Z1686" s="11" t="inlineStr">
        <is>
          <t>Mr. Advocate</t>
        </is>
      </c>
      <c r="AA1686" s="11" t="inlineStr">
        <is>
          <t>2026-10-07</t>
        </is>
      </c>
      <c r="AB1686" s="11" t="inlineStr">
        <is>
          <t>name_year</t>
        </is>
      </c>
      <c r="AC1686" s="2" t="inlineStr"/>
      <c r="AD1686" s="2" t="inlineStr">
        <is>
          <t>Prakash Chandra Mishra and Another v. Rajendra Prasad Gupta and Others (2004) was reversed on appeal by the Supreme Court in Rajendra Prasad Gupta v. Prakash Chandra Mishra and Others (2011).</t>
        </is>
      </c>
      <c r="AE1686" s="2" t="n"/>
      <c r="AF1686" s="11" t="inlineStr">
        <is>
          <t>created from list 1</t>
        </is>
      </c>
    </row>
    <row r="1687">
      <c r="A1687" s="11" t="inlineStr">
        <is>
          <t>L1-1686</t>
        </is>
      </c>
      <c r="B1687" s="11" t="inlineStr">
        <is>
          <t>List 1 (to ~2015)</t>
        </is>
      </c>
      <c r="C1687" s="11" t="inlineStr">
        <is>
          <t>list1</t>
        </is>
      </c>
      <c r="D1687" s="11" t="inlineStr">
        <is>
          <t>verified</t>
        </is>
      </c>
      <c r="E1687" s="11" t="inlineStr">
        <is>
          <t>overruled</t>
        </is>
      </c>
      <c r="F1687" s="2" t="inlineStr">
        <is>
          <t>The State of Uttar Pradesh and Others v. Suraj Bhan Pande</t>
        </is>
      </c>
      <c r="G1687" s="11" t="inlineStr"/>
      <c r="H1687" s="11" t="inlineStr">
        <is>
          <t>Allahabad</t>
        </is>
      </c>
      <c r="I1687" s="2" t="inlineStr">
        <is>
          <t>AIR 1972 All 401</t>
        </is>
      </c>
      <c r="J1687" s="11" t="n">
        <v>1972</v>
      </c>
      <c r="K1687" s="2" t="inlineStr">
        <is>
          <t>K. Ramanathan v. State of Tamil Nadu and Another</t>
        </is>
      </c>
      <c r="L1687" s="11" t="inlineStr">
        <is>
          <t>Supreme Court</t>
        </is>
      </c>
      <c r="M1687" s="2" t="inlineStr">
        <is>
          <t>AIR 1985 SC 660; (1985) 1 SCALE 510; (1985) 2 SCC 116; (1985) 2 SCR 1028</t>
        </is>
      </c>
      <c r="N1687" s="11" t="n">
        <v>1985</v>
      </c>
      <c r="O1687" s="11" t="n"/>
      <c r="P1687" s="11" t="n"/>
      <c r="Q1687" s="11" t="n"/>
      <c r="R1687" s="2" t="n"/>
      <c r="S1687" s="2" t="n"/>
      <c r="T1687" s="11" t="inlineStr"/>
      <c r="U1687" s="11" t="inlineStr"/>
      <c r="V1687" s="11" t="inlineStr">
        <is>
          <t>outside_list</t>
        </is>
      </c>
      <c r="W1687" s="11" t="n"/>
      <c r="X1687" s="11" t="n"/>
      <c r="Y1687" s="11" t="n"/>
      <c r="Z1687" s="11" t="inlineStr">
        <is>
          <t>Mr. Advocate</t>
        </is>
      </c>
      <c r="AA1687" s="11" t="inlineStr">
        <is>
          <t>2026-10-07</t>
        </is>
      </c>
      <c r="AB1687" s="11" t="inlineStr">
        <is>
          <t>name_year</t>
        </is>
      </c>
      <c r="AC1687" s="2" t="inlineStr"/>
      <c r="AD1687" s="2" t="inlineStr">
        <is>
          <t>The State of Uttar Pradesh and Others v. Suraj Bhan Pande (1972) was overruled by K. Ramanathan v. State of Tamil Nadu and Another (1985).</t>
        </is>
      </c>
      <c r="AE1687" s="2" t="n"/>
      <c r="AF1687" s="11" t="inlineStr">
        <is>
          <t>created from list 1</t>
        </is>
      </c>
    </row>
    <row r="1688">
      <c r="A1688" s="11" t="inlineStr">
        <is>
          <t>L1-1687</t>
        </is>
      </c>
      <c r="B1688" s="11" t="inlineStr">
        <is>
          <t>List 1 (to ~2015)</t>
        </is>
      </c>
      <c r="C1688" s="11" t="inlineStr">
        <is>
          <t>list1</t>
        </is>
      </c>
      <c r="D1688" s="11" t="inlineStr">
        <is>
          <t>verified</t>
        </is>
      </c>
      <c r="E1688" s="11" t="inlineStr">
        <is>
          <t>overruled</t>
        </is>
      </c>
      <c r="F1688" s="2" t="inlineStr">
        <is>
          <t>The Bullion and Agricultural Produce Exchange Private Limited v. The Forward Markets Commission, Bombay and Others</t>
        </is>
      </c>
      <c r="G1688" s="11" t="inlineStr"/>
      <c r="H1688" s="11" t="inlineStr">
        <is>
          <t>Allahabad</t>
        </is>
      </c>
      <c r="I1688" s="2" t="inlineStr">
        <is>
          <t>AIR 1968 All 338; (1968) CriLJ 1325</t>
        </is>
      </c>
      <c r="J1688" s="11" t="n">
        <v>1968</v>
      </c>
      <c r="K1688" s="2" t="inlineStr">
        <is>
          <t>State of Maharashtra v. Jayantilal and Others</t>
        </is>
      </c>
      <c r="L1688" s="11" t="inlineStr">
        <is>
          <t>Supreme Court</t>
        </is>
      </c>
      <c r="M1688" s="2" t="inlineStr">
        <is>
          <t>AIR 1984 SC 612; (1984) CriLJ 334; (1984) 1 Crimes 711; (1984) 1 SCALE 89; (1984) 1 SCC 583; (1984) 2 SCR 431</t>
        </is>
      </c>
      <c r="N1688" s="11" t="n">
        <v>1984</v>
      </c>
      <c r="O1688" s="11" t="n"/>
      <c r="P1688" s="11" t="n"/>
      <c r="Q1688" s="11" t="n"/>
      <c r="R1688" s="2" t="n"/>
      <c r="S1688" s="2" t="n"/>
      <c r="T1688" s="11" t="inlineStr"/>
      <c r="U1688" s="11" t="inlineStr"/>
      <c r="V1688" s="11" t="inlineStr">
        <is>
          <t>outside_list</t>
        </is>
      </c>
      <c r="W1688" s="11" t="n"/>
      <c r="X1688" s="11" t="n"/>
      <c r="Y1688" s="11" t="n"/>
      <c r="Z1688" s="11" t="inlineStr">
        <is>
          <t>Mr. Advocate</t>
        </is>
      </c>
      <c r="AA1688" s="11" t="inlineStr">
        <is>
          <t>2026-10-07</t>
        </is>
      </c>
      <c r="AB1688" s="11" t="inlineStr">
        <is>
          <t>name_year</t>
        </is>
      </c>
      <c r="AC1688" s="2" t="inlineStr"/>
      <c r="AD1688" s="2" t="inlineStr">
        <is>
          <t>The Bullion and Agricultural Produce Exchange Private Limited v. The Forward Markets Commission, Bombay and Others (1968) was overruled by State of Maharashtra v. Jayantilal and Others (1984).</t>
        </is>
      </c>
      <c r="AE1688" s="2" t="n"/>
      <c r="AF1688" s="11" t="inlineStr">
        <is>
          <t>created from list 1</t>
        </is>
      </c>
    </row>
    <row r="1689">
      <c r="A1689" s="11" t="inlineStr">
        <is>
          <t>L1-1688</t>
        </is>
      </c>
      <c r="B1689" s="11" t="inlineStr">
        <is>
          <t>List 1 (to ~2015)</t>
        </is>
      </c>
      <c r="C1689" s="11" t="inlineStr">
        <is>
          <t>list1</t>
        </is>
      </c>
      <c r="D1689" s="11" t="inlineStr">
        <is>
          <t>verified</t>
        </is>
      </c>
      <c r="E1689" s="11" t="inlineStr">
        <is>
          <t>overruled</t>
        </is>
      </c>
      <c r="F1689" s="2" t="inlineStr">
        <is>
          <t>Committee of Management, Ratan Muni Jain Inter College and another v. III Additional Civil Judge, Agra and others</t>
        </is>
      </c>
      <c r="G1689" s="11" t="inlineStr"/>
      <c r="H1689" s="11" t="inlineStr">
        <is>
          <t>Allahabad</t>
        </is>
      </c>
      <c r="I1689" s="2" t="inlineStr">
        <is>
          <t>AIR 1995 All 7</t>
        </is>
      </c>
      <c r="J1689" s="11" t="n">
        <v>1995</v>
      </c>
      <c r="K1689" s="2" t="inlineStr">
        <is>
          <t>Swetambar Sthanakwasi Jain Samiti and another v. The Alleged Committee of Management, Sri R.J.I. College, Agra and others</t>
        </is>
      </c>
      <c r="L1689" s="11" t="inlineStr">
        <is>
          <t>Supreme Court</t>
        </is>
      </c>
      <c r="M1689" s="2" t="inlineStr">
        <is>
          <t>(1996) 2 AD 184; AIR 1996 SC 1209; (1996) 3 JT 21; (1996) 2 SCALE 195; (1996) 3 SCC 11; (1996) 2 SCR 623; (1996) 1 UJ 673</t>
        </is>
      </c>
      <c r="N1689" s="11" t="n">
        <v>1996</v>
      </c>
      <c r="O1689" s="11" t="n"/>
      <c r="P1689" s="11" t="n"/>
      <c r="Q1689" s="11" t="n"/>
      <c r="R1689" s="2" t="n"/>
      <c r="S1689" s="2" t="n"/>
      <c r="T1689" s="11" t="inlineStr"/>
      <c r="U1689" s="11" t="inlineStr"/>
      <c r="V1689" s="11" t="inlineStr">
        <is>
          <t>outside_list</t>
        </is>
      </c>
      <c r="W1689" s="11" t="n"/>
      <c r="X1689" s="11" t="n"/>
      <c r="Y1689" s="11" t="n"/>
      <c r="Z1689" s="11" t="inlineStr">
        <is>
          <t>Mr. Advocate</t>
        </is>
      </c>
      <c r="AA1689" s="11" t="inlineStr">
        <is>
          <t>2026-10-07</t>
        </is>
      </c>
      <c r="AB1689" s="11" t="inlineStr">
        <is>
          <t>name_year</t>
        </is>
      </c>
      <c r="AC1689" s="2" t="inlineStr"/>
      <c r="AD1689" s="2" t="inlineStr">
        <is>
          <t>Committee of Management, Ratan Muni Jain Inter College and another v. III Additional Civil Judge, Agra and others (1995) was overruled by Swetambar Sthanakwasi Jain Samiti and another v. The Alleged Committee of Management, Sri R.J.I. College, Agra and others (1996).</t>
        </is>
      </c>
      <c r="AE1689" s="2" t="n"/>
      <c r="AF1689" s="11" t="inlineStr">
        <is>
          <t>created from list 1</t>
        </is>
      </c>
    </row>
    <row r="1690">
      <c r="A1690" s="11" t="inlineStr">
        <is>
          <t>L2-001</t>
        </is>
      </c>
      <c r="B1690" s="11" t="inlineStr">
        <is>
          <t>List 2 (after 2015)</t>
        </is>
      </c>
      <c r="C1690" s="11" t="inlineStr">
        <is>
          <t>list2</t>
        </is>
      </c>
      <c r="D1690" s="11" t="inlineStr">
        <is>
          <t>candidate</t>
        </is>
      </c>
      <c r="E1690" s="11" t="inlineStr">
        <is>
          <t>overruled</t>
        </is>
      </c>
      <c r="F1690" s="2" t="inlineStr">
        <is>
          <t>M.P. Sharma v. Satish Chandra</t>
        </is>
      </c>
      <c r="G1690" s="11" t="inlineStr"/>
      <c r="H1690" s="11" t="inlineStr">
        <is>
          <t>Supreme Court</t>
        </is>
      </c>
      <c r="I1690" s="2" t="inlineStr">
        <is>
          <t>[1954] SCR 1077; AIR 1954 SC 300</t>
        </is>
      </c>
      <c r="J1690" s="11" t="n">
        <v>1954</v>
      </c>
      <c r="K1690" s="2" t="inlineStr">
        <is>
          <t>K.S. Puttaswamy (Retd.) v. Union of India</t>
        </is>
      </c>
      <c r="L1690" s="11" t="inlineStr">
        <is>
          <t>Supreme Court</t>
        </is>
      </c>
      <c r="M1690" s="2" t="inlineStr">
        <is>
          <t>(2017) 10 SCC 1; [2017] 10 S.C.R. 569</t>
        </is>
      </c>
      <c r="N1690" s="11" t="n">
        <v>2017</v>
      </c>
      <c r="O1690" s="11" t="inlineStr">
        <is>
          <t>2017-08-24</t>
        </is>
      </c>
      <c r="P1690" s="11" t="n">
        <v>9</v>
      </c>
      <c r="Q1690" s="11" t="inlineStr">
        <is>
          <t>b2017_10_569_999</t>
        </is>
      </c>
      <c r="R1690" s="2" t="inlineStr">
        <is>
          <t>MP Sharma is overruled to the extent to which it indicates to the contrary</t>
        </is>
      </c>
      <c r="S1690" s="2" t="inlineStr">
        <is>
          <t>the holding that the right to privacy is not protected by the Constitution</t>
        </is>
      </c>
      <c r="T1690" s="11" t="inlineStr"/>
      <c r="U1690" s="11" t="inlineStr"/>
      <c r="V1690" s="11" t="inlineStr">
        <is>
          <t>judgment_text</t>
        </is>
      </c>
      <c r="W1690" s="11" t="inlineStr">
        <is>
          <t>H+B</t>
        </is>
      </c>
      <c r="X1690" s="11" t="inlineStr">
        <is>
          <t>Claude (reading the judgment in the collection), 2026-10-07; not a lawyer</t>
        </is>
      </c>
      <c r="Y1690" s="11" t="inlineStr">
        <is>
          <t>C</t>
        </is>
      </c>
      <c r="Z1690" s="11" t="n"/>
      <c r="AA1690" s="11" t="n"/>
      <c r="AB1690" s="11" t="inlineStr">
        <is>
          <t>name_year</t>
        </is>
      </c>
      <c r="AC1690" s="2" t="inlineStr"/>
      <c r="AD1690" s="2" t="inlineStr">
        <is>
          <t>M.P. Sharma v. Satish Chandra (1954) is reported as overruled by K.S. Puttaswamy (Retd.) v. Union of India (2017) (not yet confirmed by our reviewer).</t>
        </is>
      </c>
      <c r="AE1690" s="2" t="inlineStr">
        <is>
          <t>9-judge bench. Only to that extent.</t>
        </is>
      </c>
      <c r="AF1690" s="11" t="inlineStr">
        <is>
          <t>created from list 2</t>
        </is>
      </c>
    </row>
    <row r="1691">
      <c r="A1691" s="11" t="inlineStr">
        <is>
          <t>L2-002</t>
        </is>
      </c>
      <c r="B1691" s="11" t="inlineStr">
        <is>
          <t>List 2 (after 2015)</t>
        </is>
      </c>
      <c r="C1691" s="11" t="inlineStr">
        <is>
          <t>list2</t>
        </is>
      </c>
      <c r="D1691" s="11" t="inlineStr">
        <is>
          <t>candidate</t>
        </is>
      </c>
      <c r="E1691" s="11" t="inlineStr">
        <is>
          <t>overruled_in_part</t>
        </is>
      </c>
      <c r="F1691" s="2" t="inlineStr">
        <is>
          <t>Kharak Singh v. State of U.P.</t>
        </is>
      </c>
      <c r="G1691" s="11" t="inlineStr"/>
      <c r="H1691" s="11" t="inlineStr">
        <is>
          <t>Supreme Court</t>
        </is>
      </c>
      <c r="I1691" s="2" t="inlineStr">
        <is>
          <t>AIR 1963 SC 1295; (1964) 1 SCR 332</t>
        </is>
      </c>
      <c r="J1691" s="11" t="n">
        <v>1963</v>
      </c>
      <c r="K1691" s="2" t="inlineStr">
        <is>
          <t>K.S. Puttaswamy (Retd.) v. Union of India</t>
        </is>
      </c>
      <c r="L1691" s="11" t="inlineStr">
        <is>
          <t>Supreme Court</t>
        </is>
      </c>
      <c r="M1691" s="2" t="inlineStr">
        <is>
          <t>(2017) 10 SCC 1; [2017] 10 S.C.R. 569</t>
        </is>
      </c>
      <c r="N1691" s="11" t="n">
        <v>2017</v>
      </c>
      <c r="O1691" s="11" t="inlineStr">
        <is>
          <t>2017-08-24</t>
        </is>
      </c>
      <c r="P1691" s="11" t="n">
        <v>9</v>
      </c>
      <c r="Q1691" s="11" t="inlineStr">
        <is>
          <t>b2017_10_569_999</t>
        </is>
      </c>
      <c r="R1691" s="2" t="inlineStr">
        <is>
          <t>Kharak Singh to the extent that it holds that the right to privacy is not protected ... is overruled</t>
        </is>
      </c>
      <c r="S1691" s="2" t="inlineStr">
        <is>
          <t>only the holding that privacy is not a protected right; the first part of the decision stands</t>
        </is>
      </c>
      <c r="T1691" s="11" t="inlineStr"/>
      <c r="U1691" s="11" t="inlineStr"/>
      <c r="V1691" s="11" t="inlineStr">
        <is>
          <t>judgment_text</t>
        </is>
      </c>
      <c r="W1691" s="11" t="inlineStr">
        <is>
          <t>H+B</t>
        </is>
      </c>
      <c r="X1691" s="11" t="inlineStr">
        <is>
          <t>Claude (reading the judgment in the collection), 2026-10-07; not a lawyer</t>
        </is>
      </c>
      <c r="Y1691" s="11" t="inlineStr">
        <is>
          <t>C</t>
        </is>
      </c>
      <c r="Z1691" s="11" t="n"/>
      <c r="AA1691" s="11" t="n"/>
      <c r="AB1691" s="11" t="inlineStr">
        <is>
          <t>name_year</t>
        </is>
      </c>
      <c r="AC1691" s="2" t="inlineStr"/>
      <c r="AD1691" s="2" t="inlineStr">
        <is>
          <t>Kharak Singh v. State of U.P. (1963) is reported as overruled in part by K.S. Puttaswamy (Retd.) v. Union of India (2017) (only the holding that privacy is not a protected right; the first part of the decision stands) (not yet confirmed by our reviewer).</t>
        </is>
      </c>
      <c r="AE1691" s="2" t="inlineStr">
        <is>
          <t>Only the second part of Kharak Singh; the first part was held correct.</t>
        </is>
      </c>
      <c r="AF1691" s="11" t="inlineStr">
        <is>
          <t>created from list 2</t>
        </is>
      </c>
    </row>
    <row r="1692">
      <c r="A1692" s="11" t="inlineStr">
        <is>
          <t>L2-003</t>
        </is>
      </c>
      <c r="B1692" s="11" t="inlineStr">
        <is>
          <t>List 2 (after 2015)</t>
        </is>
      </c>
      <c r="C1692" s="11" t="inlineStr">
        <is>
          <t>list2</t>
        </is>
      </c>
      <c r="D1692" s="11" t="inlineStr">
        <is>
          <t>candidate</t>
        </is>
      </c>
      <c r="E1692" s="11" t="inlineStr">
        <is>
          <t>overruled</t>
        </is>
      </c>
      <c r="F1692" s="2" t="inlineStr">
        <is>
          <t>A.D.M. Jabalpur v. Shivkant Shukla</t>
        </is>
      </c>
      <c r="G1692" s="11" t="inlineStr">
        <is>
          <t>ADM Jabalpur v. Shivakant Shukla</t>
        </is>
      </c>
      <c r="H1692" s="11" t="inlineStr">
        <is>
          <t>Supreme Court</t>
        </is>
      </c>
      <c r="I1692" s="2" t="inlineStr">
        <is>
          <t>(1976) 2 SCC 521; [1976] Suppl. SCR 172; AIR 1976 SC 1207</t>
        </is>
      </c>
      <c r="J1692" s="11" t="n">
        <v>1976</v>
      </c>
      <c r="K1692" s="2" t="inlineStr">
        <is>
          <t>K.S. Puttaswamy (Retd.) v. Union of India</t>
        </is>
      </c>
      <c r="L1692" s="11" t="inlineStr">
        <is>
          <t>Supreme Court</t>
        </is>
      </c>
      <c r="M1692" s="2" t="inlineStr">
        <is>
          <t>(2017) 10 SCC 1; [2017] 10 S.C.R. 569</t>
        </is>
      </c>
      <c r="N1692" s="11" t="n">
        <v>2017</v>
      </c>
      <c r="O1692" s="11" t="inlineStr">
        <is>
          <t>2017-08-24</t>
        </is>
      </c>
      <c r="P1692" s="11" t="n">
        <v>9</v>
      </c>
      <c r="Q1692" s="11" t="inlineStr">
        <is>
          <t>b2017_10_569_999</t>
        </is>
      </c>
      <c r="R1692" s="2" t="inlineStr">
        <is>
          <t>ADM Jabalpur must be and is accordingly overruled</t>
        </is>
      </c>
      <c r="S1692" s="2" t="n"/>
      <c r="T1692" s="11" t="inlineStr"/>
      <c r="U1692" s="11" t="inlineStr"/>
      <c r="V1692" s="11" t="inlineStr">
        <is>
          <t>judgment_text</t>
        </is>
      </c>
      <c r="W1692" s="11" t="inlineStr">
        <is>
          <t>H+B</t>
        </is>
      </c>
      <c r="X1692" s="11" t="inlineStr">
        <is>
          <t>Claude (reading the judgment in the collection), 2026-10-07; not a lawyer</t>
        </is>
      </c>
      <c r="Y1692" s="11" t="inlineStr">
        <is>
          <t>CN</t>
        </is>
      </c>
      <c r="Z1692" s="11" t="n"/>
      <c r="AA1692" s="11" t="n"/>
      <c r="AB1692" s="11" t="inlineStr">
        <is>
          <t>name_year</t>
        </is>
      </c>
      <c r="AC1692" s="2" t="inlineStr"/>
      <c r="AD1692" s="2" t="inlineStr">
        <is>
          <t>A.D.M. Jabalpur v. Shivkant Shukla (1976) is reported as overruled by K.S. Puttaswamy (Retd.) v. Union of India (2017) (not yet confirmed by our reviewer).</t>
        </is>
      </c>
      <c r="AE1692" s="2" t="inlineStr">
        <is>
          <t>The same judgment also overruled Union of India v. Bhanudas Krishna Gawde (1977); the list omits it.</t>
        </is>
      </c>
      <c r="AF1692" s="11" t="inlineStr">
        <is>
          <t>created from list 2</t>
        </is>
      </c>
    </row>
    <row r="1693">
      <c r="A1693" s="11" t="inlineStr">
        <is>
          <t>L2-004</t>
        </is>
      </c>
      <c r="B1693" s="11" t="inlineStr">
        <is>
          <t>List 2 (after 2015)</t>
        </is>
      </c>
      <c r="C1693" s="11" t="inlineStr">
        <is>
          <t>list2</t>
        </is>
      </c>
      <c r="D1693" s="11" t="inlineStr">
        <is>
          <t>candidate</t>
        </is>
      </c>
      <c r="E1693" s="11" t="inlineStr">
        <is>
          <t>overruled_in_part</t>
        </is>
      </c>
      <c r="F1693" s="2" t="inlineStr">
        <is>
          <t>Bhupendra Kumar Bose v. State of Orissa</t>
        </is>
      </c>
      <c r="G1693" s="11" t="inlineStr">
        <is>
          <t>State of Orissa v. Bhupendra Kumar Bose</t>
        </is>
      </c>
      <c r="H1693" s="11" t="inlineStr">
        <is>
          <t>Supreme Court</t>
        </is>
      </c>
      <c r="I1693" s="2" t="inlineStr">
        <is>
          <t>1962 Supp (2) SCR 380</t>
        </is>
      </c>
      <c r="J1693" s="11" t="n">
        <v>1962</v>
      </c>
      <c r="K1693" s="2" t="inlineStr">
        <is>
          <t>Krishna Kumar Singh v. State of Bihar</t>
        </is>
      </c>
      <c r="L1693" s="11" t="inlineStr">
        <is>
          <t>Supreme Court</t>
        </is>
      </c>
      <c r="M1693" s="2" t="inlineStr"/>
      <c r="N1693" s="11" t="n">
        <v>2017</v>
      </c>
      <c r="O1693" s="11" t="inlineStr">
        <is>
          <t>2017-01-02</t>
        </is>
      </c>
      <c r="P1693" s="11" t="n">
        <v>5</v>
      </c>
      <c r="Q1693" s="11" t="inlineStr">
        <is>
          <t>c44452</t>
        </is>
      </c>
      <c r="R1693" s="2" t="inlineStr">
        <is>
          <t>To this extent, both Bhupendra Kumar Bose and Venkata Reddy are overruled</t>
        </is>
      </c>
      <c r="S1693" s="2" t="inlineStr">
        <is>
          <t>the 'enduring rights' theory for ordinances</t>
        </is>
      </c>
      <c r="T1693" s="11" t="inlineStr"/>
      <c r="U1693" s="11" t="inlineStr"/>
      <c r="V1693" s="11" t="inlineStr">
        <is>
          <t>judgment_text</t>
        </is>
      </c>
      <c r="W1693" s="11" t="inlineStr">
        <is>
          <t>B</t>
        </is>
      </c>
      <c r="X1693" s="11" t="inlineStr">
        <is>
          <t>Claude (reading the judgment in the collection), 2026-10-07; not a lawyer</t>
        </is>
      </c>
      <c r="Y1693" s="11" t="inlineStr">
        <is>
          <t>CN</t>
        </is>
      </c>
      <c r="Z1693" s="11" t="n"/>
      <c r="AA1693" s="11" t="n"/>
      <c r="AB1693" s="11" t="inlineStr">
        <is>
          <t>name_year</t>
        </is>
      </c>
      <c r="AC1693" s="2" t="inlineStr"/>
      <c r="AD1693" s="2" t="inlineStr">
        <is>
          <t>Bhupendra Kumar Bose v. State of Orissa (1962) is reported as overruled in part by Krishna Kumar Singh v. State of Bihar (2017) (the 'enduring rights' theory for ordinances) (not yet confirmed by our reviewer).</t>
        </is>
      </c>
      <c r="AE1693" s="2" t="inlineStr">
        <is>
          <t>What was overruled is the 'enduring rights' theory for ordinances. The list's description (re-promulgation) names a different holding of the same judgment.</t>
        </is>
      </c>
      <c r="AF1693" s="11" t="inlineStr">
        <is>
          <t>created from list 2</t>
        </is>
      </c>
    </row>
    <row r="1694">
      <c r="A1694" s="11" t="inlineStr">
        <is>
          <t>L2-005</t>
        </is>
      </c>
      <c r="B1694" s="11" t="inlineStr">
        <is>
          <t>List 2 (after 2015)</t>
        </is>
      </c>
      <c r="C1694" s="11" t="inlineStr">
        <is>
          <t>list2</t>
        </is>
      </c>
      <c r="D1694" s="11" t="inlineStr">
        <is>
          <t>candidate</t>
        </is>
      </c>
      <c r="E1694" s="11" t="inlineStr">
        <is>
          <t>overruled_in_part</t>
        </is>
      </c>
      <c r="F1694" s="2" t="inlineStr">
        <is>
          <t>T. Venkata Reddy v. State of A.P.</t>
        </is>
      </c>
      <c r="G1694" s="11" t="inlineStr">
        <is>
          <t>T. Venkata Reddy v. State of Andhra Pradesh</t>
        </is>
      </c>
      <c r="H1694" s="11" t="inlineStr">
        <is>
          <t>Supreme Court</t>
        </is>
      </c>
      <c r="I1694" s="2" t="inlineStr">
        <is>
          <t>(1985) 3 SCC 198</t>
        </is>
      </c>
      <c r="J1694" s="11" t="n">
        <v>1985</v>
      </c>
      <c r="K1694" s="2" t="inlineStr">
        <is>
          <t>Krishna Kumar Singh v. State of Bihar</t>
        </is>
      </c>
      <c r="L1694" s="11" t="inlineStr">
        <is>
          <t>Supreme Court</t>
        </is>
      </c>
      <c r="M1694" s="2" t="inlineStr"/>
      <c r="N1694" s="11" t="n">
        <v>2017</v>
      </c>
      <c r="O1694" s="11" t="inlineStr">
        <is>
          <t>2017-01-02</t>
        </is>
      </c>
      <c r="P1694" s="11" t="n">
        <v>5</v>
      </c>
      <c r="Q1694" s="11" t="inlineStr">
        <is>
          <t>c44452</t>
        </is>
      </c>
      <c r="R1694" s="2" t="inlineStr">
        <is>
          <t>Bhupendra Kumar Bose and T. Venkata Reddy ... to the extent ... 'creation of enduring rights' ... not correctly decided and should stand overruled</t>
        </is>
      </c>
      <c r="S1694" s="2" t="inlineStr">
        <is>
          <t>the 'enduring rights' theory for ordinances</t>
        </is>
      </c>
      <c r="T1694" s="11" t="inlineStr"/>
      <c r="U1694" s="11" t="inlineStr"/>
      <c r="V1694" s="11" t="inlineStr">
        <is>
          <t>judgment_text</t>
        </is>
      </c>
      <c r="W1694" s="11" t="inlineStr">
        <is>
          <t>B</t>
        </is>
      </c>
      <c r="X1694" s="11" t="inlineStr">
        <is>
          <t>Claude (reading the judgment in the collection), 2026-10-07; not a lawyer</t>
        </is>
      </c>
      <c r="Y1694" s="11" t="inlineStr">
        <is>
          <t>CN</t>
        </is>
      </c>
      <c r="Z1694" s="11" t="n"/>
      <c r="AA1694" s="11" t="n"/>
      <c r="AB1694" s="11" t="inlineStr">
        <is>
          <t>name_year</t>
        </is>
      </c>
      <c r="AC1694" s="2" t="inlineStr"/>
      <c r="AD1694" s="2" t="inlineStr">
        <is>
          <t>T. Venkata Reddy v. State of A.P. (1985) is reported as overruled in part by Krishna Kumar Singh v. State of Bihar (2017) (the 'enduring rights' theory for ordinances) (not yet confirmed by our reviewer).</t>
        </is>
      </c>
      <c r="AE1694" s="2" t="inlineStr">
        <is>
          <t>Same note as row 4.</t>
        </is>
      </c>
      <c r="AF1694" s="11" t="inlineStr">
        <is>
          <t>created from list 2</t>
        </is>
      </c>
    </row>
    <row r="1695">
      <c r="A1695" s="11" t="inlineStr">
        <is>
          <t>L2-006</t>
        </is>
      </c>
      <c r="B1695" s="11" t="inlineStr">
        <is>
          <t>List 2 (after 2015)</t>
        </is>
      </c>
      <c r="C1695" s="11" t="inlineStr">
        <is>
          <t>list2</t>
        </is>
      </c>
      <c r="D1695" s="11" t="inlineStr">
        <is>
          <t>candidate</t>
        </is>
      </c>
      <c r="E1695" s="11" t="inlineStr">
        <is>
          <t>overruled</t>
        </is>
      </c>
      <c r="F1695" s="2" t="inlineStr">
        <is>
          <t>State of M.P. v. Saith &amp; Skelton (P) Ltd.</t>
        </is>
      </c>
      <c r="G1695" s="11" t="inlineStr">
        <is>
          <t>State of Madhya Pradesh v. Saith and Skelton (P) Ltd.</t>
        </is>
      </c>
      <c r="H1695" s="11" t="inlineStr">
        <is>
          <t>Supreme Court</t>
        </is>
      </c>
      <c r="I1695" s="2" t="inlineStr">
        <is>
          <t>(1972) 1 SCC 702; [1972] 3 SCR 233</t>
        </is>
      </c>
      <c r="J1695" s="11" t="n">
        <v>1972</v>
      </c>
      <c r="K1695" s="2" t="inlineStr">
        <is>
          <t>State of Jharkhand v. Hindustan Construction Co. Ltd.</t>
        </is>
      </c>
      <c r="L1695" s="11" t="inlineStr">
        <is>
          <t>Supreme Court</t>
        </is>
      </c>
      <c r="M1695" s="2" t="inlineStr">
        <is>
          <t>[2017] 13 S.C.R. 1009</t>
        </is>
      </c>
      <c r="N1695" s="11" t="n">
        <v>2017</v>
      </c>
      <c r="O1695" s="11" t="inlineStr">
        <is>
          <t>2017-12-14</t>
        </is>
      </c>
      <c r="P1695" s="11" t="n">
        <v>5</v>
      </c>
      <c r="Q1695" s="11" t="inlineStr">
        <is>
          <t>b2017_13_1009_1052</t>
        </is>
      </c>
      <c r="R1695" s="2" t="inlineStr">
        <is>
          <t>Saith and Skelton and Guru Nanak Foundation do not lay the correct position of law and ... are overruled. Any other judgment ... also stands overruled</t>
        </is>
      </c>
      <c r="S1695" s="2" t="inlineStr">
        <is>
          <t>the view that a superior court that appoints the arbitrator keeps jurisdiction over later arbitration proceedings</t>
        </is>
      </c>
      <c r="T1695" s="11" t="inlineStr"/>
      <c r="U1695" s="11" t="inlineStr"/>
      <c r="V1695" s="11" t="inlineStr">
        <is>
          <t>judgment_text</t>
        </is>
      </c>
      <c r="W1695" s="11" t="inlineStr">
        <is>
          <t>B</t>
        </is>
      </c>
      <c r="X1695" s="11" t="inlineStr">
        <is>
          <t>Claude (reading the judgment in the collection), 2026-10-07; not a lawyer</t>
        </is>
      </c>
      <c r="Y1695" s="11" t="inlineStr">
        <is>
          <t>C</t>
        </is>
      </c>
      <c r="Z1695" s="11" t="n"/>
      <c r="AA1695" s="11" t="n"/>
      <c r="AB1695" s="11" t="inlineStr">
        <is>
          <t>name_year</t>
        </is>
      </c>
      <c r="AC1695" s="2" t="inlineStr"/>
      <c r="AD1695" s="2" t="inlineStr">
        <is>
          <t>State of M.P. v. Saith &amp; Skelton (P) Ltd. (1972) is reported as overruled by State of Jharkhand v. Hindustan Construction Co. Ltd. (2017) (not yet confirmed by our reviewer).</t>
        </is>
      </c>
      <c r="AE1695" s="2" t="inlineStr">
        <is>
          <t>5-judge bench.</t>
        </is>
      </c>
      <c r="AF1695" s="11" t="inlineStr">
        <is>
          <t>created from list 2</t>
        </is>
      </c>
    </row>
    <row r="1696">
      <c r="A1696" s="11" t="inlineStr">
        <is>
          <t>L2-007</t>
        </is>
      </c>
      <c r="B1696" s="11" t="inlineStr">
        <is>
          <t>List 2 (after 2015)</t>
        </is>
      </c>
      <c r="C1696" s="11" t="inlineStr">
        <is>
          <t>list2</t>
        </is>
      </c>
      <c r="D1696" s="11" t="inlineStr">
        <is>
          <t>candidate</t>
        </is>
      </c>
      <c r="E1696" s="11" t="inlineStr">
        <is>
          <t>overruled</t>
        </is>
      </c>
      <c r="F1696" s="2" t="inlineStr">
        <is>
          <t>Guru Nanak Foundation v. Rattan Singh &amp; Sons</t>
        </is>
      </c>
      <c r="G1696" s="11" t="inlineStr">
        <is>
          <t>Guru Nanak Foundation v. Rattan Singh and Sons</t>
        </is>
      </c>
      <c r="H1696" s="11" t="inlineStr">
        <is>
          <t>Supreme Court</t>
        </is>
      </c>
      <c r="I1696" s="2" t="inlineStr">
        <is>
          <t>[1982] 1 SCR 842</t>
        </is>
      </c>
      <c r="J1696" s="11" t="n">
        <v>1981</v>
      </c>
      <c r="K1696" s="2" t="inlineStr">
        <is>
          <t>State of Jharkhand v. Hindustan Construction Co. Ltd.</t>
        </is>
      </c>
      <c r="L1696" s="11" t="inlineStr">
        <is>
          <t>Supreme Court</t>
        </is>
      </c>
      <c r="M1696" s="2" t="inlineStr">
        <is>
          <t>[2017] 13 S.C.R. 1009</t>
        </is>
      </c>
      <c r="N1696" s="11" t="n">
        <v>2017</v>
      </c>
      <c r="O1696" s="11" t="inlineStr">
        <is>
          <t>2017-12-14</t>
        </is>
      </c>
      <c r="P1696" s="11" t="n">
        <v>5</v>
      </c>
      <c r="Q1696" s="11" t="inlineStr">
        <is>
          <t>b2017_13_1009_1052</t>
        </is>
      </c>
      <c r="R1696" s="2" t="inlineStr">
        <is>
          <t>same sentence as row 6</t>
        </is>
      </c>
      <c r="S1696" s="2" t="inlineStr">
        <is>
          <t>the view that a superior court that appoints the arbitrator keeps jurisdiction over later arbitration proceedings</t>
        </is>
      </c>
      <c r="T1696" s="11" t="inlineStr"/>
      <c r="U1696" s="11" t="inlineStr"/>
      <c r="V1696" s="11" t="inlineStr">
        <is>
          <t>judgment_text</t>
        </is>
      </c>
      <c r="W1696" s="11" t="inlineStr">
        <is>
          <t>B</t>
        </is>
      </c>
      <c r="X1696" s="11" t="inlineStr">
        <is>
          <t>Claude (reading the judgment in the collection), 2026-10-07; not a lawyer</t>
        </is>
      </c>
      <c r="Y1696" s="11" t="inlineStr">
        <is>
          <t>C</t>
        </is>
      </c>
      <c r="Z1696" s="11" t="n"/>
      <c r="AA1696" s="11" t="n"/>
      <c r="AB1696" s="11" t="inlineStr">
        <is>
          <t>name_year</t>
        </is>
      </c>
      <c r="AC1696" s="2" t="inlineStr"/>
      <c r="AD1696" s="2" t="inlineStr">
        <is>
          <t>Guru Nanak Foundation v. Rattan Singh &amp; Sons (1981) is reported as overruled by State of Jharkhand v. Hindustan Construction Co. Ltd. (2017) (not yet confirmed by our reviewer).</t>
        </is>
      </c>
      <c r="AE1696" s="2" t="inlineStr">
        <is>
          <t>5-judge bench.</t>
        </is>
      </c>
      <c r="AF1696" s="11" t="inlineStr">
        <is>
          <t>created from list 2</t>
        </is>
      </c>
    </row>
    <row r="1697">
      <c r="A1697" s="11" t="inlineStr">
        <is>
          <t>L2-008</t>
        </is>
      </c>
      <c r="B1697" s="11" t="inlineStr">
        <is>
          <t>List 2 (after 2015)</t>
        </is>
      </c>
      <c r="C1697" s="11" t="inlineStr">
        <is>
          <t>list2</t>
        </is>
      </c>
      <c r="D1697" s="11" t="inlineStr">
        <is>
          <t>candidate</t>
        </is>
      </c>
      <c r="E1697" s="11" t="inlineStr">
        <is>
          <t>overruled</t>
        </is>
      </c>
      <c r="F1697" s="2" t="inlineStr">
        <is>
          <t>Sun Export Corporation v. Collector of Customs</t>
        </is>
      </c>
      <c r="G1697" s="11" t="inlineStr">
        <is>
          <t>Sun Export Corporation, Bombay v. Collector of Customs, Bombay</t>
        </is>
      </c>
      <c r="H1697" s="11" t="inlineStr">
        <is>
          <t>Supreme Court</t>
        </is>
      </c>
      <c r="I1697" s="2" t="inlineStr">
        <is>
          <t>(1997) 6 SCC 564; [1997] 1 Suppl. SCR 434</t>
        </is>
      </c>
      <c r="J1697" s="11" t="n">
        <v>1997</v>
      </c>
      <c r="K1697" s="2" t="inlineStr">
        <is>
          <t>Commissioner of Customs v. Dilip Kumar &amp; Co.</t>
        </is>
      </c>
      <c r="L1697" s="11" t="inlineStr">
        <is>
          <t>Supreme Court</t>
        </is>
      </c>
      <c r="M1697" s="2" t="inlineStr">
        <is>
          <t>[2018] 7 S.C.R. 1191</t>
        </is>
      </c>
      <c r="N1697" s="11" t="n">
        <v>2018</v>
      </c>
      <c r="O1697" s="11" t="inlineStr">
        <is>
          <t>2018-07-30</t>
        </is>
      </c>
      <c r="P1697" s="11" t="n">
        <v>5</v>
      </c>
      <c r="Q1697" s="11" t="inlineStr">
        <is>
          <t>b2018_7_1191_1231</t>
        </is>
      </c>
      <c r="R1697" s="2" t="inlineStr">
        <is>
          <t>The ratio in Sun Export case is not correct and all the decisions which took similar view ... stand over-ruled</t>
        </is>
      </c>
      <c r="S1697" s="2" t="inlineStr">
        <is>
          <t>benefit of ambiguity in an exemption notification goes to the Revenue</t>
        </is>
      </c>
      <c r="T1697" s="11" t="inlineStr"/>
      <c r="U1697" s="11" t="inlineStr"/>
      <c r="V1697" s="11" t="inlineStr">
        <is>
          <t>judgment_text</t>
        </is>
      </c>
      <c r="W1697" s="11" t="inlineStr">
        <is>
          <t>H+B</t>
        </is>
      </c>
      <c r="X1697" s="11" t="inlineStr">
        <is>
          <t>Claude (reading the judgment in the collection), 2026-10-07; not a lawyer</t>
        </is>
      </c>
      <c r="Y1697" s="11" t="inlineStr">
        <is>
          <t>CN</t>
        </is>
      </c>
      <c r="Z1697" s="11" t="n"/>
      <c r="AA1697" s="11" t="n"/>
      <c r="AB1697" s="11" t="inlineStr">
        <is>
          <t>name_year</t>
        </is>
      </c>
      <c r="AC1697" s="2" t="inlineStr"/>
      <c r="AD1697" s="2" t="inlineStr">
        <is>
          <t>Sun Export Corporation v. Collector of Customs (1997) is reported as overruled by Commissioner of Customs v. Dilip Kumar &amp; Co. (2018) (not yet confirmed by our reviewer).</t>
        </is>
      </c>
      <c r="AE1697" s="2" t="inlineStr">
        <is>
          <t>5-judge bench. 'All decisions which took a similar view' are overruled too; the list names one case.</t>
        </is>
      </c>
      <c r="AF1697" s="11" t="inlineStr">
        <is>
          <t>created from list 2</t>
        </is>
      </c>
    </row>
    <row r="1698">
      <c r="A1698" s="11" t="inlineStr">
        <is>
          <t>L2-009</t>
        </is>
      </c>
      <c r="B1698" s="11" t="inlineStr">
        <is>
          <t>List 2 (after 2015)</t>
        </is>
      </c>
      <c r="C1698" s="11" t="inlineStr">
        <is>
          <t>list2</t>
        </is>
      </c>
      <c r="D1698" s="11" t="inlineStr">
        <is>
          <t>candidate</t>
        </is>
      </c>
      <c r="E1698" s="11" t="inlineStr">
        <is>
          <t>overruled</t>
        </is>
      </c>
      <c r="F1698" s="2" t="inlineStr">
        <is>
          <t>Suresh Kumar Koushal v. Naz Foundation</t>
        </is>
      </c>
      <c r="G1698" s="11" t="inlineStr">
        <is>
          <t>Suresh Kumar Koushal and Another v. Naz Foundation and Others</t>
        </is>
      </c>
      <c r="H1698" s="11" t="inlineStr">
        <is>
          <t>Supreme Court</t>
        </is>
      </c>
      <c r="I1698" s="2" t="inlineStr">
        <is>
          <t>(2014) 1 SCC 1; [2013] 17 SCR 1019</t>
        </is>
      </c>
      <c r="J1698" s="11" t="n">
        <v>2013</v>
      </c>
      <c r="K1698" s="2" t="inlineStr">
        <is>
          <t>Navtej Singh Johar v. Union of India</t>
        </is>
      </c>
      <c r="L1698" s="11" t="inlineStr">
        <is>
          <t>Supreme Court</t>
        </is>
      </c>
      <c r="M1698" s="2" t="inlineStr">
        <is>
          <t>[2018] 7 S.C.R. 379</t>
        </is>
      </c>
      <c r="N1698" s="11" t="n">
        <v>2018</v>
      </c>
      <c r="O1698" s="11" t="inlineStr">
        <is>
          <t>2018-09-06</t>
        </is>
      </c>
      <c r="P1698" s="11" t="n">
        <v>5</v>
      </c>
      <c r="Q1698" s="11" t="inlineStr">
        <is>
          <t>b2018_7_379_746</t>
        </is>
      </c>
      <c r="R1698" s="2" t="inlineStr">
        <is>
          <t>Suresh Kumar Koushal needs to be, and is hereby, overruled</t>
        </is>
      </c>
      <c r="S1698" s="2" t="n"/>
      <c r="T1698" s="11" t="inlineStr"/>
      <c r="U1698" s="11" t="inlineStr"/>
      <c r="V1698" s="11" t="inlineStr">
        <is>
          <t>judgment_text</t>
        </is>
      </c>
      <c r="W1698" s="11" t="inlineStr">
        <is>
          <t>H+B</t>
        </is>
      </c>
      <c r="X1698" s="11" t="inlineStr">
        <is>
          <t>Claude (reading the judgment in the collection), 2026-10-07; not a lawyer</t>
        </is>
      </c>
      <c r="Y1698" s="11" t="inlineStr">
        <is>
          <t>C</t>
        </is>
      </c>
      <c r="Z1698" s="11" t="n"/>
      <c r="AA1698" s="11" t="n"/>
      <c r="AB1698" s="11" t="inlineStr">
        <is>
          <t>name_year</t>
        </is>
      </c>
      <c r="AC1698" s="2" t="inlineStr"/>
      <c r="AD1698" s="2" t="inlineStr">
        <is>
          <t>Suresh Kumar Koushal v. Naz Foundation (2013) is reported as overruled by Navtej Singh Johar v. Union of India (2018) (not yet confirmed by our reviewer).</t>
        </is>
      </c>
      <c r="AE1698" s="2" t="inlineStr">
        <is>
          <t>5-judge bench. The list's '2013/2014' is right (decided 11 Dec 2013, reported 2014).</t>
        </is>
      </c>
      <c r="AF1698" s="11" t="inlineStr">
        <is>
          <t>created from list 2</t>
        </is>
      </c>
    </row>
    <row r="1699">
      <c r="A1699" s="11" t="inlineStr">
        <is>
          <t>L2-010</t>
        </is>
      </c>
      <c r="B1699" s="11" t="inlineStr">
        <is>
          <t>List 2 (after 2015)</t>
        </is>
      </c>
      <c r="C1699" s="11" t="inlineStr">
        <is>
          <t>list2</t>
        </is>
      </c>
      <c r="D1699" s="11" t="inlineStr">
        <is>
          <t>candidate</t>
        </is>
      </c>
      <c r="E1699" s="11" t="inlineStr">
        <is>
          <t>overruled</t>
        </is>
      </c>
      <c r="F1699" s="2" t="inlineStr">
        <is>
          <t>Sowmithri Vishnu v. Union of India</t>
        </is>
      </c>
      <c r="G1699" s="11" t="inlineStr"/>
      <c r="H1699" s="11" t="inlineStr">
        <is>
          <t>Supreme Court</t>
        </is>
      </c>
      <c r="I1699" s="2" t="inlineStr">
        <is>
          <t>(1985) Supp SCC 137; [1985] Suppl. SCR 741</t>
        </is>
      </c>
      <c r="J1699" s="11" t="n">
        <v>1985</v>
      </c>
      <c r="K1699" s="2" t="inlineStr">
        <is>
          <t>Joseph Shine v. Union of India</t>
        </is>
      </c>
      <c r="L1699" s="11" t="inlineStr">
        <is>
          <t>Supreme Court</t>
        </is>
      </c>
      <c r="M1699" s="2" t="inlineStr">
        <is>
          <t>[2018] 11 S.C.R. 765</t>
        </is>
      </c>
      <c r="N1699" s="11" t="n">
        <v>2018</v>
      </c>
      <c r="O1699" s="11" t="inlineStr">
        <is>
          <t>2018-09-27</t>
        </is>
      </c>
      <c r="P1699" s="11" t="n">
        <v>5</v>
      </c>
      <c r="Q1699" s="11" t="inlineStr">
        <is>
          <t>b2018_11_765_950</t>
        </is>
      </c>
      <c r="R1699" s="2" t="inlineStr">
        <is>
          <t>The decisions in Sowmithri Vishnu, V. Revathi and W. Kalyani hereby stand overruled</t>
        </is>
      </c>
      <c r="S1699" s="2" t="n"/>
      <c r="T1699" s="11" t="inlineStr"/>
      <c r="U1699" s="11" t="inlineStr"/>
      <c r="V1699" s="11" t="inlineStr">
        <is>
          <t>judgment_text</t>
        </is>
      </c>
      <c r="W1699" s="11" t="inlineStr">
        <is>
          <t>B</t>
        </is>
      </c>
      <c r="X1699" s="11" t="inlineStr">
        <is>
          <t>Claude (reading the judgment in the collection), 2026-10-07; not a lawyer</t>
        </is>
      </c>
      <c r="Y1699" s="11" t="inlineStr">
        <is>
          <t>C</t>
        </is>
      </c>
      <c r="Z1699" s="11" t="n"/>
      <c r="AA1699" s="11" t="n"/>
      <c r="AB1699" s="11" t="inlineStr">
        <is>
          <t>name_year</t>
        </is>
      </c>
      <c r="AC1699" s="2" t="inlineStr"/>
      <c r="AD1699" s="2" t="inlineStr">
        <is>
          <t>Sowmithri Vishnu v. Union of India (1985) is reported as overruled by Joseph Shine v. Union of India (2018) (not yet confirmed by our reviewer).</t>
        </is>
      </c>
      <c r="AE1699" s="2" t="inlineStr">
        <is>
          <t>5-judge bench.</t>
        </is>
      </c>
      <c r="AF1699" s="11" t="inlineStr">
        <is>
          <t>created from list 2</t>
        </is>
      </c>
    </row>
    <row r="1700">
      <c r="A1700" s="11" t="inlineStr">
        <is>
          <t>L2-011</t>
        </is>
      </c>
      <c r="B1700" s="11" t="inlineStr">
        <is>
          <t>List 2 (after 2015)</t>
        </is>
      </c>
      <c r="C1700" s="11" t="inlineStr">
        <is>
          <t>list2</t>
        </is>
      </c>
      <c r="D1700" s="11" t="inlineStr">
        <is>
          <t>candidate</t>
        </is>
      </c>
      <c r="E1700" s="11" t="inlineStr">
        <is>
          <t>overruled</t>
        </is>
      </c>
      <c r="F1700" s="2" t="inlineStr">
        <is>
          <t>V. Revathi v. Union of India</t>
        </is>
      </c>
      <c r="G1700" s="11" t="inlineStr">
        <is>
          <t>V Revathi v. Union of India</t>
        </is>
      </c>
      <c r="H1700" s="11" t="inlineStr">
        <is>
          <t>Supreme Court</t>
        </is>
      </c>
      <c r="I1700" s="2" t="inlineStr">
        <is>
          <t>(1988) 2 SCC 72; [1988] 3 SCR 73</t>
        </is>
      </c>
      <c r="J1700" s="11" t="n">
        <v>1988</v>
      </c>
      <c r="K1700" s="2" t="inlineStr">
        <is>
          <t>Joseph Shine v. Union of India</t>
        </is>
      </c>
      <c r="L1700" s="11" t="inlineStr">
        <is>
          <t>Supreme Court</t>
        </is>
      </c>
      <c r="M1700" s="2" t="inlineStr">
        <is>
          <t>[2018] 11 S.C.R. 765</t>
        </is>
      </c>
      <c r="N1700" s="11" t="n">
        <v>2018</v>
      </c>
      <c r="O1700" s="11" t="inlineStr">
        <is>
          <t>2018-09-27</t>
        </is>
      </c>
      <c r="P1700" s="11" t="n">
        <v>5</v>
      </c>
      <c r="Q1700" s="11" t="inlineStr">
        <is>
          <t>b2018_11_765_950</t>
        </is>
      </c>
      <c r="R1700" s="2" t="inlineStr">
        <is>
          <t>same sentence as row 10</t>
        </is>
      </c>
      <c r="S1700" s="2" t="n"/>
      <c r="T1700" s="11" t="inlineStr"/>
      <c r="U1700" s="11" t="inlineStr"/>
      <c r="V1700" s="11" t="inlineStr">
        <is>
          <t>judgment_text</t>
        </is>
      </c>
      <c r="W1700" s="11" t="inlineStr">
        <is>
          <t>B</t>
        </is>
      </c>
      <c r="X1700" s="11" t="inlineStr">
        <is>
          <t>Claude (reading the judgment in the collection), 2026-10-07; not a lawyer</t>
        </is>
      </c>
      <c r="Y1700" s="11" t="inlineStr">
        <is>
          <t>C</t>
        </is>
      </c>
      <c r="Z1700" s="11" t="n"/>
      <c r="AA1700" s="11" t="n"/>
      <c r="AB1700" s="11" t="inlineStr">
        <is>
          <t>citation</t>
        </is>
      </c>
      <c r="AC1700" s="2" t="inlineStr"/>
      <c r="AD1700" s="2" t="inlineStr">
        <is>
          <t>V. Revathi v. Union of India (1988) is reported as overruled by Joseph Shine v. Union of India (2018) (not yet confirmed by our reviewer).</t>
        </is>
      </c>
      <c r="AE1700" s="2" t="inlineStr"/>
      <c r="AF1700" s="11" t="inlineStr">
        <is>
          <t>created from list 2</t>
        </is>
      </c>
    </row>
    <row r="1701">
      <c r="A1701" s="11" t="inlineStr">
        <is>
          <t>L2-012</t>
        </is>
      </c>
      <c r="B1701" s="11" t="inlineStr">
        <is>
          <t>List 2 (after 2015)</t>
        </is>
      </c>
      <c r="C1701" s="11" t="inlineStr">
        <is>
          <t>list2</t>
        </is>
      </c>
      <c r="D1701" s="11" t="inlineStr">
        <is>
          <t>candidate</t>
        </is>
      </c>
      <c r="E1701" s="11" t="inlineStr">
        <is>
          <t>overruled</t>
        </is>
      </c>
      <c r="F1701" s="2" t="inlineStr">
        <is>
          <t>W. Kalyani v. State</t>
        </is>
      </c>
      <c r="G1701" s="11" t="inlineStr">
        <is>
          <t>W. Kalyani v. State through Inspector of Police</t>
        </is>
      </c>
      <c r="H1701" s="11" t="inlineStr">
        <is>
          <t>Supreme Court</t>
        </is>
      </c>
      <c r="I1701" s="2" t="inlineStr">
        <is>
          <t>(2012) 1 SCC 358</t>
        </is>
      </c>
      <c r="J1701" s="11" t="n">
        <v>2012</v>
      </c>
      <c r="K1701" s="2" t="inlineStr">
        <is>
          <t>Joseph Shine v. Union of India</t>
        </is>
      </c>
      <c r="L1701" s="11" t="inlineStr">
        <is>
          <t>Supreme Court</t>
        </is>
      </c>
      <c r="M1701" s="2" t="inlineStr">
        <is>
          <t>[2018] 11 S.C.R. 765</t>
        </is>
      </c>
      <c r="N1701" s="11" t="n">
        <v>2018</v>
      </c>
      <c r="O1701" s="11" t="inlineStr">
        <is>
          <t>2018-09-27</t>
        </is>
      </c>
      <c r="P1701" s="11" t="n">
        <v>5</v>
      </c>
      <c r="Q1701" s="11" t="inlineStr">
        <is>
          <t>b2018_11_765_950</t>
        </is>
      </c>
      <c r="R1701" s="2" t="inlineStr">
        <is>
          <t>same sentence as row 10</t>
        </is>
      </c>
      <c r="S1701" s="2" t="n"/>
      <c r="T1701" s="11" t="inlineStr"/>
      <c r="U1701" s="11" t="inlineStr"/>
      <c r="V1701" s="11" t="inlineStr">
        <is>
          <t>judgment_text</t>
        </is>
      </c>
      <c r="W1701" s="11" t="inlineStr">
        <is>
          <t>B</t>
        </is>
      </c>
      <c r="X1701" s="11" t="inlineStr">
        <is>
          <t>Claude (reading the judgment in the collection), 2026-10-07; not a lawyer</t>
        </is>
      </c>
      <c r="Y1701" s="11" t="inlineStr">
        <is>
          <t>C</t>
        </is>
      </c>
      <c r="Z1701" s="11" t="n"/>
      <c r="AA1701" s="11" t="n"/>
      <c r="AB1701" s="11" t="inlineStr">
        <is>
          <t>name_year</t>
        </is>
      </c>
      <c r="AC1701" s="2" t="inlineStr"/>
      <c r="AD1701" s="2" t="inlineStr">
        <is>
          <t>W. Kalyani v. State (2012) is reported as overruled by Joseph Shine v. Union of India (2018) (not yet confirmed by our reviewer).</t>
        </is>
      </c>
      <c r="AE1701" s="2" t="inlineStr"/>
      <c r="AF1701" s="11" t="inlineStr">
        <is>
          <t>created from list 2</t>
        </is>
      </c>
    </row>
    <row r="1702">
      <c r="A1702" s="11" t="inlineStr">
        <is>
          <t>L2-013</t>
        </is>
      </c>
      <c r="B1702" s="11" t="inlineStr">
        <is>
          <t>List 2 (after 2015)</t>
        </is>
      </c>
      <c r="C1702" s="11" t="inlineStr">
        <is>
          <t>list2</t>
        </is>
      </c>
      <c r="D1702" s="11" t="inlineStr">
        <is>
          <t>candidate</t>
        </is>
      </c>
      <c r="E1702" s="11" t="inlineStr">
        <is>
          <t>not_good_law</t>
        </is>
      </c>
      <c r="F1702" s="2" t="inlineStr">
        <is>
          <t>Foreshore Cooperative Housing Society Ltd. v. Praveen D. Desai</t>
        </is>
      </c>
      <c r="G1702" s="11" t="inlineStr">
        <is>
          <t>Foreshore Cooperative Housing Society Limited v. Praveen D. Desai</t>
        </is>
      </c>
      <c r="H1702" s="11" t="inlineStr">
        <is>
          <t>Supreme Court</t>
        </is>
      </c>
      <c r="I1702" s="2" t="inlineStr">
        <is>
          <t>(2015) 6 SCC 412; [2015] 5 SCR 1075</t>
        </is>
      </c>
      <c r="J1702" s="11" t="n">
        <v>2015</v>
      </c>
      <c r="K1702" s="2" t="inlineStr">
        <is>
          <t>Nusli Neville Wadia v. Ivory Properties</t>
        </is>
      </c>
      <c r="L1702" s="11" t="inlineStr">
        <is>
          <t>Supreme Court</t>
        </is>
      </c>
      <c r="M1702" s="2" t="inlineStr">
        <is>
          <t>[2019] 15 S.C.R. 795</t>
        </is>
      </c>
      <c r="N1702" s="11" t="n">
        <v>2019</v>
      </c>
      <c r="O1702" s="11" t="inlineStr">
        <is>
          <t>2019-10-04</t>
        </is>
      </c>
      <c r="P1702" s="11" t="n">
        <v>3</v>
      </c>
      <c r="Q1702" s="11" t="inlineStr">
        <is>
          <t>b2019_15_795_864</t>
        </is>
      </c>
      <c r="R1702" s="2" t="inlineStr">
        <is>
          <t>The decision in Foreshore Cooperative Housing Society Limited cannot be said to be laying down the law correctly</t>
        </is>
      </c>
      <c r="S1702" s="2" t="inlineStr">
        <is>
          <t>section 9A CPC (Maharashtra): limitation as a preliminary issue</t>
        </is>
      </c>
      <c r="T1702" s="11" t="inlineStr"/>
      <c r="U1702" s="11" t="inlineStr"/>
      <c r="V1702" s="11" t="inlineStr">
        <is>
          <t>judgment_text</t>
        </is>
      </c>
      <c r="W1702" s="11" t="inlineStr">
        <is>
          <t>B</t>
        </is>
      </c>
      <c r="X1702" s="11" t="inlineStr">
        <is>
          <t>Claude (reading the judgment in the collection), 2026-10-07; not a lawyer</t>
        </is>
      </c>
      <c r="Y1702" s="11" t="inlineStr">
        <is>
          <t>CN</t>
        </is>
      </c>
      <c r="Z1702" s="11" t="n"/>
      <c r="AA1702" s="11" t="n"/>
      <c r="AB1702" s="11" t="inlineStr">
        <is>
          <t>name_year</t>
        </is>
      </c>
      <c r="AC1702" s="2" t="inlineStr"/>
      <c r="AD1702" s="2" t="inlineStr">
        <is>
          <t>Foreshore Cooperative Housing Society Ltd. v. Praveen D. Desai (2015) is reported as held not to be good law in Nusli Neville Wadia v. Ivory Properties (2019) (not yet confirmed by our reviewer).</t>
        </is>
      </c>
      <c r="AE1702" s="2" t="inlineStr">
        <is>
          <t>3-judge bench on a 2-judge decision. The court uses 'overruled' for other decisions (Meher Singh, Sudesh) but not for Foreshore; the report's tag for Foreshore is 'Not correct law'.</t>
        </is>
      </c>
      <c r="AF1702" s="11" t="inlineStr">
        <is>
          <t>created from list 2</t>
        </is>
      </c>
    </row>
    <row r="1703">
      <c r="A1703" s="11" t="inlineStr">
        <is>
          <t>L2-014</t>
        </is>
      </c>
      <c r="B1703" s="11" t="inlineStr">
        <is>
          <t>List 2 (after 2015)</t>
        </is>
      </c>
      <c r="C1703" s="11" t="inlineStr">
        <is>
          <t>list2</t>
        </is>
      </c>
      <c r="D1703" s="11" t="inlineStr">
        <is>
          <t>candidate</t>
        </is>
      </c>
      <c r="E1703" s="11" t="inlineStr">
        <is>
          <t>overruled</t>
        </is>
      </c>
      <c r="F1703" s="2" t="inlineStr">
        <is>
          <t>Motilal Pesticides (I) Pvt. Ltd. v. CIT</t>
        </is>
      </c>
      <c r="G1703" s="11" t="inlineStr">
        <is>
          <t>Motilal Pesticides (I) Pvt. Ltd. v. Commissioner of Income Tax</t>
        </is>
      </c>
      <c r="H1703" s="11" t="inlineStr">
        <is>
          <t>Supreme Court</t>
        </is>
      </c>
      <c r="I1703" s="2" t="inlineStr">
        <is>
          <t>(2000) 9 SCC 63</t>
        </is>
      </c>
      <c r="J1703" s="11" t="n">
        <v>2000</v>
      </c>
      <c r="K1703" s="2" t="inlineStr">
        <is>
          <t>Vijay Industries v. Commissioner of Income Tax</t>
        </is>
      </c>
      <c r="L1703" s="11" t="inlineStr">
        <is>
          <t>Supreme Court</t>
        </is>
      </c>
      <c r="M1703" s="2" t="inlineStr">
        <is>
          <t>[2019] 4 S.C.R. 928</t>
        </is>
      </c>
      <c r="N1703" s="11" t="n">
        <v>2019</v>
      </c>
      <c r="O1703" s="11" t="inlineStr">
        <is>
          <t>2019-03-01</t>
        </is>
      </c>
      <c r="P1703" s="11" t="n">
        <v>3</v>
      </c>
      <c r="Q1703" s="11" t="inlineStr">
        <is>
          <t>b2019_4_928_944</t>
        </is>
      </c>
      <c r="R1703" s="2" t="inlineStr">
        <is>
          <t>the judgment of Motilal Pesticides is erroneous. We, therefore, overrule this judgment</t>
        </is>
      </c>
      <c r="S1703" s="2" t="inlineStr">
        <is>
          <t>section 80HH deduction computed on gross profits</t>
        </is>
      </c>
      <c r="T1703" s="11" t="inlineStr"/>
      <c r="U1703" s="11" t="inlineStr"/>
      <c r="V1703" s="11" t="inlineStr">
        <is>
          <t>judgment_text</t>
        </is>
      </c>
      <c r="W1703" s="11" t="inlineStr">
        <is>
          <t>B</t>
        </is>
      </c>
      <c r="X1703" s="11" t="inlineStr">
        <is>
          <t>Claude (reading the judgment in the collection), 2026-10-07; not a lawyer</t>
        </is>
      </c>
      <c r="Y1703" s="11" t="inlineStr">
        <is>
          <t>C</t>
        </is>
      </c>
      <c r="Z1703" s="11" t="n"/>
      <c r="AA1703" s="11" t="n"/>
      <c r="AB1703" s="11" t="inlineStr">
        <is>
          <t>name_year</t>
        </is>
      </c>
      <c r="AC1703" s="2" t="inlineStr"/>
      <c r="AD1703" s="2" t="inlineStr">
        <is>
          <t>Motilal Pesticides (I) Pvt. Ltd. v. CIT (2000) is reported as overruled by Vijay Industries v. Commissioner of Income Tax (2019) (not yet confirmed by our reviewer).</t>
        </is>
      </c>
      <c r="AE1703" s="2" t="inlineStr"/>
      <c r="AF1703" s="11" t="inlineStr">
        <is>
          <t>created from list 2</t>
        </is>
      </c>
    </row>
    <row r="1704">
      <c r="A1704" s="11" t="inlineStr">
        <is>
          <t>L2-015</t>
        </is>
      </c>
      <c r="B1704" s="11" t="inlineStr">
        <is>
          <t>List 2 (after 2015)</t>
        </is>
      </c>
      <c r="C1704" s="11" t="inlineStr">
        <is>
          <t>list2</t>
        </is>
      </c>
      <c r="D1704" s="11" t="inlineStr">
        <is>
          <t>candidate</t>
        </is>
      </c>
      <c r="E1704" s="11" t="inlineStr">
        <is>
          <t>overruled_in_part</t>
        </is>
      </c>
      <c r="F1704" s="2" t="inlineStr">
        <is>
          <t>Amrutbhai Shambhubhai Patel v. Sumanbhai Kantibhai Patel</t>
        </is>
      </c>
      <c r="G1704" s="11" t="inlineStr">
        <is>
          <t>Amrutbhai Shambubhai Patel v. Sumanbhai Kantibai Patel</t>
        </is>
      </c>
      <c r="H1704" s="11" t="inlineStr">
        <is>
          <t>Supreme Court</t>
        </is>
      </c>
      <c r="I1704" s="2" t="inlineStr">
        <is>
          <t>(2017) 4 SCC 177; [2017] 4 SCR 105</t>
        </is>
      </c>
      <c r="J1704" s="11" t="n">
        <v>2017</v>
      </c>
      <c r="K1704" s="2" t="inlineStr">
        <is>
          <t>Vinubhai Haribhai Malaviya v. State of Gujarat</t>
        </is>
      </c>
      <c r="L1704" s="11" t="inlineStr">
        <is>
          <t>Supreme Court</t>
        </is>
      </c>
      <c r="M1704" s="2" t="inlineStr">
        <is>
          <t>[2019] 15 S.C.R. 936</t>
        </is>
      </c>
      <c r="N1704" s="11" t="n">
        <v>2019</v>
      </c>
      <c r="O1704" s="11" t="inlineStr">
        <is>
          <t>2019-10-16</t>
        </is>
      </c>
      <c r="P1704" s="11" t="n">
        <v>3</v>
      </c>
      <c r="Q1704" s="11" t="inlineStr">
        <is>
          <t>b2019_15_936_989</t>
        </is>
      </c>
      <c r="R1704" s="2" t="inlineStr">
        <is>
          <t>to the extent that the judgments in Amrutbhai Shambubhai Patel, Athul Rao and Bikash Ranjan Rout have held to the contrary, they stand overruled</t>
        </is>
      </c>
      <c r="S1704" s="2" t="inlineStr">
        <is>
          <t>to the extent it held the contrary to Vinubhai</t>
        </is>
      </c>
      <c r="T1704" s="11" t="inlineStr"/>
      <c r="U1704" s="11" t="inlineStr"/>
      <c r="V1704" s="11" t="inlineStr">
        <is>
          <t>judgment_text</t>
        </is>
      </c>
      <c r="W1704" s="11" t="inlineStr">
        <is>
          <t>B</t>
        </is>
      </c>
      <c r="X1704" s="11" t="inlineStr">
        <is>
          <t>Claude (reading the judgment in the collection), 2026-10-07; not a lawyer</t>
        </is>
      </c>
      <c r="Y1704" s="11" t="inlineStr">
        <is>
          <t>CN</t>
        </is>
      </c>
      <c r="Z1704" s="11" t="n"/>
      <c r="AA1704" s="11" t="n"/>
      <c r="AB1704" s="11" t="inlineStr">
        <is>
          <t>name_year</t>
        </is>
      </c>
      <c r="AC1704" s="2" t="inlineStr"/>
      <c r="AD1704" s="2" t="inlineStr">
        <is>
          <t>Amrutbhai Shambhubhai Patel v. Sumanbhai Kantibhai Patel (2017) is reported as overruled in part by Vinubhai Haribhai Malaviya v. State of Gujarat (2019) (to the extent it held the contrary to Vinubhai) (not yet confirmed by our reviewer).</t>
        </is>
      </c>
      <c r="AE1704" s="2" t="inlineStr">
        <is>
          <t>3-judge bench. Same judgment: Devarapalli Lakshminarayana Reddy (1976) 'held not correct law' (headnote tag); the list omits it.</t>
        </is>
      </c>
      <c r="AF1704" s="11" t="inlineStr">
        <is>
          <t>created from list 2</t>
        </is>
      </c>
    </row>
    <row r="1705">
      <c r="A1705" s="11" t="inlineStr">
        <is>
          <t>L2-016</t>
        </is>
      </c>
      <c r="B1705" s="11" t="inlineStr">
        <is>
          <t>List 2 (after 2015)</t>
        </is>
      </c>
      <c r="C1705" s="11" t="inlineStr">
        <is>
          <t>list2</t>
        </is>
      </c>
      <c r="D1705" s="11" t="inlineStr">
        <is>
          <t>candidate</t>
        </is>
      </c>
      <c r="E1705" s="11" t="inlineStr">
        <is>
          <t>overruled_in_part</t>
        </is>
      </c>
      <c r="F1705" s="2" t="inlineStr">
        <is>
          <t>Athul Rao v. State of Karnataka</t>
        </is>
      </c>
      <c r="G1705" s="11" t="inlineStr"/>
      <c r="H1705" s="11" t="inlineStr">
        <is>
          <t>Supreme Court</t>
        </is>
      </c>
      <c r="I1705" s="2" t="inlineStr">
        <is>
          <t>(2018) 14 SCC 298</t>
        </is>
      </c>
      <c r="J1705" s="11" t="n">
        <v>2018</v>
      </c>
      <c r="K1705" s="2" t="inlineStr">
        <is>
          <t>Vinubhai Haribhai Malaviya v. State of Gujarat</t>
        </is>
      </c>
      <c r="L1705" s="11" t="inlineStr">
        <is>
          <t>Supreme Court</t>
        </is>
      </c>
      <c r="M1705" s="2" t="inlineStr">
        <is>
          <t>[2019] 15 S.C.R. 936</t>
        </is>
      </c>
      <c r="N1705" s="11" t="n">
        <v>2019</v>
      </c>
      <c r="O1705" s="11" t="inlineStr">
        <is>
          <t>2019-10-16</t>
        </is>
      </c>
      <c r="P1705" s="11" t="n">
        <v>3</v>
      </c>
      <c r="Q1705" s="11" t="inlineStr">
        <is>
          <t>b2019_15_936_989</t>
        </is>
      </c>
      <c r="R1705" s="2" t="inlineStr">
        <is>
          <t>same sentence as row 15</t>
        </is>
      </c>
      <c r="S1705" s="2" t="inlineStr">
        <is>
          <t>to the extent it held the contrary to Vinubhai</t>
        </is>
      </c>
      <c r="T1705" s="11" t="inlineStr"/>
      <c r="U1705" s="11" t="inlineStr"/>
      <c r="V1705" s="11" t="inlineStr">
        <is>
          <t>judgment_text</t>
        </is>
      </c>
      <c r="W1705" s="11" t="inlineStr">
        <is>
          <t>B</t>
        </is>
      </c>
      <c r="X1705" s="11" t="inlineStr">
        <is>
          <t>Claude (reading the judgment in the collection), 2026-10-07; not a lawyer</t>
        </is>
      </c>
      <c r="Y1705" s="11" t="inlineStr">
        <is>
          <t>C</t>
        </is>
      </c>
      <c r="Z1705" s="11" t="n"/>
      <c r="AA1705" s="11" t="n"/>
      <c r="AB1705" s="11" t="inlineStr">
        <is>
          <t>name_year</t>
        </is>
      </c>
      <c r="AC1705" s="2" t="inlineStr"/>
      <c r="AD1705" s="2" t="inlineStr">
        <is>
          <t>Athul Rao v. State of Karnataka (2018) is reported as overruled in part by Vinubhai Haribhai Malaviya v. State of Gujarat (2019) (to the extent it held the contrary to Vinubhai) (not yet confirmed by our reviewer).</t>
        </is>
      </c>
      <c r="AE1705" s="2" t="inlineStr"/>
      <c r="AF1705" s="11" t="inlineStr">
        <is>
          <t>created from list 2</t>
        </is>
      </c>
    </row>
    <row r="1706">
      <c r="A1706" s="11" t="inlineStr">
        <is>
          <t>L2-017</t>
        </is>
      </c>
      <c r="B1706" s="11" t="inlineStr">
        <is>
          <t>List 2 (after 2015)</t>
        </is>
      </c>
      <c r="C1706" s="11" t="inlineStr">
        <is>
          <t>list2</t>
        </is>
      </c>
      <c r="D1706" s="11" t="inlineStr">
        <is>
          <t>candidate</t>
        </is>
      </c>
      <c r="E1706" s="11" t="inlineStr">
        <is>
          <t>overruled_in_part</t>
        </is>
      </c>
      <c r="F1706" s="2" t="inlineStr">
        <is>
          <t>Bikash Ranjan Rout v. State (NCT of Delhi)</t>
        </is>
      </c>
      <c r="G1706" s="11" t="inlineStr">
        <is>
          <t>Bikash Ranjan Rout v. State through the Secretary (Home), Government of NCT of Delhi</t>
        </is>
      </c>
      <c r="H1706" s="11" t="inlineStr">
        <is>
          <t>Supreme Court</t>
        </is>
      </c>
      <c r="I1706" s="2" t="inlineStr">
        <is>
          <t>(2019) 5 SCC 542</t>
        </is>
      </c>
      <c r="J1706" s="11" t="n">
        <v>2019</v>
      </c>
      <c r="K1706" s="2" t="inlineStr">
        <is>
          <t>Vinubhai Haribhai Malaviya v. State of Gujarat</t>
        </is>
      </c>
      <c r="L1706" s="11" t="inlineStr">
        <is>
          <t>Supreme Court</t>
        </is>
      </c>
      <c r="M1706" s="2" t="inlineStr">
        <is>
          <t>[2019] 15 S.C.R. 936</t>
        </is>
      </c>
      <c r="N1706" s="11" t="n">
        <v>2019</v>
      </c>
      <c r="O1706" s="11" t="inlineStr">
        <is>
          <t>2019-10-16</t>
        </is>
      </c>
      <c r="P1706" s="11" t="n">
        <v>3</v>
      </c>
      <c r="Q1706" s="11" t="inlineStr">
        <is>
          <t>b2019_15_936_989</t>
        </is>
      </c>
      <c r="R1706" s="2" t="inlineStr">
        <is>
          <t>same sentence as row 15</t>
        </is>
      </c>
      <c r="S1706" s="2" t="inlineStr">
        <is>
          <t>to the extent it held the contrary to Vinubhai</t>
        </is>
      </c>
      <c r="T1706" s="11" t="inlineStr"/>
      <c r="U1706" s="11" t="inlineStr"/>
      <c r="V1706" s="11" t="inlineStr">
        <is>
          <t>judgment_text</t>
        </is>
      </c>
      <c r="W1706" s="11" t="inlineStr">
        <is>
          <t>B</t>
        </is>
      </c>
      <c r="X1706" s="11" t="inlineStr">
        <is>
          <t>Claude (reading the judgment in the collection), 2026-10-07; not a lawyer</t>
        </is>
      </c>
      <c r="Y1706" s="11" t="inlineStr">
        <is>
          <t>C</t>
        </is>
      </c>
      <c r="Z1706" s="11" t="n"/>
      <c r="AA1706" s="11" t="n"/>
      <c r="AB1706" s="11" t="inlineStr">
        <is>
          <t>name_year</t>
        </is>
      </c>
      <c r="AC1706" s="2" t="inlineStr"/>
      <c r="AD1706" s="2" t="inlineStr">
        <is>
          <t>Bikash Ranjan Rout v. State (NCT of Delhi) (2019) is reported as overruled in part by Vinubhai Haribhai Malaviya v. State of Gujarat (2019) (to the extent it held the contrary to Vinubhai) (not yet confirmed by our reviewer).</t>
        </is>
      </c>
      <c r="AE1706" s="2" t="inlineStr"/>
      <c r="AF1706" s="11" t="inlineStr">
        <is>
          <t>created from list 2</t>
        </is>
      </c>
    </row>
    <row r="1707">
      <c r="A1707" s="11" t="inlineStr">
        <is>
          <t>L2-018</t>
        </is>
      </c>
      <c r="B1707" s="11" t="inlineStr">
        <is>
          <t>List 2 (after 2015)</t>
        </is>
      </c>
      <c r="C1707" s="11" t="inlineStr">
        <is>
          <t>list2</t>
        </is>
      </c>
      <c r="D1707" s="11" t="inlineStr">
        <is>
          <t>candidate</t>
        </is>
      </c>
      <c r="E1707" s="11" t="inlineStr">
        <is>
          <t>overruled</t>
        </is>
      </c>
      <c r="F1707" s="2" t="inlineStr">
        <is>
          <t>Randhir Singh Rana v. State (Delhi Administration)</t>
        </is>
      </c>
      <c r="G1707" s="11" t="inlineStr">
        <is>
          <t>Randhir Singh Rana v. The State Being the Delhi Administration</t>
        </is>
      </c>
      <c r="H1707" s="11" t="inlineStr">
        <is>
          <t>Supreme Court</t>
        </is>
      </c>
      <c r="I1707" s="2" t="inlineStr">
        <is>
          <t>(1997) 1 SCC 361; [1996] 10 Suppl. SCR 880; AIR 1997 SC 639</t>
        </is>
      </c>
      <c r="J1707" s="11" t="n">
        <v>1997</v>
      </c>
      <c r="K1707" s="2" t="inlineStr">
        <is>
          <t>Vinubhai Haribhai Malaviya v. State of Gujarat</t>
        </is>
      </c>
      <c r="L1707" s="11" t="inlineStr">
        <is>
          <t>Supreme Court</t>
        </is>
      </c>
      <c r="M1707" s="2" t="inlineStr">
        <is>
          <t>[2019] 15 S.C.R. 936</t>
        </is>
      </c>
      <c r="N1707" s="11" t="n">
        <v>2019</v>
      </c>
      <c r="O1707" s="11" t="inlineStr">
        <is>
          <t>2019-10-16</t>
        </is>
      </c>
      <c r="P1707" s="11" t="n">
        <v>3</v>
      </c>
      <c r="Q1707" s="11" t="inlineStr">
        <is>
          <t>b2019_15_936_989</t>
        </is>
      </c>
      <c r="R1707" s="2" t="inlineStr">
        <is>
          <t>Randhir Singh Rana ... and Reeta Nag ... also stand overruled</t>
        </is>
      </c>
      <c r="S1707" s="2" t="n"/>
      <c r="T1707" s="11" t="inlineStr"/>
      <c r="U1707" s="11" t="inlineStr"/>
      <c r="V1707" s="11" t="inlineStr">
        <is>
          <t>judgment_text</t>
        </is>
      </c>
      <c r="W1707" s="11" t="inlineStr">
        <is>
          <t>B</t>
        </is>
      </c>
      <c r="X1707" s="11" t="inlineStr">
        <is>
          <t>Claude (reading the judgment in the collection), 2026-10-07; not a lawyer</t>
        </is>
      </c>
      <c r="Y1707" s="11" t="inlineStr">
        <is>
          <t>C</t>
        </is>
      </c>
      <c r="Z1707" s="11" t="n"/>
      <c r="AA1707" s="11" t="n"/>
      <c r="AB1707" s="11" t="inlineStr">
        <is>
          <t>name_year</t>
        </is>
      </c>
      <c r="AC1707" s="2" t="inlineStr"/>
      <c r="AD1707" s="2" t="inlineStr">
        <is>
          <t>Randhir Singh Rana v. State (Delhi Administration) (1997) is reported as overruled by Vinubhai Haribhai Malaviya v. State of Gujarat (2019) (not yet confirmed by our reviewer).</t>
        </is>
      </c>
      <c r="AE1707" s="2" t="inlineStr"/>
      <c r="AF1707" s="11" t="inlineStr">
        <is>
          <t>created from list 2</t>
        </is>
      </c>
    </row>
    <row r="1708">
      <c r="A1708" s="11" t="inlineStr">
        <is>
          <t>L2-019</t>
        </is>
      </c>
      <c r="B1708" s="11" t="inlineStr">
        <is>
          <t>List 2 (after 2015)</t>
        </is>
      </c>
      <c r="C1708" s="11" t="inlineStr">
        <is>
          <t>list2</t>
        </is>
      </c>
      <c r="D1708" s="11" t="inlineStr">
        <is>
          <t>candidate</t>
        </is>
      </c>
      <c r="E1708" s="11" t="inlineStr">
        <is>
          <t>overruled</t>
        </is>
      </c>
      <c r="F1708" s="2" t="inlineStr">
        <is>
          <t>Reeta Nag v. State of West Bengal</t>
        </is>
      </c>
      <c r="G1708" s="11" t="inlineStr"/>
      <c r="H1708" s="11" t="inlineStr">
        <is>
          <t>Supreme Court</t>
        </is>
      </c>
      <c r="I1708" s="2" t="inlineStr">
        <is>
          <t>(2009) 9 SCC 129; [2009] 13 SCR 276</t>
        </is>
      </c>
      <c r="J1708" s="11" t="n">
        <v>2009</v>
      </c>
      <c r="K1708" s="2" t="inlineStr">
        <is>
          <t>Vinubhai Haribhai Malaviya v. State of Gujarat</t>
        </is>
      </c>
      <c r="L1708" s="11" t="inlineStr">
        <is>
          <t>Supreme Court</t>
        </is>
      </c>
      <c r="M1708" s="2" t="inlineStr">
        <is>
          <t>[2019] 15 S.C.R. 936</t>
        </is>
      </c>
      <c r="N1708" s="11" t="n">
        <v>2019</v>
      </c>
      <c r="O1708" s="11" t="inlineStr">
        <is>
          <t>2019-10-16</t>
        </is>
      </c>
      <c r="P1708" s="11" t="n">
        <v>3</v>
      </c>
      <c r="Q1708" s="11" t="inlineStr">
        <is>
          <t>b2019_15_936_989</t>
        </is>
      </c>
      <c r="R1708" s="2" t="inlineStr">
        <is>
          <t>same sentence as row 18</t>
        </is>
      </c>
      <c r="S1708" s="2" t="n"/>
      <c r="T1708" s="11" t="inlineStr"/>
      <c r="U1708" s="11" t="inlineStr"/>
      <c r="V1708" s="11" t="inlineStr">
        <is>
          <t>judgment_text</t>
        </is>
      </c>
      <c r="W1708" s="11" t="inlineStr">
        <is>
          <t>B</t>
        </is>
      </c>
      <c r="X1708" s="11" t="inlineStr">
        <is>
          <t>Claude (reading the judgment in the collection), 2026-10-07; not a lawyer</t>
        </is>
      </c>
      <c r="Y1708" s="11" t="inlineStr">
        <is>
          <t>C</t>
        </is>
      </c>
      <c r="Z1708" s="11" t="n"/>
      <c r="AA1708" s="11" t="n"/>
      <c r="AB1708" s="11" t="inlineStr">
        <is>
          <t>name_year</t>
        </is>
      </c>
      <c r="AC1708" s="2" t="inlineStr"/>
      <c r="AD1708" s="2" t="inlineStr">
        <is>
          <t>Reeta Nag v. State of West Bengal (2009) is reported as overruled by Vinubhai Haribhai Malaviya v. State of Gujarat (2019) (not yet confirmed by our reviewer).</t>
        </is>
      </c>
      <c r="AE1708" s="2" t="inlineStr"/>
      <c r="AF1708" s="11" t="inlineStr">
        <is>
          <t>created from list 2</t>
        </is>
      </c>
    </row>
    <row r="1709">
      <c r="A1709" s="11" t="inlineStr">
        <is>
          <t>L2-020</t>
        </is>
      </c>
      <c r="B1709" s="11" t="inlineStr">
        <is>
          <t>List 2 (after 2015)</t>
        </is>
      </c>
      <c r="C1709" s="11" t="inlineStr">
        <is>
          <t>list2</t>
        </is>
      </c>
      <c r="D1709" s="11" t="inlineStr">
        <is>
          <t>candidate</t>
        </is>
      </c>
      <c r="E1709" s="11" t="inlineStr">
        <is>
          <t>overruled</t>
        </is>
      </c>
      <c r="F1709" s="2" t="inlineStr">
        <is>
          <t>Gurdwara Sahib v. Gram Panchayat Village Sirthala</t>
        </is>
      </c>
      <c r="G1709" s="11" t="inlineStr">
        <is>
          <t>Gurudwara Sahab v. Gram Panchayat Village Sirthala</t>
        </is>
      </c>
      <c r="H1709" s="11" t="inlineStr">
        <is>
          <t>Supreme Court</t>
        </is>
      </c>
      <c r="I1709" s="2" t="inlineStr">
        <is>
          <t>(2014) 1 SCC 669</t>
        </is>
      </c>
      <c r="J1709" s="11" t="n">
        <v>2014</v>
      </c>
      <c r="K1709" s="2" t="inlineStr">
        <is>
          <t>Ravinder Kaur Grewal v. Manjit Kaur</t>
        </is>
      </c>
      <c r="L1709" s="11" t="inlineStr">
        <is>
          <t>Supreme Court</t>
        </is>
      </c>
      <c r="M1709" s="2" t="inlineStr">
        <is>
          <t>[2019] 11 S.C.R. 74</t>
        </is>
      </c>
      <c r="N1709" s="11" t="n">
        <v>2019</v>
      </c>
      <c r="O1709" s="11" t="inlineStr">
        <is>
          <t>2019-08-07</t>
        </is>
      </c>
      <c r="P1709" s="11" t="n">
        <v>3</v>
      </c>
      <c r="Q1709" s="11" t="inlineStr">
        <is>
          <t>b2019_11_74_134</t>
        </is>
      </c>
      <c r="R1709" s="2" t="inlineStr">
        <is>
          <t>decisions of Gurudwara Sahab v. Gram Panchayat Village Sirthala ... cannot be said to be laying down the law correctly, thus they are hereby overruled</t>
        </is>
      </c>
      <c r="S1709" s="2" t="inlineStr">
        <is>
          <t>adverse possession cannot be pleaded by a plaintiff under Article 65 of the Limitation Act</t>
        </is>
      </c>
      <c r="T1709" s="11" t="inlineStr"/>
      <c r="U1709" s="11" t="inlineStr"/>
      <c r="V1709" s="11" t="inlineStr">
        <is>
          <t>judgment_text</t>
        </is>
      </c>
      <c r="W1709" s="11" t="inlineStr">
        <is>
          <t>B</t>
        </is>
      </c>
      <c r="X1709" s="11" t="inlineStr">
        <is>
          <t>Claude (reading the judgment in the collection), 2026-10-07; not a lawyer</t>
        </is>
      </c>
      <c r="Y1709" s="11" t="inlineStr">
        <is>
          <t>C</t>
        </is>
      </c>
      <c r="Z1709" s="11" t="n"/>
      <c r="AA1709" s="11" t="n"/>
      <c r="AB1709" s="11" t="inlineStr">
        <is>
          <t>name_year</t>
        </is>
      </c>
      <c r="AC1709" s="2" t="inlineStr"/>
      <c r="AD1709" s="2" t="inlineStr">
        <is>
          <t>Gurdwara Sahib v. Gram Panchayat Village Sirthala (2014) is reported as overruled by Ravinder Kaur Grewal v. Manjit Kaur (2019) (not yet confirmed by our reviewer).</t>
        </is>
      </c>
      <c r="AE1709" s="2" t="inlineStr">
        <is>
          <t>3-judge bench. The judgment spells it 'Gurudwara Sahab'. Gurdwara Sahib itself is not in our collection.</t>
        </is>
      </c>
      <c r="AF1709" s="11" t="inlineStr">
        <is>
          <t>created from list 2</t>
        </is>
      </c>
    </row>
    <row r="1710">
      <c r="A1710" s="11" t="inlineStr">
        <is>
          <t>L2-021</t>
        </is>
      </c>
      <c r="B1710" s="11" t="inlineStr">
        <is>
          <t>List 2 (after 2015)</t>
        </is>
      </c>
      <c r="C1710" s="11" t="inlineStr">
        <is>
          <t>list2</t>
        </is>
      </c>
      <c r="D1710" s="11" t="inlineStr">
        <is>
          <t>candidate</t>
        </is>
      </c>
      <c r="E1710" s="11" t="inlineStr">
        <is>
          <t>overruled</t>
        </is>
      </c>
      <c r="F1710" s="2" t="inlineStr">
        <is>
          <t>State of Uttarakhand v. Mandir Sri Laxman Sidh Maharaj</t>
        </is>
      </c>
      <c r="G1710" s="11" t="inlineStr">
        <is>
          <t>State of Uttarakhand v. Mandir Shri Lakshmi Siddh Maharaj</t>
        </is>
      </c>
      <c r="H1710" s="11" t="inlineStr">
        <is>
          <t>Supreme Court</t>
        </is>
      </c>
      <c r="I1710" s="2" t="inlineStr">
        <is>
          <t>(2017) 9 SCC 579; [2017] 14 SCR 257</t>
        </is>
      </c>
      <c r="J1710" s="11" t="n">
        <v>2017</v>
      </c>
      <c r="K1710" s="2" t="inlineStr">
        <is>
          <t>Ravinder Kaur Grewal v. Manjit Kaur</t>
        </is>
      </c>
      <c r="L1710" s="11" t="inlineStr">
        <is>
          <t>Supreme Court</t>
        </is>
      </c>
      <c r="M1710" s="2" t="inlineStr">
        <is>
          <t>[2019] 11 S.C.R. 74</t>
        </is>
      </c>
      <c r="N1710" s="11" t="n">
        <v>2019</v>
      </c>
      <c r="O1710" s="11" t="inlineStr">
        <is>
          <t>2019-08-07</t>
        </is>
      </c>
      <c r="P1710" s="11" t="n">
        <v>3</v>
      </c>
      <c r="Q1710" s="11" t="inlineStr">
        <is>
          <t>b2019_11_74_134</t>
        </is>
      </c>
      <c r="R1710" s="2" t="inlineStr">
        <is>
          <t>same sentence as row 20</t>
        </is>
      </c>
      <c r="S1710" s="2" t="inlineStr">
        <is>
          <t>adverse possession cannot be pleaded by a plaintiff under Article 65 of the Limitation Act</t>
        </is>
      </c>
      <c r="T1710" s="11" t="inlineStr"/>
      <c r="U1710" s="11" t="inlineStr"/>
      <c r="V1710" s="11" t="inlineStr">
        <is>
          <t>judgment_text</t>
        </is>
      </c>
      <c r="W1710" s="11" t="inlineStr">
        <is>
          <t>B</t>
        </is>
      </c>
      <c r="X1710" s="11" t="inlineStr">
        <is>
          <t>Claude (reading the judgment in the collection), 2026-10-07; not a lawyer</t>
        </is>
      </c>
      <c r="Y1710" s="11" t="inlineStr">
        <is>
          <t>C</t>
        </is>
      </c>
      <c r="Z1710" s="11" t="n"/>
      <c r="AA1710" s="11" t="n"/>
      <c r="AB1710" s="11" t="inlineStr">
        <is>
          <t>name_year</t>
        </is>
      </c>
      <c r="AC1710" s="2" t="inlineStr"/>
      <c r="AD1710" s="2" t="inlineStr">
        <is>
          <t>State of Uttarakhand v. Mandir Sri Laxman Sidh Maharaj (2017) is reported as overruled by Ravinder Kaur Grewal v. Manjit Kaur (2019) (not yet confirmed by our reviewer).</t>
        </is>
      </c>
      <c r="AE1710" s="2" t="inlineStr"/>
      <c r="AF1710" s="11" t="inlineStr">
        <is>
          <t>created from list 2</t>
        </is>
      </c>
    </row>
    <row r="1711">
      <c r="A1711" s="11" t="inlineStr">
        <is>
          <t>L2-022</t>
        </is>
      </c>
      <c r="B1711" s="11" t="inlineStr">
        <is>
          <t>List 2 (after 2015)</t>
        </is>
      </c>
      <c r="C1711" s="11" t="inlineStr">
        <is>
          <t>list2</t>
        </is>
      </c>
      <c r="D1711" s="11" t="inlineStr">
        <is>
          <t>candidate</t>
        </is>
      </c>
      <c r="E1711" s="11" t="inlineStr">
        <is>
          <t>overruled</t>
        </is>
      </c>
      <c r="F1711" s="2" t="inlineStr">
        <is>
          <t>Dharampal (dead) through LRs v. Punjab Wakf Board</t>
        </is>
      </c>
      <c r="G1711" s="11" t="inlineStr">
        <is>
          <t>Dharampal (Dead) through LRs v. Punjab Wakf Board</t>
        </is>
      </c>
      <c r="H1711" s="11" t="inlineStr">
        <is>
          <t>Supreme Court</t>
        </is>
      </c>
      <c r="I1711" s="2" t="inlineStr">
        <is>
          <t>(2018) 11 SCC 449; [2017] 8 SCR 316</t>
        </is>
      </c>
      <c r="J1711" s="11" t="n">
        <v>2017</v>
      </c>
      <c r="K1711" s="2" t="inlineStr">
        <is>
          <t>Ravinder Kaur Grewal v. Manjit Kaur</t>
        </is>
      </c>
      <c r="L1711" s="11" t="inlineStr">
        <is>
          <t>Supreme Court</t>
        </is>
      </c>
      <c r="M1711" s="2" t="inlineStr">
        <is>
          <t>[2019] 11 S.C.R. 74</t>
        </is>
      </c>
      <c r="N1711" s="11" t="n">
        <v>2019</v>
      </c>
      <c r="O1711" s="11" t="inlineStr">
        <is>
          <t>2019-08-07</t>
        </is>
      </c>
      <c r="P1711" s="11" t="n">
        <v>3</v>
      </c>
      <c r="Q1711" s="11" t="inlineStr">
        <is>
          <t>b2019_11_74_134</t>
        </is>
      </c>
      <c r="R1711" s="2" t="inlineStr">
        <is>
          <t>same sentence as row 20</t>
        </is>
      </c>
      <c r="S1711" s="2" t="inlineStr">
        <is>
          <t>adverse possession cannot be pleaded by a plaintiff under Article 65 of the Limitation Act</t>
        </is>
      </c>
      <c r="T1711" s="11" t="inlineStr"/>
      <c r="U1711" s="11" t="inlineStr"/>
      <c r="V1711" s="11" t="inlineStr">
        <is>
          <t>judgment_text</t>
        </is>
      </c>
      <c r="W1711" s="11" t="inlineStr">
        <is>
          <t>B</t>
        </is>
      </c>
      <c r="X1711" s="11" t="inlineStr">
        <is>
          <t>Claude (reading the judgment in the collection), 2026-10-07; not a lawyer</t>
        </is>
      </c>
      <c r="Y1711" s="11" t="inlineStr">
        <is>
          <t>C</t>
        </is>
      </c>
      <c r="Z1711" s="11" t="n"/>
      <c r="AA1711" s="11" t="n"/>
      <c r="AB1711" s="11" t="inlineStr">
        <is>
          <t>name_year</t>
        </is>
      </c>
      <c r="AC1711" s="2" t="inlineStr"/>
      <c r="AD1711" s="2" t="inlineStr">
        <is>
          <t>Dharampal (dead) through LRs v. Punjab Wakf Board (2017) is reported as overruled by Ravinder Kaur Grewal v. Manjit Kaur (2019) (not yet confirmed by our reviewer).</t>
        </is>
      </c>
      <c r="AE1711" s="2" t="inlineStr"/>
      <c r="AF1711" s="11" t="inlineStr">
        <is>
          <t>created from list 2</t>
        </is>
      </c>
    </row>
    <row r="1712">
      <c r="A1712" s="11" t="inlineStr">
        <is>
          <t>L2-023</t>
        </is>
      </c>
      <c r="B1712" s="11" t="inlineStr">
        <is>
          <t>List 2 (after 2015)</t>
        </is>
      </c>
      <c r="C1712" s="11" t="inlineStr">
        <is>
          <t>list2</t>
        </is>
      </c>
      <c r="D1712" s="11" t="inlineStr">
        <is>
          <t>candidate</t>
        </is>
      </c>
      <c r="E1712" s="11" t="inlineStr">
        <is>
          <t>overruled</t>
        </is>
      </c>
      <c r="F1712" s="2" t="inlineStr">
        <is>
          <t>Salauddin Abdulsamad Shaikh v. State of Maharashtra</t>
        </is>
      </c>
      <c r="G1712" s="11" t="inlineStr"/>
      <c r="H1712" s="11" t="inlineStr">
        <is>
          <t>Supreme Court</t>
        </is>
      </c>
      <c r="I1712" s="2" t="inlineStr">
        <is>
          <t>(1996) 1 SCC 667; [1995] 6 Suppl. SCR 556</t>
        </is>
      </c>
      <c r="J1712" s="11" t="n">
        <v>1996</v>
      </c>
      <c r="K1712" s="2" t="inlineStr">
        <is>
          <t>Sushila Aggarwal v. State (NCT of Delhi)</t>
        </is>
      </c>
      <c r="L1712" s="11" t="inlineStr">
        <is>
          <t>Supreme Court</t>
        </is>
      </c>
      <c r="M1712" s="2" t="inlineStr">
        <is>
          <t>[2020] 2 S.C.R. 1</t>
        </is>
      </c>
      <c r="N1712" s="11" t="n">
        <v>2020</v>
      </c>
      <c r="O1712" s="11" t="inlineStr">
        <is>
          <t>2020-01-29</t>
        </is>
      </c>
      <c r="P1712" s="11" t="n">
        <v>5</v>
      </c>
      <c r="Q1712" s="11" t="inlineStr">
        <is>
          <t>b2020_2_1_131</t>
        </is>
      </c>
      <c r="R1712" s="2" t="inlineStr">
        <is>
          <t>the decision in Salauddin Abdulsamad Shaikh ... and subsequent decisions ... are hereby overruled</t>
        </is>
      </c>
      <c r="S1712" s="2" t="inlineStr">
        <is>
          <t>the view that anticipatory bail must end after a fixed period</t>
        </is>
      </c>
      <c r="T1712" s="11" t="inlineStr"/>
      <c r="U1712" s="11" t="inlineStr"/>
      <c r="V1712" s="11" t="inlineStr">
        <is>
          <t>judgment_text</t>
        </is>
      </c>
      <c r="W1712" s="11" t="inlineStr">
        <is>
          <t>B</t>
        </is>
      </c>
      <c r="X1712" s="11" t="inlineStr">
        <is>
          <t>Claude (reading the judgment in the collection), 2026-10-07; not a lawyer</t>
        </is>
      </c>
      <c r="Y1712" s="11" t="inlineStr">
        <is>
          <t>C</t>
        </is>
      </c>
      <c r="Z1712" s="11" t="n"/>
      <c r="AA1712" s="11" t="n"/>
      <c r="AB1712" s="11" t="inlineStr">
        <is>
          <t>name_year</t>
        </is>
      </c>
      <c r="AC1712" s="2" t="inlineStr"/>
      <c r="AD1712" s="2" t="inlineStr">
        <is>
          <t>Salauddin Abdulsamad Shaikh v. State of Maharashtra (1996) is reported as overruled by Sushila Aggarwal v. State (NCT of Delhi) (2020) (not yet confirmed by our reviewer).</t>
        </is>
      </c>
      <c r="AE1712" s="2" t="inlineStr">
        <is>
          <t>5-judge bench. The list's year 1996 is right.</t>
        </is>
      </c>
      <c r="AF1712" s="11" t="inlineStr">
        <is>
          <t>created from list 2</t>
        </is>
      </c>
    </row>
    <row r="1713">
      <c r="A1713" s="11" t="inlineStr">
        <is>
          <t>L2-024</t>
        </is>
      </c>
      <c r="B1713" s="11" t="inlineStr">
        <is>
          <t>List 2 (after 2015)</t>
        </is>
      </c>
      <c r="C1713" s="11" t="inlineStr">
        <is>
          <t>list2</t>
        </is>
      </c>
      <c r="D1713" s="11" t="inlineStr">
        <is>
          <t>candidate</t>
        </is>
      </c>
      <c r="E1713" s="11" t="inlineStr">
        <is>
          <t>overruled</t>
        </is>
      </c>
      <c r="F1713" s="2" t="inlineStr">
        <is>
          <t>K.L. Verma v. State</t>
        </is>
      </c>
      <c r="G1713" s="11" t="inlineStr">
        <is>
          <t>K.L. Verma v. State and another</t>
        </is>
      </c>
      <c r="H1713" s="11" t="inlineStr">
        <is>
          <t>Supreme Court</t>
        </is>
      </c>
      <c r="I1713" s="2" t="inlineStr">
        <is>
          <t>(1998) 9 SCC 348; (1998) 8 JT 521</t>
        </is>
      </c>
      <c r="J1713" s="11" t="n">
        <v>1998</v>
      </c>
      <c r="K1713" s="2" t="inlineStr">
        <is>
          <t>Sushila Aggarwal v. State (NCT of Delhi)</t>
        </is>
      </c>
      <c r="L1713" s="11" t="inlineStr">
        <is>
          <t>Supreme Court</t>
        </is>
      </c>
      <c r="M1713" s="2" t="inlineStr">
        <is>
          <t>[2020] 2 S.C.R. 1</t>
        </is>
      </c>
      <c r="N1713" s="11" t="n">
        <v>2020</v>
      </c>
      <c r="O1713" s="11" t="inlineStr">
        <is>
          <t>2020-01-29</t>
        </is>
      </c>
      <c r="P1713" s="11" t="n">
        <v>5</v>
      </c>
      <c r="Q1713" s="11" t="inlineStr">
        <is>
          <t>b2020_2_1_131</t>
        </is>
      </c>
      <c r="R1713" s="2" t="inlineStr">
        <is>
          <t>(including K.L. Verma ...) are hereby overruled</t>
        </is>
      </c>
      <c r="S1713" s="2" t="inlineStr">
        <is>
          <t>the view that anticipatory bail must end after a fixed period</t>
        </is>
      </c>
      <c r="T1713" s="11" t="inlineStr"/>
      <c r="U1713" s="11" t="inlineStr"/>
      <c r="V1713" s="11" t="inlineStr">
        <is>
          <t>judgment_text</t>
        </is>
      </c>
      <c r="W1713" s="11" t="inlineStr">
        <is>
          <t>B</t>
        </is>
      </c>
      <c r="X1713" s="11" t="inlineStr">
        <is>
          <t>Claude (reading the judgment in the collection), 2026-10-07; not a lawyer</t>
        </is>
      </c>
      <c r="Y1713" s="11" t="inlineStr">
        <is>
          <t>C</t>
        </is>
      </c>
      <c r="Z1713" s="11" t="n"/>
      <c r="AA1713" s="11" t="n"/>
      <c r="AB1713" s="11" t="inlineStr">
        <is>
          <t>name_year</t>
        </is>
      </c>
      <c r="AC1713" s="2" t="inlineStr"/>
      <c r="AD1713" s="2" t="inlineStr">
        <is>
          <t>K.L. Verma v. State (1998) is reported as overruled by Sushila Aggarwal v. State (NCT of Delhi) (2020) (not yet confirmed by our reviewer).</t>
        </is>
      </c>
      <c r="AE1713" s="2" t="inlineStr">
        <is>
          <t>Verified list 1 (row 256) also records K.L. Verma as overruled, by Adri Dharan Das (2005): a chain, see README.</t>
        </is>
      </c>
      <c r="AF1713" s="11" t="inlineStr">
        <is>
          <t>created from list 2</t>
        </is>
      </c>
    </row>
    <row r="1714">
      <c r="A1714" s="11" t="inlineStr">
        <is>
          <t>L2-025</t>
        </is>
      </c>
      <c r="B1714" s="11" t="inlineStr">
        <is>
          <t>List 2 (after 2015)</t>
        </is>
      </c>
      <c r="C1714" s="11" t="inlineStr">
        <is>
          <t>list2</t>
        </is>
      </c>
      <c r="D1714" s="11" t="inlineStr">
        <is>
          <t>candidate</t>
        </is>
      </c>
      <c r="E1714" s="11" t="inlineStr">
        <is>
          <t>overruled</t>
        </is>
      </c>
      <c r="F1714" s="2" t="inlineStr">
        <is>
          <t>Sunita Devi v. State of Bihar</t>
        </is>
      </c>
      <c r="G1714" s="11" t="inlineStr"/>
      <c r="H1714" s="11" t="inlineStr">
        <is>
          <t>Supreme Court</t>
        </is>
      </c>
      <c r="I1714" s="2" t="inlineStr">
        <is>
          <t>(2005) 1 SCC 608; [2004] 6 Suppl. SCR 707</t>
        </is>
      </c>
      <c r="J1714" s="11" t="n">
        <v>2005</v>
      </c>
      <c r="K1714" s="2" t="inlineStr">
        <is>
          <t>Sushila Aggarwal v. State (NCT of Delhi)</t>
        </is>
      </c>
      <c r="L1714" s="11" t="inlineStr">
        <is>
          <t>Supreme Court</t>
        </is>
      </c>
      <c r="M1714" s="2" t="inlineStr">
        <is>
          <t>[2020] 2 S.C.R. 1</t>
        </is>
      </c>
      <c r="N1714" s="11" t="n">
        <v>2020</v>
      </c>
      <c r="O1714" s="11" t="inlineStr">
        <is>
          <t>2020-01-29</t>
        </is>
      </c>
      <c r="P1714" s="11" t="n">
        <v>5</v>
      </c>
      <c r="Q1714" s="11" t="inlineStr">
        <is>
          <t>b2020_2_1_131</t>
        </is>
      </c>
      <c r="R1714" s="2" t="inlineStr">
        <is>
          <t>same sentence as row 24</t>
        </is>
      </c>
      <c r="S1714" s="2" t="inlineStr">
        <is>
          <t>the view that anticipatory bail must end after a fixed period</t>
        </is>
      </c>
      <c r="T1714" s="11" t="inlineStr"/>
      <c r="U1714" s="11" t="inlineStr"/>
      <c r="V1714" s="11" t="inlineStr">
        <is>
          <t>judgment_text</t>
        </is>
      </c>
      <c r="W1714" s="11" t="inlineStr">
        <is>
          <t>B</t>
        </is>
      </c>
      <c r="X1714" s="11" t="inlineStr">
        <is>
          <t>Claude (reading the judgment in the collection), 2026-10-07; not a lawyer</t>
        </is>
      </c>
      <c r="Y1714" s="11" t="inlineStr">
        <is>
          <t>C</t>
        </is>
      </c>
      <c r="Z1714" s="11" t="n"/>
      <c r="AA1714" s="11" t="n"/>
      <c r="AB1714" s="11" t="inlineStr">
        <is>
          <t>name_year</t>
        </is>
      </c>
      <c r="AC1714" s="2" t="inlineStr"/>
      <c r="AD1714" s="2" t="inlineStr">
        <is>
          <t>Sunita Devi v. State of Bihar (2005) is reported as overruled by Sushila Aggarwal v. State (NCT of Delhi) (2020) (not yet confirmed by our reviewer).</t>
        </is>
      </c>
      <c r="AE1714" s="2" t="inlineStr"/>
      <c r="AF1714" s="11" t="inlineStr">
        <is>
          <t>created from list 2</t>
        </is>
      </c>
    </row>
    <row r="1715">
      <c r="A1715" s="11" t="inlineStr">
        <is>
          <t>L2-026</t>
        </is>
      </c>
      <c r="B1715" s="11" t="inlineStr">
        <is>
          <t>List 2 (after 2015)</t>
        </is>
      </c>
      <c r="C1715" s="11" t="inlineStr">
        <is>
          <t>list2</t>
        </is>
      </c>
      <c r="D1715" s="11" t="inlineStr">
        <is>
          <t>candidate</t>
        </is>
      </c>
      <c r="E1715" s="11" t="inlineStr">
        <is>
          <t>overruled</t>
        </is>
      </c>
      <c r="F1715" s="2" t="inlineStr">
        <is>
          <t>Adri Dharan Das v. State of West Bengal</t>
        </is>
      </c>
      <c r="G1715" s="11" t="inlineStr"/>
      <c r="H1715" s="11" t="inlineStr">
        <is>
          <t>Supreme Court</t>
        </is>
      </c>
      <c r="I1715" s="2" t="inlineStr">
        <is>
          <t>(2005) 4 SCC 303; [2005] 2 SCR 188</t>
        </is>
      </c>
      <c r="J1715" s="11" t="n">
        <v>2005</v>
      </c>
      <c r="K1715" s="2" t="inlineStr">
        <is>
          <t>Sushila Aggarwal v. State (NCT of Delhi)</t>
        </is>
      </c>
      <c r="L1715" s="11" t="inlineStr">
        <is>
          <t>Supreme Court</t>
        </is>
      </c>
      <c r="M1715" s="2" t="inlineStr">
        <is>
          <t>[2020] 2 S.C.R. 1</t>
        </is>
      </c>
      <c r="N1715" s="11" t="n">
        <v>2020</v>
      </c>
      <c r="O1715" s="11" t="inlineStr">
        <is>
          <t>2020-01-29</t>
        </is>
      </c>
      <c r="P1715" s="11" t="n">
        <v>5</v>
      </c>
      <c r="Q1715" s="11" t="inlineStr">
        <is>
          <t>b2020_2_1_131</t>
        </is>
      </c>
      <c r="R1715" s="2" t="inlineStr">
        <is>
          <t>same sentence as row 24</t>
        </is>
      </c>
      <c r="S1715" s="2" t="inlineStr">
        <is>
          <t>the view that anticipatory bail must end after a fixed period</t>
        </is>
      </c>
      <c r="T1715" s="11" t="inlineStr"/>
      <c r="U1715" s="11" t="inlineStr"/>
      <c r="V1715" s="11" t="inlineStr">
        <is>
          <t>judgment_text</t>
        </is>
      </c>
      <c r="W1715" s="11" t="inlineStr">
        <is>
          <t>B</t>
        </is>
      </c>
      <c r="X1715" s="11" t="inlineStr">
        <is>
          <t>Claude (reading the judgment in the collection), 2026-10-07; not a lawyer</t>
        </is>
      </c>
      <c r="Y1715" s="11" t="inlineStr">
        <is>
          <t>C</t>
        </is>
      </c>
      <c r="Z1715" s="11" t="n"/>
      <c r="AA1715" s="11" t="n"/>
      <c r="AB1715" s="11" t="inlineStr">
        <is>
          <t>name_year</t>
        </is>
      </c>
      <c r="AC1715" s="2" t="inlineStr"/>
      <c r="AD1715" s="2" t="inlineStr">
        <is>
          <t>Adri Dharan Das v. State of West Bengal (2005) is reported as overruled by Sushila Aggarwal v. State (NCT of Delhi) (2020) (not yet confirmed by our reviewer).</t>
        </is>
      </c>
      <c r="AE1715" s="2" t="inlineStr">
        <is>
          <t>Adri Dharan Das is itself the 'overruling case' of row 256 in list 1: chain.</t>
        </is>
      </c>
      <c r="AF1715" s="11" t="inlineStr">
        <is>
          <t>created from list 2</t>
        </is>
      </c>
    </row>
    <row r="1716">
      <c r="A1716" s="11" t="inlineStr">
        <is>
          <t>L2-027</t>
        </is>
      </c>
      <c r="B1716" s="11" t="inlineStr">
        <is>
          <t>List 2 (after 2015)</t>
        </is>
      </c>
      <c r="C1716" s="11" t="inlineStr">
        <is>
          <t>list2</t>
        </is>
      </c>
      <c r="D1716" s="11" t="inlineStr">
        <is>
          <t>candidate</t>
        </is>
      </c>
      <c r="E1716" s="11" t="inlineStr">
        <is>
          <t>overruled</t>
        </is>
      </c>
      <c r="F1716" s="2" t="inlineStr">
        <is>
          <t>Nirmal Jeet Kaur v. State of M.P.</t>
        </is>
      </c>
      <c r="G1716" s="11" t="inlineStr">
        <is>
          <t>Nirmal Jeet Kaur v. State of Madhya Pradesh</t>
        </is>
      </c>
      <c r="H1716" s="11" t="inlineStr">
        <is>
          <t>Supreme Court</t>
        </is>
      </c>
      <c r="I1716" s="2" t="inlineStr">
        <is>
          <t>(2004) 7 SCC 558; [2004] 3 Suppl. SCR 1006</t>
        </is>
      </c>
      <c r="J1716" s="11" t="n">
        <v>2004</v>
      </c>
      <c r="K1716" s="2" t="inlineStr">
        <is>
          <t>Sushila Aggarwal v. State (NCT of Delhi)</t>
        </is>
      </c>
      <c r="L1716" s="11" t="inlineStr">
        <is>
          <t>Supreme Court</t>
        </is>
      </c>
      <c r="M1716" s="2" t="inlineStr">
        <is>
          <t>[2020] 2 S.C.R. 1</t>
        </is>
      </c>
      <c r="N1716" s="11" t="n">
        <v>2020</v>
      </c>
      <c r="O1716" s="11" t="inlineStr">
        <is>
          <t>2020-01-29</t>
        </is>
      </c>
      <c r="P1716" s="11" t="n">
        <v>5</v>
      </c>
      <c r="Q1716" s="11" t="inlineStr">
        <is>
          <t>b2020_2_1_131</t>
        </is>
      </c>
      <c r="R1716" s="2" t="inlineStr">
        <is>
          <t>same sentence as row 24</t>
        </is>
      </c>
      <c r="S1716" s="2" t="inlineStr">
        <is>
          <t>the view that anticipatory bail must end after a fixed period</t>
        </is>
      </c>
      <c r="T1716" s="11" t="inlineStr"/>
      <c r="U1716" s="11" t="inlineStr"/>
      <c r="V1716" s="11" t="inlineStr">
        <is>
          <t>judgment_text</t>
        </is>
      </c>
      <c r="W1716" s="11" t="inlineStr">
        <is>
          <t>B</t>
        </is>
      </c>
      <c r="X1716" s="11" t="inlineStr">
        <is>
          <t>Claude (reading the judgment in the collection), 2026-10-07; not a lawyer</t>
        </is>
      </c>
      <c r="Y1716" s="11" t="inlineStr">
        <is>
          <t>C</t>
        </is>
      </c>
      <c r="Z1716" s="11" t="n"/>
      <c r="AA1716" s="11" t="n"/>
      <c r="AB1716" s="11" t="inlineStr">
        <is>
          <t>name_year</t>
        </is>
      </c>
      <c r="AC1716" s="2" t="inlineStr"/>
      <c r="AD1716" s="2" t="inlineStr">
        <is>
          <t>Nirmal Jeet Kaur v. State of M.P. (2004) is reported as overruled by Sushila Aggarwal v. State (NCT of Delhi) (2020) (not yet confirmed by our reviewer).</t>
        </is>
      </c>
      <c r="AE1716" s="2" t="inlineStr"/>
      <c r="AF1716" s="11" t="inlineStr">
        <is>
          <t>created from list 2</t>
        </is>
      </c>
    </row>
    <row r="1717">
      <c r="A1717" s="11" t="inlineStr">
        <is>
          <t>L2-028</t>
        </is>
      </c>
      <c r="B1717" s="11" t="inlineStr">
        <is>
          <t>List 2 (after 2015)</t>
        </is>
      </c>
      <c r="C1717" s="11" t="inlineStr">
        <is>
          <t>list2</t>
        </is>
      </c>
      <c r="D1717" s="11" t="inlineStr">
        <is>
          <t>candidate</t>
        </is>
      </c>
      <c r="E1717" s="11" t="inlineStr">
        <is>
          <t>overruled</t>
        </is>
      </c>
      <c r="F1717" s="2" t="inlineStr">
        <is>
          <t>HDFC Bank Ltd. v. J.J. Mannan</t>
        </is>
      </c>
      <c r="G1717" s="11" t="inlineStr">
        <is>
          <t>HDFC Bank Limited v. J.J. Mannan</t>
        </is>
      </c>
      <c r="H1717" s="11" t="inlineStr">
        <is>
          <t>Supreme Court</t>
        </is>
      </c>
      <c r="I1717" s="2" t="inlineStr">
        <is>
          <t>(2010) 1 SCC 679; [2009] 16 SCR 590</t>
        </is>
      </c>
      <c r="J1717" s="11" t="n">
        <v>2010</v>
      </c>
      <c r="K1717" s="2" t="inlineStr">
        <is>
          <t>Sushila Aggarwal v. State (NCT of Delhi)</t>
        </is>
      </c>
      <c r="L1717" s="11" t="inlineStr">
        <is>
          <t>Supreme Court</t>
        </is>
      </c>
      <c r="M1717" s="2" t="inlineStr">
        <is>
          <t>[2020] 2 S.C.R. 1</t>
        </is>
      </c>
      <c r="N1717" s="11" t="n">
        <v>2020</v>
      </c>
      <c r="O1717" s="11" t="inlineStr">
        <is>
          <t>2020-01-29</t>
        </is>
      </c>
      <c r="P1717" s="11" t="n">
        <v>5</v>
      </c>
      <c r="Q1717" s="11" t="inlineStr">
        <is>
          <t>b2020_2_1_131</t>
        </is>
      </c>
      <c r="R1717" s="2" t="inlineStr">
        <is>
          <t>same sentence as row 24</t>
        </is>
      </c>
      <c r="S1717" s="2" t="inlineStr">
        <is>
          <t>the view that anticipatory bail must end after a fixed period</t>
        </is>
      </c>
      <c r="T1717" s="11" t="inlineStr"/>
      <c r="U1717" s="11" t="inlineStr"/>
      <c r="V1717" s="11" t="inlineStr">
        <is>
          <t>judgment_text</t>
        </is>
      </c>
      <c r="W1717" s="11" t="inlineStr">
        <is>
          <t>B</t>
        </is>
      </c>
      <c r="X1717" s="11" t="inlineStr">
        <is>
          <t>Claude (reading the judgment in the collection), 2026-10-07; not a lawyer</t>
        </is>
      </c>
      <c r="Y1717" s="11" t="inlineStr">
        <is>
          <t>C</t>
        </is>
      </c>
      <c r="Z1717" s="11" t="n"/>
      <c r="AA1717" s="11" t="n"/>
      <c r="AB1717" s="11" t="inlineStr">
        <is>
          <t>name_year</t>
        </is>
      </c>
      <c r="AC1717" s="2" t="inlineStr"/>
      <c r="AD1717" s="2" t="inlineStr">
        <is>
          <t>HDFC Bank Ltd. v. J.J. Mannan (2010) is reported as overruled by Sushila Aggarwal v. State (NCT of Delhi) (2020) (not yet confirmed by our reviewer).</t>
        </is>
      </c>
      <c r="AE1717" s="2" t="inlineStr">
        <is>
          <t>Decided 16 Dec 2009; list says 2010 (reporter year).</t>
        </is>
      </c>
      <c r="AF1717" s="11" t="inlineStr">
        <is>
          <t>created from list 2</t>
        </is>
      </c>
    </row>
    <row r="1718">
      <c r="A1718" s="11" t="inlineStr">
        <is>
          <t>L2-029</t>
        </is>
      </c>
      <c r="B1718" s="11" t="inlineStr">
        <is>
          <t>List 2 (after 2015)</t>
        </is>
      </c>
      <c r="C1718" s="11" t="inlineStr">
        <is>
          <t>list2</t>
        </is>
      </c>
      <c r="D1718" s="11" t="inlineStr">
        <is>
          <t>candidate</t>
        </is>
      </c>
      <c r="E1718" s="11" t="inlineStr">
        <is>
          <t>overruled</t>
        </is>
      </c>
      <c r="F1718" s="2" t="inlineStr">
        <is>
          <t>Satpal Singh v. State of Punjab</t>
        </is>
      </c>
      <c r="G1718" s="11" t="inlineStr">
        <is>
          <t>Satpal Singh v. the State of Punjab</t>
        </is>
      </c>
      <c r="H1718" s="11" t="inlineStr">
        <is>
          <t>Supreme Court</t>
        </is>
      </c>
      <c r="I1718" s="2" t="inlineStr">
        <is>
          <t>(2018) 4 SCC 303; [2018] 3 SCR 739</t>
        </is>
      </c>
      <c r="J1718" s="11" t="n">
        <v>2018</v>
      </c>
      <c r="K1718" s="2" t="inlineStr">
        <is>
          <t>Sushila Aggarwal v. State (NCT of Delhi)</t>
        </is>
      </c>
      <c r="L1718" s="11" t="inlineStr">
        <is>
          <t>Supreme Court</t>
        </is>
      </c>
      <c r="M1718" s="2" t="inlineStr">
        <is>
          <t>[2020] 2 S.C.R. 1</t>
        </is>
      </c>
      <c r="N1718" s="11" t="n">
        <v>2020</v>
      </c>
      <c r="O1718" s="11" t="inlineStr">
        <is>
          <t>2020-01-29</t>
        </is>
      </c>
      <c r="P1718" s="11" t="n">
        <v>5</v>
      </c>
      <c r="Q1718" s="11" t="inlineStr">
        <is>
          <t>b2020_2_1_131</t>
        </is>
      </c>
      <c r="R1718" s="2" t="inlineStr">
        <is>
          <t>same sentence as row 24</t>
        </is>
      </c>
      <c r="S1718" s="2" t="inlineStr">
        <is>
          <t>the view that anticipatory bail must end after a fixed period</t>
        </is>
      </c>
      <c r="T1718" s="11" t="inlineStr"/>
      <c r="U1718" s="11" t="inlineStr"/>
      <c r="V1718" s="11" t="inlineStr">
        <is>
          <t>judgment_text</t>
        </is>
      </c>
      <c r="W1718" s="11" t="inlineStr">
        <is>
          <t>B</t>
        </is>
      </c>
      <c r="X1718" s="11" t="inlineStr">
        <is>
          <t>Claude (reading the judgment in the collection), 2026-10-07; not a lawyer</t>
        </is>
      </c>
      <c r="Y1718" s="11" t="inlineStr">
        <is>
          <t>C</t>
        </is>
      </c>
      <c r="Z1718" s="11" t="n"/>
      <c r="AA1718" s="11" t="n"/>
      <c r="AB1718" s="11" t="inlineStr">
        <is>
          <t>name_year</t>
        </is>
      </c>
      <c r="AC1718" s="2" t="inlineStr"/>
      <c r="AD1718" s="2" t="inlineStr">
        <is>
          <t>Satpal Singh v. State of Punjab (2018) is reported as overruled by Sushila Aggarwal v. State (NCT of Delhi) (2020) (not yet confirmed by our reviewer).</t>
        </is>
      </c>
      <c r="AE1718" s="2" t="inlineStr">
        <is>
          <t>The list says 'in relevant part'; the court lists it with the other decisions as overruled.</t>
        </is>
      </c>
      <c r="AF1718" s="11" t="inlineStr">
        <is>
          <t>created from list 2</t>
        </is>
      </c>
    </row>
    <row r="1719">
      <c r="A1719" s="11" t="inlineStr">
        <is>
          <t>L2-030</t>
        </is>
      </c>
      <c r="B1719" s="11" t="inlineStr">
        <is>
          <t>List 2 (after 2015)</t>
        </is>
      </c>
      <c r="C1719" s="11" t="inlineStr">
        <is>
          <t>list2</t>
        </is>
      </c>
      <c r="D1719" s="11" t="inlineStr">
        <is>
          <t>candidate</t>
        </is>
      </c>
      <c r="E1719" s="11" t="inlineStr">
        <is>
          <t>overruled</t>
        </is>
      </c>
      <c r="F1719" s="2" t="inlineStr">
        <is>
          <t>Naresh Kumar Yadav v. Ravindra Kumar</t>
        </is>
      </c>
      <c r="G1719" s="11" t="inlineStr"/>
      <c r="H1719" s="11" t="inlineStr">
        <is>
          <t>Supreme Court</t>
        </is>
      </c>
      <c r="I1719" s="2" t="inlineStr">
        <is>
          <t>(2008) 1 SCC 632; [2007] 11 SCR 615</t>
        </is>
      </c>
      <c r="J1719" s="11" t="n">
        <v>2008</v>
      </c>
      <c r="K1719" s="2" t="inlineStr">
        <is>
          <t>Sushila Aggarwal v. State (NCT of Delhi)</t>
        </is>
      </c>
      <c r="L1719" s="11" t="inlineStr">
        <is>
          <t>Supreme Court</t>
        </is>
      </c>
      <c r="M1719" s="2" t="inlineStr">
        <is>
          <t>[2020] 2 S.C.R. 1</t>
        </is>
      </c>
      <c r="N1719" s="11" t="n">
        <v>2020</v>
      </c>
      <c r="O1719" s="11" t="inlineStr">
        <is>
          <t>2020-01-29</t>
        </is>
      </c>
      <c r="P1719" s="11" t="n">
        <v>5</v>
      </c>
      <c r="Q1719" s="11" t="inlineStr">
        <is>
          <t>b2020_2_1_131</t>
        </is>
      </c>
      <c r="R1719" s="2" t="inlineStr">
        <is>
          <t>same sentence as row 24</t>
        </is>
      </c>
      <c r="S1719" s="2" t="inlineStr">
        <is>
          <t>the view that anticipatory bail must end after a fixed period</t>
        </is>
      </c>
      <c r="T1719" s="11" t="inlineStr"/>
      <c r="U1719" s="11" t="inlineStr"/>
      <c r="V1719" s="11" t="inlineStr">
        <is>
          <t>judgment_text</t>
        </is>
      </c>
      <c r="W1719" s="11" t="inlineStr">
        <is>
          <t>B</t>
        </is>
      </c>
      <c r="X1719" s="11" t="inlineStr">
        <is>
          <t>Claude (reading the judgment in the collection), 2026-10-07; not a lawyer</t>
        </is>
      </c>
      <c r="Y1719" s="11" t="inlineStr">
        <is>
          <t>C</t>
        </is>
      </c>
      <c r="Z1719" s="11" t="n"/>
      <c r="AA1719" s="11" t="n"/>
      <c r="AB1719" s="11" t="inlineStr">
        <is>
          <t>name_year</t>
        </is>
      </c>
      <c r="AC1719" s="2" t="inlineStr"/>
      <c r="AD1719" s="2" t="inlineStr">
        <is>
          <t>Naresh Kumar Yadav v. Ravindra Kumar (2008) is reported as overruled by Sushila Aggarwal v. State (NCT of Delhi) (2020) (not yet confirmed by our reviewer).</t>
        </is>
      </c>
      <c r="AE1719" s="2" t="inlineStr">
        <is>
          <t>Decided 23 Oct 2007; list says 2008 (reporter year).</t>
        </is>
      </c>
      <c r="AF1719" s="11" t="inlineStr">
        <is>
          <t>created from list 2</t>
        </is>
      </c>
    </row>
    <row r="1720">
      <c r="A1720" s="11" t="inlineStr">
        <is>
          <t>L2-031</t>
        </is>
      </c>
      <c r="B1720" s="11" t="inlineStr">
        <is>
          <t>List 2 (after 2015)</t>
        </is>
      </c>
      <c r="C1720" s="11" t="inlineStr">
        <is>
          <t>list2</t>
        </is>
      </c>
      <c r="D1720" s="11" t="inlineStr">
        <is>
          <t>candidate</t>
        </is>
      </c>
      <c r="E1720" s="11" t="inlineStr">
        <is>
          <t>overruled_in_part</t>
        </is>
      </c>
      <c r="F1720" s="2" t="inlineStr">
        <is>
          <t>Siddharam Satlingappa Mhetre v. State of Maharashtra</t>
        </is>
      </c>
      <c r="G1720" s="11" t="inlineStr"/>
      <c r="H1720" s="11" t="inlineStr">
        <is>
          <t>Supreme Court</t>
        </is>
      </c>
      <c r="I1720" s="2" t="inlineStr">
        <is>
          <t>(2011) 1 SCC 694; [2010] 15 SCR 201</t>
        </is>
      </c>
      <c r="J1720" s="11" t="n">
        <v>2011</v>
      </c>
      <c r="K1720" s="2" t="inlineStr">
        <is>
          <t>Sushila Aggarwal v. State (NCT of Delhi)</t>
        </is>
      </c>
      <c r="L1720" s="11" t="inlineStr">
        <is>
          <t>Supreme Court</t>
        </is>
      </c>
      <c r="M1720" s="2" t="inlineStr">
        <is>
          <t>[2020] 2 S.C.R. 1</t>
        </is>
      </c>
      <c r="N1720" s="11" t="n">
        <v>2020</v>
      </c>
      <c r="O1720" s="11" t="inlineStr">
        <is>
          <t>2020-01-29</t>
        </is>
      </c>
      <c r="P1720" s="11" t="n">
        <v>5</v>
      </c>
      <c r="Q1720" s="11" t="inlineStr">
        <is>
          <t>b2020_2_1_131</t>
        </is>
      </c>
      <c r="R1720" s="2" t="inlineStr">
        <is>
          <t>observations in Mhetre that no restrictive conditions at all can be imposed ... are hereby overruled</t>
        </is>
      </c>
      <c r="S1720" s="2" t="inlineStr">
        <is>
          <t>the view that no restrictive conditions at all can be imposed on anticipatory bail</t>
        </is>
      </c>
      <c r="T1720" s="11" t="inlineStr"/>
      <c r="U1720" s="11" t="inlineStr"/>
      <c r="V1720" s="11" t="inlineStr">
        <is>
          <t>judgment_text</t>
        </is>
      </c>
      <c r="W1720" s="11" t="inlineStr">
        <is>
          <t>B</t>
        </is>
      </c>
      <c r="X1720" s="11" t="inlineStr">
        <is>
          <t>Claude (reading the judgment in the collection), 2026-10-07; not a lawyer</t>
        </is>
      </c>
      <c r="Y1720" s="11" t="inlineStr">
        <is>
          <t>C</t>
        </is>
      </c>
      <c r="Z1720" s="11" t="n"/>
      <c r="AA1720" s="11" t="n"/>
      <c r="AB1720" s="11" t="inlineStr">
        <is>
          <t>name_year</t>
        </is>
      </c>
      <c r="AC1720" s="2" t="inlineStr"/>
      <c r="AD1720" s="2" t="inlineStr">
        <is>
          <t>Siddharam Satlingappa Mhetre v. State of Maharashtra (2011) is reported as overruled in part by Sushila Aggarwal v. State (NCT of Delhi) (2020) (the view that no restrictive conditions at all can be imposed on anticipatory bail) (not yet confirmed by our reviewer).</t>
        </is>
      </c>
      <c r="AE1720" s="2" t="inlineStr">
        <is>
          <t>Partly, as the list says. Decided 2 Dec 2010; list says 2011. The headnote's case list for another opinion in the same judgment also tags Bhadresh Bipinbhai Sheth (2016) 'overruled'; the list omits it (headnote only).</t>
        </is>
      </c>
      <c r="AF1720" s="11" t="inlineStr">
        <is>
          <t>created from list 2</t>
        </is>
      </c>
    </row>
    <row r="1721">
      <c r="A1721" s="11" t="inlineStr">
        <is>
          <t>L2-032</t>
        </is>
      </c>
      <c r="B1721" s="11" t="inlineStr">
        <is>
          <t>List 2 (after 2015)</t>
        </is>
      </c>
      <c r="C1721" s="11" t="inlineStr">
        <is>
          <t>list2</t>
        </is>
      </c>
      <c r="D1721" s="11" t="inlineStr">
        <is>
          <t>candidate</t>
        </is>
      </c>
      <c r="E1721" s="11" t="inlineStr">
        <is>
          <t>overruled</t>
        </is>
      </c>
      <c r="F1721" s="2" t="inlineStr">
        <is>
          <t>Shafhi Mohammad v. State of Himachal Pradesh</t>
        </is>
      </c>
      <c r="G1721" s="11" t="inlineStr">
        <is>
          <t>Shafhi Mohammad v. State of H.P.</t>
        </is>
      </c>
      <c r="H1721" s="11" t="inlineStr">
        <is>
          <t>Supreme Court</t>
        </is>
      </c>
      <c r="I1721" s="2" t="inlineStr">
        <is>
          <t>(2018) 5 SCC 311; [2018] 3 SCR 1096</t>
        </is>
      </c>
      <c r="J1721" s="11" t="n">
        <v>2018</v>
      </c>
      <c r="K1721" s="2" t="inlineStr">
        <is>
          <t>Arjun Panditrao Khotkar v. Kailash Kushanrao Gorantyal</t>
        </is>
      </c>
      <c r="L1721" s="11" t="inlineStr">
        <is>
          <t>Supreme Court</t>
        </is>
      </c>
      <c r="M1721" s="2" t="inlineStr">
        <is>
          <t>[2020] 7 S.C.R. 180</t>
        </is>
      </c>
      <c r="N1721" s="11" t="n">
        <v>2020</v>
      </c>
      <c r="O1721" s="11" t="inlineStr">
        <is>
          <t>2020-07-14</t>
        </is>
      </c>
      <c r="P1721" s="11" t="n">
        <v>3</v>
      </c>
      <c r="Q1721" s="11" t="inlineStr">
        <is>
          <t>b2020_7_180_282</t>
        </is>
      </c>
      <c r="R1721" s="2" t="inlineStr">
        <is>
          <t>do not lay down the law correctly and are therefore overruled</t>
        </is>
      </c>
      <c r="S1721" s="2" t="inlineStr">
        <is>
          <t>the view that a section 65B(4) certificate can be dispensed with where the party cannot produce one</t>
        </is>
      </c>
      <c r="T1721" s="11" t="inlineStr"/>
      <c r="U1721" s="11" t="inlineStr"/>
      <c r="V1721" s="11" t="inlineStr">
        <is>
          <t>judgment_text</t>
        </is>
      </c>
      <c r="W1721" s="11" t="inlineStr">
        <is>
          <t>B</t>
        </is>
      </c>
      <c r="X1721" s="11" t="inlineStr">
        <is>
          <t>Claude (reading the judgment in the collection), 2026-10-07; not a lawyer</t>
        </is>
      </c>
      <c r="Y1721" s="11" t="inlineStr">
        <is>
          <t>C</t>
        </is>
      </c>
      <c r="Z1721" s="11" t="n"/>
      <c r="AA1721" s="11" t="n"/>
      <c r="AB1721" s="11" t="inlineStr">
        <is>
          <t>name_year</t>
        </is>
      </c>
      <c r="AC1721" s="2" t="inlineStr"/>
      <c r="AD1721" s="2" t="inlineStr">
        <is>
          <t>Shafhi Mohammad v. State of Himachal Pradesh (2018) is reported as overruled by Arjun Panditrao Khotkar v. Kailash Kushanrao Gorantyal (2020) (not yet confirmed by our reviewer).</t>
        </is>
      </c>
      <c r="AE1721" s="2" t="inlineStr">
        <is>
          <t>3-judge bench.</t>
        </is>
      </c>
      <c r="AF1721" s="11" t="inlineStr">
        <is>
          <t>created from list 2</t>
        </is>
      </c>
    </row>
    <row r="1722">
      <c r="A1722" s="11" t="inlineStr">
        <is>
          <t>L2-033</t>
        </is>
      </c>
      <c r="B1722" s="11" t="inlineStr">
        <is>
          <t>List 2 (after 2015)</t>
        </is>
      </c>
      <c r="C1722" s="11" t="inlineStr">
        <is>
          <t>list2</t>
        </is>
      </c>
      <c r="D1722" s="11" t="inlineStr">
        <is>
          <t>candidate</t>
        </is>
      </c>
      <c r="E1722" s="11" t="inlineStr">
        <is>
          <t>overruled</t>
        </is>
      </c>
      <c r="F1722" s="2" t="inlineStr">
        <is>
          <t>Tomaso Bruno v. State of U.P.</t>
        </is>
      </c>
      <c r="G1722" s="11" t="inlineStr">
        <is>
          <t>Tomaso Bruno and Anr. v. State of Uttar Pradesh</t>
        </is>
      </c>
      <c r="H1722" s="11" t="inlineStr">
        <is>
          <t>Supreme Court</t>
        </is>
      </c>
      <c r="I1722" s="2" t="inlineStr">
        <is>
          <t>(2015) 7 SCC 178; [2015] 1 SCR 721</t>
        </is>
      </c>
      <c r="J1722" s="11" t="n">
        <v>2015</v>
      </c>
      <c r="K1722" s="2" t="inlineStr">
        <is>
          <t>Arjun Panditrao Khotkar v. Kailash Kushanrao Gorantyal</t>
        </is>
      </c>
      <c r="L1722" s="11" t="inlineStr">
        <is>
          <t>Supreme Court</t>
        </is>
      </c>
      <c r="M1722" s="2" t="inlineStr">
        <is>
          <t>[2020] 7 S.C.R. 180</t>
        </is>
      </c>
      <c r="N1722" s="11" t="n">
        <v>2020</v>
      </c>
      <c r="O1722" s="11" t="inlineStr">
        <is>
          <t>2020-07-14</t>
        </is>
      </c>
      <c r="P1722" s="11" t="n">
        <v>3</v>
      </c>
      <c r="Q1722" s="11" t="inlineStr">
        <is>
          <t>b2020_7_180_282</t>
        </is>
      </c>
      <c r="R1722" s="2" t="inlineStr">
        <is>
          <t>Tomaso Bruno ... being per incuriam, does not lay down the law correctly ... overruled</t>
        </is>
      </c>
      <c r="S1722" s="2" t="inlineStr">
        <is>
          <t>secondary evidence of electronic records (CCTV footage) under section 65 of the Evidence Act</t>
        </is>
      </c>
      <c r="T1722" s="11" t="inlineStr"/>
      <c r="U1722" s="11" t="inlineStr">
        <is>
          <t>same_strength_bench</t>
        </is>
      </c>
      <c r="V1722" s="11" t="inlineStr">
        <is>
          <t>judgment_text</t>
        </is>
      </c>
      <c r="W1722" s="11" t="inlineStr">
        <is>
          <t>H+B</t>
        </is>
      </c>
      <c r="X1722" s="11" t="inlineStr">
        <is>
          <t>Claude (reading the judgment in the collection), 2026-10-07; not a lawyer</t>
        </is>
      </c>
      <c r="Y1722" s="11" t="inlineStr">
        <is>
          <t>CN</t>
        </is>
      </c>
      <c r="Z1722" s="11" t="n"/>
      <c r="AA1722" s="11" t="n"/>
      <c r="AB1722" s="11" t="inlineStr">
        <is>
          <t>name_year</t>
        </is>
      </c>
      <c r="AC1722" s="2" t="inlineStr"/>
      <c r="AD1722" s="2" t="inlineStr">
        <is>
          <t>Tomaso Bruno v. State of U.P. (2015) is reported as overruled by Arjun Panditrao Khotkar v. Kailash Kushanrao Gorantyal (2020) (not yet confirmed by our reviewer).</t>
        </is>
      </c>
      <c r="AE1722" s="2" t="inlineStr">
        <is>
          <t>Both Tomaso Bruno (2015) and the overruling bench are 3-judge benches in our metadata: lawyer should confirm how the court treated a same-strength decision.</t>
        </is>
      </c>
      <c r="AF1722" s="11" t="inlineStr">
        <is>
          <t>created from list 2</t>
        </is>
      </c>
    </row>
    <row r="1723">
      <c r="A1723" s="11" t="inlineStr">
        <is>
          <t>L2-034</t>
        </is>
      </c>
      <c r="B1723" s="11" t="inlineStr">
        <is>
          <t>List 2 (after 2015)</t>
        </is>
      </c>
      <c r="C1723" s="11" t="inlineStr">
        <is>
          <t>list2</t>
        </is>
      </c>
      <c r="D1723" s="11" t="inlineStr">
        <is>
          <t>candidate</t>
        </is>
      </c>
      <c r="E1723" s="11" t="inlineStr">
        <is>
          <t>overruled</t>
        </is>
      </c>
      <c r="F1723" s="2" t="inlineStr">
        <is>
          <t>Mohan Lal v. State of Punjab</t>
        </is>
      </c>
      <c r="G1723" s="11" t="inlineStr">
        <is>
          <t>Mohanlal v. State of Punjab</t>
        </is>
      </c>
      <c r="H1723" s="11" t="inlineStr">
        <is>
          <t>Supreme Court</t>
        </is>
      </c>
      <c r="I1723" s="2" t="inlineStr">
        <is>
          <t>(2018) 17 SCC 627; [2018] 9 SCR 1006</t>
        </is>
      </c>
      <c r="J1723" s="11" t="n">
        <v>2018</v>
      </c>
      <c r="K1723" s="2" t="inlineStr">
        <is>
          <t>Mukesh Singh v. State (Narcotic Branch of Delhi)</t>
        </is>
      </c>
      <c r="L1723" s="11" t="inlineStr">
        <is>
          <t>Supreme Court</t>
        </is>
      </c>
      <c r="M1723" s="2" t="inlineStr">
        <is>
          <t>[2020] 9 S.C.R. 245</t>
        </is>
      </c>
      <c r="N1723" s="11" t="n">
        <v>2020</v>
      </c>
      <c r="O1723" s="11" t="inlineStr">
        <is>
          <t>2020-08-31</t>
        </is>
      </c>
      <c r="P1723" s="11" t="n">
        <v>5</v>
      </c>
      <c r="Q1723" s="11" t="inlineStr">
        <is>
          <t>b2020_9_245_302</t>
        </is>
      </c>
      <c r="R1723" s="2" t="inlineStr">
        <is>
          <t>are not good law and they are specifically overruled</t>
        </is>
      </c>
      <c r="S1723" s="2" t="inlineStr">
        <is>
          <t>the informant who is also the investigator: acquittal is not automatic</t>
        </is>
      </c>
      <c r="T1723" s="11" t="inlineStr"/>
      <c r="U1723" s="11" t="inlineStr"/>
      <c r="V1723" s="11" t="inlineStr">
        <is>
          <t>judgment_text</t>
        </is>
      </c>
      <c r="W1723" s="11" t="inlineStr">
        <is>
          <t>H+B</t>
        </is>
      </c>
      <c r="X1723" s="11" t="inlineStr">
        <is>
          <t>Claude (reading the judgment in the collection), 2026-10-07; not a lawyer</t>
        </is>
      </c>
      <c r="Y1723" s="11" t="inlineStr">
        <is>
          <t>C</t>
        </is>
      </c>
      <c r="Z1723" s="11" t="n"/>
      <c r="AA1723" s="11" t="n"/>
      <c r="AB1723" s="11" t="inlineStr">
        <is>
          <t>name_year</t>
        </is>
      </c>
      <c r="AC1723" s="2" t="inlineStr"/>
      <c r="AD1723" s="2" t="inlineStr">
        <is>
          <t>Mohan Lal v. State of Punjab (2018) is reported as overruled by Mukesh Singh v. State (Narcotic Branch of Delhi) (2020) (not yet confirmed by our reviewer).</t>
        </is>
      </c>
      <c r="AE1723" s="2" t="inlineStr">
        <is>
          <t>5-judge bench. Mohan Lal itself overruled Kader (2018, 3 judges; omitted by the list): chain.</t>
        </is>
      </c>
      <c r="AF1723" s="11" t="inlineStr">
        <is>
          <t>created from list 2</t>
        </is>
      </c>
    </row>
    <row r="1724">
      <c r="A1724" s="11" t="inlineStr">
        <is>
          <t>L2-035</t>
        </is>
      </c>
      <c r="B1724" s="11" t="inlineStr">
        <is>
          <t>List 2 (after 2015)</t>
        </is>
      </c>
      <c r="C1724" s="11" t="inlineStr">
        <is>
          <t>list2</t>
        </is>
      </c>
      <c r="D1724" s="11" t="inlineStr">
        <is>
          <t>candidate</t>
        </is>
      </c>
      <c r="E1724" s="11" t="inlineStr">
        <is>
          <t>overruled</t>
        </is>
      </c>
      <c r="F1724" s="2" t="inlineStr">
        <is>
          <t>Prakash v. Phulavati</t>
        </is>
      </c>
      <c r="G1724" s="11" t="inlineStr">
        <is>
          <t>Prakash &amp; Ors. v. Phulavati &amp; Ors.</t>
        </is>
      </c>
      <c r="H1724" s="11" t="inlineStr">
        <is>
          <t>Supreme Court</t>
        </is>
      </c>
      <c r="I1724" s="2" t="inlineStr">
        <is>
          <t>(2016) 2 SCC 36; [2015] 12 SCR 579</t>
        </is>
      </c>
      <c r="J1724" s="11" t="n">
        <v>2016</v>
      </c>
      <c r="K1724" s="2" t="inlineStr">
        <is>
          <t>Vineeta Sharma v. Rakesh Sharma</t>
        </is>
      </c>
      <c r="L1724" s="11" t="inlineStr">
        <is>
          <t>Supreme Court</t>
        </is>
      </c>
      <c r="M1724" s="2" t="inlineStr">
        <is>
          <t>[2020] 10 S.C.R. 135</t>
        </is>
      </c>
      <c r="N1724" s="11" t="n">
        <v>2020</v>
      </c>
      <c r="O1724" s="11" t="inlineStr">
        <is>
          <t>2020-08-11</t>
        </is>
      </c>
      <c r="P1724" s="11" t="n">
        <v>3</v>
      </c>
      <c r="Q1724" s="11" t="inlineStr">
        <is>
          <t>b2020_10_135_237</t>
        </is>
      </c>
      <c r="R1724" s="2" t="inlineStr">
        <is>
          <t>we overrule the views to the contrary expressed in Prakash v. Phulavati and Mangammal v. T.B. Raju</t>
        </is>
      </c>
      <c r="S1724" s="2" t="inlineStr">
        <is>
          <t>daughters' rights under section 6 of the Hindu Succession Act: only living daughters of living coparceners</t>
        </is>
      </c>
      <c r="T1724" s="11" t="inlineStr"/>
      <c r="U1724" s="11" t="inlineStr"/>
      <c r="V1724" s="11" t="inlineStr">
        <is>
          <t>judgment_text</t>
        </is>
      </c>
      <c r="W1724" s="11" t="inlineStr">
        <is>
          <t>B</t>
        </is>
      </c>
      <c r="X1724" s="11" t="inlineStr">
        <is>
          <t>Claude (reading the judgment in the collection), 2026-10-07; not a lawyer</t>
        </is>
      </c>
      <c r="Y1724" s="11" t="inlineStr">
        <is>
          <t>C</t>
        </is>
      </c>
      <c r="Z1724" s="11" t="n"/>
      <c r="AA1724" s="11" t="n"/>
      <c r="AB1724" s="11" t="inlineStr">
        <is>
          <t>name_year</t>
        </is>
      </c>
      <c r="AC1724" s="2" t="inlineStr"/>
      <c r="AD1724" s="2" t="inlineStr">
        <is>
          <t>Prakash v. Phulavati (2016) is reported as overruled by Vineeta Sharma v. Rakesh Sharma (2020) (not yet confirmed by our reviewer).</t>
        </is>
      </c>
      <c r="AE1724" s="2" t="inlineStr">
        <is>
          <t>3-judge bench.</t>
        </is>
      </c>
      <c r="AF1724" s="11" t="inlineStr">
        <is>
          <t>created from list 2</t>
        </is>
      </c>
    </row>
    <row r="1725">
      <c r="A1725" s="11" t="inlineStr">
        <is>
          <t>L2-036</t>
        </is>
      </c>
      <c r="B1725" s="11" t="inlineStr">
        <is>
          <t>List 2 (after 2015)</t>
        </is>
      </c>
      <c r="C1725" s="11" t="inlineStr">
        <is>
          <t>list2</t>
        </is>
      </c>
      <c r="D1725" s="11" t="inlineStr">
        <is>
          <t>candidate</t>
        </is>
      </c>
      <c r="E1725" s="11" t="inlineStr">
        <is>
          <t>overruled</t>
        </is>
      </c>
      <c r="F1725" s="2" t="inlineStr">
        <is>
          <t>Mangammal v. T.B. Raju</t>
        </is>
      </c>
      <c r="G1725" s="11" t="inlineStr">
        <is>
          <t>Mangammal v. T.B. Raju &amp; Ors.</t>
        </is>
      </c>
      <c r="H1725" s="11" t="inlineStr">
        <is>
          <t>Supreme Court</t>
        </is>
      </c>
      <c r="I1725" s="2" t="inlineStr">
        <is>
          <t>(2018) 15 SCC 662; [2018] 6 SCR 776</t>
        </is>
      </c>
      <c r="J1725" s="11" t="n">
        <v>2018</v>
      </c>
      <c r="K1725" s="2" t="inlineStr">
        <is>
          <t>Vineeta Sharma v. Rakesh Sharma</t>
        </is>
      </c>
      <c r="L1725" s="11" t="inlineStr">
        <is>
          <t>Supreme Court</t>
        </is>
      </c>
      <c r="M1725" s="2" t="inlineStr">
        <is>
          <t>[2020] 10 S.C.R. 135</t>
        </is>
      </c>
      <c r="N1725" s="11" t="n">
        <v>2020</v>
      </c>
      <c r="O1725" s="11" t="inlineStr">
        <is>
          <t>2020-08-11</t>
        </is>
      </c>
      <c r="P1725" s="11" t="n">
        <v>3</v>
      </c>
      <c r="Q1725" s="11" t="inlineStr">
        <is>
          <t>b2020_10_135_237</t>
        </is>
      </c>
      <c r="R1725" s="2" t="inlineStr">
        <is>
          <t>same sentence as row 35</t>
        </is>
      </c>
      <c r="S1725" s="2" t="inlineStr">
        <is>
          <t>daughters' rights under section 6 of the Hindu Succession Act</t>
        </is>
      </c>
      <c r="T1725" s="11" t="inlineStr"/>
      <c r="U1725" s="11" t="inlineStr"/>
      <c r="V1725" s="11" t="inlineStr">
        <is>
          <t>judgment_text</t>
        </is>
      </c>
      <c r="W1725" s="11" t="inlineStr">
        <is>
          <t>B</t>
        </is>
      </c>
      <c r="X1725" s="11" t="inlineStr">
        <is>
          <t>Claude (reading the judgment in the collection), 2026-10-07; not a lawyer</t>
        </is>
      </c>
      <c r="Y1725" s="11" t="inlineStr">
        <is>
          <t>C</t>
        </is>
      </c>
      <c r="Z1725" s="11" t="n"/>
      <c r="AA1725" s="11" t="n"/>
      <c r="AB1725" s="11" t="inlineStr">
        <is>
          <t>name_year</t>
        </is>
      </c>
      <c r="AC1725" s="2" t="inlineStr"/>
      <c r="AD1725" s="2" t="inlineStr">
        <is>
          <t>Mangammal v. T.B. Raju (2018) is reported as overruled by Vineeta Sharma v. Rakesh Sharma (2020) (not yet confirmed by our reviewer).</t>
        </is>
      </c>
      <c r="AE1725" s="2" t="inlineStr"/>
      <c r="AF1725" s="11" t="inlineStr">
        <is>
          <t>created from list 2</t>
        </is>
      </c>
    </row>
    <row r="1726">
      <c r="A1726" s="11" t="inlineStr">
        <is>
          <t>L2-037</t>
        </is>
      </c>
      <c r="B1726" s="11" t="inlineStr">
        <is>
          <t>List 2 (after 2015)</t>
        </is>
      </c>
      <c r="C1726" s="11" t="inlineStr">
        <is>
          <t>list2</t>
        </is>
      </c>
      <c r="D1726" s="11" t="inlineStr">
        <is>
          <t>candidate</t>
        </is>
      </c>
      <c r="E1726" s="11" t="inlineStr">
        <is>
          <t>overruled_in_part</t>
        </is>
      </c>
      <c r="F1726" s="2" t="inlineStr">
        <is>
          <t>Danamma @ Suman Surpur v. Amar</t>
        </is>
      </c>
      <c r="G1726" s="11" t="inlineStr">
        <is>
          <t>Danamma @ Suman Surpur &amp; Anr. v. Amar &amp; Ors.</t>
        </is>
      </c>
      <c r="H1726" s="11" t="inlineStr">
        <is>
          <t>Supreme Court</t>
        </is>
      </c>
      <c r="I1726" s="2" t="inlineStr">
        <is>
          <t>(2018) 3 SCC 343; [2018] 2 SCR 553</t>
        </is>
      </c>
      <c r="J1726" s="11" t="n">
        <v>2018</v>
      </c>
      <c r="K1726" s="2" t="inlineStr">
        <is>
          <t>Vineeta Sharma v. Rakesh Sharma</t>
        </is>
      </c>
      <c r="L1726" s="11" t="inlineStr">
        <is>
          <t>Supreme Court</t>
        </is>
      </c>
      <c r="M1726" s="2" t="inlineStr">
        <is>
          <t>[2020] 10 S.C.R. 135</t>
        </is>
      </c>
      <c r="N1726" s="11" t="n">
        <v>2020</v>
      </c>
      <c r="O1726" s="11" t="inlineStr">
        <is>
          <t>2020-08-11</t>
        </is>
      </c>
      <c r="P1726" s="11" t="n">
        <v>3</v>
      </c>
      <c r="Q1726" s="11" t="inlineStr">
        <is>
          <t>b2020_10_135_237</t>
        </is>
      </c>
      <c r="R1726" s="2" t="inlineStr">
        <is>
          <t>The opinion expressed in Danamma is partly overruled to the extent it is contrary to this decision</t>
        </is>
      </c>
      <c r="S1726" s="2" t="inlineStr">
        <is>
          <t>to the extent contrary to Vineeta Sharma</t>
        </is>
      </c>
      <c r="T1726" s="11" t="inlineStr"/>
      <c r="U1726" s="11" t="inlineStr"/>
      <c r="V1726" s="11" t="inlineStr">
        <is>
          <t>judgment_text</t>
        </is>
      </c>
      <c r="W1726" s="11" t="inlineStr">
        <is>
          <t>B</t>
        </is>
      </c>
      <c r="X1726" s="11" t="inlineStr">
        <is>
          <t>Claude (reading the judgment in the collection), 2026-10-07; not a lawyer</t>
        </is>
      </c>
      <c r="Y1726" s="11" t="inlineStr">
        <is>
          <t>C</t>
        </is>
      </c>
      <c r="Z1726" s="11" t="n"/>
      <c r="AA1726" s="11" t="n"/>
      <c r="AB1726" s="11" t="inlineStr">
        <is>
          <t>name_year</t>
        </is>
      </c>
      <c r="AC1726" s="2" t="inlineStr"/>
      <c r="AD1726" s="2" t="inlineStr">
        <is>
          <t>Danamma @ Suman Surpur v. Amar (2018) is reported as overruled in part by Vineeta Sharma v. Rakesh Sharma (2020) (to the extent contrary to Vineeta Sharma) (not yet confirmed by our reviewer).</t>
        </is>
      </c>
      <c r="AE1726" s="2" t="inlineStr">
        <is>
          <t>Partly, as the list says.</t>
        </is>
      </c>
      <c r="AF1726" s="11" t="inlineStr">
        <is>
          <t>created from list 2</t>
        </is>
      </c>
    </row>
    <row r="1727">
      <c r="A1727" s="11" t="inlineStr">
        <is>
          <t>L2-038</t>
        </is>
      </c>
      <c r="B1727" s="11" t="inlineStr">
        <is>
          <t>List 2 (after 2015)</t>
        </is>
      </c>
      <c r="C1727" s="11" t="inlineStr">
        <is>
          <t>list2</t>
        </is>
      </c>
      <c r="D1727" s="11" t="inlineStr">
        <is>
          <t>candidate</t>
        </is>
      </c>
      <c r="E1727" s="11" t="inlineStr">
        <is>
          <t>overruled</t>
        </is>
      </c>
      <c r="F1727" s="2" t="inlineStr">
        <is>
          <t>Himangni Enterprises v. Kamaljeet Singh Ahluwalia</t>
        </is>
      </c>
      <c r="G1727" s="11" t="inlineStr"/>
      <c r="H1727" s="11" t="inlineStr">
        <is>
          <t>Supreme Court</t>
        </is>
      </c>
      <c r="I1727" s="2" t="inlineStr">
        <is>
          <t>(2017) 10 SCC 706; [2017] 10 SCR 139</t>
        </is>
      </c>
      <c r="J1727" s="11" t="n">
        <v>2017</v>
      </c>
      <c r="K1727" s="2" t="inlineStr">
        <is>
          <t>Vidya Drolia v. Durga Trading Corporation</t>
        </is>
      </c>
      <c r="L1727" s="11" t="inlineStr">
        <is>
          <t>Supreme Court</t>
        </is>
      </c>
      <c r="M1727" s="2" t="inlineStr">
        <is>
          <t>[2020] 11 S.C.R. 1001</t>
        </is>
      </c>
      <c r="N1727" s="11" t="n">
        <v>2020</v>
      </c>
      <c r="O1727" s="11" t="inlineStr">
        <is>
          <t>2020-12-14</t>
        </is>
      </c>
      <c r="P1727" s="11" t="n">
        <v>3</v>
      </c>
      <c r="Q1727" s="11" t="inlineStr">
        <is>
          <t>b2020_11_1001_1180</t>
        </is>
      </c>
      <c r="R1727" s="2" t="inlineStr">
        <is>
          <t>we overrule the ratio laid down in Himangni Enterprises</t>
        </is>
      </c>
      <c r="S1727" s="2" t="inlineStr">
        <is>
          <t>the holding that landlord-tenant disputes under the Transfer of Property Act are not arbitrable</t>
        </is>
      </c>
      <c r="T1727" s="11" t="inlineStr"/>
      <c r="U1727" s="11" t="inlineStr"/>
      <c r="V1727" s="11" t="inlineStr">
        <is>
          <t>judgment_text</t>
        </is>
      </c>
      <c r="W1727" s="11" t="inlineStr">
        <is>
          <t>B</t>
        </is>
      </c>
      <c r="X1727" s="11" t="inlineStr">
        <is>
          <t>Claude (reading the judgment in the collection), 2026-10-07; not a lawyer</t>
        </is>
      </c>
      <c r="Y1727" s="11" t="inlineStr">
        <is>
          <t>CN</t>
        </is>
      </c>
      <c r="Z1727" s="11" t="n"/>
      <c r="AA1727" s="11" t="n"/>
      <c r="AB1727" s="11" t="inlineStr">
        <is>
          <t>name_year</t>
        </is>
      </c>
      <c r="AC1727" s="2" t="inlineStr"/>
      <c r="AD1727" s="2" t="inlineStr">
        <is>
          <t>Himangni Enterprises v. Kamaljeet Singh Ahluwalia (2017) is reported as overruled by Vidya Drolia v. Durga Trading Corporation (2020) (not yet confirmed by our reviewer).</t>
        </is>
      </c>
      <c r="AE1727" s="2" t="inlineStr">
        <is>
          <t>N. Radhakrishnan v. Maestro Engineers (2010) is also tagged 'overruled' in the same judgment; the list omits it.</t>
        </is>
      </c>
      <c r="AF1727" s="11" t="inlineStr">
        <is>
          <t>created from list 2</t>
        </is>
      </c>
    </row>
    <row r="1728">
      <c r="A1728" s="11" t="inlineStr">
        <is>
          <t>L2-039</t>
        </is>
      </c>
      <c r="B1728" s="11" t="inlineStr">
        <is>
          <t>List 2 (after 2015)</t>
        </is>
      </c>
      <c r="C1728" s="11" t="inlineStr">
        <is>
          <t>list2</t>
        </is>
      </c>
      <c r="D1728" s="11" t="inlineStr">
        <is>
          <t>candidate</t>
        </is>
      </c>
      <c r="E1728" s="11" t="inlineStr">
        <is>
          <t>not_binding</t>
        </is>
      </c>
      <c r="F1728" s="2" t="inlineStr">
        <is>
          <t>V. Surendra Mohan v. State of Tamil Nadu</t>
        </is>
      </c>
      <c r="G1728" s="11" t="inlineStr">
        <is>
          <t>V Surendra Mohan v. State of Tamil Nadu</t>
        </is>
      </c>
      <c r="H1728" s="11" t="inlineStr">
        <is>
          <t>Supreme Court</t>
        </is>
      </c>
      <c r="I1728" s="2" t="inlineStr">
        <is>
          <t>(2019) 4 SCC 237; [2019] 1 SCR 954</t>
        </is>
      </c>
      <c r="J1728" s="11" t="n">
        <v>2019</v>
      </c>
      <c r="K1728" s="2" t="inlineStr">
        <is>
          <t>Vikash Kumar v. Union Public Service Commission</t>
        </is>
      </c>
      <c r="L1728" s="11" t="inlineStr">
        <is>
          <t>Supreme Court</t>
        </is>
      </c>
      <c r="M1728" s="2" t="inlineStr">
        <is>
          <t>[2021] 12 S.C.R. 311</t>
        </is>
      </c>
      <c r="N1728" s="11" t="n">
        <v>2021</v>
      </c>
      <c r="O1728" s="11" t="inlineStr">
        <is>
          <t>2021-02-11</t>
        </is>
      </c>
      <c r="P1728" s="11" t="n">
        <v>3</v>
      </c>
      <c r="Q1728" s="11" t="inlineStr">
        <is>
          <t>b2021_12_311_364</t>
        </is>
      </c>
      <c r="R1728" s="2" t="inlineStr">
        <is>
          <t>the Mohan judgment stands on a legally vulnerable footing. It would not be a binding precedent, after enforcement of the RPwD Act 2016</t>
        </is>
      </c>
      <c r="S1728" s="2" t="inlineStr">
        <is>
          <t>after the RPwD Act 2016, as a decision under the 1995 Act without a reasonable-accommodation analysis</t>
        </is>
      </c>
      <c r="T1728" s="11" t="inlineStr"/>
      <c r="U1728" s="11" t="inlineStr">
        <is>
          <t>list_label_not_supported</t>
        </is>
      </c>
      <c r="V1728" s="11" t="inlineStr">
        <is>
          <t>judgment_text</t>
        </is>
      </c>
      <c r="W1728" s="11" t="inlineStr">
        <is>
          <t>B</t>
        </is>
      </c>
      <c r="X1728" s="11" t="inlineStr">
        <is>
          <t>Claude (reading the judgment in the collection), 2026-10-07; not a lawyer</t>
        </is>
      </c>
      <c r="Y1728" s="11" t="inlineStr">
        <is>
          <t>W</t>
        </is>
      </c>
      <c r="Z1728" s="11" t="n"/>
      <c r="AA1728" s="11" t="n"/>
      <c r="AB1728" s="11" t="inlineStr">
        <is>
          <t>name_year</t>
        </is>
      </c>
      <c r="AC1728" s="2" t="inlineStr"/>
      <c r="AD1728" s="2" t="inlineStr">
        <is>
          <t>V. Surendra Mohan v. State of Tamil Nadu (2019) is reported as held not to be a binding precedent in Vikash Kumar v. Union Public Service Commission (2021) (after the RPwD Act 2016, as a decision under the 1995 Act without a reasonable-accommodation analysis) (not yet confirmed by our reviewer).</t>
        </is>
      </c>
      <c r="AE1728" s="2" t="inlineStr">
        <is>
          <t>The court does not overrule Surendra Mohan; the report's headnote lists it only as 'referred to'. The list's label 'Expressly overruled' is not what the court said.</t>
        </is>
      </c>
      <c r="AF1728" s="11" t="inlineStr">
        <is>
          <t>created from list 2</t>
        </is>
      </c>
    </row>
    <row r="1729">
      <c r="A1729" s="11" t="inlineStr">
        <is>
          <t>L2-040</t>
        </is>
      </c>
      <c r="B1729" s="11" t="inlineStr">
        <is>
          <t>List 2 (after 2015)</t>
        </is>
      </c>
      <c r="C1729" s="11" t="inlineStr">
        <is>
          <t>list2</t>
        </is>
      </c>
      <c r="D1729" s="11" t="inlineStr">
        <is>
          <t>candidate</t>
        </is>
      </c>
      <c r="E1729" s="11" t="inlineStr">
        <is>
          <t>overruled</t>
        </is>
      </c>
      <c r="F1729" s="2" t="inlineStr">
        <is>
          <t>M/s N.V. International v. State of Assam</t>
        </is>
      </c>
      <c r="G1729" s="11" t="inlineStr">
        <is>
          <t>N.V. International v. State of Assam</t>
        </is>
      </c>
      <c r="H1729" s="11" t="inlineStr">
        <is>
          <t>Supreme Court</t>
        </is>
      </c>
      <c r="I1729" s="2" t="inlineStr">
        <is>
          <t>(2020) 2 SCC 109</t>
        </is>
      </c>
      <c r="J1729" s="11" t="n">
        <v>2020</v>
      </c>
      <c r="K1729" s="2" t="inlineStr">
        <is>
          <t>Government of Maharashtra v. Borse Brothers Engineers &amp; Contractors</t>
        </is>
      </c>
      <c r="L1729" s="11" t="inlineStr">
        <is>
          <t>Supreme Court</t>
        </is>
      </c>
      <c r="M1729" s="2" t="inlineStr">
        <is>
          <t>[2021] 3 S.C.R. 193</t>
        </is>
      </c>
      <c r="N1729" s="11" t="n">
        <v>2021</v>
      </c>
      <c r="O1729" s="11" t="inlineStr">
        <is>
          <t>2021-03-19</t>
        </is>
      </c>
      <c r="P1729" s="11" t="n">
        <v>3</v>
      </c>
      <c r="Q1729" s="11" t="inlineStr">
        <is>
          <t>b2021_3_193_254</t>
        </is>
      </c>
      <c r="R1729" s="2" t="inlineStr">
        <is>
          <t>N.V. International has been wrongly decided and is therefore overruled</t>
        </is>
      </c>
      <c r="S1729" s="2" t="inlineStr">
        <is>
          <t>the rule that delay beyond 120 days cannot be condoned in a section 37 appeal</t>
        </is>
      </c>
      <c r="T1729" s="11" t="inlineStr"/>
      <c r="U1729" s="11" t="inlineStr"/>
      <c r="V1729" s="11" t="inlineStr">
        <is>
          <t>judgment_text</t>
        </is>
      </c>
      <c r="W1729" s="11" t="inlineStr">
        <is>
          <t>B</t>
        </is>
      </c>
      <c r="X1729" s="11" t="inlineStr">
        <is>
          <t>Claude (reading the judgment in the collection), 2026-10-07; not a lawyer</t>
        </is>
      </c>
      <c r="Y1729" s="11" t="inlineStr">
        <is>
          <t>C</t>
        </is>
      </c>
      <c r="Z1729" s="11" t="n"/>
      <c r="AA1729" s="11" t="n"/>
      <c r="AB1729" s="11" t="inlineStr">
        <is>
          <t>name_year</t>
        </is>
      </c>
      <c r="AC1729" s="2" t="inlineStr"/>
      <c r="AD1729" s="2" t="inlineStr">
        <is>
          <t>M/s N.V. International v. State of Assam (2020) is reported as overruled by Government of Maharashtra v. Borse Brothers Engineers &amp; Contractors (2021) (not yet confirmed by our reviewer).</t>
        </is>
      </c>
      <c r="AE1729" s="2" t="inlineStr">
        <is>
          <t>3-judge bench.</t>
        </is>
      </c>
      <c r="AF1729" s="11" t="inlineStr">
        <is>
          <t>created from list 2</t>
        </is>
      </c>
    </row>
    <row r="1730">
      <c r="A1730" s="11" t="inlineStr">
        <is>
          <t>L2-041</t>
        </is>
      </c>
      <c r="B1730" s="11" t="inlineStr">
        <is>
          <t>List 2 (after 2015)</t>
        </is>
      </c>
      <c r="C1730" s="11" t="inlineStr">
        <is>
          <t>list2</t>
        </is>
      </c>
      <c r="D1730" s="11" t="inlineStr">
        <is>
          <t>candidate</t>
        </is>
      </c>
      <c r="E1730" s="11" t="inlineStr">
        <is>
          <t>overruled</t>
        </is>
      </c>
      <c r="F1730" s="2" t="inlineStr">
        <is>
          <t>Pune Municipal Corporation v. Harakchand Misirimal Solanki</t>
        </is>
      </c>
      <c r="G1730" s="11" t="inlineStr">
        <is>
          <t>Pune Municipal Corporation &amp; Anr. v. Harakchand Misrimal Solanki &amp; Ors.</t>
        </is>
      </c>
      <c r="H1730" s="11" t="inlineStr">
        <is>
          <t>Supreme Court</t>
        </is>
      </c>
      <c r="I1730" s="2" t="inlineStr">
        <is>
          <t>(2014) 3 SCC 183; [2014] 1 SCR 783</t>
        </is>
      </c>
      <c r="J1730" s="11" t="n">
        <v>2014</v>
      </c>
      <c r="K1730" s="2" t="inlineStr">
        <is>
          <t>Indore Development Authority v. Manoharlal</t>
        </is>
      </c>
      <c r="L1730" s="11" t="inlineStr">
        <is>
          <t>Supreme Court</t>
        </is>
      </c>
      <c r="M1730" s="2" t="inlineStr">
        <is>
          <t>(2020) 8 SCC 129; [2020] 3 S.C.R. 1</t>
        </is>
      </c>
      <c r="N1730" s="11" t="n">
        <v>2020</v>
      </c>
      <c r="O1730" s="11" t="inlineStr">
        <is>
          <t>2020-03-06</t>
        </is>
      </c>
      <c r="P1730" s="11" t="n">
        <v>5</v>
      </c>
      <c r="Q1730" s="11" t="inlineStr">
        <is>
          <t>b2020_3_1_328</t>
        </is>
      </c>
      <c r="R1730" s="2" t="inlineStr">
        <is>
          <t>the decision rendered in Pune Municipal Corpn. is hereby overruled and all other decisions in which [it] has been followed, are also overruled</t>
        </is>
      </c>
      <c r="S1730" s="2" t="inlineStr">
        <is>
          <t>the reading of section 24(2) of the 2013 Act on lapse of acquisition</t>
        </is>
      </c>
      <c r="T1730" s="11" t="inlineStr"/>
      <c r="U1730" s="11" t="inlineStr"/>
      <c r="V1730" s="11" t="inlineStr">
        <is>
          <t>judgment_text</t>
        </is>
      </c>
      <c r="W1730" s="11" t="inlineStr">
        <is>
          <t>B</t>
        </is>
      </c>
      <c r="X1730" s="11" t="inlineStr">
        <is>
          <t>Claude (reading the judgment in the collection), 2026-10-07; not a lawyer</t>
        </is>
      </c>
      <c r="Y1730" s="11" t="inlineStr">
        <is>
          <t>C</t>
        </is>
      </c>
      <c r="Z1730" s="11" t="n"/>
      <c r="AA1730" s="11" t="n"/>
      <c r="AB1730" s="11" t="inlineStr">
        <is>
          <t>name_year</t>
        </is>
      </c>
      <c r="AC1730" s="2" t="inlineStr"/>
      <c r="AD1730" s="2" t="inlineStr">
        <is>
          <t>Pune Municipal Corporation v. Harakchand Misirimal Solanki (2014) is reported as overruled by Indore Development Authority v. Manoharlal (2020) (not yet confirmed by our reviewer).</t>
        </is>
      </c>
      <c r="AE1730" s="2" t="inlineStr">
        <is>
          <t>5-judge bench.</t>
        </is>
      </c>
      <c r="AF1730" s="11" t="inlineStr">
        <is>
          <t>created from list 2</t>
        </is>
      </c>
    </row>
    <row r="1731">
      <c r="A1731" s="11" t="inlineStr">
        <is>
          <t>L2-042</t>
        </is>
      </c>
      <c r="B1731" s="11" t="inlineStr">
        <is>
          <t>List 2 (after 2015)</t>
        </is>
      </c>
      <c r="C1731" s="11" t="inlineStr">
        <is>
          <t>list2</t>
        </is>
      </c>
      <c r="D1731" s="11" t="inlineStr">
        <is>
          <t>candidate</t>
        </is>
      </c>
      <c r="E1731" s="11" t="inlineStr">
        <is>
          <t>overruled</t>
        </is>
      </c>
      <c r="F1731" s="2" t="inlineStr">
        <is>
          <t>Sree Balaji Nagar Residential Association v. State of Tamil Nadu</t>
        </is>
      </c>
      <c r="G1731" s="11" t="inlineStr">
        <is>
          <t>Sree Balaji Nagar Residents Association v. State of Tamil Nadu; Shree Balaji Nagar Residential Association v. State of Tamil Nadu</t>
        </is>
      </c>
      <c r="H1731" s="11" t="inlineStr">
        <is>
          <t>Supreme Court</t>
        </is>
      </c>
      <c r="I1731" s="2" t="inlineStr">
        <is>
          <t>(2015) 3 SCC 353; [2014] 7 SCR 799</t>
        </is>
      </c>
      <c r="J1731" s="11" t="n">
        <v>2015</v>
      </c>
      <c r="K1731" s="2" t="inlineStr">
        <is>
          <t>Indore Development Authority v. Manoharlal</t>
        </is>
      </c>
      <c r="L1731" s="11" t="inlineStr">
        <is>
          <t>Supreme Court</t>
        </is>
      </c>
      <c r="M1731" s="2" t="inlineStr">
        <is>
          <t>(2020) 8 SCC 129; [2020] 3 S.C.R. 1</t>
        </is>
      </c>
      <c r="N1731" s="11" t="n">
        <v>2020</v>
      </c>
      <c r="O1731" s="11" t="inlineStr">
        <is>
          <t>2020-03-06</t>
        </is>
      </c>
      <c r="P1731" s="11" t="n">
        <v>5</v>
      </c>
      <c r="Q1731" s="11" t="inlineStr">
        <is>
          <t>b2020_3_1_328</t>
        </is>
      </c>
      <c r="R1731" s="2" t="inlineStr">
        <is>
          <t>The decision in Shree Balaji Nagar Residential Association cannot be said to be laying down good law, is overruled</t>
        </is>
      </c>
      <c r="S1731" s="2" t="inlineStr">
        <is>
          <t>the reading of section 24(2) of the 2013 Act on lapse of acquisition</t>
        </is>
      </c>
      <c r="T1731" s="11" t="inlineStr"/>
      <c r="U1731" s="11" t="inlineStr">
        <is>
          <t>overruling_case_corrected</t>
        </is>
      </c>
      <c r="V1731" s="11" t="inlineStr">
        <is>
          <t>judgment_text</t>
        </is>
      </c>
      <c r="W1731" s="11" t="inlineStr">
        <is>
          <t>B</t>
        </is>
      </c>
      <c r="X1731" s="11" t="inlineStr">
        <is>
          <t>Claude (reading the judgment in the collection), 2026-10-07; not a lawyer</t>
        </is>
      </c>
      <c r="Y1731" s="11" t="inlineStr">
        <is>
          <t>W</t>
        </is>
      </c>
      <c r="Z1731" s="11" t="n"/>
      <c r="AA1731" s="11" t="n"/>
      <c r="AB1731" s="11" t="inlineStr">
        <is>
          <t>name_year</t>
        </is>
      </c>
      <c r="AC1731" s="2" t="inlineStr"/>
      <c r="AD1731" s="2" t="inlineStr">
        <is>
          <t>Sree Balaji Nagar Residential Association v. State of Tamil Nadu (2015) is reported as overruled by Indore Development Authority v. Manoharlal (2020) (not yet confirmed by our reviewer).</t>
        </is>
      </c>
      <c r="AE1731" s="2" t="inlineStr">
        <is>
          <t>The fact is right, the overruling case is not: the 5-judge bench in Indore Development Authority v. Manoharlal (2020) did it. DDA v. Asha Prakash (2023, 2 judges) only quotes that holding. Indore Development Authority v. Shailendra (2018, 3 judges) also says Shree Balaji is overruled (collection, same sentence form): the list shows neither.</t>
        </is>
      </c>
      <c r="AF1731" s="11" t="inlineStr">
        <is>
          <t>created from list 2</t>
        </is>
      </c>
    </row>
    <row r="1732">
      <c r="A1732" s="11" t="inlineStr">
        <is>
          <t>L2-043</t>
        </is>
      </c>
      <c r="B1732" s="11" t="inlineStr">
        <is>
          <t>List 2 (after 2015)</t>
        </is>
      </c>
      <c r="C1732" s="11" t="inlineStr">
        <is>
          <t>list2</t>
        </is>
      </c>
      <c r="D1732" s="11" t="inlineStr">
        <is>
          <t>unchecked</t>
        </is>
      </c>
      <c r="E1732" s="11" t="inlineStr">
        <is>
          <t>overruled</t>
        </is>
      </c>
      <c r="F1732" s="2" t="inlineStr">
        <is>
          <t>Union of India v. Major General Shri Kant Sharma</t>
        </is>
      </c>
      <c r="G1732" s="11" t="inlineStr"/>
      <c r="H1732" s="11" t="inlineStr">
        <is>
          <t>Supreme Court</t>
        </is>
      </c>
      <c r="I1732" s="2" t="inlineStr"/>
      <c r="J1732" s="11" t="n">
        <v>2015</v>
      </c>
      <c r="K1732" s="2" t="inlineStr">
        <is>
          <t>Union of India v. Parshotam Dass</t>
        </is>
      </c>
      <c r="L1732" s="11" t="inlineStr">
        <is>
          <t>Supreme Court</t>
        </is>
      </c>
      <c r="M1732" s="2" t="inlineStr"/>
      <c r="N1732" s="11" t="n">
        <v>2023</v>
      </c>
      <c r="O1732" s="11" t="n"/>
      <c r="P1732" s="11" t="n"/>
      <c r="Q1732" s="11" t="n"/>
      <c r="R1732" s="2" t="inlineStr">
        <is>
          <t>(not in our collection)</t>
        </is>
      </c>
      <c r="S1732" s="2" t="n"/>
      <c r="T1732" s="11" t="inlineStr"/>
      <c r="U1732" s="11" t="inlineStr">
        <is>
          <t>not_in_collection</t>
        </is>
      </c>
      <c r="V1732" s="11" t="inlineStr">
        <is>
          <t>law_report_headnote</t>
        </is>
      </c>
      <c r="W1732" s="11" t="inlineStr">
        <is>
          <t>-</t>
        </is>
      </c>
      <c r="X1732" s="11" t="inlineStr">
        <is>
          <t>Claude (reading the judgment in the collection), 2026-10-07; not a lawyer</t>
        </is>
      </c>
      <c r="Y1732" s="11" t="inlineStr">
        <is>
          <t>U</t>
        </is>
      </c>
      <c r="Z1732" s="11" t="n"/>
      <c r="AA1732" s="11" t="n"/>
      <c r="AB1732" s="11" t="inlineStr">
        <is>
          <t>name_year</t>
        </is>
      </c>
      <c r="AC1732" s="2" t="inlineStr"/>
      <c r="AD1732" s="2" t="inlineStr">
        <is>
          <t>(no wording: not confirmed enough)</t>
        </is>
      </c>
      <c r="AE1732" s="2" t="inlineStr">
        <is>
          <t>Union of India v. Parshotam Dass (2023) is not in the collection; nothing could be checked.</t>
        </is>
      </c>
      <c r="AF1732" s="11" t="inlineStr">
        <is>
          <t>created from list 2</t>
        </is>
      </c>
    </row>
    <row r="1733">
      <c r="A1733" s="11" t="inlineStr">
        <is>
          <t>L2-044</t>
        </is>
      </c>
      <c r="B1733" s="11" t="inlineStr">
        <is>
          <t>List 2 (after 2015)</t>
        </is>
      </c>
      <c r="C1733" s="11" t="inlineStr">
        <is>
          <t>list2</t>
        </is>
      </c>
      <c r="D1733" s="11" t="inlineStr">
        <is>
          <t>candidate</t>
        </is>
      </c>
      <c r="E1733" s="11" t="inlineStr">
        <is>
          <t>not_good_law</t>
        </is>
      </c>
      <c r="F1733" s="2" t="inlineStr">
        <is>
          <t>Arup Bhuyan v. State of Assam</t>
        </is>
      </c>
      <c r="G1733" s="11" t="inlineStr">
        <is>
          <t>Arup Bhuyan v. Union of India</t>
        </is>
      </c>
      <c r="H1733" s="11" t="inlineStr">
        <is>
          <t>Supreme Court</t>
        </is>
      </c>
      <c r="I1733" s="2" t="inlineStr">
        <is>
          <t>(2011) 3 SCC 377; [2011] 2 SCR 506</t>
        </is>
      </c>
      <c r="J1733" s="11" t="n">
        <v>2011</v>
      </c>
      <c r="K1733" s="2" t="inlineStr">
        <is>
          <t>Arup Bhuyan v. State of Assam</t>
        </is>
      </c>
      <c r="L1733" s="11" t="inlineStr">
        <is>
          <t>Supreme Court</t>
        </is>
      </c>
      <c r="M1733" s="2" t="inlineStr">
        <is>
          <t>[2023] 8 S.C.R. 496</t>
        </is>
      </c>
      <c r="N1733" s="11" t="n">
        <v>2023</v>
      </c>
      <c r="O1733" s="11" t="inlineStr">
        <is>
          <t>2023-03-24</t>
        </is>
      </c>
      <c r="P1733" s="11" t="n">
        <v>3</v>
      </c>
      <c r="Q1733" s="11" t="inlineStr">
        <is>
          <t>b2023_8_496_580</t>
        </is>
      </c>
      <c r="R1733" s="2" t="inlineStr">
        <is>
          <t>held not good law (the report's tag)</t>
        </is>
      </c>
      <c r="S1733" s="2" t="inlineStr">
        <is>
          <t>mere membership of a banned organisation (section 10(a)(i) UAPA)</t>
        </is>
      </c>
      <c r="T1733" s="11" t="inlineStr"/>
      <c r="U1733" s="11" t="inlineStr"/>
      <c r="V1733" s="11" t="inlineStr">
        <is>
          <t>law_report_headnote</t>
        </is>
      </c>
      <c r="W1733" s="11" t="inlineStr">
        <is>
          <t>H</t>
        </is>
      </c>
      <c r="X1733" s="11" t="inlineStr">
        <is>
          <t>Claude (reading the judgment in the collection), 2026-10-07; not a lawyer</t>
        </is>
      </c>
      <c r="Y1733" s="11" t="inlineStr">
        <is>
          <t>C</t>
        </is>
      </c>
      <c r="Z1733" s="11" t="n"/>
      <c r="AA1733" s="11" t="n"/>
      <c r="AB1733" s="11" t="inlineStr">
        <is>
          <t>name_year</t>
        </is>
      </c>
      <c r="AC1733" s="2" t="inlineStr"/>
      <c r="AD1733" s="2" t="inlineStr">
        <is>
          <t>Arup Bhuyan v. State of Assam (2011) is reported as held not to be good law in Arup Bhuyan v. State of Assam (2023) (not yet confirmed by our reviewer).</t>
        </is>
      </c>
      <c r="AE1733" s="2" t="inlineStr">
        <is>
          <t>3-judge bench. 'Not good law' is the court's phrase, not 'overruled'.</t>
        </is>
      </c>
      <c r="AF1733" s="11" t="inlineStr">
        <is>
          <t>created from list 2</t>
        </is>
      </c>
    </row>
    <row r="1734">
      <c r="A1734" s="11" t="inlineStr">
        <is>
          <t>L2-045</t>
        </is>
      </c>
      <c r="B1734" s="11" t="inlineStr">
        <is>
          <t>List 2 (after 2015)</t>
        </is>
      </c>
      <c r="C1734" s="11" t="inlineStr">
        <is>
          <t>list2</t>
        </is>
      </c>
      <c r="D1734" s="11" t="inlineStr">
        <is>
          <t>candidate</t>
        </is>
      </c>
      <c r="E1734" s="11" t="inlineStr">
        <is>
          <t>not_good_law</t>
        </is>
      </c>
      <c r="F1734" s="2" t="inlineStr">
        <is>
          <t>Indra Das v. State of Assam</t>
        </is>
      </c>
      <c r="G1734" s="11" t="inlineStr">
        <is>
          <t>Sri Indra Das v. State of Assam</t>
        </is>
      </c>
      <c r="H1734" s="11" t="inlineStr">
        <is>
          <t>Supreme Court</t>
        </is>
      </c>
      <c r="I1734" s="2" t="inlineStr">
        <is>
          <t>(2011) 3 SCC 380; [2011] 4 SCR 289</t>
        </is>
      </c>
      <c r="J1734" s="11" t="n">
        <v>2011</v>
      </c>
      <c r="K1734" s="2" t="inlineStr">
        <is>
          <t>Arup Bhuyan v. State of Assam</t>
        </is>
      </c>
      <c r="L1734" s="11" t="inlineStr">
        <is>
          <t>Supreme Court</t>
        </is>
      </c>
      <c r="M1734" s="2" t="inlineStr">
        <is>
          <t>[2023] 8 S.C.R. 496</t>
        </is>
      </c>
      <c r="N1734" s="11" t="n">
        <v>2023</v>
      </c>
      <c r="O1734" s="11" t="inlineStr">
        <is>
          <t>2023-03-24</t>
        </is>
      </c>
      <c r="P1734" s="11" t="n">
        <v>3</v>
      </c>
      <c r="Q1734" s="11" t="inlineStr">
        <is>
          <t>b2023_8_496_580</t>
        </is>
      </c>
      <c r="R1734" s="2" t="inlineStr">
        <is>
          <t>held not good law</t>
        </is>
      </c>
      <c r="S1734" s="2" t="inlineStr">
        <is>
          <t>mere membership of a banned organisation (section 10(a)(i) UAPA)</t>
        </is>
      </c>
      <c r="T1734" s="11" t="inlineStr"/>
      <c r="U1734" s="11" t="inlineStr"/>
      <c r="V1734" s="11" t="inlineStr">
        <is>
          <t>law_report_headnote</t>
        </is>
      </c>
      <c r="W1734" s="11" t="inlineStr">
        <is>
          <t>H</t>
        </is>
      </c>
      <c r="X1734" s="11" t="inlineStr">
        <is>
          <t>Claude (reading the judgment in the collection), 2026-10-07; not a lawyer</t>
        </is>
      </c>
      <c r="Y1734" s="11" t="inlineStr">
        <is>
          <t>C</t>
        </is>
      </c>
      <c r="Z1734" s="11" t="n"/>
      <c r="AA1734" s="11" t="n"/>
      <c r="AB1734" s="11" t="inlineStr">
        <is>
          <t>name_year</t>
        </is>
      </c>
      <c r="AC1734" s="2" t="inlineStr"/>
      <c r="AD1734" s="2" t="inlineStr">
        <is>
          <t>Indra Das v. State of Assam (2011) is reported as held not to be good law in Arup Bhuyan v. State of Assam (2023) (not yet confirmed by our reviewer).</t>
        </is>
      </c>
      <c r="AE1734" s="2" t="inlineStr">
        <is>
          <t>3-judge bench.</t>
        </is>
      </c>
      <c r="AF1734" s="11" t="inlineStr">
        <is>
          <t>created from list 2</t>
        </is>
      </c>
    </row>
    <row r="1735">
      <c r="A1735" s="11" t="inlineStr">
        <is>
          <t>L2-046</t>
        </is>
      </c>
      <c r="B1735" s="11" t="inlineStr">
        <is>
          <t>List 2 (after 2015)</t>
        </is>
      </c>
      <c r="C1735" s="11" t="inlineStr">
        <is>
          <t>list2</t>
        </is>
      </c>
      <c r="D1735" s="11" t="inlineStr">
        <is>
          <t>candidate</t>
        </is>
      </c>
      <c r="E1735" s="11" t="inlineStr">
        <is>
          <t>not_good_law</t>
        </is>
      </c>
      <c r="F1735" s="2" t="inlineStr">
        <is>
          <t>State of Kerala v. Raneef</t>
        </is>
      </c>
      <c r="G1735" s="11" t="inlineStr"/>
      <c r="H1735" s="11" t="inlineStr">
        <is>
          <t>Supreme Court</t>
        </is>
      </c>
      <c r="I1735" s="2" t="inlineStr">
        <is>
          <t>(2011) 1 SCC 784; [2011] 1 SCR 590</t>
        </is>
      </c>
      <c r="J1735" s="11" t="n">
        <v>2011</v>
      </c>
      <c r="K1735" s="2" t="inlineStr">
        <is>
          <t>Arup Bhuyan v. State of Assam</t>
        </is>
      </c>
      <c r="L1735" s="11" t="inlineStr">
        <is>
          <t>Supreme Court</t>
        </is>
      </c>
      <c r="M1735" s="2" t="inlineStr">
        <is>
          <t>[2023] 8 S.C.R. 496</t>
        </is>
      </c>
      <c r="N1735" s="11" t="n">
        <v>2023</v>
      </c>
      <c r="O1735" s="11" t="inlineStr">
        <is>
          <t>2023-03-24</t>
        </is>
      </c>
      <c r="P1735" s="11" t="n">
        <v>3</v>
      </c>
      <c r="Q1735" s="11" t="inlineStr">
        <is>
          <t>b2023_8_496_580</t>
        </is>
      </c>
      <c r="R1735" s="2" t="inlineStr">
        <is>
          <t>held not good law</t>
        </is>
      </c>
      <c r="S1735" s="2" t="inlineStr">
        <is>
          <t>mere membership of a banned organisation (section 10(a)(i) UAPA)</t>
        </is>
      </c>
      <c r="T1735" s="11" t="inlineStr"/>
      <c r="U1735" s="11" t="inlineStr"/>
      <c r="V1735" s="11" t="inlineStr">
        <is>
          <t>law_report_headnote</t>
        </is>
      </c>
      <c r="W1735" s="11" t="inlineStr">
        <is>
          <t>H</t>
        </is>
      </c>
      <c r="X1735" s="11" t="inlineStr">
        <is>
          <t>Claude (reading the judgment in the collection), 2026-10-07; not a lawyer</t>
        </is>
      </c>
      <c r="Y1735" s="11" t="inlineStr">
        <is>
          <t>C</t>
        </is>
      </c>
      <c r="Z1735" s="11" t="n"/>
      <c r="AA1735" s="11" t="n"/>
      <c r="AB1735" s="11" t="inlineStr">
        <is>
          <t>citation</t>
        </is>
      </c>
      <c r="AC1735" s="2" t="inlineStr"/>
      <c r="AD1735" s="2" t="inlineStr">
        <is>
          <t>State of Kerala v. Raneef (2011) is reported as held not to be good law in Arup Bhuyan v. State of Assam (2023) (not yet confirmed by our reviewer).</t>
        </is>
      </c>
      <c r="AE1735" s="2" t="inlineStr">
        <is>
          <t>3-judge bench.</t>
        </is>
      </c>
      <c r="AF1735" s="11" t="inlineStr">
        <is>
          <t>created from list 2</t>
        </is>
      </c>
    </row>
    <row r="1736">
      <c r="A1736" s="11" t="inlineStr">
        <is>
          <t>L2-047</t>
        </is>
      </c>
      <c r="B1736" s="11" t="inlineStr">
        <is>
          <t>List 2 (after 2015)</t>
        </is>
      </c>
      <c r="C1736" s="11" t="inlineStr">
        <is>
          <t>list2</t>
        </is>
      </c>
      <c r="D1736" s="11" t="inlineStr">
        <is>
          <t>candidate</t>
        </is>
      </c>
      <c r="E1736" s="11" t="inlineStr">
        <is>
          <t>per_incuriam</t>
        </is>
      </c>
      <c r="F1736" s="2" t="inlineStr">
        <is>
          <t>SRD Nutrients (P) Ltd. v. CCE</t>
        </is>
      </c>
      <c r="G1736" s="11" t="inlineStr">
        <is>
          <t>SRD Nutrients Private Limited v. Commissioner of Central Excise, Guwahati</t>
        </is>
      </c>
      <c r="H1736" s="11" t="inlineStr">
        <is>
          <t>Supreme Court</t>
        </is>
      </c>
      <c r="I1736" s="2" t="inlineStr">
        <is>
          <t>(2018) 1 SCC 105; [2017] 11 SCR 43</t>
        </is>
      </c>
      <c r="J1736" s="11" t="n">
        <v>2018</v>
      </c>
      <c r="K1736" s="2" t="inlineStr">
        <is>
          <t>Unicorn Industries v. Union of India</t>
        </is>
      </c>
      <c r="L1736" s="11" t="inlineStr">
        <is>
          <t>Supreme Court</t>
        </is>
      </c>
      <c r="M1736" s="2" t="inlineStr">
        <is>
          <t>[2019] 17 S.C.R. 1013</t>
        </is>
      </c>
      <c r="N1736" s="11" t="n">
        <v>2019</v>
      </c>
      <c r="O1736" s="11" t="inlineStr">
        <is>
          <t>2019-12-06</t>
        </is>
      </c>
      <c r="P1736" s="11" t="n">
        <v>3</v>
      </c>
      <c r="Q1736" s="11" t="inlineStr">
        <is>
          <t>b2019_17_1013_1047</t>
        </is>
      </c>
      <c r="R1736" s="2" t="inlineStr">
        <is>
          <t>the decisions in SRD Nutrients ... and Bajaj Auto ... are clearly per incuriam</t>
        </is>
      </c>
      <c r="S1736" s="2" t="inlineStr">
        <is>
          <t>the view that an exemption from excise duty also exempts education cess</t>
        </is>
      </c>
      <c r="T1736" s="11" t="inlineStr"/>
      <c r="U1736" s="11" t="inlineStr"/>
      <c r="V1736" s="11" t="inlineStr">
        <is>
          <t>judgment_text</t>
        </is>
      </c>
      <c r="W1736" s="11" t="inlineStr">
        <is>
          <t>B</t>
        </is>
      </c>
      <c r="X1736" s="11" t="inlineStr">
        <is>
          <t>Claude (reading the judgment in the collection), 2026-10-07; not a lawyer</t>
        </is>
      </c>
      <c r="Y1736" s="11" t="inlineStr">
        <is>
          <t>P</t>
        </is>
      </c>
      <c r="Z1736" s="11" t="n"/>
      <c r="AA1736" s="11" t="n"/>
      <c r="AB1736" s="11" t="inlineStr">
        <is>
          <t>name_year</t>
        </is>
      </c>
      <c r="AC1736" s="2" t="inlineStr"/>
      <c r="AD1736" s="2" t="inlineStr">
        <is>
          <t>SRD Nutrients (P) Ltd. v. CCE (2018) is reported as held to have been decided per incuriam in Unicorn Industries v. Union of India (2019) (not yet confirmed by our reviewer).</t>
        </is>
      </c>
      <c r="AE1736" s="2" t="inlineStr">
        <is>
          <t>3-judge bench: a smaller bench ignored binding larger-bench decisions. 'Per incuriam', not 'overruled'. Decided 6 Dec 2019; the list says 2020. SRD Nutrients itself is not in our collection.</t>
        </is>
      </c>
      <c r="AF1736" s="11" t="inlineStr">
        <is>
          <t>created from list 2</t>
        </is>
      </c>
    </row>
    <row r="1737">
      <c r="A1737" s="11" t="inlineStr">
        <is>
          <t>L2-048</t>
        </is>
      </c>
      <c r="B1737" s="11" t="inlineStr">
        <is>
          <t>List 2 (after 2015)</t>
        </is>
      </c>
      <c r="C1737" s="11" t="inlineStr">
        <is>
          <t>list2</t>
        </is>
      </c>
      <c r="D1737" s="11" t="inlineStr">
        <is>
          <t>candidate</t>
        </is>
      </c>
      <c r="E1737" s="11" t="inlineStr">
        <is>
          <t>overruled</t>
        </is>
      </c>
      <c r="F1737" s="2" t="inlineStr">
        <is>
          <t>S. Azeez Basha v. Union of India</t>
        </is>
      </c>
      <c r="G1737" s="11" t="inlineStr">
        <is>
          <t>S Azeez Basha v. Union of India</t>
        </is>
      </c>
      <c r="H1737" s="11" t="inlineStr">
        <is>
          <t>Supreme Court</t>
        </is>
      </c>
      <c r="I1737" s="2" t="inlineStr">
        <is>
          <t>[1968] 1 SCR 833; AIR 1968 SC 662</t>
        </is>
      </c>
      <c r="J1737" s="11" t="n">
        <v>1967</v>
      </c>
      <c r="K1737" s="2" t="inlineStr">
        <is>
          <t>Aligarh Muslim University v. Naresh Agarwal</t>
        </is>
      </c>
      <c r="L1737" s="11" t="inlineStr">
        <is>
          <t>Supreme Court</t>
        </is>
      </c>
      <c r="M1737" s="2" t="inlineStr">
        <is>
          <t>[2024] 11 S.C.R. 1647</t>
        </is>
      </c>
      <c r="N1737" s="11" t="n">
        <v>2024</v>
      </c>
      <c r="O1737" s="11" t="inlineStr">
        <is>
          <t>2024-11-08</t>
        </is>
      </c>
      <c r="P1737" s="11" t="n">
        <v>7</v>
      </c>
      <c r="Q1737" s="11" t="inlineStr">
        <is>
          <t>b2024_11_1647_2038</t>
        </is>
      </c>
      <c r="R1737" s="2" t="inlineStr">
        <is>
          <t>The view taken in Azeez Basha that an educational institution is not established by a minority if it derives its legal character through a statute, is overruled</t>
        </is>
      </c>
      <c r="S1737" s="2" t="inlineStr">
        <is>
          <t>the view that an educational institution is not established by a minority if it derives its legal character from a statute</t>
        </is>
      </c>
      <c r="T1737" s="11" t="inlineStr"/>
      <c r="U1737" s="11" t="inlineStr"/>
      <c r="V1737" s="11" t="inlineStr">
        <is>
          <t>judgment_text</t>
        </is>
      </c>
      <c r="W1737" s="11" t="inlineStr">
        <is>
          <t>B</t>
        </is>
      </c>
      <c r="X1737" s="11" t="inlineStr">
        <is>
          <t>Claude (reading the judgment in the collection), 2026-10-07; not a lawyer</t>
        </is>
      </c>
      <c r="Y1737" s="11" t="inlineStr">
        <is>
          <t>CN</t>
        </is>
      </c>
      <c r="Z1737" s="11" t="n"/>
      <c r="AA1737" s="11" t="n"/>
      <c r="AB1737" s="11" t="inlineStr">
        <is>
          <t>name_year</t>
        </is>
      </c>
      <c r="AC1737" s="2" t="inlineStr"/>
      <c r="AD1737" s="2" t="inlineStr">
        <is>
          <t>S. Azeez Basha v. Union of India (1967) is reported as overruled by Aligarh Muslim University v. Naresh Agarwal (2024) (not yet confirmed by our reviewer).</t>
        </is>
      </c>
      <c r="AE1737" s="2" t="inlineStr">
        <is>
          <t>7-judge bench; four judges (the Chief Justice's opinion) overruled that one view. Surya Kant J: 'modified and clarified'; Datta J: against overruling. AMU's own status was left to a regular bench.</t>
        </is>
      </c>
      <c r="AF1737" s="11" t="inlineStr">
        <is>
          <t>created from list 2</t>
        </is>
      </c>
    </row>
    <row r="1738">
      <c r="A1738" s="11" t="inlineStr">
        <is>
          <t>L2-049</t>
        </is>
      </c>
      <c r="B1738" s="11" t="inlineStr">
        <is>
          <t>List 2 (after 2015)</t>
        </is>
      </c>
      <c r="C1738" s="11" t="inlineStr">
        <is>
          <t>list2</t>
        </is>
      </c>
      <c r="D1738" s="11" t="inlineStr">
        <is>
          <t>candidate</t>
        </is>
      </c>
      <c r="E1738" s="11" t="inlineStr">
        <is>
          <t>overruled</t>
        </is>
      </c>
      <c r="F1738" s="2" t="inlineStr">
        <is>
          <t>E.V. Chinnaiah v. State of Andhra Pradesh</t>
        </is>
      </c>
      <c r="G1738" s="11" t="inlineStr">
        <is>
          <t>EV Chinnaiah v. State of Andhra Pradesh</t>
        </is>
      </c>
      <c r="H1738" s="11" t="inlineStr">
        <is>
          <t>Supreme Court</t>
        </is>
      </c>
      <c r="I1738" s="2" t="inlineStr">
        <is>
          <t>[2004] Supp. 5 SCR 972; (2005) 1 SCC 394</t>
        </is>
      </c>
      <c r="J1738" s="11" t="n">
        <v>2005</v>
      </c>
      <c r="K1738" s="2" t="inlineStr">
        <is>
          <t>State of Punjab v. Davinder Singh</t>
        </is>
      </c>
      <c r="L1738" s="11" t="inlineStr">
        <is>
          <t>Supreme Court</t>
        </is>
      </c>
      <c r="M1738" s="2" t="inlineStr">
        <is>
          <t>[2024] 8 S.C.R. 1321</t>
        </is>
      </c>
      <c r="N1738" s="11" t="n">
        <v>2024</v>
      </c>
      <c r="O1738" s="11" t="inlineStr">
        <is>
          <t>2024-08-01</t>
        </is>
      </c>
      <c r="P1738" s="11" t="n">
        <v>7</v>
      </c>
      <c r="Q1738" s="11" t="inlineStr">
        <is>
          <t>b2024_8_1321_1672</t>
        </is>
      </c>
      <c r="R1738" s="2" t="inlineStr">
        <is>
          <t>The holding in Chinnaiah that sub-classification of the Scheduled Castes is impermissible is overruled</t>
        </is>
      </c>
      <c r="S1738" s="2" t="inlineStr">
        <is>
          <t>the holding that sub-classification of the Scheduled Castes is impermissible</t>
        </is>
      </c>
      <c r="T1738" s="11" t="inlineStr"/>
      <c r="U1738" s="11" t="inlineStr"/>
      <c r="V1738" s="11" t="inlineStr">
        <is>
          <t>judgment_text</t>
        </is>
      </c>
      <c r="W1738" s="11" t="inlineStr">
        <is>
          <t>B</t>
        </is>
      </c>
      <c r="X1738" s="11" t="inlineStr">
        <is>
          <t>Claude (reading the judgment in the collection), 2026-10-07; not a lawyer</t>
        </is>
      </c>
      <c r="Y1738" s="11" t="inlineStr">
        <is>
          <t>C</t>
        </is>
      </c>
      <c r="Z1738" s="11" t="n"/>
      <c r="AA1738" s="11" t="n"/>
      <c r="AB1738" s="11" t="inlineStr">
        <is>
          <t>name_year</t>
        </is>
      </c>
      <c r="AC1738" s="2" t="inlineStr"/>
      <c r="AD1738" s="2" t="inlineStr">
        <is>
          <t>E.V. Chinnaiah v. State of Andhra Pradesh (2005) is reported as overruled by State of Punjab v. Davinder Singh (2024) (not yet confirmed by our reviewer).</t>
        </is>
      </c>
      <c r="AE1738" s="2" t="inlineStr">
        <is>
          <t>7-judge bench, 6:1 (Trivedi J dissenting). Decided 5 Nov 2004; the list says 2005.</t>
        </is>
      </c>
      <c r="AF1738" s="11" t="inlineStr">
        <is>
          <t>created from list 2</t>
        </is>
      </c>
    </row>
    <row r="1739">
      <c r="A1739" s="11" t="inlineStr">
        <is>
          <t>L2-050</t>
        </is>
      </c>
      <c r="B1739" s="11" t="inlineStr">
        <is>
          <t>List 2 (after 2015)</t>
        </is>
      </c>
      <c r="C1739" s="11" t="inlineStr">
        <is>
          <t>list2</t>
        </is>
      </c>
      <c r="D1739" s="11" t="inlineStr">
        <is>
          <t>candidate</t>
        </is>
      </c>
      <c r="E1739" s="11" t="inlineStr">
        <is>
          <t>overruled_in_part</t>
        </is>
      </c>
      <c r="F1739" s="2" t="inlineStr">
        <is>
          <t>India Cement Ltd. v. State of Tamil Nadu</t>
        </is>
      </c>
      <c r="G1739" s="11" t="inlineStr"/>
      <c r="H1739" s="11" t="inlineStr">
        <is>
          <t>Supreme Court</t>
        </is>
      </c>
      <c r="I1739" s="2" t="inlineStr">
        <is>
          <t>[1989] Supp. 1 SCR 692; (1990) 1 SCC 12; AIR 1990 SC 85</t>
        </is>
      </c>
      <c r="J1739" s="11" t="n">
        <v>1990</v>
      </c>
      <c r="K1739" s="2" t="inlineStr">
        <is>
          <t>Mineral Area Development Authority v. Steel Authority of India</t>
        </is>
      </c>
      <c r="L1739" s="11" t="inlineStr">
        <is>
          <t>Supreme Court</t>
        </is>
      </c>
      <c r="M1739" s="2" t="inlineStr">
        <is>
          <t>[2024] 7 S.C.R. 1549</t>
        </is>
      </c>
      <c r="N1739" s="11" t="n">
        <v>2024</v>
      </c>
      <c r="O1739" s="11" t="inlineStr">
        <is>
          <t>2024-07-25</t>
        </is>
      </c>
      <c r="P1739" s="11" t="n">
        <v>9</v>
      </c>
      <c r="Q1739" s="11" t="inlineStr">
        <is>
          <t>b2024_7_1549_1846</t>
        </is>
      </c>
      <c r="R1739" s="2" t="inlineStr">
        <is>
          <t>The decisions in India Cement, Orissa Cement, Federation of Mining Associations of Rajasthan, Mahalaxmi Fabric Mills, Saurashtra Cement, Mahanadi Coalfields and P Kannadasan are overruled to the extent of the observations made in the present case</t>
        </is>
      </c>
      <c r="S1739" s="2" t="inlineStr">
        <is>
          <t>to the extent of the observations made in the present case; India Cement had held royalty to be a tax</t>
        </is>
      </c>
      <c r="T1739" s="11" t="inlineStr"/>
      <c r="U1739" s="11" t="inlineStr"/>
      <c r="V1739" s="11" t="inlineStr">
        <is>
          <t>judgment_text</t>
        </is>
      </c>
      <c r="W1739" s="11" t="inlineStr">
        <is>
          <t>B</t>
        </is>
      </c>
      <c r="X1739" s="11" t="inlineStr">
        <is>
          <t>Claude (reading the judgment in the collection), 2026-10-07; not a lawyer</t>
        </is>
      </c>
      <c r="Y1739" s="11" t="inlineStr">
        <is>
          <t>CN</t>
        </is>
      </c>
      <c r="Z1739" s="11" t="n"/>
      <c r="AA1739" s="11" t="n"/>
      <c r="AB1739" s="11" t="inlineStr">
        <is>
          <t>citation</t>
        </is>
      </c>
      <c r="AC1739" s="2" t="inlineStr"/>
      <c r="AD1739" s="2" t="inlineStr">
        <is>
          <t>India Cement Ltd. v. State of Tamil Nadu (1990) is reported as overruled in part by Mineral Area Development Authority v. Steel Authority of India (2024) (to the extent of the observations made in the present case; India Cement had held royalty to be a tax) (not yet confirmed by our reviewer).</t>
        </is>
      </c>
      <c r="AE1739" s="2" t="inlineStr">
        <is>
          <t>9-judge bench, 8:1 (Nagarathna J dissenting). 'To the extent' and six other decisions that the list omits. Decided 25 Oct 1989; the list says 1990.</t>
        </is>
      </c>
      <c r="AF1739" s="11" t="inlineStr">
        <is>
          <t>created from list 2</t>
        </is>
      </c>
    </row>
    <row r="1740">
      <c r="A1740" s="11" t="inlineStr">
        <is>
          <t>L2-051</t>
        </is>
      </c>
      <c r="B1740" s="11" t="inlineStr">
        <is>
          <t>List 2 (after 2015)</t>
        </is>
      </c>
      <c r="C1740" s="11" t="inlineStr">
        <is>
          <t>list2</t>
        </is>
      </c>
      <c r="D1740" s="11" t="inlineStr">
        <is>
          <t>candidate</t>
        </is>
      </c>
      <c r="E1740" s="11" t="inlineStr">
        <is>
          <t>overruled</t>
        </is>
      </c>
      <c r="F1740" s="2" t="inlineStr">
        <is>
          <t>Synthetics &amp; Chemicals Ltd. v. State of U.P.</t>
        </is>
      </c>
      <c r="G1740" s="11" t="inlineStr">
        <is>
          <t>Synthetics and Chemicals Ltd. v. State of U.P.</t>
        </is>
      </c>
      <c r="H1740" s="11" t="inlineStr">
        <is>
          <t>Supreme Court</t>
        </is>
      </c>
      <c r="I1740" s="2" t="inlineStr">
        <is>
          <t>[1989] Supp. 1 SCR 623; (1990) 1 SCC 109; AIR 1990 SC 1927</t>
        </is>
      </c>
      <c r="J1740" s="11" t="n">
        <v>1990</v>
      </c>
      <c r="K1740" s="2" t="inlineStr">
        <is>
          <t>State of U.P. v. Lalta Prasad Vaish &amp; Sons</t>
        </is>
      </c>
      <c r="L1740" s="11" t="inlineStr">
        <is>
          <t>Supreme Court</t>
        </is>
      </c>
      <c r="M1740" s="2" t="inlineStr">
        <is>
          <t>[2024] 10 S.C.R. 1931</t>
        </is>
      </c>
      <c r="N1740" s="11" t="n">
        <v>2024</v>
      </c>
      <c r="O1740" s="11" t="inlineStr">
        <is>
          <t>2024-10-23</t>
        </is>
      </c>
      <c r="P1740" s="11" t="n">
        <v>9</v>
      </c>
      <c r="Q1740" s="11" t="inlineStr">
        <is>
          <t>b2024_10_1931_2182</t>
        </is>
      </c>
      <c r="R1740" s="2" t="inlineStr">
        <is>
          <t>The judgment in Synthetics (7J) is overruled in terms of this judgment</t>
        </is>
      </c>
      <c r="S1740" s="2" t="n"/>
      <c r="T1740" s="11" t="inlineStr"/>
      <c r="U1740" s="11" t="inlineStr"/>
      <c r="V1740" s="11" t="inlineStr">
        <is>
          <t>judgment_text</t>
        </is>
      </c>
      <c r="W1740" s="11" t="inlineStr">
        <is>
          <t>B</t>
        </is>
      </c>
      <c r="X1740" s="11" t="inlineStr">
        <is>
          <t>Claude (reading the judgment in the collection), 2026-10-07; not a lawyer</t>
        </is>
      </c>
      <c r="Y1740" s="11" t="inlineStr">
        <is>
          <t>C</t>
        </is>
      </c>
      <c r="Z1740" s="11" t="n"/>
      <c r="AA1740" s="11" t="n"/>
      <c r="AB1740" s="11" t="inlineStr">
        <is>
          <t>name_year</t>
        </is>
      </c>
      <c r="AC1740" s="2" t="inlineStr"/>
      <c r="AD1740" s="2" t="inlineStr">
        <is>
          <t>Synthetics &amp; Chemicals Ltd. v. State of U.P. (1990) is reported as overruled by State of U.P. v. Lalta Prasad Vaish &amp; Sons (2024) (not yet confirmed by our reviewer).</t>
        </is>
      </c>
      <c r="AE1740" s="2" t="inlineStr">
        <is>
          <t>9-judge bench, 8:1 (Nagarathna J dissenting). Decided 25 Oct 1989; the list says 1990.</t>
        </is>
      </c>
      <c r="AF1740" s="11" t="inlineStr">
        <is>
          <t>created from list 2</t>
        </is>
      </c>
    </row>
    <row r="1741">
      <c r="A1741" s="11" t="inlineStr">
        <is>
          <t>L2-052</t>
        </is>
      </c>
      <c r="B1741" s="11" t="inlineStr">
        <is>
          <t>List 2 (after 2015)</t>
        </is>
      </c>
      <c r="C1741" s="11" t="inlineStr">
        <is>
          <t>list2</t>
        </is>
      </c>
      <c r="D1741" s="11" t="inlineStr">
        <is>
          <t>candidate</t>
        </is>
      </c>
      <c r="E1741" s="11" t="inlineStr">
        <is>
          <t>not_approved</t>
        </is>
      </c>
      <c r="F1741" s="2" t="inlineStr">
        <is>
          <t>Asian Resurfacing of Road Agency Pvt. Ltd. v. CBI</t>
        </is>
      </c>
      <c r="G1741" s="11" t="inlineStr">
        <is>
          <t>Asian Resurfacing of Road Agency Private Limited v. Central Bureau of Investigation</t>
        </is>
      </c>
      <c r="H1741" s="11" t="inlineStr">
        <is>
          <t>Supreme Court</t>
        </is>
      </c>
      <c r="I1741" s="2" t="inlineStr">
        <is>
          <t>[2018] 2 S.C.R. 1045</t>
        </is>
      </c>
      <c r="J1741" s="11" t="n">
        <v>2018</v>
      </c>
      <c r="K1741" s="2" t="inlineStr">
        <is>
          <t>High Court Bar Association, Allahabad v. State of U.P.</t>
        </is>
      </c>
      <c r="L1741" s="11" t="inlineStr">
        <is>
          <t>Supreme Court</t>
        </is>
      </c>
      <c r="M1741" s="2" t="inlineStr">
        <is>
          <t>[2024] 2 S.C.R. 946</t>
        </is>
      </c>
      <c r="N1741" s="11" t="n">
        <v>2024</v>
      </c>
      <c r="O1741" s="11" t="inlineStr">
        <is>
          <t>2024-02-29</t>
        </is>
      </c>
      <c r="P1741" s="11" t="n">
        <v>5</v>
      </c>
      <c r="Q1741" s="11" t="inlineStr">
        <is>
          <t>b2024_2_946_988</t>
        </is>
      </c>
      <c r="R1741" s="2" t="inlineStr">
        <is>
          <t>we are unable to concur with the directions issued in paragraphs 36 and 37 ... We do not approve the direction</t>
        </is>
      </c>
      <c r="S1741" s="2" t="inlineStr">
        <is>
          <t>directions in paragraphs 36 and 37 (automatic vacation of stay; day-to-day hearing); the rest of the judgment stands</t>
        </is>
      </c>
      <c r="T1741" s="11" t="inlineStr"/>
      <c r="U1741" s="11" t="inlineStr"/>
      <c r="V1741" s="11" t="inlineStr">
        <is>
          <t>judgment_text</t>
        </is>
      </c>
      <c r="W1741" s="11" t="inlineStr">
        <is>
          <t>B</t>
        </is>
      </c>
      <c r="X1741" s="11" t="inlineStr">
        <is>
          <t>Claude (reading the judgment in the collection), 2026-10-07; not a lawyer</t>
        </is>
      </c>
      <c r="Y1741" s="11" t="inlineStr">
        <is>
          <t>P</t>
        </is>
      </c>
      <c r="Z1741" s="11" t="n"/>
      <c r="AA1741" s="11" t="n"/>
      <c r="AB1741" s="11" t="inlineStr">
        <is>
          <t>name_year</t>
        </is>
      </c>
      <c r="AC1741" s="2" t="inlineStr"/>
      <c r="AD1741" s="2" t="inlineStr">
        <is>
          <t>Asian Resurfacing of Road Agency Pvt. Ltd. v. CBI (2018) is reported as not approved in High Court Bar Association, Allahabad v. State of U.P. (2024) (directions in paragraphs 36 and 37 (automatic vacation of stay; day-to-day hearing); the rest of the judgment stands) (not yet confirmed by our reviewer).</t>
        </is>
      </c>
      <c r="AE1741" s="2" t="inlineStr">
        <is>
          <t>5-judge bench. Only two directions of Asian Resurfacing (automatic vacation of stay; day-to-day hearing). The court says 'unable to concur / not approve', not 'overruled'.</t>
        </is>
      </c>
      <c r="AF1741" s="11" t="inlineStr">
        <is>
          <t>created from list 2</t>
        </is>
      </c>
    </row>
    <row r="1742">
      <c r="A1742" s="11" t="inlineStr">
        <is>
          <t>L2-053</t>
        </is>
      </c>
      <c r="B1742" s="11" t="inlineStr">
        <is>
          <t>List 2 (after 2015)</t>
        </is>
      </c>
      <c r="C1742" s="11" t="inlineStr">
        <is>
          <t>list2</t>
        </is>
      </c>
      <c r="D1742" s="11" t="inlineStr">
        <is>
          <t>candidate</t>
        </is>
      </c>
      <c r="E1742" s="11" t="inlineStr">
        <is>
          <t>overruled</t>
        </is>
      </c>
      <c r="F1742" s="2" t="inlineStr">
        <is>
          <t>New India Assurance Co. Ltd. v. Prabhu Lal</t>
        </is>
      </c>
      <c r="G1742" s="11" t="inlineStr">
        <is>
          <t>New India Assurance Company v. Prabhu Lal</t>
        </is>
      </c>
      <c r="H1742" s="11" t="inlineStr">
        <is>
          <t>Supreme Court</t>
        </is>
      </c>
      <c r="I1742" s="2" t="inlineStr">
        <is>
          <t>[2007] 12 SCR 724; (2008) 1 SCC 696</t>
        </is>
      </c>
      <c r="J1742" s="11" t="n">
        <v>2008</v>
      </c>
      <c r="K1742" s="2" t="inlineStr">
        <is>
          <t>Bajaj Allianz General Insurance Co. Ltd. v. Rambha Devi</t>
        </is>
      </c>
      <c r="L1742" s="11" t="inlineStr">
        <is>
          <t>Supreme Court</t>
        </is>
      </c>
      <c r="M1742" s="2" t="inlineStr">
        <is>
          <t>[2024] 11 S.C.R. 541</t>
        </is>
      </c>
      <c r="N1742" s="11" t="n">
        <v>2024</v>
      </c>
      <c r="O1742" s="11" t="inlineStr">
        <is>
          <t>2024-11-06</t>
        </is>
      </c>
      <c r="P1742" s="11" t="n">
        <v>5</v>
      </c>
      <c r="Q1742" s="11" t="inlineStr">
        <is>
          <t>b2024_11_541_640</t>
        </is>
      </c>
      <c r="R1742" s="2" t="inlineStr">
        <is>
          <t>the three judgments which concluded otherwise i.e. Prabhu Lal, Roshanben Rahemansha Fakir and Angad Kol are overruled</t>
        </is>
      </c>
      <c r="S1742" s="2" t="inlineStr">
        <is>
          <t>the view that a light motor vehicle licence holder needs a separate endorsement to drive a transport vehicle</t>
        </is>
      </c>
      <c r="T1742" s="11" t="inlineStr"/>
      <c r="U1742" s="11" t="inlineStr"/>
      <c r="V1742" s="11" t="inlineStr">
        <is>
          <t>judgment_text</t>
        </is>
      </c>
      <c r="W1742" s="11" t="inlineStr">
        <is>
          <t>B</t>
        </is>
      </c>
      <c r="X1742" s="11" t="inlineStr">
        <is>
          <t>Claude (reading the judgment in the collection), 2026-10-07; not a lawyer</t>
        </is>
      </c>
      <c r="Y1742" s="11" t="inlineStr">
        <is>
          <t>C</t>
        </is>
      </c>
      <c r="Z1742" s="11" t="n"/>
      <c r="AA1742" s="11" t="n"/>
      <c r="AB1742" s="11" t="inlineStr">
        <is>
          <t>name_year</t>
        </is>
      </c>
      <c r="AC1742" s="2" t="inlineStr"/>
      <c r="AD1742" s="2" t="inlineStr">
        <is>
          <t>New India Assurance Co. Ltd. v. Prabhu Lal (2008) is reported as overruled by Bajaj Allianz General Insurance Co. Ltd. v. Rambha Devi (2024) (not yet confirmed by our reviewer).</t>
        </is>
      </c>
      <c r="AE1742" s="2" t="inlineStr">
        <is>
          <t>5-judge bench. Mukund Dewangan (2017, 3 judges) had already overruled Prabhu Lal ('is hereby overruled'); the list shows only 2024.</t>
        </is>
      </c>
      <c r="AF1742" s="11" t="inlineStr">
        <is>
          <t>created from list 2</t>
        </is>
      </c>
    </row>
    <row r="1743">
      <c r="A1743" s="11" t="inlineStr">
        <is>
          <t>L2-054</t>
        </is>
      </c>
      <c r="B1743" s="11" t="inlineStr">
        <is>
          <t>List 2 (after 2015)</t>
        </is>
      </c>
      <c r="C1743" s="11" t="inlineStr">
        <is>
          <t>list2</t>
        </is>
      </c>
      <c r="D1743" s="11" t="inlineStr">
        <is>
          <t>candidate</t>
        </is>
      </c>
      <c r="E1743" s="11" t="inlineStr">
        <is>
          <t>overruled</t>
        </is>
      </c>
      <c r="F1743" s="2" t="inlineStr">
        <is>
          <t>New India Assurance Co. Ltd. v. Roshanben Rahemansha Fakir</t>
        </is>
      </c>
      <c r="G1743" s="11" t="inlineStr"/>
      <c r="H1743" s="11" t="inlineStr">
        <is>
          <t>Supreme Court</t>
        </is>
      </c>
      <c r="I1743" s="2" t="inlineStr">
        <is>
          <t>[2008] 8 SCR 328; (2008) 8 SCC 253</t>
        </is>
      </c>
      <c r="J1743" s="11" t="n">
        <v>2008</v>
      </c>
      <c r="K1743" s="2" t="inlineStr">
        <is>
          <t>Bajaj Allianz General Insurance Co. Ltd. v. Rambha Devi</t>
        </is>
      </c>
      <c r="L1743" s="11" t="inlineStr">
        <is>
          <t>Supreme Court</t>
        </is>
      </c>
      <c r="M1743" s="2" t="inlineStr">
        <is>
          <t>[2024] 11 S.C.R. 541</t>
        </is>
      </c>
      <c r="N1743" s="11" t="n">
        <v>2024</v>
      </c>
      <c r="O1743" s="11" t="inlineStr">
        <is>
          <t>2024-11-06</t>
        </is>
      </c>
      <c r="P1743" s="11" t="n">
        <v>5</v>
      </c>
      <c r="Q1743" s="11" t="inlineStr">
        <is>
          <t>b2024_11_541_640</t>
        </is>
      </c>
      <c r="R1743" s="2" t="inlineStr">
        <is>
          <t>same sentence as row 53</t>
        </is>
      </c>
      <c r="S1743" s="2" t="inlineStr">
        <is>
          <t>the view that a light motor vehicle licence holder needs a separate endorsement to drive a transport vehicle</t>
        </is>
      </c>
      <c r="T1743" s="11" t="inlineStr"/>
      <c r="U1743" s="11" t="inlineStr"/>
      <c r="V1743" s="11" t="inlineStr">
        <is>
          <t>judgment_text</t>
        </is>
      </c>
      <c r="W1743" s="11" t="inlineStr">
        <is>
          <t>B</t>
        </is>
      </c>
      <c r="X1743" s="11" t="inlineStr">
        <is>
          <t>Claude (reading the judgment in the collection), 2026-10-07; not a lawyer</t>
        </is>
      </c>
      <c r="Y1743" s="11" t="inlineStr">
        <is>
          <t>C</t>
        </is>
      </c>
      <c r="Z1743" s="11" t="n"/>
      <c r="AA1743" s="11" t="n"/>
      <c r="AB1743" s="11" t="inlineStr">
        <is>
          <t>name_year</t>
        </is>
      </c>
      <c r="AC1743" s="2" t="inlineStr"/>
      <c r="AD1743" s="2" t="inlineStr">
        <is>
          <t>New India Assurance Co. Ltd. v. Roshanben Rahemansha Fakir (2008) is reported as overruled by Bajaj Allianz General Insurance Co. Ltd. v. Rambha Devi (2024) (not yet confirmed by our reviewer).</t>
        </is>
      </c>
      <c r="AE1743" s="2" t="inlineStr"/>
      <c r="AF1743" s="11" t="inlineStr">
        <is>
          <t>created from list 2</t>
        </is>
      </c>
    </row>
    <row r="1744">
      <c r="A1744" s="11" t="inlineStr">
        <is>
          <t>L2-055</t>
        </is>
      </c>
      <c r="B1744" s="11" t="inlineStr">
        <is>
          <t>List 2 (after 2015)</t>
        </is>
      </c>
      <c r="C1744" s="11" t="inlineStr">
        <is>
          <t>list2</t>
        </is>
      </c>
      <c r="D1744" s="11" t="inlineStr">
        <is>
          <t>candidate</t>
        </is>
      </c>
      <c r="E1744" s="11" t="inlineStr">
        <is>
          <t>overruled</t>
        </is>
      </c>
      <c r="F1744" s="2" t="inlineStr">
        <is>
          <t>Oriental Insurance Co. Ltd. v. Angad Kol</t>
        </is>
      </c>
      <c r="G1744" s="11" t="inlineStr"/>
      <c r="H1744" s="11" t="inlineStr">
        <is>
          <t>Supreme Court</t>
        </is>
      </c>
      <c r="I1744" s="2" t="inlineStr">
        <is>
          <t>[2009] 2 SCR 695; (2009) 11 SCC 356</t>
        </is>
      </c>
      <c r="J1744" s="11" t="n">
        <v>2009</v>
      </c>
      <c r="K1744" s="2" t="inlineStr">
        <is>
          <t>Bajaj Allianz General Insurance Co. Ltd. v. Rambha Devi</t>
        </is>
      </c>
      <c r="L1744" s="11" t="inlineStr">
        <is>
          <t>Supreme Court</t>
        </is>
      </c>
      <c r="M1744" s="2" t="inlineStr">
        <is>
          <t>[2024] 11 S.C.R. 541</t>
        </is>
      </c>
      <c r="N1744" s="11" t="n">
        <v>2024</v>
      </c>
      <c r="O1744" s="11" t="inlineStr">
        <is>
          <t>2024-11-06</t>
        </is>
      </c>
      <c r="P1744" s="11" t="n">
        <v>5</v>
      </c>
      <c r="Q1744" s="11" t="inlineStr">
        <is>
          <t>b2024_11_541_640</t>
        </is>
      </c>
      <c r="R1744" s="2" t="inlineStr">
        <is>
          <t>same sentence as row 53</t>
        </is>
      </c>
      <c r="S1744" s="2" t="inlineStr">
        <is>
          <t>the view that a light motor vehicle licence holder needs a separate endorsement to drive a transport vehicle</t>
        </is>
      </c>
      <c r="T1744" s="11" t="inlineStr"/>
      <c r="U1744" s="11" t="inlineStr"/>
      <c r="V1744" s="11" t="inlineStr">
        <is>
          <t>judgment_text</t>
        </is>
      </c>
      <c r="W1744" s="11" t="inlineStr">
        <is>
          <t>B</t>
        </is>
      </c>
      <c r="X1744" s="11" t="inlineStr">
        <is>
          <t>Claude (reading the judgment in the collection), 2026-10-07; not a lawyer</t>
        </is>
      </c>
      <c r="Y1744" s="11" t="inlineStr">
        <is>
          <t>C</t>
        </is>
      </c>
      <c r="Z1744" s="11" t="n"/>
      <c r="AA1744" s="11" t="n"/>
      <c r="AB1744" s="11" t="inlineStr">
        <is>
          <t>name_year</t>
        </is>
      </c>
      <c r="AC1744" s="2" t="inlineStr"/>
      <c r="AD1744" s="2" t="inlineStr">
        <is>
          <t>Oriental Insurance Co. Ltd. v. Angad Kol (2009) is reported as overruled by Bajaj Allianz General Insurance Co. Ltd. v. Rambha Devi (2024) (not yet confirmed by our reviewer).</t>
        </is>
      </c>
      <c r="AE1744" s="2" t="inlineStr"/>
      <c r="AF1744" s="11" t="inlineStr">
        <is>
          <t>created from list 2</t>
        </is>
      </c>
    </row>
    <row r="1745">
      <c r="A1745" s="11" t="inlineStr">
        <is>
          <t>L2-056</t>
        </is>
      </c>
      <c r="B1745" s="11" t="inlineStr">
        <is>
          <t>List 2 (after 2015)</t>
        </is>
      </c>
      <c r="C1745" s="11" t="inlineStr">
        <is>
          <t>list2</t>
        </is>
      </c>
      <c r="D1745" s="11" t="inlineStr">
        <is>
          <t>candidate</t>
        </is>
      </c>
      <c r="E1745" s="11" t="inlineStr">
        <is>
          <t>overruled_in_part</t>
        </is>
      </c>
      <c r="F1745" s="2" t="inlineStr">
        <is>
          <t>National Insurance Co. Ltd. v. Annappa Irappa Nesaria</t>
        </is>
      </c>
      <c r="G1745" s="11" t="inlineStr">
        <is>
          <t>National Insurance Co. Ltd. v. Annappa Irappa</t>
        </is>
      </c>
      <c r="H1745" s="11" t="inlineStr">
        <is>
          <t>Supreme Court</t>
        </is>
      </c>
      <c r="I1745" s="2" t="inlineStr">
        <is>
          <t>[2008] 1 SCR 1061; (2008) 3 SCC 464</t>
        </is>
      </c>
      <c r="J1745" s="11" t="n">
        <v>2008</v>
      </c>
      <c r="K1745" s="2" t="inlineStr">
        <is>
          <t>Bajaj Allianz General Insurance Co. Ltd. v. Rambha Devi</t>
        </is>
      </c>
      <c r="L1745" s="11" t="inlineStr">
        <is>
          <t>Supreme Court</t>
        </is>
      </c>
      <c r="M1745" s="2" t="inlineStr">
        <is>
          <t>[2024] 11 S.C.R. 541</t>
        </is>
      </c>
      <c r="N1745" s="11" t="n">
        <v>2024</v>
      </c>
      <c r="O1745" s="11" t="inlineStr">
        <is>
          <t>2024-11-06</t>
        </is>
      </c>
      <c r="P1745" s="11" t="n">
        <v>5</v>
      </c>
      <c r="Q1745" s="11" t="inlineStr">
        <is>
          <t>b2024_11_541_640</t>
        </is>
      </c>
      <c r="R1745" s="2" t="inlineStr">
        <is>
          <t>We therefore partially overrule the decision in Annappa Irappa Nesaria for the view taken w.r.t the post-1994 amendment position</t>
        </is>
      </c>
      <c r="S1745" s="2" t="inlineStr">
        <is>
          <t>the view taken on the position after the 1994 amendment</t>
        </is>
      </c>
      <c r="T1745" s="11" t="inlineStr"/>
      <c r="U1745" s="11" t="inlineStr"/>
      <c r="V1745" s="11" t="inlineStr">
        <is>
          <t>judgment_text</t>
        </is>
      </c>
      <c r="W1745" s="11" t="inlineStr">
        <is>
          <t>B</t>
        </is>
      </c>
      <c r="X1745" s="11" t="inlineStr">
        <is>
          <t>Claude (reading the judgment in the collection), 2026-10-07; not a lawyer</t>
        </is>
      </c>
      <c r="Y1745" s="11" t="inlineStr">
        <is>
          <t>C</t>
        </is>
      </c>
      <c r="Z1745" s="11" t="n"/>
      <c r="AA1745" s="11" t="n"/>
      <c r="AB1745" s="11" t="inlineStr">
        <is>
          <t>name_year</t>
        </is>
      </c>
      <c r="AC1745" s="2" t="inlineStr"/>
      <c r="AD1745" s="2" t="inlineStr">
        <is>
          <t>National Insurance Co. Ltd. v. Annappa Irappa Nesaria (2008) is reported as overruled in part by Bajaj Allianz General Insurance Co. Ltd. v. Rambha Devi (2024) (the view taken on the position after the 1994 amendment) (not yet confirmed by our reviewer).</t>
        </is>
      </c>
      <c r="AE1745" s="2" t="inlineStr">
        <is>
          <t>Partly, as the list says.</t>
        </is>
      </c>
      <c r="AF1745" s="11" t="inlineStr">
        <is>
          <t>created from list 2</t>
        </is>
      </c>
    </row>
    <row r="1746">
      <c r="A1746" s="11" t="inlineStr">
        <is>
          <t>L2-057</t>
        </is>
      </c>
      <c r="B1746" s="11" t="inlineStr">
        <is>
          <t>List 2 (after 2015)</t>
        </is>
      </c>
      <c r="C1746" s="11" t="inlineStr">
        <is>
          <t>list2</t>
        </is>
      </c>
      <c r="D1746" s="11" t="inlineStr">
        <is>
          <t>candidate</t>
        </is>
      </c>
      <c r="E1746" s="11" t="inlineStr">
        <is>
          <t>overruled</t>
        </is>
      </c>
      <c r="F1746" s="2" t="inlineStr">
        <is>
          <t>N.N. Global Mercantile Pvt. Ltd. v. Indo Unique Flame Ltd.</t>
        </is>
      </c>
      <c r="G1746" s="11" t="inlineStr"/>
      <c r="H1746" s="11" t="inlineStr">
        <is>
          <t>Supreme Court</t>
        </is>
      </c>
      <c r="I1746" s="2" t="inlineStr">
        <is>
          <t>(2021) 4 SCC 379; [2021] 4 S.C.R. 933</t>
        </is>
      </c>
      <c r="J1746" s="11" t="n">
        <v>2021</v>
      </c>
      <c r="K1746" s="2" t="inlineStr">
        <is>
          <t>N.N. Global Mercantile Pvt. Ltd. v. Indo Unique Flame Ltd.</t>
        </is>
      </c>
      <c r="L1746" s="11" t="inlineStr">
        <is>
          <t>Supreme Court</t>
        </is>
      </c>
      <c r="M1746" s="2" t="inlineStr">
        <is>
          <t>(2023) 7 SCC 1; [2023] 9 S.C.R. 285</t>
        </is>
      </c>
      <c r="N1746" s="11" t="n">
        <v>2023</v>
      </c>
      <c r="O1746" s="11" t="inlineStr">
        <is>
          <t>2023-04-25</t>
        </is>
      </c>
      <c r="P1746" s="11" t="n">
        <v>5</v>
      </c>
      <c r="Q1746" s="11" t="inlineStr">
        <is>
          <t>b2023_9_285_492</t>
        </is>
      </c>
      <c r="R1746" s="2" t="inlineStr">
        <is>
          <t>[2023, 5 judges] N.N. Global (2021) 4 SCC 379 - overruled (majority); [7 judges, 13 Dec 2023] The decision in NN Global 2 and SMS Tea Estates are overruled</t>
        </is>
      </c>
      <c r="S1746" s="2" t="inlineStr">
        <is>
          <t>arbitration agreement in an unstamped instrument</t>
        </is>
      </c>
      <c r="T1746" s="11" t="inlineStr"/>
      <c r="U1746" s="11" t="inlineStr"/>
      <c r="V1746" s="11" t="inlineStr">
        <is>
          <t>judgment_text</t>
        </is>
      </c>
      <c r="W1746" s="11" t="inlineStr">
        <is>
          <t>B</t>
        </is>
      </c>
      <c r="X1746" s="11" t="inlineStr">
        <is>
          <t>Claude (reading the judgment in the collection), 2026-10-07; not a lawyer</t>
        </is>
      </c>
      <c r="Y1746" s="11" t="inlineStr">
        <is>
          <t>CN</t>
        </is>
      </c>
      <c r="Z1746" s="11" t="n"/>
      <c r="AA1746" s="11" t="n"/>
      <c r="AB1746" s="11" t="inlineStr">
        <is>
          <t>name_year</t>
        </is>
      </c>
      <c r="AC1746" s="2" t="inlineStr">
        <is>
          <t>D2-NNG2: overruled by In re: Interplay between Arbitration Agreements under the Arbitration and Conciliation Act 1996 and the Indian Stamp Act 1899 (2023)</t>
        </is>
      </c>
      <c r="AD1746" s="2" t="inlineStr">
        <is>
          <t>N.N. Global Mercantile Pvt. Ltd. v. Indo Unique Flame Ltd. (2021) is reported as overruled by N.N. Global Mercantile Pvt. Ltd. v. Indo Unique Flame Ltd. (2023) (not yet confirmed by our reviewer). Note: N.N. Global Mercantile Pvt. Ltd. v. Indo Unique Flame Ltd. was itself later overruled by In re: Interplay between Arbitration Agreements under the Arbitration and Conciliation Act 1996 and the Indian Stamp Act 1899 (2023); the current position should be checked.</t>
        </is>
      </c>
      <c r="AE1746" s="2" t="inlineStr">
        <is>
          <t>True as far as it goes: the 2023 majority (3:2; Rastogi J and Roy J dissenting) overruled the 2021 decision. But the 2023 decision was itself overruled by the 7-judge bench in In re Interplay (13 Dec 2023). The list omits that.</t>
        </is>
      </c>
      <c r="AF1746" s="11" t="inlineStr">
        <is>
          <t>created from list 2</t>
        </is>
      </c>
    </row>
    <row r="1747">
      <c r="A1747" s="11" t="inlineStr">
        <is>
          <t>L2-058</t>
        </is>
      </c>
      <c r="B1747" s="11" t="inlineStr">
        <is>
          <t>List 2 (after 2015)</t>
        </is>
      </c>
      <c r="C1747" s="11" t="inlineStr">
        <is>
          <t>list2</t>
        </is>
      </c>
      <c r="D1747" s="11" t="inlineStr">
        <is>
          <t>candidate</t>
        </is>
      </c>
      <c r="E1747" s="11" t="inlineStr">
        <is>
          <t>not_binding</t>
        </is>
      </c>
      <c r="F1747" s="2" t="inlineStr">
        <is>
          <t>State of Gujarat v. Choodamani Parmeshwaran Iyer</t>
        </is>
      </c>
      <c r="G1747" s="11" t="inlineStr">
        <is>
          <t>State of Gujarat v. Choodamani Parmeshwaran Iyer and Another</t>
        </is>
      </c>
      <c r="H1747" s="11" t="inlineStr">
        <is>
          <t>Supreme Court</t>
        </is>
      </c>
      <c r="I1747" s="2" t="inlineStr">
        <is>
          <t>[2023] 8 SCR 1139; 2023 SCC OnLine SC 1043</t>
        </is>
      </c>
      <c r="J1747" s="11" t="n">
        <v>2023</v>
      </c>
      <c r="K1747" s="2" t="inlineStr">
        <is>
          <t>Radhika Agarwal v. Union of India</t>
        </is>
      </c>
      <c r="L1747" s="11" t="inlineStr">
        <is>
          <t>Supreme Court</t>
        </is>
      </c>
      <c r="M1747" s="2" t="inlineStr">
        <is>
          <t>[2025] 2 S.C.R. 1331</t>
        </is>
      </c>
      <c r="N1747" s="11" t="n">
        <v>2025</v>
      </c>
      <c r="O1747" s="11" t="inlineStr">
        <is>
          <t>2025-02-27</t>
        </is>
      </c>
      <c r="P1747" s="11" t="n">
        <v>3</v>
      </c>
      <c r="Q1747" s="11" t="inlineStr">
        <is>
          <t>b2025_2_1331_1395</t>
        </is>
      </c>
      <c r="R1747" s="2" t="inlineStr">
        <is>
          <t>Some decisions of this Court in the context of GST Acts which are contrary to the aforesaid ratio should not be treated as binding</t>
        </is>
      </c>
      <c r="S1747" s="2" t="inlineStr">
        <is>
          <t>GST decisions contrary to the anticipatory-bail ratio of Sushila Aggarwal</t>
        </is>
      </c>
      <c r="T1747" s="11" t="inlineStr"/>
      <c r="U1747" s="11" t="inlineStr"/>
      <c r="V1747" s="11" t="inlineStr">
        <is>
          <t>judgment_text</t>
        </is>
      </c>
      <c r="W1747" s="11" t="inlineStr">
        <is>
          <t>B</t>
        </is>
      </c>
      <c r="X1747" s="11" t="inlineStr">
        <is>
          <t>Claude (reading the judgment in the collection), 2026-10-07; not a lawyer</t>
        </is>
      </c>
      <c r="Y1747" s="11" t="inlineStr">
        <is>
          <t>P</t>
        </is>
      </c>
      <c r="Z1747" s="11" t="n"/>
      <c r="AA1747" s="11" t="n"/>
      <c r="AB1747" s="11" t="inlineStr">
        <is>
          <t>name_year</t>
        </is>
      </c>
      <c r="AC1747" s="2" t="inlineStr"/>
      <c r="AD1747" s="2" t="inlineStr">
        <is>
          <t>State of Gujarat v. Choodamani Parmeshwaran Iyer (2023) is reported as held not to be a binding precedent in Radhika Agarwal v. Union of India (2025) (GST decisions contrary to the anticipatory-bail ratio of Sushila Aggarwal) (not yet confirmed by our reviewer).</t>
        </is>
      </c>
      <c r="AE1747" s="2" t="inlineStr">
        <is>
          <t>3-judge bench on 2-judge decisions. 'Should not be treated as binding', not 'overruled'; the list itself hedges the label.</t>
        </is>
      </c>
      <c r="AF1747" s="11" t="inlineStr">
        <is>
          <t>created from list 2</t>
        </is>
      </c>
    </row>
    <row r="1748">
      <c r="A1748" s="11" t="inlineStr">
        <is>
          <t>L2-059</t>
        </is>
      </c>
      <c r="B1748" s="11" t="inlineStr">
        <is>
          <t>List 2 (after 2015)</t>
        </is>
      </c>
      <c r="C1748" s="11" t="inlineStr">
        <is>
          <t>list2</t>
        </is>
      </c>
      <c r="D1748" s="11" t="inlineStr">
        <is>
          <t>candidate</t>
        </is>
      </c>
      <c r="E1748" s="11" t="inlineStr">
        <is>
          <t>not_binding</t>
        </is>
      </c>
      <c r="F1748" s="2" t="inlineStr">
        <is>
          <t>Bharat Bhushan v. Director General of GST Intelligence</t>
        </is>
      </c>
      <c r="G1748" s="11" t="inlineStr">
        <is>
          <t>Bharat Bhushan v. Director General of GST Intelligence, Nagpur Zonal Unit</t>
        </is>
      </c>
      <c r="H1748" s="11" t="inlineStr">
        <is>
          <t>Supreme Court</t>
        </is>
      </c>
      <c r="I1748" s="2" t="inlineStr"/>
      <c r="J1748" s="11" t="n">
        <v>2024</v>
      </c>
      <c r="K1748" s="2" t="inlineStr">
        <is>
          <t>Radhika Agarwal v. Union of India</t>
        </is>
      </c>
      <c r="L1748" s="11" t="inlineStr">
        <is>
          <t>Supreme Court</t>
        </is>
      </c>
      <c r="M1748" s="2" t="inlineStr">
        <is>
          <t>[2025] 2 S.C.R. 1331</t>
        </is>
      </c>
      <c r="N1748" s="11" t="n">
        <v>2025</v>
      </c>
      <c r="O1748" s="11" t="inlineStr">
        <is>
          <t>2025-02-27</t>
        </is>
      </c>
      <c r="P1748" s="11" t="n">
        <v>3</v>
      </c>
      <c r="Q1748" s="11" t="inlineStr">
        <is>
          <t>b2025_2_1331_1395</t>
        </is>
      </c>
      <c r="R1748" s="2" t="inlineStr">
        <is>
          <t>same sentence as row 58</t>
        </is>
      </c>
      <c r="S1748" s="2" t="inlineStr">
        <is>
          <t>GST decisions contrary to the anticipatory-bail ratio of Sushila Aggarwal; an SLP order (SLP (Crl.) No. 8525/2024)</t>
        </is>
      </c>
      <c r="T1748" s="11" t="inlineStr"/>
      <c r="U1748" s="11" t="inlineStr">
        <is>
          <t>order_not_judgment</t>
        </is>
      </c>
      <c r="V1748" s="11" t="inlineStr">
        <is>
          <t>judgment_text</t>
        </is>
      </c>
      <c r="W1748" s="11" t="inlineStr">
        <is>
          <t>B</t>
        </is>
      </c>
      <c r="X1748" s="11" t="inlineStr">
        <is>
          <t>Claude (reading the judgment in the collection), 2026-10-07; not a lawyer</t>
        </is>
      </c>
      <c r="Y1748" s="11" t="inlineStr">
        <is>
          <t>P</t>
        </is>
      </c>
      <c r="Z1748" s="11" t="n"/>
      <c r="AA1748" s="11" t="n"/>
      <c r="AB1748" s="11" t="inlineStr">
        <is>
          <t>name_year</t>
        </is>
      </c>
      <c r="AC1748" s="2" t="inlineStr"/>
      <c r="AD1748" s="2" t="inlineStr">
        <is>
          <t>Bharat Bhushan v. Director General of GST Intelligence (2024) is reported as held not to be a binding precedent in Radhika Agarwal v. Union of India (2025) (GST decisions contrary to the anticipatory-bail ratio of Sushila Aggarwal; an SLP order (SLP (Crl.) No. 8525/2024)) (not yet confirmed by our reviewer).</t>
        </is>
      </c>
      <c r="AE1748" s="2" t="inlineStr">
        <is>
          <t>Bharat Bhushan is an SLP order (SLP (Crl.) 8525/2024), not found in our collection as a judgment.</t>
        </is>
      </c>
      <c r="AF1748" s="11" t="inlineStr">
        <is>
          <t>created from list 2</t>
        </is>
      </c>
    </row>
    <row r="1749">
      <c r="A1749" s="11" t="inlineStr">
        <is>
          <t>D2-BHANUDAS</t>
        </is>
      </c>
      <c r="B1749" s="11" t="inlineStr">
        <is>
          <t>List 2 sibling</t>
        </is>
      </c>
      <c r="C1749" s="11" t="inlineStr">
        <is>
          <t>list2_sibling</t>
        </is>
      </c>
      <c r="D1749" s="11" t="inlineStr">
        <is>
          <t>candidate</t>
        </is>
      </c>
      <c r="E1749" s="11" t="inlineStr">
        <is>
          <t>overruled</t>
        </is>
      </c>
      <c r="F1749" s="2" t="inlineStr">
        <is>
          <t>Union of India v. Bhanudas Krishna Gawde</t>
        </is>
      </c>
      <c r="G1749" s="11" t="inlineStr"/>
      <c r="H1749" s="11" t="inlineStr">
        <is>
          <t>Supreme Court</t>
        </is>
      </c>
      <c r="I1749" s="2" t="inlineStr">
        <is>
          <t>(1977) 1 SCC 834; [1977] 2 SCR 719</t>
        </is>
      </c>
      <c r="J1749" s="11" t="n">
        <v>1977</v>
      </c>
      <c r="K1749" s="2" t="inlineStr">
        <is>
          <t>K.S. Puttaswamy (Retd.) v. Union of India</t>
        </is>
      </c>
      <c r="L1749" s="11" t="inlineStr">
        <is>
          <t>Supreme Court</t>
        </is>
      </c>
      <c r="M1749" s="2" t="inlineStr">
        <is>
          <t>(2017) 10 SCC 1; [2017] 10 S.C.R. 569</t>
        </is>
      </c>
      <c r="N1749" s="11" t="n">
        <v>2017</v>
      </c>
      <c r="O1749" s="11" t="inlineStr">
        <is>
          <t>2017-08-24</t>
        </is>
      </c>
      <c r="P1749" s="11" t="n">
        <v>9</v>
      </c>
      <c r="Q1749" s="11" t="inlineStr">
        <is>
          <t>b2017_10_569_999</t>
        </is>
      </c>
      <c r="R1749" s="2" t="inlineStr">
        <is>
          <t>We also overrule the decision in Union of India v Bhanudas Krishna Gawde, which followed ADM Jabalpur</t>
        </is>
      </c>
      <c r="S1749" s="2" t="inlineStr">
        <is>
          <t>followed ADM Jabalpur</t>
        </is>
      </c>
      <c r="T1749" s="11" t="inlineStr"/>
      <c r="U1749" s="11" t="inlineStr"/>
      <c r="V1749" s="11" t="inlineStr">
        <is>
          <t>judgment_text</t>
        </is>
      </c>
      <c r="W1749" s="11" t="inlineStr">
        <is>
          <t>B</t>
        </is>
      </c>
      <c r="X1749" s="11" t="inlineStr">
        <is>
          <t>Claude (reading the judgment in the collection), 2026-10-07; not a lawyer</t>
        </is>
      </c>
      <c r="Y1749" s="11" t="n"/>
      <c r="Z1749" s="11" t="n"/>
      <c r="AA1749" s="11" t="n"/>
      <c r="AB1749" s="11" t="inlineStr">
        <is>
          <t>name_year</t>
        </is>
      </c>
      <c r="AC1749" s="2" t="inlineStr"/>
      <c r="AD1749" s="2" t="inlineStr">
        <is>
          <t>Union of India v. Bhanudas Krishna Gawde (1977) is reported as overruled by K.S. Puttaswamy (Retd.) v. Union of India (2017) (not yet confirmed by our reviewer).</t>
        </is>
      </c>
      <c r="AE1749" s="2" t="inlineStr">
        <is>
          <t>Omitted by list 2; same judgment as rows 1 to 3.</t>
        </is>
      </c>
      <c r="AF1749" s="11" t="inlineStr">
        <is>
          <t>created from sibling decision found in the same judgment</t>
        </is>
      </c>
    </row>
    <row r="1750">
      <c r="A1750" s="11" t="inlineStr">
        <is>
          <t>D2-PRABHULAL-2017</t>
        </is>
      </c>
      <c r="B1750" s="11" t="inlineStr">
        <is>
          <t>List 2 sibling</t>
        </is>
      </c>
      <c r="C1750" s="11" t="inlineStr">
        <is>
          <t>list2_sibling</t>
        </is>
      </c>
      <c r="D1750" s="11" t="inlineStr">
        <is>
          <t>candidate</t>
        </is>
      </c>
      <c r="E1750" s="11" t="inlineStr">
        <is>
          <t>overruled</t>
        </is>
      </c>
      <c r="F1750" s="2" t="inlineStr">
        <is>
          <t>New India Assurance Co. Ltd. v. Prabhu Lal</t>
        </is>
      </c>
      <c r="G1750" s="11" t="inlineStr">
        <is>
          <t>New India Assurance Company v. Prabhu Lal</t>
        </is>
      </c>
      <c r="H1750" s="11" t="inlineStr">
        <is>
          <t>Supreme Court</t>
        </is>
      </c>
      <c r="I1750" s="2" t="inlineStr">
        <is>
          <t>[2007] 12 SCR 724; (2008) 1 SCC 696</t>
        </is>
      </c>
      <c r="J1750" s="11" t="n">
        <v>2008</v>
      </c>
      <c r="K1750" s="2" t="inlineStr">
        <is>
          <t>Mukund Dewangan v. Oriental Insurance Co. Ltd.</t>
        </is>
      </c>
      <c r="L1750" s="11" t="inlineStr">
        <is>
          <t>Supreme Court</t>
        </is>
      </c>
      <c r="M1750" s="2" t="inlineStr">
        <is>
          <t>(2017) 14 SCC 663; [2017] 7 S.C.R. 765</t>
        </is>
      </c>
      <c r="N1750" s="11" t="n">
        <v>2017</v>
      </c>
      <c r="O1750" s="11" t="inlineStr">
        <is>
          <t>2017-07-03</t>
        </is>
      </c>
      <c r="P1750" s="11" t="n">
        <v>3</v>
      </c>
      <c r="Q1750" s="11" t="inlineStr">
        <is>
          <t>b2017_7_765_822</t>
        </is>
      </c>
      <c r="R1750" s="2" t="inlineStr">
        <is>
          <t>the decision in Prabhu Lal does not lay down correct proposition of law and is hereby overruled</t>
        </is>
      </c>
      <c r="S1750" s="2" t="inlineStr">
        <is>
          <t>the view that a light motor vehicle licence holder needs a separate endorsement to drive a transport vehicle</t>
        </is>
      </c>
      <c r="T1750" s="11" t="inlineStr"/>
      <c r="U1750" s="11" t="inlineStr"/>
      <c r="V1750" s="11" t="inlineStr">
        <is>
          <t>judgment_text</t>
        </is>
      </c>
      <c r="W1750" s="11" t="inlineStr">
        <is>
          <t>B</t>
        </is>
      </c>
      <c r="X1750" s="11" t="inlineStr">
        <is>
          <t>Claude (reading the judgment in the collection), 2026-10-07; not a lawyer</t>
        </is>
      </c>
      <c r="Y1750" s="11" t="n"/>
      <c r="Z1750" s="11" t="n"/>
      <c r="AA1750" s="11" t="n"/>
      <c r="AB1750" s="11" t="inlineStr">
        <is>
          <t>name_year</t>
        </is>
      </c>
      <c r="AC1750" s="2" t="inlineStr"/>
      <c r="AD1750" s="2" t="inlineStr">
        <is>
          <t>New India Assurance Co. Ltd. v. Prabhu Lal (2008) is reported as overruled by Mukund Dewangan v. Oriental Insurance Co. Ltd. (2017) (not yet confirmed by our reviewer).</t>
        </is>
      </c>
      <c r="AE1750" s="2" t="inlineStr">
        <is>
          <t>First overruling (3 judges, 2017); the 5-judge bench of 2024 overruled it again (row 53). Found by a scan; not in list 2.</t>
        </is>
      </c>
      <c r="AF1750" s="11" t="inlineStr">
        <is>
          <t>created from sibling decision found in the same judgment</t>
        </is>
      </c>
    </row>
    <row r="1751">
      <c r="A1751" s="11" t="inlineStr">
        <is>
          <t>D2-SREEBALAJI-2018</t>
        </is>
      </c>
      <c r="B1751" s="11" t="inlineStr">
        <is>
          <t>List 2 sibling</t>
        </is>
      </c>
      <c r="C1751" s="11" t="inlineStr">
        <is>
          <t>list2_sibling</t>
        </is>
      </c>
      <c r="D1751" s="11" t="inlineStr">
        <is>
          <t>candidate</t>
        </is>
      </c>
      <c r="E1751" s="11" t="inlineStr">
        <is>
          <t>overruled</t>
        </is>
      </c>
      <c r="F1751" s="2" t="inlineStr">
        <is>
          <t>Sree Balaji Nagar Residential Association v. State of Tamil Nadu</t>
        </is>
      </c>
      <c r="G1751" s="11" t="inlineStr">
        <is>
          <t>Sree Balaji Nagar Residents Association v. State of Tamil Nadu; Shree Balaji Nagar Residential Association v. State of Tamil Nadu</t>
        </is>
      </c>
      <c r="H1751" s="11" t="inlineStr">
        <is>
          <t>Supreme Court</t>
        </is>
      </c>
      <c r="I1751" s="2" t="inlineStr">
        <is>
          <t>(2015) 3 SCC 353; [2014] 7 SCR 799</t>
        </is>
      </c>
      <c r="J1751" s="11" t="n">
        <v>2015</v>
      </c>
      <c r="K1751" s="2" t="inlineStr">
        <is>
          <t>Indore Development Authority v. Shailendra (Dead) through LRs.</t>
        </is>
      </c>
      <c r="L1751" s="11" t="inlineStr">
        <is>
          <t>Supreme Court</t>
        </is>
      </c>
      <c r="M1751" s="2" t="inlineStr">
        <is>
          <t>[2018] 2 S.C.R. 1</t>
        </is>
      </c>
      <c r="N1751" s="11" t="n">
        <v>2018</v>
      </c>
      <c r="O1751" s="11" t="inlineStr">
        <is>
          <t>2018-02-08</t>
        </is>
      </c>
      <c r="P1751" s="11" t="n">
        <v>3</v>
      </c>
      <c r="Q1751" s="11" t="inlineStr">
        <is>
          <t>b2018_2_1_231</t>
        </is>
      </c>
      <c r="R1751" s="2" t="inlineStr">
        <is>
          <t>The decision in Shree Balaji (supra) cannot be said to be laying down good law, is overruled</t>
        </is>
      </c>
      <c r="S1751" s="2" t="inlineStr">
        <is>
          <t>the reading of section 24(2) of the 2013 Act on lapse of acquisition</t>
        </is>
      </c>
      <c r="T1751" s="11" t="inlineStr"/>
      <c r="U1751" s="11" t="inlineStr"/>
      <c r="V1751" s="11" t="inlineStr">
        <is>
          <t>judgment_text</t>
        </is>
      </c>
      <c r="W1751" s="11" t="inlineStr">
        <is>
          <t>B</t>
        </is>
      </c>
      <c r="X1751" s="11" t="inlineStr">
        <is>
          <t>Claude (reading the judgment in the collection), 2026-10-07; not a lawyer</t>
        </is>
      </c>
      <c r="Y1751" s="11" t="n"/>
      <c r="Z1751" s="11" t="n"/>
      <c r="AA1751" s="11" t="n"/>
      <c r="AB1751" s="11" t="inlineStr">
        <is>
          <t>name_year</t>
        </is>
      </c>
      <c r="AC1751" s="2" t="inlineStr"/>
      <c r="AD1751" s="2" t="inlineStr">
        <is>
          <t>Sree Balaji Nagar Residential Association v. State of Tamil Nadu (2015) is reported as overruled by Indore Development Authority v. Shailendra (Dead) through LRs. (2018) (not yet confirmed by our reviewer).</t>
        </is>
      </c>
      <c r="AE1751" s="2" t="inlineStr">
        <is>
          <t>First overruling (3 judges, 2018); the 5-judge bench of 2020 overruled it again (row 42). Shailendra's own treatment of the proviso to section 24(2) was later said by the 5-judge bench not to have been argued (check its status). Found by a scan; not in list 2.</t>
        </is>
      </c>
      <c r="AF1751" s="11" t="inlineStr">
        <is>
          <t>created from sibling decision found in the same judgment</t>
        </is>
      </c>
    </row>
    <row r="1752">
      <c r="A1752" s="11" t="inlineStr">
        <is>
          <t>D2-KADER</t>
        </is>
      </c>
      <c r="B1752" s="11" t="inlineStr">
        <is>
          <t>List 2 sibling</t>
        </is>
      </c>
      <c r="C1752" s="11" t="inlineStr">
        <is>
          <t>list2_sibling</t>
        </is>
      </c>
      <c r="D1752" s="11" t="inlineStr">
        <is>
          <t>candidate</t>
        </is>
      </c>
      <c r="E1752" s="11" t="inlineStr">
        <is>
          <t>overruled</t>
        </is>
      </c>
      <c r="F1752" s="2" t="inlineStr">
        <is>
          <t>Kader v. State of Kerala</t>
        </is>
      </c>
      <c r="G1752" s="11" t="inlineStr"/>
      <c r="H1752" s="11" t="inlineStr">
        <is>
          <t>High Court</t>
        </is>
      </c>
      <c r="I1752" s="2" t="inlineStr">
        <is>
          <t>2001 CriLJ 4044</t>
        </is>
      </c>
      <c r="J1752" s="11" t="n">
        <v>2001</v>
      </c>
      <c r="K1752" s="2" t="inlineStr">
        <is>
          <t>Mohanlal v. State of Punjab</t>
        </is>
      </c>
      <c r="L1752" s="11" t="inlineStr">
        <is>
          <t>Supreme Court</t>
        </is>
      </c>
      <c r="M1752" s="2" t="inlineStr">
        <is>
          <t>(2018) 17 SCC 627; [2018] 9 S.C.R. 1006</t>
        </is>
      </c>
      <c r="N1752" s="11" t="n">
        <v>2018</v>
      </c>
      <c r="O1752" s="11" t="inlineStr">
        <is>
          <t>2018-08-16</t>
        </is>
      </c>
      <c r="P1752" s="11" t="n">
        <v>3</v>
      </c>
      <c r="Q1752" s="11" t="inlineStr">
        <is>
          <t>b2018_9_1006_1023</t>
        </is>
      </c>
      <c r="R1752" s="2" t="inlineStr">
        <is>
          <t>The view taken by the Kerala High Court in Kader does not meet our approval</t>
        </is>
      </c>
      <c r="S1752" s="2" t="inlineStr">
        <is>
          <t>an informant who is also the investigator under the NDPS Act</t>
        </is>
      </c>
      <c r="T1752" s="11" t="inlineStr"/>
      <c r="U1752" s="11" t="inlineStr">
        <is>
          <t>needs_citation_or_year</t>
        </is>
      </c>
      <c r="V1752" s="11" t="inlineStr">
        <is>
          <t>judgment_text</t>
        </is>
      </c>
      <c r="W1752" s="11" t="inlineStr">
        <is>
          <t>B</t>
        </is>
      </c>
      <c r="X1752" s="11" t="inlineStr">
        <is>
          <t>Claude (reading the judgment in the collection), 2026-10-07; not a lawyer</t>
        </is>
      </c>
      <c r="Y1752" s="11" t="n"/>
      <c r="Z1752" s="11" t="n"/>
      <c r="AA1752" s="11" t="n"/>
      <c r="AB1752" s="11" t="inlineStr">
        <is>
          <t>none</t>
        </is>
      </c>
      <c r="AC1752" s="2" t="inlineStr">
        <is>
          <t>L2-034: overruled by Mukesh Singh v. State (Narcotic Branch of Delhi) (2020)</t>
        </is>
      </c>
      <c r="AD1752" s="2" t="inlineStr">
        <is>
          <t>Kader v. State of Kerala (2001) is reported as overruled by Mohanlal v. State of Punjab (2018) (not yet confirmed by our reviewer). Note: Mohanlal v. State of Punjab was itself later overruled by Mukesh Singh v. State (Narcotic Branch of Delhi) (2020); the current position should be checked.</t>
        </is>
      </c>
      <c r="AE1752" s="2" t="inlineStr">
        <is>
          <t>A High Court decision (Division Bench). Found in the same judgment as row 34.</t>
        </is>
      </c>
      <c r="AF1752" s="11" t="inlineStr">
        <is>
          <t>created from sibling decision found in the same judgment</t>
        </is>
      </c>
    </row>
    <row r="1753">
      <c r="A1753" s="11" t="inlineStr">
        <is>
          <t>D2-ORISSACEMENT</t>
        </is>
      </c>
      <c r="B1753" s="11" t="inlineStr">
        <is>
          <t>List 2 sibling</t>
        </is>
      </c>
      <c r="C1753" s="11" t="inlineStr">
        <is>
          <t>list2_sibling</t>
        </is>
      </c>
      <c r="D1753" s="11" t="inlineStr">
        <is>
          <t>candidate</t>
        </is>
      </c>
      <c r="E1753" s="11" t="inlineStr">
        <is>
          <t>overruled_in_part</t>
        </is>
      </c>
      <c r="F1753" s="2" t="inlineStr">
        <is>
          <t>Orissa Cement Ltd. v. State of Orissa</t>
        </is>
      </c>
      <c r="G1753" s="11" t="inlineStr"/>
      <c r="H1753" s="11" t="inlineStr">
        <is>
          <t>Supreme Court</t>
        </is>
      </c>
      <c r="I1753" s="2" t="inlineStr">
        <is>
          <t>[1991] 2 SCR 105; (1991) Supp 1 SCC 430</t>
        </is>
      </c>
      <c r="J1753" s="11" t="n">
        <v>1991</v>
      </c>
      <c r="K1753" s="2" t="inlineStr">
        <is>
          <t>Mineral Area Development Authority v. Steel Authority of India</t>
        </is>
      </c>
      <c r="L1753" s="11" t="inlineStr">
        <is>
          <t>Supreme Court</t>
        </is>
      </c>
      <c r="M1753" s="2" t="inlineStr">
        <is>
          <t>[2024] 7 S.C.R. 1549</t>
        </is>
      </c>
      <c r="N1753" s="11" t="n">
        <v>2024</v>
      </c>
      <c r="O1753" s="11" t="inlineStr">
        <is>
          <t>2024-07-25</t>
        </is>
      </c>
      <c r="P1753" s="11" t="n">
        <v>9</v>
      </c>
      <c r="Q1753" s="11" t="inlineStr">
        <is>
          <t>b2024_7_1549_1846</t>
        </is>
      </c>
      <c r="R1753" s="2" t="inlineStr">
        <is>
          <t>overruled to the extent of the observations made in the present case</t>
        </is>
      </c>
      <c r="S1753" s="2" t="inlineStr">
        <is>
          <t>to the extent of the observations made in the present case</t>
        </is>
      </c>
      <c r="T1753" s="11" t="inlineStr"/>
      <c r="U1753" s="11" t="inlineStr"/>
      <c r="V1753" s="11" t="inlineStr">
        <is>
          <t>judgment_text</t>
        </is>
      </c>
      <c r="W1753" s="11" t="inlineStr">
        <is>
          <t>B</t>
        </is>
      </c>
      <c r="X1753" s="11" t="inlineStr">
        <is>
          <t>Claude (reading the judgment in the collection), 2026-10-07; not a lawyer</t>
        </is>
      </c>
      <c r="Y1753" s="11" t="n"/>
      <c r="Z1753" s="11" t="n"/>
      <c r="AA1753" s="11" t="n"/>
      <c r="AB1753" s="11" t="inlineStr">
        <is>
          <t>citation</t>
        </is>
      </c>
      <c r="AC1753" s="2" t="inlineStr"/>
      <c r="AD1753" s="2" t="inlineStr">
        <is>
          <t>Orissa Cement Ltd. v. State of Orissa (1991) is reported as overruled in part by Mineral Area Development Authority v. Steel Authority of India (2024) (to the extent of the observations made in the present case) (not yet confirmed by our reviewer).</t>
        </is>
      </c>
      <c r="AE1753" s="2" t="inlineStr">
        <is>
          <t>One of six decisions overruled in the same paragraph as India Cement (row 50); list 2 names only India Cement.</t>
        </is>
      </c>
      <c r="AF1753" s="11" t="inlineStr">
        <is>
          <t>created from sibling decision found in the same judgment</t>
        </is>
      </c>
    </row>
    <row r="1754">
      <c r="A1754" s="11" t="inlineStr">
        <is>
          <t>D2-FEDMINING</t>
        </is>
      </c>
      <c r="B1754" s="11" t="inlineStr">
        <is>
          <t>List 2 sibling</t>
        </is>
      </c>
      <c r="C1754" s="11" t="inlineStr">
        <is>
          <t>list2_sibling</t>
        </is>
      </c>
      <c r="D1754" s="11" t="inlineStr">
        <is>
          <t>candidate</t>
        </is>
      </c>
      <c r="E1754" s="11" t="inlineStr">
        <is>
          <t>overruled_in_part</t>
        </is>
      </c>
      <c r="F1754" s="2" t="inlineStr">
        <is>
          <t>Federation of Mining Associations of Rajasthan v. State of Rajasthan</t>
        </is>
      </c>
      <c r="G1754" s="11" t="inlineStr"/>
      <c r="H1754" s="11" t="inlineStr">
        <is>
          <t>Supreme Court</t>
        </is>
      </c>
      <c r="I1754" s="2" t="inlineStr">
        <is>
          <t>(1992) Supp 2 SCC 239</t>
        </is>
      </c>
      <c r="J1754" s="11" t="n">
        <v>1992</v>
      </c>
      <c r="K1754" s="2" t="inlineStr">
        <is>
          <t>Mineral Area Development Authority v. Steel Authority of India</t>
        </is>
      </c>
      <c r="L1754" s="11" t="inlineStr">
        <is>
          <t>Supreme Court</t>
        </is>
      </c>
      <c r="M1754" s="2" t="inlineStr">
        <is>
          <t>[2024] 7 S.C.R. 1549</t>
        </is>
      </c>
      <c r="N1754" s="11" t="n">
        <v>2024</v>
      </c>
      <c r="O1754" s="11" t="inlineStr">
        <is>
          <t>2024-07-25</t>
        </is>
      </c>
      <c r="P1754" s="11" t="n">
        <v>9</v>
      </c>
      <c r="Q1754" s="11" t="inlineStr">
        <is>
          <t>b2024_7_1549_1846</t>
        </is>
      </c>
      <c r="R1754" s="2" t="inlineStr">
        <is>
          <t>overruled to the extent of the observations made in the present case</t>
        </is>
      </c>
      <c r="S1754" s="2" t="inlineStr">
        <is>
          <t>to the extent of the observations made in the present case</t>
        </is>
      </c>
      <c r="T1754" s="11" t="inlineStr"/>
      <c r="U1754" s="11" t="inlineStr"/>
      <c r="V1754" s="11" t="inlineStr">
        <is>
          <t>judgment_text</t>
        </is>
      </c>
      <c r="W1754" s="11" t="inlineStr">
        <is>
          <t>B</t>
        </is>
      </c>
      <c r="X1754" s="11" t="inlineStr">
        <is>
          <t>Claude (reading the judgment in the collection), 2026-10-07; not a lawyer</t>
        </is>
      </c>
      <c r="Y1754" s="11" t="n"/>
      <c r="Z1754" s="11" t="n"/>
      <c r="AA1754" s="11" t="n"/>
      <c r="AB1754" s="11" t="inlineStr">
        <is>
          <t>name_year</t>
        </is>
      </c>
      <c r="AC1754" s="2" t="inlineStr"/>
      <c r="AD1754" s="2" t="inlineStr">
        <is>
          <t>Federation of Mining Associations of Rajasthan v. State of Rajasthan (1992) is reported as overruled in part by Mineral Area Development Authority v. Steel Authority of India (2024) (to the extent of the observations made in the present case) (not yet confirmed by our reviewer).</t>
        </is>
      </c>
      <c r="AE1754" s="2" t="inlineStr">
        <is>
          <t>As above.</t>
        </is>
      </c>
      <c r="AF1754" s="11" t="inlineStr">
        <is>
          <t>created from sibling decision found in the same judgment</t>
        </is>
      </c>
    </row>
    <row r="1755">
      <c r="A1755" s="11" t="inlineStr">
        <is>
          <t>D2-MAHALAXMI</t>
        </is>
      </c>
      <c r="B1755" s="11" t="inlineStr">
        <is>
          <t>List 2 sibling</t>
        </is>
      </c>
      <c r="C1755" s="11" t="inlineStr">
        <is>
          <t>list2_sibling</t>
        </is>
      </c>
      <c r="D1755" s="11" t="inlineStr">
        <is>
          <t>candidate</t>
        </is>
      </c>
      <c r="E1755" s="11" t="inlineStr">
        <is>
          <t>overruled_in_part</t>
        </is>
      </c>
      <c r="F1755" s="2" t="inlineStr">
        <is>
          <t>State of M.P. v. Mahalaxmi Fabric Mills Ltd.</t>
        </is>
      </c>
      <c r="G1755" s="11" t="inlineStr">
        <is>
          <t>State of Madhya Pradesh v. Mahalaxmi Fabric Mills Ltd.</t>
        </is>
      </c>
      <c r="H1755" s="11" t="inlineStr">
        <is>
          <t>Supreme Court</t>
        </is>
      </c>
      <c r="I1755" s="2" t="inlineStr">
        <is>
          <t>[1995] 1 SCR 756; (1995) Supp 1 SCC 642</t>
        </is>
      </c>
      <c r="J1755" s="11" t="n">
        <v>1995</v>
      </c>
      <c r="K1755" s="2" t="inlineStr">
        <is>
          <t>Mineral Area Development Authority v. Steel Authority of India</t>
        </is>
      </c>
      <c r="L1755" s="11" t="inlineStr">
        <is>
          <t>Supreme Court</t>
        </is>
      </c>
      <c r="M1755" s="2" t="inlineStr">
        <is>
          <t>[2024] 7 S.C.R. 1549</t>
        </is>
      </c>
      <c r="N1755" s="11" t="n">
        <v>2024</v>
      </c>
      <c r="O1755" s="11" t="inlineStr">
        <is>
          <t>2024-07-25</t>
        </is>
      </c>
      <c r="P1755" s="11" t="n">
        <v>9</v>
      </c>
      <c r="Q1755" s="11" t="inlineStr">
        <is>
          <t>b2024_7_1549_1846</t>
        </is>
      </c>
      <c r="R1755" s="2" t="inlineStr">
        <is>
          <t>overruled to the extent of the observations made in the present case</t>
        </is>
      </c>
      <c r="S1755" s="2" t="inlineStr">
        <is>
          <t>to the extent of the observations made in the present case</t>
        </is>
      </c>
      <c r="T1755" s="11" t="inlineStr"/>
      <c r="U1755" s="11" t="inlineStr"/>
      <c r="V1755" s="11" t="inlineStr">
        <is>
          <t>judgment_text</t>
        </is>
      </c>
      <c r="W1755" s="11" t="inlineStr">
        <is>
          <t>B</t>
        </is>
      </c>
      <c r="X1755" s="11" t="inlineStr">
        <is>
          <t>Claude (reading the judgment in the collection), 2026-10-07; not a lawyer</t>
        </is>
      </c>
      <c r="Y1755" s="11" t="n"/>
      <c r="Z1755" s="11" t="n"/>
      <c r="AA1755" s="11" t="n"/>
      <c r="AB1755" s="11" t="inlineStr">
        <is>
          <t>name_year</t>
        </is>
      </c>
      <c r="AC1755" s="2" t="inlineStr"/>
      <c r="AD1755" s="2" t="inlineStr">
        <is>
          <t>State of M.P. v. Mahalaxmi Fabric Mills Ltd. (1995) is reported as overruled in part by Mineral Area Development Authority v. Steel Authority of India (2024) (to the extent of the observations made in the present case) (not yet confirmed by our reviewer).</t>
        </is>
      </c>
      <c r="AE1755" s="2" t="inlineStr">
        <is>
          <t>As above.</t>
        </is>
      </c>
      <c r="AF1755" s="11" t="inlineStr">
        <is>
          <t>created from sibling decision found in the same judgment</t>
        </is>
      </c>
    </row>
    <row r="1756">
      <c r="A1756" s="11" t="inlineStr">
        <is>
          <t>D2-SAURASHTRA</t>
        </is>
      </c>
      <c r="B1756" s="11" t="inlineStr">
        <is>
          <t>List 2 sibling</t>
        </is>
      </c>
      <c r="C1756" s="11" t="inlineStr">
        <is>
          <t>list2_sibling</t>
        </is>
      </c>
      <c r="D1756" s="11" t="inlineStr">
        <is>
          <t>candidate</t>
        </is>
      </c>
      <c r="E1756" s="11" t="inlineStr">
        <is>
          <t>overruled_in_part</t>
        </is>
      </c>
      <c r="F1756" s="2" t="inlineStr">
        <is>
          <t>Saurashtra Cement &amp; Chemical Industries Ltd. v. Union of India</t>
        </is>
      </c>
      <c r="G1756" s="11" t="inlineStr">
        <is>
          <t>Saurashtra Cement and Chemical Industries Ltd. v. Union of India</t>
        </is>
      </c>
      <c r="H1756" s="11" t="inlineStr">
        <is>
          <t>Supreme Court</t>
        </is>
      </c>
      <c r="I1756" s="2" t="inlineStr">
        <is>
          <t>[2000] Supp. 4 SCR 44; (2001) 1 SCC 91</t>
        </is>
      </c>
      <c r="J1756" s="11" t="n">
        <v>2000</v>
      </c>
      <c r="K1756" s="2" t="inlineStr">
        <is>
          <t>Mineral Area Development Authority v. Steel Authority of India</t>
        </is>
      </c>
      <c r="L1756" s="11" t="inlineStr">
        <is>
          <t>Supreme Court</t>
        </is>
      </c>
      <c r="M1756" s="2" t="inlineStr">
        <is>
          <t>[2024] 7 S.C.R. 1549</t>
        </is>
      </c>
      <c r="N1756" s="11" t="n">
        <v>2024</v>
      </c>
      <c r="O1756" s="11" t="inlineStr">
        <is>
          <t>2024-07-25</t>
        </is>
      </c>
      <c r="P1756" s="11" t="n">
        <v>9</v>
      </c>
      <c r="Q1756" s="11" t="inlineStr">
        <is>
          <t>b2024_7_1549_1846</t>
        </is>
      </c>
      <c r="R1756" s="2" t="inlineStr">
        <is>
          <t>overruled to the extent of the observations made in the present case</t>
        </is>
      </c>
      <c r="S1756" s="2" t="inlineStr">
        <is>
          <t>to the extent of the observations made in the present case</t>
        </is>
      </c>
      <c r="T1756" s="11" t="inlineStr"/>
      <c r="U1756" s="11" t="inlineStr"/>
      <c r="V1756" s="11" t="inlineStr">
        <is>
          <t>judgment_text</t>
        </is>
      </c>
      <c r="W1756" s="11" t="inlineStr">
        <is>
          <t>B</t>
        </is>
      </c>
      <c r="X1756" s="11" t="inlineStr">
        <is>
          <t>Claude (reading the judgment in the collection), 2026-10-07; not a lawyer</t>
        </is>
      </c>
      <c r="Y1756" s="11" t="n"/>
      <c r="Z1756" s="11" t="n"/>
      <c r="AA1756" s="11" t="n"/>
      <c r="AB1756" s="11" t="inlineStr">
        <is>
          <t>name_year</t>
        </is>
      </c>
      <c r="AC1756" s="2" t="inlineStr"/>
      <c r="AD1756" s="2" t="inlineStr">
        <is>
          <t>Saurashtra Cement &amp; Chemical Industries Ltd. v. Union of India (2000) is reported as overruled in part by Mineral Area Development Authority v. Steel Authority of India (2024) (to the extent of the observations made in the present case) (not yet confirmed by our reviewer).</t>
        </is>
      </c>
      <c r="AE1756" s="2" t="inlineStr">
        <is>
          <t>As above.</t>
        </is>
      </c>
      <c r="AF1756" s="11" t="inlineStr">
        <is>
          <t>created from sibling decision found in the same judgment</t>
        </is>
      </c>
    </row>
    <row r="1757">
      <c r="A1757" s="11" t="inlineStr">
        <is>
          <t>D2-MAHANADI-1995</t>
        </is>
      </c>
      <c r="B1757" s="11" t="inlineStr">
        <is>
          <t>List 2 sibling</t>
        </is>
      </c>
      <c r="C1757" s="11" t="inlineStr">
        <is>
          <t>list2_sibling</t>
        </is>
      </c>
      <c r="D1757" s="11" t="inlineStr">
        <is>
          <t>candidate</t>
        </is>
      </c>
      <c r="E1757" s="11" t="inlineStr">
        <is>
          <t>overruled_in_part</t>
        </is>
      </c>
      <c r="F1757" s="2" t="inlineStr">
        <is>
          <t>State of Orissa v. Mahanadi Coalfields Ltd.</t>
        </is>
      </c>
      <c r="G1757" s="11" t="inlineStr"/>
      <c r="H1757" s="11" t="inlineStr">
        <is>
          <t>Supreme Court</t>
        </is>
      </c>
      <c r="I1757" s="2" t="inlineStr">
        <is>
          <t>[1995] 3 SCR 639; (1995) Supp 2 SCC 686</t>
        </is>
      </c>
      <c r="J1757" s="11" t="n">
        <v>1995</v>
      </c>
      <c r="K1757" s="2" t="inlineStr">
        <is>
          <t>Mineral Area Development Authority v. Steel Authority of India</t>
        </is>
      </c>
      <c r="L1757" s="11" t="inlineStr">
        <is>
          <t>Supreme Court</t>
        </is>
      </c>
      <c r="M1757" s="2" t="inlineStr">
        <is>
          <t>[2024] 7 S.C.R. 1549</t>
        </is>
      </c>
      <c r="N1757" s="11" t="n">
        <v>2024</v>
      </c>
      <c r="O1757" s="11" t="inlineStr">
        <is>
          <t>2024-07-25</t>
        </is>
      </c>
      <c r="P1757" s="11" t="n">
        <v>9</v>
      </c>
      <c r="Q1757" s="11" t="inlineStr">
        <is>
          <t>b2024_7_1549_1846</t>
        </is>
      </c>
      <c r="R1757" s="2" t="inlineStr">
        <is>
          <t>overruled to the extent of the observations made in the present case</t>
        </is>
      </c>
      <c r="S1757" s="2" t="inlineStr">
        <is>
          <t>to the extent of the observations made in the present case</t>
        </is>
      </c>
      <c r="T1757" s="11" t="inlineStr"/>
      <c r="U1757" s="11" t="inlineStr"/>
      <c r="V1757" s="11" t="inlineStr">
        <is>
          <t>judgment_text</t>
        </is>
      </c>
      <c r="W1757" s="11" t="inlineStr">
        <is>
          <t>B</t>
        </is>
      </c>
      <c r="X1757" s="11" t="inlineStr">
        <is>
          <t>Claude (reading the judgment in the collection), 2026-10-07; not a lawyer</t>
        </is>
      </c>
      <c r="Y1757" s="11" t="n"/>
      <c r="Z1757" s="11" t="n"/>
      <c r="AA1757" s="11" t="n"/>
      <c r="AB1757" s="11" t="inlineStr">
        <is>
          <t>name_year</t>
        </is>
      </c>
      <c r="AC1757" s="2" t="inlineStr"/>
      <c r="AD1757" s="2" t="inlineStr">
        <is>
          <t>State of Orissa v. Mahanadi Coalfields Ltd. (1995) is reported as overruled in part by Mineral Area Development Authority v. Steel Authority of India (2024) (to the extent of the observations made in the present case) (not yet confirmed by our reviewer).</t>
        </is>
      </c>
      <c r="AE1757" s="2" t="inlineStr">
        <is>
          <t>As above.</t>
        </is>
      </c>
      <c r="AF1757" s="11" t="inlineStr">
        <is>
          <t>created from sibling decision found in the same judgment</t>
        </is>
      </c>
    </row>
    <row r="1758">
      <c r="A1758" s="11" t="inlineStr">
        <is>
          <t>D2-KANNADASAN</t>
        </is>
      </c>
      <c r="B1758" s="11" t="inlineStr">
        <is>
          <t>List 2 sibling</t>
        </is>
      </c>
      <c r="C1758" s="11" t="inlineStr">
        <is>
          <t>list2_sibling</t>
        </is>
      </c>
      <c r="D1758" s="11" t="inlineStr">
        <is>
          <t>candidate</t>
        </is>
      </c>
      <c r="E1758" s="11" t="inlineStr">
        <is>
          <t>overruled_in_part</t>
        </is>
      </c>
      <c r="F1758" s="2" t="inlineStr">
        <is>
          <t>P. Kannadasan v. State of Tamil Nadu</t>
        </is>
      </c>
      <c r="G1758" s="11" t="inlineStr">
        <is>
          <t>P Kannadasan v. State of Tamil Nadu</t>
        </is>
      </c>
      <c r="H1758" s="11" t="inlineStr">
        <is>
          <t>Supreme Court</t>
        </is>
      </c>
      <c r="I1758" s="2" t="inlineStr">
        <is>
          <t>[1996] Supp. 4 SCR 92; (1996) 5 SCC 670</t>
        </is>
      </c>
      <c r="J1758" s="11" t="n">
        <v>1996</v>
      </c>
      <c r="K1758" s="2" t="inlineStr">
        <is>
          <t>Mineral Area Development Authority v. Steel Authority of India</t>
        </is>
      </c>
      <c r="L1758" s="11" t="inlineStr">
        <is>
          <t>Supreme Court</t>
        </is>
      </c>
      <c r="M1758" s="2" t="inlineStr">
        <is>
          <t>[2024] 7 S.C.R. 1549</t>
        </is>
      </c>
      <c r="N1758" s="11" t="n">
        <v>2024</v>
      </c>
      <c r="O1758" s="11" t="inlineStr">
        <is>
          <t>2024-07-25</t>
        </is>
      </c>
      <c r="P1758" s="11" t="n">
        <v>9</v>
      </c>
      <c r="Q1758" s="11" t="inlineStr">
        <is>
          <t>b2024_7_1549_1846</t>
        </is>
      </c>
      <c r="R1758" s="2" t="inlineStr">
        <is>
          <t>overruled to the extent of the observations made in the present case</t>
        </is>
      </c>
      <c r="S1758" s="2" t="inlineStr">
        <is>
          <t>to the extent of the observations made in the present case</t>
        </is>
      </c>
      <c r="T1758" s="11" t="inlineStr"/>
      <c r="U1758" s="11" t="inlineStr"/>
      <c r="V1758" s="11" t="inlineStr">
        <is>
          <t>judgment_text</t>
        </is>
      </c>
      <c r="W1758" s="11" t="inlineStr">
        <is>
          <t>B</t>
        </is>
      </c>
      <c r="X1758" s="11" t="inlineStr">
        <is>
          <t>Claude (reading the judgment in the collection), 2026-10-07; not a lawyer</t>
        </is>
      </c>
      <c r="Y1758" s="11" t="n"/>
      <c r="Z1758" s="11" t="n"/>
      <c r="AA1758" s="11" t="n"/>
      <c r="AB1758" s="11" t="inlineStr">
        <is>
          <t>name_year</t>
        </is>
      </c>
      <c r="AC1758" s="2" t="inlineStr"/>
      <c r="AD1758" s="2" t="inlineStr">
        <is>
          <t>P. Kannadasan v. State of Tamil Nadu (1996) is reported as overruled in part by Mineral Area Development Authority v. Steel Authority of India (2024) (to the extent of the observations made in the present case) (not yet confirmed by our reviewer).</t>
        </is>
      </c>
      <c r="AE1758" s="2" t="inlineStr">
        <is>
          <t>As above.</t>
        </is>
      </c>
      <c r="AF1758" s="11" t="inlineStr">
        <is>
          <t>created from sibling decision found in the same judgment</t>
        </is>
      </c>
    </row>
    <row r="1759">
      <c r="A1759" s="11" t="inlineStr">
        <is>
          <t>D2-DEVARAPALLI</t>
        </is>
      </c>
      <c r="B1759" s="11" t="inlineStr">
        <is>
          <t>List 2 sibling</t>
        </is>
      </c>
      <c r="C1759" s="11" t="inlineStr">
        <is>
          <t>list2_sibling</t>
        </is>
      </c>
      <c r="D1759" s="11" t="inlineStr">
        <is>
          <t>candidate</t>
        </is>
      </c>
      <c r="E1759" s="11" t="inlineStr">
        <is>
          <t>not_good_law</t>
        </is>
      </c>
      <c r="F1759" s="2" t="inlineStr">
        <is>
          <t>Devarapalli Lakshminarayana Reddy v. V. Narayana Reddy</t>
        </is>
      </c>
      <c r="G1759" s="11" t="inlineStr">
        <is>
          <t>Devarapalli Lakshminarayana Reddy &amp; Ors. v. V. Narayana Reddy &amp; Ors.</t>
        </is>
      </c>
      <c r="H1759" s="11" t="inlineStr">
        <is>
          <t>Supreme Court</t>
        </is>
      </c>
      <c r="I1759" s="2" t="inlineStr">
        <is>
          <t>(1976) 3 SCC 252; [1976] Suppl. SCR 524</t>
        </is>
      </c>
      <c r="J1759" s="11" t="n">
        <v>1976</v>
      </c>
      <c r="K1759" s="2" t="inlineStr">
        <is>
          <t>Vinubhai Haribhai Malaviya v. State of Gujarat</t>
        </is>
      </c>
      <c r="L1759" s="11" t="inlineStr">
        <is>
          <t>Supreme Court</t>
        </is>
      </c>
      <c r="M1759" s="2" t="inlineStr">
        <is>
          <t>[2019] 15 S.C.R. 936</t>
        </is>
      </c>
      <c r="N1759" s="11" t="n">
        <v>2019</v>
      </c>
      <c r="O1759" s="11" t="inlineStr">
        <is>
          <t>2019-10-16</t>
        </is>
      </c>
      <c r="P1759" s="11" t="n">
        <v>3</v>
      </c>
      <c r="Q1759" s="11" t="inlineStr">
        <is>
          <t>b2019_15_936_989</t>
        </is>
      </c>
      <c r="R1759" s="2" t="inlineStr">
        <is>
          <t>the statement of the law contained in paragraph 17 in Devarapalli Lakshminarayana Reddy cannot be relied upon</t>
        </is>
      </c>
      <c r="S1759" s="2" t="inlineStr">
        <is>
          <t>the statement of the law in paragraph 17 (section 156(3) CrPC investigation is pre-cognizance only)</t>
        </is>
      </c>
      <c r="T1759" s="11" t="inlineStr"/>
      <c r="U1759" s="11" t="inlineStr"/>
      <c r="V1759" s="11" t="inlineStr">
        <is>
          <t>judgment_text</t>
        </is>
      </c>
      <c r="W1759" s="11" t="inlineStr">
        <is>
          <t>B</t>
        </is>
      </c>
      <c r="X1759" s="11" t="inlineStr">
        <is>
          <t>Claude (reading the judgment in the collection), 2026-10-07; not a lawyer</t>
        </is>
      </c>
      <c r="Y1759" s="11" t="n"/>
      <c r="Z1759" s="11" t="n"/>
      <c r="AA1759" s="11" t="n"/>
      <c r="AB1759" s="11" t="inlineStr">
        <is>
          <t>name_year</t>
        </is>
      </c>
      <c r="AC1759" s="2" t="inlineStr"/>
      <c r="AD1759" s="2" t="inlineStr">
        <is>
          <t>Devarapalli Lakshminarayana Reddy v. V. Narayana Reddy (1976) is reported as held not to be good law in Vinubhai Haribhai Malaviya v. State of Gujarat (2019) (not yet confirmed by our reviewer).</t>
        </is>
      </c>
      <c r="AE1759" s="2" t="inlineStr">
        <is>
          <t>A 3-judge decision disapproved by a 3-judge bench: lawyer to confirm. Omitted by list 2; same judgment as rows 15 to 19.</t>
        </is>
      </c>
      <c r="AF1759" s="11" t="inlineStr">
        <is>
          <t>created from sibling decision found in the same judgment</t>
        </is>
      </c>
    </row>
    <row r="1760">
      <c r="A1760" s="11" t="inlineStr">
        <is>
          <t>D2-BHADRESH</t>
        </is>
      </c>
      <c r="B1760" s="11" t="inlineStr">
        <is>
          <t>List 2 sibling</t>
        </is>
      </c>
      <c r="C1760" s="11" t="inlineStr">
        <is>
          <t>list2_sibling</t>
        </is>
      </c>
      <c r="D1760" s="11" t="inlineStr">
        <is>
          <t>candidate</t>
        </is>
      </c>
      <c r="E1760" s="11" t="inlineStr">
        <is>
          <t>overruled</t>
        </is>
      </c>
      <c r="F1760" s="2" t="inlineStr">
        <is>
          <t>Bhadresh Bipinbhai Sheth v. State of Gujarat</t>
        </is>
      </c>
      <c r="G1760" s="11" t="inlineStr">
        <is>
          <t>Bhadresh Bipinbhai Sheth v. State of Gujarat &amp; Anr</t>
        </is>
      </c>
      <c r="H1760" s="11" t="inlineStr">
        <is>
          <t>Supreme Court</t>
        </is>
      </c>
      <c r="I1760" s="2" t="inlineStr">
        <is>
          <t>(2016) 1 SCC 152; [2015] 10 SCR 398</t>
        </is>
      </c>
      <c r="J1760" s="11" t="n">
        <v>2016</v>
      </c>
      <c r="K1760" s="2" t="inlineStr">
        <is>
          <t>Sushila Aggarwal v. State (NCT of Delhi)</t>
        </is>
      </c>
      <c r="L1760" s="11" t="inlineStr">
        <is>
          <t>Supreme Court</t>
        </is>
      </c>
      <c r="M1760" s="2" t="inlineStr">
        <is>
          <t>[2020] 2 S.C.R. 1</t>
        </is>
      </c>
      <c r="N1760" s="11" t="n">
        <v>2020</v>
      </c>
      <c r="O1760" s="11" t="inlineStr">
        <is>
          <t>2020-01-29</t>
        </is>
      </c>
      <c r="P1760" s="11" t="n">
        <v>5</v>
      </c>
      <c r="Q1760" s="11" t="inlineStr">
        <is>
          <t>b2020_2_1_131</t>
        </is>
      </c>
      <c r="R1760" s="2" t="inlineStr">
        <is>
          <t>Bhadresh Bipinbhai Sheth ... - overruled (the report's case-law list for one opinion); the judgment orders 'Mhetre (and other similar decisions)' overruled</t>
        </is>
      </c>
      <c r="S1760" s="2" t="inlineStr">
        <is>
          <t>the view that no restrictive conditions at all can be imposed on anticipatory bail</t>
        </is>
      </c>
      <c r="T1760" s="11" t="inlineStr"/>
      <c r="U1760" s="11" t="inlineStr"/>
      <c r="V1760" s="11" t="inlineStr">
        <is>
          <t>law_report_headnote</t>
        </is>
      </c>
      <c r="W1760" s="11" t="inlineStr">
        <is>
          <t>H</t>
        </is>
      </c>
      <c r="X1760" s="11" t="inlineStr">
        <is>
          <t>Claude (reading the judgment in the collection), 2026-10-07; not a lawyer</t>
        </is>
      </c>
      <c r="Y1760" s="11" t="n"/>
      <c r="Z1760" s="11" t="n"/>
      <c r="AA1760" s="11" t="n"/>
      <c r="AB1760" s="11" t="inlineStr">
        <is>
          <t>name_year</t>
        </is>
      </c>
      <c r="AC1760" s="2" t="inlineStr"/>
      <c r="AD1760" s="2" t="inlineStr">
        <is>
          <t>Bhadresh Bipinbhai Sheth v. State of Gujarat (2016) is reported as overruled by Sushila Aggarwal v. State (NCT of Delhi) (2020) (not yet confirmed by our reviewer).</t>
        </is>
      </c>
      <c r="AE1760" s="2" t="inlineStr">
        <is>
          <t>Law-report tag only; the body names Mhetre and 'other similar decisions'. Omitted by list 2.</t>
        </is>
      </c>
      <c r="AF1760" s="11" t="inlineStr">
        <is>
          <t>created from sibling decision found in the same judgment</t>
        </is>
      </c>
    </row>
    <row r="1761">
      <c r="A1761" s="11" t="inlineStr">
        <is>
          <t>D2-NRADHAKRISHNAN</t>
        </is>
      </c>
      <c r="B1761" s="11" t="inlineStr">
        <is>
          <t>List 2 sibling</t>
        </is>
      </c>
      <c r="C1761" s="11" t="inlineStr">
        <is>
          <t>list2_sibling</t>
        </is>
      </c>
      <c r="D1761" s="11" t="inlineStr">
        <is>
          <t>candidate</t>
        </is>
      </c>
      <c r="E1761" s="11" t="inlineStr">
        <is>
          <t>overruled</t>
        </is>
      </c>
      <c r="F1761" s="2" t="inlineStr">
        <is>
          <t>N. Radhakrishnan v. Maestro Engineers</t>
        </is>
      </c>
      <c r="G1761" s="11" t="inlineStr">
        <is>
          <t>N. Radhakrishnan v. Maestro Engineers and Others</t>
        </is>
      </c>
      <c r="H1761" s="11" t="inlineStr">
        <is>
          <t>Supreme Court</t>
        </is>
      </c>
      <c r="I1761" s="2" t="inlineStr">
        <is>
          <t>(2010) 1 SCC 72; [2009] 15 SCR 371</t>
        </is>
      </c>
      <c r="J1761" s="11" t="n">
        <v>2010</v>
      </c>
      <c r="K1761" s="2" t="inlineStr">
        <is>
          <t>Vidya Drolia v. Durga Trading Corporation</t>
        </is>
      </c>
      <c r="L1761" s="11" t="inlineStr">
        <is>
          <t>Supreme Court</t>
        </is>
      </c>
      <c r="M1761" s="2" t="inlineStr">
        <is>
          <t>[2020] 11 S.C.R. 1001</t>
        </is>
      </c>
      <c r="N1761" s="11" t="n">
        <v>2020</v>
      </c>
      <c r="O1761" s="11" t="inlineStr">
        <is>
          <t>2020-12-14</t>
        </is>
      </c>
      <c r="P1761" s="11" t="n">
        <v>3</v>
      </c>
      <c r="Q1761" s="11" t="inlineStr">
        <is>
          <t>b2020_11_1001_1180</t>
        </is>
      </c>
      <c r="R1761" s="2" t="inlineStr">
        <is>
          <t>we overrule the ratio in N. Radhakrishnan inter alia observing that allegations of fraud can be made a subject matter of arbitration when they relate to a civil dispute</t>
        </is>
      </c>
      <c r="S1761" s="2" t="inlineStr">
        <is>
          <t>allegations of fraud make a dispute non-arbitrable</t>
        </is>
      </c>
      <c r="T1761" s="11" t="inlineStr"/>
      <c r="U1761" s="11" t="inlineStr"/>
      <c r="V1761" s="11" t="inlineStr">
        <is>
          <t>judgment_text</t>
        </is>
      </c>
      <c r="W1761" s="11" t="inlineStr">
        <is>
          <t>B</t>
        </is>
      </c>
      <c r="X1761" s="11" t="inlineStr">
        <is>
          <t>Claude (reading the judgment in the collection), 2026-10-07; not a lawyer</t>
        </is>
      </c>
      <c r="Y1761" s="11" t="n"/>
      <c r="Z1761" s="11" t="n"/>
      <c r="AA1761" s="11" t="n"/>
      <c r="AB1761" s="11" t="inlineStr">
        <is>
          <t>name_year</t>
        </is>
      </c>
      <c r="AC1761" s="2" t="inlineStr"/>
      <c r="AD1761" s="2" t="inlineStr">
        <is>
          <t>N. Radhakrishnan v. Maestro Engineers (2010) is reported as overruled by Vidya Drolia v. Durga Trading Corporation (2020) (not yet confirmed by our reviewer).</t>
        </is>
      </c>
      <c r="AE1761" s="2" t="inlineStr">
        <is>
          <t>Omitted by list 2; same judgment as row 38.</t>
        </is>
      </c>
      <c r="AF1761" s="11" t="inlineStr">
        <is>
          <t>created from sibling decision found in the same judgment</t>
        </is>
      </c>
    </row>
    <row r="1762">
      <c r="A1762" s="11" t="inlineStr">
        <is>
          <t>D2-KARWAL</t>
        </is>
      </c>
      <c r="B1762" s="11" t="inlineStr">
        <is>
          <t>List 2 sibling</t>
        </is>
      </c>
      <c r="C1762" s="11" t="inlineStr">
        <is>
          <t>list2_sibling</t>
        </is>
      </c>
      <c r="D1762" s="11" t="inlineStr">
        <is>
          <t>candidate</t>
        </is>
      </c>
      <c r="E1762" s="11" t="inlineStr">
        <is>
          <t>overruled</t>
        </is>
      </c>
      <c r="F1762" s="2" t="inlineStr">
        <is>
          <t>Raj Kumar Karwal v. Union of India</t>
        </is>
      </c>
      <c r="G1762" s="11" t="inlineStr"/>
      <c r="H1762" s="11" t="inlineStr">
        <is>
          <t>Supreme Court</t>
        </is>
      </c>
      <c r="I1762" s="2" t="inlineStr">
        <is>
          <t>(1990) 2 SCC 409; [1990] 2 SCR 63</t>
        </is>
      </c>
      <c r="J1762" s="11" t="n">
        <v>1990</v>
      </c>
      <c r="K1762" s="2" t="inlineStr">
        <is>
          <t>Tofan Singh v. State of Tamil Nadu</t>
        </is>
      </c>
      <c r="L1762" s="11" t="inlineStr">
        <is>
          <t>Supreme Court</t>
        </is>
      </c>
      <c r="M1762" s="2" t="inlineStr">
        <is>
          <t>[2020] 12 S.C.R. 583</t>
        </is>
      </c>
      <c r="N1762" s="11" t="n">
        <v>2020</v>
      </c>
      <c r="O1762" s="11" t="inlineStr">
        <is>
          <t>2020-10-29</t>
        </is>
      </c>
      <c r="P1762" s="11" t="n">
        <v>3</v>
      </c>
      <c r="Q1762" s="11" t="inlineStr">
        <is>
          <t>b2020_12_583_874</t>
        </is>
      </c>
      <c r="R1762" s="2" t="inlineStr">
        <is>
          <t>Raj Kumar Karwal ... overruled (the report's case-law list, Para 128)</t>
        </is>
      </c>
      <c r="S1762" s="2" t="inlineStr">
        <is>
          <t>a statement under section 67 of the NDPS Act as a confession</t>
        </is>
      </c>
      <c r="T1762" s="11" t="inlineStr"/>
      <c r="U1762" s="11" t="inlineStr"/>
      <c r="V1762" s="11" t="inlineStr">
        <is>
          <t>law_report_headnote</t>
        </is>
      </c>
      <c r="W1762" s="11" t="inlineStr">
        <is>
          <t>H</t>
        </is>
      </c>
      <c r="X1762" s="11" t="inlineStr">
        <is>
          <t>Claude (reading the judgment in the collection), 2026-10-07; not a lawyer</t>
        </is>
      </c>
      <c r="Y1762" s="11" t="n"/>
      <c r="Z1762" s="11" t="n"/>
      <c r="AA1762" s="11" t="n"/>
      <c r="AB1762" s="11" t="inlineStr">
        <is>
          <t>name_year</t>
        </is>
      </c>
      <c r="AC1762" s="2" t="inlineStr"/>
      <c r="AD1762" s="2" t="inlineStr">
        <is>
          <t>Raj Kumar Karwal v. Union of India (1990) is reported as overruled by Tofan Singh v. State of Tamil Nadu (2020) (not yet confirmed by our reviewer).</t>
        </is>
      </c>
      <c r="AE1762" s="2" t="inlineStr">
        <is>
          <t>Law-report tag only. Tofan Singh (2020, 3 judges) is not on list 2.</t>
        </is>
      </c>
      <c r="AF1762" s="11" t="inlineStr">
        <is>
          <t>created from sibling decision found in the same judgment</t>
        </is>
      </c>
    </row>
    <row r="1763">
      <c r="A1763" s="11" t="inlineStr">
        <is>
          <t>D2-KANHAIYALAL</t>
        </is>
      </c>
      <c r="B1763" s="11" t="inlineStr">
        <is>
          <t>List 2 sibling</t>
        </is>
      </c>
      <c r="C1763" s="11" t="inlineStr">
        <is>
          <t>list2_sibling</t>
        </is>
      </c>
      <c r="D1763" s="11" t="inlineStr">
        <is>
          <t>candidate</t>
        </is>
      </c>
      <c r="E1763" s="11" t="inlineStr">
        <is>
          <t>overruled</t>
        </is>
      </c>
      <c r="F1763" s="2" t="inlineStr">
        <is>
          <t>Kanhaiyalal v. Union of India</t>
        </is>
      </c>
      <c r="G1763" s="11" t="inlineStr"/>
      <c r="H1763" s="11" t="inlineStr">
        <is>
          <t>Supreme Court</t>
        </is>
      </c>
      <c r="I1763" s="2" t="inlineStr">
        <is>
          <t>(2008) 4 SCC 668; [2008] 1 SCR 350</t>
        </is>
      </c>
      <c r="J1763" s="11" t="n">
        <v>2008</v>
      </c>
      <c r="K1763" s="2" t="inlineStr">
        <is>
          <t>Tofan Singh v. State of Tamil Nadu</t>
        </is>
      </c>
      <c r="L1763" s="11" t="inlineStr">
        <is>
          <t>Supreme Court</t>
        </is>
      </c>
      <c r="M1763" s="2" t="inlineStr">
        <is>
          <t>[2020] 12 S.C.R. 583</t>
        </is>
      </c>
      <c r="N1763" s="11" t="n">
        <v>2020</v>
      </c>
      <c r="O1763" s="11" t="inlineStr">
        <is>
          <t>2020-10-29</t>
        </is>
      </c>
      <c r="P1763" s="11" t="n">
        <v>3</v>
      </c>
      <c r="Q1763" s="11" t="inlineStr">
        <is>
          <t>b2020_12_583_874</t>
        </is>
      </c>
      <c r="R1763" s="2" t="inlineStr">
        <is>
          <t>Kanhaiyalal ... overruled (the report's case-law list, Para 153)</t>
        </is>
      </c>
      <c r="S1763" s="2" t="inlineStr">
        <is>
          <t>a statement under section 67 of the NDPS Act as a confession</t>
        </is>
      </c>
      <c r="T1763" s="11" t="inlineStr"/>
      <c r="U1763" s="11" t="inlineStr"/>
      <c r="V1763" s="11" t="inlineStr">
        <is>
          <t>law_report_headnote</t>
        </is>
      </c>
      <c r="W1763" s="11" t="inlineStr">
        <is>
          <t>H</t>
        </is>
      </c>
      <c r="X1763" s="11" t="inlineStr">
        <is>
          <t>Claude (reading the judgment in the collection), 2026-10-07; not a lawyer</t>
        </is>
      </c>
      <c r="Y1763" s="11" t="n"/>
      <c r="Z1763" s="11" t="n"/>
      <c r="AA1763" s="11" t="n"/>
      <c r="AB1763" s="11" t="inlineStr">
        <is>
          <t>citation</t>
        </is>
      </c>
      <c r="AC1763" s="2" t="inlineStr"/>
      <c r="AD1763" s="2" t="inlineStr">
        <is>
          <t>Kanhaiyalal v. Union of India (2008) is reported as overruled by Tofan Singh v. State of Tamil Nadu (2020) (not yet confirmed by our reviewer).</t>
        </is>
      </c>
      <c r="AE1763" s="2" t="inlineStr">
        <is>
          <t>As above.</t>
        </is>
      </c>
      <c r="AF1763" s="11" t="inlineStr">
        <is>
          <t>created from sibling decision found in the same judgment</t>
        </is>
      </c>
    </row>
    <row r="1764">
      <c r="A1764" s="11" t="inlineStr">
        <is>
          <t>D2-NNG2</t>
        </is>
      </c>
      <c r="B1764" s="11" t="inlineStr">
        <is>
          <t>List 2 sibling</t>
        </is>
      </c>
      <c r="C1764" s="11" t="inlineStr">
        <is>
          <t>list2_sibling</t>
        </is>
      </c>
      <c r="D1764" s="11" t="inlineStr">
        <is>
          <t>candidate</t>
        </is>
      </c>
      <c r="E1764" s="11" t="inlineStr">
        <is>
          <t>overruled</t>
        </is>
      </c>
      <c r="F1764" s="2" t="inlineStr">
        <is>
          <t>N.N. Global Mercantile Pvt. Ltd. v. Indo Unique Flame Ltd.</t>
        </is>
      </c>
      <c r="G1764" s="11" t="inlineStr"/>
      <c r="H1764" s="11" t="inlineStr">
        <is>
          <t>Supreme Court</t>
        </is>
      </c>
      <c r="I1764" s="2" t="inlineStr">
        <is>
          <t>(2023) 7 SCC 1; [2023] 9 S.C.R. 285</t>
        </is>
      </c>
      <c r="J1764" s="11" t="n">
        <v>2023</v>
      </c>
      <c r="K1764" s="2" t="inlineStr">
        <is>
          <t>In re: Interplay between Arbitration Agreements under the Arbitration and Conciliation Act 1996 and the Indian Stamp Act 1899</t>
        </is>
      </c>
      <c r="L1764" s="11" t="inlineStr">
        <is>
          <t>Supreme Court</t>
        </is>
      </c>
      <c r="M1764" s="2" t="inlineStr">
        <is>
          <t>[2023] 15 S.C.R. 1081</t>
        </is>
      </c>
      <c r="N1764" s="11" t="n">
        <v>2023</v>
      </c>
      <c r="O1764" s="11" t="inlineStr">
        <is>
          <t>2023-12-13</t>
        </is>
      </c>
      <c r="P1764" s="11" t="n">
        <v>7</v>
      </c>
      <c r="Q1764" s="11" t="inlineStr">
        <is>
          <t>b2023_15_1081_1212</t>
        </is>
      </c>
      <c r="R1764" s="2" t="inlineStr">
        <is>
          <t>The decision in NN Global 2 and SMS Tea Estates are overruled</t>
        </is>
      </c>
      <c r="S1764" s="2" t="inlineStr">
        <is>
          <t>arbitration agreement in an unstamped instrument</t>
        </is>
      </c>
      <c r="T1764" s="11" t="inlineStr"/>
      <c r="U1764" s="11" t="inlineStr"/>
      <c r="V1764" s="11" t="inlineStr">
        <is>
          <t>judgment_text</t>
        </is>
      </c>
      <c r="W1764" s="11" t="inlineStr">
        <is>
          <t>B</t>
        </is>
      </c>
      <c r="X1764" s="11" t="inlineStr">
        <is>
          <t>Claude (reading the judgment in the collection), 2026-10-07; not a lawyer</t>
        </is>
      </c>
      <c r="Y1764" s="11" t="n"/>
      <c r="Z1764" s="11" t="n"/>
      <c r="AA1764" s="11" t="n"/>
      <c r="AB1764" s="11" t="inlineStr">
        <is>
          <t>name_year</t>
        </is>
      </c>
      <c r="AC1764" s="2" t="inlineStr"/>
      <c r="AD1764" s="2" t="inlineStr">
        <is>
          <t>N.N. Global Mercantile Pvt. Ltd. v. Indo Unique Flame Ltd. (2023) is reported as overruled by In re: Interplay between Arbitration Agreements under the Arbitration and Conciliation Act 1996 and the Indian Stamp Act 1899 (2023) (not yet confirmed by our reviewer).</t>
        </is>
      </c>
      <c r="AE1764" s="2" t="inlineStr">
        <is>
          <t>The 5-judge Constitution Bench of April 2023 (row 57's overruling case) overruled by the 7-judge bench of December 2023.</t>
        </is>
      </c>
      <c r="AF1764" s="11" t="inlineStr">
        <is>
          <t>created from sibling decision found in the same judgment</t>
        </is>
      </c>
    </row>
    <row r="1765">
      <c r="A1765" s="11" t="inlineStr">
        <is>
          <t>D2-SMSTEA</t>
        </is>
      </c>
      <c r="B1765" s="11" t="inlineStr">
        <is>
          <t>List 2 sibling</t>
        </is>
      </c>
      <c r="C1765" s="11" t="inlineStr">
        <is>
          <t>list2_sibling</t>
        </is>
      </c>
      <c r="D1765" s="11" t="inlineStr">
        <is>
          <t>candidate</t>
        </is>
      </c>
      <c r="E1765" s="11" t="inlineStr">
        <is>
          <t>overruled</t>
        </is>
      </c>
      <c r="F1765" s="2" t="inlineStr">
        <is>
          <t>SMS Tea Estates Private Limited v. Chandmari Tea Company Private Limited</t>
        </is>
      </c>
      <c r="G1765" s="11" t="inlineStr">
        <is>
          <t>SMS Tea Estates (P) Ltd. v. Chandmari Tea Co. (P) Ltd</t>
        </is>
      </c>
      <c r="H1765" s="11" t="inlineStr">
        <is>
          <t>Supreme Court</t>
        </is>
      </c>
      <c r="I1765" s="2" t="inlineStr">
        <is>
          <t>(2011) 14 SCC 66; [2011] 9 SCR 382</t>
        </is>
      </c>
      <c r="J1765" s="11" t="n">
        <v>2011</v>
      </c>
      <c r="K1765" s="2" t="inlineStr">
        <is>
          <t>In re: Interplay between Arbitration Agreements under the Arbitration and Conciliation Act 1996 and the Indian Stamp Act 1899</t>
        </is>
      </c>
      <c r="L1765" s="11" t="inlineStr">
        <is>
          <t>Supreme Court</t>
        </is>
      </c>
      <c r="M1765" s="2" t="inlineStr">
        <is>
          <t>[2023] 15 S.C.R. 1081</t>
        </is>
      </c>
      <c r="N1765" s="11" t="n">
        <v>2023</v>
      </c>
      <c r="O1765" s="11" t="inlineStr">
        <is>
          <t>2023-12-13</t>
        </is>
      </c>
      <c r="P1765" s="11" t="n">
        <v>7</v>
      </c>
      <c r="Q1765" s="11" t="inlineStr">
        <is>
          <t>b2023_15_1081_1212</t>
        </is>
      </c>
      <c r="R1765" s="2" t="inlineStr">
        <is>
          <t>The decision in NN Global 2 and SMS Tea Estates are overruled</t>
        </is>
      </c>
      <c r="S1765" s="2" t="inlineStr">
        <is>
          <t>arbitration agreement in an unstamped instrument</t>
        </is>
      </c>
      <c r="T1765" s="11" t="inlineStr"/>
      <c r="U1765" s="11" t="inlineStr"/>
      <c r="V1765" s="11" t="inlineStr">
        <is>
          <t>judgment_text</t>
        </is>
      </c>
      <c r="W1765" s="11" t="inlineStr">
        <is>
          <t>B</t>
        </is>
      </c>
      <c r="X1765" s="11" t="inlineStr">
        <is>
          <t>Claude (reading the judgment in the collection), 2026-10-07; not a lawyer</t>
        </is>
      </c>
      <c r="Y1765" s="11" t="n"/>
      <c r="Z1765" s="11" t="n"/>
      <c r="AA1765" s="11" t="n"/>
      <c r="AB1765" s="11" t="inlineStr">
        <is>
          <t>name_year</t>
        </is>
      </c>
      <c r="AC1765" s="2" t="inlineStr"/>
      <c r="AD1765" s="2" t="inlineStr">
        <is>
          <t>SMS Tea Estates Private Limited v. Chandmari Tea Company Private Limited (2011) is reported as overruled by In re: Interplay between Arbitration Agreements under the Arbitration and Conciliation Act 1996 and the Indian Stamp Act 1899 (2023) (not yet confirmed by our reviewer).</t>
        </is>
      </c>
      <c r="AE1765" s="2" t="inlineStr">
        <is>
          <t>The 2023 Constitution Bench majority affirmed SMS Tea Estates; the 7-judge bench overruled it.</t>
        </is>
      </c>
      <c r="AF1765" s="11" t="inlineStr">
        <is>
          <t>created from sibling decision found in the same judgment</t>
        </is>
      </c>
    </row>
    <row r="1766">
      <c r="A1766" s="11" t="inlineStr">
        <is>
          <t>D2-GARWARE</t>
        </is>
      </c>
      <c r="B1766" s="11" t="inlineStr">
        <is>
          <t>List 2 sibling</t>
        </is>
      </c>
      <c r="C1766" s="11" t="inlineStr">
        <is>
          <t>list2_sibling</t>
        </is>
      </c>
      <c r="D1766" s="11" t="inlineStr">
        <is>
          <t>candidate</t>
        </is>
      </c>
      <c r="E1766" s="11" t="inlineStr">
        <is>
          <t>overruled_in_part</t>
        </is>
      </c>
      <c r="F1766" s="2" t="inlineStr">
        <is>
          <t>Garware Wall Ropes Limited v. Coastal Marine Constructions &amp; Engineering Limited</t>
        </is>
      </c>
      <c r="G1766" s="11" t="inlineStr">
        <is>
          <t>Garware Wall Ropes Ltd. v. Coastal Marine Constructions &amp; Engg. Ltd.</t>
        </is>
      </c>
      <c r="H1766" s="11" t="inlineStr">
        <is>
          <t>Supreme Court</t>
        </is>
      </c>
      <c r="I1766" s="2" t="inlineStr">
        <is>
          <t>(2019) 9 SCC 209; [2019] 5 SCR 579</t>
        </is>
      </c>
      <c r="J1766" s="11" t="n">
        <v>2019</v>
      </c>
      <c r="K1766" s="2" t="inlineStr">
        <is>
          <t>In re: Interplay between Arbitration Agreements under the Arbitration and Conciliation Act 1996 and the Indian Stamp Act 1899</t>
        </is>
      </c>
      <c r="L1766" s="11" t="inlineStr">
        <is>
          <t>Supreme Court</t>
        </is>
      </c>
      <c r="M1766" s="2" t="inlineStr">
        <is>
          <t>[2023] 15 S.C.R. 1081</t>
        </is>
      </c>
      <c r="N1766" s="11" t="n">
        <v>2023</v>
      </c>
      <c r="O1766" s="11" t="inlineStr">
        <is>
          <t>2023-12-13</t>
        </is>
      </c>
      <c r="P1766" s="11" t="n">
        <v>7</v>
      </c>
      <c r="Q1766" s="11" t="inlineStr">
        <is>
          <t>b2023_15_1081_1212</t>
        </is>
      </c>
      <c r="R1766" s="2" t="inlineStr">
        <is>
          <t>Paragraphs 22 and 29 of Garware Wall Ropes are overruled to that extent</t>
        </is>
      </c>
      <c r="S1766" s="2" t="inlineStr">
        <is>
          <t>paragraphs 22 and 29 only</t>
        </is>
      </c>
      <c r="T1766" s="11" t="inlineStr"/>
      <c r="U1766" s="11" t="inlineStr"/>
      <c r="V1766" s="11" t="inlineStr">
        <is>
          <t>judgment_text</t>
        </is>
      </c>
      <c r="W1766" s="11" t="inlineStr">
        <is>
          <t>B</t>
        </is>
      </c>
      <c r="X1766" s="11" t="inlineStr">
        <is>
          <t>Claude (reading the judgment in the collection), 2026-10-07; not a lawyer</t>
        </is>
      </c>
      <c r="Y1766" s="11" t="n"/>
      <c r="Z1766" s="11" t="n"/>
      <c r="AA1766" s="11" t="n"/>
      <c r="AB1766" s="11" t="inlineStr">
        <is>
          <t>name_year</t>
        </is>
      </c>
      <c r="AC1766" s="2" t="inlineStr"/>
      <c r="AD1766" s="2" t="inlineStr">
        <is>
          <t>Garware Wall Ropes Limited v. Coastal Marine Constructions &amp; Engineering Limited (2019) is reported as overruled in part by In re: Interplay between Arbitration Agreements under the Arbitration and Conciliation Act 1996 and the Indian Stamp Act 1899 (2023) (paragraphs 22 and 29 only) (not yet confirmed by our reviewer).</t>
        </is>
      </c>
      <c r="AE1766" s="2" t="inlineStr">
        <is>
          <t>As above.</t>
        </is>
      </c>
      <c r="AF1766" s="11" t="inlineStr">
        <is>
          <t>created from sibling decision found in the same judgment</t>
        </is>
      </c>
    </row>
  </sheetData>
  <autoFilter ref="A1:AF17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40" customWidth="1" min="3" max="3"/>
    <col width="16" customWidth="1" min="4" max="4"/>
    <col width="40" customWidth="1" min="5" max="5"/>
    <col width="16" customWidth="1" min="6" max="6"/>
    <col width="16" customWidth="1" min="7" max="7"/>
    <col width="16" customWidth="1" min="8" max="8"/>
    <col width="16" customWidth="1" min="9" max="9"/>
    <col width="16" customWidth="1" min="10" max="10"/>
    <col width="36" customWidth="1" min="11" max="11"/>
    <col width="16" customWidth="1" min="12" max="12"/>
    <col width="50" customWidth="1" min="13" max="13"/>
    <col width="50" customWidth="1" min="14" max="14"/>
    <col width="16" customWidth="1" min="15" max="15"/>
    <col width="16" customWidth="1" min="16" max="16"/>
    <col width="36" customWidth="1" min="17" max="17"/>
    <col width="40" customWidth="1" min="18" max="18"/>
    <col width="70" customWidth="1" min="19" max="19"/>
  </cols>
  <sheetData>
    <row r="1" ht="44" customHeight="1">
      <c r="A1" s="9" t="inlineStr">
        <is>
          <t>List 2: 'Judgments Overruled After 2015' (59 entries). The OVERRULING judgment is from 2016 on; the overruled cases are mostly older. Verdicts are Claude's reading of the judgments in the collection, not a lawyer's: C confirmed, CN confirmed with a caveat, P label stronger than the court's words, W wrong in a detail, U not checkable. None of these rows is verified.</t>
        </is>
      </c>
    </row>
    <row r="3">
      <c r="A3" s="10" t="inlineStr">
        <is>
          <t>List no.</t>
        </is>
      </c>
      <c r="B3" s="10" t="inlineStr">
        <is>
          <t>Register ID</t>
        </is>
      </c>
      <c r="C3" s="10" t="inlineStr">
        <is>
          <t>Earlier case (as listed)</t>
        </is>
      </c>
      <c r="D3" s="10" t="inlineStr">
        <is>
          <t>Year in list</t>
        </is>
      </c>
      <c r="E3" s="10" t="inlineStr">
        <is>
          <t>Later case (as listed)</t>
        </is>
      </c>
      <c r="F3" s="10" t="inlineStr">
        <is>
          <t>Year in list (later)</t>
        </is>
      </c>
      <c r="G3" s="10" t="inlineStr">
        <is>
          <t>Decision date</t>
        </is>
      </c>
      <c r="H3" s="10" t="inlineStr">
        <is>
          <t>Bench</t>
        </is>
      </c>
      <c r="I3" s="10" t="inlineStr">
        <is>
          <t>Later judgment key</t>
        </is>
      </c>
      <c r="J3" s="10" t="inlineStr">
        <is>
          <t>Verdict</t>
        </is>
      </c>
      <c r="K3" s="10" t="inlineStr">
        <is>
          <t>Verdict meaning</t>
        </is>
      </c>
      <c r="L3" s="10" t="inlineStr">
        <is>
          <t>Evidence</t>
        </is>
      </c>
      <c r="M3" s="10" t="inlineStr">
        <is>
          <t>Court's words</t>
        </is>
      </c>
      <c r="N3" s="10" t="inlineStr">
        <is>
          <t>Claude's note</t>
        </is>
      </c>
      <c r="O3" s="10" t="inlineStr">
        <is>
          <t>Trust</t>
        </is>
      </c>
      <c r="P3" s="10" t="inlineStr">
        <is>
          <t>Treatment</t>
        </is>
      </c>
      <c r="Q3" s="10" t="inlineStr">
        <is>
          <t>Scope</t>
        </is>
      </c>
      <c r="R3" s="10" t="inlineStr">
        <is>
          <t>Chain</t>
        </is>
      </c>
      <c r="S3" s="10" t="inlineStr">
        <is>
          <t>Wording the site would use</t>
        </is>
      </c>
    </row>
    <row r="4">
      <c r="A4" s="11" t="n">
        <v>1</v>
      </c>
      <c r="B4" s="11" t="inlineStr">
        <is>
          <t>L2-001</t>
        </is>
      </c>
      <c r="C4" s="2" t="inlineStr">
        <is>
          <t>M.P. Sharma v. Satish Chandra</t>
        </is>
      </c>
      <c r="D4" s="11" t="inlineStr">
        <is>
          <t>1954</t>
        </is>
      </c>
      <c r="E4" s="2" t="inlineStr">
        <is>
          <t>K.S. Puttaswamy (Retd.) v. Union of India</t>
        </is>
      </c>
      <c r="F4" s="11" t="inlineStr">
        <is>
          <t>2017</t>
        </is>
      </c>
      <c r="G4" s="11" t="inlineStr">
        <is>
          <t>2017-08-24</t>
        </is>
      </c>
      <c r="H4" s="11" t="n">
        <v>9</v>
      </c>
      <c r="I4" s="11" t="inlineStr">
        <is>
          <t>b2017_10_569_999</t>
        </is>
      </c>
      <c r="J4" s="11" t="inlineStr">
        <is>
          <t>C</t>
        </is>
      </c>
      <c r="K4" s="2" t="inlineStr">
        <is>
          <t>Confirmed as stated</t>
        </is>
      </c>
      <c r="L4" s="2" t="inlineStr">
        <is>
          <t>headnote and body</t>
        </is>
      </c>
      <c r="M4" s="2" t="inlineStr">
        <is>
          <t>MP Sharma is overruled to the extent to which it indicates to the contrary</t>
        </is>
      </c>
      <c r="N4" s="2" t="inlineStr">
        <is>
          <t>9-judge bench. Only to that extent.</t>
        </is>
      </c>
      <c r="O4" s="11" t="inlineStr">
        <is>
          <t>candidate</t>
        </is>
      </c>
      <c r="P4" s="11" t="inlineStr">
        <is>
          <t>overruled</t>
        </is>
      </c>
      <c r="Q4" s="2" t="inlineStr">
        <is>
          <t>the holding that the right to privacy is not protected by the Constitution</t>
        </is>
      </c>
      <c r="R4" s="2" t="inlineStr"/>
      <c r="S4" s="2" t="inlineStr">
        <is>
          <t>M.P. Sharma v. Satish Chandra (1954) is reported as overruled by K.S. Puttaswamy (Retd.) v. Union of India (2017) (not yet confirmed by our reviewer).</t>
        </is>
      </c>
    </row>
    <row r="5">
      <c r="A5" s="11" t="n">
        <v>2</v>
      </c>
      <c r="B5" s="11" t="inlineStr">
        <is>
          <t>L2-002</t>
        </is>
      </c>
      <c r="C5" s="2" t="inlineStr">
        <is>
          <t>Kharak Singh v. State of U.P.</t>
        </is>
      </c>
      <c r="D5" s="11" t="inlineStr">
        <is>
          <t>1963</t>
        </is>
      </c>
      <c r="E5" s="2" t="inlineStr">
        <is>
          <t>K.S. Puttaswamy (Retd.) v. Union of India</t>
        </is>
      </c>
      <c r="F5" s="11" t="inlineStr">
        <is>
          <t>2017</t>
        </is>
      </c>
      <c r="G5" s="11" t="inlineStr">
        <is>
          <t>2017-08-24</t>
        </is>
      </c>
      <c r="H5" s="11" t="n">
        <v>9</v>
      </c>
      <c r="I5" s="11" t="inlineStr">
        <is>
          <t>b2017_10_569_999</t>
        </is>
      </c>
      <c r="J5" s="11" t="inlineStr">
        <is>
          <t>C</t>
        </is>
      </c>
      <c r="K5" s="2" t="inlineStr">
        <is>
          <t>Confirmed as stated</t>
        </is>
      </c>
      <c r="L5" s="2" t="inlineStr">
        <is>
          <t>headnote and body</t>
        </is>
      </c>
      <c r="M5" s="2" t="inlineStr">
        <is>
          <t>Kharak Singh to the extent that it holds that the right to privacy is not protected ... is overruled</t>
        </is>
      </c>
      <c r="N5" s="2" t="inlineStr">
        <is>
          <t>Only the second part of Kharak Singh; the first part was held correct.</t>
        </is>
      </c>
      <c r="O5" s="11" t="inlineStr">
        <is>
          <t>candidate</t>
        </is>
      </c>
      <c r="P5" s="11" t="inlineStr">
        <is>
          <t>overruled_in_part</t>
        </is>
      </c>
      <c r="Q5" s="2" t="inlineStr">
        <is>
          <t>only the holding that privacy is not a protected right; the first part of the decision stands</t>
        </is>
      </c>
      <c r="R5" s="2" t="inlineStr"/>
      <c r="S5" s="2" t="inlineStr">
        <is>
          <t>Kharak Singh v. State of U.P. (1963) is reported as overruled in part by K.S. Puttaswamy (Retd.) v. Union of India (2017) (only the holding that privacy is not a protected right; the first part of the decision stands) (not yet confirmed by our reviewer).</t>
        </is>
      </c>
    </row>
    <row r="6">
      <c r="A6" s="11" t="n">
        <v>3</v>
      </c>
      <c r="B6" s="11" t="inlineStr">
        <is>
          <t>L2-003</t>
        </is>
      </c>
      <c r="C6" s="2" t="inlineStr">
        <is>
          <t>A.D.M. Jabalpur v. Shivkant Shukla</t>
        </is>
      </c>
      <c r="D6" s="11" t="inlineStr">
        <is>
          <t>1976</t>
        </is>
      </c>
      <c r="E6" s="2" t="inlineStr">
        <is>
          <t>K.S. Puttaswamy (Retd.) v. Union of India</t>
        </is>
      </c>
      <c r="F6" s="11" t="inlineStr">
        <is>
          <t>2017</t>
        </is>
      </c>
      <c r="G6" s="11" t="inlineStr">
        <is>
          <t>2017-08-24</t>
        </is>
      </c>
      <c r="H6" s="11" t="n">
        <v>9</v>
      </c>
      <c r="I6" s="11" t="inlineStr">
        <is>
          <t>b2017_10_569_999</t>
        </is>
      </c>
      <c r="J6" s="11" t="inlineStr">
        <is>
          <t>CN</t>
        </is>
      </c>
      <c r="K6" s="2" t="inlineStr">
        <is>
          <t>Confirmed, but needs a caveat or is incomplete</t>
        </is>
      </c>
      <c r="L6" s="2" t="inlineStr">
        <is>
          <t>headnote and body</t>
        </is>
      </c>
      <c r="M6" s="2" t="inlineStr">
        <is>
          <t>ADM Jabalpur must be and is accordingly overruled</t>
        </is>
      </c>
      <c r="N6" s="2" t="inlineStr">
        <is>
          <t>The same judgment also overruled Union of India v. Bhanudas Krishna Gawde (1977); the list omits it.</t>
        </is>
      </c>
      <c r="O6" s="11" t="inlineStr">
        <is>
          <t>candidate</t>
        </is>
      </c>
      <c r="P6" s="11" t="inlineStr">
        <is>
          <t>overruled</t>
        </is>
      </c>
      <c r="Q6" s="2" t="n"/>
      <c r="R6" s="2" t="inlineStr"/>
      <c r="S6" s="2" t="inlineStr">
        <is>
          <t>A.D.M. Jabalpur v. Shivkant Shukla (1976) is reported as overruled by K.S. Puttaswamy (Retd.) v. Union of India (2017) (not yet confirmed by our reviewer).</t>
        </is>
      </c>
    </row>
    <row r="7">
      <c r="A7" s="11" t="n">
        <v>4</v>
      </c>
      <c r="B7" s="11" t="inlineStr">
        <is>
          <t>L2-004</t>
        </is>
      </c>
      <c r="C7" s="2" t="inlineStr">
        <is>
          <t>Bhupendra Kumar Bose v. State of Orissa</t>
        </is>
      </c>
      <c r="D7" s="11" t="inlineStr">
        <is>
          <t>1962</t>
        </is>
      </c>
      <c r="E7" s="2" t="inlineStr">
        <is>
          <t>Krishna Kumar Singh v. State of Bihar</t>
        </is>
      </c>
      <c r="F7" s="11" t="inlineStr">
        <is>
          <t>2017</t>
        </is>
      </c>
      <c r="G7" s="11" t="inlineStr">
        <is>
          <t>2017-01-02</t>
        </is>
      </c>
      <c r="H7" s="11" t="n">
        <v>5</v>
      </c>
      <c r="I7" s="11" t="inlineStr">
        <is>
          <t>c44452</t>
        </is>
      </c>
      <c r="J7" s="11" t="inlineStr">
        <is>
          <t>CN</t>
        </is>
      </c>
      <c r="K7" s="2" t="inlineStr">
        <is>
          <t>Confirmed, but needs a caveat or is incomplete</t>
        </is>
      </c>
      <c r="L7" s="2" t="inlineStr">
        <is>
          <t>the judgment's own sentence in its body</t>
        </is>
      </c>
      <c r="M7" s="2" t="inlineStr">
        <is>
          <t>To this extent, both Bhupendra Kumar Bose and Venkata Reddy are overruled</t>
        </is>
      </c>
      <c r="N7" s="2" t="inlineStr">
        <is>
          <t>What was overruled is the 'enduring rights' theory for ordinances. The list's description (re-promulgation) names a different holding of the same judgment.</t>
        </is>
      </c>
      <c r="O7" s="11" t="inlineStr">
        <is>
          <t>candidate</t>
        </is>
      </c>
      <c r="P7" s="11" t="inlineStr">
        <is>
          <t>overruled_in_part</t>
        </is>
      </c>
      <c r="Q7" s="2" t="inlineStr">
        <is>
          <t>the 'enduring rights' theory for ordinances</t>
        </is>
      </c>
      <c r="R7" s="2" t="inlineStr"/>
      <c r="S7" s="2" t="inlineStr">
        <is>
          <t>Bhupendra Kumar Bose v. State of Orissa (1962) is reported as overruled in part by Krishna Kumar Singh v. State of Bihar (2017) (the 'enduring rights' theory for ordinances) (not yet confirmed by our reviewer).</t>
        </is>
      </c>
    </row>
    <row r="8">
      <c r="A8" s="11" t="n">
        <v>5</v>
      </c>
      <c r="B8" s="11" t="inlineStr">
        <is>
          <t>L2-005</t>
        </is>
      </c>
      <c r="C8" s="2" t="inlineStr">
        <is>
          <t>T. Venkata Reddy v. State of A.P.</t>
        </is>
      </c>
      <c r="D8" s="11" t="inlineStr">
        <is>
          <t>1985</t>
        </is>
      </c>
      <c r="E8" s="2" t="inlineStr">
        <is>
          <t>Krishna Kumar Singh v. State of Bihar</t>
        </is>
      </c>
      <c r="F8" s="11" t="inlineStr">
        <is>
          <t>2017</t>
        </is>
      </c>
      <c r="G8" s="11" t="inlineStr">
        <is>
          <t>2017-01-02</t>
        </is>
      </c>
      <c r="H8" s="11" t="n">
        <v>5</v>
      </c>
      <c r="I8" s="11" t="inlineStr">
        <is>
          <t>c44452</t>
        </is>
      </c>
      <c r="J8" s="11" t="inlineStr">
        <is>
          <t>CN</t>
        </is>
      </c>
      <c r="K8" s="2" t="inlineStr">
        <is>
          <t>Confirmed, but needs a caveat or is incomplete</t>
        </is>
      </c>
      <c r="L8" s="2" t="inlineStr">
        <is>
          <t>the judgment's own sentence in its body</t>
        </is>
      </c>
      <c r="M8" s="2" t="inlineStr">
        <is>
          <t>Bhupendra Kumar Bose and T. Venkata Reddy ... to the extent ... 'creation of enduring rights' ... not correctly decided and should stand overruled</t>
        </is>
      </c>
      <c r="N8" s="2" t="inlineStr">
        <is>
          <t>Same note as row 4.</t>
        </is>
      </c>
      <c r="O8" s="11" t="inlineStr">
        <is>
          <t>candidate</t>
        </is>
      </c>
      <c r="P8" s="11" t="inlineStr">
        <is>
          <t>overruled_in_part</t>
        </is>
      </c>
      <c r="Q8" s="2" t="inlineStr">
        <is>
          <t>the 'enduring rights' theory for ordinances</t>
        </is>
      </c>
      <c r="R8" s="2" t="inlineStr"/>
      <c r="S8" s="2" t="inlineStr">
        <is>
          <t>T. Venkata Reddy v. State of A.P. (1985) is reported as overruled in part by Krishna Kumar Singh v. State of Bihar (2017) (the 'enduring rights' theory for ordinances) (not yet confirmed by our reviewer).</t>
        </is>
      </c>
    </row>
    <row r="9">
      <c r="A9" s="11" t="n">
        <v>6</v>
      </c>
      <c r="B9" s="11" t="inlineStr">
        <is>
          <t>L2-006</t>
        </is>
      </c>
      <c r="C9" s="2" t="inlineStr">
        <is>
          <t>State of M.P. v. Saith &amp; Skelton (P) Ltd.</t>
        </is>
      </c>
      <c r="D9" s="11" t="inlineStr">
        <is>
          <t>1972</t>
        </is>
      </c>
      <c r="E9" s="2" t="inlineStr">
        <is>
          <t>State of Jharkhand v. Hindustan Construction Co. Ltd.</t>
        </is>
      </c>
      <c r="F9" s="11" t="inlineStr">
        <is>
          <t>2017</t>
        </is>
      </c>
      <c r="G9" s="11" t="inlineStr">
        <is>
          <t>2017-12-14</t>
        </is>
      </c>
      <c r="H9" s="11" t="n">
        <v>5</v>
      </c>
      <c r="I9" s="11" t="inlineStr">
        <is>
          <t>b2017_13_1009_1052</t>
        </is>
      </c>
      <c r="J9" s="11" t="inlineStr">
        <is>
          <t>C</t>
        </is>
      </c>
      <c r="K9" s="2" t="inlineStr">
        <is>
          <t>Confirmed as stated</t>
        </is>
      </c>
      <c r="L9" s="2" t="inlineStr">
        <is>
          <t>the judgment's own sentence in its body</t>
        </is>
      </c>
      <c r="M9" s="2" t="inlineStr">
        <is>
          <t>Saith and Skelton and Guru Nanak Foundation do not lay the correct position of law and ... are overruled. Any other judgment ... also stands overruled</t>
        </is>
      </c>
      <c r="N9" s="2" t="inlineStr">
        <is>
          <t>5-judge bench.</t>
        </is>
      </c>
      <c r="O9" s="11" t="inlineStr">
        <is>
          <t>candidate</t>
        </is>
      </c>
      <c r="P9" s="11" t="inlineStr">
        <is>
          <t>overruled</t>
        </is>
      </c>
      <c r="Q9" s="2" t="inlineStr">
        <is>
          <t>the view that a superior court that appoints the arbitrator keeps jurisdiction over later arbitration proceedings</t>
        </is>
      </c>
      <c r="R9" s="2" t="inlineStr"/>
      <c r="S9" s="2" t="inlineStr">
        <is>
          <t>State of M.P. v. Saith &amp; Skelton (P) Ltd. (1972) is reported as overruled by State of Jharkhand v. Hindustan Construction Co. Ltd. (2017) (not yet confirmed by our reviewer).</t>
        </is>
      </c>
    </row>
    <row r="10">
      <c r="A10" s="11" t="n">
        <v>7</v>
      </c>
      <c r="B10" s="11" t="inlineStr">
        <is>
          <t>L2-007</t>
        </is>
      </c>
      <c r="C10" s="2" t="inlineStr">
        <is>
          <t>Guru Nanak Foundation v. Rattan Singh &amp; Sons</t>
        </is>
      </c>
      <c r="D10" s="11" t="inlineStr">
        <is>
          <t>1981</t>
        </is>
      </c>
      <c r="E10" s="2" t="inlineStr">
        <is>
          <t>State of Jharkhand v. Hindustan Construction Co. Ltd.</t>
        </is>
      </c>
      <c r="F10" s="11" t="inlineStr">
        <is>
          <t>2017</t>
        </is>
      </c>
      <c r="G10" s="11" t="inlineStr">
        <is>
          <t>2017-12-14</t>
        </is>
      </c>
      <c r="H10" s="11" t="n">
        <v>5</v>
      </c>
      <c r="I10" s="11" t="inlineStr">
        <is>
          <t>b2017_13_1009_1052</t>
        </is>
      </c>
      <c r="J10" s="11" t="inlineStr">
        <is>
          <t>C</t>
        </is>
      </c>
      <c r="K10" s="2" t="inlineStr">
        <is>
          <t>Confirmed as stated</t>
        </is>
      </c>
      <c r="L10" s="2" t="inlineStr">
        <is>
          <t>the judgment's own sentence in its body</t>
        </is>
      </c>
      <c r="M10" s="2" t="inlineStr">
        <is>
          <t>same sentence as row 6</t>
        </is>
      </c>
      <c r="N10" s="2" t="inlineStr">
        <is>
          <t>5-judge bench.</t>
        </is>
      </c>
      <c r="O10" s="11" t="inlineStr">
        <is>
          <t>candidate</t>
        </is>
      </c>
      <c r="P10" s="11" t="inlineStr">
        <is>
          <t>overruled</t>
        </is>
      </c>
      <c r="Q10" s="2" t="inlineStr">
        <is>
          <t>the view that a superior court that appoints the arbitrator keeps jurisdiction over later arbitration proceedings</t>
        </is>
      </c>
      <c r="R10" s="2" t="inlineStr"/>
      <c r="S10" s="2" t="inlineStr">
        <is>
          <t>Guru Nanak Foundation v. Rattan Singh &amp; Sons (1981) is reported as overruled by State of Jharkhand v. Hindustan Construction Co. Ltd. (2017) (not yet confirmed by our reviewer).</t>
        </is>
      </c>
    </row>
    <row r="11">
      <c r="A11" s="11" t="n">
        <v>8</v>
      </c>
      <c r="B11" s="11" t="inlineStr">
        <is>
          <t>L2-008</t>
        </is>
      </c>
      <c r="C11" s="2" t="inlineStr">
        <is>
          <t>Sun Export Corporation v. Collector of Customs</t>
        </is>
      </c>
      <c r="D11" s="11" t="inlineStr">
        <is>
          <t>1997</t>
        </is>
      </c>
      <c r="E11" s="2" t="inlineStr">
        <is>
          <t>Commissioner of Customs v. Dilip Kumar &amp; Co.</t>
        </is>
      </c>
      <c r="F11" s="11" t="inlineStr">
        <is>
          <t>2018</t>
        </is>
      </c>
      <c r="G11" s="11" t="inlineStr">
        <is>
          <t>2018-07-30</t>
        </is>
      </c>
      <c r="H11" s="11" t="n">
        <v>5</v>
      </c>
      <c r="I11" s="11" t="inlineStr">
        <is>
          <t>b2018_7_1191_1231</t>
        </is>
      </c>
      <c r="J11" s="11" t="inlineStr">
        <is>
          <t>CN</t>
        </is>
      </c>
      <c r="K11" s="2" t="inlineStr">
        <is>
          <t>Confirmed, but needs a caveat or is incomplete</t>
        </is>
      </c>
      <c r="L11" s="2" t="inlineStr">
        <is>
          <t>headnote and body</t>
        </is>
      </c>
      <c r="M11" s="2" t="inlineStr">
        <is>
          <t>The ratio in Sun Export case is not correct and all the decisions which took similar view ... stand over-ruled</t>
        </is>
      </c>
      <c r="N11" s="2" t="inlineStr">
        <is>
          <t>5-judge bench. 'All decisions which took a similar view' are overruled too; the list names one case.</t>
        </is>
      </c>
      <c r="O11" s="11" t="inlineStr">
        <is>
          <t>candidate</t>
        </is>
      </c>
      <c r="P11" s="11" t="inlineStr">
        <is>
          <t>overruled</t>
        </is>
      </c>
      <c r="Q11" s="2" t="inlineStr">
        <is>
          <t>benefit of ambiguity in an exemption notification goes to the Revenue</t>
        </is>
      </c>
      <c r="R11" s="2" t="inlineStr"/>
      <c r="S11" s="2" t="inlineStr">
        <is>
          <t>Sun Export Corporation v. Collector of Customs (1997) is reported as overruled by Commissioner of Customs v. Dilip Kumar &amp; Co. (2018) (not yet confirmed by our reviewer).</t>
        </is>
      </c>
    </row>
    <row r="12">
      <c r="A12" s="11" t="n">
        <v>9</v>
      </c>
      <c r="B12" s="11" t="inlineStr">
        <is>
          <t>L2-009</t>
        </is>
      </c>
      <c r="C12" s="2" t="inlineStr">
        <is>
          <t>Suresh Kumar Koushal v. Naz Foundation</t>
        </is>
      </c>
      <c r="D12" s="11" t="inlineStr">
        <is>
          <t>2013/2014</t>
        </is>
      </c>
      <c r="E12" s="2" t="inlineStr">
        <is>
          <t>Navtej Singh Johar v. Union of India</t>
        </is>
      </c>
      <c r="F12" s="11" t="inlineStr">
        <is>
          <t>2018</t>
        </is>
      </c>
      <c r="G12" s="11" t="inlineStr">
        <is>
          <t>2018-09-06</t>
        </is>
      </c>
      <c r="H12" s="11" t="n">
        <v>5</v>
      </c>
      <c r="I12" s="11" t="inlineStr">
        <is>
          <t>b2018_7_379_746</t>
        </is>
      </c>
      <c r="J12" s="11" t="inlineStr">
        <is>
          <t>C</t>
        </is>
      </c>
      <c r="K12" s="2" t="inlineStr">
        <is>
          <t>Confirmed as stated</t>
        </is>
      </c>
      <c r="L12" s="2" t="inlineStr">
        <is>
          <t>the judgment's own sentence in its body</t>
        </is>
      </c>
      <c r="M12" s="2" t="inlineStr">
        <is>
          <t>Suresh Kumar Koushal needs to be, and is hereby, overruled</t>
        </is>
      </c>
      <c r="N12" s="2" t="inlineStr">
        <is>
          <t>5-judge bench. The list's '2013/2014' is right (decided 11 Dec 2013, reported 2014).</t>
        </is>
      </c>
      <c r="O12" s="11" t="inlineStr">
        <is>
          <t>candidate</t>
        </is>
      </c>
      <c r="P12" s="11" t="inlineStr">
        <is>
          <t>overruled</t>
        </is>
      </c>
      <c r="Q12" s="2" t="n"/>
      <c r="R12" s="2" t="inlineStr"/>
      <c r="S12" s="2" t="inlineStr">
        <is>
          <t>Suresh Kumar Koushal v. Naz Foundation (2013) is reported as overruled by Navtej Singh Johar v. Union of India (2018) (not yet confirmed by our reviewer).</t>
        </is>
      </c>
    </row>
    <row r="13">
      <c r="A13" s="11" t="n">
        <v>10</v>
      </c>
      <c r="B13" s="11" t="inlineStr">
        <is>
          <t>L2-010</t>
        </is>
      </c>
      <c r="C13" s="2" t="inlineStr">
        <is>
          <t>Sowmithri Vishnu v. Union of India</t>
        </is>
      </c>
      <c r="D13" s="11" t="inlineStr">
        <is>
          <t>1985</t>
        </is>
      </c>
      <c r="E13" s="2" t="inlineStr">
        <is>
          <t>Joseph Shine v. Union of India</t>
        </is>
      </c>
      <c r="F13" s="11" t="inlineStr">
        <is>
          <t>2018</t>
        </is>
      </c>
      <c r="G13" s="11" t="inlineStr">
        <is>
          <t>2018-09-27</t>
        </is>
      </c>
      <c r="H13" s="11" t="n">
        <v>5</v>
      </c>
      <c r="I13" s="11" t="inlineStr">
        <is>
          <t>b2018_11_765_950</t>
        </is>
      </c>
      <c r="J13" s="11" t="inlineStr">
        <is>
          <t>C</t>
        </is>
      </c>
      <c r="K13" s="2" t="inlineStr">
        <is>
          <t>Confirmed as stated</t>
        </is>
      </c>
      <c r="L13" s="2" t="inlineStr">
        <is>
          <t>the judgment's own sentence in its body</t>
        </is>
      </c>
      <c r="M13" s="2" t="inlineStr">
        <is>
          <t>The decisions in Sowmithri Vishnu, V. Revathi and W. Kalyani hereby stand overruled</t>
        </is>
      </c>
      <c r="N13" s="2" t="inlineStr">
        <is>
          <t>5-judge bench.</t>
        </is>
      </c>
      <c r="O13" s="11" t="inlineStr">
        <is>
          <t>candidate</t>
        </is>
      </c>
      <c r="P13" s="11" t="inlineStr">
        <is>
          <t>overruled</t>
        </is>
      </c>
      <c r="Q13" s="2" t="n"/>
      <c r="R13" s="2" t="inlineStr"/>
      <c r="S13" s="2" t="inlineStr">
        <is>
          <t>Sowmithri Vishnu v. Union of India (1985) is reported as overruled by Joseph Shine v. Union of India (2018) (not yet confirmed by our reviewer).</t>
        </is>
      </c>
    </row>
    <row r="14">
      <c r="A14" s="11" t="n">
        <v>11</v>
      </c>
      <c r="B14" s="11" t="inlineStr">
        <is>
          <t>L2-011</t>
        </is>
      </c>
      <c r="C14" s="2" t="inlineStr">
        <is>
          <t>V. Revathi v. Union of India</t>
        </is>
      </c>
      <c r="D14" s="11" t="inlineStr">
        <is>
          <t>1988</t>
        </is>
      </c>
      <c r="E14" s="2" t="inlineStr">
        <is>
          <t>Joseph Shine v. Union of India</t>
        </is>
      </c>
      <c r="F14" s="11" t="inlineStr">
        <is>
          <t>2018</t>
        </is>
      </c>
      <c r="G14" s="11" t="inlineStr">
        <is>
          <t>2018-09-27</t>
        </is>
      </c>
      <c r="H14" s="11" t="n">
        <v>5</v>
      </c>
      <c r="I14" s="11" t="inlineStr">
        <is>
          <t>b2018_11_765_950</t>
        </is>
      </c>
      <c r="J14" s="11" t="inlineStr">
        <is>
          <t>C</t>
        </is>
      </c>
      <c r="K14" s="2" t="inlineStr">
        <is>
          <t>Confirmed as stated</t>
        </is>
      </c>
      <c r="L14" s="2" t="inlineStr">
        <is>
          <t>the judgment's own sentence in its body</t>
        </is>
      </c>
      <c r="M14" s="2" t="inlineStr">
        <is>
          <t>same sentence as row 10</t>
        </is>
      </c>
      <c r="N14" s="2" t="inlineStr"/>
      <c r="O14" s="11" t="inlineStr">
        <is>
          <t>candidate</t>
        </is>
      </c>
      <c r="P14" s="11" t="inlineStr">
        <is>
          <t>overruled</t>
        </is>
      </c>
      <c r="Q14" s="2" t="n"/>
      <c r="R14" s="2" t="inlineStr"/>
      <c r="S14" s="2" t="inlineStr">
        <is>
          <t>V. Revathi v. Union of India (1988) is reported as overruled by Joseph Shine v. Union of India (2018) (not yet confirmed by our reviewer).</t>
        </is>
      </c>
    </row>
    <row r="15">
      <c r="A15" s="11" t="n">
        <v>12</v>
      </c>
      <c r="B15" s="11" t="inlineStr">
        <is>
          <t>L2-012</t>
        </is>
      </c>
      <c r="C15" s="2" t="inlineStr">
        <is>
          <t>W. Kalyani v. State</t>
        </is>
      </c>
      <c r="D15" s="11" t="inlineStr">
        <is>
          <t>2012</t>
        </is>
      </c>
      <c r="E15" s="2" t="inlineStr">
        <is>
          <t>Joseph Shine v. Union of India</t>
        </is>
      </c>
      <c r="F15" s="11" t="inlineStr">
        <is>
          <t>2018</t>
        </is>
      </c>
      <c r="G15" s="11" t="inlineStr">
        <is>
          <t>2018-09-27</t>
        </is>
      </c>
      <c r="H15" s="11" t="n">
        <v>5</v>
      </c>
      <c r="I15" s="11" t="inlineStr">
        <is>
          <t>b2018_11_765_950</t>
        </is>
      </c>
      <c r="J15" s="11" t="inlineStr">
        <is>
          <t>C</t>
        </is>
      </c>
      <c r="K15" s="2" t="inlineStr">
        <is>
          <t>Confirmed as stated</t>
        </is>
      </c>
      <c r="L15" s="2" t="inlineStr">
        <is>
          <t>the judgment's own sentence in its body</t>
        </is>
      </c>
      <c r="M15" s="2" t="inlineStr">
        <is>
          <t>same sentence as row 10</t>
        </is>
      </c>
      <c r="N15" s="2" t="inlineStr"/>
      <c r="O15" s="11" t="inlineStr">
        <is>
          <t>candidate</t>
        </is>
      </c>
      <c r="P15" s="11" t="inlineStr">
        <is>
          <t>overruled</t>
        </is>
      </c>
      <c r="Q15" s="2" t="n"/>
      <c r="R15" s="2" t="inlineStr"/>
      <c r="S15" s="2" t="inlineStr">
        <is>
          <t>W. Kalyani v. State (2012) is reported as overruled by Joseph Shine v. Union of India (2018) (not yet confirmed by our reviewer).</t>
        </is>
      </c>
    </row>
    <row r="16">
      <c r="A16" s="11" t="n">
        <v>13</v>
      </c>
      <c r="B16" s="11" t="inlineStr">
        <is>
          <t>L2-013</t>
        </is>
      </c>
      <c r="C16" s="2" t="inlineStr">
        <is>
          <t>Foreshore Cooperative Housing Society Ltd. v. Praveen D. Desai</t>
        </is>
      </c>
      <c r="D16" s="11" t="inlineStr">
        <is>
          <t>2015</t>
        </is>
      </c>
      <c r="E16" s="2" t="inlineStr">
        <is>
          <t>Nusli Neville Wadia v. Ivory Properties</t>
        </is>
      </c>
      <c r="F16" s="11" t="inlineStr">
        <is>
          <t>2019</t>
        </is>
      </c>
      <c r="G16" s="11" t="inlineStr">
        <is>
          <t>2019-10-04</t>
        </is>
      </c>
      <c r="H16" s="11" t="n">
        <v>3</v>
      </c>
      <c r="I16" s="11" t="inlineStr">
        <is>
          <t>b2019_15_795_864</t>
        </is>
      </c>
      <c r="J16" s="11" t="inlineStr">
        <is>
          <t>CN</t>
        </is>
      </c>
      <c r="K16" s="2" t="inlineStr">
        <is>
          <t>Confirmed, but needs a caveat or is incomplete</t>
        </is>
      </c>
      <c r="L16" s="2" t="inlineStr">
        <is>
          <t>the judgment's own sentence in its body</t>
        </is>
      </c>
      <c r="M16" s="2" t="inlineStr">
        <is>
          <t>The decision in Foreshore Cooperative Housing Society Limited cannot be said to be laying down the law correctly</t>
        </is>
      </c>
      <c r="N16" s="2" t="inlineStr">
        <is>
          <t>3-judge bench on a 2-judge decision. The court uses 'overruled' for other decisions (Meher Singh, Sudesh) but not for Foreshore; the report's tag for Foreshore is 'Not correct law'.</t>
        </is>
      </c>
      <c r="O16" s="11" t="inlineStr">
        <is>
          <t>candidate</t>
        </is>
      </c>
      <c r="P16" s="11" t="inlineStr">
        <is>
          <t>not_good_law</t>
        </is>
      </c>
      <c r="Q16" s="2" t="inlineStr">
        <is>
          <t>section 9A CPC (Maharashtra): limitation as a preliminary issue</t>
        </is>
      </c>
      <c r="R16" s="2" t="inlineStr"/>
      <c r="S16" s="2" t="inlineStr">
        <is>
          <t>Foreshore Cooperative Housing Society Ltd. v. Praveen D. Desai (2015) is reported as held not to be good law in Nusli Neville Wadia v. Ivory Properties (2019) (not yet confirmed by our reviewer).</t>
        </is>
      </c>
    </row>
    <row r="17">
      <c r="A17" s="11" t="n">
        <v>14</v>
      </c>
      <c r="B17" s="11" t="inlineStr">
        <is>
          <t>L2-014</t>
        </is>
      </c>
      <c r="C17" s="2" t="inlineStr">
        <is>
          <t>Motilal Pesticides (I) Pvt. Ltd. v. CIT</t>
        </is>
      </c>
      <c r="D17" s="11" t="inlineStr">
        <is>
          <t>2000</t>
        </is>
      </c>
      <c r="E17" s="2" t="inlineStr">
        <is>
          <t>Vijay Industries v. CIT</t>
        </is>
      </c>
      <c r="F17" s="11" t="inlineStr">
        <is>
          <t>2019</t>
        </is>
      </c>
      <c r="G17" s="11" t="inlineStr">
        <is>
          <t>2019-03-01</t>
        </is>
      </c>
      <c r="H17" s="11" t="n">
        <v>3</v>
      </c>
      <c r="I17" s="11" t="inlineStr">
        <is>
          <t>b2019_4_928_944</t>
        </is>
      </c>
      <c r="J17" s="11" t="inlineStr">
        <is>
          <t>C</t>
        </is>
      </c>
      <c r="K17" s="2" t="inlineStr">
        <is>
          <t>Confirmed as stated</t>
        </is>
      </c>
      <c r="L17" s="2" t="inlineStr">
        <is>
          <t>the judgment's own sentence in its body</t>
        </is>
      </c>
      <c r="M17" s="2" t="inlineStr">
        <is>
          <t>the judgment of Motilal Pesticides is erroneous. We, therefore, overrule this judgment</t>
        </is>
      </c>
      <c r="N17" s="2" t="inlineStr"/>
      <c r="O17" s="11" t="inlineStr">
        <is>
          <t>candidate</t>
        </is>
      </c>
      <c r="P17" s="11" t="inlineStr">
        <is>
          <t>overruled</t>
        </is>
      </c>
      <c r="Q17" s="2" t="inlineStr">
        <is>
          <t>section 80HH deduction computed on gross profits</t>
        </is>
      </c>
      <c r="R17" s="2" t="inlineStr"/>
      <c r="S17" s="2" t="inlineStr">
        <is>
          <t>Motilal Pesticides (I) Pvt. Ltd. v. CIT (2000) is reported as overruled by Vijay Industries v. Commissioner of Income Tax (2019) (not yet confirmed by our reviewer).</t>
        </is>
      </c>
    </row>
    <row r="18">
      <c r="A18" s="11" t="n">
        <v>15</v>
      </c>
      <c r="B18" s="11" t="inlineStr">
        <is>
          <t>L2-015</t>
        </is>
      </c>
      <c r="C18" s="2" t="inlineStr">
        <is>
          <t>Amrutbhai Shambhubhai Patel v. Sumanbhai Kantibhai Patel</t>
        </is>
      </c>
      <c r="D18" s="11" t="inlineStr">
        <is>
          <t>2017</t>
        </is>
      </c>
      <c r="E18" s="2" t="inlineStr">
        <is>
          <t>Vinubhai Haribhai Malaviya v. State of Gujarat</t>
        </is>
      </c>
      <c r="F18" s="11" t="inlineStr">
        <is>
          <t>2019</t>
        </is>
      </c>
      <c r="G18" s="11" t="inlineStr">
        <is>
          <t>2019-10-16</t>
        </is>
      </c>
      <c r="H18" s="11" t="n">
        <v>3</v>
      </c>
      <c r="I18" s="11" t="inlineStr">
        <is>
          <t>b2019_15_936_989</t>
        </is>
      </c>
      <c r="J18" s="11" t="inlineStr">
        <is>
          <t>CN</t>
        </is>
      </c>
      <c r="K18" s="2" t="inlineStr">
        <is>
          <t>Confirmed, but needs a caveat or is incomplete</t>
        </is>
      </c>
      <c r="L18" s="2" t="inlineStr">
        <is>
          <t>the judgment's own sentence in its body</t>
        </is>
      </c>
      <c r="M18" s="2" t="inlineStr">
        <is>
          <t>to the extent that the judgments in Amrutbhai Shambubhai Patel, Athul Rao and Bikash Ranjan Rout have held to the contrary, they stand overruled</t>
        </is>
      </c>
      <c r="N18" s="2" t="inlineStr">
        <is>
          <t>3-judge bench. Same judgment: Devarapalli Lakshminarayana Reddy (1976) 'held not correct law' (headnote tag); the list omits it.</t>
        </is>
      </c>
      <c r="O18" s="11" t="inlineStr">
        <is>
          <t>candidate</t>
        </is>
      </c>
      <c r="P18" s="11" t="inlineStr">
        <is>
          <t>overruled_in_part</t>
        </is>
      </c>
      <c r="Q18" s="2" t="inlineStr">
        <is>
          <t>to the extent it held the contrary to Vinubhai</t>
        </is>
      </c>
      <c r="R18" s="2" t="inlineStr"/>
      <c r="S18" s="2" t="inlineStr">
        <is>
          <t>Amrutbhai Shambhubhai Patel v. Sumanbhai Kantibhai Patel (2017) is reported as overruled in part by Vinubhai Haribhai Malaviya v. State of Gujarat (2019) (to the extent it held the contrary to Vinubhai) (not yet confirmed by our reviewer).</t>
        </is>
      </c>
    </row>
    <row r="19">
      <c r="A19" s="11" t="n">
        <v>16</v>
      </c>
      <c r="B19" s="11" t="inlineStr">
        <is>
          <t>L2-016</t>
        </is>
      </c>
      <c r="C19" s="2" t="inlineStr">
        <is>
          <t>Athul Rao v. State of Karnataka</t>
        </is>
      </c>
      <c r="D19" s="11" t="inlineStr">
        <is>
          <t>2018</t>
        </is>
      </c>
      <c r="E19" s="2" t="inlineStr">
        <is>
          <t>Vinubhai Haribhai Malaviya v. State of Gujarat</t>
        </is>
      </c>
      <c r="F19" s="11" t="inlineStr">
        <is>
          <t>2019</t>
        </is>
      </c>
      <c r="G19" s="11" t="inlineStr">
        <is>
          <t>2019-10-16</t>
        </is>
      </c>
      <c r="H19" s="11" t="n">
        <v>3</v>
      </c>
      <c r="I19" s="11" t="inlineStr">
        <is>
          <t>b2019_15_936_989</t>
        </is>
      </c>
      <c r="J19" s="11" t="inlineStr">
        <is>
          <t>C</t>
        </is>
      </c>
      <c r="K19" s="2" t="inlineStr">
        <is>
          <t>Confirmed as stated</t>
        </is>
      </c>
      <c r="L19" s="2" t="inlineStr">
        <is>
          <t>the judgment's own sentence in its body</t>
        </is>
      </c>
      <c r="M19" s="2" t="inlineStr">
        <is>
          <t>same sentence as row 15</t>
        </is>
      </c>
      <c r="N19" s="2" t="inlineStr"/>
      <c r="O19" s="11" t="inlineStr">
        <is>
          <t>candidate</t>
        </is>
      </c>
      <c r="P19" s="11" t="inlineStr">
        <is>
          <t>overruled_in_part</t>
        </is>
      </c>
      <c r="Q19" s="2" t="inlineStr">
        <is>
          <t>to the extent it held the contrary to Vinubhai</t>
        </is>
      </c>
      <c r="R19" s="2" t="inlineStr"/>
      <c r="S19" s="2" t="inlineStr">
        <is>
          <t>Athul Rao v. State of Karnataka (2018) is reported as overruled in part by Vinubhai Haribhai Malaviya v. State of Gujarat (2019) (to the extent it held the contrary to Vinubhai) (not yet confirmed by our reviewer).</t>
        </is>
      </c>
    </row>
    <row r="20">
      <c r="A20" s="11" t="n">
        <v>17</v>
      </c>
      <c r="B20" s="11" t="inlineStr">
        <is>
          <t>L2-017</t>
        </is>
      </c>
      <c r="C20" s="2" t="inlineStr">
        <is>
          <t>Bikash Ranjan Rout v. State (NCT of Delhi)</t>
        </is>
      </c>
      <c r="D20" s="11" t="inlineStr">
        <is>
          <t>2019</t>
        </is>
      </c>
      <c r="E20" s="2" t="inlineStr">
        <is>
          <t>Vinubhai Haribhai Malaviya v. State of Gujarat</t>
        </is>
      </c>
      <c r="F20" s="11" t="inlineStr">
        <is>
          <t>2019</t>
        </is>
      </c>
      <c r="G20" s="11" t="inlineStr">
        <is>
          <t>2019-10-16</t>
        </is>
      </c>
      <c r="H20" s="11" t="n">
        <v>3</v>
      </c>
      <c r="I20" s="11" t="inlineStr">
        <is>
          <t>b2019_15_936_989</t>
        </is>
      </c>
      <c r="J20" s="11" t="inlineStr">
        <is>
          <t>C</t>
        </is>
      </c>
      <c r="K20" s="2" t="inlineStr">
        <is>
          <t>Confirmed as stated</t>
        </is>
      </c>
      <c r="L20" s="2" t="inlineStr">
        <is>
          <t>the judgment's own sentence in its body</t>
        </is>
      </c>
      <c r="M20" s="2" t="inlineStr">
        <is>
          <t>same sentence as row 15</t>
        </is>
      </c>
      <c r="N20" s="2" t="inlineStr"/>
      <c r="O20" s="11" t="inlineStr">
        <is>
          <t>candidate</t>
        </is>
      </c>
      <c r="P20" s="11" t="inlineStr">
        <is>
          <t>overruled_in_part</t>
        </is>
      </c>
      <c r="Q20" s="2" t="inlineStr">
        <is>
          <t>to the extent it held the contrary to Vinubhai</t>
        </is>
      </c>
      <c r="R20" s="2" t="inlineStr"/>
      <c r="S20" s="2" t="inlineStr">
        <is>
          <t>Bikash Ranjan Rout v. State (NCT of Delhi) (2019) is reported as overruled in part by Vinubhai Haribhai Malaviya v. State of Gujarat (2019) (to the extent it held the contrary to Vinubhai) (not yet confirmed by our reviewer).</t>
        </is>
      </c>
    </row>
    <row r="21">
      <c r="A21" s="11" t="n">
        <v>18</v>
      </c>
      <c r="B21" s="11" t="inlineStr">
        <is>
          <t>L2-018</t>
        </is>
      </c>
      <c r="C21" s="2" t="inlineStr">
        <is>
          <t>Randhir Singh Rana v. State (Delhi Administration)</t>
        </is>
      </c>
      <c r="D21" s="11" t="inlineStr">
        <is>
          <t>1997</t>
        </is>
      </c>
      <c r="E21" s="2" t="inlineStr">
        <is>
          <t>Vinubhai Haribhai Malaviya v. State of Gujarat</t>
        </is>
      </c>
      <c r="F21" s="11" t="inlineStr">
        <is>
          <t>2019</t>
        </is>
      </c>
      <c r="G21" s="11" t="inlineStr">
        <is>
          <t>2019-10-16</t>
        </is>
      </c>
      <c r="H21" s="11" t="n">
        <v>3</v>
      </c>
      <c r="I21" s="11" t="inlineStr">
        <is>
          <t>b2019_15_936_989</t>
        </is>
      </c>
      <c r="J21" s="11" t="inlineStr">
        <is>
          <t>C</t>
        </is>
      </c>
      <c r="K21" s="2" t="inlineStr">
        <is>
          <t>Confirmed as stated</t>
        </is>
      </c>
      <c r="L21" s="2" t="inlineStr">
        <is>
          <t>the judgment's own sentence in its body</t>
        </is>
      </c>
      <c r="M21" s="2" t="inlineStr">
        <is>
          <t>Randhir Singh Rana ... and Reeta Nag ... also stand overruled</t>
        </is>
      </c>
      <c r="N21" s="2" t="inlineStr"/>
      <c r="O21" s="11" t="inlineStr">
        <is>
          <t>candidate</t>
        </is>
      </c>
      <c r="P21" s="11" t="inlineStr">
        <is>
          <t>overruled</t>
        </is>
      </c>
      <c r="Q21" s="2" t="n"/>
      <c r="R21" s="2" t="inlineStr"/>
      <c r="S21" s="2" t="inlineStr">
        <is>
          <t>Randhir Singh Rana v. State (Delhi Administration) (1997) is reported as overruled by Vinubhai Haribhai Malaviya v. State of Gujarat (2019) (not yet confirmed by our reviewer).</t>
        </is>
      </c>
    </row>
    <row r="22">
      <c r="A22" s="11" t="n">
        <v>19</v>
      </c>
      <c r="B22" s="11" t="inlineStr">
        <is>
          <t>L2-019</t>
        </is>
      </c>
      <c r="C22" s="2" t="inlineStr">
        <is>
          <t>Reeta Nag v. State of West Bengal</t>
        </is>
      </c>
      <c r="D22" s="11" t="inlineStr">
        <is>
          <t>2009</t>
        </is>
      </c>
      <c r="E22" s="2" t="inlineStr">
        <is>
          <t>Vinubhai Haribhai Malaviya v. State of Gujarat</t>
        </is>
      </c>
      <c r="F22" s="11" t="inlineStr">
        <is>
          <t>2019</t>
        </is>
      </c>
      <c r="G22" s="11" t="inlineStr">
        <is>
          <t>2019-10-16</t>
        </is>
      </c>
      <c r="H22" s="11" t="n">
        <v>3</v>
      </c>
      <c r="I22" s="11" t="inlineStr">
        <is>
          <t>b2019_15_936_989</t>
        </is>
      </c>
      <c r="J22" s="11" t="inlineStr">
        <is>
          <t>C</t>
        </is>
      </c>
      <c r="K22" s="2" t="inlineStr">
        <is>
          <t>Confirmed as stated</t>
        </is>
      </c>
      <c r="L22" s="2" t="inlineStr">
        <is>
          <t>the judgment's own sentence in its body</t>
        </is>
      </c>
      <c r="M22" s="2" t="inlineStr">
        <is>
          <t>same sentence as row 18</t>
        </is>
      </c>
      <c r="N22" s="2" t="inlineStr"/>
      <c r="O22" s="11" t="inlineStr">
        <is>
          <t>candidate</t>
        </is>
      </c>
      <c r="P22" s="11" t="inlineStr">
        <is>
          <t>overruled</t>
        </is>
      </c>
      <c r="Q22" s="2" t="n"/>
      <c r="R22" s="2" t="inlineStr"/>
      <c r="S22" s="2" t="inlineStr">
        <is>
          <t>Reeta Nag v. State of West Bengal (2009) is reported as overruled by Vinubhai Haribhai Malaviya v. State of Gujarat (2019) (not yet confirmed by our reviewer).</t>
        </is>
      </c>
    </row>
    <row r="23">
      <c r="A23" s="11" t="n">
        <v>20</v>
      </c>
      <c r="B23" s="11" t="inlineStr">
        <is>
          <t>L2-020</t>
        </is>
      </c>
      <c r="C23" s="2" t="inlineStr">
        <is>
          <t>Gurdwara Sahib v. Gram Panchayat Village Sirthala</t>
        </is>
      </c>
      <c r="D23" s="11" t="inlineStr">
        <is>
          <t>2014</t>
        </is>
      </c>
      <c r="E23" s="2" t="inlineStr">
        <is>
          <t>Ravinder Kaur Grewal v. Manjit Kaur</t>
        </is>
      </c>
      <c r="F23" s="11" t="inlineStr">
        <is>
          <t>2019</t>
        </is>
      </c>
      <c r="G23" s="11" t="inlineStr">
        <is>
          <t>2019-08-07</t>
        </is>
      </c>
      <c r="H23" s="11" t="n">
        <v>3</v>
      </c>
      <c r="I23" s="11" t="inlineStr">
        <is>
          <t>b2019_11_74_134</t>
        </is>
      </c>
      <c r="J23" s="11" t="inlineStr">
        <is>
          <t>C</t>
        </is>
      </c>
      <c r="K23" s="2" t="inlineStr">
        <is>
          <t>Confirmed as stated</t>
        </is>
      </c>
      <c r="L23" s="2" t="inlineStr">
        <is>
          <t>the judgment's own sentence in its body</t>
        </is>
      </c>
      <c r="M23" s="2" t="inlineStr">
        <is>
          <t>decisions of Gurudwara Sahab v. Gram Panchayat Village Sirthala ... cannot be said to be laying down the law correctly, thus they are hereby overruled</t>
        </is>
      </c>
      <c r="N23" s="2" t="inlineStr">
        <is>
          <t>3-judge bench. The judgment spells it 'Gurudwara Sahab'. Gurdwara Sahib itself is not in our collection.</t>
        </is>
      </c>
      <c r="O23" s="11" t="inlineStr">
        <is>
          <t>candidate</t>
        </is>
      </c>
      <c r="P23" s="11" t="inlineStr">
        <is>
          <t>overruled</t>
        </is>
      </c>
      <c r="Q23" s="2" t="inlineStr">
        <is>
          <t>adverse possession cannot be pleaded by a plaintiff under Article 65 of the Limitation Act</t>
        </is>
      </c>
      <c r="R23" s="2" t="inlineStr"/>
      <c r="S23" s="2" t="inlineStr">
        <is>
          <t>Gurdwara Sahib v. Gram Panchayat Village Sirthala (2014) is reported as overruled by Ravinder Kaur Grewal v. Manjit Kaur (2019) (not yet confirmed by our reviewer).</t>
        </is>
      </c>
    </row>
    <row r="24">
      <c r="A24" s="11" t="n">
        <v>21</v>
      </c>
      <c r="B24" s="11" t="inlineStr">
        <is>
          <t>L2-021</t>
        </is>
      </c>
      <c r="C24" s="2" t="inlineStr">
        <is>
          <t>State of Uttarakhand v. Mandir Sri Laxman Sidh Maharaj</t>
        </is>
      </c>
      <c r="D24" s="11" t="inlineStr">
        <is>
          <t>2017</t>
        </is>
      </c>
      <c r="E24" s="2" t="inlineStr">
        <is>
          <t>Ravinder Kaur Grewal v. Manjit Kaur</t>
        </is>
      </c>
      <c r="F24" s="11" t="inlineStr">
        <is>
          <t>2019</t>
        </is>
      </c>
      <c r="G24" s="11" t="inlineStr">
        <is>
          <t>2019-08-07</t>
        </is>
      </c>
      <c r="H24" s="11" t="n">
        <v>3</v>
      </c>
      <c r="I24" s="11" t="inlineStr">
        <is>
          <t>b2019_11_74_134</t>
        </is>
      </c>
      <c r="J24" s="11" t="inlineStr">
        <is>
          <t>C</t>
        </is>
      </c>
      <c r="K24" s="2" t="inlineStr">
        <is>
          <t>Confirmed as stated</t>
        </is>
      </c>
      <c r="L24" s="2" t="inlineStr">
        <is>
          <t>the judgment's own sentence in its body</t>
        </is>
      </c>
      <c r="M24" s="2" t="inlineStr">
        <is>
          <t>same sentence as row 20</t>
        </is>
      </c>
      <c r="N24" s="2" t="inlineStr"/>
      <c r="O24" s="11" t="inlineStr">
        <is>
          <t>candidate</t>
        </is>
      </c>
      <c r="P24" s="11" t="inlineStr">
        <is>
          <t>overruled</t>
        </is>
      </c>
      <c r="Q24" s="2" t="inlineStr">
        <is>
          <t>adverse possession cannot be pleaded by a plaintiff under Article 65 of the Limitation Act</t>
        </is>
      </c>
      <c r="R24" s="2" t="inlineStr"/>
      <c r="S24" s="2" t="inlineStr">
        <is>
          <t>State of Uttarakhand v. Mandir Sri Laxman Sidh Maharaj (2017) is reported as overruled by Ravinder Kaur Grewal v. Manjit Kaur (2019) (not yet confirmed by our reviewer).</t>
        </is>
      </c>
    </row>
    <row r="25">
      <c r="A25" s="11" t="n">
        <v>22</v>
      </c>
      <c r="B25" s="11" t="inlineStr">
        <is>
          <t>L2-022</t>
        </is>
      </c>
      <c r="C25" s="2" t="inlineStr">
        <is>
          <t>Dharampal (dead) through LRs v. Punjab Wakf Board</t>
        </is>
      </c>
      <c r="D25" s="11" t="inlineStr">
        <is>
          <t>2017</t>
        </is>
      </c>
      <c r="E25" s="2" t="inlineStr">
        <is>
          <t>Ravinder Kaur Grewal v. Manjit Kaur</t>
        </is>
      </c>
      <c r="F25" s="11" t="inlineStr">
        <is>
          <t>2019</t>
        </is>
      </c>
      <c r="G25" s="11" t="inlineStr">
        <is>
          <t>2019-08-07</t>
        </is>
      </c>
      <c r="H25" s="11" t="n">
        <v>3</v>
      </c>
      <c r="I25" s="11" t="inlineStr">
        <is>
          <t>b2019_11_74_134</t>
        </is>
      </c>
      <c r="J25" s="11" t="inlineStr">
        <is>
          <t>C</t>
        </is>
      </c>
      <c r="K25" s="2" t="inlineStr">
        <is>
          <t>Confirmed as stated</t>
        </is>
      </c>
      <c r="L25" s="2" t="inlineStr">
        <is>
          <t>the judgment's own sentence in its body</t>
        </is>
      </c>
      <c r="M25" s="2" t="inlineStr">
        <is>
          <t>same sentence as row 20</t>
        </is>
      </c>
      <c r="N25" s="2" t="inlineStr"/>
      <c r="O25" s="11" t="inlineStr">
        <is>
          <t>candidate</t>
        </is>
      </c>
      <c r="P25" s="11" t="inlineStr">
        <is>
          <t>overruled</t>
        </is>
      </c>
      <c r="Q25" s="2" t="inlineStr">
        <is>
          <t>adverse possession cannot be pleaded by a plaintiff under Article 65 of the Limitation Act</t>
        </is>
      </c>
      <c r="R25" s="2" t="inlineStr"/>
      <c r="S25" s="2" t="inlineStr">
        <is>
          <t>Dharampal (dead) through LRs v. Punjab Wakf Board (2017) is reported as overruled by Ravinder Kaur Grewal v. Manjit Kaur (2019) (not yet confirmed by our reviewer).</t>
        </is>
      </c>
    </row>
    <row r="26">
      <c r="A26" s="11" t="n">
        <v>23</v>
      </c>
      <c r="B26" s="11" t="inlineStr">
        <is>
          <t>L2-023</t>
        </is>
      </c>
      <c r="C26" s="2" t="inlineStr">
        <is>
          <t>Salauddin Abdulsamad Shaikh v. State of Maharashtra</t>
        </is>
      </c>
      <c r="D26" s="11" t="inlineStr">
        <is>
          <t>1996</t>
        </is>
      </c>
      <c r="E26" s="2" t="inlineStr">
        <is>
          <t>Sushila Aggarwal v. State (NCT of Delhi)</t>
        </is>
      </c>
      <c r="F26" s="11" t="inlineStr">
        <is>
          <t>2020</t>
        </is>
      </c>
      <c r="G26" s="11" t="inlineStr">
        <is>
          <t>2020-01-29</t>
        </is>
      </c>
      <c r="H26" s="11" t="n">
        <v>5</v>
      </c>
      <c r="I26" s="11" t="inlineStr">
        <is>
          <t>b2020_2_1_131</t>
        </is>
      </c>
      <c r="J26" s="11" t="inlineStr">
        <is>
          <t>C</t>
        </is>
      </c>
      <c r="K26" s="2" t="inlineStr">
        <is>
          <t>Confirmed as stated</t>
        </is>
      </c>
      <c r="L26" s="2" t="inlineStr">
        <is>
          <t>the judgment's own sentence in its body</t>
        </is>
      </c>
      <c r="M26" s="2" t="inlineStr">
        <is>
          <t>the decision in Salauddin Abdulsamad Shaikh ... and subsequent decisions ... are hereby overruled</t>
        </is>
      </c>
      <c r="N26" s="2" t="inlineStr">
        <is>
          <t>5-judge bench. The list's year 1996 is right.</t>
        </is>
      </c>
      <c r="O26" s="11" t="inlineStr">
        <is>
          <t>candidate</t>
        </is>
      </c>
      <c r="P26" s="11" t="inlineStr">
        <is>
          <t>overruled</t>
        </is>
      </c>
      <c r="Q26" s="2" t="inlineStr">
        <is>
          <t>the view that anticipatory bail must end after a fixed period</t>
        </is>
      </c>
      <c r="R26" s="2" t="inlineStr"/>
      <c r="S26" s="2" t="inlineStr">
        <is>
          <t>Salauddin Abdulsamad Shaikh v. State of Maharashtra (1996) is reported as overruled by Sushila Aggarwal v. State (NCT of Delhi) (2020) (not yet confirmed by our reviewer).</t>
        </is>
      </c>
    </row>
    <row r="27">
      <c r="A27" s="11" t="n">
        <v>24</v>
      </c>
      <c r="B27" s="11" t="inlineStr">
        <is>
          <t>L2-024</t>
        </is>
      </c>
      <c r="C27" s="2" t="inlineStr">
        <is>
          <t>K.L. Verma v. State</t>
        </is>
      </c>
      <c r="D27" s="11" t="inlineStr">
        <is>
          <t>1998</t>
        </is>
      </c>
      <c r="E27" s="2" t="inlineStr">
        <is>
          <t>Sushila Aggarwal v. State (NCT of Delhi)</t>
        </is>
      </c>
      <c r="F27" s="11" t="inlineStr">
        <is>
          <t>2020</t>
        </is>
      </c>
      <c r="G27" s="11" t="inlineStr">
        <is>
          <t>2020-01-29</t>
        </is>
      </c>
      <c r="H27" s="11" t="n">
        <v>5</v>
      </c>
      <c r="I27" s="11" t="inlineStr">
        <is>
          <t>b2020_2_1_131</t>
        </is>
      </c>
      <c r="J27" s="11" t="inlineStr">
        <is>
          <t>C</t>
        </is>
      </c>
      <c r="K27" s="2" t="inlineStr">
        <is>
          <t>Confirmed as stated</t>
        </is>
      </c>
      <c r="L27" s="2" t="inlineStr">
        <is>
          <t>the judgment's own sentence in its body</t>
        </is>
      </c>
      <c r="M27" s="2" t="inlineStr">
        <is>
          <t>(including K.L. Verma ...) are hereby overruled</t>
        </is>
      </c>
      <c r="N27" s="2" t="inlineStr">
        <is>
          <t>Verified list 1 (row 256) also records K.L. Verma as overruled, by Adri Dharan Das (2005): a chain, see README.</t>
        </is>
      </c>
      <c r="O27" s="11" t="inlineStr">
        <is>
          <t>candidate</t>
        </is>
      </c>
      <c r="P27" s="11" t="inlineStr">
        <is>
          <t>overruled</t>
        </is>
      </c>
      <c r="Q27" s="2" t="inlineStr">
        <is>
          <t>the view that anticipatory bail must end after a fixed period</t>
        </is>
      </c>
      <c r="R27" s="2" t="inlineStr"/>
      <c r="S27" s="2" t="inlineStr">
        <is>
          <t>K.L. Verma v. State (1998) is reported as overruled by Sushila Aggarwal v. State (NCT of Delhi) (2020) (not yet confirmed by our reviewer).</t>
        </is>
      </c>
    </row>
    <row r="28">
      <c r="A28" s="11" t="n">
        <v>25</v>
      </c>
      <c r="B28" s="11" t="inlineStr">
        <is>
          <t>L2-025</t>
        </is>
      </c>
      <c r="C28" s="2" t="inlineStr">
        <is>
          <t>Sunita Devi v. State of Bihar</t>
        </is>
      </c>
      <c r="D28" s="11" t="inlineStr">
        <is>
          <t>2005</t>
        </is>
      </c>
      <c r="E28" s="2" t="inlineStr">
        <is>
          <t>Sushila Aggarwal v. State (NCT of Delhi)</t>
        </is>
      </c>
      <c r="F28" s="11" t="inlineStr">
        <is>
          <t>2020</t>
        </is>
      </c>
      <c r="G28" s="11" t="inlineStr">
        <is>
          <t>2020-01-29</t>
        </is>
      </c>
      <c r="H28" s="11" t="n">
        <v>5</v>
      </c>
      <c r="I28" s="11" t="inlineStr">
        <is>
          <t>b2020_2_1_131</t>
        </is>
      </c>
      <c r="J28" s="11" t="inlineStr">
        <is>
          <t>C</t>
        </is>
      </c>
      <c r="K28" s="2" t="inlineStr">
        <is>
          <t>Confirmed as stated</t>
        </is>
      </c>
      <c r="L28" s="2" t="inlineStr">
        <is>
          <t>the judgment's own sentence in its body</t>
        </is>
      </c>
      <c r="M28" s="2" t="inlineStr">
        <is>
          <t>same sentence as row 24</t>
        </is>
      </c>
      <c r="N28" s="2" t="inlineStr"/>
      <c r="O28" s="11" t="inlineStr">
        <is>
          <t>candidate</t>
        </is>
      </c>
      <c r="P28" s="11" t="inlineStr">
        <is>
          <t>overruled</t>
        </is>
      </c>
      <c r="Q28" s="2" t="inlineStr">
        <is>
          <t>the view that anticipatory bail must end after a fixed period</t>
        </is>
      </c>
      <c r="R28" s="2" t="inlineStr"/>
      <c r="S28" s="2" t="inlineStr">
        <is>
          <t>Sunita Devi v. State of Bihar (2005) is reported as overruled by Sushila Aggarwal v. State (NCT of Delhi) (2020) (not yet confirmed by our reviewer).</t>
        </is>
      </c>
    </row>
    <row r="29">
      <c r="A29" s="11" t="n">
        <v>26</v>
      </c>
      <c r="B29" s="11" t="inlineStr">
        <is>
          <t>L2-026</t>
        </is>
      </c>
      <c r="C29" s="2" t="inlineStr">
        <is>
          <t>Adri Dharan Das v. State of West Bengal</t>
        </is>
      </c>
      <c r="D29" s="11" t="inlineStr">
        <is>
          <t>2005</t>
        </is>
      </c>
      <c r="E29" s="2" t="inlineStr">
        <is>
          <t>Sushila Aggarwal v. State (NCT of Delhi)</t>
        </is>
      </c>
      <c r="F29" s="11" t="inlineStr">
        <is>
          <t>2020</t>
        </is>
      </c>
      <c r="G29" s="11" t="inlineStr">
        <is>
          <t>2020-01-29</t>
        </is>
      </c>
      <c r="H29" s="11" t="n">
        <v>5</v>
      </c>
      <c r="I29" s="11" t="inlineStr">
        <is>
          <t>b2020_2_1_131</t>
        </is>
      </c>
      <c r="J29" s="11" t="inlineStr">
        <is>
          <t>C</t>
        </is>
      </c>
      <c r="K29" s="2" t="inlineStr">
        <is>
          <t>Confirmed as stated</t>
        </is>
      </c>
      <c r="L29" s="2" t="inlineStr">
        <is>
          <t>the judgment's own sentence in its body</t>
        </is>
      </c>
      <c r="M29" s="2" t="inlineStr">
        <is>
          <t>same sentence as row 24</t>
        </is>
      </c>
      <c r="N29" s="2" t="inlineStr">
        <is>
          <t>Adri Dharan Das is itself the 'overruling case' of row 256 in list 1: chain.</t>
        </is>
      </c>
      <c r="O29" s="11" t="inlineStr">
        <is>
          <t>candidate</t>
        </is>
      </c>
      <c r="P29" s="11" t="inlineStr">
        <is>
          <t>overruled</t>
        </is>
      </c>
      <c r="Q29" s="2" t="inlineStr">
        <is>
          <t>the view that anticipatory bail must end after a fixed period</t>
        </is>
      </c>
      <c r="R29" s="2" t="inlineStr"/>
      <c r="S29" s="2" t="inlineStr">
        <is>
          <t>Adri Dharan Das v. State of West Bengal (2005) is reported as overruled by Sushila Aggarwal v. State (NCT of Delhi) (2020) (not yet confirmed by our reviewer).</t>
        </is>
      </c>
    </row>
    <row r="30">
      <c r="A30" s="11" t="n">
        <v>27</v>
      </c>
      <c r="B30" s="11" t="inlineStr">
        <is>
          <t>L2-027</t>
        </is>
      </c>
      <c r="C30" s="2" t="inlineStr">
        <is>
          <t>Nirmal Jeet Kaur v. State of M.P.</t>
        </is>
      </c>
      <c r="D30" s="11" t="inlineStr">
        <is>
          <t>2004</t>
        </is>
      </c>
      <c r="E30" s="2" t="inlineStr">
        <is>
          <t>Sushila Aggarwal v. State (NCT of Delhi)</t>
        </is>
      </c>
      <c r="F30" s="11" t="inlineStr">
        <is>
          <t>2020</t>
        </is>
      </c>
      <c r="G30" s="11" t="inlineStr">
        <is>
          <t>2020-01-29</t>
        </is>
      </c>
      <c r="H30" s="11" t="n">
        <v>5</v>
      </c>
      <c r="I30" s="11" t="inlineStr">
        <is>
          <t>b2020_2_1_131</t>
        </is>
      </c>
      <c r="J30" s="11" t="inlineStr">
        <is>
          <t>C</t>
        </is>
      </c>
      <c r="K30" s="2" t="inlineStr">
        <is>
          <t>Confirmed as stated</t>
        </is>
      </c>
      <c r="L30" s="2" t="inlineStr">
        <is>
          <t>the judgment's own sentence in its body</t>
        </is>
      </c>
      <c r="M30" s="2" t="inlineStr">
        <is>
          <t>same sentence as row 24</t>
        </is>
      </c>
      <c r="N30" s="2" t="inlineStr"/>
      <c r="O30" s="11" t="inlineStr">
        <is>
          <t>candidate</t>
        </is>
      </c>
      <c r="P30" s="11" t="inlineStr">
        <is>
          <t>overruled</t>
        </is>
      </c>
      <c r="Q30" s="2" t="inlineStr">
        <is>
          <t>the view that anticipatory bail must end after a fixed period</t>
        </is>
      </c>
      <c r="R30" s="2" t="inlineStr"/>
      <c r="S30" s="2" t="inlineStr">
        <is>
          <t>Nirmal Jeet Kaur v. State of M.P. (2004) is reported as overruled by Sushila Aggarwal v. State (NCT of Delhi) (2020) (not yet confirmed by our reviewer).</t>
        </is>
      </c>
    </row>
    <row r="31">
      <c r="A31" s="11" t="n">
        <v>28</v>
      </c>
      <c r="B31" s="11" t="inlineStr">
        <is>
          <t>L2-028</t>
        </is>
      </c>
      <c r="C31" s="2" t="inlineStr">
        <is>
          <t>HDFC Bank Ltd. v. J.J. Mannan</t>
        </is>
      </c>
      <c r="D31" s="11" t="inlineStr">
        <is>
          <t>2010</t>
        </is>
      </c>
      <c r="E31" s="2" t="inlineStr">
        <is>
          <t>Sushila Aggarwal v. State (NCT of Delhi)</t>
        </is>
      </c>
      <c r="F31" s="11" t="inlineStr">
        <is>
          <t>2020</t>
        </is>
      </c>
      <c r="G31" s="11" t="inlineStr">
        <is>
          <t>2020-01-29</t>
        </is>
      </c>
      <c r="H31" s="11" t="n">
        <v>5</v>
      </c>
      <c r="I31" s="11" t="inlineStr">
        <is>
          <t>b2020_2_1_131</t>
        </is>
      </c>
      <c r="J31" s="11" t="inlineStr">
        <is>
          <t>C</t>
        </is>
      </c>
      <c r="K31" s="2" t="inlineStr">
        <is>
          <t>Confirmed as stated</t>
        </is>
      </c>
      <c r="L31" s="2" t="inlineStr">
        <is>
          <t>the judgment's own sentence in its body</t>
        </is>
      </c>
      <c r="M31" s="2" t="inlineStr">
        <is>
          <t>same sentence as row 24</t>
        </is>
      </c>
      <c r="N31" s="2" t="inlineStr">
        <is>
          <t>Decided 16 Dec 2009; list says 2010 (reporter year).</t>
        </is>
      </c>
      <c r="O31" s="11" t="inlineStr">
        <is>
          <t>candidate</t>
        </is>
      </c>
      <c r="P31" s="11" t="inlineStr">
        <is>
          <t>overruled</t>
        </is>
      </c>
      <c r="Q31" s="2" t="inlineStr">
        <is>
          <t>the view that anticipatory bail must end after a fixed period</t>
        </is>
      </c>
      <c r="R31" s="2" t="inlineStr"/>
      <c r="S31" s="2" t="inlineStr">
        <is>
          <t>HDFC Bank Ltd. v. J.J. Mannan (2010) is reported as overruled by Sushila Aggarwal v. State (NCT of Delhi) (2020) (not yet confirmed by our reviewer).</t>
        </is>
      </c>
    </row>
    <row r="32">
      <c r="A32" s="11" t="n">
        <v>29</v>
      </c>
      <c r="B32" s="11" t="inlineStr">
        <is>
          <t>L2-029</t>
        </is>
      </c>
      <c r="C32" s="2" t="inlineStr">
        <is>
          <t>Satpal Singh v. State of Punjab</t>
        </is>
      </c>
      <c r="D32" s="11" t="inlineStr">
        <is>
          <t>2018</t>
        </is>
      </c>
      <c r="E32" s="2" t="inlineStr">
        <is>
          <t>Sushila Aggarwal v. State (NCT of Delhi)</t>
        </is>
      </c>
      <c r="F32" s="11" t="inlineStr">
        <is>
          <t>2020</t>
        </is>
      </c>
      <c r="G32" s="11" t="inlineStr">
        <is>
          <t>2020-01-29</t>
        </is>
      </c>
      <c r="H32" s="11" t="n">
        <v>5</v>
      </c>
      <c r="I32" s="11" t="inlineStr">
        <is>
          <t>b2020_2_1_131</t>
        </is>
      </c>
      <c r="J32" s="11" t="inlineStr">
        <is>
          <t>C</t>
        </is>
      </c>
      <c r="K32" s="2" t="inlineStr">
        <is>
          <t>Confirmed as stated</t>
        </is>
      </c>
      <c r="L32" s="2" t="inlineStr">
        <is>
          <t>the judgment's own sentence in its body</t>
        </is>
      </c>
      <c r="M32" s="2" t="inlineStr">
        <is>
          <t>same sentence as row 24</t>
        </is>
      </c>
      <c r="N32" s="2" t="inlineStr">
        <is>
          <t>The list says 'in relevant part'; the court lists it with the other decisions as overruled.</t>
        </is>
      </c>
      <c r="O32" s="11" t="inlineStr">
        <is>
          <t>candidate</t>
        </is>
      </c>
      <c r="P32" s="11" t="inlineStr">
        <is>
          <t>overruled</t>
        </is>
      </c>
      <c r="Q32" s="2" t="inlineStr">
        <is>
          <t>the view that anticipatory bail must end after a fixed period</t>
        </is>
      </c>
      <c r="R32" s="2" t="inlineStr"/>
      <c r="S32" s="2" t="inlineStr">
        <is>
          <t>Satpal Singh v. State of Punjab (2018) is reported as overruled by Sushila Aggarwal v. State (NCT of Delhi) (2020) (not yet confirmed by our reviewer).</t>
        </is>
      </c>
    </row>
    <row r="33">
      <c r="A33" s="11" t="n">
        <v>30</v>
      </c>
      <c r="B33" s="11" t="inlineStr">
        <is>
          <t>L2-030</t>
        </is>
      </c>
      <c r="C33" s="2" t="inlineStr">
        <is>
          <t>Naresh Kumar Yadav v. Ravindra Kumar</t>
        </is>
      </c>
      <c r="D33" s="11" t="inlineStr">
        <is>
          <t>2008</t>
        </is>
      </c>
      <c r="E33" s="2" t="inlineStr">
        <is>
          <t>Sushila Aggarwal v. State (NCT of Delhi)</t>
        </is>
      </c>
      <c r="F33" s="11" t="inlineStr">
        <is>
          <t>2020</t>
        </is>
      </c>
      <c r="G33" s="11" t="inlineStr">
        <is>
          <t>2020-01-29</t>
        </is>
      </c>
      <c r="H33" s="11" t="n">
        <v>5</v>
      </c>
      <c r="I33" s="11" t="inlineStr">
        <is>
          <t>b2020_2_1_131</t>
        </is>
      </c>
      <c r="J33" s="11" t="inlineStr">
        <is>
          <t>C</t>
        </is>
      </c>
      <c r="K33" s="2" t="inlineStr">
        <is>
          <t>Confirmed as stated</t>
        </is>
      </c>
      <c r="L33" s="2" t="inlineStr">
        <is>
          <t>the judgment's own sentence in its body</t>
        </is>
      </c>
      <c r="M33" s="2" t="inlineStr">
        <is>
          <t>same sentence as row 24</t>
        </is>
      </c>
      <c r="N33" s="2" t="inlineStr">
        <is>
          <t>Decided 23 Oct 2007; list says 2008 (reporter year).</t>
        </is>
      </c>
      <c r="O33" s="11" t="inlineStr">
        <is>
          <t>candidate</t>
        </is>
      </c>
      <c r="P33" s="11" t="inlineStr">
        <is>
          <t>overruled</t>
        </is>
      </c>
      <c r="Q33" s="2" t="inlineStr">
        <is>
          <t>the view that anticipatory bail must end after a fixed period</t>
        </is>
      </c>
      <c r="R33" s="2" t="inlineStr"/>
      <c r="S33" s="2" t="inlineStr">
        <is>
          <t>Naresh Kumar Yadav v. Ravindra Kumar (2008) is reported as overruled by Sushila Aggarwal v. State (NCT of Delhi) (2020) (not yet confirmed by our reviewer).</t>
        </is>
      </c>
    </row>
    <row r="34">
      <c r="A34" s="11" t="n">
        <v>31</v>
      </c>
      <c r="B34" s="11" t="inlineStr">
        <is>
          <t>L2-031</t>
        </is>
      </c>
      <c r="C34" s="2" t="inlineStr">
        <is>
          <t>Siddharam Satlingappa Mhetre v. State of Maharashtra</t>
        </is>
      </c>
      <c r="D34" s="11" t="inlineStr">
        <is>
          <t>2011</t>
        </is>
      </c>
      <c r="E34" s="2" t="inlineStr">
        <is>
          <t>Sushila Aggarwal v. State (NCT of Delhi)</t>
        </is>
      </c>
      <c r="F34" s="11" t="inlineStr">
        <is>
          <t>2020</t>
        </is>
      </c>
      <c r="G34" s="11" t="inlineStr">
        <is>
          <t>2020-01-29</t>
        </is>
      </c>
      <c r="H34" s="11" t="n">
        <v>5</v>
      </c>
      <c r="I34" s="11" t="inlineStr">
        <is>
          <t>b2020_2_1_131</t>
        </is>
      </c>
      <c r="J34" s="11" t="inlineStr">
        <is>
          <t>C</t>
        </is>
      </c>
      <c r="K34" s="2" t="inlineStr">
        <is>
          <t>Confirmed as stated</t>
        </is>
      </c>
      <c r="L34" s="2" t="inlineStr">
        <is>
          <t>the judgment's own sentence in its body</t>
        </is>
      </c>
      <c r="M34" s="2" t="inlineStr">
        <is>
          <t>observations in Mhetre that no restrictive conditions at all can be imposed ... are hereby overruled</t>
        </is>
      </c>
      <c r="N34" s="2" t="inlineStr">
        <is>
          <t>Partly, as the list says. Decided 2 Dec 2010; list says 2011. The headnote's case list for another opinion in the same judgment also tags Bhadresh Bipinbhai Sheth (2016) 'overruled'; the list omits it (headnote only).</t>
        </is>
      </c>
      <c r="O34" s="11" t="inlineStr">
        <is>
          <t>candidate</t>
        </is>
      </c>
      <c r="P34" s="11" t="inlineStr">
        <is>
          <t>overruled_in_part</t>
        </is>
      </c>
      <c r="Q34" s="2" t="inlineStr">
        <is>
          <t>the view that no restrictive conditions at all can be imposed on anticipatory bail</t>
        </is>
      </c>
      <c r="R34" s="2" t="inlineStr"/>
      <c r="S34" s="2" t="inlineStr">
        <is>
          <t>Siddharam Satlingappa Mhetre v. State of Maharashtra (2011) is reported as overruled in part by Sushila Aggarwal v. State (NCT of Delhi) (2020) (the view that no restrictive conditions at all can be imposed on anticipatory bail) (not yet confirmed by our reviewer).</t>
        </is>
      </c>
    </row>
    <row r="35">
      <c r="A35" s="11" t="n">
        <v>32</v>
      </c>
      <c r="B35" s="11" t="inlineStr">
        <is>
          <t>L2-032</t>
        </is>
      </c>
      <c r="C35" s="2" t="inlineStr">
        <is>
          <t>Shafhi Mohammad v. State of Himachal Pradesh</t>
        </is>
      </c>
      <c r="D35" s="11" t="inlineStr">
        <is>
          <t>2018</t>
        </is>
      </c>
      <c r="E35" s="2" t="inlineStr">
        <is>
          <t>Arjun Panditrao Khotkar v. Kailash Kushanrao Gorantyal</t>
        </is>
      </c>
      <c r="F35" s="11" t="inlineStr">
        <is>
          <t>2020</t>
        </is>
      </c>
      <c r="G35" s="11" t="inlineStr">
        <is>
          <t>2020-07-14</t>
        </is>
      </c>
      <c r="H35" s="11" t="n">
        <v>3</v>
      </c>
      <c r="I35" s="11" t="inlineStr">
        <is>
          <t>b2020_7_180_282</t>
        </is>
      </c>
      <c r="J35" s="11" t="inlineStr">
        <is>
          <t>C</t>
        </is>
      </c>
      <c r="K35" s="2" t="inlineStr">
        <is>
          <t>Confirmed as stated</t>
        </is>
      </c>
      <c r="L35" s="2" t="inlineStr">
        <is>
          <t>the judgment's own sentence in its body</t>
        </is>
      </c>
      <c r="M35" s="2" t="inlineStr">
        <is>
          <t>do not lay down the law correctly and are therefore overruled</t>
        </is>
      </c>
      <c r="N35" s="2" t="inlineStr">
        <is>
          <t>3-judge bench.</t>
        </is>
      </c>
      <c r="O35" s="11" t="inlineStr">
        <is>
          <t>candidate</t>
        </is>
      </c>
      <c r="P35" s="11" t="inlineStr">
        <is>
          <t>overruled</t>
        </is>
      </c>
      <c r="Q35" s="2" t="inlineStr">
        <is>
          <t>the view that a section 65B(4) certificate can be dispensed with where the party cannot produce one</t>
        </is>
      </c>
      <c r="R35" s="2" t="inlineStr"/>
      <c r="S35" s="2" t="inlineStr">
        <is>
          <t>Shafhi Mohammad v. State of Himachal Pradesh (2018) is reported as overruled by Arjun Panditrao Khotkar v. Kailash Kushanrao Gorantyal (2020) (not yet confirmed by our reviewer).</t>
        </is>
      </c>
    </row>
    <row r="36">
      <c r="A36" s="11" t="n">
        <v>33</v>
      </c>
      <c r="B36" s="11" t="inlineStr">
        <is>
          <t>L2-033</t>
        </is>
      </c>
      <c r="C36" s="2" t="inlineStr">
        <is>
          <t>Tomaso Bruno v. State of U.P.</t>
        </is>
      </c>
      <c r="D36" s="11" t="inlineStr">
        <is>
          <t>2015</t>
        </is>
      </c>
      <c r="E36" s="2" t="inlineStr">
        <is>
          <t>Arjun Panditrao Khotkar v. Kailash Kushanrao Gorantyal</t>
        </is>
      </c>
      <c r="F36" s="11" t="inlineStr">
        <is>
          <t>2020</t>
        </is>
      </c>
      <c r="G36" s="11" t="inlineStr">
        <is>
          <t>2020-07-14</t>
        </is>
      </c>
      <c r="H36" s="11" t="n">
        <v>3</v>
      </c>
      <c r="I36" s="11" t="inlineStr">
        <is>
          <t>b2020_7_180_282</t>
        </is>
      </c>
      <c r="J36" s="11" t="inlineStr">
        <is>
          <t>CN</t>
        </is>
      </c>
      <c r="K36" s="2" t="inlineStr">
        <is>
          <t>Confirmed, but needs a caveat or is incomplete</t>
        </is>
      </c>
      <c r="L36" s="2" t="inlineStr">
        <is>
          <t>headnote and body</t>
        </is>
      </c>
      <c r="M36" s="2" t="inlineStr">
        <is>
          <t>Tomaso Bruno ... being per incuriam, does not lay down the law correctly ... overruled</t>
        </is>
      </c>
      <c r="N36" s="2" t="inlineStr">
        <is>
          <t>Both Tomaso Bruno (2015) and the overruling bench are 3-judge benches in our metadata: lawyer should confirm how the court treated a same-strength decision.</t>
        </is>
      </c>
      <c r="O36" s="11" t="inlineStr">
        <is>
          <t>candidate</t>
        </is>
      </c>
      <c r="P36" s="11" t="inlineStr">
        <is>
          <t>overruled</t>
        </is>
      </c>
      <c r="Q36" s="2" t="inlineStr">
        <is>
          <t>secondary evidence of electronic records (CCTV footage) under section 65 of the Evidence Act</t>
        </is>
      </c>
      <c r="R36" s="2" t="inlineStr"/>
      <c r="S36" s="2" t="inlineStr">
        <is>
          <t>Tomaso Bruno v. State of U.P. (2015) is reported as overruled by Arjun Panditrao Khotkar v. Kailash Kushanrao Gorantyal (2020) (not yet confirmed by our reviewer).</t>
        </is>
      </c>
    </row>
    <row r="37">
      <c r="A37" s="11" t="n">
        <v>34</v>
      </c>
      <c r="B37" s="11" t="inlineStr">
        <is>
          <t>L2-034</t>
        </is>
      </c>
      <c r="C37" s="2" t="inlineStr">
        <is>
          <t>Mohan Lal v. State of Punjab</t>
        </is>
      </c>
      <c r="D37" s="11" t="inlineStr">
        <is>
          <t>2018</t>
        </is>
      </c>
      <c r="E37" s="2" t="inlineStr">
        <is>
          <t>Mukesh Singh v. State (Narcotic Branch of Delhi)</t>
        </is>
      </c>
      <c r="F37" s="11" t="inlineStr">
        <is>
          <t>2020</t>
        </is>
      </c>
      <c r="G37" s="11" t="inlineStr">
        <is>
          <t>2020-08-31</t>
        </is>
      </c>
      <c r="H37" s="11" t="n">
        <v>5</v>
      </c>
      <c r="I37" s="11" t="inlineStr">
        <is>
          <t>b2020_9_245_302</t>
        </is>
      </c>
      <c r="J37" s="11" t="inlineStr">
        <is>
          <t>C</t>
        </is>
      </c>
      <c r="K37" s="2" t="inlineStr">
        <is>
          <t>Confirmed as stated</t>
        </is>
      </c>
      <c r="L37" s="2" t="inlineStr">
        <is>
          <t>headnote and body</t>
        </is>
      </c>
      <c r="M37" s="2" t="inlineStr">
        <is>
          <t>are not good law and they are specifically overruled</t>
        </is>
      </c>
      <c r="N37" s="2" t="inlineStr">
        <is>
          <t>5-judge bench. Mohan Lal itself overruled Kader (2018, 3 judges; omitted by the list): chain.</t>
        </is>
      </c>
      <c r="O37" s="11" t="inlineStr">
        <is>
          <t>candidate</t>
        </is>
      </c>
      <c r="P37" s="11" t="inlineStr">
        <is>
          <t>overruled</t>
        </is>
      </c>
      <c r="Q37" s="2" t="inlineStr">
        <is>
          <t>the informant who is also the investigator: acquittal is not automatic</t>
        </is>
      </c>
      <c r="R37" s="2" t="inlineStr"/>
      <c r="S37" s="2" t="inlineStr">
        <is>
          <t>Mohan Lal v. State of Punjab (2018) is reported as overruled by Mukesh Singh v. State (Narcotic Branch of Delhi) (2020) (not yet confirmed by our reviewer).</t>
        </is>
      </c>
    </row>
    <row r="38">
      <c r="A38" s="11" t="n">
        <v>35</v>
      </c>
      <c r="B38" s="11" t="inlineStr">
        <is>
          <t>L2-035</t>
        </is>
      </c>
      <c r="C38" s="2" t="inlineStr">
        <is>
          <t>Prakash v. Phulavati</t>
        </is>
      </c>
      <c r="D38" s="11" t="inlineStr">
        <is>
          <t>2016</t>
        </is>
      </c>
      <c r="E38" s="2" t="inlineStr">
        <is>
          <t>Vineeta Sharma v. Rakesh Sharma</t>
        </is>
      </c>
      <c r="F38" s="11" t="inlineStr">
        <is>
          <t>2020</t>
        </is>
      </c>
      <c r="G38" s="11" t="inlineStr">
        <is>
          <t>2020-08-11</t>
        </is>
      </c>
      <c r="H38" s="11" t="n">
        <v>3</v>
      </c>
      <c r="I38" s="11" t="inlineStr">
        <is>
          <t>b2020_10_135_237</t>
        </is>
      </c>
      <c r="J38" s="11" t="inlineStr">
        <is>
          <t>C</t>
        </is>
      </c>
      <c r="K38" s="2" t="inlineStr">
        <is>
          <t>Confirmed as stated</t>
        </is>
      </c>
      <c r="L38" s="2" t="inlineStr">
        <is>
          <t>the judgment's own sentence in its body</t>
        </is>
      </c>
      <c r="M38" s="2" t="inlineStr">
        <is>
          <t>we overrule the views to the contrary expressed in Prakash v. Phulavati and Mangammal v. T.B. Raju</t>
        </is>
      </c>
      <c r="N38" s="2" t="inlineStr">
        <is>
          <t>3-judge bench.</t>
        </is>
      </c>
      <c r="O38" s="11" t="inlineStr">
        <is>
          <t>candidate</t>
        </is>
      </c>
      <c r="P38" s="11" t="inlineStr">
        <is>
          <t>overruled</t>
        </is>
      </c>
      <c r="Q38" s="2" t="inlineStr">
        <is>
          <t>daughters' rights under section 6 of the Hindu Succession Act: only living daughters of living coparceners</t>
        </is>
      </c>
      <c r="R38" s="2" t="inlineStr"/>
      <c r="S38" s="2" t="inlineStr">
        <is>
          <t>Prakash v. Phulavati (2016) is reported as overruled by Vineeta Sharma v. Rakesh Sharma (2020) (not yet confirmed by our reviewer).</t>
        </is>
      </c>
    </row>
    <row r="39">
      <c r="A39" s="11" t="n">
        <v>36</v>
      </c>
      <c r="B39" s="11" t="inlineStr">
        <is>
          <t>L2-036</t>
        </is>
      </c>
      <c r="C39" s="2" t="inlineStr">
        <is>
          <t>Mangammal v. T.B. Raju</t>
        </is>
      </c>
      <c r="D39" s="11" t="inlineStr">
        <is>
          <t>2018</t>
        </is>
      </c>
      <c r="E39" s="2" t="inlineStr">
        <is>
          <t>Vineeta Sharma v. Rakesh Sharma</t>
        </is>
      </c>
      <c r="F39" s="11" t="inlineStr">
        <is>
          <t>2020</t>
        </is>
      </c>
      <c r="G39" s="11" t="inlineStr">
        <is>
          <t>2020-08-11</t>
        </is>
      </c>
      <c r="H39" s="11" t="n">
        <v>3</v>
      </c>
      <c r="I39" s="11" t="inlineStr">
        <is>
          <t>b2020_10_135_237</t>
        </is>
      </c>
      <c r="J39" s="11" t="inlineStr">
        <is>
          <t>C</t>
        </is>
      </c>
      <c r="K39" s="2" t="inlineStr">
        <is>
          <t>Confirmed as stated</t>
        </is>
      </c>
      <c r="L39" s="2" t="inlineStr">
        <is>
          <t>the judgment's own sentence in its body</t>
        </is>
      </c>
      <c r="M39" s="2" t="inlineStr">
        <is>
          <t>same sentence as row 35</t>
        </is>
      </c>
      <c r="N39" s="2" t="inlineStr"/>
      <c r="O39" s="11" t="inlineStr">
        <is>
          <t>candidate</t>
        </is>
      </c>
      <c r="P39" s="11" t="inlineStr">
        <is>
          <t>overruled</t>
        </is>
      </c>
      <c r="Q39" s="2" t="inlineStr">
        <is>
          <t>daughters' rights under section 6 of the Hindu Succession Act</t>
        </is>
      </c>
      <c r="R39" s="2" t="inlineStr"/>
      <c r="S39" s="2" t="inlineStr">
        <is>
          <t>Mangammal v. T.B. Raju (2018) is reported as overruled by Vineeta Sharma v. Rakesh Sharma (2020) (not yet confirmed by our reviewer).</t>
        </is>
      </c>
    </row>
    <row r="40">
      <c r="A40" s="11" t="n">
        <v>37</v>
      </c>
      <c r="B40" s="11" t="inlineStr">
        <is>
          <t>L2-037</t>
        </is>
      </c>
      <c r="C40" s="2" t="inlineStr">
        <is>
          <t>Danamma @ Suman Surpur v. Amar</t>
        </is>
      </c>
      <c r="D40" s="11" t="inlineStr">
        <is>
          <t>2018</t>
        </is>
      </c>
      <c r="E40" s="2" t="inlineStr">
        <is>
          <t>Vineeta Sharma v. Rakesh Sharma</t>
        </is>
      </c>
      <c r="F40" s="11" t="inlineStr">
        <is>
          <t>2020</t>
        </is>
      </c>
      <c r="G40" s="11" t="inlineStr">
        <is>
          <t>2020-08-11</t>
        </is>
      </c>
      <c r="H40" s="11" t="n">
        <v>3</v>
      </c>
      <c r="I40" s="11" t="inlineStr">
        <is>
          <t>b2020_10_135_237</t>
        </is>
      </c>
      <c r="J40" s="11" t="inlineStr">
        <is>
          <t>C</t>
        </is>
      </c>
      <c r="K40" s="2" t="inlineStr">
        <is>
          <t>Confirmed as stated</t>
        </is>
      </c>
      <c r="L40" s="2" t="inlineStr">
        <is>
          <t>the judgment's own sentence in its body</t>
        </is>
      </c>
      <c r="M40" s="2" t="inlineStr">
        <is>
          <t>The opinion expressed in Danamma is partly overruled to the extent it is contrary to this decision</t>
        </is>
      </c>
      <c r="N40" s="2" t="inlineStr">
        <is>
          <t>Partly, as the list says.</t>
        </is>
      </c>
      <c r="O40" s="11" t="inlineStr">
        <is>
          <t>candidate</t>
        </is>
      </c>
      <c r="P40" s="11" t="inlineStr">
        <is>
          <t>overruled_in_part</t>
        </is>
      </c>
      <c r="Q40" s="2" t="inlineStr">
        <is>
          <t>to the extent contrary to Vineeta Sharma</t>
        </is>
      </c>
      <c r="R40" s="2" t="inlineStr"/>
      <c r="S40" s="2" t="inlineStr">
        <is>
          <t>Danamma @ Suman Surpur v. Amar (2018) is reported as overruled in part by Vineeta Sharma v. Rakesh Sharma (2020) (to the extent contrary to Vineeta Sharma) (not yet confirmed by our reviewer).</t>
        </is>
      </c>
    </row>
    <row r="41">
      <c r="A41" s="11" t="n">
        <v>38</v>
      </c>
      <c r="B41" s="11" t="inlineStr">
        <is>
          <t>L2-038</t>
        </is>
      </c>
      <c r="C41" s="2" t="inlineStr">
        <is>
          <t>Himangni Enterprises v. Kamaljeet Singh Ahluwalia</t>
        </is>
      </c>
      <c r="D41" s="11" t="inlineStr">
        <is>
          <t>2017</t>
        </is>
      </c>
      <c r="E41" s="2" t="inlineStr">
        <is>
          <t>Vidya Drolia v. Durga Trading Corporation</t>
        </is>
      </c>
      <c r="F41" s="11" t="inlineStr">
        <is>
          <t>2020</t>
        </is>
      </c>
      <c r="G41" s="11" t="inlineStr">
        <is>
          <t>2020-12-14</t>
        </is>
      </c>
      <c r="H41" s="11" t="n">
        <v>3</v>
      </c>
      <c r="I41" s="11" t="inlineStr">
        <is>
          <t>b2020_11_1001_1180</t>
        </is>
      </c>
      <c r="J41" s="11" t="inlineStr">
        <is>
          <t>CN</t>
        </is>
      </c>
      <c r="K41" s="2" t="inlineStr">
        <is>
          <t>Confirmed, but needs a caveat or is incomplete</t>
        </is>
      </c>
      <c r="L41" s="2" t="inlineStr">
        <is>
          <t>the judgment's own sentence in its body</t>
        </is>
      </c>
      <c r="M41" s="2" t="inlineStr">
        <is>
          <t>we overrule the ratio laid down in Himangni Enterprises</t>
        </is>
      </c>
      <c r="N41" s="2" t="inlineStr">
        <is>
          <t>N. Radhakrishnan v. Maestro Engineers (2010) is also tagged 'overruled' in the same judgment; the list omits it.</t>
        </is>
      </c>
      <c r="O41" s="11" t="inlineStr">
        <is>
          <t>candidate</t>
        </is>
      </c>
      <c r="P41" s="11" t="inlineStr">
        <is>
          <t>overruled</t>
        </is>
      </c>
      <c r="Q41" s="2" t="inlineStr">
        <is>
          <t>the holding that landlord-tenant disputes under the Transfer of Property Act are not arbitrable</t>
        </is>
      </c>
      <c r="R41" s="2" t="inlineStr"/>
      <c r="S41" s="2" t="inlineStr">
        <is>
          <t>Himangni Enterprises v. Kamaljeet Singh Ahluwalia (2017) is reported as overruled by Vidya Drolia v. Durga Trading Corporation (2020) (not yet confirmed by our reviewer).</t>
        </is>
      </c>
    </row>
    <row r="42">
      <c r="A42" s="11" t="n">
        <v>39</v>
      </c>
      <c r="B42" s="11" t="inlineStr">
        <is>
          <t>L2-039</t>
        </is>
      </c>
      <c r="C42" s="2" t="inlineStr">
        <is>
          <t>V. Surendra Mohan v. State of Tamil Nadu</t>
        </is>
      </c>
      <c r="D42" s="11" t="inlineStr">
        <is>
          <t>2019</t>
        </is>
      </c>
      <c r="E42" s="2" t="inlineStr">
        <is>
          <t>Vikash Kumar v. UPSC</t>
        </is>
      </c>
      <c r="F42" s="11" t="inlineStr">
        <is>
          <t>2021</t>
        </is>
      </c>
      <c r="G42" s="11" t="inlineStr">
        <is>
          <t>2021-02-11</t>
        </is>
      </c>
      <c r="H42" s="11" t="n">
        <v>3</v>
      </c>
      <c r="I42" s="11" t="inlineStr">
        <is>
          <t>b2021_12_311_364</t>
        </is>
      </c>
      <c r="J42" s="11" t="inlineStr">
        <is>
          <t>W</t>
        </is>
      </c>
      <c r="K42" s="2" t="inlineStr">
        <is>
          <t>Wrong in a material detail</t>
        </is>
      </c>
      <c r="L42" s="2" t="inlineStr">
        <is>
          <t>the judgment's own sentence in its body</t>
        </is>
      </c>
      <c r="M42" s="2" t="inlineStr">
        <is>
          <t>the Mohan judgment stands on a legally vulnerable footing. It would not be a binding precedent, after enforcement of the RPwD Act 2016</t>
        </is>
      </c>
      <c r="N42" s="2" t="inlineStr">
        <is>
          <t>The court does not overrule Surendra Mohan; the report's headnote lists it only as 'referred to'. The list's label 'Expressly overruled' is not what the court said.</t>
        </is>
      </c>
      <c r="O42" s="11" t="inlineStr">
        <is>
          <t>candidate</t>
        </is>
      </c>
      <c r="P42" s="11" t="inlineStr">
        <is>
          <t>not_binding</t>
        </is>
      </c>
      <c r="Q42" s="2" t="inlineStr">
        <is>
          <t>after the RPwD Act 2016, as a decision under the 1995 Act without a reasonable-accommodation analysis</t>
        </is>
      </c>
      <c r="R42" s="2" t="inlineStr"/>
      <c r="S42" s="2" t="inlineStr">
        <is>
          <t>V. Surendra Mohan v. State of Tamil Nadu (2019) is reported as held not to be a binding precedent in Vikash Kumar v. Union Public Service Commission (2021) (after the RPwD Act 2016, as a decision under the 1995 Act without a reasonable-accommodation analysis) (not yet confirmed by our reviewer).</t>
        </is>
      </c>
    </row>
    <row r="43">
      <c r="A43" s="11" t="n">
        <v>40</v>
      </c>
      <c r="B43" s="11" t="inlineStr">
        <is>
          <t>L2-040</t>
        </is>
      </c>
      <c r="C43" s="2" t="inlineStr">
        <is>
          <t>M/s N.V. International v. State of Assam</t>
        </is>
      </c>
      <c r="D43" s="11" t="inlineStr">
        <is>
          <t>2020</t>
        </is>
      </c>
      <c r="E43" s="2" t="inlineStr">
        <is>
          <t>Government of Maharashtra v. Borse Brothers Engineers &amp; Contractors</t>
        </is>
      </c>
      <c r="F43" s="11" t="inlineStr">
        <is>
          <t>2021</t>
        </is>
      </c>
      <c r="G43" s="11" t="inlineStr">
        <is>
          <t>2021-03-19</t>
        </is>
      </c>
      <c r="H43" s="11" t="n">
        <v>3</v>
      </c>
      <c r="I43" s="11" t="inlineStr">
        <is>
          <t>b2021_3_193_254</t>
        </is>
      </c>
      <c r="J43" s="11" t="inlineStr">
        <is>
          <t>C</t>
        </is>
      </c>
      <c r="K43" s="2" t="inlineStr">
        <is>
          <t>Confirmed as stated</t>
        </is>
      </c>
      <c r="L43" s="2" t="inlineStr">
        <is>
          <t>the judgment's own sentence in its body</t>
        </is>
      </c>
      <c r="M43" s="2" t="inlineStr">
        <is>
          <t>N.V. International has been wrongly decided and is therefore overruled</t>
        </is>
      </c>
      <c r="N43" s="2" t="inlineStr">
        <is>
          <t>3-judge bench.</t>
        </is>
      </c>
      <c r="O43" s="11" t="inlineStr">
        <is>
          <t>candidate</t>
        </is>
      </c>
      <c r="P43" s="11" t="inlineStr">
        <is>
          <t>overruled</t>
        </is>
      </c>
      <c r="Q43" s="2" t="inlineStr">
        <is>
          <t>the rule that delay beyond 120 days cannot be condoned in a section 37 appeal</t>
        </is>
      </c>
      <c r="R43" s="2" t="inlineStr"/>
      <c r="S43" s="2" t="inlineStr">
        <is>
          <t>M/s N.V. International v. State of Assam (2020) is reported as overruled by Government of Maharashtra v. Borse Brothers Engineers &amp; Contractors (2021) (not yet confirmed by our reviewer).</t>
        </is>
      </c>
    </row>
    <row r="44">
      <c r="A44" s="11" t="n">
        <v>41</v>
      </c>
      <c r="B44" s="11" t="inlineStr">
        <is>
          <t>L2-041</t>
        </is>
      </c>
      <c r="C44" s="2" t="inlineStr">
        <is>
          <t>Pune Municipal Corporation v. Harakchand Misirimal Solanki</t>
        </is>
      </c>
      <c r="D44" s="11" t="inlineStr">
        <is>
          <t>2014</t>
        </is>
      </c>
      <c r="E44" s="2" t="inlineStr">
        <is>
          <t>Indore Development Authority v. Manoharlal</t>
        </is>
      </c>
      <c r="F44" s="11" t="inlineStr">
        <is>
          <t>2020</t>
        </is>
      </c>
      <c r="G44" s="11" t="inlineStr">
        <is>
          <t>2020-03-06</t>
        </is>
      </c>
      <c r="H44" s="11" t="n">
        <v>5</v>
      </c>
      <c r="I44" s="11" t="inlineStr">
        <is>
          <t>b2020_3_1_328</t>
        </is>
      </c>
      <c r="J44" s="11" t="inlineStr">
        <is>
          <t>C</t>
        </is>
      </c>
      <c r="K44" s="2" t="inlineStr">
        <is>
          <t>Confirmed as stated</t>
        </is>
      </c>
      <c r="L44" s="2" t="inlineStr">
        <is>
          <t>the judgment's own sentence in its body</t>
        </is>
      </c>
      <c r="M44" s="2" t="inlineStr">
        <is>
          <t>the decision rendered in Pune Municipal Corpn. is hereby overruled and all other decisions in which [it] has been followed, are also overruled</t>
        </is>
      </c>
      <c r="N44" s="2" t="inlineStr">
        <is>
          <t>5-judge bench.</t>
        </is>
      </c>
      <c r="O44" s="11" t="inlineStr">
        <is>
          <t>candidate</t>
        </is>
      </c>
      <c r="P44" s="11" t="inlineStr">
        <is>
          <t>overruled</t>
        </is>
      </c>
      <c r="Q44" s="2" t="inlineStr">
        <is>
          <t>the reading of section 24(2) of the 2013 Act on lapse of acquisition</t>
        </is>
      </c>
      <c r="R44" s="2" t="inlineStr"/>
      <c r="S44" s="2" t="inlineStr">
        <is>
          <t>Pune Municipal Corporation v. Harakchand Misirimal Solanki (2014) is reported as overruled by Indore Development Authority v. Manoharlal (2020) (not yet confirmed by our reviewer).</t>
        </is>
      </c>
    </row>
    <row r="45">
      <c r="A45" s="11" t="n">
        <v>42</v>
      </c>
      <c r="B45" s="11" t="inlineStr">
        <is>
          <t>L2-042</t>
        </is>
      </c>
      <c r="C45" s="2" t="inlineStr">
        <is>
          <t>Sree Balaji Nagar Residential Association v. State of Tamil Nadu</t>
        </is>
      </c>
      <c r="D45" s="11" t="inlineStr">
        <is>
          <t>2015</t>
        </is>
      </c>
      <c r="E45" s="2" t="inlineStr">
        <is>
          <t>Delhi Development Authority v. Asha Prakash / later application of</t>
        </is>
      </c>
      <c r="F45" s="11" t="inlineStr">
        <is>
          <t>2023</t>
        </is>
      </c>
      <c r="G45" s="11" t="inlineStr">
        <is>
          <t>2020-03-06</t>
        </is>
      </c>
      <c r="H45" s="11" t="n">
        <v>5</v>
      </c>
      <c r="I45" s="11" t="inlineStr">
        <is>
          <t>b2020_3_1_328 (the list names b2023_1_919_924)</t>
        </is>
      </c>
      <c r="J45" s="11" t="inlineStr">
        <is>
          <t>W</t>
        </is>
      </c>
      <c r="K45" s="2" t="inlineStr">
        <is>
          <t>Wrong in a material detail</t>
        </is>
      </c>
      <c r="L45" s="2" t="inlineStr">
        <is>
          <t>the judgment's own sentence in its body</t>
        </is>
      </c>
      <c r="M45" s="2" t="inlineStr">
        <is>
          <t>The decision in Shree Balaji Nagar Residential Association cannot be said to be laying down good law, is overruled</t>
        </is>
      </c>
      <c r="N45" s="2" t="inlineStr">
        <is>
          <t>The fact is right, the overruling case is not: the 5-judge bench in Indore Development Authority v. Manoharlal (2020) did it. DDA v. Asha Prakash (2023, 2 judges) only quotes that holding. Indore Development Authority v. Shailendra (2018, 3 judges) also says Shree Balaji is overruled (collection, same sentence form): the list shows neither.</t>
        </is>
      </c>
      <c r="O45" s="11" t="inlineStr">
        <is>
          <t>candidate</t>
        </is>
      </c>
      <c r="P45" s="11" t="inlineStr">
        <is>
          <t>overruled</t>
        </is>
      </c>
      <c r="Q45" s="2" t="inlineStr">
        <is>
          <t>the reading of section 24(2) of the 2013 Act on lapse of acquisition</t>
        </is>
      </c>
      <c r="R45" s="2" t="inlineStr"/>
      <c r="S45" s="2" t="inlineStr">
        <is>
          <t>Sree Balaji Nagar Residential Association v. State of Tamil Nadu (2015) is reported as overruled by Indore Development Authority v. Manoharlal (2020) (not yet confirmed by our reviewer).</t>
        </is>
      </c>
    </row>
    <row r="46">
      <c r="A46" s="11" t="n">
        <v>43</v>
      </c>
      <c r="B46" s="11" t="inlineStr">
        <is>
          <t>L2-043</t>
        </is>
      </c>
      <c r="C46" s="2" t="inlineStr">
        <is>
          <t>Union of India v. Major General Shri Kant Sharma</t>
        </is>
      </c>
      <c r="D46" s="11" t="inlineStr">
        <is>
          <t>2015</t>
        </is>
      </c>
      <c r="E46" s="2" t="inlineStr">
        <is>
          <t>Union of India v. Parshotam Dass</t>
        </is>
      </c>
      <c r="F46" s="11" t="inlineStr">
        <is>
          <t>2023</t>
        </is>
      </c>
      <c r="G46" s="11" t="n"/>
      <c r="H46" s="11" t="n"/>
      <c r="I46" s="11" t="inlineStr"/>
      <c r="J46" s="11" t="inlineStr">
        <is>
          <t>U</t>
        </is>
      </c>
      <c r="K46" s="2" t="inlineStr">
        <is>
          <t>Cannot be checked from our collection</t>
        </is>
      </c>
      <c r="L46" s="2" t="inlineStr">
        <is>
          <t>-</t>
        </is>
      </c>
      <c r="M46" s="2" t="inlineStr">
        <is>
          <t>(not in our collection)</t>
        </is>
      </c>
      <c r="N46" s="2" t="inlineStr">
        <is>
          <t>Union of India v. Parshotam Dass (2023) is not in the collection; nothing could be checked.</t>
        </is>
      </c>
      <c r="O46" s="11" t="inlineStr">
        <is>
          <t>unchecked</t>
        </is>
      </c>
      <c r="P46" s="11" t="inlineStr">
        <is>
          <t>overruled</t>
        </is>
      </c>
      <c r="Q46" s="2" t="n"/>
      <c r="R46" s="2" t="inlineStr"/>
      <c r="S46" s="2" t="inlineStr">
        <is>
          <t>(no wording)</t>
        </is>
      </c>
    </row>
    <row r="47">
      <c r="A47" s="11" t="n">
        <v>44</v>
      </c>
      <c r="B47" s="11" t="inlineStr">
        <is>
          <t>L2-044</t>
        </is>
      </c>
      <c r="C47" s="2" t="inlineStr">
        <is>
          <t>Arup Bhuyan v. State of Assam</t>
        </is>
      </c>
      <c r="D47" s="11" t="inlineStr">
        <is>
          <t>2011</t>
        </is>
      </c>
      <c r="E47" s="2" t="inlineStr">
        <is>
          <t>Arup Bhuyan v. State of Assam (larger Bench)</t>
        </is>
      </c>
      <c r="F47" s="11" t="inlineStr">
        <is>
          <t>2023</t>
        </is>
      </c>
      <c r="G47" s="11" t="inlineStr">
        <is>
          <t>2023-03-24</t>
        </is>
      </c>
      <c r="H47" s="11" t="n">
        <v>3</v>
      </c>
      <c r="I47" s="11" t="inlineStr">
        <is>
          <t>b2023_8_496_580</t>
        </is>
      </c>
      <c r="J47" s="11" t="inlineStr">
        <is>
          <t>C</t>
        </is>
      </c>
      <c r="K47" s="2" t="inlineStr">
        <is>
          <t>Confirmed as stated</t>
        </is>
      </c>
      <c r="L47" s="2" t="inlineStr">
        <is>
          <t>the law report's headnote only</t>
        </is>
      </c>
      <c r="M47" s="2" t="inlineStr">
        <is>
          <t>held not good law (the report's tag)</t>
        </is>
      </c>
      <c r="N47" s="2" t="inlineStr">
        <is>
          <t>3-judge bench. 'Not good law' is the court's phrase, not 'overruled'.</t>
        </is>
      </c>
      <c r="O47" s="11" t="inlineStr">
        <is>
          <t>candidate</t>
        </is>
      </c>
      <c r="P47" s="11" t="inlineStr">
        <is>
          <t>not_good_law</t>
        </is>
      </c>
      <c r="Q47" s="2" t="inlineStr">
        <is>
          <t>mere membership of a banned organisation (section 10(a)(i) UAPA)</t>
        </is>
      </c>
      <c r="R47" s="2" t="inlineStr"/>
      <c r="S47" s="2" t="inlineStr">
        <is>
          <t>Arup Bhuyan v. State of Assam (2011) is reported as held not to be good law in Arup Bhuyan v. State of Assam (2023) (not yet confirmed by our reviewer).</t>
        </is>
      </c>
    </row>
    <row r="48">
      <c r="A48" s="11" t="n">
        <v>45</v>
      </c>
      <c r="B48" s="11" t="inlineStr">
        <is>
          <t>L2-045</t>
        </is>
      </c>
      <c r="C48" s="2" t="inlineStr">
        <is>
          <t>Indra Das v. State of Assam</t>
        </is>
      </c>
      <c r="D48" s="11" t="inlineStr">
        <is>
          <t>2011</t>
        </is>
      </c>
      <c r="E48" s="2" t="inlineStr">
        <is>
          <t>Arup Bhuyan v. State of Assam (larger Bench)</t>
        </is>
      </c>
      <c r="F48" s="11" t="inlineStr">
        <is>
          <t>2023</t>
        </is>
      </c>
      <c r="G48" s="11" t="inlineStr">
        <is>
          <t>2023-03-24</t>
        </is>
      </c>
      <c r="H48" s="11" t="n">
        <v>3</v>
      </c>
      <c r="I48" s="11" t="inlineStr">
        <is>
          <t>b2023_8_496_580</t>
        </is>
      </c>
      <c r="J48" s="11" t="inlineStr">
        <is>
          <t>C</t>
        </is>
      </c>
      <c r="K48" s="2" t="inlineStr">
        <is>
          <t>Confirmed as stated</t>
        </is>
      </c>
      <c r="L48" s="2" t="inlineStr">
        <is>
          <t>the law report's headnote only</t>
        </is>
      </c>
      <c r="M48" s="2" t="inlineStr">
        <is>
          <t>held not good law</t>
        </is>
      </c>
      <c r="N48" s="2" t="inlineStr">
        <is>
          <t>3-judge bench.</t>
        </is>
      </c>
      <c r="O48" s="11" t="inlineStr">
        <is>
          <t>candidate</t>
        </is>
      </c>
      <c r="P48" s="11" t="inlineStr">
        <is>
          <t>not_good_law</t>
        </is>
      </c>
      <c r="Q48" s="2" t="inlineStr">
        <is>
          <t>mere membership of a banned organisation (section 10(a)(i) UAPA)</t>
        </is>
      </c>
      <c r="R48" s="2" t="inlineStr"/>
      <c r="S48" s="2" t="inlineStr">
        <is>
          <t>Indra Das v. State of Assam (2011) is reported as held not to be good law in Arup Bhuyan v. State of Assam (2023) (not yet confirmed by our reviewer).</t>
        </is>
      </c>
    </row>
    <row r="49">
      <c r="A49" s="11" t="n">
        <v>46</v>
      </c>
      <c r="B49" s="11" t="inlineStr">
        <is>
          <t>L2-046</t>
        </is>
      </c>
      <c r="C49" s="2" t="inlineStr">
        <is>
          <t>State of Kerala v. Raneef</t>
        </is>
      </c>
      <c r="D49" s="11" t="inlineStr">
        <is>
          <t>2011</t>
        </is>
      </c>
      <c r="E49" s="2" t="inlineStr">
        <is>
          <t>Arup Bhuyan v. State of Assam (larger Bench)</t>
        </is>
      </c>
      <c r="F49" s="11" t="inlineStr">
        <is>
          <t>2023</t>
        </is>
      </c>
      <c r="G49" s="11" t="inlineStr">
        <is>
          <t>2023-03-24</t>
        </is>
      </c>
      <c r="H49" s="11" t="n">
        <v>3</v>
      </c>
      <c r="I49" s="11" t="inlineStr">
        <is>
          <t>b2023_8_496_580</t>
        </is>
      </c>
      <c r="J49" s="11" t="inlineStr">
        <is>
          <t>C</t>
        </is>
      </c>
      <c r="K49" s="2" t="inlineStr">
        <is>
          <t>Confirmed as stated</t>
        </is>
      </c>
      <c r="L49" s="2" t="inlineStr">
        <is>
          <t>the law report's headnote only</t>
        </is>
      </c>
      <c r="M49" s="2" t="inlineStr">
        <is>
          <t>held not good law</t>
        </is>
      </c>
      <c r="N49" s="2" t="inlineStr">
        <is>
          <t>3-judge bench.</t>
        </is>
      </c>
      <c r="O49" s="11" t="inlineStr">
        <is>
          <t>candidate</t>
        </is>
      </c>
      <c r="P49" s="11" t="inlineStr">
        <is>
          <t>not_good_law</t>
        </is>
      </c>
      <c r="Q49" s="2" t="inlineStr">
        <is>
          <t>mere membership of a banned organisation (section 10(a)(i) UAPA)</t>
        </is>
      </c>
      <c r="R49" s="2" t="inlineStr"/>
      <c r="S49" s="2" t="inlineStr">
        <is>
          <t>State of Kerala v. Raneef (2011) is reported as held not to be good law in Arup Bhuyan v. State of Assam (2023) (not yet confirmed by our reviewer).</t>
        </is>
      </c>
    </row>
    <row r="50">
      <c r="A50" s="11" t="n">
        <v>47</v>
      </c>
      <c r="B50" s="11" t="inlineStr">
        <is>
          <t>L2-047</t>
        </is>
      </c>
      <c r="C50" s="2" t="inlineStr">
        <is>
          <t>SRD Nutrients (P) Ltd. v. CCE</t>
        </is>
      </c>
      <c r="D50" s="11" t="inlineStr">
        <is>
          <t>2018</t>
        </is>
      </c>
      <c r="E50" s="2" t="inlineStr">
        <is>
          <t>Unicorn Industries v. Union of India</t>
        </is>
      </c>
      <c r="F50" s="11" t="inlineStr">
        <is>
          <t>2020</t>
        </is>
      </c>
      <c r="G50" s="11" t="inlineStr">
        <is>
          <t>2019-12-06</t>
        </is>
      </c>
      <c r="H50" s="11" t="n">
        <v>3</v>
      </c>
      <c r="I50" s="11" t="inlineStr">
        <is>
          <t>b2019_17_1013_1047</t>
        </is>
      </c>
      <c r="J50" s="11" t="inlineStr">
        <is>
          <t>P</t>
        </is>
      </c>
      <c r="K50" s="2" t="inlineStr">
        <is>
          <t>Substance right, label stronger than the court's words</t>
        </is>
      </c>
      <c r="L50" s="2" t="inlineStr">
        <is>
          <t>the judgment's own sentence in its body</t>
        </is>
      </c>
      <c r="M50" s="2" t="inlineStr">
        <is>
          <t>the decisions in SRD Nutrients ... and Bajaj Auto ... are clearly per incuriam</t>
        </is>
      </c>
      <c r="N50" s="2" t="inlineStr">
        <is>
          <t>3-judge bench: a smaller bench ignored binding larger-bench decisions. 'Per incuriam', not 'overruled'. Decided 6 Dec 2019; the list says 2020. SRD Nutrients itself is not in our collection.</t>
        </is>
      </c>
      <c r="O50" s="11" t="inlineStr">
        <is>
          <t>candidate</t>
        </is>
      </c>
      <c r="P50" s="11" t="inlineStr">
        <is>
          <t>per_incuriam</t>
        </is>
      </c>
      <c r="Q50" s="2" t="inlineStr">
        <is>
          <t>the view that an exemption from excise duty also exempts education cess</t>
        </is>
      </c>
      <c r="R50" s="2" t="inlineStr"/>
      <c r="S50" s="2" t="inlineStr">
        <is>
          <t>SRD Nutrients (P) Ltd. v. CCE (2018) is reported as held to have been decided per incuriam in Unicorn Industries v. Union of India (2019) (not yet confirmed by our reviewer).</t>
        </is>
      </c>
    </row>
    <row r="51">
      <c r="A51" s="11" t="n">
        <v>48</v>
      </c>
      <c r="B51" s="11" t="inlineStr">
        <is>
          <t>L2-048</t>
        </is>
      </c>
      <c r="C51" s="2" t="inlineStr">
        <is>
          <t>S. Azeez Basha v. Union of India</t>
        </is>
      </c>
      <c r="D51" s="11" t="inlineStr">
        <is>
          <t>1967</t>
        </is>
      </c>
      <c r="E51" s="2" t="inlineStr">
        <is>
          <t>Aligarh Muslim University v. Naresh Agarwal</t>
        </is>
      </c>
      <c r="F51" s="11" t="inlineStr">
        <is>
          <t>2024</t>
        </is>
      </c>
      <c r="G51" s="11" t="inlineStr">
        <is>
          <t>2024-11-08</t>
        </is>
      </c>
      <c r="H51" s="11" t="n">
        <v>7</v>
      </c>
      <c r="I51" s="11" t="inlineStr">
        <is>
          <t>b2024_11_1647_2038</t>
        </is>
      </c>
      <c r="J51" s="11" t="inlineStr">
        <is>
          <t>CN</t>
        </is>
      </c>
      <c r="K51" s="2" t="inlineStr">
        <is>
          <t>Confirmed, but needs a caveat or is incomplete</t>
        </is>
      </c>
      <c r="L51" s="2" t="inlineStr">
        <is>
          <t>the judgment's own sentence in its body</t>
        </is>
      </c>
      <c r="M51" s="2" t="inlineStr">
        <is>
          <t>The view taken in Azeez Basha that an educational institution is not established by a minority if it derives its legal character through a statute, is overruled</t>
        </is>
      </c>
      <c r="N51" s="2" t="inlineStr">
        <is>
          <t>7-judge bench; four judges (the Chief Justice's opinion) overruled that one view. Surya Kant J: 'modified and clarified'; Datta J: against overruling. AMU's own status was left to a regular bench.</t>
        </is>
      </c>
      <c r="O51" s="11" t="inlineStr">
        <is>
          <t>candidate</t>
        </is>
      </c>
      <c r="P51" s="11" t="inlineStr">
        <is>
          <t>overruled</t>
        </is>
      </c>
      <c r="Q51" s="2" t="inlineStr">
        <is>
          <t>the view that an educational institution is not established by a minority if it derives its legal character from a statute</t>
        </is>
      </c>
      <c r="R51" s="2" t="inlineStr"/>
      <c r="S51" s="2" t="inlineStr">
        <is>
          <t>S. Azeez Basha v. Union of India (1967) is reported as overruled by Aligarh Muslim University v. Naresh Agarwal (2024) (not yet confirmed by our reviewer).</t>
        </is>
      </c>
    </row>
    <row r="52">
      <c r="A52" s="11" t="n">
        <v>49</v>
      </c>
      <c r="B52" s="11" t="inlineStr">
        <is>
          <t>L2-049</t>
        </is>
      </c>
      <c r="C52" s="2" t="inlineStr">
        <is>
          <t>E.V. Chinnaiah v. State of Andhra Pradesh</t>
        </is>
      </c>
      <c r="D52" s="11" t="inlineStr">
        <is>
          <t>2005</t>
        </is>
      </c>
      <c r="E52" s="2" t="inlineStr">
        <is>
          <t>State of Punjab v. Davinder Singh</t>
        </is>
      </c>
      <c r="F52" s="11" t="inlineStr">
        <is>
          <t>2024</t>
        </is>
      </c>
      <c r="G52" s="11" t="inlineStr">
        <is>
          <t>2024-08-01</t>
        </is>
      </c>
      <c r="H52" s="11" t="n">
        <v>7</v>
      </c>
      <c r="I52" s="11" t="inlineStr">
        <is>
          <t>b2024_8_1321_1672</t>
        </is>
      </c>
      <c r="J52" s="11" t="inlineStr">
        <is>
          <t>C</t>
        </is>
      </c>
      <c r="K52" s="2" t="inlineStr">
        <is>
          <t>Confirmed as stated</t>
        </is>
      </c>
      <c r="L52" s="2" t="inlineStr">
        <is>
          <t>the judgment's own sentence in its body</t>
        </is>
      </c>
      <c r="M52" s="2" t="inlineStr">
        <is>
          <t>The holding in Chinnaiah that sub-classification of the Scheduled Castes is impermissible is overruled</t>
        </is>
      </c>
      <c r="N52" s="2" t="inlineStr">
        <is>
          <t>7-judge bench, 6:1 (Trivedi J dissenting). Decided 5 Nov 2004; the list says 2005.</t>
        </is>
      </c>
      <c r="O52" s="11" t="inlineStr">
        <is>
          <t>candidate</t>
        </is>
      </c>
      <c r="P52" s="11" t="inlineStr">
        <is>
          <t>overruled</t>
        </is>
      </c>
      <c r="Q52" s="2" t="inlineStr">
        <is>
          <t>the holding that sub-classification of the Scheduled Castes is impermissible</t>
        </is>
      </c>
      <c r="R52" s="2" t="inlineStr"/>
      <c r="S52" s="2" t="inlineStr">
        <is>
          <t>E.V. Chinnaiah v. State of Andhra Pradesh (2005) is reported as overruled by State of Punjab v. Davinder Singh (2024) (not yet confirmed by our reviewer).</t>
        </is>
      </c>
    </row>
    <row r="53">
      <c r="A53" s="11" t="n">
        <v>50</v>
      </c>
      <c r="B53" s="11" t="inlineStr">
        <is>
          <t>L2-050</t>
        </is>
      </c>
      <c r="C53" s="2" t="inlineStr">
        <is>
          <t>India Cement Ltd. v. State of Tamil Nadu</t>
        </is>
      </c>
      <c r="D53" s="11" t="inlineStr">
        <is>
          <t>1990</t>
        </is>
      </c>
      <c r="E53" s="2" t="inlineStr">
        <is>
          <t>Mineral Area Development Authority v. Steel Authority of India</t>
        </is>
      </c>
      <c r="F53" s="11" t="inlineStr">
        <is>
          <t>2024</t>
        </is>
      </c>
      <c r="G53" s="11" t="inlineStr">
        <is>
          <t>2024-07-25</t>
        </is>
      </c>
      <c r="H53" s="11" t="n">
        <v>9</v>
      </c>
      <c r="I53" s="11" t="inlineStr">
        <is>
          <t>b2024_7_1549_1846</t>
        </is>
      </c>
      <c r="J53" s="11" t="inlineStr">
        <is>
          <t>CN</t>
        </is>
      </c>
      <c r="K53" s="2" t="inlineStr">
        <is>
          <t>Confirmed, but needs a caveat or is incomplete</t>
        </is>
      </c>
      <c r="L53" s="2" t="inlineStr">
        <is>
          <t>the judgment's own sentence in its body</t>
        </is>
      </c>
      <c r="M53" s="2" t="inlineStr">
        <is>
          <t>The decisions in India Cement, Orissa Cement, Federation of Mining Associations of Rajasthan, Mahalaxmi Fabric Mills, Saurashtra Cement, Mahanadi Coalfields and P Kannadasan are overruled to the extent of the observations made in the present case</t>
        </is>
      </c>
      <c r="N53" s="2" t="inlineStr">
        <is>
          <t>9-judge bench, 8:1 (Nagarathna J dissenting). 'To the extent' and six other decisions that the list omits. Decided 25 Oct 1989; the list says 1990.</t>
        </is>
      </c>
      <c r="O53" s="11" t="inlineStr">
        <is>
          <t>candidate</t>
        </is>
      </c>
      <c r="P53" s="11" t="inlineStr">
        <is>
          <t>overruled_in_part</t>
        </is>
      </c>
      <c r="Q53" s="2" t="inlineStr">
        <is>
          <t>to the extent of the observations made in the present case; India Cement had held royalty to be a tax</t>
        </is>
      </c>
      <c r="R53" s="2" t="inlineStr"/>
      <c r="S53" s="2" t="inlineStr">
        <is>
          <t>India Cement Ltd. v. State of Tamil Nadu (1990) is reported as overruled in part by Mineral Area Development Authority v. Steel Authority of India (2024) (to the extent of the observations made in the present case; India Cement had held royalty to be a tax) (not yet confirmed by our reviewer).</t>
        </is>
      </c>
    </row>
    <row r="54">
      <c r="A54" s="11" t="n">
        <v>51</v>
      </c>
      <c r="B54" s="11" t="inlineStr">
        <is>
          <t>L2-051</t>
        </is>
      </c>
      <c r="C54" s="2" t="inlineStr">
        <is>
          <t>Synthetics &amp; Chemicals Ltd. v. State of U.P.</t>
        </is>
      </c>
      <c r="D54" s="11" t="inlineStr">
        <is>
          <t>1990</t>
        </is>
      </c>
      <c r="E54" s="2" t="inlineStr">
        <is>
          <t>State of U.P. v. Lalta Prasad Vaish &amp; Sons</t>
        </is>
      </c>
      <c r="F54" s="11" t="inlineStr">
        <is>
          <t>2024</t>
        </is>
      </c>
      <c r="G54" s="11" t="inlineStr">
        <is>
          <t>2024-10-23</t>
        </is>
      </c>
      <c r="H54" s="11" t="n">
        <v>9</v>
      </c>
      <c r="I54" s="11" t="inlineStr">
        <is>
          <t>b2024_10_1931_2182</t>
        </is>
      </c>
      <c r="J54" s="11" t="inlineStr">
        <is>
          <t>C</t>
        </is>
      </c>
      <c r="K54" s="2" t="inlineStr">
        <is>
          <t>Confirmed as stated</t>
        </is>
      </c>
      <c r="L54" s="2" t="inlineStr">
        <is>
          <t>the judgment's own sentence in its body</t>
        </is>
      </c>
      <c r="M54" s="2" t="inlineStr">
        <is>
          <t>The judgment in Synthetics (7J) is overruled in terms of this judgment</t>
        </is>
      </c>
      <c r="N54" s="2" t="inlineStr">
        <is>
          <t>9-judge bench, 8:1 (Nagarathna J dissenting). Decided 25 Oct 1989; the list says 1990.</t>
        </is>
      </c>
      <c r="O54" s="11" t="inlineStr">
        <is>
          <t>candidate</t>
        </is>
      </c>
      <c r="P54" s="11" t="inlineStr">
        <is>
          <t>overruled</t>
        </is>
      </c>
      <c r="Q54" s="2" t="n"/>
      <c r="R54" s="2" t="inlineStr"/>
      <c r="S54" s="2" t="inlineStr">
        <is>
          <t>Synthetics &amp; Chemicals Ltd. v. State of U.P. (1990) is reported as overruled by State of U.P. v. Lalta Prasad Vaish &amp; Sons (2024) (not yet confirmed by our reviewer).</t>
        </is>
      </c>
    </row>
    <row r="55">
      <c r="A55" s="11" t="n">
        <v>52</v>
      </c>
      <c r="B55" s="11" t="inlineStr">
        <is>
          <t>L2-052</t>
        </is>
      </c>
      <c r="C55" s="2" t="inlineStr">
        <is>
          <t>Asian Resurfacing of Road Agency Pvt. Ltd. v. CBI</t>
        </is>
      </c>
      <c r="D55" s="11" t="inlineStr">
        <is>
          <t>2018</t>
        </is>
      </c>
      <c r="E55" s="2" t="inlineStr">
        <is>
          <t>High Court Bar Association, Allahabad v. State of U.P.</t>
        </is>
      </c>
      <c r="F55" s="11" t="inlineStr">
        <is>
          <t>2024</t>
        </is>
      </c>
      <c r="G55" s="11" t="inlineStr">
        <is>
          <t>2024-02-29</t>
        </is>
      </c>
      <c r="H55" s="11" t="n">
        <v>5</v>
      </c>
      <c r="I55" s="11" t="inlineStr">
        <is>
          <t>b2024_2_946_988</t>
        </is>
      </c>
      <c r="J55" s="11" t="inlineStr">
        <is>
          <t>P</t>
        </is>
      </c>
      <c r="K55" s="2" t="inlineStr">
        <is>
          <t>Substance right, label stronger than the court's words</t>
        </is>
      </c>
      <c r="L55" s="2" t="inlineStr">
        <is>
          <t>the judgment's own sentence in its body</t>
        </is>
      </c>
      <c r="M55" s="2" t="inlineStr">
        <is>
          <t>we are unable to concur with the directions issued in paragraphs 36 and 37 ... We do not approve the direction</t>
        </is>
      </c>
      <c r="N55" s="2" t="inlineStr">
        <is>
          <t>5-judge bench. Only two directions of Asian Resurfacing (automatic vacation of stay; day-to-day hearing). The court says 'unable to concur / not approve', not 'overruled'.</t>
        </is>
      </c>
      <c r="O55" s="11" t="inlineStr">
        <is>
          <t>candidate</t>
        </is>
      </c>
      <c r="P55" s="11" t="inlineStr">
        <is>
          <t>not_approved</t>
        </is>
      </c>
      <c r="Q55" s="2" t="inlineStr">
        <is>
          <t>directions in paragraphs 36 and 37 (automatic vacation of stay; day-to-day hearing); the rest of the judgment stands</t>
        </is>
      </c>
      <c r="R55" s="2" t="inlineStr"/>
      <c r="S55" s="2" t="inlineStr">
        <is>
          <t>Asian Resurfacing of Road Agency Pvt. Ltd. v. CBI (2018) is reported as not approved in High Court Bar Association, Allahabad v. State of U.P. (2024) (directions in paragraphs 36 and 37 (automatic vacation of stay; day-to-day hearing); the rest of the judgment stands) (not yet confirmed by our reviewer).</t>
        </is>
      </c>
    </row>
    <row r="56">
      <c r="A56" s="11" t="n">
        <v>53</v>
      </c>
      <c r="B56" s="11" t="inlineStr">
        <is>
          <t>L2-053</t>
        </is>
      </c>
      <c r="C56" s="2" t="inlineStr">
        <is>
          <t>New India Assurance Co. Ltd. v. Prabhu Lal</t>
        </is>
      </c>
      <c r="D56" s="11" t="inlineStr">
        <is>
          <t>2008</t>
        </is>
      </c>
      <c r="E56" s="2" t="inlineStr">
        <is>
          <t>Bajaj Allianz General Insurance Co. Ltd. v. Rambha Devi</t>
        </is>
      </c>
      <c r="F56" s="11" t="inlineStr">
        <is>
          <t>2024</t>
        </is>
      </c>
      <c r="G56" s="11" t="inlineStr">
        <is>
          <t>2024-11-06</t>
        </is>
      </c>
      <c r="H56" s="11" t="n">
        <v>5</v>
      </c>
      <c r="I56" s="11" t="inlineStr">
        <is>
          <t>b2024_11_541_640</t>
        </is>
      </c>
      <c r="J56" s="11" t="inlineStr">
        <is>
          <t>C</t>
        </is>
      </c>
      <c r="K56" s="2" t="inlineStr">
        <is>
          <t>Confirmed as stated</t>
        </is>
      </c>
      <c r="L56" s="2" t="inlineStr">
        <is>
          <t>the judgment's own sentence in its body</t>
        </is>
      </c>
      <c r="M56" s="2" t="inlineStr">
        <is>
          <t>the three judgments which concluded otherwise i.e. Prabhu Lal, Roshanben Rahemansha Fakir and Angad Kol are overruled</t>
        </is>
      </c>
      <c r="N56" s="2" t="inlineStr">
        <is>
          <t>5-judge bench. Mukund Dewangan (2017, 3 judges) had already overruled Prabhu Lal ('is hereby overruled'); the list shows only 2024.</t>
        </is>
      </c>
      <c r="O56" s="11" t="inlineStr">
        <is>
          <t>candidate</t>
        </is>
      </c>
      <c r="P56" s="11" t="inlineStr">
        <is>
          <t>overruled</t>
        </is>
      </c>
      <c r="Q56" s="2" t="inlineStr">
        <is>
          <t>the view that a light motor vehicle licence holder needs a separate endorsement to drive a transport vehicle</t>
        </is>
      </c>
      <c r="R56" s="2" t="inlineStr"/>
      <c r="S56" s="2" t="inlineStr">
        <is>
          <t>New India Assurance Co. Ltd. v. Prabhu Lal (2008) is reported as overruled by Bajaj Allianz General Insurance Co. Ltd. v. Rambha Devi (2024) (not yet confirmed by our reviewer).</t>
        </is>
      </c>
    </row>
    <row r="57">
      <c r="A57" s="11" t="n">
        <v>54</v>
      </c>
      <c r="B57" s="11" t="inlineStr">
        <is>
          <t>L2-054</t>
        </is>
      </c>
      <c r="C57" s="2" t="inlineStr">
        <is>
          <t>New India Assurance Co. Ltd. v. Roshanben Rahemansha Fakir</t>
        </is>
      </c>
      <c r="D57" s="11" t="inlineStr">
        <is>
          <t>2008</t>
        </is>
      </c>
      <c r="E57" s="2" t="inlineStr">
        <is>
          <t>Bajaj Allianz General Insurance Co. Ltd. v. Rambha Devi</t>
        </is>
      </c>
      <c r="F57" s="11" t="inlineStr">
        <is>
          <t>2024</t>
        </is>
      </c>
      <c r="G57" s="11" t="inlineStr">
        <is>
          <t>2024-11-06</t>
        </is>
      </c>
      <c r="H57" s="11" t="n">
        <v>5</v>
      </c>
      <c r="I57" s="11" t="inlineStr">
        <is>
          <t>b2024_11_541_640</t>
        </is>
      </c>
      <c r="J57" s="11" t="inlineStr">
        <is>
          <t>C</t>
        </is>
      </c>
      <c r="K57" s="2" t="inlineStr">
        <is>
          <t>Confirmed as stated</t>
        </is>
      </c>
      <c r="L57" s="2" t="inlineStr">
        <is>
          <t>the judgment's own sentence in its body</t>
        </is>
      </c>
      <c r="M57" s="2" t="inlineStr">
        <is>
          <t>same sentence as row 53</t>
        </is>
      </c>
      <c r="N57" s="2" t="inlineStr"/>
      <c r="O57" s="11" t="inlineStr">
        <is>
          <t>candidate</t>
        </is>
      </c>
      <c r="P57" s="11" t="inlineStr">
        <is>
          <t>overruled</t>
        </is>
      </c>
      <c r="Q57" s="2" t="inlineStr">
        <is>
          <t>the view that a light motor vehicle licence holder needs a separate endorsement to drive a transport vehicle</t>
        </is>
      </c>
      <c r="R57" s="2" t="inlineStr"/>
      <c r="S57" s="2" t="inlineStr">
        <is>
          <t>New India Assurance Co. Ltd. v. Roshanben Rahemansha Fakir (2008) is reported as overruled by Bajaj Allianz General Insurance Co. Ltd. v. Rambha Devi (2024) (not yet confirmed by our reviewer).</t>
        </is>
      </c>
    </row>
    <row r="58">
      <c r="A58" s="11" t="n">
        <v>55</v>
      </c>
      <c r="B58" s="11" t="inlineStr">
        <is>
          <t>L2-055</t>
        </is>
      </c>
      <c r="C58" s="2" t="inlineStr">
        <is>
          <t>Oriental Insurance Co. Ltd. v. Angad Kol</t>
        </is>
      </c>
      <c r="D58" s="11" t="inlineStr">
        <is>
          <t>2009</t>
        </is>
      </c>
      <c r="E58" s="2" t="inlineStr">
        <is>
          <t>Bajaj Allianz General Insurance Co. Ltd. v. Rambha Devi</t>
        </is>
      </c>
      <c r="F58" s="11" t="inlineStr">
        <is>
          <t>2024</t>
        </is>
      </c>
      <c r="G58" s="11" t="inlineStr">
        <is>
          <t>2024-11-06</t>
        </is>
      </c>
      <c r="H58" s="11" t="n">
        <v>5</v>
      </c>
      <c r="I58" s="11" t="inlineStr">
        <is>
          <t>b2024_11_541_640</t>
        </is>
      </c>
      <c r="J58" s="11" t="inlineStr">
        <is>
          <t>C</t>
        </is>
      </c>
      <c r="K58" s="2" t="inlineStr">
        <is>
          <t>Confirmed as stated</t>
        </is>
      </c>
      <c r="L58" s="2" t="inlineStr">
        <is>
          <t>the judgment's own sentence in its body</t>
        </is>
      </c>
      <c r="M58" s="2" t="inlineStr">
        <is>
          <t>same sentence as row 53</t>
        </is>
      </c>
      <c r="N58" s="2" t="inlineStr"/>
      <c r="O58" s="11" t="inlineStr">
        <is>
          <t>candidate</t>
        </is>
      </c>
      <c r="P58" s="11" t="inlineStr">
        <is>
          <t>overruled</t>
        </is>
      </c>
      <c r="Q58" s="2" t="inlineStr">
        <is>
          <t>the view that a light motor vehicle licence holder needs a separate endorsement to drive a transport vehicle</t>
        </is>
      </c>
      <c r="R58" s="2" t="inlineStr"/>
      <c r="S58" s="2" t="inlineStr">
        <is>
          <t>Oriental Insurance Co. Ltd. v. Angad Kol (2009) is reported as overruled by Bajaj Allianz General Insurance Co. Ltd. v. Rambha Devi (2024) (not yet confirmed by our reviewer).</t>
        </is>
      </c>
    </row>
    <row r="59">
      <c r="A59" s="11" t="n">
        <v>56</v>
      </c>
      <c r="B59" s="11" t="inlineStr">
        <is>
          <t>L2-056</t>
        </is>
      </c>
      <c r="C59" s="2" t="inlineStr">
        <is>
          <t>National Insurance Co. Ltd. v. Annappa Irappa</t>
        </is>
      </c>
      <c r="D59" s="11" t="inlineStr">
        <is>
          <t>2008</t>
        </is>
      </c>
      <c r="E59" s="2" t="inlineStr">
        <is>
          <t>Bajaj Allianz General Insurance Co. Ltd. v. Rambha</t>
        </is>
      </c>
      <c r="F59" s="11" t="inlineStr">
        <is>
          <t>2024</t>
        </is>
      </c>
      <c r="G59" s="11" t="inlineStr">
        <is>
          <t>2024-11-06</t>
        </is>
      </c>
      <c r="H59" s="11" t="n">
        <v>5</v>
      </c>
      <c r="I59" s="11" t="inlineStr">
        <is>
          <t>b2024_11_541_640</t>
        </is>
      </c>
      <c r="J59" s="11" t="inlineStr">
        <is>
          <t>C</t>
        </is>
      </c>
      <c r="K59" s="2" t="inlineStr">
        <is>
          <t>Confirmed as stated</t>
        </is>
      </c>
      <c r="L59" s="2" t="inlineStr">
        <is>
          <t>the judgment's own sentence in its body</t>
        </is>
      </c>
      <c r="M59" s="2" t="inlineStr">
        <is>
          <t>We therefore partially overrule the decision in Annappa Irappa Nesaria for the view taken w.r.t the post-1994 amendment position</t>
        </is>
      </c>
      <c r="N59" s="2" t="inlineStr">
        <is>
          <t>Partly, as the list says.</t>
        </is>
      </c>
      <c r="O59" s="11" t="inlineStr">
        <is>
          <t>candidate</t>
        </is>
      </c>
      <c r="P59" s="11" t="inlineStr">
        <is>
          <t>overruled_in_part</t>
        </is>
      </c>
      <c r="Q59" s="2" t="inlineStr">
        <is>
          <t>the view taken on the position after the 1994 amendment</t>
        </is>
      </c>
      <c r="R59" s="2" t="inlineStr"/>
      <c r="S59" s="2" t="inlineStr">
        <is>
          <t>National Insurance Co. Ltd. v. Annappa Irappa Nesaria (2008) is reported as overruled in part by Bajaj Allianz General Insurance Co. Ltd. v. Rambha Devi (2024) (the view taken on the position after the 1994 amendment) (not yet confirmed by our reviewer).</t>
        </is>
      </c>
    </row>
    <row r="60">
      <c r="A60" s="11" t="n">
        <v>57</v>
      </c>
      <c r="B60" s="11" t="inlineStr">
        <is>
          <t>L2-057</t>
        </is>
      </c>
      <c r="C60" s="2" t="inlineStr">
        <is>
          <t>N.N. Global Mercantile Pvt. Ltd. v. Indo Unique Flame Ltd. (2021 ruling)</t>
        </is>
      </c>
      <c r="D60" s="11" t="inlineStr">
        <is>
          <t>2021</t>
        </is>
      </c>
      <c r="E60" s="2" t="inlineStr">
        <is>
          <t>N.N. Global Mercantile Pvt. Ltd. v. Indo Unique Flame Ltd. (Constitution Bench)</t>
        </is>
      </c>
      <c r="F60" s="11" t="inlineStr">
        <is>
          <t>2023</t>
        </is>
      </c>
      <c r="G60" s="11" t="inlineStr">
        <is>
          <t>2023-04-25</t>
        </is>
      </c>
      <c r="H60" s="11" t="n">
        <v>5</v>
      </c>
      <c r="I60" s="11" t="inlineStr">
        <is>
          <t>b2023_9_285_492</t>
        </is>
      </c>
      <c r="J60" s="11" t="inlineStr">
        <is>
          <t>CN</t>
        </is>
      </c>
      <c r="K60" s="2" t="inlineStr">
        <is>
          <t>Confirmed, but needs a caveat or is incomplete</t>
        </is>
      </c>
      <c r="L60" s="2" t="inlineStr">
        <is>
          <t>the judgment's own sentence in its body</t>
        </is>
      </c>
      <c r="M60" s="2" t="inlineStr">
        <is>
          <t>[2023, 5 judges] N.N. Global (2021) 4 SCC 379 - overruled (majority); [7 judges, 13 Dec 2023] The decision in NN Global 2 and SMS Tea Estates are overruled</t>
        </is>
      </c>
      <c r="N60" s="2" t="inlineStr">
        <is>
          <t>True as far as it goes: the 2023 majority (3:2; Rastogi J and Roy J dissenting) overruled the 2021 decision. But the 2023 decision was itself overruled by the 7-judge bench in In re Interplay (13 Dec 2023). The list omits that.</t>
        </is>
      </c>
      <c r="O60" s="11" t="inlineStr">
        <is>
          <t>candidate</t>
        </is>
      </c>
      <c r="P60" s="11" t="inlineStr">
        <is>
          <t>overruled</t>
        </is>
      </c>
      <c r="Q60" s="2" t="inlineStr">
        <is>
          <t>arbitration agreement in an unstamped instrument</t>
        </is>
      </c>
      <c r="R60" s="2" t="inlineStr">
        <is>
          <t>D2-NNG2: overruled by In re: Interplay between Arbitration Agreements under the Arbitration and Conciliation Act 1996 and the Indian Stamp Act 1899 (2023)</t>
        </is>
      </c>
      <c r="S60" s="2" t="inlineStr">
        <is>
          <t>N.N. Global Mercantile Pvt. Ltd. v. Indo Unique Flame Ltd. (2021) is reported as overruled by N.N. Global Mercantile Pvt. Ltd. v. Indo Unique Flame Ltd. (2023) (not yet confirmed by our reviewer). Note: N.N. Global Mercantile Pvt. Ltd. v. Indo Unique Flame Ltd. was itself later overruled by In re: Interplay between Arbitration Agreements under the Arbitration and Conciliation Act 1996 and the Indian Stamp Act 1899 (2023); the current position should be checked.</t>
        </is>
      </c>
    </row>
    <row r="61">
      <c r="A61" s="11" t="n">
        <v>58</v>
      </c>
      <c r="B61" s="11" t="inlineStr">
        <is>
          <t>L2-058</t>
        </is>
      </c>
      <c r="C61" s="2" t="inlineStr">
        <is>
          <t>State of Gujarat v. Choodamani Parmeshwaran Iyer</t>
        </is>
      </c>
      <c r="D61" s="11" t="inlineStr">
        <is>
          <t>2023</t>
        </is>
      </c>
      <c r="E61" s="2" t="inlineStr">
        <is>
          <t>Radhika Agarwal v. Union of India</t>
        </is>
      </c>
      <c r="F61" s="11" t="inlineStr">
        <is>
          <t>2025</t>
        </is>
      </c>
      <c r="G61" s="11" t="inlineStr">
        <is>
          <t>2025-02-27</t>
        </is>
      </c>
      <c r="H61" s="11" t="n">
        <v>3</v>
      </c>
      <c r="I61" s="11" t="inlineStr">
        <is>
          <t>b2025_2_1331_1395</t>
        </is>
      </c>
      <c r="J61" s="11" t="inlineStr">
        <is>
          <t>P</t>
        </is>
      </c>
      <c r="K61" s="2" t="inlineStr">
        <is>
          <t>Substance right, label stronger than the court's words</t>
        </is>
      </c>
      <c r="L61" s="2" t="inlineStr">
        <is>
          <t>the judgment's own sentence in its body</t>
        </is>
      </c>
      <c r="M61" s="2" t="inlineStr">
        <is>
          <t>Some decisions of this Court in the context of GST Acts which are contrary to the aforesaid ratio should not be treated as binding</t>
        </is>
      </c>
      <c r="N61" s="2" t="inlineStr">
        <is>
          <t>3-judge bench on 2-judge decisions. 'Should not be treated as binding', not 'overruled'; the list itself hedges the label.</t>
        </is>
      </c>
      <c r="O61" s="11" t="inlineStr">
        <is>
          <t>candidate</t>
        </is>
      </c>
      <c r="P61" s="11" t="inlineStr">
        <is>
          <t>not_binding</t>
        </is>
      </c>
      <c r="Q61" s="2" t="inlineStr">
        <is>
          <t>GST decisions contrary to the anticipatory-bail ratio of Sushila Aggarwal</t>
        </is>
      </c>
      <c r="R61" s="2" t="inlineStr"/>
      <c r="S61" s="2" t="inlineStr">
        <is>
          <t>State of Gujarat v. Choodamani Parmeshwaran Iyer (2023) is reported as held not to be a binding precedent in Radhika Agarwal v. Union of India (2025) (GST decisions contrary to the anticipatory-bail ratio of Sushila Aggarwal) (not yet confirmed by our reviewer).</t>
        </is>
      </c>
    </row>
    <row r="62">
      <c r="A62" s="11" t="n">
        <v>59</v>
      </c>
      <c r="B62" s="11" t="inlineStr">
        <is>
          <t>L2-059</t>
        </is>
      </c>
      <c r="C62" s="2" t="inlineStr">
        <is>
          <t>Bharat Bhushan v. Director General of GST Intelligence</t>
        </is>
      </c>
      <c r="D62" s="11" t="inlineStr">
        <is>
          <t>2024</t>
        </is>
      </c>
      <c r="E62" s="2" t="inlineStr">
        <is>
          <t>Radhika Agarwal v. Union of India</t>
        </is>
      </c>
      <c r="F62" s="11" t="inlineStr">
        <is>
          <t>2025</t>
        </is>
      </c>
      <c r="G62" s="11" t="inlineStr">
        <is>
          <t>2025-02-27</t>
        </is>
      </c>
      <c r="H62" s="11" t="n">
        <v>3</v>
      </c>
      <c r="I62" s="11" t="inlineStr">
        <is>
          <t>b2025_2_1331_1395</t>
        </is>
      </c>
      <c r="J62" s="11" t="inlineStr">
        <is>
          <t>P</t>
        </is>
      </c>
      <c r="K62" s="2" t="inlineStr">
        <is>
          <t>Substance right, label stronger than the court's words</t>
        </is>
      </c>
      <c r="L62" s="2" t="inlineStr">
        <is>
          <t>the judgment's own sentence in its body</t>
        </is>
      </c>
      <c r="M62" s="2" t="inlineStr">
        <is>
          <t>same sentence as row 58</t>
        </is>
      </c>
      <c r="N62" s="2" t="inlineStr">
        <is>
          <t>Bharat Bhushan is an SLP order (SLP (Crl.) 8525/2024), not found in our collection as a judgment.</t>
        </is>
      </c>
      <c r="O62" s="11" t="inlineStr">
        <is>
          <t>candidate</t>
        </is>
      </c>
      <c r="P62" s="11" t="inlineStr">
        <is>
          <t>not_binding</t>
        </is>
      </c>
      <c r="Q62" s="2" t="inlineStr">
        <is>
          <t>GST decisions contrary to the anticipatory-bail ratio of Sushila Aggarwal; an SLP order (SLP (Crl.) No. 8525/2024)</t>
        </is>
      </c>
      <c r="R62" s="2" t="inlineStr"/>
      <c r="S62" s="2" t="inlineStr">
        <is>
          <t>Bharat Bhushan v. Director General of GST Intelligence (2024) is reported as held not to be a binding precedent in Radhika Agarwal v. Union of India (2025) (GST decisions contrary to the anticipatory-bail ratio of Sushila Aggarwal; an SLP order (SLP (Crl.) No. 8525/2024)) (not yet confirmed by our reviewer).</t>
        </is>
      </c>
    </row>
  </sheetData>
  <autoFilter ref="A3:S62"/>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44" customWidth="1" min="3" max="3"/>
    <col width="16" customWidth="1" min="4" max="4"/>
    <col width="16" customWidth="1" min="5" max="5"/>
    <col width="44" customWidth="1" min="6" max="6"/>
    <col width="16" customWidth="1" min="7" max="7"/>
    <col width="16" customWidth="1" min="8" max="8"/>
    <col width="54" customWidth="1" min="9" max="9"/>
    <col width="36" customWidth="1" min="10" max="10"/>
    <col width="16" customWidth="1" min="11" max="11"/>
    <col width="50" customWidth="1" min="12" max="12"/>
    <col width="70" customWidth="1" min="13" max="13"/>
  </cols>
  <sheetData>
    <row r="1" ht="44" customHeight="1">
      <c r="A1" s="9" t="inlineStr">
        <is>
          <t>Further decisions found overruled in the same post-2015 judgments (for example the six companions of India Cement). Candidates: Claude's reading, not confirmed by a person.</t>
        </is>
      </c>
    </row>
    <row r="3">
      <c r="A3" s="10" t="inlineStr">
        <is>
          <t>Register ID</t>
        </is>
      </c>
      <c r="B3" s="10" t="inlineStr">
        <is>
          <t>Treatment</t>
        </is>
      </c>
      <c r="C3" s="10" t="inlineStr">
        <is>
          <t>Overruled case</t>
        </is>
      </c>
      <c r="D3" s="10" t="inlineStr">
        <is>
          <t>Citations</t>
        </is>
      </c>
      <c r="E3" s="10" t="inlineStr">
        <is>
          <t>Year</t>
        </is>
      </c>
      <c r="F3" s="10" t="inlineStr">
        <is>
          <t>Overruled by</t>
        </is>
      </c>
      <c r="G3" s="10" t="inlineStr">
        <is>
          <t>Date</t>
        </is>
      </c>
      <c r="H3" s="10" t="inlineStr">
        <is>
          <t>Bench</t>
        </is>
      </c>
      <c r="I3" s="10" t="inlineStr">
        <is>
          <t>Court's words</t>
        </is>
      </c>
      <c r="J3" s="10" t="inlineStr">
        <is>
          <t>Scope</t>
        </is>
      </c>
      <c r="K3" s="10" t="inlineStr">
        <is>
          <t>Trust</t>
        </is>
      </c>
      <c r="L3" s="10" t="inlineStr">
        <is>
          <t>Note</t>
        </is>
      </c>
      <c r="M3" s="10" t="inlineStr">
        <is>
          <t>Wording the site would use</t>
        </is>
      </c>
    </row>
    <row r="4">
      <c r="A4" s="11" t="inlineStr">
        <is>
          <t>D2-BHANUDAS</t>
        </is>
      </c>
      <c r="B4" s="11" t="inlineStr">
        <is>
          <t>overruled</t>
        </is>
      </c>
      <c r="C4" s="2" t="inlineStr">
        <is>
          <t>Union of India v. Bhanudas Krishna Gawde</t>
        </is>
      </c>
      <c r="D4" s="11" t="inlineStr">
        <is>
          <t>(1977) 1 SCC 834; [1977] 2 SCR 719</t>
        </is>
      </c>
      <c r="E4" s="11" t="n">
        <v>1977</v>
      </c>
      <c r="F4" s="2" t="inlineStr">
        <is>
          <t>K.S. Puttaswamy (Retd.) v. Union of India</t>
        </is>
      </c>
      <c r="G4" s="11" t="inlineStr">
        <is>
          <t>2017-08-24</t>
        </is>
      </c>
      <c r="H4" s="11" t="n">
        <v>9</v>
      </c>
      <c r="I4" s="2" t="inlineStr">
        <is>
          <t>We also overrule the decision in Union of India v Bhanudas Krishna Gawde, which followed ADM Jabalpur</t>
        </is>
      </c>
      <c r="J4" s="2" t="inlineStr">
        <is>
          <t>followed ADM Jabalpur</t>
        </is>
      </c>
      <c r="K4" s="11" t="inlineStr">
        <is>
          <t>candidate</t>
        </is>
      </c>
      <c r="L4" s="2" t="inlineStr">
        <is>
          <t>Omitted by list 2; same judgment as rows 1 to 3.</t>
        </is>
      </c>
      <c r="M4" s="2" t="inlineStr">
        <is>
          <t>Union of India v. Bhanudas Krishna Gawde (1977) is reported as overruled by K.S. Puttaswamy (Retd.) v. Union of India (2017) (not yet confirmed by our reviewer).</t>
        </is>
      </c>
    </row>
    <row r="5">
      <c r="A5" s="11" t="inlineStr">
        <is>
          <t>D2-PRABHULAL-2017</t>
        </is>
      </c>
      <c r="B5" s="11" t="inlineStr">
        <is>
          <t>overruled</t>
        </is>
      </c>
      <c r="C5" s="2" t="inlineStr">
        <is>
          <t>New India Assurance Co. Ltd. v. Prabhu Lal</t>
        </is>
      </c>
      <c r="D5" s="11" t="inlineStr">
        <is>
          <t>[2007] 12 SCR 724; (2008) 1 SCC 696</t>
        </is>
      </c>
      <c r="E5" s="11" t="n">
        <v>2008</v>
      </c>
      <c r="F5" s="2" t="inlineStr">
        <is>
          <t>Mukund Dewangan v. Oriental Insurance Co. Ltd.</t>
        </is>
      </c>
      <c r="G5" s="11" t="inlineStr">
        <is>
          <t>2017-07-03</t>
        </is>
      </c>
      <c r="H5" s="11" t="n">
        <v>3</v>
      </c>
      <c r="I5" s="2" t="inlineStr">
        <is>
          <t>the decision in Prabhu Lal does not lay down correct proposition of law and is hereby overruled</t>
        </is>
      </c>
      <c r="J5" s="2" t="inlineStr">
        <is>
          <t>the view that a light motor vehicle licence holder needs a separate endorsement to drive a transport vehicle</t>
        </is>
      </c>
      <c r="K5" s="11" t="inlineStr">
        <is>
          <t>candidate</t>
        </is>
      </c>
      <c r="L5" s="2" t="inlineStr">
        <is>
          <t>First overruling (3 judges, 2017); the 5-judge bench of 2024 overruled it again (row 53). Found by a scan; not in list 2.</t>
        </is>
      </c>
      <c r="M5" s="2" t="inlineStr">
        <is>
          <t>New India Assurance Co. Ltd. v. Prabhu Lal (2008) is reported as overruled by Mukund Dewangan v. Oriental Insurance Co. Ltd. (2017) (not yet confirmed by our reviewer).</t>
        </is>
      </c>
    </row>
    <row r="6">
      <c r="A6" s="11" t="inlineStr">
        <is>
          <t>D2-SREEBALAJI-2018</t>
        </is>
      </c>
      <c r="B6" s="11" t="inlineStr">
        <is>
          <t>overruled</t>
        </is>
      </c>
      <c r="C6" s="2" t="inlineStr">
        <is>
          <t>Sree Balaji Nagar Residential Association v. State of Tamil Nadu</t>
        </is>
      </c>
      <c r="D6" s="11" t="inlineStr">
        <is>
          <t>(2015) 3 SCC 353; [2014] 7 SCR 799</t>
        </is>
      </c>
      <c r="E6" s="11" t="n">
        <v>2015</v>
      </c>
      <c r="F6" s="2" t="inlineStr">
        <is>
          <t>Indore Development Authority v. Shailendra (Dead) through LRs.</t>
        </is>
      </c>
      <c r="G6" s="11" t="inlineStr">
        <is>
          <t>2018-02-08</t>
        </is>
      </c>
      <c r="H6" s="11" t="n">
        <v>3</v>
      </c>
      <c r="I6" s="2" t="inlineStr">
        <is>
          <t>The decision in Shree Balaji (supra) cannot be said to be laying down good law, is overruled</t>
        </is>
      </c>
      <c r="J6" s="2" t="inlineStr">
        <is>
          <t>the reading of section 24(2) of the 2013 Act on lapse of acquisition</t>
        </is>
      </c>
      <c r="K6" s="11" t="inlineStr">
        <is>
          <t>candidate</t>
        </is>
      </c>
      <c r="L6" s="2" t="inlineStr">
        <is>
          <t>First overruling (3 judges, 2018); the 5-judge bench of 2020 overruled it again (row 42). Shailendra's own treatment of the proviso to section 24(2) was later said by the 5-judge bench not to have been argued (check its status). Found by a scan; not in list 2.</t>
        </is>
      </c>
      <c r="M6" s="2" t="inlineStr">
        <is>
          <t>Sree Balaji Nagar Residential Association v. State of Tamil Nadu (2015) is reported as overruled by Indore Development Authority v. Shailendra (Dead) through LRs. (2018) (not yet confirmed by our reviewer).</t>
        </is>
      </c>
    </row>
    <row r="7">
      <c r="A7" s="11" t="inlineStr">
        <is>
          <t>D2-KADER</t>
        </is>
      </c>
      <c r="B7" s="11" t="inlineStr">
        <is>
          <t>overruled</t>
        </is>
      </c>
      <c r="C7" s="2" t="inlineStr">
        <is>
          <t>Kader v. State of Kerala</t>
        </is>
      </c>
      <c r="D7" s="11" t="inlineStr">
        <is>
          <t>2001 CriLJ 4044</t>
        </is>
      </c>
      <c r="E7" s="11" t="n">
        <v>2001</v>
      </c>
      <c r="F7" s="2" t="inlineStr">
        <is>
          <t>Mohanlal v. State of Punjab</t>
        </is>
      </c>
      <c r="G7" s="11" t="inlineStr">
        <is>
          <t>2018-08-16</t>
        </is>
      </c>
      <c r="H7" s="11" t="n">
        <v>3</v>
      </c>
      <c r="I7" s="2" t="inlineStr">
        <is>
          <t>The view taken by the Kerala High Court in Kader does not meet our approval</t>
        </is>
      </c>
      <c r="J7" s="2" t="inlineStr">
        <is>
          <t>an informant who is also the investigator under the NDPS Act</t>
        </is>
      </c>
      <c r="K7" s="11" t="inlineStr">
        <is>
          <t>candidate</t>
        </is>
      </c>
      <c r="L7" s="2" t="inlineStr">
        <is>
          <t>A High Court decision (Division Bench). Found in the same judgment as row 34.</t>
        </is>
      </c>
      <c r="M7" s="2" t="inlineStr">
        <is>
          <t>Kader v. State of Kerala (2001) is reported as overruled by Mohanlal v. State of Punjab (2018) (not yet confirmed by our reviewer). Note: Mohanlal v. State of Punjab was itself later overruled by Mukesh Singh v. State (Narcotic Branch of Delhi) (2020); the current position should be checked.</t>
        </is>
      </c>
    </row>
    <row r="8">
      <c r="A8" s="11" t="inlineStr">
        <is>
          <t>D2-ORISSACEMENT</t>
        </is>
      </c>
      <c r="B8" s="11" t="inlineStr">
        <is>
          <t>overruled_in_part</t>
        </is>
      </c>
      <c r="C8" s="2" t="inlineStr">
        <is>
          <t>Orissa Cement Ltd. v. State of Orissa</t>
        </is>
      </c>
      <c r="D8" s="11" t="inlineStr">
        <is>
          <t>[1991] 2 SCR 105; (1991) Supp 1 SCC 430</t>
        </is>
      </c>
      <c r="E8" s="11" t="n">
        <v>1991</v>
      </c>
      <c r="F8" s="2" t="inlineStr">
        <is>
          <t>Mineral Area Development Authority v. Steel Authority of India</t>
        </is>
      </c>
      <c r="G8" s="11" t="inlineStr">
        <is>
          <t>2024-07-25</t>
        </is>
      </c>
      <c r="H8" s="11" t="n">
        <v>9</v>
      </c>
      <c r="I8" s="2" t="inlineStr">
        <is>
          <t>overruled to the extent of the observations made in the present case</t>
        </is>
      </c>
      <c r="J8" s="2" t="inlineStr">
        <is>
          <t>to the extent of the observations made in the present case</t>
        </is>
      </c>
      <c r="K8" s="11" t="inlineStr">
        <is>
          <t>candidate</t>
        </is>
      </c>
      <c r="L8" s="2" t="inlineStr">
        <is>
          <t>One of six decisions overruled in the same paragraph as India Cement (row 50); list 2 names only India Cement.</t>
        </is>
      </c>
      <c r="M8" s="2" t="inlineStr">
        <is>
          <t>Orissa Cement Ltd. v. State of Orissa (1991) is reported as overruled in part by Mineral Area Development Authority v. Steel Authority of India (2024) (to the extent of the observations made in the present case) (not yet confirmed by our reviewer).</t>
        </is>
      </c>
    </row>
    <row r="9">
      <c r="A9" s="11" t="inlineStr">
        <is>
          <t>D2-FEDMINING</t>
        </is>
      </c>
      <c r="B9" s="11" t="inlineStr">
        <is>
          <t>overruled_in_part</t>
        </is>
      </c>
      <c r="C9" s="2" t="inlineStr">
        <is>
          <t>Federation of Mining Associations of Rajasthan v. State of Rajasthan</t>
        </is>
      </c>
      <c r="D9" s="11" t="inlineStr">
        <is>
          <t>(1992) Supp 2 SCC 239</t>
        </is>
      </c>
      <c r="E9" s="11" t="n">
        <v>1992</v>
      </c>
      <c r="F9" s="2" t="inlineStr">
        <is>
          <t>Mineral Area Development Authority v. Steel Authority of India</t>
        </is>
      </c>
      <c r="G9" s="11" t="inlineStr">
        <is>
          <t>2024-07-25</t>
        </is>
      </c>
      <c r="H9" s="11" t="n">
        <v>9</v>
      </c>
      <c r="I9" s="2" t="inlineStr">
        <is>
          <t>overruled to the extent of the observations made in the present case</t>
        </is>
      </c>
      <c r="J9" s="2" t="inlineStr">
        <is>
          <t>to the extent of the observations made in the present case</t>
        </is>
      </c>
      <c r="K9" s="11" t="inlineStr">
        <is>
          <t>candidate</t>
        </is>
      </c>
      <c r="L9" s="2" t="inlineStr">
        <is>
          <t>As above.</t>
        </is>
      </c>
      <c r="M9" s="2" t="inlineStr">
        <is>
          <t>Federation of Mining Associations of Rajasthan v. State of Rajasthan (1992) is reported as overruled in part by Mineral Area Development Authority v. Steel Authority of India (2024) (to the extent of the observations made in the present case) (not yet confirmed by our reviewer).</t>
        </is>
      </c>
    </row>
    <row r="10">
      <c r="A10" s="11" t="inlineStr">
        <is>
          <t>D2-MAHALAXMI</t>
        </is>
      </c>
      <c r="B10" s="11" t="inlineStr">
        <is>
          <t>overruled_in_part</t>
        </is>
      </c>
      <c r="C10" s="2" t="inlineStr">
        <is>
          <t>State of M.P. v. Mahalaxmi Fabric Mills Ltd.</t>
        </is>
      </c>
      <c r="D10" s="11" t="inlineStr">
        <is>
          <t>[1995] 1 SCR 756; (1995) Supp 1 SCC 642</t>
        </is>
      </c>
      <c r="E10" s="11" t="n">
        <v>1995</v>
      </c>
      <c r="F10" s="2" t="inlineStr">
        <is>
          <t>Mineral Area Development Authority v. Steel Authority of India</t>
        </is>
      </c>
      <c r="G10" s="11" t="inlineStr">
        <is>
          <t>2024-07-25</t>
        </is>
      </c>
      <c r="H10" s="11" t="n">
        <v>9</v>
      </c>
      <c r="I10" s="2" t="inlineStr">
        <is>
          <t>overruled to the extent of the observations made in the present case</t>
        </is>
      </c>
      <c r="J10" s="2" t="inlineStr">
        <is>
          <t>to the extent of the observations made in the present case</t>
        </is>
      </c>
      <c r="K10" s="11" t="inlineStr">
        <is>
          <t>candidate</t>
        </is>
      </c>
      <c r="L10" s="2" t="inlineStr">
        <is>
          <t>As above.</t>
        </is>
      </c>
      <c r="M10" s="2" t="inlineStr">
        <is>
          <t>State of M.P. v. Mahalaxmi Fabric Mills Ltd. (1995) is reported as overruled in part by Mineral Area Development Authority v. Steel Authority of India (2024) (to the extent of the observations made in the present case) (not yet confirmed by our reviewer).</t>
        </is>
      </c>
    </row>
    <row r="11">
      <c r="A11" s="11" t="inlineStr">
        <is>
          <t>D2-SAURASHTRA</t>
        </is>
      </c>
      <c r="B11" s="11" t="inlineStr">
        <is>
          <t>overruled_in_part</t>
        </is>
      </c>
      <c r="C11" s="2" t="inlineStr">
        <is>
          <t>Saurashtra Cement &amp; Chemical Industries Ltd. v. Union of India</t>
        </is>
      </c>
      <c r="D11" s="11" t="inlineStr">
        <is>
          <t>[2000] Supp. 4 SCR 44; (2001) 1 SCC 91</t>
        </is>
      </c>
      <c r="E11" s="11" t="n">
        <v>2000</v>
      </c>
      <c r="F11" s="2" t="inlineStr">
        <is>
          <t>Mineral Area Development Authority v. Steel Authority of India</t>
        </is>
      </c>
      <c r="G11" s="11" t="inlineStr">
        <is>
          <t>2024-07-25</t>
        </is>
      </c>
      <c r="H11" s="11" t="n">
        <v>9</v>
      </c>
      <c r="I11" s="2" t="inlineStr">
        <is>
          <t>overruled to the extent of the observations made in the present case</t>
        </is>
      </c>
      <c r="J11" s="2" t="inlineStr">
        <is>
          <t>to the extent of the observations made in the present case</t>
        </is>
      </c>
      <c r="K11" s="11" t="inlineStr">
        <is>
          <t>candidate</t>
        </is>
      </c>
      <c r="L11" s="2" t="inlineStr">
        <is>
          <t>As above.</t>
        </is>
      </c>
      <c r="M11" s="2" t="inlineStr">
        <is>
          <t>Saurashtra Cement &amp; Chemical Industries Ltd. v. Union of India (2000) is reported as overruled in part by Mineral Area Development Authority v. Steel Authority of India (2024) (to the extent of the observations made in the present case) (not yet confirmed by our reviewer).</t>
        </is>
      </c>
    </row>
    <row r="12">
      <c r="A12" s="11" t="inlineStr">
        <is>
          <t>D2-MAHANADI-1995</t>
        </is>
      </c>
      <c r="B12" s="11" t="inlineStr">
        <is>
          <t>overruled_in_part</t>
        </is>
      </c>
      <c r="C12" s="2" t="inlineStr">
        <is>
          <t>State of Orissa v. Mahanadi Coalfields Ltd.</t>
        </is>
      </c>
      <c r="D12" s="11" t="inlineStr">
        <is>
          <t>[1995] 3 SCR 639; (1995) Supp 2 SCC 686</t>
        </is>
      </c>
      <c r="E12" s="11" t="n">
        <v>1995</v>
      </c>
      <c r="F12" s="2" t="inlineStr">
        <is>
          <t>Mineral Area Development Authority v. Steel Authority of India</t>
        </is>
      </c>
      <c r="G12" s="11" t="inlineStr">
        <is>
          <t>2024-07-25</t>
        </is>
      </c>
      <c r="H12" s="11" t="n">
        <v>9</v>
      </c>
      <c r="I12" s="2" t="inlineStr">
        <is>
          <t>overruled to the extent of the observations made in the present case</t>
        </is>
      </c>
      <c r="J12" s="2" t="inlineStr">
        <is>
          <t>to the extent of the observations made in the present case</t>
        </is>
      </c>
      <c r="K12" s="11" t="inlineStr">
        <is>
          <t>candidate</t>
        </is>
      </c>
      <c r="L12" s="2" t="inlineStr">
        <is>
          <t>As above.</t>
        </is>
      </c>
      <c r="M12" s="2" t="inlineStr">
        <is>
          <t>State of Orissa v. Mahanadi Coalfields Ltd. (1995) is reported as overruled in part by Mineral Area Development Authority v. Steel Authority of India (2024) (to the extent of the observations made in the present case) (not yet confirmed by our reviewer).</t>
        </is>
      </c>
    </row>
    <row r="13">
      <c r="A13" s="11" t="inlineStr">
        <is>
          <t>D2-KANNADASAN</t>
        </is>
      </c>
      <c r="B13" s="11" t="inlineStr">
        <is>
          <t>overruled_in_part</t>
        </is>
      </c>
      <c r="C13" s="2" t="inlineStr">
        <is>
          <t>P. Kannadasan v. State of Tamil Nadu</t>
        </is>
      </c>
      <c r="D13" s="11" t="inlineStr">
        <is>
          <t>[1996] Supp. 4 SCR 92; (1996) 5 SCC 670</t>
        </is>
      </c>
      <c r="E13" s="11" t="n">
        <v>1996</v>
      </c>
      <c r="F13" s="2" t="inlineStr">
        <is>
          <t>Mineral Area Development Authority v. Steel Authority of India</t>
        </is>
      </c>
      <c r="G13" s="11" t="inlineStr">
        <is>
          <t>2024-07-25</t>
        </is>
      </c>
      <c r="H13" s="11" t="n">
        <v>9</v>
      </c>
      <c r="I13" s="2" t="inlineStr">
        <is>
          <t>overruled to the extent of the observations made in the present case</t>
        </is>
      </c>
      <c r="J13" s="2" t="inlineStr">
        <is>
          <t>to the extent of the observations made in the present case</t>
        </is>
      </c>
      <c r="K13" s="11" t="inlineStr">
        <is>
          <t>candidate</t>
        </is>
      </c>
      <c r="L13" s="2" t="inlineStr">
        <is>
          <t>As above.</t>
        </is>
      </c>
      <c r="M13" s="2" t="inlineStr">
        <is>
          <t>P. Kannadasan v. State of Tamil Nadu (1996) is reported as overruled in part by Mineral Area Development Authority v. Steel Authority of India (2024) (to the extent of the observations made in the present case) (not yet confirmed by our reviewer).</t>
        </is>
      </c>
    </row>
    <row r="14">
      <c r="A14" s="11" t="inlineStr">
        <is>
          <t>D2-DEVARAPALLI</t>
        </is>
      </c>
      <c r="B14" s="11" t="inlineStr">
        <is>
          <t>not_good_law</t>
        </is>
      </c>
      <c r="C14" s="2" t="inlineStr">
        <is>
          <t>Devarapalli Lakshminarayana Reddy v. V. Narayana Reddy</t>
        </is>
      </c>
      <c r="D14" s="11" t="inlineStr">
        <is>
          <t>(1976) 3 SCC 252; [1976] Suppl. SCR 524</t>
        </is>
      </c>
      <c r="E14" s="11" t="n">
        <v>1976</v>
      </c>
      <c r="F14" s="2" t="inlineStr">
        <is>
          <t>Vinubhai Haribhai Malaviya v. State of Gujarat</t>
        </is>
      </c>
      <c r="G14" s="11" t="inlineStr">
        <is>
          <t>2019-10-16</t>
        </is>
      </c>
      <c r="H14" s="11" t="n">
        <v>3</v>
      </c>
      <c r="I14" s="2" t="inlineStr">
        <is>
          <t>the statement of the law contained in paragraph 17 in Devarapalli Lakshminarayana Reddy cannot be relied upon</t>
        </is>
      </c>
      <c r="J14" s="2" t="inlineStr">
        <is>
          <t>the statement of the law in paragraph 17 (section 156(3) CrPC investigation is pre-cognizance only)</t>
        </is>
      </c>
      <c r="K14" s="11" t="inlineStr">
        <is>
          <t>candidate</t>
        </is>
      </c>
      <c r="L14" s="2" t="inlineStr">
        <is>
          <t>A 3-judge decision disapproved by a 3-judge bench: lawyer to confirm. Omitted by list 2; same judgment as rows 15 to 19.</t>
        </is>
      </c>
      <c r="M14" s="2" t="inlineStr">
        <is>
          <t>Devarapalli Lakshminarayana Reddy v. V. Narayana Reddy (1976) is reported as held not to be good law in Vinubhai Haribhai Malaviya v. State of Gujarat (2019) (not yet confirmed by our reviewer).</t>
        </is>
      </c>
    </row>
    <row r="15">
      <c r="A15" s="11" t="inlineStr">
        <is>
          <t>D2-BHADRESH</t>
        </is>
      </c>
      <c r="B15" s="11" t="inlineStr">
        <is>
          <t>overruled</t>
        </is>
      </c>
      <c r="C15" s="2" t="inlineStr">
        <is>
          <t>Bhadresh Bipinbhai Sheth v. State of Gujarat</t>
        </is>
      </c>
      <c r="D15" s="11" t="inlineStr">
        <is>
          <t>(2016) 1 SCC 152; [2015] 10 SCR 398</t>
        </is>
      </c>
      <c r="E15" s="11" t="n">
        <v>2016</v>
      </c>
      <c r="F15" s="2" t="inlineStr">
        <is>
          <t>Sushila Aggarwal v. State (NCT of Delhi)</t>
        </is>
      </c>
      <c r="G15" s="11" t="inlineStr">
        <is>
          <t>2020-01-29</t>
        </is>
      </c>
      <c r="H15" s="11" t="n">
        <v>5</v>
      </c>
      <c r="I15" s="2" t="inlineStr">
        <is>
          <t>Bhadresh Bipinbhai Sheth ... - overruled (the report's case-law list for one opinion); the judgment orders 'Mhetre (and other similar decisions)' overruled</t>
        </is>
      </c>
      <c r="J15" s="2" t="inlineStr">
        <is>
          <t>the view that no restrictive conditions at all can be imposed on anticipatory bail</t>
        </is>
      </c>
      <c r="K15" s="11" t="inlineStr">
        <is>
          <t>candidate</t>
        </is>
      </c>
      <c r="L15" s="2" t="inlineStr">
        <is>
          <t>Law-report tag only; the body names Mhetre and 'other similar decisions'. Omitted by list 2.</t>
        </is>
      </c>
      <c r="M15" s="2" t="inlineStr">
        <is>
          <t>Bhadresh Bipinbhai Sheth v. State of Gujarat (2016) is reported as overruled by Sushila Aggarwal v. State (NCT of Delhi) (2020) (not yet confirmed by our reviewer).</t>
        </is>
      </c>
    </row>
    <row r="16">
      <c r="A16" s="11" t="inlineStr">
        <is>
          <t>D2-NRADHAKRISHNAN</t>
        </is>
      </c>
      <c r="B16" s="11" t="inlineStr">
        <is>
          <t>overruled</t>
        </is>
      </c>
      <c r="C16" s="2" t="inlineStr">
        <is>
          <t>N. Radhakrishnan v. Maestro Engineers</t>
        </is>
      </c>
      <c r="D16" s="11" t="inlineStr">
        <is>
          <t>(2010) 1 SCC 72; [2009] 15 SCR 371</t>
        </is>
      </c>
      <c r="E16" s="11" t="n">
        <v>2010</v>
      </c>
      <c r="F16" s="2" t="inlineStr">
        <is>
          <t>Vidya Drolia v. Durga Trading Corporation</t>
        </is>
      </c>
      <c r="G16" s="11" t="inlineStr">
        <is>
          <t>2020-12-14</t>
        </is>
      </c>
      <c r="H16" s="11" t="n">
        <v>3</v>
      </c>
      <c r="I16" s="2" t="inlineStr">
        <is>
          <t>we overrule the ratio in N. Radhakrishnan inter alia observing that allegations of fraud can be made a subject matter of arbitration when they relate to a civil dispute</t>
        </is>
      </c>
      <c r="J16" s="2" t="inlineStr">
        <is>
          <t>allegations of fraud make a dispute non-arbitrable</t>
        </is>
      </c>
      <c r="K16" s="11" t="inlineStr">
        <is>
          <t>candidate</t>
        </is>
      </c>
      <c r="L16" s="2" t="inlineStr">
        <is>
          <t>Omitted by list 2; same judgment as row 38.</t>
        </is>
      </c>
      <c r="M16" s="2" t="inlineStr">
        <is>
          <t>N. Radhakrishnan v. Maestro Engineers (2010) is reported as overruled by Vidya Drolia v. Durga Trading Corporation (2020) (not yet confirmed by our reviewer).</t>
        </is>
      </c>
    </row>
    <row r="17">
      <c r="A17" s="11" t="inlineStr">
        <is>
          <t>D2-KARWAL</t>
        </is>
      </c>
      <c r="B17" s="11" t="inlineStr">
        <is>
          <t>overruled</t>
        </is>
      </c>
      <c r="C17" s="2" t="inlineStr">
        <is>
          <t>Raj Kumar Karwal v. Union of India</t>
        </is>
      </c>
      <c r="D17" s="11" t="inlineStr">
        <is>
          <t>(1990) 2 SCC 409; [1990] 2 SCR 63</t>
        </is>
      </c>
      <c r="E17" s="11" t="n">
        <v>1990</v>
      </c>
      <c r="F17" s="2" t="inlineStr">
        <is>
          <t>Tofan Singh v. State of Tamil Nadu</t>
        </is>
      </c>
      <c r="G17" s="11" t="inlineStr">
        <is>
          <t>2020-10-29</t>
        </is>
      </c>
      <c r="H17" s="11" t="n">
        <v>3</v>
      </c>
      <c r="I17" s="2" t="inlineStr">
        <is>
          <t>Raj Kumar Karwal ... overruled (the report's case-law list, Para 128)</t>
        </is>
      </c>
      <c r="J17" s="2" t="inlineStr">
        <is>
          <t>a statement under section 67 of the NDPS Act as a confession</t>
        </is>
      </c>
      <c r="K17" s="11" t="inlineStr">
        <is>
          <t>candidate</t>
        </is>
      </c>
      <c r="L17" s="2" t="inlineStr">
        <is>
          <t>Law-report tag only. Tofan Singh (2020, 3 judges) is not on list 2.</t>
        </is>
      </c>
      <c r="M17" s="2" t="inlineStr">
        <is>
          <t>Raj Kumar Karwal v. Union of India (1990) is reported as overruled by Tofan Singh v. State of Tamil Nadu (2020) (not yet confirmed by our reviewer).</t>
        </is>
      </c>
    </row>
    <row r="18">
      <c r="A18" s="11" t="inlineStr">
        <is>
          <t>D2-KANHAIYALAL</t>
        </is>
      </c>
      <c r="B18" s="11" t="inlineStr">
        <is>
          <t>overruled</t>
        </is>
      </c>
      <c r="C18" s="2" t="inlineStr">
        <is>
          <t>Kanhaiyalal v. Union of India</t>
        </is>
      </c>
      <c r="D18" s="11" t="inlineStr">
        <is>
          <t>(2008) 4 SCC 668; [2008] 1 SCR 350</t>
        </is>
      </c>
      <c r="E18" s="11" t="n">
        <v>2008</v>
      </c>
      <c r="F18" s="2" t="inlineStr">
        <is>
          <t>Tofan Singh v. State of Tamil Nadu</t>
        </is>
      </c>
      <c r="G18" s="11" t="inlineStr">
        <is>
          <t>2020-10-29</t>
        </is>
      </c>
      <c r="H18" s="11" t="n">
        <v>3</v>
      </c>
      <c r="I18" s="2" t="inlineStr">
        <is>
          <t>Kanhaiyalal ... overruled (the report's case-law list, Para 153)</t>
        </is>
      </c>
      <c r="J18" s="2" t="inlineStr">
        <is>
          <t>a statement under section 67 of the NDPS Act as a confession</t>
        </is>
      </c>
      <c r="K18" s="11" t="inlineStr">
        <is>
          <t>candidate</t>
        </is>
      </c>
      <c r="L18" s="2" t="inlineStr">
        <is>
          <t>As above.</t>
        </is>
      </c>
      <c r="M18" s="2" t="inlineStr">
        <is>
          <t>Kanhaiyalal v. Union of India (2008) is reported as overruled by Tofan Singh v. State of Tamil Nadu (2020) (not yet confirmed by our reviewer).</t>
        </is>
      </c>
    </row>
    <row r="19">
      <c r="A19" s="11" t="inlineStr">
        <is>
          <t>D2-NNG2</t>
        </is>
      </c>
      <c r="B19" s="11" t="inlineStr">
        <is>
          <t>overruled</t>
        </is>
      </c>
      <c r="C19" s="2" t="inlineStr">
        <is>
          <t>N.N. Global Mercantile Pvt. Ltd. v. Indo Unique Flame Ltd.</t>
        </is>
      </c>
      <c r="D19" s="11" t="inlineStr">
        <is>
          <t>(2023) 7 SCC 1; [2023] 9 S.C.R. 285</t>
        </is>
      </c>
      <c r="E19" s="11" t="n">
        <v>2023</v>
      </c>
      <c r="F19" s="2" t="inlineStr">
        <is>
          <t>In re: Interplay between Arbitration Agreements under the Arbitration and Conciliation Act 1996 and the Indian Stamp Act 1899</t>
        </is>
      </c>
      <c r="G19" s="11" t="inlineStr">
        <is>
          <t>2023-12-13</t>
        </is>
      </c>
      <c r="H19" s="11" t="n">
        <v>7</v>
      </c>
      <c r="I19" s="2" t="inlineStr">
        <is>
          <t>The decision in NN Global 2 and SMS Tea Estates are overruled</t>
        </is>
      </c>
      <c r="J19" s="2" t="inlineStr">
        <is>
          <t>arbitration agreement in an unstamped instrument</t>
        </is>
      </c>
      <c r="K19" s="11" t="inlineStr">
        <is>
          <t>candidate</t>
        </is>
      </c>
      <c r="L19" s="2" t="inlineStr">
        <is>
          <t>The 5-judge Constitution Bench of April 2023 (row 57's overruling case) overruled by the 7-judge bench of December 2023.</t>
        </is>
      </c>
      <c r="M19" s="2" t="inlineStr">
        <is>
          <t>N.N. Global Mercantile Pvt. Ltd. v. Indo Unique Flame Ltd. (2023) is reported as overruled by In re: Interplay between Arbitration Agreements under the Arbitration and Conciliation Act 1996 and the Indian Stamp Act 1899 (2023) (not yet confirmed by our reviewer).</t>
        </is>
      </c>
    </row>
    <row r="20">
      <c r="A20" s="11" t="inlineStr">
        <is>
          <t>D2-SMSTEA</t>
        </is>
      </c>
      <c r="B20" s="11" t="inlineStr">
        <is>
          <t>overruled</t>
        </is>
      </c>
      <c r="C20" s="2" t="inlineStr">
        <is>
          <t>SMS Tea Estates Private Limited v. Chandmari Tea Company Private Limited</t>
        </is>
      </c>
      <c r="D20" s="11" t="inlineStr">
        <is>
          <t>(2011) 14 SCC 66; [2011] 9 SCR 382</t>
        </is>
      </c>
      <c r="E20" s="11" t="n">
        <v>2011</v>
      </c>
      <c r="F20" s="2" t="inlineStr">
        <is>
          <t>In re: Interplay between Arbitration Agreements under the Arbitration and Conciliation Act 1996 and the Indian Stamp Act 1899</t>
        </is>
      </c>
      <c r="G20" s="11" t="inlineStr">
        <is>
          <t>2023-12-13</t>
        </is>
      </c>
      <c r="H20" s="11" t="n">
        <v>7</v>
      </c>
      <c r="I20" s="2" t="inlineStr">
        <is>
          <t>The decision in NN Global 2 and SMS Tea Estates are overruled</t>
        </is>
      </c>
      <c r="J20" s="2" t="inlineStr">
        <is>
          <t>arbitration agreement in an unstamped instrument</t>
        </is>
      </c>
      <c r="K20" s="11" t="inlineStr">
        <is>
          <t>candidate</t>
        </is>
      </c>
      <c r="L20" s="2" t="inlineStr">
        <is>
          <t>The 2023 Constitution Bench majority affirmed SMS Tea Estates; the 7-judge bench overruled it.</t>
        </is>
      </c>
      <c r="M20" s="2" t="inlineStr">
        <is>
          <t>SMS Tea Estates Private Limited v. Chandmari Tea Company Private Limited (2011) is reported as overruled by In re: Interplay between Arbitration Agreements under the Arbitration and Conciliation Act 1996 and the Indian Stamp Act 1899 (2023) (not yet confirmed by our reviewer).</t>
        </is>
      </c>
    </row>
    <row r="21">
      <c r="A21" s="11" t="inlineStr">
        <is>
          <t>D2-GARWARE</t>
        </is>
      </c>
      <c r="B21" s="11" t="inlineStr">
        <is>
          <t>overruled_in_part</t>
        </is>
      </c>
      <c r="C21" s="2" t="inlineStr">
        <is>
          <t>Garware Wall Ropes Limited v. Coastal Marine Constructions &amp; Engineering Limited</t>
        </is>
      </c>
      <c r="D21" s="11" t="inlineStr">
        <is>
          <t>(2019) 9 SCC 209; [2019] 5 SCR 579</t>
        </is>
      </c>
      <c r="E21" s="11" t="n">
        <v>2019</v>
      </c>
      <c r="F21" s="2" t="inlineStr">
        <is>
          <t>In re: Interplay between Arbitration Agreements under the Arbitration and Conciliation Act 1996 and the Indian Stamp Act 1899</t>
        </is>
      </c>
      <c r="G21" s="11" t="inlineStr">
        <is>
          <t>2023-12-13</t>
        </is>
      </c>
      <c r="H21" s="11" t="n">
        <v>7</v>
      </c>
      <c r="I21" s="2" t="inlineStr">
        <is>
          <t>Paragraphs 22 and 29 of Garware Wall Ropes are overruled to that extent</t>
        </is>
      </c>
      <c r="J21" s="2" t="inlineStr">
        <is>
          <t>paragraphs 22 and 29 only</t>
        </is>
      </c>
      <c r="K21" s="11" t="inlineStr">
        <is>
          <t>candidate</t>
        </is>
      </c>
      <c r="L21" s="2" t="inlineStr">
        <is>
          <t>As above.</t>
        </is>
      </c>
      <c r="M21" s="2" t="inlineStr">
        <is>
          <t>Garware Wall Ropes Limited v. Coastal Marine Constructions &amp; Engineering Limited (2019) is reported as overruled in part by In re: Interplay between Arbitration Agreements under the Arbitration and Conciliation Act 1996 and the Indian Stamp Act 1899 (2023) (paragraphs 22 and 29 only) (not yet confirmed by our reviewer).</t>
        </is>
      </c>
    </row>
  </sheetData>
  <autoFilter ref="A3:M21"/>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44" customWidth="1" min="4" max="4"/>
    <col width="90" customWidth="1" min="5" max="5"/>
    <col width="16" customWidth="1" min="6" max="6"/>
    <col width="44" customWidth="1" min="7" max="7"/>
  </cols>
  <sheetData>
    <row r="1" ht="44" customHeight="1">
      <c r="A1" s="9" t="inlineStr">
        <is>
          <t>60 judgments of three or more judges (2016 on) with an overruling-looking sentence that are NOT on list 2. Machine hits, not individually read; about 30 look like real fresh overrulings. The scan missed Tofan Singh (2020), so 60 is a floor.</t>
        </is>
      </c>
    </row>
    <row r="3">
      <c r="A3" s="10" t="inlineStr">
        <is>
          <t>Judgment key</t>
        </is>
      </c>
      <c r="B3" s="10" t="inlineStr">
        <is>
          <t>Date</t>
        </is>
      </c>
      <c r="C3" s="10" t="inlineStr">
        <is>
          <t>Bench</t>
        </is>
      </c>
      <c r="D3" s="10" t="inlineStr">
        <is>
          <t>Judgment</t>
        </is>
      </c>
      <c r="E3" s="10" t="inlineStr">
        <is>
          <t>First overruling-looking sentence</t>
        </is>
      </c>
      <c r="F3" s="10" t="inlineStr">
        <is>
          <t>Sentences found</t>
        </is>
      </c>
      <c r="G3" s="10" t="inlineStr">
        <is>
          <t>Claude's reading</t>
        </is>
      </c>
    </row>
    <row r="4">
      <c r="A4" s="11" t="inlineStr">
        <is>
          <t>c43549</t>
        </is>
      </c>
      <c r="B4" s="11" t="inlineStr">
        <is>
          <t>2016-04-01</t>
        </is>
      </c>
      <c r="C4" s="11" t="inlineStr">
        <is>
          <t>3</t>
        </is>
      </c>
      <c r="D4" s="2" t="inlineStr">
        <is>
          <t>LILAWATI AGARWAL ETC. versus THE STATE OF JHARKHAND ETC.</t>
        </is>
      </c>
      <c r="E4" s="2" t="inlineStr">
        <is>
          <t>To understand the dictum in Raghubir Singh (supra), it is necessary to understand what was stated in Bhag Singh (supra) and what has been overruled in Raghubir Singh (supra).</t>
        </is>
      </c>
      <c r="F4" s="11" t="inlineStr">
        <is>
          <t>1</t>
        </is>
      </c>
      <c r="G4" s="2" t="inlineStr">
        <is>
          <t>unchecked machine hit: some are quotations of an older overruling or a party's argument</t>
        </is>
      </c>
    </row>
    <row r="5">
      <c r="A5" s="11" t="inlineStr">
        <is>
          <t>c44682</t>
        </is>
      </c>
      <c r="B5" s="11" t="inlineStr">
        <is>
          <t>2017-03-21</t>
        </is>
      </c>
      <c r="C5" s="11" t="inlineStr">
        <is>
          <t>3</t>
        </is>
      </c>
      <c r="D5" s="2" t="inlineStr">
        <is>
          <t>Ram Kishan Fauji v. State of Haryana and Ors</t>
        </is>
      </c>
      <c r="E5" s="2" t="inlineStr">
        <is>
          <t>Contrary view in Surya Dev Rai (supra) is overruled.” 43.</t>
        </is>
      </c>
      <c r="F5" s="11" t="inlineStr">
        <is>
          <t>1</t>
        </is>
      </c>
      <c r="G5" s="2" t="inlineStr">
        <is>
          <t>unchecked machine hit: some are quotations of an older overruling or a party's argument</t>
        </is>
      </c>
    </row>
    <row r="6">
      <c r="A6" s="11" t="inlineStr">
        <is>
          <t>b2017_7_765_822</t>
        </is>
      </c>
      <c r="B6" s="11" t="inlineStr">
        <is>
          <t>2017-07-03</t>
        </is>
      </c>
      <c r="C6" s="11" t="inlineStr">
        <is>
          <t>3</t>
        </is>
      </c>
      <c r="D6" s="2" t="inlineStr">
        <is>
          <t>MUKUND DEWANGAN versus ORIENTAL INSURANCE COMPANY LIMITED</t>
        </is>
      </c>
      <c r="E6" s="2" t="inlineStr">
        <is>
          <t>Thus, the decision in Prabhu Lal (supra) does not lay down correct proposition oflaw and is hereby overruled.</t>
        </is>
      </c>
      <c r="F6" s="11" t="inlineStr">
        <is>
          <t>1</t>
        </is>
      </c>
      <c r="G6" s="2" t="inlineStr">
        <is>
          <t>unchecked machine hit: some are quotations of an older overruling or a party's argument</t>
        </is>
      </c>
    </row>
    <row r="7">
      <c r="A7" s="11" t="inlineStr">
        <is>
          <t>b2017_12_557_643</t>
        </is>
      </c>
      <c r="B7" s="11" t="inlineStr">
        <is>
          <t>2017-10-09</t>
        </is>
      </c>
      <c r="C7" s="11" t="inlineStr">
        <is>
          <t>3</t>
        </is>
      </c>
      <c r="D7" s="2" t="inlineStr">
        <is>
          <t>SANTHINI versus VIJAYA VENKETESH</t>
        </is>
      </c>
      <c r="E7" s="2" t="inlineStr">
        <is>
          <t>A (vi) The decisionin Krishna ~ni Nagam (supra) is overruled to .</t>
        </is>
      </c>
      <c r="F7" s="11" t="inlineStr">
        <is>
          <t>1</t>
        </is>
      </c>
      <c r="G7" s="2" t="inlineStr">
        <is>
          <t>unchecked machine hit: some are quotations of an older overruling or a party's argument</t>
        </is>
      </c>
    </row>
    <row r="8">
      <c r="A8" s="11" t="inlineStr">
        <is>
          <t>b2018_2_1_231</t>
        </is>
      </c>
      <c r="B8" s="11" t="inlineStr">
        <is>
          <t>2018-02-08</t>
        </is>
      </c>
      <c r="C8" s="11" t="inlineStr">
        <is>
          <t>3</t>
        </is>
      </c>
      <c r="D8" s="2" t="inlineStr">
        <is>
          <t>INDORE DEVELOPMENT AUTHORITY versus SHAILENDRA (DEAD) THROUGH LRS. &amp; ORS.</t>
        </is>
      </c>
      <c r="E8" s="2" t="inlineStr">
        <is>
          <t>The decision in Shree Balaji (supra) cannot be said to be laying down good law, is overruled and other decisions following the said decision to the extent they are in conflict with this decision, stand overruled.</t>
        </is>
      </c>
      <c r="F8" s="11" t="inlineStr">
        <is>
          <t>2</t>
        </is>
      </c>
      <c r="G8" s="2" t="inlineStr">
        <is>
          <t>unchecked machine hit: some are quotations of an older overruling or a party's argument</t>
        </is>
      </c>
    </row>
    <row r="9">
      <c r="A9" s="11" t="inlineStr">
        <is>
          <t>b2018_9_1006_1023</t>
        </is>
      </c>
      <c r="B9" s="11" t="inlineStr">
        <is>
          <t>2018-08-16</t>
        </is>
      </c>
      <c r="C9" s="11" t="inlineStr">
        <is>
          <t>3</t>
        </is>
      </c>
      <c r="D9" s="2" t="inlineStr">
        <is>
          <t>MOHANLAL versus THE STATE OF PUNJAB</t>
        </is>
      </c>
      <c r="E9" s="2" t="inlineStr">
        <is>
          <t>Kader (supra) is, therefore, overruled.</t>
        </is>
      </c>
      <c r="F9" s="11" t="inlineStr">
        <is>
          <t>1</t>
        </is>
      </c>
      <c r="G9" s="2" t="inlineStr">
        <is>
          <t>unchecked machine hit: some are quotations of an older overruling or a party's argument</t>
        </is>
      </c>
    </row>
    <row r="10">
      <c r="A10" s="11" t="inlineStr">
        <is>
          <t>b2018_11_699_719</t>
        </is>
      </c>
      <c r="B10" s="11" t="inlineStr">
        <is>
          <t>2018-09-19</t>
        </is>
      </c>
      <c r="C10" s="11" t="inlineStr">
        <is>
          <t>3</t>
        </is>
      </c>
      <c r="D10" s="2" t="inlineStr">
        <is>
          <t>JANABAI versus ADDITIONAL COMMISSIONER AND OTHERS</t>
        </is>
      </c>
      <c r="E10" s="2" t="inlineStr">
        <is>
          <t>Thus analysed, we are of the view that the decision in Sagar Pandurang Dhundare (supra) does not lay down the correct position of law and it is, accordingly, overruled.</t>
        </is>
      </c>
      <c r="F10" s="11" t="inlineStr">
        <is>
          <t>1</t>
        </is>
      </c>
      <c r="G10" s="2" t="inlineStr">
        <is>
          <t>unchecked machine hit: some are quotations of an older overruling or a party's argument</t>
        </is>
      </c>
    </row>
    <row r="11">
      <c r="A11" s="11" t="inlineStr">
        <is>
          <t>b2018_8_1_1076</t>
        </is>
      </c>
      <c r="B11" s="11" t="inlineStr">
        <is>
          <t>2018-09-26</t>
        </is>
      </c>
      <c r="C11" s="11" t="inlineStr">
        <is>
          <t>5</t>
        </is>
      </c>
      <c r="D11" s="2" t="inlineStr">
        <is>
          <t>JUSTICE K. S. PUTTASWAMY (RETD.) versus UNION OF INDIA &amp; ORS.</t>
        </is>
      </c>
      <c r="E11" s="2" t="inlineStr">
        <is>
          <t>Saeed Siddiqui (supra) and Two Judge Bench judgment of this Court in Yogendra Kumar Jaiswal (supra) does not lay down the correct law.</t>
        </is>
      </c>
      <c r="F11" s="11" t="inlineStr">
        <is>
          <t>1</t>
        </is>
      </c>
      <c r="G11" s="2" t="inlineStr">
        <is>
          <t>unchecked machine hit: some are quotations of an older overruling or a party's argument</t>
        </is>
      </c>
    </row>
    <row r="12">
      <c r="A12" s="11" t="inlineStr">
        <is>
          <t>b2019_1_489_532</t>
        </is>
      </c>
      <c r="B12" s="11" t="inlineStr">
        <is>
          <t>2019-01-23</t>
        </is>
      </c>
      <c r="C12" s="11" t="inlineStr">
        <is>
          <t>3</t>
        </is>
      </c>
      <c r="D12" s="2" t="inlineStr">
        <is>
          <t>M/S. SHANTI CONDUCTORS (P) LTD. &amp; ANR. versus ASSAM STATE ELECTRICITY BOARD &amp; ORS.</t>
        </is>
      </c>
      <c r="E12" s="2" t="inlineStr">
        <is>
          <t>We, thus, are of the view that judgments in Purbanchal Cables and Conductors (supra), Assam Small Scale Industries and Shakti Tubes which held that Act, 1993 shall be applicable only when the agreement to sale/contract was entered prior/subsequent to the enforcement of the Act, does not lay down the</t>
        </is>
      </c>
      <c r="F12" s="11" t="inlineStr">
        <is>
          <t>1</t>
        </is>
      </c>
      <c r="G12" s="2" t="inlineStr">
        <is>
          <t>unchecked machine hit: some are quotations of an older overruling or a party's argument</t>
        </is>
      </c>
    </row>
    <row r="13">
      <c r="A13" s="11" t="inlineStr">
        <is>
          <t>b2019_12_123_136</t>
        </is>
      </c>
      <c r="B13" s="11" t="inlineStr">
        <is>
          <t>2019-09-05</t>
        </is>
      </c>
      <c r="C13" s="11" t="inlineStr">
        <is>
          <t>3</t>
        </is>
      </c>
      <c r="D13" s="2" t="inlineStr">
        <is>
          <t>M/S MAYAVTI TRADING PVT. LTD. versus PRADYUAT DEB BURMAN</t>
        </is>
      </c>
      <c r="E13" s="2" t="inlineStr">
        <is>
          <t>[(2002) 2 SCC 388] is overruled.” 16.</t>
        </is>
      </c>
      <c r="F13" s="11" t="inlineStr">
        <is>
          <t>1</t>
        </is>
      </c>
      <c r="G13" s="2" t="inlineStr">
        <is>
          <t>unchecked machine hit: some are quotations of an older overruling or a party's argument</t>
        </is>
      </c>
    </row>
    <row r="14">
      <c r="A14" s="11" t="inlineStr">
        <is>
          <t>b2019_15_569_630</t>
        </is>
      </c>
      <c r="B14" s="11" t="inlineStr">
        <is>
          <t>2019-09-18</t>
        </is>
      </c>
      <c r="C14" s="11" t="inlineStr">
        <is>
          <t>3</t>
        </is>
      </c>
      <c r="D14" s="2" t="inlineStr">
        <is>
          <t>VASANT GANPAT PADAVE (D) BY LRS. &amp; ORS . versus ANANT MAHADEV SAWANT (D) THROUGH LRS. &amp; OR</t>
        </is>
      </c>
      <c r="E14" s="2" t="inlineStr">
        <is>
          <t>To the extent that this judgment follows the law laid down in Appa Narsappa (supra), this judgment also does not lay down the law correctly and is overruled to this extent.</t>
        </is>
      </c>
      <c r="F14" s="11" t="inlineStr">
        <is>
          <t>3</t>
        </is>
      </c>
      <c r="G14" s="2" t="inlineStr">
        <is>
          <t>unchecked machine hit: some are quotations of an older overruling or a party's argument</t>
        </is>
      </c>
    </row>
    <row r="15">
      <c r="A15" s="11" t="inlineStr">
        <is>
          <t>b2019_15_223_257</t>
        </is>
      </c>
      <c r="B15" s="11" t="inlineStr">
        <is>
          <t>2019-09-24</t>
        </is>
      </c>
      <c r="C15" s="11" t="inlineStr">
        <is>
          <t>3</t>
        </is>
      </c>
      <c r="D15" s="2" t="inlineStr">
        <is>
          <t>NEVADA PROPERTIES PRIVATE LIMITED THROUGH ITS DIRECTOR versus STATE OF MAHARASHTRA AND ANR</t>
        </is>
      </c>
      <c r="E15" s="2" t="inlineStr">
        <is>
          <t>Bombay Science and Research Education Institute (supra) lays down the correct law and the ratio in Kishore Shankar Signapurkar (supra) is not good law.</t>
        </is>
      </c>
      <c r="F15" s="11" t="inlineStr">
        <is>
          <t>1</t>
        </is>
      </c>
      <c r="G15" s="2" t="inlineStr">
        <is>
          <t>unchecked machine hit: some are quotations of an older overruling or a party's argument</t>
        </is>
      </c>
    </row>
    <row r="16">
      <c r="A16" s="11" t="inlineStr">
        <is>
          <t>b2019_14_285_311</t>
        </is>
      </c>
      <c r="B16" s="11" t="inlineStr">
        <is>
          <t>2019-10-03</t>
        </is>
      </c>
      <c r="C16" s="11" t="inlineStr">
        <is>
          <t>3</t>
        </is>
      </c>
      <c r="D16" s="2" t="inlineStr">
        <is>
          <t>RAVISHANKAR @ BABA VISHWAKARMA versus THE STATE OF MADHYA PRADESH</t>
        </is>
      </c>
      <c r="E16" s="2" t="inlineStr">
        <is>
          <t>State of Haryana, (2013) 2 SCC 452 : (2013) 2 SCC (Cri) 611] that the deprival of remission power of the appropriate Government by awarding sentences of 20 or 25 years or without any remission as not permissible is not in consonance with the law and we specifically overrule the same.” 48.</t>
        </is>
      </c>
      <c r="F16" s="11" t="inlineStr">
        <is>
          <t>1</t>
        </is>
      </c>
      <c r="G16" s="2" t="inlineStr">
        <is>
          <t>unchecked machine hit: some are quotations of an older overruling or a party's argument</t>
        </is>
      </c>
    </row>
    <row r="17">
      <c r="A17" s="11" t="inlineStr">
        <is>
          <t>b2019_15_1085_1146</t>
        </is>
      </c>
      <c r="B17" s="11" t="inlineStr">
        <is>
          <t>2019-10-23</t>
        </is>
      </c>
      <c r="C17" s="11" t="inlineStr">
        <is>
          <t>5</t>
        </is>
      </c>
      <c r="D17" s="2" t="inlineStr">
        <is>
          <t>SHAH AND S. RAVINDRA BHAT, JJ.] versus MANOHAR LAL &amp; ORS. ETC.</t>
        </is>
      </c>
      <c r="E17" s="2" t="inlineStr">
        <is>
          <t>Sashikant Vishnu Shinde, (1978) 2 SCC 573 and the observations made therein which we have earlier quoted, do not lay down the correct law.</t>
        </is>
      </c>
      <c r="F17" s="11" t="inlineStr">
        <is>
          <t>1</t>
        </is>
      </c>
      <c r="G17" s="2" t="inlineStr">
        <is>
          <t>unchecked machine hit: some are quotations of an older overruling or a party's argument</t>
        </is>
      </c>
    </row>
    <row r="18">
      <c r="A18" s="11" t="inlineStr">
        <is>
          <t>b2019_16_1_251</t>
        </is>
      </c>
      <c r="B18" s="11" t="inlineStr">
        <is>
          <t>2019-11-13</t>
        </is>
      </c>
      <c r="C18" s="11" t="inlineStr">
        <is>
          <t>5</t>
        </is>
      </c>
      <c r="D18" s="2" t="inlineStr">
        <is>
          <t>ROJER MATHEW versus SOUTH INDIAN BANK LTD. &amp; ORS.</t>
        </is>
      </c>
      <c r="E18" s="2" t="inlineStr">
        <is>
          <t>State of Bihar, (2016) 3 SCC 183 : (2016) 2 SCC (Cri) 1] do not lay down the correct law.</t>
        </is>
      </c>
      <c r="F18" s="11" t="inlineStr">
        <is>
          <t>1</t>
        </is>
      </c>
      <c r="G18" s="2" t="inlineStr">
        <is>
          <t>unchecked machine hit: some are quotations of an older overruling or a party's argument</t>
        </is>
      </c>
    </row>
    <row r="19">
      <c r="A19" s="11" t="inlineStr">
        <is>
          <t>b2019_16_651_671</t>
        </is>
      </c>
      <c r="B19" s="11" t="inlineStr">
        <is>
          <t>2019-11-19</t>
        </is>
      </c>
      <c r="C19" s="11" t="inlineStr">
        <is>
          <t>3</t>
        </is>
      </c>
      <c r="D19" s="2" t="inlineStr">
        <is>
          <t>K. MEGHACHANDRA SINGH &amp; ORS. versus NINGAM SIRO &amp; ORS.</t>
        </is>
      </c>
      <c r="E19" s="2" t="inlineStr">
        <is>
          <t>Parmar (Supra) is read with equal emphasis by Mr Gupta to firstly point out that this case does not lay down the correct law in determination of seniority.</t>
        </is>
      </c>
      <c r="F19" s="11" t="inlineStr">
        <is>
          <t>1</t>
        </is>
      </c>
      <c r="G19" s="2" t="inlineStr">
        <is>
          <t>unchecked machine hit: some are quotations of an older overruling or a party's argument</t>
        </is>
      </c>
    </row>
    <row r="20">
      <c r="A20" s="11" t="inlineStr">
        <is>
          <t>b2019_17_742_827</t>
        </is>
      </c>
      <c r="B20" s="11" t="inlineStr">
        <is>
          <t>2019-12-10</t>
        </is>
      </c>
      <c r="C20" s="11" t="inlineStr">
        <is>
          <t>3</t>
        </is>
      </c>
      <c r="D20" s="2" t="inlineStr">
        <is>
          <t>BGS SGS SOMA JV versus NHPC LTD.</t>
        </is>
      </c>
      <c r="E20" s="2" t="inlineStr">
        <is>
          <t>The Five Judge Bench in BALCO (supra) expressly overruled Venture Global Engineering (supra) as follows: “143…With these observations, the matter was remanded back to the trial court to dispose of the suit on merits.</t>
        </is>
      </c>
      <c r="F20" s="11" t="inlineStr">
        <is>
          <t>1</t>
        </is>
      </c>
      <c r="G20" s="2" t="inlineStr">
        <is>
          <t>unchecked machine hit: some are quotations of an older overruling or a party's argument</t>
        </is>
      </c>
    </row>
    <row r="21">
      <c r="A21" s="11" t="inlineStr">
        <is>
          <t>b2019_15_93_112</t>
        </is>
      </c>
      <c r="B21" s="11" t="inlineStr">
        <is>
          <t>2019-12-13</t>
        </is>
      </c>
      <c r="C21" s="11" t="inlineStr">
        <is>
          <t>3</t>
        </is>
      </c>
      <c r="D21" s="2" t="inlineStr">
        <is>
          <t>S. KRISHNA SRADHA versus THE STATE OF ANDHRA PRADESH &amp; ORS.</t>
        </is>
      </c>
      <c r="E21" s="2" t="inlineStr">
        <is>
          <t>In view of the above, the decision of this Court in the case of Jasmine Kaur (Supra) or any other decisions contrary to the above stand overruled.</t>
        </is>
      </c>
      <c r="F21" s="11" t="inlineStr">
        <is>
          <t>1</t>
        </is>
      </c>
      <c r="G21" s="2" t="inlineStr">
        <is>
          <t>unchecked machine hit: some are quotations of an older overruling or a party's argument</t>
        </is>
      </c>
    </row>
    <row r="22">
      <c r="A22" s="11" t="inlineStr">
        <is>
          <t>b2020_3_887_890</t>
        </is>
      </c>
      <c r="B22" s="11" t="inlineStr">
        <is>
          <t>2020-02-11</t>
        </is>
      </c>
      <c r="C22" s="11" t="inlineStr">
        <is>
          <t>3</t>
        </is>
      </c>
      <c r="D22" s="2" t="inlineStr">
        <is>
          <t>COMMISSIONER OF CUSTOMS AND CENTRAL EXCISE, GOA versus M/S ADANI EXPORTS LTD.</t>
        </is>
      </c>
      <c r="E22" s="2" t="inlineStr">
        <is>
          <t>The judgment in Commissioner of Customs, Bangalore (supra) being incorrect is therefore overruled.</t>
        </is>
      </c>
      <c r="F22" s="11" t="inlineStr">
        <is>
          <t>1</t>
        </is>
      </c>
      <c r="G22" s="2" t="inlineStr">
        <is>
          <t>unchecked machine hit: some are quotations of an older overruling or a party's argument</t>
        </is>
      </c>
    </row>
    <row r="23">
      <c r="A23" s="11" t="inlineStr">
        <is>
          <t>b2020_2_161_245</t>
        </is>
      </c>
      <c r="B23" s="11" t="inlineStr">
        <is>
          <t>2020-02-19</t>
        </is>
      </c>
      <c r="C23" s="11" t="inlineStr">
        <is>
          <t>3</t>
        </is>
      </c>
      <c r="D23" s="2" t="inlineStr">
        <is>
          <t>DHEERAJ MOR versus HON’BLE HIGH COURT OF DELHI</t>
        </is>
      </c>
      <c r="E23" s="2" t="inlineStr">
        <is>
          <t>To that extent, Vijay Kumar Mishra (supra) is hereby overruled.</t>
        </is>
      </c>
      <c r="F23" s="11" t="inlineStr">
        <is>
          <t>1</t>
        </is>
      </c>
      <c r="G23" s="2" t="inlineStr">
        <is>
          <t>unchecked machine hit: some are quotations of an older overruling or a party's argument</t>
        </is>
      </c>
    </row>
    <row r="24">
      <c r="A24" s="11" t="inlineStr">
        <is>
          <t>b2020_5_429_464</t>
        </is>
      </c>
      <c r="B24" s="11" t="inlineStr">
        <is>
          <t>2020-03-04</t>
        </is>
      </c>
      <c r="C24" s="11" t="inlineStr">
        <is>
          <t>5</t>
        </is>
      </c>
      <c r="D24" s="2" t="inlineStr">
        <is>
          <t>ASSURANCE CO. LTD. versus HILLI  MULTIPURPOSE COLD STORAGE PVT. LTD.</t>
        </is>
      </c>
      <c r="E24" s="2" t="inlineStr">
        <is>
          <t>We are thus of the opinion that Kailash vs Nanhku (supra) has not overruled the decision in Dr.</t>
        </is>
      </c>
      <c r="F24" s="11" t="inlineStr">
        <is>
          <t>1</t>
        </is>
      </c>
      <c r="G24" s="2" t="inlineStr">
        <is>
          <t>unchecked machine hit: some are quotations of an older overruling or a party's argument</t>
        </is>
      </c>
    </row>
    <row r="25">
      <c r="A25" s="11" t="inlineStr">
        <is>
          <t>b2020_5_1038_1170</t>
        </is>
      </c>
      <c r="B25" s="11" t="inlineStr">
        <is>
          <t>2020-05-05</t>
        </is>
      </c>
      <c r="C25" s="11" t="inlineStr">
        <is>
          <t>5</t>
        </is>
      </c>
      <c r="D25" s="2" t="inlineStr">
        <is>
          <t>PANDURANG GANPATI CHAUGULE versus VISHWASRAO PATIL MURGUD SAHAKARI BANK LIMITED</t>
        </is>
      </c>
      <c r="E25" s="2" t="inlineStr">
        <is>
          <t>(supra) are incorrect and required to be overruled.</t>
        </is>
      </c>
      <c r="F25" s="11" t="inlineStr">
        <is>
          <t>1</t>
        </is>
      </c>
      <c r="G25" s="2" t="inlineStr">
        <is>
          <t>unchecked machine hit: some are quotations of an older overruling or a party's argument</t>
        </is>
      </c>
    </row>
    <row r="26">
      <c r="A26" s="11" t="inlineStr">
        <is>
          <t>b2020_8_1_88</t>
        </is>
      </c>
      <c r="B26" s="11" t="inlineStr">
        <is>
          <t>2020-05-27</t>
        </is>
      </c>
      <c r="C26" s="11" t="inlineStr">
        <is>
          <t>3</t>
        </is>
      </c>
      <c r="D26" s="2" t="inlineStr">
        <is>
          <t>CHAIRMAN-CUM-MANAGING DIRECTOR, MAHANADI COALFIELDS LIMITED versus SRI RABINDRANATH CHOUBE</t>
        </is>
      </c>
      <c r="E26" s="2" t="inlineStr">
        <is>
          <t>Thus, we overrule the decision in Jaswant Singh Gill (supra).</t>
        </is>
      </c>
      <c r="F26" s="11" t="inlineStr">
        <is>
          <t>1</t>
        </is>
      </c>
      <c r="G26" s="2" t="inlineStr">
        <is>
          <t>unchecked machine hit: some are quotations of an older overruling or a party's argument</t>
        </is>
      </c>
    </row>
    <row r="27">
      <c r="A27" s="11" t="inlineStr">
        <is>
          <t>b2020_11_706_785</t>
        </is>
      </c>
      <c r="B27" s="11" t="inlineStr">
        <is>
          <t>2020-08-05</t>
        </is>
      </c>
      <c r="C27" s="11" t="inlineStr">
        <is>
          <t>3</t>
        </is>
      </c>
      <c r="D27" s="2" t="inlineStr">
        <is>
          <t>THE CHAIRMAN, BOARD OF TRUSTEES, COCHIN PORT TRUST versus M/S AREBEE STAR MARITIME AGENCIE</t>
        </is>
      </c>
      <c r="E27" s="2" t="inlineStr">
        <is>
          <t>Knitters (supra), stating that the Port Trust is a bailee on behalf of the consignee who is the bailor, on a consideration of section 1 of the Indian Bills of Lading Act, 1856, and submitted that Forbes-II (supra) is wholly incorrect and deserves to be overruled.</t>
        </is>
      </c>
      <c r="F27" s="11" t="inlineStr">
        <is>
          <t>3</t>
        </is>
      </c>
      <c r="G27" s="2" t="inlineStr">
        <is>
          <t>unchecked machine hit: some are quotations of an older overruling or a party's argument</t>
        </is>
      </c>
    </row>
    <row r="28">
      <c r="A28" s="11" t="inlineStr">
        <is>
          <t>b2020_6_289_302</t>
        </is>
      </c>
      <c r="B28" s="11" t="inlineStr">
        <is>
          <t>2020-08-05</t>
        </is>
      </c>
      <c r="C28" s="11" t="inlineStr">
        <is>
          <t>3</t>
        </is>
      </c>
      <c r="D28" s="2" t="inlineStr">
        <is>
          <t>M/S EXL CAREERS AND ANOTHER versus FRANKFINN AVIATION SERVICES PRIVATE LIMITED</t>
        </is>
      </c>
      <c r="E28" s="2" t="inlineStr">
        <is>
          <t>(supra) does not lay down the correct law and over-rule the same.</t>
        </is>
      </c>
      <c r="F28" s="11" t="inlineStr">
        <is>
          <t>1</t>
        </is>
      </c>
      <c r="G28" s="2" t="inlineStr">
        <is>
          <t>unchecked machine hit: some are quotations of an older overruling or a party's argument</t>
        </is>
      </c>
    </row>
    <row r="29">
      <c r="A29" s="11" t="inlineStr">
        <is>
          <t>b2020_13_427_464</t>
        </is>
      </c>
      <c r="B29" s="11" t="inlineStr">
        <is>
          <t>2020-08-19</t>
        </is>
      </c>
      <c r="C29" s="11" t="inlineStr">
        <is>
          <t>3</t>
        </is>
      </c>
      <c r="D29" s="2" t="inlineStr">
        <is>
          <t>DECCAN PAPER MILLS CO. LTD. versus REGENCY MAHAVIR PROPERTIES &amp; ORS.</t>
        </is>
      </c>
      <c r="E29" s="2" t="inlineStr">
        <is>
          <t>Also, it must be remembered that the Delhi High Court’s reasoning in Sulochana Uppal (supra) that it is the Court alone that can, under the Specific Relief Act, enforce specific performance of an agreement, is contra to the reasoning in Olympus (supra) which overruled it, stating that “the dispute o</t>
        </is>
      </c>
      <c r="F29" s="11" t="inlineStr">
        <is>
          <t>1</t>
        </is>
      </c>
      <c r="G29" s="2" t="inlineStr">
        <is>
          <t>unchecked machine hit: some are quotations of an older overruling or a party's argument</t>
        </is>
      </c>
    </row>
    <row r="30">
      <c r="A30" s="11" t="inlineStr">
        <is>
          <t>b2020_13_488_516</t>
        </is>
      </c>
      <c r="B30" s="11" t="inlineStr">
        <is>
          <t>2020-09-08</t>
        </is>
      </c>
      <c r="C30" s="11" t="inlineStr">
        <is>
          <t>3</t>
        </is>
      </c>
      <c r="D30" s="2" t="inlineStr">
        <is>
          <t>M/S BANGALORE CLUB versus THE COMMISSIONER OF WEALTH TAX &amp; ANR.</t>
        </is>
      </c>
      <c r="E30" s="2" t="inlineStr">
        <is>
          <t>Chikmagalur Club (supra) not being correctly decided, is overruled.</t>
        </is>
      </c>
      <c r="F30" s="11" t="inlineStr">
        <is>
          <t>1</t>
        </is>
      </c>
      <c r="G30" s="2" t="inlineStr">
        <is>
          <t>unchecked machine hit: some are quotations of an older overruling or a party's argument</t>
        </is>
      </c>
    </row>
    <row r="31">
      <c r="A31" s="11" t="inlineStr">
        <is>
          <t>b2020_12_189_278</t>
        </is>
      </c>
      <c r="B31" s="11" t="inlineStr">
        <is>
          <t>2020-10-15</t>
        </is>
      </c>
      <c r="C31" s="11" t="inlineStr">
        <is>
          <t>3</t>
        </is>
      </c>
      <c r="D31" s="2" t="inlineStr">
        <is>
          <t>SATISH CHANDER AHUJA versus SNEHA AHUJA</t>
        </is>
      </c>
      <c r="E31" s="2" t="inlineStr">
        <is>
          <t>Taruna Batra (supra) is not correct interpretation and the said judgment does not lay down the correct law.</t>
        </is>
      </c>
      <c r="F31" s="11" t="inlineStr">
        <is>
          <t>1</t>
        </is>
      </c>
      <c r="G31" s="2" t="inlineStr">
        <is>
          <t>unchecked machine hit: some are quotations of an older overruling or a party's argument</t>
        </is>
      </c>
    </row>
    <row r="32">
      <c r="A32" s="11" t="inlineStr">
        <is>
          <t>b2020_8_1057_1070</t>
        </is>
      </c>
      <c r="B32" s="11" t="inlineStr">
        <is>
          <t>2020-10-26</t>
        </is>
      </c>
      <c r="C32" s="11" t="inlineStr">
        <is>
          <t>3</t>
        </is>
      </c>
      <c r="D32" s="2" t="inlineStr">
        <is>
          <t>RAJESH DHIMAN versus STATE OF HIMACHAL PRADESH</t>
        </is>
      </c>
      <c r="E32" s="2" t="inlineStr">
        <is>
          <t>State of Punjab, (2018) 17 SCC 627 and any other decision taking a contrary view that the informant cannot be the investigator and in such a case the accused is entitled to acquittal are not good law and they are specifically overruled.” [emphasis supplied] 11.</t>
        </is>
      </c>
      <c r="F32" s="11" t="inlineStr">
        <is>
          <t>1</t>
        </is>
      </c>
      <c r="G32" s="2" t="inlineStr">
        <is>
          <t>unchecked machine hit: some are quotations of an older overruling or a party's argument</t>
        </is>
      </c>
    </row>
    <row r="33">
      <c r="A33" s="11" t="inlineStr">
        <is>
          <t>b2021_1_829_857</t>
        </is>
      </c>
      <c r="B33" s="11" t="inlineStr">
        <is>
          <t>2021-02-11</t>
        </is>
      </c>
      <c r="C33" s="11" t="inlineStr">
        <is>
          <t>3</t>
        </is>
      </c>
      <c r="D33" s="2" t="inlineStr">
        <is>
          <t>CHINTELS INDIA LTD. versus BHAYANA BUILDERS PVT. LTD.</t>
        </is>
      </c>
      <c r="E33" s="2" t="inlineStr">
        <is>
          <t>Likewise, the reasoning contained in Radha Krishna Seth (supra), does not commend itself to us.Both these judgments therefore do not state the law correctly and stand overruled.</t>
        </is>
      </c>
      <c r="F33" s="11" t="inlineStr">
        <is>
          <t>1</t>
        </is>
      </c>
      <c r="G33" s="2" t="inlineStr">
        <is>
          <t>unchecked machine hit: some are quotations of an older overruling or a party's argument</t>
        </is>
      </c>
    </row>
    <row r="34">
      <c r="A34" s="11" t="inlineStr">
        <is>
          <t>b2021_14_204_320</t>
        </is>
      </c>
      <c r="B34" s="11" t="inlineStr">
        <is>
          <t>2021-03-01</t>
        </is>
      </c>
      <c r="C34" s="11" t="inlineStr">
        <is>
          <t>3</t>
        </is>
      </c>
      <c r="D34" s="2" t="inlineStr">
        <is>
          <t>P. MOHANRAJ &amp; ORS. versus M/S. SHAH BROTHERS ISPAT PVT. LTD.</t>
        </is>
      </c>
      <c r="E34" s="2" t="inlineStr">
        <is>
          <t>Thus, the view expressed in Sheoratan Agarwal [(1984) 4 SCC 352 : 1984 SCC (Cri) 620] does not correctly lay down the law and, accordingly, is hereby overruled.</t>
        </is>
      </c>
      <c r="F34" s="11" t="inlineStr">
        <is>
          <t>2</t>
        </is>
      </c>
      <c r="G34" s="2" t="inlineStr">
        <is>
          <t>unchecked machine hit: some are quotations of an older overruling or a party's argument</t>
        </is>
      </c>
    </row>
    <row r="35">
      <c r="A35" s="11" t="inlineStr">
        <is>
          <t>b2021_1_1162_1198</t>
        </is>
      </c>
      <c r="B35" s="11" t="inlineStr">
        <is>
          <t>2021-03-08</t>
        </is>
      </c>
      <c r="C35" s="11" t="inlineStr">
        <is>
          <t>3</t>
        </is>
      </c>
      <c r="D35" s="2" t="inlineStr">
        <is>
          <t>PRAVIN ELECTRICALS PVT. LTD. versus GALAXY INFRA AND ENGINEERING PVT. LTD.</t>
        </is>
      </c>
      <c r="E35" s="2" t="inlineStr">
        <is>
          <t>Rani Construction (P) Ltd., (2002) 2 SCC 388 is overruled.’ 11.</t>
        </is>
      </c>
      <c r="F35" s="11" t="inlineStr">
        <is>
          <t>1</t>
        </is>
      </c>
      <c r="G35" s="2" t="inlineStr">
        <is>
          <t>unchecked machine hit: some are quotations of an older overruling or a party's argument</t>
        </is>
      </c>
    </row>
    <row r="36">
      <c r="A36" s="11" t="inlineStr">
        <is>
          <t>b2021_7_86_111</t>
        </is>
      </c>
      <c r="B36" s="11" t="inlineStr">
        <is>
          <t>2021-04-05</t>
        </is>
      </c>
      <c r="C36" s="11" t="inlineStr">
        <is>
          <t>3</t>
        </is>
      </c>
      <c r="D36" s="2" t="inlineStr">
        <is>
          <t>KIRAN DEVI versus THE BIHAR STATE SUNNI WAKF BOARD &amp; ORS.</t>
        </is>
      </c>
      <c r="E36" s="2" t="inlineStr">
        <is>
          <t>Ram Chander Rai, (2003) 6 SCC 675] is overruled.” 20.</t>
        </is>
      </c>
      <c r="F36" s="11" t="inlineStr">
        <is>
          <t>1</t>
        </is>
      </c>
      <c r="G36" s="2" t="inlineStr">
        <is>
          <t>unchecked machine hit: some are quotations of an older overruling or a party's argument</t>
        </is>
      </c>
    </row>
    <row r="37">
      <c r="A37" s="11" t="inlineStr">
        <is>
          <t>b2021_4_257_273</t>
        </is>
      </c>
      <c r="B37" s="11" t="inlineStr">
        <is>
          <t>2021-04-16</t>
        </is>
      </c>
      <c r="C37" s="11" t="inlineStr">
        <is>
          <t>5</t>
        </is>
      </c>
      <c r="D37" s="2" t="inlineStr">
        <is>
          <t>IN RE: EXPEDITIOUS TRIAL OF CASES UNDER SECTION 138 OF N.I. ACT 1881 versus .</t>
        </is>
      </c>
      <c r="E37" s="2" t="inlineStr">
        <is>
          <t>The judgment of this Court in Meters and Instruments (supra) in so far as it conferred power on the Trial Court to discharge an accused is not good law.</t>
        </is>
      </c>
      <c r="F37" s="11" t="inlineStr">
        <is>
          <t>2</t>
        </is>
      </c>
      <c r="G37" s="2" t="inlineStr">
        <is>
          <t>unchecked machine hit: some are quotations of an older overruling or a party's argument</t>
        </is>
      </c>
    </row>
    <row r="38">
      <c r="A38" s="11" t="inlineStr">
        <is>
          <t>b2021_4_532_632</t>
        </is>
      </c>
      <c r="B38" s="11" t="inlineStr">
        <is>
          <t>2021-04-20</t>
        </is>
      </c>
      <c r="C38" s="11" t="inlineStr">
        <is>
          <t>3</t>
        </is>
      </c>
      <c r="D38" s="2" t="inlineStr">
        <is>
          <t>PASL WIND SOLUTIONS PRIVATE LIMITED versus GE POWER CONVERSION INDIA PRIVATE LIMITED</t>
        </is>
      </c>
      <c r="E38" s="2" t="inlineStr">
        <is>
          <t>The judgment in Bhatia (supra) has been expressly overruled a five-Judge Bench in BALCO (supra).</t>
        </is>
      </c>
      <c r="F38" s="11" t="inlineStr">
        <is>
          <t>2</t>
        </is>
      </c>
      <c r="G38" s="2" t="inlineStr">
        <is>
          <t>unchecked machine hit: some are quotations of an older overruling or a party's argument</t>
        </is>
      </c>
    </row>
    <row r="39">
      <c r="A39" s="11" t="inlineStr">
        <is>
          <t>b2021_13_1146_1240</t>
        </is>
      </c>
      <c r="B39" s="11" t="inlineStr">
        <is>
          <t>2021-09-28</t>
        </is>
      </c>
      <c r="C39" s="11" t="inlineStr">
        <is>
          <t>3</t>
        </is>
      </c>
      <c r="D39" s="2" t="inlineStr">
        <is>
          <t>ADANI GAS LIMITED versus UNION OF INDIA &amp; ORS.</t>
        </is>
      </c>
      <c r="E39" s="2" t="inlineStr">
        <is>
          <t>On the scope of the “deemed authorisation” clause under the proviso to Section 16 of the PNGRB Act, the decision in Adani Gas (supra) is held to have laid down the law incorrectly, and is hereby overruled.</t>
        </is>
      </c>
      <c r="F39" s="11" t="inlineStr">
        <is>
          <t>1</t>
        </is>
      </c>
      <c r="G39" s="2" t="inlineStr">
        <is>
          <t>unchecked machine hit: some are quotations of an older overruling or a party's argument</t>
        </is>
      </c>
    </row>
    <row r="40">
      <c r="A40" s="11" t="inlineStr">
        <is>
          <t>b2022_1_1057_1082</t>
        </is>
      </c>
      <c r="B40" s="11" t="inlineStr">
        <is>
          <t>2022-02-01</t>
        </is>
      </c>
      <c r="C40" s="11" t="inlineStr">
        <is>
          <t>3</t>
        </is>
      </c>
      <c r="D40" s="2" t="inlineStr">
        <is>
          <t>THE STATE OF MANIPUR &amp; ORS. versus SURJAKUMAR OKRAM &amp; ORS.</t>
        </is>
      </c>
      <c r="E40" s="2" t="inlineStr">
        <is>
          <t>&amp; Ors.19, inter alia, were: (a) that the reservation in promotion having been declared unconstitutional in Indra Sawhney (supra) was void ab initio and vitiated the promotion of the respondents and therefore, operation of the unconstitutional direction could not be postponed by prospective overrulin</t>
        </is>
      </c>
      <c r="F40" s="11" t="inlineStr">
        <is>
          <t>1</t>
        </is>
      </c>
      <c r="G40" s="2" t="inlineStr">
        <is>
          <t>unchecked machine hit: some are quotations of an older overruling or a party's argument</t>
        </is>
      </c>
    </row>
    <row r="41">
      <c r="A41" s="11" t="inlineStr">
        <is>
          <t>b2022_4_926_977</t>
        </is>
      </c>
      <c r="B41" s="11" t="inlineStr">
        <is>
          <t>2022-04-27</t>
        </is>
      </c>
      <c r="C41" s="11" t="inlineStr">
        <is>
          <t>3</t>
        </is>
      </c>
      <c r="D41" s="2" t="inlineStr">
        <is>
          <t>OIL AND NATURAL GAS CORPORATION LTD. versus M/S DISCOVERY ENTERPRISES PVT. LTD. &amp; ANR.</t>
        </is>
      </c>
      <c r="E41" s="2" t="inlineStr">
        <is>
          <t>and (ix) The decision in Indowind (supra) is not good law in view of the subsequent judgments of this Court.</t>
        </is>
      </c>
      <c r="F41" s="11" t="inlineStr">
        <is>
          <t>1</t>
        </is>
      </c>
      <c r="G41" s="2" t="inlineStr">
        <is>
          <t>unchecked machine hit: some are quotations of an older overruling or a party's argument</t>
        </is>
      </c>
    </row>
    <row r="42">
      <c r="A42" s="11" t="inlineStr">
        <is>
          <t>b2022_17_92_150</t>
        </is>
      </c>
      <c r="B42" s="11" t="inlineStr">
        <is>
          <t>2022-07-26</t>
        </is>
      </c>
      <c r="C42" s="11" t="inlineStr">
        <is>
          <t>3</t>
        </is>
      </c>
      <c r="D42" s="2" t="inlineStr">
        <is>
          <t>ALL INDIA HAJ UMRAH TOUR ORGANIZER ASSOCIATION MUMBAI versus UNION OF INDIA &amp; ORS</t>
        </is>
      </c>
      <c r="E42" s="2" t="inlineStr">
        <is>
          <t>Collector of Customs, (1997) 6 SCC 564] stand overruled.” (emphasis added) 49.</t>
        </is>
      </c>
      <c r="F42" s="11" t="inlineStr">
        <is>
          <t>1</t>
        </is>
      </c>
      <c r="G42" s="2" t="inlineStr">
        <is>
          <t>unchecked machine hit: some are quotations of an older overruling or a party's argument</t>
        </is>
      </c>
    </row>
    <row r="43">
      <c r="A43" s="11" t="inlineStr">
        <is>
          <t>b2022_18_1082_1143</t>
        </is>
      </c>
      <c r="B43" s="11" t="inlineStr">
        <is>
          <t>2022-10-19</t>
        </is>
      </c>
      <c r="C43" s="11" t="inlineStr">
        <is>
          <t>3</t>
        </is>
      </c>
      <c r="D43" s="2" t="inlineStr">
        <is>
          <t>M/S NEW NOBLE EDUCATIONAL SOCIETY versus THE CHIEF COMMISSIONER OF INCOME TAX 1 AND ANR.</t>
        </is>
      </c>
      <c r="E43" s="2" t="inlineStr">
        <is>
          <t>The reasoning and conclusions in American Hotel (supra)and Queen’s Education Society(supra)so far as they pertain to the interpretation of expression ‘solely’are hereby disapproved.The judgments are accordingly overruled to that extent.</t>
        </is>
      </c>
      <c r="F43" s="11" t="inlineStr">
        <is>
          <t>1</t>
        </is>
      </c>
      <c r="G43" s="2" t="inlineStr">
        <is>
          <t>unchecked machine hit: some are quotations of an older overruling or a party's argument</t>
        </is>
      </c>
    </row>
    <row r="44">
      <c r="A44" s="11" t="inlineStr">
        <is>
          <t>b2022_7_792_832</t>
        </is>
      </c>
      <c r="B44" s="11" t="inlineStr">
        <is>
          <t>2022-11-03</t>
        </is>
      </c>
      <c r="C44" s="11" t="inlineStr">
        <is>
          <t>3</t>
        </is>
      </c>
      <c r="D44" s="2" t="inlineStr">
        <is>
          <t>MOHD. ARIF @ ASHFAQ versus STATE (NCT OF DELHI)</t>
        </is>
      </c>
      <c r="E44" s="2" t="inlineStr">
        <is>
          <t>State of H.P., (2018) 5 SCC 311s, do not lay down the law correctly and are therefore overruled.</t>
        </is>
      </c>
      <c r="F44" s="11" t="inlineStr">
        <is>
          <t>1</t>
        </is>
      </c>
      <c r="G44" s="2" t="inlineStr">
        <is>
          <t>unchecked machine hit: some are quotations of an older overruling or a party's argument</t>
        </is>
      </c>
    </row>
    <row r="45">
      <c r="A45" s="11" t="inlineStr">
        <is>
          <t>b2023_2_392_396</t>
        </is>
      </c>
      <c r="B45" s="11" t="inlineStr">
        <is>
          <t>2023-02-17</t>
        </is>
      </c>
      <c r="C45" s="11" t="inlineStr">
        <is>
          <t>3</t>
        </is>
      </c>
      <c r="D45" s="2" t="inlineStr">
        <is>
          <t>LAND &amp; BUILDING DEPARTMENT &amp; ANR. versus MANISH SETHI AND ORS.</t>
        </is>
      </c>
      <c r="E45" s="2" t="inlineStr">
        <is>
          <t>Harakchand Misirimal Solanki, (2014) 3 SCC 183] is hereby overruled and all other decisions in which Pune Municipal Corpn.</t>
        </is>
      </c>
      <c r="F45" s="11" t="inlineStr">
        <is>
          <t>3</t>
        </is>
      </c>
      <c r="G45" s="2" t="inlineStr">
        <is>
          <t>unchecked machine hit: some are quotations of an older overruling or a party's argument</t>
        </is>
      </c>
    </row>
    <row r="46">
      <c r="A46" s="11" t="inlineStr">
        <is>
          <t>b2023_2_397_401</t>
        </is>
      </c>
      <c r="B46" s="11" t="inlineStr">
        <is>
          <t>2023-02-17</t>
        </is>
      </c>
      <c r="C46" s="11" t="inlineStr">
        <is>
          <t>3</t>
        </is>
      </c>
      <c r="D46" s="2" t="inlineStr">
        <is>
          <t>GOVT. OF NCT DELHI &amp; ORS. versus DHANNU &amp; ANR</t>
        </is>
      </c>
      <c r="E46" s="2" t="inlineStr">
        <is>
          <t>Harakchand Misirimal Solanki, (2014) 3 SCC 183] is hereby overruled and all other decisions in which Pune Municipal Corpn.</t>
        </is>
      </c>
      <c r="F46" s="11" t="inlineStr">
        <is>
          <t>3</t>
        </is>
      </c>
      <c r="G46" s="2" t="inlineStr">
        <is>
          <t>unchecked machine hit: some are quotations of an older overruling or a party's argument</t>
        </is>
      </c>
    </row>
    <row r="47">
      <c r="A47" s="11" t="inlineStr">
        <is>
          <t>b2023_2_411_415</t>
        </is>
      </c>
      <c r="B47" s="11" t="inlineStr">
        <is>
          <t>2023-02-17</t>
        </is>
      </c>
      <c r="C47" s="11" t="inlineStr">
        <is>
          <t>3</t>
        </is>
      </c>
      <c r="D47" s="2" t="inlineStr">
        <is>
          <t>DELHI DEVELOPMENT AUTHORITY versus JAGAN SINGH &amp; ORS.</t>
        </is>
      </c>
      <c r="E47" s="2" t="inlineStr">
        <is>
          <t>Harakchand Misirimal Solanki, (2014) 3 SCC 183] is hereby overruled and all other decisions in which Pune Municipal Corpn.</t>
        </is>
      </c>
      <c r="F47" s="11" t="inlineStr">
        <is>
          <t>3</t>
        </is>
      </c>
      <c r="G47" s="2" t="inlineStr">
        <is>
          <t>unchecked machine hit: some are quotations of an older overruling or a party's argument</t>
        </is>
      </c>
    </row>
    <row r="48">
      <c r="A48" s="11" t="inlineStr">
        <is>
          <t>b2023_2_416_421</t>
        </is>
      </c>
      <c r="B48" s="11" t="inlineStr">
        <is>
          <t>2023-02-17</t>
        </is>
      </c>
      <c r="C48" s="11" t="inlineStr">
        <is>
          <t>3</t>
        </is>
      </c>
      <c r="D48" s="2" t="inlineStr">
        <is>
          <t>GOVERNMENT OF NCT DELHI &amp; ORS. versus KRISHAN KUMAR &amp; ORS.</t>
        </is>
      </c>
      <c r="E48" s="2" t="inlineStr">
        <is>
          <t>Harakchand Misirimal Solanki, (2014) 3 SCC 183] is hereby overruled and all other decisions in which Pune Municipal Corpn.</t>
        </is>
      </c>
      <c r="F48" s="11" t="inlineStr">
        <is>
          <t>3</t>
        </is>
      </c>
      <c r="G48" s="2" t="inlineStr">
        <is>
          <t>unchecked machine hit: some are quotations of an older overruling or a party's argument</t>
        </is>
      </c>
    </row>
    <row r="49">
      <c r="A49" s="11" t="inlineStr">
        <is>
          <t>b2023_9_1_245</t>
        </is>
      </c>
      <c r="B49" s="11" t="inlineStr">
        <is>
          <t>2023-03-02</t>
        </is>
      </c>
      <c r="C49" s="11" t="inlineStr">
        <is>
          <t>5</t>
        </is>
      </c>
      <c r="D49" s="2" t="inlineStr">
        <is>
          <t>ANOOP BARANWAL versus UNION OF INDIA</t>
        </is>
      </c>
      <c r="E49" s="2" t="inlineStr">
        <is>
          <t>for Democratic Reforms [(2002) 5 SCC 294] and People’s Union for Civil Liberties [(2003) 4 SCC 399] do not stand impliedly overruled.” (Emphasis supplied) S.</t>
        </is>
      </c>
      <c r="F49" s="11" t="inlineStr">
        <is>
          <t>1</t>
        </is>
      </c>
      <c r="G49" s="2" t="inlineStr">
        <is>
          <t>unchecked machine hit: some are quotations of an older overruling or a party's argument</t>
        </is>
      </c>
    </row>
    <row r="50">
      <c r="A50" s="11" t="inlineStr">
        <is>
          <t>b2023_4_986_1052</t>
        </is>
      </c>
      <c r="B50" s="11" t="inlineStr">
        <is>
          <t>2023-03-15</t>
        </is>
      </c>
      <c r="C50" s="11" t="inlineStr">
        <is>
          <t>3</t>
        </is>
      </c>
      <c r="D50" s="2" t="inlineStr">
        <is>
          <t>AJAY KUMAR RADHEYSHYAM GOENKA versus TOURISM FINANCE CORPORATION OF INDIA LTD.</t>
        </is>
      </c>
      <c r="E50" s="2" t="inlineStr">
        <is>
          <t>This is because, this Court in Aneeta Hada (supra), even while overruling its decision in Anil Hada v.</t>
        </is>
      </c>
      <c r="F50" s="11" t="inlineStr">
        <is>
          <t>2</t>
        </is>
      </c>
      <c r="G50" s="2" t="inlineStr">
        <is>
          <t>unchecked machine hit: some are quotations of an older overruling or a party's argument</t>
        </is>
      </c>
    </row>
    <row r="51">
      <c r="A51" s="11" t="inlineStr">
        <is>
          <t>b2023_11_520_582</t>
        </is>
      </c>
      <c r="B51" s="11" t="inlineStr">
        <is>
          <t>2023-08-16</t>
        </is>
      </c>
      <c r="C51" s="11" t="inlineStr">
        <is>
          <t>3</t>
        </is>
      </c>
      <c r="D51" s="2" t="inlineStr">
        <is>
          <t>PESALA NOOKARAJU versus THE GOVERNMENT OF ANDHRA PRADESH &amp; ORS</t>
        </is>
      </c>
      <c r="E51" s="2" t="inlineStr">
        <is>
          <t>In the aforesaid context, we may say with profound respect that Cherukuri Mani (supra) does not lay down the correct law.</t>
        </is>
      </c>
      <c r="F51" s="11" t="inlineStr">
        <is>
          <t>1</t>
        </is>
      </c>
      <c r="G51" s="2" t="inlineStr">
        <is>
          <t>unchecked machine hit: some are quotations of an older overruling or a party's argument</t>
        </is>
      </c>
    </row>
    <row r="52">
      <c r="A52" s="11" t="inlineStr">
        <is>
          <t>b2023_14_100_122</t>
        </is>
      </c>
      <c r="B52" s="11" t="inlineStr">
        <is>
          <t>2023-09-22</t>
        </is>
      </c>
      <c r="C52" s="11" t="inlineStr">
        <is>
          <t>3</t>
        </is>
      </c>
      <c r="D52" s="2" t="inlineStr">
        <is>
          <t>BALWINDER SINGH (BINDA) versus THE NARCOTICS CONTROL BUREAU</t>
        </is>
      </c>
      <c r="E52" s="2" t="inlineStr">
        <is>
          <t xml:space="preserve">Now that it has been declared in Tofan Singh’s case36 (supra) that the judgements in the case of Kanhaiyalal33 (supra) and Raj Kumar Karwal35 (supra) did not state the correct legal position and they stand overruled, the entire case set up by the prosecution against Balwinder Singh3, collapses like </t>
        </is>
      </c>
      <c r="F52" s="11" t="inlineStr">
        <is>
          <t>1</t>
        </is>
      </c>
      <c r="G52" s="2" t="inlineStr">
        <is>
          <t>unchecked machine hit: some are quotations of an older overruling or a party's argument</t>
        </is>
      </c>
    </row>
    <row r="53">
      <c r="A53" s="11" t="inlineStr">
        <is>
          <t>b2023_15_621_745</t>
        </is>
      </c>
      <c r="B53" s="11" t="inlineStr">
        <is>
          <t>2023-12-06</t>
        </is>
      </c>
      <c r="C53" s="11" t="inlineStr">
        <is>
          <t>5</t>
        </is>
      </c>
      <c r="D53" s="2" t="inlineStr">
        <is>
          <t>COX AND KINGS LTD. versus SAP INDIA PVT. LTD. &amp; ANR.</t>
        </is>
      </c>
      <c r="E53" s="2" t="inlineStr">
        <is>
          <t>However, Roussel-Uclaf (supra) was expressly overruled by the Court of Appeal in Sancheti (supra) on the ground that a mere legal or commercial connection is not suﬃ cient for a person to claim through or under a party to an arbitration agreement.</t>
        </is>
      </c>
      <c r="F53" s="11" t="inlineStr">
        <is>
          <t>1</t>
        </is>
      </c>
      <c r="G53" s="2" t="inlineStr">
        <is>
          <t>unchecked machine hit: some are quotations of an older overruling or a party's argument</t>
        </is>
      </c>
    </row>
    <row r="54">
      <c r="A54" s="11" t="inlineStr">
        <is>
          <t>b2023_15_1081_1212</t>
        </is>
      </c>
      <c r="B54" s="11" t="inlineStr">
        <is>
          <t>2023-12-13</t>
        </is>
      </c>
      <c r="C54" s="11" t="inlineStr">
        <is>
          <t>7</t>
        </is>
      </c>
      <c r="D54" s="2" t="inlineStr">
        <is>
          <t>IN RE: INTERPLAY BETWEEN ARBITRATION AGREEMENTS UNDER THE ARBITRATION AND CONCILIATION ACT</t>
        </is>
      </c>
      <c r="E54" s="2" t="inlineStr">
        <is>
          <t>The decision in NN Global 2 (supra) and SMS Tea Estates (supra) are overruled.</t>
        </is>
      </c>
      <c r="F54" s="11" t="inlineStr">
        <is>
          <t>2</t>
        </is>
      </c>
      <c r="G54" s="2" t="inlineStr">
        <is>
          <t>unchecked machine hit: some are quotations of an older overruling or a party's argument</t>
        </is>
      </c>
    </row>
    <row r="55">
      <c r="A55" s="11" t="inlineStr">
        <is>
          <t>b2024_5_1159_1210</t>
        </is>
      </c>
      <c r="B55" s="11" t="inlineStr">
        <is>
          <t>2024-05-17</t>
        </is>
      </c>
      <c r="C55" s="11" t="inlineStr">
        <is>
          <t>3</t>
        </is>
      </c>
      <c r="D55" s="2" t="inlineStr">
        <is>
          <t>GOVERNMENT OF NCT OF DELHI &amp; ANR. versus M/S BSK REALTORS LLP &amp; ANR.</t>
        </is>
      </c>
      <c r="E55" s="2" t="inlineStr">
        <is>
          <t>reported in 2014 (3) SCC 183 — which has been expressly overruled and as noted in paragraph 365 of the reported decision.</t>
        </is>
      </c>
      <c r="F55" s="11" t="inlineStr">
        <is>
          <t>4</t>
        </is>
      </c>
      <c r="G55" s="2" t="inlineStr">
        <is>
          <t>unchecked machine hit: some are quotations of an older overruling or a party's argument</t>
        </is>
      </c>
    </row>
    <row r="56">
      <c r="A56" s="11" t="inlineStr">
        <is>
          <t>b2024_5_1211_1304</t>
        </is>
      </c>
      <c r="B56" s="11" t="inlineStr">
        <is>
          <t>2024-05-17</t>
        </is>
      </c>
      <c r="C56" s="11" t="inlineStr">
        <is>
          <t>3</t>
        </is>
      </c>
      <c r="D56" s="2" t="inlineStr">
        <is>
          <t>DELHI DEVELOPMENT AUTHORITY versus TEJPAL &amp; ORS.</t>
        </is>
      </c>
      <c r="E56" s="2" t="inlineStr">
        <is>
          <t>Sree Balaji Nagar Residential Association (supra) was also overruled in so far as it allowed landowners to unduly benefit from orders of stay.</t>
        </is>
      </c>
      <c r="F56" s="11" t="inlineStr">
        <is>
          <t>4</t>
        </is>
      </c>
      <c r="G56" s="2" t="inlineStr">
        <is>
          <t>unchecked machine hit: some are quotations of an older overruling or a party's argument</t>
        </is>
      </c>
    </row>
    <row r="57">
      <c r="A57" s="11" t="inlineStr">
        <is>
          <t>b2024_5_949_1010</t>
        </is>
      </c>
      <c r="B57" s="11" t="inlineStr">
        <is>
          <t>2024-05-17</t>
        </is>
      </c>
      <c r="C57" s="11" t="inlineStr">
        <is>
          <t>3</t>
        </is>
      </c>
      <c r="D57" s="2" t="inlineStr">
        <is>
          <t>GOVT. OF NCT OF DELHI THROUGH ITS SECRETARY, LAND AND BUILDING DEPARTMENT &amp; ANOTHER versus</t>
        </is>
      </c>
      <c r="E57" s="2" t="inlineStr">
        <is>
          <t>According to them, Shailendra [3-Judge] (supra) has not been expressly overruled;</t>
        </is>
      </c>
      <c r="F57" s="11" t="inlineStr">
        <is>
          <t>2</t>
        </is>
      </c>
      <c r="G57" s="2" t="inlineStr">
        <is>
          <t>unchecked machine hit: some are quotations of an older overruling or a party's argument</t>
        </is>
      </c>
    </row>
    <row r="58">
      <c r="A58" s="11" t="inlineStr">
        <is>
          <t>b2024_7_840_909</t>
        </is>
      </c>
      <c r="B58" s="11" t="inlineStr">
        <is>
          <t>2024-07-18</t>
        </is>
      </c>
      <c r="C58" s="11" t="inlineStr">
        <is>
          <t>3</t>
        </is>
      </c>
      <c r="D58" s="2" t="inlineStr">
        <is>
          <t>SBI GENERAL INSURANCE CO. LTD. versus KRISH SPINNING</t>
        </is>
      </c>
      <c r="E58" s="2" t="inlineStr">
        <is>
          <t>This pre-2015 position, as was also pointed in Mayavati Trading (supra), was legislatively overruled by the 2015 amendment to the Act, 1996 and the introduction of Section 11(6-A).</t>
        </is>
      </c>
      <c r="F58" s="11" t="inlineStr">
        <is>
          <t>2</t>
        </is>
      </c>
      <c r="G58" s="2" t="inlineStr">
        <is>
          <t>unchecked machine hit: some are quotations of an older overruling or a party's argument</t>
        </is>
      </c>
    </row>
    <row r="59">
      <c r="A59" s="11" t="inlineStr">
        <is>
          <t>b2024_9_894_946</t>
        </is>
      </c>
      <c r="B59" s="11" t="inlineStr">
        <is>
          <t>2024-09-20</t>
        </is>
      </c>
      <c r="C59" s="11" t="inlineStr">
        <is>
          <t>3</t>
        </is>
      </c>
      <c r="D59" s="2" t="inlineStr">
        <is>
          <t>AJAY MADHUSUDAN PATEL &amp; ORS.  versus JYOTRINDRA S. PATEL &amp; ORS.</t>
        </is>
      </c>
      <c r="E59" s="2" t="inlineStr">
        <is>
          <t>[(2002) 2 SCC 388] is overruled.</t>
        </is>
      </c>
      <c r="F59" s="11" t="inlineStr">
        <is>
          <t>1</t>
        </is>
      </c>
      <c r="G59" s="2" t="inlineStr">
        <is>
          <t>unchecked machine hit: some are quotations of an older overruling or a party's argument</t>
        </is>
      </c>
    </row>
    <row r="60">
      <c r="A60" s="11" t="inlineStr">
        <is>
          <t>b2024_12_574_616</t>
        </is>
      </c>
      <c r="B60" s="11" t="inlineStr">
        <is>
          <t>2024-12-09</t>
        </is>
      </c>
      <c r="C60" s="11" t="inlineStr">
        <is>
          <t>3</t>
        </is>
      </c>
      <c r="D60" s="2" t="inlineStr">
        <is>
          <t>STATE OF MAHARASHTRA &amp; ORS. versus PRADEEP YASHWANT KOKADE &amp; ANR.</t>
        </is>
      </c>
      <c r="E60" s="2" t="inlineStr">
        <is>
          <t>No fixed period of delay could be held to make the sentence of death inexecutable and to this extent the decision in Vatheeswaran case [(1983) 2 SCC 68 : 1983 SCC (Cri) 342 : (1983) 2 SCR 348] cannot be said to lay down the correct law and therefore to that extent stands overruled.’’ (emphasis added</t>
        </is>
      </c>
      <c r="F60" s="11" t="inlineStr">
        <is>
          <t>1</t>
        </is>
      </c>
      <c r="G60" s="2" t="inlineStr">
        <is>
          <t>unchecked machine hit: some are quotations of an older overruling or a party's argument</t>
        </is>
      </c>
    </row>
    <row r="61">
      <c r="A61" s="11" t="inlineStr">
        <is>
          <t>b2025_1_1041_1104</t>
        </is>
      </c>
      <c r="B61" s="11" t="inlineStr">
        <is>
          <t>2025-01-28</t>
        </is>
      </c>
      <c r="C61" s="11" t="inlineStr">
        <is>
          <t>3</t>
        </is>
      </c>
      <c r="D61" s="2" t="inlineStr">
        <is>
          <t>CHANDRABHAN SUDAM SANAP versus THE STATE OF MAHARASHTRA</t>
        </is>
      </c>
      <c r="E61" s="2" t="inlineStr">
        <is>
          <t>State of H.P., (2018) 2 SCC 801 : (2018) 2 SCC 807 : (2018) 2 SCC (Civ) 346 : (2018) 2 SCC (Civ) 351 : (2018) 1 SCC (Cri) 860 : (2018) 1 SCC (Cri) 865] , must also be, and is hereby, overruled.</t>
        </is>
      </c>
      <c r="F61" s="11" t="inlineStr">
        <is>
          <t>2</t>
        </is>
      </c>
      <c r="G61" s="2" t="inlineStr">
        <is>
          <t>unchecked machine hit: some are quotations of an older overruling or a party's argument</t>
        </is>
      </c>
    </row>
    <row r="62">
      <c r="A62" s="11" t="inlineStr">
        <is>
          <t>b2025_4_2080_2236</t>
        </is>
      </c>
      <c r="B62" s="11" t="inlineStr">
        <is>
          <t>2025-04-30</t>
        </is>
      </c>
      <c r="C62" s="11" t="inlineStr">
        <is>
          <t>5</t>
        </is>
      </c>
      <c r="D62" s="2" t="inlineStr">
        <is>
          <t>GAYATRI BALASAMY versus M/S ISG NOVASOFT TECHNOLOGIES LIMITED</t>
        </is>
      </c>
      <c r="E62" s="2" t="inlineStr">
        <is>
          <t>To that extent Kinnari Mullick (supra) does not lay down the correct law.</t>
        </is>
      </c>
      <c r="F62" s="11" t="inlineStr">
        <is>
          <t>2</t>
        </is>
      </c>
      <c r="G62" s="2" t="inlineStr">
        <is>
          <t>unchecked machine hit: some are quotations of an older overruling or a party's argument</t>
        </is>
      </c>
    </row>
    <row r="63">
      <c r="A63" s="11" t="inlineStr">
        <is>
          <t>b2025_6_310_359</t>
        </is>
      </c>
      <c r="B63" s="11" t="inlineStr">
        <is>
          <t>2025-05-08</t>
        </is>
      </c>
      <c r="C63" s="11" t="inlineStr">
        <is>
          <t>3</t>
        </is>
      </c>
      <c r="D63" s="2" t="inlineStr">
        <is>
          <t>C.T. KOCHOUSEPH versus STATE OF KERALA AND ANOTHER ETC.</t>
        </is>
      </c>
      <c r="E63" s="2" t="inlineStr">
        <is>
          <t>I am inclined now to think that this is an approach that basically alters the parameters and removes the provision from the area of vulnerability.” (emphasis supplied)” This Court in Devi Dass (supra) affirmed the reasoning in Hotel Balaji (supra), clearly holding that the decision in Goodyear (supr</t>
        </is>
      </c>
      <c r="F63" s="11" t="inlineStr">
        <is>
          <t>1</t>
        </is>
      </c>
      <c r="G63" s="2" t="inlineStr">
        <is>
          <t>unchecked machine hit: some are quotations of an older overruling or a party's argument</t>
        </is>
      </c>
    </row>
  </sheetData>
  <autoFilter ref="A3:G63"/>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40" customWidth="1" min="6" max="6"/>
    <col width="40" customWidth="1" min="7" max="7"/>
    <col width="30" customWidth="1" min="8" max="8"/>
    <col width="90" customWidth="1" min="9" max="9"/>
    <col width="16" customWidth="1" min="10" max="10"/>
    <col width="16" customWidth="1" min="11" max="11"/>
    <col width="16" customWidth="1" min="12" max="12"/>
    <col width="16" customWidth="1" min="13" max="13"/>
    <col width="16" customWidth="1" min="14" max="14"/>
  </cols>
  <sheetData>
    <row r="1" ht="44" customHeight="1">
      <c r="A1" s="9" t="inlineStr">
        <is>
          <t>Proposals from the sweep of judgments of three or more judges, 2000 on (widened from 2016 on 2026-10-08). Proposals only: nothing enters the register until a person confirms it. 'tag' = the law report's own case-law list; 'sentence' = the court's own sentence. None has been read by anyone.</t>
        </is>
      </c>
    </row>
    <row r="3">
      <c r="A3" s="10" t="inlineStr">
        <is>
          <t>ID</t>
        </is>
      </c>
      <c r="B3" s="10" t="inlineStr">
        <is>
          <t>State</t>
        </is>
      </c>
      <c r="C3" s="10" t="inlineStr">
        <is>
          <t>Kind</t>
        </is>
      </c>
      <c r="D3" s="10" t="inlineStr">
        <is>
          <t>Date</t>
        </is>
      </c>
      <c r="E3" s="10" t="inlineStr">
        <is>
          <t>Bench</t>
        </is>
      </c>
      <c r="F3" s="10" t="inlineStr">
        <is>
          <t>Later judgment</t>
        </is>
      </c>
      <c r="G3" s="10" t="inlineStr">
        <is>
          <t>Overruled case named</t>
        </is>
      </c>
      <c r="H3" s="10" t="inlineStr">
        <is>
          <t>Citations printed</t>
        </is>
      </c>
      <c r="I3" s="10" t="inlineStr">
        <is>
          <t>Evidence (tag or sentence)</t>
        </is>
      </c>
      <c r="J3" s="10" t="inlineStr">
        <is>
          <t>Already in register</t>
        </is>
      </c>
      <c r="K3" s="10" t="inlineStr">
        <is>
          <t>Judgment key</t>
        </is>
      </c>
      <c r="L3" s="10" t="inlineStr">
        <is>
          <t>First seen</t>
        </is>
      </c>
      <c r="M3" s="10" t="inlineStr">
        <is>
          <t>Next due</t>
        </is>
      </c>
      <c r="N3" s="10" t="inlineStr">
        <is>
          <t>Last event</t>
        </is>
      </c>
    </row>
    <row r="4">
      <c r="A4" s="11" t="inlineStr">
        <is>
          <t>P-0001</t>
        </is>
      </c>
      <c r="B4" s="11" t="inlineStr">
        <is>
          <t>open</t>
        </is>
      </c>
      <c r="C4" s="11" t="inlineStr">
        <is>
          <t>sentence</t>
        </is>
      </c>
      <c r="D4" s="11" t="inlineStr">
        <is>
          <t>2016-04-01</t>
        </is>
      </c>
      <c r="E4" s="11" t="n">
        <v>3</v>
      </c>
      <c r="F4" s="2" t="inlineStr">
        <is>
          <t>LILAWATI AGARWAL ETC. versus THE STATE OF JHARKHAND ETC.</t>
        </is>
      </c>
      <c r="G4" s="2" t="n"/>
      <c r="H4" s="2" t="n"/>
      <c r="I4" s="2" t="inlineStr">
        <is>
          <t>To understand the dictum in Raghubir Singh (supra), it is necessary to understand what was stated in Bhag Singh (supra) and what has been overruled in Raghubir Singh (supra).</t>
        </is>
      </c>
      <c r="J4" s="11" t="inlineStr"/>
      <c r="K4" s="11" t="inlineStr">
        <is>
          <t>c43549</t>
        </is>
      </c>
      <c r="L4" s="11" t="inlineStr">
        <is>
          <t>2026-10-07</t>
        </is>
      </c>
      <c r="M4" s="11" t="n"/>
      <c r="N4" s="11" t="inlineStr">
        <is>
          <t>found</t>
        </is>
      </c>
    </row>
    <row r="5">
      <c r="A5" s="11" t="inlineStr">
        <is>
          <t>P-0002</t>
        </is>
      </c>
      <c r="B5" s="11" t="inlineStr">
        <is>
          <t>open</t>
        </is>
      </c>
      <c r="C5" s="11" t="inlineStr">
        <is>
          <t>sentence</t>
        </is>
      </c>
      <c r="D5" s="11" t="inlineStr">
        <is>
          <t>2017-01-02</t>
        </is>
      </c>
      <c r="E5" s="11" t="n">
        <v>5</v>
      </c>
      <c r="F5" s="2" t="inlineStr">
        <is>
          <t>KRISHNA KUMAR SINGH &amp; ANR v. STATE OF BIHAR &amp; ORS</t>
        </is>
      </c>
      <c r="G5" s="2" t="n"/>
      <c r="H5" s="2" t="n"/>
      <c r="I5" s="2" t="inlineStr">
        <is>
          <t>I also agree with the 40 Page 41 JUDGMENT view that the Constitution Bench decision in Bhupendra Kumar Bose and T. Venkata Reddy (supra) to the extent the same extended the theory of “creation of enduring rights” to legislation by ordinances have not been correctly decided and should stand overruled.</t>
        </is>
      </c>
      <c r="J5" s="11" t="inlineStr"/>
      <c r="K5" s="11" t="inlineStr">
        <is>
          <t>c44452</t>
        </is>
      </c>
      <c r="L5" s="11" t="inlineStr">
        <is>
          <t>2026-10-07</t>
        </is>
      </c>
      <c r="M5" s="11" t="n"/>
      <c r="N5" s="11" t="inlineStr">
        <is>
          <t>found</t>
        </is>
      </c>
    </row>
    <row r="6">
      <c r="A6" s="11" t="inlineStr">
        <is>
          <t>P-0003</t>
        </is>
      </c>
      <c r="B6" s="11" t="inlineStr">
        <is>
          <t>open</t>
        </is>
      </c>
      <c r="C6" s="11" t="inlineStr">
        <is>
          <t>sentence</t>
        </is>
      </c>
      <c r="D6" s="11" t="inlineStr">
        <is>
          <t>2017-03-21</t>
        </is>
      </c>
      <c r="E6" s="11" t="n">
        <v>3</v>
      </c>
      <c r="F6" s="2" t="inlineStr">
        <is>
          <t>Ram Kishan Fauji v. State of Haryana and Ors</t>
        </is>
      </c>
      <c r="G6" s="2" t="n"/>
      <c r="H6" s="2" t="n"/>
      <c r="I6" s="2" t="inlineStr">
        <is>
          <t>Contrary view in Surya Dev Rai (supra) is overruled.” 43.</t>
        </is>
      </c>
      <c r="J6" s="11" t="inlineStr"/>
      <c r="K6" s="11" t="inlineStr">
        <is>
          <t>c44682</t>
        </is>
      </c>
      <c r="L6" s="11" t="inlineStr">
        <is>
          <t>2026-10-07</t>
        </is>
      </c>
      <c r="M6" s="11" t="n"/>
      <c r="N6" s="11" t="inlineStr">
        <is>
          <t>found</t>
        </is>
      </c>
    </row>
    <row r="7">
      <c r="A7" s="11" t="inlineStr">
        <is>
          <t>P-0004</t>
        </is>
      </c>
      <c r="B7" s="11" t="inlineStr">
        <is>
          <t>open</t>
        </is>
      </c>
      <c r="C7" s="11" t="inlineStr">
        <is>
          <t>tag</t>
        </is>
      </c>
      <c r="D7" s="11" t="inlineStr">
        <is>
          <t>2017-07-03</t>
        </is>
      </c>
      <c r="E7" s="11" t="n">
        <v>3</v>
      </c>
      <c r="F7" s="2" t="inlineStr">
        <is>
          <t>MUKUND DEWANGAN versus ORIENTAL INSURANCE COMPANY LIMITED</t>
        </is>
      </c>
      <c r="G7" s="2" t="inlineStr">
        <is>
          <t>Oriental Insurance Co. Ltd. v. Angad Kol &amp; Ors</t>
        </is>
      </c>
      <c r="H7" s="2" t="inlineStr">
        <is>
          <t>(2009) 11 SCC 356 : [2009] 2 SCR 695</t>
        </is>
      </c>
      <c r="I7" s="2" t="inlineStr">
        <is>
          <t>overruled</t>
        </is>
      </c>
      <c r="J7" s="11" t="inlineStr"/>
      <c r="K7" s="11" t="inlineStr">
        <is>
          <t>b2017_7_765_822</t>
        </is>
      </c>
      <c r="L7" s="11" t="inlineStr">
        <is>
          <t>2026-10-07</t>
        </is>
      </c>
      <c r="M7" s="11" t="n"/>
      <c r="N7" s="11" t="inlineStr">
        <is>
          <t>found</t>
        </is>
      </c>
    </row>
    <row r="8">
      <c r="A8" s="11" t="inlineStr">
        <is>
          <t>P-0005</t>
        </is>
      </c>
      <c r="B8" s="11" t="inlineStr">
        <is>
          <t>open</t>
        </is>
      </c>
      <c r="C8" s="11" t="inlineStr">
        <is>
          <t>tag</t>
        </is>
      </c>
      <c r="D8" s="11" t="inlineStr">
        <is>
          <t>2017-07-03</t>
        </is>
      </c>
      <c r="E8" s="11" t="n">
        <v>3</v>
      </c>
      <c r="F8" s="2" t="inlineStr">
        <is>
          <t>MUKUND DEWANGAN versus ORIENTAL INSURANCE COMPANY LIMITED</t>
        </is>
      </c>
      <c r="G8" s="2" t="inlineStr">
        <is>
          <t>c New India Assurance Co. Ltd. v. Prabhu Lal</t>
        </is>
      </c>
      <c r="H8" s="2" t="inlineStr">
        <is>
          <t>(2008) 1 SCC 696 : (2007) 12 SCR 724</t>
        </is>
      </c>
      <c r="I8" s="2" t="inlineStr">
        <is>
          <t>not correct law</t>
        </is>
      </c>
      <c r="J8" s="11" t="inlineStr">
        <is>
          <t>yes</t>
        </is>
      </c>
      <c r="K8" s="11" t="inlineStr">
        <is>
          <t>b2017_7_765_822</t>
        </is>
      </c>
      <c r="L8" s="11" t="inlineStr">
        <is>
          <t>2026-10-07</t>
        </is>
      </c>
      <c r="M8" s="11" t="n"/>
      <c r="N8" s="11" t="inlineStr">
        <is>
          <t>found</t>
        </is>
      </c>
    </row>
    <row r="9">
      <c r="A9" s="11" t="inlineStr">
        <is>
          <t>P-0006</t>
        </is>
      </c>
      <c r="B9" s="11" t="inlineStr">
        <is>
          <t>open</t>
        </is>
      </c>
      <c r="C9" s="11" t="inlineStr">
        <is>
          <t>tag</t>
        </is>
      </c>
      <c r="D9" s="11" t="inlineStr">
        <is>
          <t>2017-07-03</t>
        </is>
      </c>
      <c r="E9" s="11" t="n">
        <v>3</v>
      </c>
      <c r="F9" s="2" t="inlineStr">
        <is>
          <t>MUKUND DEWANGAN versus ORIENTAL INSURANCE COMPANY LIMITED</t>
        </is>
      </c>
      <c r="G9" s="2" t="inlineStr">
        <is>
          <t>D E F Oriental Insurance Co. Ltd. v. Angad Kol &amp; Ors.</t>
        </is>
      </c>
      <c r="H9" s="2" t="inlineStr">
        <is>
          <t>(2009) 11 SCC 356 : (2009) 2 SCR 695</t>
        </is>
      </c>
      <c r="I9" s="2" t="inlineStr">
        <is>
          <t>overruled</t>
        </is>
      </c>
      <c r="J9" s="11" t="inlineStr"/>
      <c r="K9" s="11" t="inlineStr">
        <is>
          <t>b2017_7_765_822</t>
        </is>
      </c>
      <c r="L9" s="11" t="inlineStr">
        <is>
          <t>2026-10-07</t>
        </is>
      </c>
      <c r="M9" s="11" t="n"/>
      <c r="N9" s="11" t="inlineStr">
        <is>
          <t>found</t>
        </is>
      </c>
    </row>
    <row r="10">
      <c r="A10" s="11" t="inlineStr">
        <is>
          <t>P-0007</t>
        </is>
      </c>
      <c r="B10" s="11" t="inlineStr">
        <is>
          <t>open</t>
        </is>
      </c>
      <c r="C10" s="11" t="inlineStr">
        <is>
          <t>tag</t>
        </is>
      </c>
      <c r="D10" s="11" t="inlineStr">
        <is>
          <t>2017-07-03</t>
        </is>
      </c>
      <c r="E10" s="11" t="n">
        <v>3</v>
      </c>
      <c r="F10" s="2" t="inlineStr">
        <is>
          <t>MUKUND DEWANGAN versus ORIENTAL INSURANCE COMPANY LIMITED</t>
        </is>
      </c>
      <c r="G10" s="2" t="inlineStr">
        <is>
          <t>National Insurance Co. Ltd. v. Annappa lrappa Nesaria alias Nesargi &amp; Ors.</t>
        </is>
      </c>
      <c r="H10" s="2" t="inlineStr">
        <is>
          <t>(2008) 3 SCC 464 : (2008) 1 SCR 1061</t>
        </is>
      </c>
      <c r="I10" s="2" t="inlineStr">
        <is>
          <t>partly overruled</t>
        </is>
      </c>
      <c r="J10" s="11" t="inlineStr"/>
      <c r="K10" s="11" t="inlineStr">
        <is>
          <t>b2017_7_765_822</t>
        </is>
      </c>
      <c r="L10" s="11" t="inlineStr">
        <is>
          <t>2026-10-07</t>
        </is>
      </c>
      <c r="M10" s="11" t="n"/>
      <c r="N10" s="11" t="inlineStr">
        <is>
          <t>found</t>
        </is>
      </c>
    </row>
    <row r="11">
      <c r="A11" s="11" t="inlineStr">
        <is>
          <t>P-0008</t>
        </is>
      </c>
      <c r="B11" s="11" t="inlineStr">
        <is>
          <t>open</t>
        </is>
      </c>
      <c r="C11" s="11" t="inlineStr">
        <is>
          <t>tag</t>
        </is>
      </c>
      <c r="D11" s="11" t="inlineStr">
        <is>
          <t>2017-08-24</t>
        </is>
      </c>
      <c r="E11" s="11" t="n">
        <v>9</v>
      </c>
      <c r="F11" s="2" t="inlineStr">
        <is>
          <t>JUSTICE K S PUTTASWAMY (RETD.), AND ANR.  versus UNION OF INDIA AND ORS.</t>
        </is>
      </c>
      <c r="G11" s="2" t="inlineStr">
        <is>
          <t>Union of India v. Bhanudas Krishna Gawde</t>
        </is>
      </c>
      <c r="H11" s="2" t="inlineStr">
        <is>
          <t>(1977) 1 SCC 834 : [1977] 2 SCR 719</t>
        </is>
      </c>
      <c r="I11" s="2" t="inlineStr">
        <is>
          <t>overruled</t>
        </is>
      </c>
      <c r="J11" s="11" t="inlineStr">
        <is>
          <t>yes</t>
        </is>
      </c>
      <c r="K11" s="11" t="inlineStr">
        <is>
          <t>b2017_10_569_999</t>
        </is>
      </c>
      <c r="L11" s="11" t="inlineStr">
        <is>
          <t>2026-10-07</t>
        </is>
      </c>
      <c r="M11" s="11" t="n"/>
      <c r="N11" s="11" t="inlineStr">
        <is>
          <t>found</t>
        </is>
      </c>
    </row>
    <row r="12">
      <c r="A12" s="11" t="inlineStr">
        <is>
          <t>P-0009</t>
        </is>
      </c>
      <c r="B12" s="11" t="inlineStr">
        <is>
          <t>open</t>
        </is>
      </c>
      <c r="C12" s="11" t="inlineStr">
        <is>
          <t>tag</t>
        </is>
      </c>
      <c r="D12" s="11" t="inlineStr">
        <is>
          <t>2017-08-24</t>
        </is>
      </c>
      <c r="E12" s="11" t="n">
        <v>9</v>
      </c>
      <c r="F12" s="2" t="inlineStr">
        <is>
          <t>JUSTICE K S PUTTASWAMY (RETD.), AND ANR.  versus UNION OF INDIA AND ORS.</t>
        </is>
      </c>
      <c r="G12" s="2" t="inlineStr">
        <is>
          <t>B Suresh Kumar Koushal v. NAZ foundation</t>
        </is>
      </c>
      <c r="H12" s="2" t="inlineStr">
        <is>
          <t>(2014) 1 SCC 1 : [2013) 17 SCR 116</t>
        </is>
      </c>
      <c r="I12" s="2" t="inlineStr">
        <is>
          <t>disapproved</t>
        </is>
      </c>
      <c r="J12" s="11" t="inlineStr"/>
      <c r="K12" s="11" t="inlineStr">
        <is>
          <t>b2017_10_569_999</t>
        </is>
      </c>
      <c r="L12" s="11" t="inlineStr">
        <is>
          <t>2026-10-07</t>
        </is>
      </c>
      <c r="M12" s="11" t="n"/>
      <c r="N12" s="11" t="inlineStr">
        <is>
          <t>found</t>
        </is>
      </c>
    </row>
    <row r="13">
      <c r="A13" s="11" t="inlineStr">
        <is>
          <t>P-0010</t>
        </is>
      </c>
      <c r="B13" s="11" t="inlineStr">
        <is>
          <t>open</t>
        </is>
      </c>
      <c r="C13" s="11" t="inlineStr">
        <is>
          <t>tag</t>
        </is>
      </c>
      <c r="D13" s="11" t="inlineStr">
        <is>
          <t>2017-08-24</t>
        </is>
      </c>
      <c r="E13" s="11" t="n">
        <v>9</v>
      </c>
      <c r="F13" s="2" t="inlineStr">
        <is>
          <t>JUSTICE K S PUTTASWAMY (RETD.), AND ANR.  versus UNION OF INDIA AND ORS.</t>
        </is>
      </c>
      <c r="G13" s="2" t="inlineStr">
        <is>
          <t>M P Sharma v. Satish Cha11dra, District Magistrate, Delhi</t>
        </is>
      </c>
      <c r="H13" s="2" t="inlineStr">
        <is>
          <t>[1954] SCR 1077</t>
        </is>
      </c>
      <c r="I13" s="2" t="inlineStr">
        <is>
          <t>partly overruled</t>
        </is>
      </c>
      <c r="J13" s="11" t="inlineStr">
        <is>
          <t>yes</t>
        </is>
      </c>
      <c r="K13" s="11" t="inlineStr">
        <is>
          <t>b2017_10_569_999</t>
        </is>
      </c>
      <c r="L13" s="11" t="inlineStr">
        <is>
          <t>2026-10-07</t>
        </is>
      </c>
      <c r="M13" s="11" t="n"/>
      <c r="N13" s="11" t="inlineStr">
        <is>
          <t>found</t>
        </is>
      </c>
    </row>
    <row r="14">
      <c r="A14" s="11" t="inlineStr">
        <is>
          <t>P-0011</t>
        </is>
      </c>
      <c r="B14" s="11" t="inlineStr">
        <is>
          <t>open</t>
        </is>
      </c>
      <c r="C14" s="11" t="inlineStr">
        <is>
          <t>tag</t>
        </is>
      </c>
      <c r="D14" s="11" t="inlineStr">
        <is>
          <t>2017-08-24</t>
        </is>
      </c>
      <c r="E14" s="11" t="n">
        <v>9</v>
      </c>
      <c r="F14" s="2" t="inlineStr">
        <is>
          <t>JUSTICE K S PUTTASWAMY (RETD.), AND ANR.  versus UNION OF INDIA AND ORS.</t>
        </is>
      </c>
      <c r="G14" s="2" t="inlineStr">
        <is>
          <t>Kharak Singh v. State of Uttar Pradesh</t>
        </is>
      </c>
      <c r="H14" s="2" t="inlineStr">
        <is>
          <t>[1964] 1 SCR 332</t>
        </is>
      </c>
      <c r="I14" s="2" t="inlineStr">
        <is>
          <t>partly overruled</t>
        </is>
      </c>
      <c r="J14" s="11" t="inlineStr">
        <is>
          <t>yes</t>
        </is>
      </c>
      <c r="K14" s="11" t="inlineStr">
        <is>
          <t>b2017_10_569_999</t>
        </is>
      </c>
      <c r="L14" s="11" t="inlineStr">
        <is>
          <t>2026-10-07</t>
        </is>
      </c>
      <c r="M14" s="11" t="n"/>
      <c r="N14" s="11" t="inlineStr">
        <is>
          <t>found</t>
        </is>
      </c>
    </row>
    <row r="15">
      <c r="A15" s="11" t="inlineStr">
        <is>
          <t>P-0012</t>
        </is>
      </c>
      <c r="B15" s="11" t="inlineStr">
        <is>
          <t>open</t>
        </is>
      </c>
      <c r="C15" s="11" t="inlineStr">
        <is>
          <t>tag</t>
        </is>
      </c>
      <c r="D15" s="11" t="inlineStr">
        <is>
          <t>2017-08-24</t>
        </is>
      </c>
      <c r="E15" s="11" t="n">
        <v>9</v>
      </c>
      <c r="F15" s="2" t="inlineStr">
        <is>
          <t>JUSTICE K S PUTTASWAMY (RETD.), AND ANR.  versus UNION OF INDIA AND ORS.</t>
        </is>
      </c>
      <c r="G15" s="2" t="inlineStr">
        <is>
          <t>M. P. Sharma and others v. Satish Chandra, District D Magistrate, Delhi, and others 1954 SCR 1077</t>
        </is>
      </c>
      <c r="H15" s="2" t="inlineStr"/>
      <c r="I15" s="2" t="inlineStr">
        <is>
          <t>partly overruled</t>
        </is>
      </c>
      <c r="J15" s="11" t="inlineStr">
        <is>
          <t>yes</t>
        </is>
      </c>
      <c r="K15" s="11" t="inlineStr">
        <is>
          <t>b2017_10_569_999</t>
        </is>
      </c>
      <c r="L15" s="11" t="inlineStr">
        <is>
          <t>2026-10-07</t>
        </is>
      </c>
      <c r="M15" s="11" t="n"/>
      <c r="N15" s="11" t="inlineStr">
        <is>
          <t>found</t>
        </is>
      </c>
    </row>
    <row r="16">
      <c r="A16" s="11" t="inlineStr">
        <is>
          <t>P-0013</t>
        </is>
      </c>
      <c r="B16" s="11" t="inlineStr">
        <is>
          <t>open</t>
        </is>
      </c>
      <c r="C16" s="11" t="inlineStr">
        <is>
          <t>tag</t>
        </is>
      </c>
      <c r="D16" s="11" t="inlineStr">
        <is>
          <t>2017-08-24</t>
        </is>
      </c>
      <c r="E16" s="11" t="n">
        <v>9</v>
      </c>
      <c r="F16" s="2" t="inlineStr">
        <is>
          <t>JUSTICE K S PUTTASWAMY (RETD.), AND ANR.  versus UNION OF INDIA AND ORS.</t>
        </is>
      </c>
      <c r="G16" s="2" t="inlineStr">
        <is>
          <t>Kharak Singh v. State of U.P.</t>
        </is>
      </c>
      <c r="H16" s="2" t="inlineStr">
        <is>
          <t>(1964) 1 SCR 332</t>
        </is>
      </c>
      <c r="I16" s="2" t="inlineStr">
        <is>
          <t>partly overruled</t>
        </is>
      </c>
      <c r="J16" s="11" t="inlineStr">
        <is>
          <t>yes</t>
        </is>
      </c>
      <c r="K16" s="11" t="inlineStr">
        <is>
          <t>b2017_10_569_999</t>
        </is>
      </c>
      <c r="L16" s="11" t="inlineStr">
        <is>
          <t>2026-10-07</t>
        </is>
      </c>
      <c r="M16" s="11" t="n"/>
      <c r="N16" s="11" t="inlineStr">
        <is>
          <t>found</t>
        </is>
      </c>
    </row>
    <row r="17">
      <c r="A17" s="11" t="inlineStr">
        <is>
          <t>P-0014</t>
        </is>
      </c>
      <c r="B17" s="11" t="inlineStr">
        <is>
          <t>open</t>
        </is>
      </c>
      <c r="C17" s="11" t="inlineStr">
        <is>
          <t>tag</t>
        </is>
      </c>
      <c r="D17" s="11" t="inlineStr">
        <is>
          <t>2017-08-24</t>
        </is>
      </c>
      <c r="E17" s="11" t="n">
        <v>9</v>
      </c>
      <c r="F17" s="2" t="inlineStr">
        <is>
          <t>JUSTICE K S PUTTASWAMY (RETD.), AND ANR.  versus UNION OF INDIA AND ORS.</t>
        </is>
      </c>
      <c r="G17" s="2" t="inlineStr">
        <is>
          <t>M P Sharma v. Satish Chandra 1954 SCR 1077</t>
        </is>
      </c>
      <c r="H17" s="2" t="inlineStr"/>
      <c r="I17" s="2" t="inlineStr">
        <is>
          <t>partly overruled</t>
        </is>
      </c>
      <c r="J17" s="11" t="inlineStr">
        <is>
          <t>yes</t>
        </is>
      </c>
      <c r="K17" s="11" t="inlineStr">
        <is>
          <t>b2017_10_569_999</t>
        </is>
      </c>
      <c r="L17" s="11" t="inlineStr">
        <is>
          <t>2026-10-07</t>
        </is>
      </c>
      <c r="M17" s="11" t="n"/>
      <c r="N17" s="11" t="inlineStr">
        <is>
          <t>found</t>
        </is>
      </c>
    </row>
    <row r="18">
      <c r="A18" s="11" t="inlineStr">
        <is>
          <t>P-0015</t>
        </is>
      </c>
      <c r="B18" s="11" t="inlineStr">
        <is>
          <t>open</t>
        </is>
      </c>
      <c r="C18" s="11" t="inlineStr">
        <is>
          <t>tag</t>
        </is>
      </c>
      <c r="D18" s="11" t="inlineStr">
        <is>
          <t>2017-08-24</t>
        </is>
      </c>
      <c r="E18" s="11" t="n">
        <v>9</v>
      </c>
      <c r="F18" s="2" t="inlineStr">
        <is>
          <t>JUSTICE K S PUTTASWAMY (RETD.), AND ANR.  versus UNION OF INDIA AND ORS.</t>
        </is>
      </c>
      <c r="G18" s="2" t="inlineStr">
        <is>
          <t>Kharak Singh v. State of Uttar Pradesh</t>
        </is>
      </c>
      <c r="H18" s="2" t="inlineStr">
        <is>
          <t>AIR 1963 SC 1295 : [1964] SCR 332</t>
        </is>
      </c>
      <c r="I18" s="2" t="inlineStr">
        <is>
          <t>partly overruled</t>
        </is>
      </c>
      <c r="J18" s="11" t="inlineStr">
        <is>
          <t>yes</t>
        </is>
      </c>
      <c r="K18" s="11" t="inlineStr">
        <is>
          <t>b2017_10_569_999</t>
        </is>
      </c>
      <c r="L18" s="11" t="inlineStr">
        <is>
          <t>2026-10-07</t>
        </is>
      </c>
      <c r="M18" s="11" t="n"/>
      <c r="N18" s="11" t="inlineStr">
        <is>
          <t>found</t>
        </is>
      </c>
    </row>
    <row r="19">
      <c r="A19" s="11" t="inlineStr">
        <is>
          <t>P-0016</t>
        </is>
      </c>
      <c r="B19" s="11" t="inlineStr">
        <is>
          <t>open</t>
        </is>
      </c>
      <c r="C19" s="11" t="inlineStr">
        <is>
          <t>tag</t>
        </is>
      </c>
      <c r="D19" s="11" t="inlineStr">
        <is>
          <t>2017-08-24</t>
        </is>
      </c>
      <c r="E19" s="11" t="n">
        <v>9</v>
      </c>
      <c r="F19" s="2" t="inlineStr">
        <is>
          <t>JUSTICE K S PUTTASWAMY (RETD.), AND ANR.  versus UNION OF INDIA AND ORS.</t>
        </is>
      </c>
      <c r="G19" s="2" t="inlineStr">
        <is>
          <t>ADM Jabalpur v. Shivkant Shukla</t>
        </is>
      </c>
      <c r="H19" s="2" t="inlineStr">
        <is>
          <t>[1976] Suppl. SCR 172: (1976) 2 sec 521</t>
        </is>
      </c>
      <c r="I19" s="2" t="inlineStr">
        <is>
          <t>overruled</t>
        </is>
      </c>
      <c r="J19" s="11" t="inlineStr">
        <is>
          <t>yes</t>
        </is>
      </c>
      <c r="K19" s="11" t="inlineStr">
        <is>
          <t>b2017_10_569_999</t>
        </is>
      </c>
      <c r="L19" s="11" t="inlineStr">
        <is>
          <t>2026-10-07</t>
        </is>
      </c>
      <c r="M19" s="11" t="n"/>
      <c r="N19" s="11" t="inlineStr">
        <is>
          <t>found</t>
        </is>
      </c>
    </row>
    <row r="20">
      <c r="A20" s="11" t="inlineStr">
        <is>
          <t>P-0017</t>
        </is>
      </c>
      <c r="B20" s="11" t="inlineStr">
        <is>
          <t>open</t>
        </is>
      </c>
      <c r="C20" s="11" t="inlineStr">
        <is>
          <t>sentence</t>
        </is>
      </c>
      <c r="D20" s="11" t="inlineStr">
        <is>
          <t>2017-10-09</t>
        </is>
      </c>
      <c r="E20" s="11" t="n">
        <v>3</v>
      </c>
      <c r="F20" s="2" t="inlineStr">
        <is>
          <t>SANTHINI versus VIJAYA VENKETESH</t>
        </is>
      </c>
      <c r="G20" s="2" t="n"/>
      <c r="H20" s="2" t="n"/>
      <c r="I20" s="2" t="inlineStr">
        <is>
          <t>H 614 SUPREME COURT REPORTS [2017] 12 S.C.R. A (vi) The decisionin Krishna ~ni Nagam (supra) is overruled to . the aforesaid extent. · 57.</t>
        </is>
      </c>
      <c r="J20" s="11" t="inlineStr"/>
      <c r="K20" s="11" t="inlineStr">
        <is>
          <t>b2017_12_557_643</t>
        </is>
      </c>
      <c r="L20" s="11" t="inlineStr">
        <is>
          <t>2026-10-07</t>
        </is>
      </c>
      <c r="M20" s="11" t="n"/>
      <c r="N20" s="11" t="inlineStr">
        <is>
          <t>found</t>
        </is>
      </c>
    </row>
    <row r="21">
      <c r="A21" s="11" t="inlineStr">
        <is>
          <t>P-0018</t>
        </is>
      </c>
      <c r="B21" s="11" t="inlineStr">
        <is>
          <t>open</t>
        </is>
      </c>
      <c r="C21" s="11" t="inlineStr">
        <is>
          <t>tag</t>
        </is>
      </c>
      <c r="D21" s="11" t="inlineStr">
        <is>
          <t>2017-12-14</t>
        </is>
      </c>
      <c r="E21" s="11" t="n">
        <v>5</v>
      </c>
      <c r="F21" s="2" t="inlineStr">
        <is>
          <t>THE STATE OF JHARKHAND &amp; ORS. versus MIS HINDUSTAN CONSTRUCTION CO. LTD.</t>
        </is>
      </c>
      <c r="G21" s="2" t="inlineStr">
        <is>
          <t>State of Madhya Pradesh v. Saith and Skelton (P) Ltd.</t>
        </is>
      </c>
      <c r="H21" s="2" t="inlineStr">
        <is>
          <t>(1972) 1 SCC 702 : [1972] 3 SCR 233; **Guru Nanak Foundation v. Rattan Singh and Sons [1982] 1 SCR 842</t>
        </is>
      </c>
      <c r="I21" s="2" t="inlineStr">
        <is>
          <t>overruled</t>
        </is>
      </c>
      <c r="J21" s="11" t="inlineStr">
        <is>
          <t>yes</t>
        </is>
      </c>
      <c r="K21" s="11" t="inlineStr">
        <is>
          <t>b2017_13_1009_1052</t>
        </is>
      </c>
      <c r="L21" s="11" t="inlineStr">
        <is>
          <t>2026-10-07</t>
        </is>
      </c>
      <c r="M21" s="11" t="n"/>
      <c r="N21" s="11" t="inlineStr">
        <is>
          <t>found</t>
        </is>
      </c>
    </row>
    <row r="22">
      <c r="A22" s="11" t="inlineStr">
        <is>
          <t>P-0019</t>
        </is>
      </c>
      <c r="B22" s="11" t="inlineStr">
        <is>
          <t>open</t>
        </is>
      </c>
      <c r="C22" s="11" t="inlineStr">
        <is>
          <t>tag</t>
        </is>
      </c>
      <c r="D22" s="11" t="inlineStr">
        <is>
          <t>2018-02-08</t>
        </is>
      </c>
      <c r="E22" s="11" t="n">
        <v>3</v>
      </c>
      <c r="F22" s="2" t="inlineStr">
        <is>
          <t>INDORE DEVELOPMENT AUTHORITY versus SHAILENDRA (DEAD) THROUGH LRS. &amp; ORS.</t>
        </is>
      </c>
      <c r="G22" s="2" t="inlineStr">
        <is>
          <t>Velaxan Kumar v. Union of India &amp; Ors.</t>
        </is>
      </c>
      <c r="H22" s="2" t="inlineStr">
        <is>
          <t>(2015) 4 SCC 325</t>
        </is>
      </c>
      <c r="I22" s="2" t="inlineStr">
        <is>
          <t>overruled</t>
        </is>
      </c>
      <c r="J22" s="11" t="inlineStr"/>
      <c r="K22" s="11" t="inlineStr">
        <is>
          <t>b2018_2_1_231</t>
        </is>
      </c>
      <c r="L22" s="11" t="inlineStr">
        <is>
          <t>2026-10-07</t>
        </is>
      </c>
      <c r="M22" s="11" t="n"/>
      <c r="N22" s="11" t="inlineStr">
        <is>
          <t>found</t>
        </is>
      </c>
    </row>
    <row r="23">
      <c r="A23" s="11" t="inlineStr">
        <is>
          <t>P-0020</t>
        </is>
      </c>
      <c r="B23" s="11" t="inlineStr">
        <is>
          <t>open</t>
        </is>
      </c>
      <c r="C23" s="11" t="inlineStr">
        <is>
          <t>tag</t>
        </is>
      </c>
      <c r="D23" s="11" t="inlineStr">
        <is>
          <t>2018-02-08</t>
        </is>
      </c>
      <c r="E23" s="11" t="n">
        <v>3</v>
      </c>
      <c r="F23" s="2" t="inlineStr">
        <is>
          <t>INDORE DEVELOPMENT AUTHORITY versus SHAILENDRA (DEAD) THROUGH LRS. &amp; ORS.</t>
        </is>
      </c>
      <c r="G23" s="2" t="inlineStr">
        <is>
          <t>Union of India v. Shiv Raj</t>
        </is>
      </c>
      <c r="H23" s="2" t="inlineStr">
        <is>
          <t>(2014) 6 SCC 564 : [ 2014] 8 SCR 751</t>
        </is>
      </c>
      <c r="I23" s="2" t="inlineStr">
        <is>
          <t>not correct law</t>
        </is>
      </c>
      <c r="J23" s="11" t="inlineStr"/>
      <c r="K23" s="11" t="inlineStr">
        <is>
          <t>b2018_2_1_231</t>
        </is>
      </c>
      <c r="L23" s="11" t="inlineStr">
        <is>
          <t>2026-10-07</t>
        </is>
      </c>
      <c r="M23" s="11" t="n"/>
      <c r="N23" s="11" t="inlineStr">
        <is>
          <t>found</t>
        </is>
      </c>
    </row>
    <row r="24">
      <c r="A24" s="11" t="inlineStr">
        <is>
          <t>P-0021</t>
        </is>
      </c>
      <c r="B24" s="11" t="inlineStr">
        <is>
          <t>open</t>
        </is>
      </c>
      <c r="C24" s="11" t="inlineStr">
        <is>
          <t>tag</t>
        </is>
      </c>
      <c r="D24" s="11" t="inlineStr">
        <is>
          <t>2018-02-08</t>
        </is>
      </c>
      <c r="E24" s="11" t="n">
        <v>3</v>
      </c>
      <c r="F24" s="2" t="inlineStr">
        <is>
          <t>INDORE DEVELOPMENT AUTHORITY versus SHAILENDRA (DEAD) THROUGH LRS. &amp; ORS.</t>
        </is>
      </c>
      <c r="G24" s="2" t="inlineStr">
        <is>
          <t>Karnail Kaur &amp; Ors. v. State of Punjab &amp; Ors.</t>
        </is>
      </c>
      <c r="H24" s="2" t="inlineStr">
        <is>
          <t>(2015) 3 SCC 206 : [2016] 5 SCR 227</t>
        </is>
      </c>
      <c r="I24" s="2" t="inlineStr">
        <is>
          <t>not correct law</t>
        </is>
      </c>
      <c r="J24" s="11" t="inlineStr"/>
      <c r="K24" s="11" t="inlineStr">
        <is>
          <t>b2018_2_1_231</t>
        </is>
      </c>
      <c r="L24" s="11" t="inlineStr">
        <is>
          <t>2026-10-07</t>
        </is>
      </c>
      <c r="M24" s="11" t="n"/>
      <c r="N24" s="11" t="inlineStr">
        <is>
          <t>found</t>
        </is>
      </c>
    </row>
    <row r="25">
      <c r="A25" s="11" t="inlineStr">
        <is>
          <t>P-0022</t>
        </is>
      </c>
      <c r="B25" s="11" t="inlineStr">
        <is>
          <t>open</t>
        </is>
      </c>
      <c r="C25" s="11" t="inlineStr">
        <is>
          <t>tag</t>
        </is>
      </c>
      <c r="D25" s="11" t="inlineStr">
        <is>
          <t>2018-02-08</t>
        </is>
      </c>
      <c r="E25" s="11" t="n">
        <v>3</v>
      </c>
      <c r="F25" s="2" t="inlineStr">
        <is>
          <t>INDORE DEVELOPMENT AUTHORITY versus SHAILENDRA (DEAD) THROUGH LRS. &amp; ORS.</t>
        </is>
      </c>
      <c r="G25" s="2" t="inlineStr">
        <is>
          <t>Pune Municipal Corporation &amp; Anr. v. Harakchand Misirmal Solanki</t>
        </is>
      </c>
      <c r="H25" s="2" t="inlineStr">
        <is>
          <t>(2014) 3 SCC 183 – per incurium. Shree Balaji Nagar Residential Association v. State of Tamil Nadu (2015) 3 SCC 353</t>
        </is>
      </c>
      <c r="I25" s="2" t="inlineStr">
        <is>
          <t>overruled</t>
        </is>
      </c>
      <c r="J25" s="11" t="inlineStr">
        <is>
          <t>yes</t>
        </is>
      </c>
      <c r="K25" s="11" t="inlineStr">
        <is>
          <t>b2018_2_1_231</t>
        </is>
      </c>
      <c r="L25" s="11" t="inlineStr">
        <is>
          <t>2026-10-07</t>
        </is>
      </c>
      <c r="M25" s="11" t="n"/>
      <c r="N25" s="11" t="inlineStr">
        <is>
          <t>found</t>
        </is>
      </c>
    </row>
    <row r="26">
      <c r="A26" s="11" t="inlineStr">
        <is>
          <t>P-0023</t>
        </is>
      </c>
      <c r="B26" s="11" t="inlineStr">
        <is>
          <t>open</t>
        </is>
      </c>
      <c r="C26" s="11" t="inlineStr">
        <is>
          <t>tag</t>
        </is>
      </c>
      <c r="D26" s="11" t="inlineStr">
        <is>
          <t>2018-03-09</t>
        </is>
      </c>
      <c r="E26" s="11" t="n">
        <v>5</v>
      </c>
      <c r="F26" s="2" t="inlineStr">
        <is>
          <t>COMMON CAUSE (A REGD. SOCIETY) versus UNION OF INDIA &amp; ANOTHER</t>
        </is>
      </c>
      <c r="G26" s="2" t="inlineStr">
        <is>
          <t>Aruna Ramachandra Shanbaug v. Union of India</t>
        </is>
      </c>
      <c r="H26" s="2" t="inlineStr">
        <is>
          <t>(2011) 15 SCC 480</t>
        </is>
      </c>
      <c r="I26" s="2" t="inlineStr">
        <is>
          <t>not correct law</t>
        </is>
      </c>
      <c r="J26" s="11" t="inlineStr"/>
      <c r="K26" s="11" t="inlineStr">
        <is>
          <t>b2018_6_1_386</t>
        </is>
      </c>
      <c r="L26" s="11" t="inlineStr">
        <is>
          <t>2026-10-07</t>
        </is>
      </c>
      <c r="M26" s="11" t="n"/>
      <c r="N26" s="11" t="inlineStr">
        <is>
          <t>found</t>
        </is>
      </c>
    </row>
    <row r="27">
      <c r="A27" s="11" t="inlineStr">
        <is>
          <t>P-0024</t>
        </is>
      </c>
      <c r="B27" s="11" t="inlineStr">
        <is>
          <t>open</t>
        </is>
      </c>
      <c r="C27" s="11" t="inlineStr">
        <is>
          <t>sentence</t>
        </is>
      </c>
      <c r="D27" s="11" t="inlineStr">
        <is>
          <t>2018-03-22</t>
        </is>
      </c>
      <c r="E27" s="11" t="n">
        <v>3</v>
      </c>
      <c r="F27" s="2" t="inlineStr">
        <is>
          <t>M/S LION ENGINEERING CONSULTANTS versus STATE OF M.P. &amp; ORS.</t>
        </is>
      </c>
      <c r="G27" s="2" t="n"/>
      <c r="H27" s="2" t="n"/>
      <c r="I27" s="2" t="inlineStr">
        <is>
          <t>Accordingly, we overrule the observations to the contrary in Paragraphs 16 and 17 of the judgment in MSP Infrastructures Ltd. (supra). 10.</t>
        </is>
      </c>
      <c r="J27" s="11" t="inlineStr"/>
      <c r="K27" s="11" t="inlineStr">
        <is>
          <t>b2018_6_683_687</t>
        </is>
      </c>
      <c r="L27" s="11" t="inlineStr">
        <is>
          <t>2026-10-07</t>
        </is>
      </c>
      <c r="M27" s="11" t="n"/>
      <c r="N27" s="11" t="inlineStr">
        <is>
          <t>found</t>
        </is>
      </c>
    </row>
    <row r="28">
      <c r="A28" s="11" t="inlineStr">
        <is>
          <t>P-0025</t>
        </is>
      </c>
      <c r="B28" s="11" t="inlineStr">
        <is>
          <t>open</t>
        </is>
      </c>
      <c r="C28" s="11" t="inlineStr">
        <is>
          <t>tag</t>
        </is>
      </c>
      <c r="D28" s="11" t="inlineStr">
        <is>
          <t>2018-03-28</t>
        </is>
      </c>
      <c r="E28" s="11" t="n">
        <v>3</v>
      </c>
      <c r="F28" s="2" t="inlineStr">
        <is>
          <t>ASIAN RESURFACING OF ROAD AGENCY PVT. LTD. &amp; ANR.V. CENTRAL BUREAU OF INVESTIGATION versus CENTRAL BUREAU OF INVESTIGATION</t>
        </is>
      </c>
      <c r="G28" s="2" t="inlineStr">
        <is>
          <t>Satya Narayan Sharma v. State of Rajasthan</t>
        </is>
      </c>
      <c r="H28" s="2" t="inlineStr">
        <is>
          <t>(2001) 8 SCC 607 : [2001] 3 Suppl. SCR 268</t>
        </is>
      </c>
      <c r="I28" s="2" t="inlineStr">
        <is>
          <t>overruled</t>
        </is>
      </c>
      <c r="J28" s="11" t="inlineStr"/>
      <c r="K28" s="11" t="inlineStr">
        <is>
          <t>b2018_2_1045_1098</t>
        </is>
      </c>
      <c r="L28" s="11" t="inlineStr">
        <is>
          <t>2026-10-07</t>
        </is>
      </c>
      <c r="M28" s="11" t="n"/>
      <c r="N28" s="11" t="inlineStr">
        <is>
          <t>found</t>
        </is>
      </c>
    </row>
    <row r="29">
      <c r="A29" s="11" t="inlineStr">
        <is>
          <t>P-0026</t>
        </is>
      </c>
      <c r="B29" s="11" t="inlineStr">
        <is>
          <t>open</t>
        </is>
      </c>
      <c r="C29" s="11" t="inlineStr">
        <is>
          <t>tag</t>
        </is>
      </c>
      <c r="D29" s="11" t="inlineStr">
        <is>
          <t>2018-04-10</t>
        </is>
      </c>
      <c r="E29" s="11" t="n">
        <v>3</v>
      </c>
      <c r="F29" s="2" t="inlineStr">
        <is>
          <t>SECRETARY TO GOVERNMENT OF TAMIL NADU PUBLIC (LAW AND ORDER) REVENUE DEPARTMENT &amp; ANR. versus KAMALA &amp; ANR.</t>
        </is>
      </c>
      <c r="G29" s="2" t="inlineStr">
        <is>
          <t>Commissioner of Police v. Gurbux Anandram Bhiryani</t>
        </is>
      </c>
      <c r="H29" s="2" t="inlineStr">
        <is>
          <t>(1988) Supp SCC 568</t>
        </is>
      </c>
      <c r="I29" s="2" t="inlineStr">
        <is>
          <t>not correct law</t>
        </is>
      </c>
      <c r="J29" s="11" t="inlineStr"/>
      <c r="K29" s="11" t="inlineStr">
        <is>
          <t>b2018_3_854_857</t>
        </is>
      </c>
      <c r="L29" s="11" t="inlineStr">
        <is>
          <t>2026-10-07</t>
        </is>
      </c>
      <c r="M29" s="11" t="n"/>
      <c r="N29" s="11" t="inlineStr">
        <is>
          <t>found</t>
        </is>
      </c>
    </row>
    <row r="30">
      <c r="A30" s="11" t="inlineStr">
        <is>
          <t>P-0027</t>
        </is>
      </c>
      <c r="B30" s="11" t="inlineStr">
        <is>
          <t>open</t>
        </is>
      </c>
      <c r="C30" s="11" t="inlineStr">
        <is>
          <t>tag</t>
        </is>
      </c>
      <c r="D30" s="11" t="inlineStr">
        <is>
          <t>2018-07-30</t>
        </is>
      </c>
      <c r="E30" s="11" t="n">
        <v>5</v>
      </c>
      <c r="F30" s="2" t="inlineStr">
        <is>
          <t>COMMISSIONER OF CUSTOMS (IMPORT), MUMBAI versus M/S. DILIP KUMAR AND COMPANY &amp; ORS.</t>
        </is>
      </c>
      <c r="G30" s="2" t="inlineStr">
        <is>
          <t>Sun Export Corporation, Bombay v. Collector of Customs, Bombay</t>
        </is>
      </c>
      <c r="H30" s="2" t="inlineStr">
        <is>
          <t>(1977) 6 SCC 564 : [1997] 1 Suppl. SCR 434</t>
        </is>
      </c>
      <c r="I30" s="2" t="inlineStr">
        <is>
          <t>overruled</t>
        </is>
      </c>
      <c r="J30" s="11" t="inlineStr">
        <is>
          <t>yes</t>
        </is>
      </c>
      <c r="K30" s="11" t="inlineStr">
        <is>
          <t>b2018_7_1191_1231</t>
        </is>
      </c>
      <c r="L30" s="11" t="inlineStr">
        <is>
          <t>2026-10-07</t>
        </is>
      </c>
      <c r="M30" s="11" t="n"/>
      <c r="N30" s="11" t="inlineStr">
        <is>
          <t>found</t>
        </is>
      </c>
    </row>
    <row r="31">
      <c r="A31" s="11" t="inlineStr">
        <is>
          <t>P-0028</t>
        </is>
      </c>
      <c r="B31" s="11" t="inlineStr">
        <is>
          <t>open</t>
        </is>
      </c>
      <c r="C31" s="11" t="inlineStr">
        <is>
          <t>sentence</t>
        </is>
      </c>
      <c r="D31" s="11" t="inlineStr">
        <is>
          <t>2018-08-16</t>
        </is>
      </c>
      <c r="E31" s="11" t="n">
        <v>3</v>
      </c>
      <c r="F31" s="2" t="inlineStr">
        <is>
          <t>MOHANLAL versus THE STATE OF PUNJAB</t>
        </is>
      </c>
      <c r="G31" s="2" t="n"/>
      <c r="H31" s="2" t="n"/>
      <c r="I31" s="2" t="inlineStr">
        <is>
          <t>Therefore, legal position stated in Naushad v. State of Kerala 2000 (1) KLT 785 to the contrary is overruled.” 24.</t>
        </is>
      </c>
      <c r="J31" s="11" t="inlineStr"/>
      <c r="K31" s="11" t="inlineStr">
        <is>
          <t>b2018_9_1006_1023</t>
        </is>
      </c>
      <c r="L31" s="11" t="inlineStr">
        <is>
          <t>2026-10-07</t>
        </is>
      </c>
      <c r="M31" s="11" t="n"/>
      <c r="N31" s="11" t="inlineStr">
        <is>
          <t>found</t>
        </is>
      </c>
    </row>
    <row r="32">
      <c r="A32" s="11" t="inlineStr">
        <is>
          <t>P-0029</t>
        </is>
      </c>
      <c r="B32" s="11" t="inlineStr">
        <is>
          <t>open</t>
        </is>
      </c>
      <c r="C32" s="11" t="inlineStr">
        <is>
          <t>sentence</t>
        </is>
      </c>
      <c r="D32" s="11" t="inlineStr">
        <is>
          <t>2018-08-16</t>
        </is>
      </c>
      <c r="E32" s="11" t="n">
        <v>3</v>
      </c>
      <c r="F32" s="2" t="inlineStr">
        <is>
          <t>MOHANLAL versus THE STATE OF PUNJAB</t>
        </is>
      </c>
      <c r="G32" s="2" t="n"/>
      <c r="H32" s="2" t="n"/>
      <c r="I32" s="2" t="inlineStr">
        <is>
          <t>Kader (supra) is, therefore, overruled.</t>
        </is>
      </c>
      <c r="J32" s="11" t="inlineStr"/>
      <c r="K32" s="11" t="inlineStr">
        <is>
          <t>b2018_9_1006_1023</t>
        </is>
      </c>
      <c r="L32" s="11" t="inlineStr">
        <is>
          <t>2026-10-07</t>
        </is>
      </c>
      <c r="M32" s="11" t="n"/>
      <c r="N32" s="11" t="inlineStr">
        <is>
          <t>found</t>
        </is>
      </c>
    </row>
    <row r="33">
      <c r="A33" s="11" t="inlineStr">
        <is>
          <t>P-0030</t>
        </is>
      </c>
      <c r="B33" s="11" t="inlineStr">
        <is>
          <t>open</t>
        </is>
      </c>
      <c r="C33" s="11" t="inlineStr">
        <is>
          <t>tag</t>
        </is>
      </c>
      <c r="D33" s="11" t="inlineStr">
        <is>
          <t>2018-09-06</t>
        </is>
      </c>
      <c r="E33" s="11" t="n">
        <v>5</v>
      </c>
      <c r="F33" s="2" t="inlineStr">
        <is>
          <t>NAVTEJ SINGH JOHAR &amp; ORS. versus UNION OF INDIA THR. SECRETARY MINISTRY OF LAW AND JUSTICE</t>
        </is>
      </c>
      <c r="G33" s="2" t="inlineStr">
        <is>
          <t>C.R. Suresh Kumar Koushal and another v. Naz Foundation and others</t>
        </is>
      </c>
      <c r="H33" s="2" t="inlineStr">
        <is>
          <t>(2014) 1 SCC 1 : [2013] 17 SCR 1019</t>
        </is>
      </c>
      <c r="I33" s="2" t="inlineStr">
        <is>
          <t>overruled</t>
        </is>
      </c>
      <c r="J33" s="11" t="inlineStr">
        <is>
          <t>yes</t>
        </is>
      </c>
      <c r="K33" s="11" t="inlineStr">
        <is>
          <t>b2018_7_379_746</t>
        </is>
      </c>
      <c r="L33" s="11" t="inlineStr">
        <is>
          <t>2026-10-07</t>
        </is>
      </c>
      <c r="M33" s="11" t="n"/>
      <c r="N33" s="11" t="inlineStr">
        <is>
          <t>found</t>
        </is>
      </c>
    </row>
    <row r="34">
      <c r="A34" s="11" t="inlineStr">
        <is>
          <t>P-0031</t>
        </is>
      </c>
      <c r="B34" s="11" t="inlineStr">
        <is>
          <t>open</t>
        </is>
      </c>
      <c r="C34" s="11" t="inlineStr">
        <is>
          <t>tag</t>
        </is>
      </c>
      <c r="D34" s="11" t="inlineStr">
        <is>
          <t>2018-09-06</t>
        </is>
      </c>
      <c r="E34" s="11" t="n">
        <v>5</v>
      </c>
      <c r="F34" s="2" t="inlineStr">
        <is>
          <t>NAVTEJ SINGH JOHAR &amp; ORS. versus UNION OF INDIA THR. SECRETARY MINISTRY OF LAW AND JUSTICE</t>
        </is>
      </c>
      <c r="G34" s="2" t="inlineStr">
        <is>
          <t>New Delhi Municipal Council v. State of Punjab and Ors.</t>
        </is>
      </c>
      <c r="H34" s="2" t="inlineStr">
        <is>
          <t>(1997) 7 SCC 339 : [1996] 10 Suppl. SCR 472</t>
        </is>
      </c>
      <c r="I34" s="2" t="inlineStr">
        <is>
          <t>disapproved</t>
        </is>
      </c>
      <c r="J34" s="11" t="inlineStr"/>
      <c r="K34" s="11" t="inlineStr">
        <is>
          <t>b2018_7_379_746</t>
        </is>
      </c>
      <c r="L34" s="11" t="inlineStr">
        <is>
          <t>2026-10-07</t>
        </is>
      </c>
      <c r="M34" s="11" t="n"/>
      <c r="N34" s="11" t="inlineStr">
        <is>
          <t>found</t>
        </is>
      </c>
    </row>
    <row r="35">
      <c r="A35" s="11" t="inlineStr">
        <is>
          <t>P-0032</t>
        </is>
      </c>
      <c r="B35" s="11" t="inlineStr">
        <is>
          <t>open</t>
        </is>
      </c>
      <c r="C35" s="11" t="inlineStr">
        <is>
          <t>tag</t>
        </is>
      </c>
      <c r="D35" s="11" t="inlineStr">
        <is>
          <t>2018-09-06</t>
        </is>
      </c>
      <c r="E35" s="11" t="n">
        <v>5</v>
      </c>
      <c r="F35" s="2" t="inlineStr">
        <is>
          <t>NAVTEJ SINGH JOHAR &amp; ORS. versus UNION OF INDIA THR. SECRETARY MINISTRY OF LAW AND JUSTICE</t>
        </is>
      </c>
      <c r="G35" s="2" t="inlineStr">
        <is>
          <t>NAVTEJ SINGH JOHAR v. UOI THR. SECY. MINISTRY OF LAW &amp; JUSTICE [DIPAK MISRA, CJI ] Suresh Kumar Koushal v. Naz Foundation</t>
        </is>
      </c>
      <c r="H35" s="2" t="inlineStr">
        <is>
          <t>(2014) 1 SCC 1 : [2013] 17 SCR 116</t>
        </is>
      </c>
      <c r="I35" s="2" t="inlineStr">
        <is>
          <t>overruled</t>
        </is>
      </c>
      <c r="J35" s="11" t="inlineStr">
        <is>
          <t>yes</t>
        </is>
      </c>
      <c r="K35" s="11" t="inlineStr">
        <is>
          <t>b2018_7_379_746</t>
        </is>
      </c>
      <c r="L35" s="11" t="inlineStr">
        <is>
          <t>2026-10-07</t>
        </is>
      </c>
      <c r="M35" s="11" t="n"/>
      <c r="N35" s="11" t="inlineStr">
        <is>
          <t>found</t>
        </is>
      </c>
    </row>
    <row r="36">
      <c r="A36" s="11" t="inlineStr">
        <is>
          <t>P-0033</t>
        </is>
      </c>
      <c r="B36" s="11" t="inlineStr">
        <is>
          <t>open</t>
        </is>
      </c>
      <c r="C36" s="11" t="inlineStr">
        <is>
          <t>tag</t>
        </is>
      </c>
      <c r="D36" s="11" t="inlineStr">
        <is>
          <t>2018-09-06</t>
        </is>
      </c>
      <c r="E36" s="11" t="n">
        <v>5</v>
      </c>
      <c r="F36" s="2" t="inlineStr">
        <is>
          <t>NAVTEJ SINGH JOHAR &amp; ORS. versus UNION OF INDIA THR. SECRETARY MINISTRY OF LAW AND JUSTICE</t>
        </is>
      </c>
      <c r="G36" s="2" t="inlineStr">
        <is>
          <t>A.K. Roy v. Union of India</t>
        </is>
      </c>
      <c r="H36" s="2" t="inlineStr">
        <is>
          <t>(1982) 1 SCC 271 : [1982] 2 SCR 272– referred to Suresh Kumar Koushal &amp; Anr. v. Naz Foundation &amp; Ors. (2014) 1 SCC 1 : [2013] 17 SCR116</t>
        </is>
      </c>
      <c r="I36" s="2" t="inlineStr">
        <is>
          <t>overruled</t>
        </is>
      </c>
      <c r="J36" s="11" t="inlineStr">
        <is>
          <t>yes</t>
        </is>
      </c>
      <c r="K36" s="11" t="inlineStr">
        <is>
          <t>b2018_7_379_746</t>
        </is>
      </c>
      <c r="L36" s="11" t="inlineStr">
        <is>
          <t>2026-10-07</t>
        </is>
      </c>
      <c r="M36" s="11" t="n"/>
      <c r="N36" s="11" t="inlineStr">
        <is>
          <t>found</t>
        </is>
      </c>
    </row>
    <row r="37">
      <c r="A37" s="11" t="inlineStr">
        <is>
          <t>P-0034</t>
        </is>
      </c>
      <c r="B37" s="11" t="inlineStr">
        <is>
          <t>open</t>
        </is>
      </c>
      <c r="C37" s="11" t="inlineStr">
        <is>
          <t>tag</t>
        </is>
      </c>
      <c r="D37" s="11" t="inlineStr">
        <is>
          <t>2018-09-19</t>
        </is>
      </c>
      <c r="E37" s="11" t="n">
        <v>3</v>
      </c>
      <c r="F37" s="2" t="inlineStr">
        <is>
          <t>JANABAI versus ADDITIONAL COMMISSIONER AND OTHERS</t>
        </is>
      </c>
      <c r="G37" s="2" t="inlineStr">
        <is>
          <t>Sagar Pandurang Dhundare v. Keshav Aaba Patil and others</t>
        </is>
      </c>
      <c r="H37" s="2" t="inlineStr">
        <is>
          <t>(2018) 1 SCC 340</t>
        </is>
      </c>
      <c r="I37" s="2" t="inlineStr">
        <is>
          <t>overruled</t>
        </is>
      </c>
      <c r="J37" s="11" t="inlineStr"/>
      <c r="K37" s="11" t="inlineStr">
        <is>
          <t>b2018_11_699_719</t>
        </is>
      </c>
      <c r="L37" s="11" t="inlineStr">
        <is>
          <t>2026-10-07</t>
        </is>
      </c>
      <c r="M37" s="11" t="n"/>
      <c r="N37" s="11" t="inlineStr">
        <is>
          <t>found</t>
        </is>
      </c>
    </row>
    <row r="38">
      <c r="A38" s="11" t="inlineStr">
        <is>
          <t>P-0035</t>
        </is>
      </c>
      <c r="B38" s="11" t="inlineStr">
        <is>
          <t>open</t>
        </is>
      </c>
      <c r="C38" s="11" t="inlineStr">
        <is>
          <t>tag</t>
        </is>
      </c>
      <c r="D38" s="11" t="inlineStr">
        <is>
          <t>2018-09-26</t>
        </is>
      </c>
      <c r="E38" s="11" t="n">
        <v>5</v>
      </c>
      <c r="F38" s="2" t="inlineStr">
        <is>
          <t>JUSTICE K. S. PUTTASWAMY (RETD.) versus UNION OF INDIA &amp; ORS.</t>
        </is>
      </c>
      <c r="G38" s="2" t="inlineStr">
        <is>
          <t>Mohd. Saeed Siddiqui v. State of Uttar Pradesh and Another</t>
        </is>
      </c>
      <c r="H38" s="2" t="inlineStr">
        <is>
          <t>(2014) 11 SCC 415</t>
        </is>
      </c>
      <c r="I38" s="2" t="inlineStr">
        <is>
          <t>not correct law</t>
        </is>
      </c>
      <c r="J38" s="11" t="inlineStr"/>
      <c r="K38" s="11" t="inlineStr">
        <is>
          <t>b2018_8_1_1076</t>
        </is>
      </c>
      <c r="L38" s="11" t="inlineStr">
        <is>
          <t>2026-10-07</t>
        </is>
      </c>
      <c r="M38" s="11" t="n"/>
      <c r="N38" s="11" t="inlineStr">
        <is>
          <t>found</t>
        </is>
      </c>
    </row>
    <row r="39">
      <c r="A39" s="11" t="inlineStr">
        <is>
          <t>P-0036</t>
        </is>
      </c>
      <c r="B39" s="11" t="inlineStr">
        <is>
          <t>open</t>
        </is>
      </c>
      <c r="C39" s="11" t="inlineStr">
        <is>
          <t>tag</t>
        </is>
      </c>
      <c r="D39" s="11" t="inlineStr">
        <is>
          <t>2018-09-26</t>
        </is>
      </c>
      <c r="E39" s="11" t="n">
        <v>5</v>
      </c>
      <c r="F39" s="2" t="inlineStr">
        <is>
          <t>JUSTICE K. S. PUTTASWAMY (RETD.) versus UNION OF INDIA &amp; ORS.</t>
        </is>
      </c>
      <c r="G39" s="2" t="inlineStr">
        <is>
          <t>Yogendra Kumar Jaiswal and Others v. State of Bihar and Others</t>
        </is>
      </c>
      <c r="H39" s="2" t="inlineStr">
        <is>
          <t>(2016) 3 SCC 183</t>
        </is>
      </c>
      <c r="I39" s="2" t="inlineStr">
        <is>
          <t>not correct law</t>
        </is>
      </c>
      <c r="J39" s="11" t="inlineStr"/>
      <c r="K39" s="11" t="inlineStr">
        <is>
          <t>b2018_8_1_1076</t>
        </is>
      </c>
      <c r="L39" s="11" t="inlineStr">
        <is>
          <t>2026-10-07</t>
        </is>
      </c>
      <c r="M39" s="11" t="n"/>
      <c r="N39" s="11" t="inlineStr">
        <is>
          <t>found</t>
        </is>
      </c>
    </row>
    <row r="40">
      <c r="A40" s="11" t="inlineStr">
        <is>
          <t>P-0037</t>
        </is>
      </c>
      <c r="B40" s="11" t="inlineStr">
        <is>
          <t>open</t>
        </is>
      </c>
      <c r="C40" s="11" t="inlineStr">
        <is>
          <t>tag</t>
        </is>
      </c>
      <c r="D40" s="11" t="inlineStr">
        <is>
          <t>2018-09-26</t>
        </is>
      </c>
      <c r="E40" s="11" t="n">
        <v>5</v>
      </c>
      <c r="F40" s="2" t="inlineStr">
        <is>
          <t>JUSTICE K. S. PUTTASWAMY (RETD.) versus UNION OF INDIA &amp; ORS.</t>
        </is>
      </c>
      <c r="G40" s="2" t="inlineStr">
        <is>
          <t>Mohd Saeed Siddiqui v State of Uttar Pradesh</t>
        </is>
      </c>
      <c r="H40" s="2" t="inlineStr">
        <is>
          <t>(2014) 11 SCC 415</t>
        </is>
      </c>
      <c r="I40" s="2" t="inlineStr">
        <is>
          <t>overruled</t>
        </is>
      </c>
      <c r="J40" s="11" t="inlineStr"/>
      <c r="K40" s="11" t="inlineStr">
        <is>
          <t>b2018_8_1_1076</t>
        </is>
      </c>
      <c r="L40" s="11" t="inlineStr">
        <is>
          <t>2026-10-07</t>
        </is>
      </c>
      <c r="M40" s="11" t="n"/>
      <c r="N40" s="11" t="inlineStr">
        <is>
          <t>found</t>
        </is>
      </c>
    </row>
    <row r="41">
      <c r="A41" s="11" t="inlineStr">
        <is>
          <t>P-0038</t>
        </is>
      </c>
      <c r="B41" s="11" t="inlineStr">
        <is>
          <t>open</t>
        </is>
      </c>
      <c r="C41" s="11" t="inlineStr">
        <is>
          <t>tag</t>
        </is>
      </c>
      <c r="D41" s="11" t="inlineStr">
        <is>
          <t>2018-09-26</t>
        </is>
      </c>
      <c r="E41" s="11" t="n">
        <v>5</v>
      </c>
      <c r="F41" s="2" t="inlineStr">
        <is>
          <t>JUSTICE K. S. PUTTASWAMY (RETD.) versus UNION OF INDIA &amp; ORS.</t>
        </is>
      </c>
      <c r="G41" s="2" t="inlineStr">
        <is>
          <t>Yogendra Kumar Jaiswal v State of Bihar</t>
        </is>
      </c>
      <c r="H41" s="2" t="inlineStr">
        <is>
          <t>(2016) 3 SCC 183</t>
        </is>
      </c>
      <c r="I41" s="2" t="inlineStr">
        <is>
          <t>overruled</t>
        </is>
      </c>
      <c r="J41" s="11" t="inlineStr"/>
      <c r="K41" s="11" t="inlineStr">
        <is>
          <t>b2018_8_1_1076</t>
        </is>
      </c>
      <c r="L41" s="11" t="inlineStr">
        <is>
          <t>2026-10-07</t>
        </is>
      </c>
      <c r="M41" s="11" t="n"/>
      <c r="N41" s="11" t="inlineStr">
        <is>
          <t>found</t>
        </is>
      </c>
    </row>
    <row r="42">
      <c r="A42" s="11" t="inlineStr">
        <is>
          <t>P-0039</t>
        </is>
      </c>
      <c r="B42" s="11" t="inlineStr">
        <is>
          <t>open</t>
        </is>
      </c>
      <c r="C42" s="11" t="inlineStr">
        <is>
          <t>tag</t>
        </is>
      </c>
      <c r="D42" s="11" t="inlineStr">
        <is>
          <t>2018-09-27</t>
        </is>
      </c>
      <c r="E42" s="11" t="n">
        <v>5</v>
      </c>
      <c r="F42" s="2" t="inlineStr">
        <is>
          <t>JOSEPH SHINE versus UNION OF INDIA</t>
        </is>
      </c>
      <c r="G42" s="2" t="inlineStr">
        <is>
          <t>Sowmithri Vishnu v. Union of India and another</t>
        </is>
      </c>
      <c r="H42" s="2" t="inlineStr">
        <is>
          <t>(1985) Supp SCC 137:[1985] Suppl. SCR 741</t>
        </is>
      </c>
      <c r="I42" s="2" t="inlineStr">
        <is>
          <t>overruled</t>
        </is>
      </c>
      <c r="J42" s="11" t="inlineStr">
        <is>
          <t>yes</t>
        </is>
      </c>
      <c r="K42" s="11" t="inlineStr">
        <is>
          <t>b2018_11_765_950</t>
        </is>
      </c>
      <c r="L42" s="11" t="inlineStr">
        <is>
          <t>2026-10-07</t>
        </is>
      </c>
      <c r="M42" s="11" t="n"/>
      <c r="N42" s="11" t="inlineStr">
        <is>
          <t>found</t>
        </is>
      </c>
    </row>
    <row r="43">
      <c r="A43" s="11" t="inlineStr">
        <is>
          <t>P-0040</t>
        </is>
      </c>
      <c r="B43" s="11" t="inlineStr">
        <is>
          <t>open</t>
        </is>
      </c>
      <c r="C43" s="11" t="inlineStr">
        <is>
          <t>tag</t>
        </is>
      </c>
      <c r="D43" s="11" t="inlineStr">
        <is>
          <t>2018-09-27</t>
        </is>
      </c>
      <c r="E43" s="11" t="n">
        <v>5</v>
      </c>
      <c r="F43" s="2" t="inlineStr">
        <is>
          <t>JOSEPH SHINE versus UNION OF INDIA</t>
        </is>
      </c>
      <c r="G43" s="2" t="inlineStr">
        <is>
          <t>V. Revathi v. Union of India and others</t>
        </is>
      </c>
      <c r="H43" s="2" t="inlineStr">
        <is>
          <t>(1988) 2 SCC 72 : [1988] 3 SCR 73</t>
        </is>
      </c>
      <c r="I43" s="2" t="inlineStr">
        <is>
          <t>overruled</t>
        </is>
      </c>
      <c r="J43" s="11" t="inlineStr">
        <is>
          <t>yes</t>
        </is>
      </c>
      <c r="K43" s="11" t="inlineStr">
        <is>
          <t>b2018_11_765_950</t>
        </is>
      </c>
      <c r="L43" s="11" t="inlineStr">
        <is>
          <t>2026-10-07</t>
        </is>
      </c>
      <c r="M43" s="11" t="n"/>
      <c r="N43" s="11" t="inlineStr">
        <is>
          <t>found</t>
        </is>
      </c>
    </row>
    <row r="44">
      <c r="A44" s="11" t="inlineStr">
        <is>
          <t>P-0041</t>
        </is>
      </c>
      <c r="B44" s="11" t="inlineStr">
        <is>
          <t>open</t>
        </is>
      </c>
      <c r="C44" s="11" t="inlineStr">
        <is>
          <t>tag</t>
        </is>
      </c>
      <c r="D44" s="11" t="inlineStr">
        <is>
          <t>2018-09-27</t>
        </is>
      </c>
      <c r="E44" s="11" t="n">
        <v>5</v>
      </c>
      <c r="F44" s="2" t="inlineStr">
        <is>
          <t>JOSEPH SHINE versus UNION OF INDIA</t>
        </is>
      </c>
      <c r="G44" s="2" t="inlineStr">
        <is>
          <t>Sowmithri Vishnu v. Union of India and Anr.</t>
        </is>
      </c>
      <c r="H44" s="2" t="inlineStr">
        <is>
          <t>(1985) Supp SCC 137:[1985] Suppl. SCR 741</t>
        </is>
      </c>
      <c r="I44" s="2" t="inlineStr">
        <is>
          <t>overruled</t>
        </is>
      </c>
      <c r="J44" s="11" t="inlineStr">
        <is>
          <t>yes</t>
        </is>
      </c>
      <c r="K44" s="11" t="inlineStr">
        <is>
          <t>b2018_11_765_950</t>
        </is>
      </c>
      <c r="L44" s="11" t="inlineStr">
        <is>
          <t>2026-10-07</t>
        </is>
      </c>
      <c r="M44" s="11" t="n"/>
      <c r="N44" s="11" t="inlineStr">
        <is>
          <t>found</t>
        </is>
      </c>
    </row>
    <row r="45">
      <c r="A45" s="11" t="inlineStr">
        <is>
          <t>P-0042</t>
        </is>
      </c>
      <c r="B45" s="11" t="inlineStr">
        <is>
          <t>open</t>
        </is>
      </c>
      <c r="C45" s="11" t="inlineStr">
        <is>
          <t>tag</t>
        </is>
      </c>
      <c r="D45" s="11" t="inlineStr">
        <is>
          <t>2018-09-27</t>
        </is>
      </c>
      <c r="E45" s="11" t="n">
        <v>5</v>
      </c>
      <c r="F45" s="2" t="inlineStr">
        <is>
          <t>JOSEPH SHINE versus UNION OF INDIA</t>
        </is>
      </c>
      <c r="G45" s="2" t="inlineStr">
        <is>
          <t>V. Revathi v. Union of India and Ors.</t>
        </is>
      </c>
      <c r="H45" s="2" t="inlineStr">
        <is>
          <t>(1988) 2 SCC 72 : [1988] 3 SCR 73</t>
        </is>
      </c>
      <c r="I45" s="2" t="inlineStr">
        <is>
          <t>overruled</t>
        </is>
      </c>
      <c r="J45" s="11" t="inlineStr">
        <is>
          <t>yes</t>
        </is>
      </c>
      <c r="K45" s="11" t="inlineStr">
        <is>
          <t>b2018_11_765_950</t>
        </is>
      </c>
      <c r="L45" s="11" t="inlineStr">
        <is>
          <t>2026-10-07</t>
        </is>
      </c>
      <c r="M45" s="11" t="n"/>
      <c r="N45" s="11" t="inlineStr">
        <is>
          <t>found</t>
        </is>
      </c>
    </row>
    <row r="46">
      <c r="A46" s="11" t="inlineStr">
        <is>
          <t>P-0043</t>
        </is>
      </c>
      <c r="B46" s="11" t="inlineStr">
        <is>
          <t>open</t>
        </is>
      </c>
      <c r="C46" s="11" t="inlineStr">
        <is>
          <t>tag</t>
        </is>
      </c>
      <c r="D46" s="11" t="inlineStr">
        <is>
          <t>2018-09-27</t>
        </is>
      </c>
      <c r="E46" s="11" t="n">
        <v>5</v>
      </c>
      <c r="F46" s="2" t="inlineStr">
        <is>
          <t>JOSEPH SHINE versus UNION OF INDIA</t>
        </is>
      </c>
      <c r="G46" s="2" t="inlineStr">
        <is>
          <t>*Sowmithri Vishnu v. Union of India 1985 Supp</t>
        </is>
      </c>
      <c r="H46" s="2" t="inlineStr">
        <is>
          <t>SCC 137:[1985] Suppl. SCR 741;**V Revathi v Union of India (1988) 2 SCC 72 : [1988] 3 SCR 73</t>
        </is>
      </c>
      <c r="I46" s="2" t="inlineStr">
        <is>
          <t>overruled</t>
        </is>
      </c>
      <c r="J46" s="11" t="inlineStr">
        <is>
          <t>yes</t>
        </is>
      </c>
      <c r="K46" s="11" t="inlineStr">
        <is>
          <t>b2018_11_765_950</t>
        </is>
      </c>
      <c r="L46" s="11" t="inlineStr">
        <is>
          <t>2026-10-07</t>
        </is>
      </c>
      <c r="M46" s="11" t="n"/>
      <c r="N46" s="11" t="inlineStr">
        <is>
          <t>found</t>
        </is>
      </c>
    </row>
    <row r="47">
      <c r="A47" s="11" t="inlineStr">
        <is>
          <t>P-0044</t>
        </is>
      </c>
      <c r="B47" s="11" t="inlineStr">
        <is>
          <t>open</t>
        </is>
      </c>
      <c r="C47" s="11" t="inlineStr">
        <is>
          <t>tag</t>
        </is>
      </c>
      <c r="D47" s="11" t="inlineStr">
        <is>
          <t>2018-09-27</t>
        </is>
      </c>
      <c r="E47" s="11" t="n">
        <v>5</v>
      </c>
      <c r="F47" s="2" t="inlineStr">
        <is>
          <t>JOSEPH SHINE versus UNION OF INDIA</t>
        </is>
      </c>
      <c r="G47" s="2" t="inlineStr">
        <is>
          <t>Sowmithri Vishnu v. Union of India &amp; Anr.</t>
        </is>
      </c>
      <c r="H47" s="2" t="inlineStr">
        <is>
          <t>(1985) Supp SCC 137 : [1985] Suppl. SCR 741</t>
        </is>
      </c>
      <c r="I47" s="2" t="inlineStr">
        <is>
          <t>overruled</t>
        </is>
      </c>
      <c r="J47" s="11" t="inlineStr">
        <is>
          <t>yes</t>
        </is>
      </c>
      <c r="K47" s="11" t="inlineStr">
        <is>
          <t>b2018_11_765_950</t>
        </is>
      </c>
      <c r="L47" s="11" t="inlineStr">
        <is>
          <t>2026-10-07</t>
        </is>
      </c>
      <c r="M47" s="11" t="n"/>
      <c r="N47" s="11" t="inlineStr">
        <is>
          <t>found</t>
        </is>
      </c>
    </row>
    <row r="48">
      <c r="A48" s="11" t="inlineStr">
        <is>
          <t>P-0045</t>
        </is>
      </c>
      <c r="B48" s="11" t="inlineStr">
        <is>
          <t>open</t>
        </is>
      </c>
      <c r="C48" s="11" t="inlineStr">
        <is>
          <t>tag</t>
        </is>
      </c>
      <c r="D48" s="11" t="inlineStr">
        <is>
          <t>2018-09-27</t>
        </is>
      </c>
      <c r="E48" s="11" t="n">
        <v>5</v>
      </c>
      <c r="F48" s="2" t="inlineStr">
        <is>
          <t>JOSEPH SHINE versus UNION OF INDIA</t>
        </is>
      </c>
      <c r="G48" s="2" t="inlineStr">
        <is>
          <t>V. Revathi v Union of India</t>
        </is>
      </c>
      <c r="H48" s="2" t="inlineStr">
        <is>
          <t>(1988) 2 SCC 72 : [1988] 3 SCR 73</t>
        </is>
      </c>
      <c r="I48" s="2" t="inlineStr">
        <is>
          <t>overruled</t>
        </is>
      </c>
      <c r="J48" s="11" t="inlineStr">
        <is>
          <t>yes</t>
        </is>
      </c>
      <c r="K48" s="11" t="inlineStr">
        <is>
          <t>b2018_11_765_950</t>
        </is>
      </c>
      <c r="L48" s="11" t="inlineStr">
        <is>
          <t>2026-10-07</t>
        </is>
      </c>
      <c r="M48" s="11" t="n"/>
      <c r="N48" s="11" t="inlineStr">
        <is>
          <t>found</t>
        </is>
      </c>
    </row>
    <row r="49">
      <c r="A49" s="11" t="inlineStr">
        <is>
          <t>P-0046</t>
        </is>
      </c>
      <c r="B49" s="11" t="inlineStr">
        <is>
          <t>open</t>
        </is>
      </c>
      <c r="C49" s="11" t="inlineStr">
        <is>
          <t>tag</t>
        </is>
      </c>
      <c r="D49" s="11" t="inlineStr">
        <is>
          <t>2018-09-27</t>
        </is>
      </c>
      <c r="E49" s="11" t="n">
        <v>5</v>
      </c>
      <c r="F49" s="2" t="inlineStr">
        <is>
          <t>JOSEPH SHINE versus UNION OF INDIA</t>
        </is>
      </c>
      <c r="G49" s="2" t="inlineStr">
        <is>
          <t>W. Kalyani v. State</t>
        </is>
      </c>
      <c r="H49" s="2" t="inlineStr">
        <is>
          <t>(2012) 1 SCC 358</t>
        </is>
      </c>
      <c r="I49" s="2" t="inlineStr">
        <is>
          <t>overruled</t>
        </is>
      </c>
      <c r="J49" s="11" t="inlineStr">
        <is>
          <t>yes</t>
        </is>
      </c>
      <c r="K49" s="11" t="inlineStr">
        <is>
          <t>b2018_11_765_950</t>
        </is>
      </c>
      <c r="L49" s="11" t="inlineStr">
        <is>
          <t>2026-10-07</t>
        </is>
      </c>
      <c r="M49" s="11" t="n"/>
      <c r="N49" s="11" t="inlineStr">
        <is>
          <t>found</t>
        </is>
      </c>
    </row>
    <row r="50">
      <c r="A50" s="11" t="inlineStr">
        <is>
          <t>P-0047</t>
        </is>
      </c>
      <c r="B50" s="11" t="inlineStr">
        <is>
          <t>open</t>
        </is>
      </c>
      <c r="C50" s="11" t="inlineStr">
        <is>
          <t>tag</t>
        </is>
      </c>
      <c r="D50" s="11" t="inlineStr">
        <is>
          <t>2018-09-28</t>
        </is>
      </c>
      <c r="E50" s="11" t="n">
        <v>5</v>
      </c>
      <c r="F50" s="2" t="inlineStr">
        <is>
          <t>INDIAN YOUNG LAWYERS ASSN. versus STATE OF KERALA 561 INDIAN YOUNG LAWYERS ASSOCIATION &amp; ORS.V. THE STATE OF KERALA &amp; ORS.</t>
        </is>
      </c>
      <c r="G50" s="2" t="inlineStr">
        <is>
          <t>The State of Bombay v Narasu Appa Mali</t>
        </is>
      </c>
      <c r="H50" s="2" t="inlineStr">
        <is>
          <t>AIR 1952 Bom 84</t>
        </is>
      </c>
      <c r="I50" s="2" t="inlineStr">
        <is>
          <t>disapproved</t>
        </is>
      </c>
      <c r="J50" s="11" t="inlineStr"/>
      <c r="K50" s="11" t="inlineStr">
        <is>
          <t>b2018_9_561_898</t>
        </is>
      </c>
      <c r="L50" s="11" t="inlineStr">
        <is>
          <t>2026-10-07</t>
        </is>
      </c>
      <c r="M50" s="11" t="n"/>
      <c r="N50" s="11" t="inlineStr">
        <is>
          <t>found</t>
        </is>
      </c>
    </row>
    <row r="51">
      <c r="A51" s="11" t="inlineStr">
        <is>
          <t>P-0048</t>
        </is>
      </c>
      <c r="B51" s="11" t="inlineStr">
        <is>
          <t>open</t>
        </is>
      </c>
      <c r="C51" s="11" t="inlineStr">
        <is>
          <t>tag</t>
        </is>
      </c>
      <c r="D51" s="11" t="inlineStr">
        <is>
          <t>2019-01-23</t>
        </is>
      </c>
      <c r="E51" s="11" t="n">
        <v>3</v>
      </c>
      <c r="F51" s="2" t="inlineStr">
        <is>
          <t>M/S. SHANTI CONDUCTORS (P) LTD. &amp; ANR. versus ASSAM STATE ELECTRICITY BOARD &amp; ORS.</t>
        </is>
      </c>
      <c r="G51" s="2" t="inlineStr">
        <is>
          <t>Purbanchal Cables and Conductors Private Limited v. Assam State Electricity Board and another</t>
        </is>
      </c>
      <c r="H51" s="2" t="inlineStr">
        <is>
          <t>(2012) 7 SCC 462 : [2012] 6 SCR 905</t>
        </is>
      </c>
      <c r="I51" s="2" t="inlineStr">
        <is>
          <t>not correct law</t>
        </is>
      </c>
      <c r="J51" s="11" t="inlineStr"/>
      <c r="K51" s="11" t="inlineStr">
        <is>
          <t>b2019_1_489_532</t>
        </is>
      </c>
      <c r="L51" s="11" t="inlineStr">
        <is>
          <t>2026-10-07</t>
        </is>
      </c>
      <c r="M51" s="11" t="n"/>
      <c r="N51" s="11" t="inlineStr">
        <is>
          <t>found</t>
        </is>
      </c>
    </row>
    <row r="52">
      <c r="A52" s="11" t="inlineStr">
        <is>
          <t>P-0049</t>
        </is>
      </c>
      <c r="B52" s="11" t="inlineStr">
        <is>
          <t>open</t>
        </is>
      </c>
      <c r="C52" s="11" t="inlineStr">
        <is>
          <t>tag</t>
        </is>
      </c>
      <c r="D52" s="11" t="inlineStr">
        <is>
          <t>2019-02-20</t>
        </is>
      </c>
      <c r="E52" s="11" t="n">
        <v>3</v>
      </c>
      <c r="F52" s="2" t="inlineStr">
        <is>
          <t>PR. COMMISSIONER OF INCOME TAX SHIMLA versus M/S AARHAM SOFTRONICS</t>
        </is>
      </c>
      <c r="G52" s="2" t="inlineStr">
        <is>
          <t>Commissioner of Income Tax v. M/s. Classic Binding Industries</t>
        </is>
      </c>
      <c r="H52" s="2" t="inlineStr">
        <is>
          <t>(2018) 9 SCC 753</t>
        </is>
      </c>
      <c r="I52" s="2" t="inlineStr">
        <is>
          <t>held not correct law</t>
        </is>
      </c>
      <c r="J52" s="11" t="inlineStr"/>
      <c r="K52" s="11" t="inlineStr">
        <is>
          <t>b2019_4_409_432</t>
        </is>
      </c>
      <c r="L52" s="11" t="inlineStr">
        <is>
          <t>2026-10-07</t>
        </is>
      </c>
      <c r="M52" s="11" t="n"/>
      <c r="N52" s="11" t="inlineStr">
        <is>
          <t>found</t>
        </is>
      </c>
    </row>
    <row r="53">
      <c r="A53" s="11" t="inlineStr">
        <is>
          <t>P-0050</t>
        </is>
      </c>
      <c r="B53" s="11" t="inlineStr">
        <is>
          <t>open</t>
        </is>
      </c>
      <c r="C53" s="11" t="inlineStr">
        <is>
          <t>tag</t>
        </is>
      </c>
      <c r="D53" s="11" t="inlineStr">
        <is>
          <t>2019-03-01</t>
        </is>
      </c>
      <c r="E53" s="11" t="n">
        <v>3</v>
      </c>
      <c r="F53" s="2" t="inlineStr">
        <is>
          <t>M/S. VIJAY INDUSTRIES versus COMMISSIONER OF INCOME TAX</t>
        </is>
      </c>
      <c r="G53" s="2" t="inlineStr">
        <is>
          <t>M/S. VIJAY INDUSTRIES v. COMMISSIONER OF INCOME TAX SUPREME COURT REPORTS</t>
        </is>
      </c>
      <c r="H53" s="2" t="inlineStr">
        <is>
          <t>[2019] 4 S.C.R. Motilal Pesticides (I) Pvt. Ltd. v. Commissioner of Income Tax, Delhi-II (2000) 9 SCC 63</t>
        </is>
      </c>
      <c r="I53" s="2" t="inlineStr">
        <is>
          <t>overruled</t>
        </is>
      </c>
      <c r="J53" s="11" t="inlineStr">
        <is>
          <t>yes</t>
        </is>
      </c>
      <c r="K53" s="11" t="inlineStr">
        <is>
          <t>b2019_4_928_944</t>
        </is>
      </c>
      <c r="L53" s="11" t="inlineStr">
        <is>
          <t>2026-10-07</t>
        </is>
      </c>
      <c r="M53" s="11" t="n"/>
      <c r="N53" s="11" t="inlineStr">
        <is>
          <t>found</t>
        </is>
      </c>
    </row>
    <row r="54">
      <c r="A54" s="11" t="inlineStr">
        <is>
          <t>P-0051</t>
        </is>
      </c>
      <c r="B54" s="11" t="inlineStr">
        <is>
          <t>open</t>
        </is>
      </c>
      <c r="C54" s="11" t="inlineStr">
        <is>
          <t>sentence</t>
        </is>
      </c>
      <c r="D54" s="11" t="inlineStr">
        <is>
          <t>2019-03-12</t>
        </is>
      </c>
      <c r="E54" s="11" t="n">
        <v>3</v>
      </c>
      <c r="F54" s="2" t="inlineStr">
        <is>
          <t>STATE OF WEST BENGAL &amp; ORS. versus DR. TONMOY MONDAL</t>
        </is>
      </c>
      <c r="G54" s="2" t="n"/>
      <c r="H54" s="2" t="n"/>
      <c r="I54" s="2" t="inlineStr">
        <is>
          <t>So it is that relaxation on merit, by overruling STATE OF WEST BENGAL &amp; ORS. v. DR. TONMOY MONDAL SUPREME COURT REPORTS [2019] 5 S.C.R. equality and quality altogether, is a social risk where the stage is postgraduate or postdoctoral. 34.</t>
        </is>
      </c>
      <c r="J54" s="11" t="inlineStr"/>
      <c r="K54" s="11" t="inlineStr">
        <is>
          <t>b2019_5_1049_1059</t>
        </is>
      </c>
      <c r="L54" s="11" t="inlineStr">
        <is>
          <t>2026-10-07</t>
        </is>
      </c>
      <c r="M54" s="11" t="n"/>
      <c r="N54" s="11" t="inlineStr">
        <is>
          <t>found</t>
        </is>
      </c>
    </row>
    <row r="55">
      <c r="A55" s="11" t="inlineStr">
        <is>
          <t>P-0052</t>
        </is>
      </c>
      <c r="B55" s="11" t="inlineStr">
        <is>
          <t>open</t>
        </is>
      </c>
      <c r="C55" s="11" t="inlineStr">
        <is>
          <t>tag</t>
        </is>
      </c>
      <c r="D55" s="11" t="inlineStr">
        <is>
          <t>2019-07-09</t>
        </is>
      </c>
      <c r="E55" s="11" t="n">
        <v>3</v>
      </c>
      <c r="F55" s="2" t="inlineStr">
        <is>
          <t>STATE OF MADHYA PRADESH AND OTHERS  versus LAFARGE DEALERS ASSOCIATION AND OTHERS</t>
        </is>
      </c>
      <c r="G55" s="2" t="inlineStr">
        <is>
          <t>Commissioner of Commercial Taxes, Ranchi and Another v. Swarm Rekha Cokes and Coals Pvt. Ltd.</t>
        </is>
      </c>
      <c r="H55" s="2" t="inlineStr">
        <is>
          <t>(2004) 6 SCC 689 : [2004] 2 Suppl. SCR 633</t>
        </is>
      </c>
      <c r="I55" s="2" t="inlineStr">
        <is>
          <t>overruled</t>
        </is>
      </c>
      <c r="J55" s="11" t="inlineStr"/>
      <c r="K55" s="11" t="inlineStr">
        <is>
          <t>b2019_18_924_956</t>
        </is>
      </c>
      <c r="L55" s="11" t="inlineStr">
        <is>
          <t>2026-10-07</t>
        </is>
      </c>
      <c r="M55" s="11" t="n"/>
      <c r="N55" s="11" t="inlineStr">
        <is>
          <t>found</t>
        </is>
      </c>
    </row>
    <row r="56">
      <c r="A56" s="11" t="inlineStr">
        <is>
          <t>P-0053</t>
        </is>
      </c>
      <c r="B56" s="11" t="inlineStr">
        <is>
          <t>open</t>
        </is>
      </c>
      <c r="C56" s="11" t="inlineStr">
        <is>
          <t>tag</t>
        </is>
      </c>
      <c r="D56" s="11" t="inlineStr">
        <is>
          <t>2019-08-07</t>
        </is>
      </c>
      <c r="E56" s="11" t="n">
        <v>3</v>
      </c>
      <c r="F56" s="2" t="inlineStr">
        <is>
          <t>RAVINDER KAUR GREWAL &amp; ORS versus MANJIT KAUR &amp; ORS.</t>
        </is>
      </c>
      <c r="G56" s="2" t="inlineStr">
        <is>
          <t>Gurudwara Sahab v. Gram Panchayat Village Sirthala</t>
        </is>
      </c>
      <c r="H56" s="2" t="inlineStr">
        <is>
          <t>(2014) 1 SCC 669</t>
        </is>
      </c>
      <c r="I56" s="2" t="inlineStr">
        <is>
          <t>overruled</t>
        </is>
      </c>
      <c r="J56" s="11" t="inlineStr">
        <is>
          <t>yes</t>
        </is>
      </c>
      <c r="K56" s="11" t="inlineStr">
        <is>
          <t>b2019_11_74_134</t>
        </is>
      </c>
      <c r="L56" s="11" t="inlineStr">
        <is>
          <t>2026-10-07</t>
        </is>
      </c>
      <c r="M56" s="11" t="n"/>
      <c r="N56" s="11" t="inlineStr">
        <is>
          <t>found</t>
        </is>
      </c>
    </row>
    <row r="57">
      <c r="A57" s="11" t="inlineStr">
        <is>
          <t>P-0054</t>
        </is>
      </c>
      <c r="B57" s="11" t="inlineStr">
        <is>
          <t>open</t>
        </is>
      </c>
      <c r="C57" s="11" t="inlineStr">
        <is>
          <t>tag</t>
        </is>
      </c>
      <c r="D57" s="11" t="inlineStr">
        <is>
          <t>2019-08-07</t>
        </is>
      </c>
      <c r="E57" s="11" t="n">
        <v>3</v>
      </c>
      <c r="F57" s="2" t="inlineStr">
        <is>
          <t>RAVINDER KAUR GREWAL &amp; ORS versus MANJIT KAUR &amp; ORS.</t>
        </is>
      </c>
      <c r="G57" s="2" t="inlineStr">
        <is>
          <t>State of Uttarakhand v. Mandir Sri Laxman Sidh Maharaj</t>
        </is>
      </c>
      <c r="H57" s="2" t="inlineStr">
        <is>
          <t>(2017) 9 SCC 579 : [2017] 14 SCR 257</t>
        </is>
      </c>
      <c r="I57" s="2" t="inlineStr">
        <is>
          <t>overruled</t>
        </is>
      </c>
      <c r="J57" s="11" t="inlineStr">
        <is>
          <t>yes</t>
        </is>
      </c>
      <c r="K57" s="11" t="inlineStr">
        <is>
          <t>b2019_11_74_134</t>
        </is>
      </c>
      <c r="L57" s="11" t="inlineStr">
        <is>
          <t>2026-10-07</t>
        </is>
      </c>
      <c r="M57" s="11" t="n"/>
      <c r="N57" s="11" t="inlineStr">
        <is>
          <t>found</t>
        </is>
      </c>
    </row>
    <row r="58">
      <c r="A58" s="11" t="inlineStr">
        <is>
          <t>P-0055</t>
        </is>
      </c>
      <c r="B58" s="11" t="inlineStr">
        <is>
          <t>open</t>
        </is>
      </c>
      <c r="C58" s="11" t="inlineStr">
        <is>
          <t>tag</t>
        </is>
      </c>
      <c r="D58" s="11" t="inlineStr">
        <is>
          <t>2019-08-07</t>
        </is>
      </c>
      <c r="E58" s="11" t="n">
        <v>3</v>
      </c>
      <c r="F58" s="2" t="inlineStr">
        <is>
          <t>RAVINDER KAUR GREWAL &amp; ORS versus MANJIT KAUR &amp; ORS.</t>
        </is>
      </c>
      <c r="G58" s="2" t="inlineStr">
        <is>
          <t>Dharampal (Dead) through LRs v. Punjab Wakf Board</t>
        </is>
      </c>
      <c r="H58" s="2" t="inlineStr">
        <is>
          <t>(2018) 11 SCC 449 : [2017] 8 SCR 316</t>
        </is>
      </c>
      <c r="I58" s="2" t="inlineStr">
        <is>
          <t>overruled</t>
        </is>
      </c>
      <c r="J58" s="11" t="inlineStr">
        <is>
          <t>yes</t>
        </is>
      </c>
      <c r="K58" s="11" t="inlineStr">
        <is>
          <t>b2019_11_74_134</t>
        </is>
      </c>
      <c r="L58" s="11" t="inlineStr">
        <is>
          <t>2026-10-07</t>
        </is>
      </c>
      <c r="M58" s="11" t="n"/>
      <c r="N58" s="11" t="inlineStr">
        <is>
          <t>found</t>
        </is>
      </c>
    </row>
    <row r="59">
      <c r="A59" s="11" t="inlineStr">
        <is>
          <t>P-0056</t>
        </is>
      </c>
      <c r="B59" s="11" t="inlineStr">
        <is>
          <t>open</t>
        </is>
      </c>
      <c r="C59" s="11" t="inlineStr">
        <is>
          <t>tag</t>
        </is>
      </c>
      <c r="D59" s="11" t="inlineStr">
        <is>
          <t>2019-08-09</t>
        </is>
      </c>
      <c r="E59" s="11" t="n">
        <v>3</v>
      </c>
      <c r="F59" s="2" t="inlineStr">
        <is>
          <t>PIONEER URBAN LAND AND INFRASTRUCTURE LIMITED &amp; ANR. versus UNION OF INDIA &amp; ORS.</t>
        </is>
      </c>
      <c r="G59" s="2" t="inlineStr">
        <is>
          <t>Krishi Utpadan Mandi Samiti v. Shankar Industries</t>
        </is>
      </c>
      <c r="H59" s="2" t="inlineStr">
        <is>
          <t>(1993) 3 Suppl. SCC 361 : [1993] 1 SCR 1037</t>
        </is>
      </c>
      <c r="I59" s="2" t="inlineStr">
        <is>
          <t>held not a good law</t>
        </is>
      </c>
      <c r="J59" s="11" t="inlineStr"/>
      <c r="K59" s="11" t="inlineStr">
        <is>
          <t>b2019_10_381_530</t>
        </is>
      </c>
      <c r="L59" s="11" t="inlineStr">
        <is>
          <t>2026-10-07</t>
        </is>
      </c>
      <c r="M59" s="11" t="n"/>
      <c r="N59" s="11" t="inlineStr">
        <is>
          <t>found</t>
        </is>
      </c>
    </row>
    <row r="60">
      <c r="A60" s="11" t="inlineStr">
        <is>
          <t>P-0057</t>
        </is>
      </c>
      <c r="B60" s="11" t="inlineStr">
        <is>
          <t>open</t>
        </is>
      </c>
      <c r="C60" s="11" t="inlineStr">
        <is>
          <t>tag</t>
        </is>
      </c>
      <c r="D60" s="11" t="inlineStr">
        <is>
          <t>2019-08-27</t>
        </is>
      </c>
      <c r="E60" s="11" t="n">
        <v>3</v>
      </c>
      <c r="F60" s="2" t="inlineStr">
        <is>
          <t>COMMISSIONER OF INCOME TAX, KARNAL (HARYANA) versus M/S CARPET INDIA, PANIPAT (HARYANA)</t>
        </is>
      </c>
      <c r="G60" s="2" t="inlineStr">
        <is>
          <t>C.I.T. v. Satish Kumar Gupta (C.A. No. 6437/2012) decided on 12.09.2012</t>
        </is>
      </c>
      <c r="H60" s="2" t="inlineStr"/>
      <c r="I60" s="2" t="inlineStr">
        <is>
          <t>overruled</t>
        </is>
      </c>
      <c r="J60" s="11" t="inlineStr"/>
      <c r="K60" s="11" t="inlineStr">
        <is>
          <t>b2019_12_607_617</t>
        </is>
      </c>
      <c r="L60" s="11" t="inlineStr">
        <is>
          <t>2026-10-07</t>
        </is>
      </c>
      <c r="M60" s="11" t="n"/>
      <c r="N60" s="11" t="inlineStr">
        <is>
          <t>found</t>
        </is>
      </c>
    </row>
    <row r="61">
      <c r="A61" s="11" t="inlineStr">
        <is>
          <t>P-0058</t>
        </is>
      </c>
      <c r="B61" s="11" t="inlineStr">
        <is>
          <t>open</t>
        </is>
      </c>
      <c r="C61" s="11" t="inlineStr">
        <is>
          <t>sentence</t>
        </is>
      </c>
      <c r="D61" s="11" t="inlineStr">
        <is>
          <t>2019-09-05</t>
        </is>
      </c>
      <c r="E61" s="11" t="n">
        <v>3</v>
      </c>
      <c r="F61" s="2" t="inlineStr">
        <is>
          <t>M/S MAYAVTI TRADING PVT. LTD. versus PRADYUAT DEB BURMAN</t>
        </is>
      </c>
      <c r="G61" s="2" t="n"/>
      <c r="H61" s="2" t="n"/>
      <c r="I61" s="2" t="inlineStr">
        <is>
          <t>Ltd. v. Rani Construction (P) Ltd. [(2002) 2 SCC 388] is overruled.” 16.</t>
        </is>
      </c>
      <c r="J61" s="11" t="inlineStr"/>
      <c r="K61" s="11" t="inlineStr">
        <is>
          <t>b2019_12_123_136</t>
        </is>
      </c>
      <c r="L61" s="11" t="inlineStr">
        <is>
          <t>2026-10-07</t>
        </is>
      </c>
      <c r="M61" s="11" t="n"/>
      <c r="N61" s="11" t="inlineStr">
        <is>
          <t>found</t>
        </is>
      </c>
    </row>
    <row r="62">
      <c r="A62" s="11" t="inlineStr">
        <is>
          <t>P-0059</t>
        </is>
      </c>
      <c r="B62" s="11" t="inlineStr">
        <is>
          <t>open</t>
        </is>
      </c>
      <c r="C62" s="11" t="inlineStr">
        <is>
          <t>tag</t>
        </is>
      </c>
      <c r="D62" s="11" t="inlineStr">
        <is>
          <t>2019-09-16</t>
        </is>
      </c>
      <c r="E62" s="11" t="n">
        <v>3</v>
      </c>
      <c r="F62" s="2" t="inlineStr">
        <is>
          <t>HUDA versus VIDYA CHETAL</t>
        </is>
      </c>
      <c r="G62" s="2" t="inlineStr">
        <is>
          <t>HUDA v. Sunita</t>
        </is>
      </c>
      <c r="H62" s="2" t="inlineStr">
        <is>
          <t>(2005) 2 SCC 479</t>
        </is>
      </c>
      <c r="I62" s="2" t="inlineStr">
        <is>
          <t>overruled</t>
        </is>
      </c>
      <c r="J62" s="11" t="inlineStr"/>
      <c r="K62" s="11" t="inlineStr">
        <is>
          <t>b2019_12_516_531</t>
        </is>
      </c>
      <c r="L62" s="11" t="inlineStr">
        <is>
          <t>2026-10-07</t>
        </is>
      </c>
      <c r="M62" s="11" t="n"/>
      <c r="N62" s="11" t="inlineStr">
        <is>
          <t>found</t>
        </is>
      </c>
    </row>
    <row r="63">
      <c r="A63" s="11" t="inlineStr">
        <is>
          <t>P-0060</t>
        </is>
      </c>
      <c r="B63" s="11" t="inlineStr">
        <is>
          <t>open</t>
        </is>
      </c>
      <c r="C63" s="11" t="inlineStr">
        <is>
          <t>tag</t>
        </is>
      </c>
      <c r="D63" s="11" t="inlineStr">
        <is>
          <t>2019-09-18</t>
        </is>
      </c>
      <c r="E63" s="11" t="n">
        <v>3</v>
      </c>
      <c r="F63" s="2" t="inlineStr">
        <is>
          <t>VASANT GANPAT PADAVE (D) BY LRS. &amp; ORS . versus ANANT MAHADEV SAWANT (D) THROUGH LRS. &amp; ORS</t>
        </is>
      </c>
      <c r="G63" s="2" t="inlineStr">
        <is>
          <t>Appa Narsappa v. Akubai Ganapati</t>
        </is>
      </c>
      <c r="H63" s="2" t="inlineStr">
        <is>
          <t>(1999) 4 SCC 453</t>
        </is>
      </c>
      <c r="I63" s="2" t="inlineStr">
        <is>
          <t>overruled</t>
        </is>
      </c>
      <c r="J63" s="11" t="inlineStr"/>
      <c r="K63" s="11" t="inlineStr">
        <is>
          <t>b2019_15_569_630</t>
        </is>
      </c>
      <c r="L63" s="11" t="inlineStr">
        <is>
          <t>2026-10-07</t>
        </is>
      </c>
      <c r="M63" s="11" t="n"/>
      <c r="N63" s="11" t="inlineStr">
        <is>
          <t>found</t>
        </is>
      </c>
    </row>
    <row r="64">
      <c r="A64" s="11" t="inlineStr">
        <is>
          <t>P-0061</t>
        </is>
      </c>
      <c r="B64" s="11" t="inlineStr">
        <is>
          <t>open</t>
        </is>
      </c>
      <c r="C64" s="11" t="inlineStr">
        <is>
          <t>tag</t>
        </is>
      </c>
      <c r="D64" s="11" t="inlineStr">
        <is>
          <t>2019-09-18</t>
        </is>
      </c>
      <c r="E64" s="11" t="n">
        <v>3</v>
      </c>
      <c r="F64" s="2" t="inlineStr">
        <is>
          <t>VASANT GANPAT PADAVE (D) BY LRS. &amp; ORS . versus ANANT MAHADEV SAWANT (D) THROUGH LRS. &amp; ORS</t>
        </is>
      </c>
      <c r="G64" s="2" t="inlineStr">
        <is>
          <t>Tukaram Maruti Chavan v. Maruti Narayan Chavan</t>
        </is>
      </c>
      <c r="H64" s="2" t="inlineStr">
        <is>
          <t>(2008) 9 SCC 358 : [2008] 13 SCR 508</t>
        </is>
      </c>
      <c r="I64" s="2" t="inlineStr">
        <is>
          <t>partly overruled</t>
        </is>
      </c>
      <c r="J64" s="11" t="inlineStr"/>
      <c r="K64" s="11" t="inlineStr">
        <is>
          <t>b2019_15_569_630</t>
        </is>
      </c>
      <c r="L64" s="11" t="inlineStr">
        <is>
          <t>2026-10-07</t>
        </is>
      </c>
      <c r="M64" s="11" t="n"/>
      <c r="N64" s="11" t="inlineStr">
        <is>
          <t>found</t>
        </is>
      </c>
    </row>
    <row r="65">
      <c r="A65" s="11" t="inlineStr">
        <is>
          <t>P-0062</t>
        </is>
      </c>
      <c r="B65" s="11" t="inlineStr">
        <is>
          <t>open</t>
        </is>
      </c>
      <c r="C65" s="11" t="inlineStr">
        <is>
          <t>sentence</t>
        </is>
      </c>
      <c r="D65" s="11" t="inlineStr">
        <is>
          <t>2019-09-24</t>
        </is>
      </c>
      <c r="E65" s="11" t="n">
        <v>3</v>
      </c>
      <c r="F65" s="2" t="inlineStr">
        <is>
          <t>NEVADA PROPERTIES PRIVATE LIMITED THROUGH ITS DIRECTOR versus STATE OF MAHARASHTRA AND ANR.</t>
        </is>
      </c>
      <c r="G65" s="2" t="n"/>
      <c r="H65" s="2" t="n"/>
      <c r="I65" s="2" t="inlineStr">
        <is>
          <t>According to the majority judgment, earlier decision of the Division Bench of the same High Court in Kishore Shankar Signapurkar v. State of Maharashtra and Others1 lays down the correct ratio and the contrary view expressed in M/s. Bombay Science and Research Education Institute v. The State of Maharashtra and Others2 does not lay down the correct law.</t>
        </is>
      </c>
      <c r="J65" s="11" t="inlineStr"/>
      <c r="K65" s="11" t="inlineStr">
        <is>
          <t>b2019_15_223_257</t>
        </is>
      </c>
      <c r="L65" s="11" t="inlineStr">
        <is>
          <t>2026-10-07</t>
        </is>
      </c>
      <c r="M65" s="11" t="n"/>
      <c r="N65" s="11" t="inlineStr">
        <is>
          <t>found</t>
        </is>
      </c>
    </row>
    <row r="66">
      <c r="A66" s="11" t="inlineStr">
        <is>
          <t>P-0063</t>
        </is>
      </c>
      <c r="B66" s="11" t="inlineStr">
        <is>
          <t>open</t>
        </is>
      </c>
      <c r="C66" s="11" t="inlineStr">
        <is>
          <t>sentence</t>
        </is>
      </c>
      <c r="D66" s="11" t="inlineStr">
        <is>
          <t>2019-09-24</t>
        </is>
      </c>
      <c r="E66" s="11" t="n">
        <v>3</v>
      </c>
      <c r="F66" s="2" t="inlineStr">
        <is>
          <t>NEVADA PROPERTIES PRIVATE LIMITED THROUGH ITS DIRECTOR versus STATE OF MAHARASHTRA AND ANR.</t>
        </is>
      </c>
      <c r="G66" s="2" t="n"/>
      <c r="H66" s="2" t="n"/>
      <c r="I66" s="2" t="inlineStr">
        <is>
          <t>The minority view holds that the police officer has power to seize any property, whether movable or immovable, under Section 102 of the Code and the decision of the Division Bench in M/s. Bombay Science and Research Education Institute (supra) lays down the correct law and the ratio in Kishore Shankar Signapurkar (supra) is not good law. 1 1997 Vol.IV L J 793 2 2008 All M.R. (Crl.) 2133 NEVADA PRO</t>
        </is>
      </c>
      <c r="J66" s="11" t="inlineStr"/>
      <c r="K66" s="11" t="inlineStr">
        <is>
          <t>b2019_15_223_257</t>
        </is>
      </c>
      <c r="L66" s="11" t="inlineStr">
        <is>
          <t>2026-10-07</t>
        </is>
      </c>
      <c r="M66" s="11" t="n"/>
      <c r="N66" s="11" t="inlineStr">
        <is>
          <t>found</t>
        </is>
      </c>
    </row>
    <row r="67">
      <c r="A67" s="11" t="inlineStr">
        <is>
          <t>P-0064</t>
        </is>
      </c>
      <c r="B67" s="11" t="inlineStr">
        <is>
          <t>open</t>
        </is>
      </c>
      <c r="C67" s="11" t="inlineStr">
        <is>
          <t>sentence</t>
        </is>
      </c>
      <c r="D67" s="11" t="inlineStr">
        <is>
          <t>2019-10-03</t>
        </is>
      </c>
      <c r="E67" s="11" t="n">
        <v>3</v>
      </c>
      <c r="F67" s="2" t="inlineStr">
        <is>
          <t>RAVISHANKAR @ BABA VISHWAKARMA versus THE STATE OF MADHYA PRADESH</t>
        </is>
      </c>
      <c r="G67" s="2" t="n"/>
      <c r="H67" s="2" t="n"/>
      <c r="I67" s="2" t="inlineStr">
        <is>
          <t>We are, therefore, not in agreement with the opinion expressed by this Court in Sangeet v. State of Haryana [Sangeet v. State of Haryana, (2013) 2 SCC 452 : (2013) 2 SCC (Cri) 611] that the deprival of remission power of the appropriate Government by awarding sentences of 20 or 25 years or without any remission as not permissible is not in consonance with the law and we specifically overrule the s</t>
        </is>
      </c>
      <c r="J67" s="11" t="inlineStr"/>
      <c r="K67" s="11" t="inlineStr">
        <is>
          <t>b2019_14_285_311</t>
        </is>
      </c>
      <c r="L67" s="11" t="inlineStr">
        <is>
          <t>2026-10-07</t>
        </is>
      </c>
      <c r="M67" s="11" t="n"/>
      <c r="N67" s="11" t="inlineStr">
        <is>
          <t>found</t>
        </is>
      </c>
    </row>
    <row r="68">
      <c r="A68" s="11" t="inlineStr">
        <is>
          <t>P-0065</t>
        </is>
      </c>
      <c r="B68" s="11" t="inlineStr">
        <is>
          <t>open</t>
        </is>
      </c>
      <c r="C68" s="11" t="inlineStr">
        <is>
          <t>tag</t>
        </is>
      </c>
      <c r="D68" s="11" t="inlineStr">
        <is>
          <t>2019-10-04</t>
        </is>
      </c>
      <c r="E68" s="11" t="n">
        <v>3</v>
      </c>
      <c r="F68" s="2" t="inlineStr">
        <is>
          <t>NUSLI NEVILLE WADIA versus IVORY PROPERTIES &amp; ORS.</t>
        </is>
      </c>
      <c r="G68" s="2" t="inlineStr">
        <is>
          <t>Foreshore Cooperative Housing Society Limited v. Praveen D. Desai (Dead) through Legal Representatives and others</t>
        </is>
      </c>
      <c r="H68" s="2" t="inlineStr">
        <is>
          <t>(2015) 6 SCC 412 : [2015] 5 SCR 1075</t>
        </is>
      </c>
      <c r="I68" s="2" t="inlineStr">
        <is>
          <t>not correct law</t>
        </is>
      </c>
      <c r="J68" s="11" t="inlineStr">
        <is>
          <t>yes</t>
        </is>
      </c>
      <c r="K68" s="11" t="inlineStr">
        <is>
          <t>b2019_15_795_864</t>
        </is>
      </c>
      <c r="L68" s="11" t="inlineStr">
        <is>
          <t>2026-10-07</t>
        </is>
      </c>
      <c r="M68" s="11" t="n"/>
      <c r="N68" s="11" t="inlineStr">
        <is>
          <t>found</t>
        </is>
      </c>
    </row>
    <row r="69">
      <c r="A69" s="11" t="inlineStr">
        <is>
          <t>P-0066</t>
        </is>
      </c>
      <c r="B69" s="11" t="inlineStr">
        <is>
          <t>open</t>
        </is>
      </c>
      <c r="C69" s="11" t="inlineStr">
        <is>
          <t>tag</t>
        </is>
      </c>
      <c r="D69" s="11" t="inlineStr">
        <is>
          <t>2019-10-04</t>
        </is>
      </c>
      <c r="E69" s="11" t="n">
        <v>3</v>
      </c>
      <c r="F69" s="2" t="inlineStr">
        <is>
          <t>NUSLI NEVILLE WADIA versus IVORY PROPERTIES &amp; ORS.</t>
        </is>
      </c>
      <c r="G69" s="2" t="inlineStr">
        <is>
          <t>Foreshore Cooperative Housing Society Limited v. Praveen D. Desai</t>
        </is>
      </c>
      <c r="H69" s="2" t="inlineStr">
        <is>
          <t>(2009) 1 AIR Bom R 477</t>
        </is>
      </c>
      <c r="I69" s="2" t="inlineStr">
        <is>
          <t>not correct law</t>
        </is>
      </c>
      <c r="J69" s="11" t="inlineStr"/>
      <c r="K69" s="11" t="inlineStr">
        <is>
          <t>b2019_15_795_864</t>
        </is>
      </c>
      <c r="L69" s="11" t="inlineStr">
        <is>
          <t>2026-10-07</t>
        </is>
      </c>
      <c r="M69" s="11" t="n"/>
      <c r="N69" s="11" t="inlineStr">
        <is>
          <t>found</t>
        </is>
      </c>
    </row>
    <row r="70">
      <c r="A70" s="11" t="inlineStr">
        <is>
          <t>P-0067</t>
        </is>
      </c>
      <c r="B70" s="11" t="inlineStr">
        <is>
          <t>open</t>
        </is>
      </c>
      <c r="C70" s="11" t="inlineStr">
        <is>
          <t>tag</t>
        </is>
      </c>
      <c r="D70" s="11" t="inlineStr">
        <is>
          <t>2019-10-04</t>
        </is>
      </c>
      <c r="E70" s="11" t="n">
        <v>3</v>
      </c>
      <c r="F70" s="2" t="inlineStr">
        <is>
          <t>NUSLI NEVILLE WADIA versus IVORY PROPERTIES &amp; ORS.</t>
        </is>
      </c>
      <c r="G70" s="2" t="inlineStr">
        <is>
          <t>Royal Palms (India) P. Ltd. v. Bharat Shah</t>
        </is>
      </c>
      <c r="H70" s="2" t="inlineStr">
        <is>
          <t>(2009) 2 Bom CR 622</t>
        </is>
      </c>
      <c r="I70" s="2" t="inlineStr">
        <is>
          <t>not correct law</t>
        </is>
      </c>
      <c r="J70" s="11" t="inlineStr"/>
      <c r="K70" s="11" t="inlineStr">
        <is>
          <t>b2019_15_795_864</t>
        </is>
      </c>
      <c r="L70" s="11" t="inlineStr">
        <is>
          <t>2026-10-07</t>
        </is>
      </c>
      <c r="M70" s="11" t="n"/>
      <c r="N70" s="11" t="inlineStr">
        <is>
          <t>found</t>
        </is>
      </c>
    </row>
    <row r="71">
      <c r="A71" s="11" t="inlineStr">
        <is>
          <t>P-0068</t>
        </is>
      </c>
      <c r="B71" s="11" t="inlineStr">
        <is>
          <t>open</t>
        </is>
      </c>
      <c r="C71" s="11" t="inlineStr">
        <is>
          <t>tag</t>
        </is>
      </c>
      <c r="D71" s="11" t="inlineStr">
        <is>
          <t>2019-10-04</t>
        </is>
      </c>
      <c r="E71" s="11" t="n">
        <v>3</v>
      </c>
      <c r="F71" s="2" t="inlineStr">
        <is>
          <t>NUSLI NEVILLE WADIA versus IVORY PROPERTIES &amp; ORS.</t>
        </is>
      </c>
      <c r="G71" s="2" t="inlineStr">
        <is>
          <t>Mukund Ltd. v. MIAL</t>
        </is>
      </c>
      <c r="H71" s="2" t="inlineStr">
        <is>
          <t>(2011) 2 Mh.L.J. 936, Jagshi Shah v. Shaan Builders, (2012) 3 Bom CR 770</t>
        </is>
      </c>
      <c r="I71" s="2" t="inlineStr">
        <is>
          <t>not correct law</t>
        </is>
      </c>
      <c r="J71" s="11" t="inlineStr"/>
      <c r="K71" s="11" t="inlineStr">
        <is>
          <t>b2019_15_795_864</t>
        </is>
      </c>
      <c r="L71" s="11" t="inlineStr">
        <is>
          <t>2026-10-07</t>
        </is>
      </c>
      <c r="M71" s="11" t="n"/>
      <c r="N71" s="11" t="inlineStr">
        <is>
          <t>found</t>
        </is>
      </c>
    </row>
    <row r="72">
      <c r="A72" s="11" t="inlineStr">
        <is>
          <t>P-0069</t>
        </is>
      </c>
      <c r="B72" s="11" t="inlineStr">
        <is>
          <t>open</t>
        </is>
      </c>
      <c r="C72" s="11" t="inlineStr">
        <is>
          <t>tag</t>
        </is>
      </c>
      <c r="D72" s="11" t="inlineStr">
        <is>
          <t>2019-10-04</t>
        </is>
      </c>
      <c r="E72" s="11" t="n">
        <v>3</v>
      </c>
      <c r="F72" s="2" t="inlineStr">
        <is>
          <t>NUSLI NEVILLE WADIA versus IVORY PROPERTIES &amp; ORS.</t>
        </is>
      </c>
      <c r="G72" s="2" t="inlineStr">
        <is>
          <t>Ferani Hotels P. Ltd. and another v. Nusli Neville Wadia and others</t>
        </is>
      </c>
      <c r="H72" s="2" t="inlineStr">
        <is>
          <t>(2012) SCC OnLine Bom 1994</t>
        </is>
      </c>
      <c r="I72" s="2" t="inlineStr">
        <is>
          <t>not correct law</t>
        </is>
      </c>
      <c r="J72" s="11" t="inlineStr"/>
      <c r="K72" s="11" t="inlineStr">
        <is>
          <t>b2019_15_795_864</t>
        </is>
      </c>
      <c r="L72" s="11" t="inlineStr">
        <is>
          <t>2026-10-07</t>
        </is>
      </c>
      <c r="M72" s="11" t="n"/>
      <c r="N72" s="11" t="inlineStr">
        <is>
          <t>found</t>
        </is>
      </c>
    </row>
    <row r="73">
      <c r="A73" s="11" t="inlineStr">
        <is>
          <t>P-0070</t>
        </is>
      </c>
      <c r="B73" s="11" t="inlineStr">
        <is>
          <t>open</t>
        </is>
      </c>
      <c r="C73" s="11" t="inlineStr">
        <is>
          <t>tag</t>
        </is>
      </c>
      <c r="D73" s="11" t="inlineStr">
        <is>
          <t>2019-10-04</t>
        </is>
      </c>
      <c r="E73" s="11" t="n">
        <v>3</v>
      </c>
      <c r="F73" s="2" t="inlineStr">
        <is>
          <t>NUSLI NEVILLE WADIA versus IVORY PROPERTIES &amp; ORS.</t>
        </is>
      </c>
      <c r="G73" s="2" t="inlineStr">
        <is>
          <t>Naresh Lachnmandas Aswani v. Haridas Aswani and others</t>
        </is>
      </c>
      <c r="H73" s="2" t="inlineStr">
        <is>
          <t>(2013) SCC OnLine Bom 1368</t>
        </is>
      </c>
      <c r="I73" s="2" t="inlineStr">
        <is>
          <t>not correct law</t>
        </is>
      </c>
      <c r="J73" s="11" t="inlineStr"/>
      <c r="K73" s="11" t="inlineStr">
        <is>
          <t>b2019_15_795_864</t>
        </is>
      </c>
      <c r="L73" s="11" t="inlineStr">
        <is>
          <t>2026-10-07</t>
        </is>
      </c>
      <c r="M73" s="11" t="n"/>
      <c r="N73" s="11" t="inlineStr">
        <is>
          <t>found</t>
        </is>
      </c>
    </row>
    <row r="74">
      <c r="A74" s="11" t="inlineStr">
        <is>
          <t>P-0071</t>
        </is>
      </c>
      <c r="B74" s="11" t="inlineStr">
        <is>
          <t>open</t>
        </is>
      </c>
      <c r="C74" s="11" t="inlineStr">
        <is>
          <t>tag</t>
        </is>
      </c>
      <c r="D74" s="11" t="inlineStr">
        <is>
          <t>2019-10-04</t>
        </is>
      </c>
      <c r="E74" s="11" t="n">
        <v>3</v>
      </c>
      <c r="F74" s="2" t="inlineStr">
        <is>
          <t>NUSLI NEVILLE WADIA versus IVORY PROPERTIES &amp; ORS.</t>
        </is>
      </c>
      <c r="G74" s="2" t="inlineStr">
        <is>
          <t>Union of India and others v. N.K. Bhog and others</t>
        </is>
      </c>
      <c r="H74" s="2" t="inlineStr">
        <is>
          <t>(2015) SCC OnLine Bom 664</t>
        </is>
      </c>
      <c r="I74" s="2" t="inlineStr">
        <is>
          <t>not correct law</t>
        </is>
      </c>
      <c r="J74" s="11" t="inlineStr"/>
      <c r="K74" s="11" t="inlineStr">
        <is>
          <t>b2019_15_795_864</t>
        </is>
      </c>
      <c r="L74" s="11" t="inlineStr">
        <is>
          <t>2026-10-07</t>
        </is>
      </c>
      <c r="M74" s="11" t="n"/>
      <c r="N74" s="11" t="inlineStr">
        <is>
          <t>found</t>
        </is>
      </c>
    </row>
    <row r="75">
      <c r="A75" s="11" t="inlineStr">
        <is>
          <t>P-0072</t>
        </is>
      </c>
      <c r="B75" s="11" t="inlineStr">
        <is>
          <t>open</t>
        </is>
      </c>
      <c r="C75" s="11" t="inlineStr">
        <is>
          <t>tag</t>
        </is>
      </c>
      <c r="D75" s="11" t="inlineStr">
        <is>
          <t>2019-10-04</t>
        </is>
      </c>
      <c r="E75" s="11" t="n">
        <v>3</v>
      </c>
      <c r="F75" s="2" t="inlineStr">
        <is>
          <t>NUSLI NEVILLE WADIA versus IVORY PROPERTIES &amp; ORS.</t>
        </is>
      </c>
      <c r="G75" s="2" t="inlineStr">
        <is>
          <t>Sudesh v. Abdul Aziz</t>
        </is>
      </c>
      <c r="H75" s="2" t="inlineStr">
        <is>
          <t>(2001) 1 Mh.L.J. 324</t>
        </is>
      </c>
      <c r="I75" s="2" t="inlineStr">
        <is>
          <t>overruled</t>
        </is>
      </c>
      <c r="J75" s="11" t="inlineStr"/>
      <c r="K75" s="11" t="inlineStr">
        <is>
          <t>b2019_15_795_864</t>
        </is>
      </c>
      <c r="L75" s="11" t="inlineStr">
        <is>
          <t>2026-10-07</t>
        </is>
      </c>
      <c r="M75" s="11" t="n"/>
      <c r="N75" s="11" t="inlineStr">
        <is>
          <t>found</t>
        </is>
      </c>
    </row>
    <row r="76">
      <c r="A76" s="11" t="inlineStr">
        <is>
          <t>P-0073</t>
        </is>
      </c>
      <c r="B76" s="11" t="inlineStr">
        <is>
          <t>open</t>
        </is>
      </c>
      <c r="C76" s="11" t="inlineStr">
        <is>
          <t>tag</t>
        </is>
      </c>
      <c r="D76" s="11" t="inlineStr">
        <is>
          <t>2019-10-04</t>
        </is>
      </c>
      <c r="E76" s="11" t="n">
        <v>3</v>
      </c>
      <c r="F76" s="2" t="inlineStr">
        <is>
          <t>NUSLI NEVILLE WADIA versus IVORY PROPERTIES &amp; ORS.</t>
        </is>
      </c>
      <c r="G76" s="2" t="inlineStr">
        <is>
          <t>Smithkline Beecham Consumer Consumer Healthcare v. Hindustan Liver Limited, 2002</t>
        </is>
      </c>
      <c r="H76" s="2" t="inlineStr">
        <is>
          <t>SCC OnLine Bom NUSLI NEVILLE WADIA v. IVORY PROPERTIES &amp; ORS. SUPREME COURT REPORTS [2019] 15 S.C.R. 1337</t>
        </is>
      </c>
      <c r="I76" s="2" t="inlineStr">
        <is>
          <t>disapproved</t>
        </is>
      </c>
      <c r="J76" s="11" t="inlineStr"/>
      <c r="K76" s="11" t="inlineStr">
        <is>
          <t>b2019_15_795_864</t>
        </is>
      </c>
      <c r="L76" s="11" t="inlineStr">
        <is>
          <t>2026-10-07</t>
        </is>
      </c>
      <c r="M76" s="11" t="n"/>
      <c r="N76" s="11" t="inlineStr">
        <is>
          <t>found</t>
        </is>
      </c>
    </row>
    <row r="77">
      <c r="A77" s="11" t="inlineStr">
        <is>
          <t>P-0074</t>
        </is>
      </c>
      <c r="B77" s="11" t="inlineStr">
        <is>
          <t>open</t>
        </is>
      </c>
      <c r="C77" s="11" t="inlineStr">
        <is>
          <t>tag</t>
        </is>
      </c>
      <c r="D77" s="11" t="inlineStr">
        <is>
          <t>2019-10-04</t>
        </is>
      </c>
      <c r="E77" s="11" t="n">
        <v>3</v>
      </c>
      <c r="F77" s="2" t="inlineStr">
        <is>
          <t>NUSLI NEVILLE WADIA versus IVORY PROPERTIES &amp; ORS.</t>
        </is>
      </c>
      <c r="G77" s="2" t="inlineStr">
        <is>
          <t>Shraddha Associates v. St. Patrick’s Town Co- operative Housing Society Ltd.</t>
        </is>
      </c>
      <c r="H77" s="2" t="inlineStr">
        <is>
          <t>(2003) 2 Mh.L.J. 219</t>
        </is>
      </c>
      <c r="I77" s="2" t="inlineStr">
        <is>
          <t>disapproved</t>
        </is>
      </c>
      <c r="J77" s="11" t="inlineStr"/>
      <c r="K77" s="11" t="inlineStr">
        <is>
          <t>b2019_15_795_864</t>
        </is>
      </c>
      <c r="L77" s="11" t="inlineStr">
        <is>
          <t>2026-10-07</t>
        </is>
      </c>
      <c r="M77" s="11" t="n"/>
      <c r="N77" s="11" t="inlineStr">
        <is>
          <t>found</t>
        </is>
      </c>
    </row>
    <row r="78">
      <c r="A78" s="11" t="inlineStr">
        <is>
          <t>P-0075</t>
        </is>
      </c>
      <c r="B78" s="11" t="inlineStr">
        <is>
          <t>open</t>
        </is>
      </c>
      <c r="C78" s="11" t="inlineStr">
        <is>
          <t>tag</t>
        </is>
      </c>
      <c r="D78" s="11" t="inlineStr">
        <is>
          <t>2019-10-14</t>
        </is>
      </c>
      <c r="E78" s="11" t="n">
        <v>3</v>
      </c>
      <c r="F78" s="2" t="inlineStr">
        <is>
          <t>SHIV KUMAR &amp; ANR. versus UNION OF INDIA &amp; ORS.</t>
        </is>
      </c>
      <c r="G78" s="2" t="inlineStr">
        <is>
          <t>Government (NCT of Delhi) v. Manav Dharam Trust &amp; Anr.</t>
        </is>
      </c>
      <c r="H78" s="2" t="inlineStr">
        <is>
          <t>(2017) 6 SCC 751 : [2017] 4 SCR 232</t>
        </is>
      </c>
      <c r="I78" s="2" t="inlineStr">
        <is>
          <t>overruled</t>
        </is>
      </c>
      <c r="J78" s="11" t="inlineStr"/>
      <c r="K78" s="11" t="inlineStr">
        <is>
          <t>b2019_13_695_720</t>
        </is>
      </c>
      <c r="L78" s="11" t="inlineStr">
        <is>
          <t>2026-10-07</t>
        </is>
      </c>
      <c r="M78" s="11" t="n"/>
      <c r="N78" s="11" t="inlineStr">
        <is>
          <t>found</t>
        </is>
      </c>
    </row>
    <row r="79">
      <c r="A79" s="11" t="inlineStr">
        <is>
          <t>P-0076</t>
        </is>
      </c>
      <c r="B79" s="11" t="inlineStr">
        <is>
          <t>open</t>
        </is>
      </c>
      <c r="C79" s="11" t="inlineStr">
        <is>
          <t>tag</t>
        </is>
      </c>
      <c r="D79" s="11" t="inlineStr">
        <is>
          <t>2019-10-16</t>
        </is>
      </c>
      <c r="E79" s="11" t="n">
        <v>3</v>
      </c>
      <c r="F79" s="2" t="inlineStr">
        <is>
          <t>HARIBHAI MALAVIYA AND ORS. versus THE STATE OF GUJARAT AND ANR.</t>
        </is>
      </c>
      <c r="G79" s="2" t="inlineStr">
        <is>
          <t>Amrutbhai Shambubhai Patel v. Sumanbhai Kantibai Patel</t>
        </is>
      </c>
      <c r="H79" s="2" t="inlineStr">
        <is>
          <t>(2017) 4 SCC 177 : [2017] 4 SCR 105</t>
        </is>
      </c>
      <c r="I79" s="2" t="inlineStr">
        <is>
          <t>overruled</t>
        </is>
      </c>
      <c r="J79" s="11" t="inlineStr">
        <is>
          <t>yes</t>
        </is>
      </c>
      <c r="K79" s="11" t="inlineStr">
        <is>
          <t>b2019_15_936_989</t>
        </is>
      </c>
      <c r="L79" s="11" t="inlineStr">
        <is>
          <t>2026-10-07</t>
        </is>
      </c>
      <c r="M79" s="11" t="n"/>
      <c r="N79" s="11" t="inlineStr">
        <is>
          <t>found</t>
        </is>
      </c>
    </row>
    <row r="80">
      <c r="A80" s="11" t="inlineStr">
        <is>
          <t>P-0077</t>
        </is>
      </c>
      <c r="B80" s="11" t="inlineStr">
        <is>
          <t>open</t>
        </is>
      </c>
      <c r="C80" s="11" t="inlineStr">
        <is>
          <t>tag</t>
        </is>
      </c>
      <c r="D80" s="11" t="inlineStr">
        <is>
          <t>2019-10-16</t>
        </is>
      </c>
      <c r="E80" s="11" t="n">
        <v>3</v>
      </c>
      <c r="F80" s="2" t="inlineStr">
        <is>
          <t>HARIBHAI MALAVIYA AND ORS. versus THE STATE OF GUJARAT AND ANR.</t>
        </is>
      </c>
      <c r="G80" s="2" t="inlineStr">
        <is>
          <t>Athul Rao v. State of Karnataka and Anr.</t>
        </is>
      </c>
      <c r="H80" s="2" t="inlineStr">
        <is>
          <t>(2018) 14 SCC 298</t>
        </is>
      </c>
      <c r="I80" s="2" t="inlineStr">
        <is>
          <t>overruled</t>
        </is>
      </c>
      <c r="J80" s="11" t="inlineStr">
        <is>
          <t>yes</t>
        </is>
      </c>
      <c r="K80" s="11" t="inlineStr">
        <is>
          <t>b2019_15_936_989</t>
        </is>
      </c>
      <c r="L80" s="11" t="inlineStr">
        <is>
          <t>2026-10-07</t>
        </is>
      </c>
      <c r="M80" s="11" t="n"/>
      <c r="N80" s="11" t="inlineStr">
        <is>
          <t>found</t>
        </is>
      </c>
    </row>
    <row r="81">
      <c r="A81" s="11" t="inlineStr">
        <is>
          <t>P-0078</t>
        </is>
      </c>
      <c r="B81" s="11" t="inlineStr">
        <is>
          <t>open</t>
        </is>
      </c>
      <c r="C81" s="11" t="inlineStr">
        <is>
          <t>tag</t>
        </is>
      </c>
      <c r="D81" s="11" t="inlineStr">
        <is>
          <t>2019-10-16</t>
        </is>
      </c>
      <c r="E81" s="11" t="n">
        <v>3</v>
      </c>
      <c r="F81" s="2" t="inlineStr">
        <is>
          <t>HARIBHAI MALAVIYA AND ORS. versus THE STATE OF GUJARAT AND ANR.</t>
        </is>
      </c>
      <c r="G81" s="2" t="inlineStr">
        <is>
          <t>Bikash Ranjan Rout v. State through the Secretary (Home), Government of NCT of Delhi</t>
        </is>
      </c>
      <c r="H81" s="2" t="inlineStr">
        <is>
          <t>(2019) 5 SCC 542</t>
        </is>
      </c>
      <c r="I81" s="2" t="inlineStr">
        <is>
          <t>overruled</t>
        </is>
      </c>
      <c r="J81" s="11" t="inlineStr">
        <is>
          <t>yes</t>
        </is>
      </c>
      <c r="K81" s="11" t="inlineStr">
        <is>
          <t>b2019_15_936_989</t>
        </is>
      </c>
      <c r="L81" s="11" t="inlineStr">
        <is>
          <t>2026-10-07</t>
        </is>
      </c>
      <c r="M81" s="11" t="n"/>
      <c r="N81" s="11" t="inlineStr">
        <is>
          <t>found</t>
        </is>
      </c>
    </row>
    <row r="82">
      <c r="A82" s="11" t="inlineStr">
        <is>
          <t>P-0079</t>
        </is>
      </c>
      <c r="B82" s="11" t="inlineStr">
        <is>
          <t>open</t>
        </is>
      </c>
      <c r="C82" s="11" t="inlineStr">
        <is>
          <t>tag</t>
        </is>
      </c>
      <c r="D82" s="11" t="inlineStr">
        <is>
          <t>2019-10-16</t>
        </is>
      </c>
      <c r="E82" s="11" t="n">
        <v>3</v>
      </c>
      <c r="F82" s="2" t="inlineStr">
        <is>
          <t>HARIBHAI MALAVIYA AND ORS. versus THE STATE OF GUJARAT AND ANR.</t>
        </is>
      </c>
      <c r="G82" s="2" t="inlineStr">
        <is>
          <t>Randhir Singh Rana v. State (Delhi Administration)</t>
        </is>
      </c>
      <c r="H82" s="2" t="inlineStr">
        <is>
          <t>(1997) 1 SCC 361 : [1996] 10 Suppl. SCR 880</t>
        </is>
      </c>
      <c r="I82" s="2" t="inlineStr">
        <is>
          <t>overruled</t>
        </is>
      </c>
      <c r="J82" s="11" t="inlineStr">
        <is>
          <t>yes</t>
        </is>
      </c>
      <c r="K82" s="11" t="inlineStr">
        <is>
          <t>b2019_15_936_989</t>
        </is>
      </c>
      <c r="L82" s="11" t="inlineStr">
        <is>
          <t>2026-10-07</t>
        </is>
      </c>
      <c r="M82" s="11" t="n"/>
      <c r="N82" s="11" t="inlineStr">
        <is>
          <t>found</t>
        </is>
      </c>
    </row>
    <row r="83">
      <c r="A83" s="11" t="inlineStr">
        <is>
          <t>P-0080</t>
        </is>
      </c>
      <c r="B83" s="11" t="inlineStr">
        <is>
          <t>open</t>
        </is>
      </c>
      <c r="C83" s="11" t="inlineStr">
        <is>
          <t>tag</t>
        </is>
      </c>
      <c r="D83" s="11" t="inlineStr">
        <is>
          <t>2019-10-16</t>
        </is>
      </c>
      <c r="E83" s="11" t="n">
        <v>3</v>
      </c>
      <c r="F83" s="2" t="inlineStr">
        <is>
          <t>HARIBHAI MALAVIYA AND ORS. versus THE STATE OF GUJARAT AND ANR.</t>
        </is>
      </c>
      <c r="G83" s="2" t="inlineStr">
        <is>
          <t>Reeta Nag v. State of West Bengal and Ors.</t>
        </is>
      </c>
      <c r="H83" s="2" t="inlineStr">
        <is>
          <t>(2009) 9 SCC 129 : [2009] 13 SCR 276</t>
        </is>
      </c>
      <c r="I83" s="2" t="inlineStr">
        <is>
          <t>overruled</t>
        </is>
      </c>
      <c r="J83" s="11" t="inlineStr">
        <is>
          <t>yes</t>
        </is>
      </c>
      <c r="K83" s="11" t="inlineStr">
        <is>
          <t>b2019_15_936_989</t>
        </is>
      </c>
      <c r="L83" s="11" t="inlineStr">
        <is>
          <t>2026-10-07</t>
        </is>
      </c>
      <c r="M83" s="11" t="n"/>
      <c r="N83" s="11" t="inlineStr">
        <is>
          <t>found</t>
        </is>
      </c>
    </row>
    <row r="84">
      <c r="A84" s="11" t="inlineStr">
        <is>
          <t>P-0081</t>
        </is>
      </c>
      <c r="B84" s="11" t="inlineStr">
        <is>
          <t>open</t>
        </is>
      </c>
      <c r="C84" s="11" t="inlineStr">
        <is>
          <t>tag</t>
        </is>
      </c>
      <c r="D84" s="11" t="inlineStr">
        <is>
          <t>2019-10-16</t>
        </is>
      </c>
      <c r="E84" s="11" t="n">
        <v>3</v>
      </c>
      <c r="F84" s="2" t="inlineStr">
        <is>
          <t>HARIBHAI MALAVIYA AND ORS. versus THE STATE OF GUJARAT AND ANR.</t>
        </is>
      </c>
      <c r="G84" s="2" t="inlineStr">
        <is>
          <t>Devarapalli Lakshminarayana Reddy &amp; Ors. v. V. Narayana Reddy &amp; Ors.</t>
        </is>
      </c>
      <c r="H84" s="2" t="inlineStr">
        <is>
          <t>(1976) 3 SCC 252 : [1976] Suppl. SCR 524</t>
        </is>
      </c>
      <c r="I84" s="2" t="inlineStr">
        <is>
          <t>held not correct law</t>
        </is>
      </c>
      <c r="J84" s="11" t="inlineStr">
        <is>
          <t>yes</t>
        </is>
      </c>
      <c r="K84" s="11" t="inlineStr">
        <is>
          <t>b2019_15_936_989</t>
        </is>
      </c>
      <c r="L84" s="11" t="inlineStr">
        <is>
          <t>2026-10-07</t>
        </is>
      </c>
      <c r="M84" s="11" t="n"/>
      <c r="N84" s="11" t="inlineStr">
        <is>
          <t>found</t>
        </is>
      </c>
    </row>
    <row r="85">
      <c r="A85" s="11" t="inlineStr">
        <is>
          <t>P-0082</t>
        </is>
      </c>
      <c r="B85" s="11" t="inlineStr">
        <is>
          <t>open</t>
        </is>
      </c>
      <c r="C85" s="11" t="inlineStr">
        <is>
          <t>sentence</t>
        </is>
      </c>
      <c r="D85" s="11" t="inlineStr">
        <is>
          <t>2019-10-23</t>
        </is>
      </c>
      <c r="E85" s="11" t="n">
        <v>5</v>
      </c>
      <c r="F85" s="2" t="inlineStr">
        <is>
          <t>SHAH AND S. RAVINDRA BHAT, JJ.] versus MANOHAR LAL &amp; ORS. ETC.</t>
        </is>
      </c>
      <c r="G85" s="2" t="n"/>
      <c r="H85" s="2" t="n"/>
      <c r="I85" s="2" t="inlineStr">
        <is>
          <t>In our opinion, the view expressed by this Court in Ganapat Ladha v. Sashikant Vishnu Shinde, (1978) 2 SCC 573 and the observations made therein which we have earlier quoted, do not lay down the correct law.</t>
        </is>
      </c>
      <c r="J85" s="11" t="inlineStr"/>
      <c r="K85" s="11" t="inlineStr">
        <is>
          <t>b2019_15_1085_1146</t>
        </is>
      </c>
      <c r="L85" s="11" t="inlineStr">
        <is>
          <t>2026-10-07</t>
        </is>
      </c>
      <c r="M85" s="11" t="n"/>
      <c r="N85" s="11" t="inlineStr">
        <is>
          <t>found</t>
        </is>
      </c>
    </row>
    <row r="86">
      <c r="A86" s="11" t="inlineStr">
        <is>
          <t>P-0083</t>
        </is>
      </c>
      <c r="B86" s="11" t="inlineStr">
        <is>
          <t>open</t>
        </is>
      </c>
      <c r="C86" s="11" t="inlineStr">
        <is>
          <t>sentence</t>
        </is>
      </c>
      <c r="D86" s="11" t="inlineStr">
        <is>
          <t>2019-11-13</t>
        </is>
      </c>
      <c r="E86" s="11" t="n">
        <v>5</v>
      </c>
      <c r="F86" s="2" t="inlineStr">
        <is>
          <t>ROJER MATHEW versus SOUTH INDIAN BANK LTD. &amp; ORS.</t>
        </is>
      </c>
      <c r="G86" s="2" t="n"/>
      <c r="H86" s="2" t="n"/>
      <c r="I86" s="2" t="inlineStr">
        <is>
          <t>Saeed Siddiqui v. State of U.P., (2014) 11 SCC 415] and Two Judge Bench judgment of this Court in Yogendra Kumar Jaiswal [Yogendra Kumar Jaiswal v. State of Bihar, (2016) 3 SCC 183 : (2016) 2 SCC (Cri) 1] do not lay down the correct law.</t>
        </is>
      </c>
      <c r="J86" s="11" t="inlineStr"/>
      <c r="K86" s="11" t="inlineStr">
        <is>
          <t>b2019_16_1_251</t>
        </is>
      </c>
      <c r="L86" s="11" t="inlineStr">
        <is>
          <t>2026-10-07</t>
        </is>
      </c>
      <c r="M86" s="11" t="n"/>
      <c r="N86" s="11" t="inlineStr">
        <is>
          <t>found</t>
        </is>
      </c>
    </row>
    <row r="87">
      <c r="A87" s="11" t="inlineStr">
        <is>
          <t>P-0084</t>
        </is>
      </c>
      <c r="B87" s="11" t="inlineStr">
        <is>
          <t>open</t>
        </is>
      </c>
      <c r="C87" s="11" t="inlineStr">
        <is>
          <t>sentence</t>
        </is>
      </c>
      <c r="D87" s="11" t="inlineStr">
        <is>
          <t>2019-11-13</t>
        </is>
      </c>
      <c r="E87" s="11" t="n">
        <v>5</v>
      </c>
      <c r="F87" s="2" t="inlineStr">
        <is>
          <t>CENTRAL PUBLIC INFORMATION OFFICER, versus SUBHASH CHANDRA AGARWAL</t>
        </is>
      </c>
      <c r="G87" s="2" t="n"/>
      <c r="H87" s="2" t="n"/>
      <c r="I87" s="2" t="inlineStr">
        <is>
          <t>M.P. Sharma [M.P. Sharma v. Satish Chandra, AIR 1954 SC 300 : 1954 Cri LJ 865 : 1954 SCR 1077] and the majority in Kharak Singh [Kharak Singh v. State of U.P., AIR 1963 SC 1295 : (1963) 2 Cri LJ 329 : (1964) 1 SCR 332] , to the extent that they indicate to the contrary, stand overruled.</t>
        </is>
      </c>
      <c r="J87" s="11" t="inlineStr"/>
      <c r="K87" s="11" t="inlineStr">
        <is>
          <t>b2019_16_424_650</t>
        </is>
      </c>
      <c r="L87" s="11" t="inlineStr">
        <is>
          <t>2026-10-07</t>
        </is>
      </c>
      <c r="M87" s="11" t="n"/>
      <c r="N87" s="11" t="inlineStr">
        <is>
          <t>found</t>
        </is>
      </c>
    </row>
    <row r="88">
      <c r="A88" s="11" t="inlineStr">
        <is>
          <t>P-0085</t>
        </is>
      </c>
      <c r="B88" s="11" t="inlineStr">
        <is>
          <t>open</t>
        </is>
      </c>
      <c r="C88" s="11" t="inlineStr">
        <is>
          <t>tag</t>
        </is>
      </c>
      <c r="D88" s="11" t="inlineStr">
        <is>
          <t>2019-11-19</t>
        </is>
      </c>
      <c r="E88" s="11" t="n">
        <v>3</v>
      </c>
      <c r="F88" s="2" t="inlineStr">
        <is>
          <t>K. MEGHACHANDRA SINGH &amp; ORS. versus NINGAM SIRO &amp; ORS.</t>
        </is>
      </c>
      <c r="G88" s="2" t="inlineStr">
        <is>
          <t>Union of India and others v. N.R. Parmar</t>
        </is>
      </c>
      <c r="H88" s="2" t="inlineStr">
        <is>
          <t>(2012) 13 SCC 340</t>
        </is>
      </c>
      <c r="I88" s="2" t="inlineStr">
        <is>
          <t>overruled</t>
        </is>
      </c>
      <c r="J88" s="11" t="inlineStr"/>
      <c r="K88" s="11" t="inlineStr">
        <is>
          <t>b2019_16_651_671</t>
        </is>
      </c>
      <c r="L88" s="11" t="inlineStr">
        <is>
          <t>2026-10-07</t>
        </is>
      </c>
      <c r="M88" s="11" t="n"/>
      <c r="N88" s="11" t="inlineStr">
        <is>
          <t>found</t>
        </is>
      </c>
    </row>
    <row r="89">
      <c r="A89" s="11" t="inlineStr">
        <is>
          <t>P-0086</t>
        </is>
      </c>
      <c r="B89" s="11" t="inlineStr">
        <is>
          <t>open</t>
        </is>
      </c>
      <c r="C89" s="11" t="inlineStr">
        <is>
          <t>tag</t>
        </is>
      </c>
      <c r="D89" s="11" t="inlineStr">
        <is>
          <t>2019-11-27</t>
        </is>
      </c>
      <c r="E89" s="11" t="n">
        <v>3</v>
      </c>
      <c r="F89" s="2" t="inlineStr">
        <is>
          <t>HINDUSTAN CONSTRUCTION COMPANY LIMITED &amp; ANR.DIA &amp; ORS. versus  UNION OF INDIA</t>
        </is>
      </c>
      <c r="G89" s="2" t="inlineStr">
        <is>
          <t>National Aluminum Company Ltd. (NALCO) v. Pressteel &amp; Fabrications (P) Ltd. and Anr.</t>
        </is>
      </c>
      <c r="H89" s="2" t="inlineStr">
        <is>
          <t>(2004) 1 SCC 540</t>
        </is>
      </c>
      <c r="I89" s="2" t="inlineStr">
        <is>
          <t>not correct law</t>
        </is>
      </c>
      <c r="J89" s="11" t="inlineStr"/>
      <c r="K89" s="11" t="inlineStr">
        <is>
          <t>b2019_17_331_395</t>
        </is>
      </c>
      <c r="L89" s="11" t="inlineStr">
        <is>
          <t>2026-10-07</t>
        </is>
      </c>
      <c r="M89" s="11" t="n"/>
      <c r="N89" s="11" t="inlineStr">
        <is>
          <t>found</t>
        </is>
      </c>
    </row>
    <row r="90">
      <c r="A90" s="11" t="inlineStr">
        <is>
          <t>P-0087</t>
        </is>
      </c>
      <c r="B90" s="11" t="inlineStr">
        <is>
          <t>open</t>
        </is>
      </c>
      <c r="C90" s="11" t="inlineStr">
        <is>
          <t>tag</t>
        </is>
      </c>
      <c r="D90" s="11" t="inlineStr">
        <is>
          <t>2019-11-27</t>
        </is>
      </c>
      <c r="E90" s="11" t="n">
        <v>3</v>
      </c>
      <c r="F90" s="2" t="inlineStr">
        <is>
          <t>HINDUSTAN CONSTRUCTION COMPANY LIMITED &amp; ANR.DIA &amp; ORS. versus  UNION OF INDIA</t>
        </is>
      </c>
      <c r="G90" s="2" t="inlineStr">
        <is>
          <t>Fiza Developers and Inter-trade Pvt. Ltd. v. AMCI (India) Pvt. Ltd. and Anr.</t>
        </is>
      </c>
      <c r="H90" s="2" t="inlineStr">
        <is>
          <t>(2009) 17 SCC 796 : [2009] 12 SCR 1 – per incurium. National Buildings Construction Corporation Ltd. v. Lloyds Insulation India Ltd. (2005) 2 SCC 367</t>
        </is>
      </c>
      <c r="I90" s="2" t="inlineStr">
        <is>
          <t>not correct law</t>
        </is>
      </c>
      <c r="J90" s="11" t="inlineStr"/>
      <c r="K90" s="11" t="inlineStr">
        <is>
          <t>b2019_17_331_395</t>
        </is>
      </c>
      <c r="L90" s="11" t="inlineStr">
        <is>
          <t>2026-10-07</t>
        </is>
      </c>
      <c r="M90" s="11" t="n"/>
      <c r="N90" s="11" t="inlineStr">
        <is>
          <t>found</t>
        </is>
      </c>
    </row>
    <row r="91">
      <c r="A91" s="11" t="inlineStr">
        <is>
          <t>P-0088</t>
        </is>
      </c>
      <c r="B91" s="11" t="inlineStr">
        <is>
          <t>open</t>
        </is>
      </c>
      <c r="C91" s="11" t="inlineStr">
        <is>
          <t>tag</t>
        </is>
      </c>
      <c r="D91" s="11" t="inlineStr">
        <is>
          <t>2019-12-06</t>
        </is>
      </c>
      <c r="E91" s="11" t="n">
        <v>3</v>
      </c>
      <c r="F91" s="2" t="inlineStr">
        <is>
          <t>M/S. UNICORN INDUSTRIES versus UNION OF INDIA &amp; OTHERS</t>
        </is>
      </c>
      <c r="G91" s="2" t="inlineStr">
        <is>
          <t>SRD Nutrients Private Limited v. Commissioner of Central Excise, Guwahati</t>
        </is>
      </c>
      <c r="H91" s="2" t="inlineStr">
        <is>
          <t>(2018) 1 SCC 105 : [2017] 11 SCR 43</t>
        </is>
      </c>
      <c r="I91" s="2" t="inlineStr">
        <is>
          <t>per incuriam</t>
        </is>
      </c>
      <c r="J91" s="11" t="inlineStr">
        <is>
          <t>yes</t>
        </is>
      </c>
      <c r="K91" s="11" t="inlineStr">
        <is>
          <t>b2019_17_1013_1047</t>
        </is>
      </c>
      <c r="L91" s="11" t="inlineStr">
        <is>
          <t>2026-10-07</t>
        </is>
      </c>
      <c r="M91" s="11" t="n"/>
      <c r="N91" s="11" t="inlineStr">
        <is>
          <t>found</t>
        </is>
      </c>
    </row>
    <row r="92">
      <c r="A92" s="11" t="inlineStr">
        <is>
          <t>P-0089</t>
        </is>
      </c>
      <c r="B92" s="11" t="inlineStr">
        <is>
          <t>open</t>
        </is>
      </c>
      <c r="C92" s="11" t="inlineStr">
        <is>
          <t>tag</t>
        </is>
      </c>
      <c r="D92" s="11" t="inlineStr">
        <is>
          <t>2019-12-06</t>
        </is>
      </c>
      <c r="E92" s="11" t="n">
        <v>3</v>
      </c>
      <c r="F92" s="2" t="inlineStr">
        <is>
          <t>M/S. UNICORN INDUSTRIES versus UNION OF INDIA &amp; OTHERS</t>
        </is>
      </c>
      <c r="G92" s="2" t="inlineStr">
        <is>
          <t>Bajaj Auto Limited v. Union of India &amp; others</t>
        </is>
      </c>
      <c r="H92" s="2" t="inlineStr">
        <is>
          <t>(2019) SCC OnLine SC 421, decided on 27.3.2019. [2019] 5 SCALE 325</t>
        </is>
      </c>
      <c r="I92" s="2" t="inlineStr">
        <is>
          <t>per incuriam</t>
        </is>
      </c>
      <c r="J92" s="11" t="inlineStr"/>
      <c r="K92" s="11" t="inlineStr">
        <is>
          <t>b2019_17_1013_1047</t>
        </is>
      </c>
      <c r="L92" s="11" t="inlineStr">
        <is>
          <t>2026-10-07</t>
        </is>
      </c>
      <c r="M92" s="11" t="n"/>
      <c r="N92" s="11" t="inlineStr">
        <is>
          <t>found</t>
        </is>
      </c>
    </row>
    <row r="93">
      <c r="A93" s="11" t="inlineStr">
        <is>
          <t>P-0090</t>
        </is>
      </c>
      <c r="B93" s="11" t="inlineStr">
        <is>
          <t>open</t>
        </is>
      </c>
      <c r="C93" s="11" t="inlineStr">
        <is>
          <t>tag</t>
        </is>
      </c>
      <c r="D93" s="11" t="inlineStr">
        <is>
          <t>2019-12-10</t>
        </is>
      </c>
      <c r="E93" s="11" t="n">
        <v>3</v>
      </c>
      <c r="F93" s="2" t="inlineStr">
        <is>
          <t>BGS SGS SOMA JV versus NHPC LTD.</t>
        </is>
      </c>
      <c r="G93" s="2" t="inlineStr">
        <is>
          <t>Union of India v. Hardy Exploration and Production (India) Inc. 2018</t>
        </is>
      </c>
      <c r="H93" s="2" t="inlineStr">
        <is>
          <t>SCC Online SC 1640</t>
        </is>
      </c>
      <c r="I93" s="2" t="inlineStr">
        <is>
          <t>held not good law</t>
        </is>
      </c>
      <c r="J93" s="11" t="inlineStr"/>
      <c r="K93" s="11" t="inlineStr">
        <is>
          <t>b2019_17_742_827</t>
        </is>
      </c>
      <c r="L93" s="11" t="inlineStr">
        <is>
          <t>2026-10-07</t>
        </is>
      </c>
      <c r="M93" s="11" t="n"/>
      <c r="N93" s="11" t="inlineStr">
        <is>
          <t>found</t>
        </is>
      </c>
    </row>
    <row r="94">
      <c r="A94" s="11" t="inlineStr">
        <is>
          <t>P-0091</t>
        </is>
      </c>
      <c r="B94" s="11" t="inlineStr">
        <is>
          <t>open</t>
        </is>
      </c>
      <c r="C94" s="11" t="inlineStr">
        <is>
          <t>tag</t>
        </is>
      </c>
      <c r="D94" s="11" t="inlineStr">
        <is>
          <t>2019-12-13</t>
        </is>
      </c>
      <c r="E94" s="11" t="n">
        <v>3</v>
      </c>
      <c r="F94" s="2" t="inlineStr">
        <is>
          <t>S. KRISHNA SRADHA versus THE STATE OF ANDHRA PRADESH &amp; ORS.</t>
        </is>
      </c>
      <c r="G94" s="2" t="inlineStr">
        <is>
          <t>Chandigarh Admn. vs. Jasmine Kaur</t>
        </is>
      </c>
      <c r="H94" s="2" t="inlineStr">
        <is>
          <t>(2014) 10 SCC 521 : [2014] 9 SCR 1122</t>
        </is>
      </c>
      <c r="I94" s="2" t="inlineStr">
        <is>
          <t>overruled</t>
        </is>
      </c>
      <c r="J94" s="11" t="inlineStr"/>
      <c r="K94" s="11" t="inlineStr">
        <is>
          <t>b2019_15_93_112</t>
        </is>
      </c>
      <c r="L94" s="11" t="inlineStr">
        <is>
          <t>2026-10-07</t>
        </is>
      </c>
      <c r="M94" s="11" t="n"/>
      <c r="N94" s="11" t="inlineStr">
        <is>
          <t>found</t>
        </is>
      </c>
    </row>
    <row r="95">
      <c r="A95" s="11" t="inlineStr">
        <is>
          <t>P-0092</t>
        </is>
      </c>
      <c r="B95" s="11" t="inlineStr">
        <is>
          <t>open</t>
        </is>
      </c>
      <c r="C95" s="11" t="inlineStr">
        <is>
          <t>tag</t>
        </is>
      </c>
      <c r="D95" s="11" t="inlineStr">
        <is>
          <t>2020-01-29</t>
        </is>
      </c>
      <c r="E95" s="11" t="n">
        <v>5</v>
      </c>
      <c r="F95" s="2" t="inlineStr">
        <is>
          <t>SUSHILA AGGARWAL AND OTHERS versus STATE (NCT OF DELHI) AND ANOTHER</t>
        </is>
      </c>
      <c r="G95" s="2" t="inlineStr">
        <is>
          <t>SUSHILA AGGARWAL v. STATE (NCT OF DELHI) SUPREME COURT REPORTS</t>
        </is>
      </c>
      <c r="H95" s="2" t="inlineStr">
        <is>
          <t>[2020] 2 S.C.R. Siddharam Satlingappa Mhetre v. State of Maharashtra (2011) 1 SCC 694 : [2010] 15 SCR 201</t>
        </is>
      </c>
      <c r="I95" s="2" t="inlineStr">
        <is>
          <t>held not correct law</t>
        </is>
      </c>
      <c r="J95" s="11" t="inlineStr">
        <is>
          <t>yes</t>
        </is>
      </c>
      <c r="K95" s="11" t="inlineStr">
        <is>
          <t>b2020_2_1_131</t>
        </is>
      </c>
      <c r="L95" s="11" t="inlineStr">
        <is>
          <t>2026-10-07</t>
        </is>
      </c>
      <c r="M95" s="11" t="n"/>
      <c r="N95" s="11" t="inlineStr">
        <is>
          <t>found</t>
        </is>
      </c>
    </row>
    <row r="96">
      <c r="A96" s="11" t="inlineStr">
        <is>
          <t>P-0093</t>
        </is>
      </c>
      <c r="B96" s="11" t="inlineStr">
        <is>
          <t>open</t>
        </is>
      </c>
      <c r="C96" s="11" t="inlineStr">
        <is>
          <t>tag</t>
        </is>
      </c>
      <c r="D96" s="11" t="inlineStr">
        <is>
          <t>2020-01-29</t>
        </is>
      </c>
      <c r="E96" s="11" t="n">
        <v>5</v>
      </c>
      <c r="F96" s="2" t="inlineStr">
        <is>
          <t>SUSHILA AGGARWAL AND OTHERS versus STATE (NCT OF DELHI) AND ANOTHER</t>
        </is>
      </c>
      <c r="G96" s="2" t="inlineStr">
        <is>
          <t>Salauddin Abdulsamad Shaikh v. State of Maharashtra</t>
        </is>
      </c>
      <c r="H96" s="2" t="inlineStr">
        <is>
          <t>(1996) 1 SCC 667 : [1995] 6 Suppl. SCR 556</t>
        </is>
      </c>
      <c r="I96" s="2" t="inlineStr">
        <is>
          <t>held not good law</t>
        </is>
      </c>
      <c r="J96" s="11" t="inlineStr">
        <is>
          <t>yes</t>
        </is>
      </c>
      <c r="K96" s="11" t="inlineStr">
        <is>
          <t>b2020_2_1_131</t>
        </is>
      </c>
      <c r="L96" s="11" t="inlineStr">
        <is>
          <t>2026-10-07</t>
        </is>
      </c>
      <c r="M96" s="11" t="n"/>
      <c r="N96" s="11" t="inlineStr">
        <is>
          <t>found</t>
        </is>
      </c>
    </row>
    <row r="97">
      <c r="A97" s="11" t="inlineStr">
        <is>
          <t>P-0094</t>
        </is>
      </c>
      <c r="B97" s="11" t="inlineStr">
        <is>
          <t>open</t>
        </is>
      </c>
      <c r="C97" s="11" t="inlineStr">
        <is>
          <t>tag</t>
        </is>
      </c>
      <c r="D97" s="11" t="inlineStr">
        <is>
          <t>2020-01-29</t>
        </is>
      </c>
      <c r="E97" s="11" t="n">
        <v>5</v>
      </c>
      <c r="F97" s="2" t="inlineStr">
        <is>
          <t>SUSHILA AGGARWAL AND OTHERS versus STATE (NCT OF DELHI) AND ANOTHER</t>
        </is>
      </c>
      <c r="G97" s="2" t="inlineStr">
        <is>
          <t>Salauddin Abdulsamad Shaikh v. State of Maharashtra</t>
        </is>
      </c>
      <c r="H97" s="2" t="inlineStr">
        <is>
          <t>(1996) 1 SCC 667 : [1995] 6 Suppl. SCR 556</t>
        </is>
      </c>
      <c r="I97" s="2" t="inlineStr">
        <is>
          <t>overruled</t>
        </is>
      </c>
      <c r="J97" s="11" t="inlineStr">
        <is>
          <t>yes</t>
        </is>
      </c>
      <c r="K97" s="11" t="inlineStr">
        <is>
          <t>b2020_2_1_131</t>
        </is>
      </c>
      <c r="L97" s="11" t="inlineStr">
        <is>
          <t>2026-10-07</t>
        </is>
      </c>
      <c r="M97" s="11" t="n"/>
      <c r="N97" s="11" t="inlineStr">
        <is>
          <t>found</t>
        </is>
      </c>
    </row>
    <row r="98">
      <c r="A98" s="11" t="inlineStr">
        <is>
          <t>P-0095</t>
        </is>
      </c>
      <c r="B98" s="11" t="inlineStr">
        <is>
          <t>open</t>
        </is>
      </c>
      <c r="C98" s="11" t="inlineStr">
        <is>
          <t>tag</t>
        </is>
      </c>
      <c r="D98" s="11" t="inlineStr">
        <is>
          <t>2020-01-29</t>
        </is>
      </c>
      <c r="E98" s="11" t="n">
        <v>5</v>
      </c>
      <c r="F98" s="2" t="inlineStr">
        <is>
          <t>SUSHILA AGGARWAL AND OTHERS versus STATE (NCT OF DELHI) AND ANOTHER</t>
        </is>
      </c>
      <c r="G98" s="2" t="inlineStr">
        <is>
          <t>K.L. Verma v. State &amp; Anr</t>
        </is>
      </c>
      <c r="H98" s="2" t="inlineStr">
        <is>
          <t>(1998) 9 SCC 348</t>
        </is>
      </c>
      <c r="I98" s="2" t="inlineStr">
        <is>
          <t>overruled</t>
        </is>
      </c>
      <c r="J98" s="11" t="inlineStr">
        <is>
          <t>yes</t>
        </is>
      </c>
      <c r="K98" s="11" t="inlineStr">
        <is>
          <t>b2020_2_1_131</t>
        </is>
      </c>
      <c r="L98" s="11" t="inlineStr">
        <is>
          <t>2026-10-07</t>
        </is>
      </c>
      <c r="M98" s="11" t="n"/>
      <c r="N98" s="11" t="inlineStr">
        <is>
          <t>found</t>
        </is>
      </c>
    </row>
    <row r="99">
      <c r="A99" s="11" t="inlineStr">
        <is>
          <t>P-0096</t>
        </is>
      </c>
      <c r="B99" s="11" t="inlineStr">
        <is>
          <t>open</t>
        </is>
      </c>
      <c r="C99" s="11" t="inlineStr">
        <is>
          <t>tag</t>
        </is>
      </c>
      <c r="D99" s="11" t="inlineStr">
        <is>
          <t>2020-01-29</t>
        </is>
      </c>
      <c r="E99" s="11" t="n">
        <v>5</v>
      </c>
      <c r="F99" s="2" t="inlineStr">
        <is>
          <t>SUSHILA AGGARWAL AND OTHERS versus STATE (NCT OF DELHI) AND ANOTHER</t>
        </is>
      </c>
      <c r="G99" s="2" t="inlineStr">
        <is>
          <t>Sunita Devi v. State of Bihar &amp; Anr</t>
        </is>
      </c>
      <c r="H99" s="2" t="inlineStr">
        <is>
          <t>(2005) 1 SCC 608 : [2004] 6 Suppl. SCR 707</t>
        </is>
      </c>
      <c r="I99" s="2" t="inlineStr">
        <is>
          <t>overruled</t>
        </is>
      </c>
      <c r="J99" s="11" t="inlineStr">
        <is>
          <t>yes</t>
        </is>
      </c>
      <c r="K99" s="11" t="inlineStr">
        <is>
          <t>b2020_2_1_131</t>
        </is>
      </c>
      <c r="L99" s="11" t="inlineStr">
        <is>
          <t>2026-10-07</t>
        </is>
      </c>
      <c r="M99" s="11" t="n"/>
      <c r="N99" s="11" t="inlineStr">
        <is>
          <t>found</t>
        </is>
      </c>
    </row>
    <row r="100">
      <c r="A100" s="11" t="inlineStr">
        <is>
          <t>P-0097</t>
        </is>
      </c>
      <c r="B100" s="11" t="inlineStr">
        <is>
          <t>open</t>
        </is>
      </c>
      <c r="C100" s="11" t="inlineStr">
        <is>
          <t>tag</t>
        </is>
      </c>
      <c r="D100" s="11" t="inlineStr">
        <is>
          <t>2020-01-29</t>
        </is>
      </c>
      <c r="E100" s="11" t="n">
        <v>5</v>
      </c>
      <c r="F100" s="2" t="inlineStr">
        <is>
          <t>SUSHILA AGGARWAL AND OTHERS versus STATE (NCT OF DELHI) AND ANOTHER</t>
        </is>
      </c>
      <c r="G100" s="2" t="inlineStr">
        <is>
          <t>Adri Dharan Das v. State of West Bengal</t>
        </is>
      </c>
      <c r="H100" s="2" t="inlineStr">
        <is>
          <t>(2005) 4 SCC 303 : [2005] 2 SCR 188</t>
        </is>
      </c>
      <c r="I100" s="2" t="inlineStr">
        <is>
          <t>overruled</t>
        </is>
      </c>
      <c r="J100" s="11" t="inlineStr">
        <is>
          <t>yes</t>
        </is>
      </c>
      <c r="K100" s="11" t="inlineStr">
        <is>
          <t>b2020_2_1_131</t>
        </is>
      </c>
      <c r="L100" s="11" t="inlineStr">
        <is>
          <t>2026-10-07</t>
        </is>
      </c>
      <c r="M100" s="11" t="n"/>
      <c r="N100" s="11" t="inlineStr">
        <is>
          <t>found</t>
        </is>
      </c>
    </row>
    <row r="101">
      <c r="A101" s="11" t="inlineStr">
        <is>
          <t>P-0098</t>
        </is>
      </c>
      <c r="B101" s="11" t="inlineStr">
        <is>
          <t>open</t>
        </is>
      </c>
      <c r="C101" s="11" t="inlineStr">
        <is>
          <t>tag</t>
        </is>
      </c>
      <c r="D101" s="11" t="inlineStr">
        <is>
          <t>2020-01-29</t>
        </is>
      </c>
      <c r="E101" s="11" t="n">
        <v>5</v>
      </c>
      <c r="F101" s="2" t="inlineStr">
        <is>
          <t>SUSHILA AGGARWAL AND OTHERS versus STATE (NCT OF DELHI) AND ANOTHER</t>
        </is>
      </c>
      <c r="G101" s="2" t="inlineStr">
        <is>
          <t>Nirmal Jeet Kaur v. State of M.P. &amp; Anr</t>
        </is>
      </c>
      <c r="H101" s="2" t="inlineStr">
        <is>
          <t>(2004) 7 SCC 558 : [2004] 3 Suppl. SCR 1006</t>
        </is>
      </c>
      <c r="I101" s="2" t="inlineStr">
        <is>
          <t>overruled</t>
        </is>
      </c>
      <c r="J101" s="11" t="inlineStr">
        <is>
          <t>yes</t>
        </is>
      </c>
      <c r="K101" s="11" t="inlineStr">
        <is>
          <t>b2020_2_1_131</t>
        </is>
      </c>
      <c r="L101" s="11" t="inlineStr">
        <is>
          <t>2026-10-07</t>
        </is>
      </c>
      <c r="M101" s="11" t="n"/>
      <c r="N101" s="11" t="inlineStr">
        <is>
          <t>found</t>
        </is>
      </c>
    </row>
    <row r="102">
      <c r="A102" s="11" t="inlineStr">
        <is>
          <t>P-0099</t>
        </is>
      </c>
      <c r="B102" s="11" t="inlineStr">
        <is>
          <t>open</t>
        </is>
      </c>
      <c r="C102" s="11" t="inlineStr">
        <is>
          <t>tag</t>
        </is>
      </c>
      <c r="D102" s="11" t="inlineStr">
        <is>
          <t>2020-01-29</t>
        </is>
      </c>
      <c r="E102" s="11" t="n">
        <v>5</v>
      </c>
      <c r="F102" s="2" t="inlineStr">
        <is>
          <t>SUSHILA AGGARWAL AND OTHERS versus STATE (NCT OF DELHI) AND ANOTHER</t>
        </is>
      </c>
      <c r="G102" s="2" t="inlineStr">
        <is>
          <t>HDFC Bank Limited v. J.J. Mannan</t>
        </is>
      </c>
      <c r="H102" s="2" t="inlineStr">
        <is>
          <t>(2010) 1 SCC 679 : [2009] 16 SCR 590</t>
        </is>
      </c>
      <c r="I102" s="2" t="inlineStr">
        <is>
          <t>overruled</t>
        </is>
      </c>
      <c r="J102" s="11" t="inlineStr">
        <is>
          <t>yes</t>
        </is>
      </c>
      <c r="K102" s="11" t="inlineStr">
        <is>
          <t>b2020_2_1_131</t>
        </is>
      </c>
      <c r="L102" s="11" t="inlineStr">
        <is>
          <t>2026-10-07</t>
        </is>
      </c>
      <c r="M102" s="11" t="n"/>
      <c r="N102" s="11" t="inlineStr">
        <is>
          <t>found</t>
        </is>
      </c>
    </row>
    <row r="103">
      <c r="A103" s="11" t="inlineStr">
        <is>
          <t>P-0100</t>
        </is>
      </c>
      <c r="B103" s="11" t="inlineStr">
        <is>
          <t>open</t>
        </is>
      </c>
      <c r="C103" s="11" t="inlineStr">
        <is>
          <t>tag</t>
        </is>
      </c>
      <c r="D103" s="11" t="inlineStr">
        <is>
          <t>2020-01-29</t>
        </is>
      </c>
      <c r="E103" s="11" t="n">
        <v>5</v>
      </c>
      <c r="F103" s="2" t="inlineStr">
        <is>
          <t>SUSHILA AGGARWAL AND OTHERS versus STATE (NCT OF DELHI) AND ANOTHER</t>
        </is>
      </c>
      <c r="G103" s="2" t="inlineStr">
        <is>
          <t>Satpal Singh v. the State of Punjab</t>
        </is>
      </c>
      <c r="H103" s="2" t="inlineStr">
        <is>
          <t>(2018) SCC Online (SC 415)</t>
        </is>
      </c>
      <c r="I103" s="2" t="inlineStr">
        <is>
          <t>overruled</t>
        </is>
      </c>
      <c r="J103" s="11" t="inlineStr">
        <is>
          <t>yes</t>
        </is>
      </c>
      <c r="K103" s="11" t="inlineStr">
        <is>
          <t>b2020_2_1_131</t>
        </is>
      </c>
      <c r="L103" s="11" t="inlineStr">
        <is>
          <t>2026-10-07</t>
        </is>
      </c>
      <c r="M103" s="11" t="n"/>
      <c r="N103" s="11" t="inlineStr">
        <is>
          <t>found</t>
        </is>
      </c>
    </row>
    <row r="104">
      <c r="A104" s="11" t="inlineStr">
        <is>
          <t>P-0101</t>
        </is>
      </c>
      <c r="B104" s="11" t="inlineStr">
        <is>
          <t>open</t>
        </is>
      </c>
      <c r="C104" s="11" t="inlineStr">
        <is>
          <t>tag</t>
        </is>
      </c>
      <c r="D104" s="11" t="inlineStr">
        <is>
          <t>2020-01-29</t>
        </is>
      </c>
      <c r="E104" s="11" t="n">
        <v>5</v>
      </c>
      <c r="F104" s="2" t="inlineStr">
        <is>
          <t>SUSHILA AGGARWAL AND OTHERS versus STATE (NCT OF DELHI) AND ANOTHER</t>
        </is>
      </c>
      <c r="G104" s="2" t="inlineStr">
        <is>
          <t>Naresh Kumar Yadav v Ravindra Kumar</t>
        </is>
      </c>
      <c r="H104" s="2" t="inlineStr">
        <is>
          <t>(2008) 1 SCC 632 : [2007] 11 SCR 615</t>
        </is>
      </c>
      <c r="I104" s="2" t="inlineStr">
        <is>
          <t>overruled</t>
        </is>
      </c>
      <c r="J104" s="11" t="inlineStr">
        <is>
          <t>yes</t>
        </is>
      </c>
      <c r="K104" s="11" t="inlineStr">
        <is>
          <t>b2020_2_1_131</t>
        </is>
      </c>
      <c r="L104" s="11" t="inlineStr">
        <is>
          <t>2026-10-07</t>
        </is>
      </c>
      <c r="M104" s="11" t="n"/>
      <c r="N104" s="11" t="inlineStr">
        <is>
          <t>found</t>
        </is>
      </c>
    </row>
    <row r="105">
      <c r="A105" s="11" t="inlineStr">
        <is>
          <t>P-0102</t>
        </is>
      </c>
      <c r="B105" s="11" t="inlineStr">
        <is>
          <t>open</t>
        </is>
      </c>
      <c r="C105" s="11" t="inlineStr">
        <is>
          <t>tag</t>
        </is>
      </c>
      <c r="D105" s="11" t="inlineStr">
        <is>
          <t>2020-01-29</t>
        </is>
      </c>
      <c r="E105" s="11" t="n">
        <v>5</v>
      </c>
      <c r="F105" s="2" t="inlineStr">
        <is>
          <t>SUSHILA AGGARWAL AND OTHERS versus STATE (NCT OF DELHI) AND ANOTHER</t>
        </is>
      </c>
      <c r="G105" s="2" t="inlineStr">
        <is>
          <t>Siddharam Satlingappa Mhetre v. State of Maharashtra &amp; Ors</t>
        </is>
      </c>
      <c r="H105" s="2" t="inlineStr">
        <is>
          <t>(2011) 1 SCC 694 : [2010] 15 SCR 201</t>
        </is>
      </c>
      <c r="I105" s="2" t="inlineStr">
        <is>
          <t>overruled</t>
        </is>
      </c>
      <c r="J105" s="11" t="inlineStr">
        <is>
          <t>yes</t>
        </is>
      </c>
      <c r="K105" s="11" t="inlineStr">
        <is>
          <t>b2020_2_1_131</t>
        </is>
      </c>
      <c r="L105" s="11" t="inlineStr">
        <is>
          <t>2026-10-07</t>
        </is>
      </c>
      <c r="M105" s="11" t="n"/>
      <c r="N105" s="11" t="inlineStr">
        <is>
          <t>found</t>
        </is>
      </c>
    </row>
    <row r="106">
      <c r="A106" s="11" t="inlineStr">
        <is>
          <t>P-0103</t>
        </is>
      </c>
      <c r="B106" s="11" t="inlineStr">
        <is>
          <t>open</t>
        </is>
      </c>
      <c r="C106" s="11" t="inlineStr">
        <is>
          <t>tag</t>
        </is>
      </c>
      <c r="D106" s="11" t="inlineStr">
        <is>
          <t>2020-01-29</t>
        </is>
      </c>
      <c r="E106" s="11" t="n">
        <v>5</v>
      </c>
      <c r="F106" s="2" t="inlineStr">
        <is>
          <t>SUSHILA AGGARWAL AND OTHERS versus STATE (NCT OF DELHI) AND ANOTHER</t>
        </is>
      </c>
      <c r="G106" s="2" t="inlineStr">
        <is>
          <t>Bhadresh Bipinbhai Sheth v. State of Gujarat &amp; Anr</t>
        </is>
      </c>
      <c r="H106" s="2" t="inlineStr">
        <is>
          <t>(2016) 1 SCC 152 : [2015] 10 SCR 398</t>
        </is>
      </c>
      <c r="I106" s="2" t="inlineStr">
        <is>
          <t>overruled</t>
        </is>
      </c>
      <c r="J106" s="11" t="inlineStr">
        <is>
          <t>yes</t>
        </is>
      </c>
      <c r="K106" s="11" t="inlineStr">
        <is>
          <t>b2020_2_1_131</t>
        </is>
      </c>
      <c r="L106" s="11" t="inlineStr">
        <is>
          <t>2026-10-07</t>
        </is>
      </c>
      <c r="M106" s="11" t="n"/>
      <c r="N106" s="11" t="inlineStr">
        <is>
          <t>found</t>
        </is>
      </c>
    </row>
    <row r="107">
      <c r="A107" s="11" t="inlineStr">
        <is>
          <t>P-0104</t>
        </is>
      </c>
      <c r="B107" s="11" t="inlineStr">
        <is>
          <t>open</t>
        </is>
      </c>
      <c r="C107" s="11" t="inlineStr">
        <is>
          <t>tag</t>
        </is>
      </c>
      <c r="D107" s="11" t="inlineStr">
        <is>
          <t>2020-01-29</t>
        </is>
      </c>
      <c r="E107" s="11" t="n">
        <v>5</v>
      </c>
      <c r="F107" s="2" t="inlineStr">
        <is>
          <t>SUSHILA AGGARWAL AND OTHERS versus STATE (NCT OF DELHI) AND ANOTHER</t>
        </is>
      </c>
      <c r="G107" s="2" t="inlineStr">
        <is>
          <t>Salauddin Abdulsamad Shaikh v. State of Maharashtra</t>
        </is>
      </c>
      <c r="H107" s="2" t="inlineStr">
        <is>
          <t>(1996) 1 SCC 667 : [1995] 6 Suppl. SCR 556</t>
        </is>
      </c>
      <c r="I107" s="2" t="inlineStr">
        <is>
          <t>overruled</t>
        </is>
      </c>
      <c r="J107" s="11" t="inlineStr">
        <is>
          <t>yes</t>
        </is>
      </c>
      <c r="K107" s="11" t="inlineStr">
        <is>
          <t>b2020_2_1_131</t>
        </is>
      </c>
      <c r="L107" s="11" t="inlineStr">
        <is>
          <t>2026-10-07</t>
        </is>
      </c>
      <c r="M107" s="11" t="n"/>
      <c r="N107" s="11" t="inlineStr">
        <is>
          <t>found</t>
        </is>
      </c>
    </row>
    <row r="108">
      <c r="A108" s="11" t="inlineStr">
        <is>
          <t>P-0105</t>
        </is>
      </c>
      <c r="B108" s="11" t="inlineStr">
        <is>
          <t>open</t>
        </is>
      </c>
      <c r="C108" s="11" t="inlineStr">
        <is>
          <t>tag</t>
        </is>
      </c>
      <c r="D108" s="11" t="inlineStr">
        <is>
          <t>2020-01-29</t>
        </is>
      </c>
      <c r="E108" s="11" t="n">
        <v>5</v>
      </c>
      <c r="F108" s="2" t="inlineStr">
        <is>
          <t>SUSHILA AGGARWAL AND OTHERS versus STATE (NCT OF DELHI) AND ANOTHER</t>
        </is>
      </c>
      <c r="G108" s="2" t="inlineStr">
        <is>
          <t>Siddharam Satlingappa Mhetre v. State of Maharashtra</t>
        </is>
      </c>
      <c r="H108" s="2" t="inlineStr">
        <is>
          <t>(2011) 1 SCC 694 : [2010] 15 SCR 201</t>
        </is>
      </c>
      <c r="I108" s="2" t="inlineStr">
        <is>
          <t>overruled</t>
        </is>
      </c>
      <c r="J108" s="11" t="inlineStr">
        <is>
          <t>yes</t>
        </is>
      </c>
      <c r="K108" s="11" t="inlineStr">
        <is>
          <t>b2020_2_1_131</t>
        </is>
      </c>
      <c r="L108" s="11" t="inlineStr">
        <is>
          <t>2026-10-07</t>
        </is>
      </c>
      <c r="M108" s="11" t="n"/>
      <c r="N108" s="11" t="inlineStr">
        <is>
          <t>found</t>
        </is>
      </c>
    </row>
    <row r="109">
      <c r="A109" s="11" t="inlineStr">
        <is>
          <t>P-0106</t>
        </is>
      </c>
      <c r="B109" s="11" t="inlineStr">
        <is>
          <t>open</t>
        </is>
      </c>
      <c r="C109" s="11" t="inlineStr">
        <is>
          <t>tag</t>
        </is>
      </c>
      <c r="D109" s="11" t="inlineStr">
        <is>
          <t>2020-01-29</t>
        </is>
      </c>
      <c r="E109" s="11" t="n">
        <v>5</v>
      </c>
      <c r="F109" s="2" t="inlineStr">
        <is>
          <t>SUSHILA AGGARWAL AND OTHERS versus STATE (NCT OF DELHI) AND ANOTHER</t>
        </is>
      </c>
      <c r="G109" s="2" t="inlineStr">
        <is>
          <t>Sunita Devi v. State of Bihar &amp; Anr</t>
        </is>
      </c>
      <c r="H109" s="2" t="inlineStr"/>
      <c r="I109" s="2" t="inlineStr">
        <is>
          <t>overruled</t>
        </is>
      </c>
      <c r="J109" s="11" t="inlineStr"/>
      <c r="K109" s="11" t="inlineStr">
        <is>
          <t>b2020_2_1_131</t>
        </is>
      </c>
      <c r="L109" s="11" t="inlineStr">
        <is>
          <t>2026-10-07</t>
        </is>
      </c>
      <c r="M109" s="11" t="n"/>
      <c r="N109" s="11" t="inlineStr">
        <is>
          <t>found</t>
        </is>
      </c>
    </row>
    <row r="110">
      <c r="A110" s="11" t="inlineStr">
        <is>
          <t>P-0107</t>
        </is>
      </c>
      <c r="B110" s="11" t="inlineStr">
        <is>
          <t>open</t>
        </is>
      </c>
      <c r="C110" s="11" t="inlineStr">
        <is>
          <t>tag</t>
        </is>
      </c>
      <c r="D110" s="11" t="inlineStr">
        <is>
          <t>2020-01-29</t>
        </is>
      </c>
      <c r="E110" s="11" t="n">
        <v>5</v>
      </c>
      <c r="F110" s="2" t="inlineStr">
        <is>
          <t>SUSHILA AGGARWAL AND OTHERS versus STATE (NCT OF DELHI) AND ANOTHER</t>
        </is>
      </c>
      <c r="G110" s="2" t="inlineStr">
        <is>
          <t>Adri Dharan Das v. State of West Bengal</t>
        </is>
      </c>
      <c r="H110" s="2" t="inlineStr"/>
      <c r="I110" s="2" t="inlineStr">
        <is>
          <t>overruled</t>
        </is>
      </c>
      <c r="J110" s="11" t="inlineStr"/>
      <c r="K110" s="11" t="inlineStr">
        <is>
          <t>b2020_2_1_131</t>
        </is>
      </c>
      <c r="L110" s="11" t="inlineStr">
        <is>
          <t>2026-10-07</t>
        </is>
      </c>
      <c r="M110" s="11" t="n"/>
      <c r="N110" s="11" t="inlineStr">
        <is>
          <t>found</t>
        </is>
      </c>
    </row>
    <row r="111">
      <c r="A111" s="11" t="inlineStr">
        <is>
          <t>P-0108</t>
        </is>
      </c>
      <c r="B111" s="11" t="inlineStr">
        <is>
          <t>open</t>
        </is>
      </c>
      <c r="C111" s="11" t="inlineStr">
        <is>
          <t>tag</t>
        </is>
      </c>
      <c r="D111" s="11" t="inlineStr">
        <is>
          <t>2020-01-29</t>
        </is>
      </c>
      <c r="E111" s="11" t="n">
        <v>5</v>
      </c>
      <c r="F111" s="2" t="inlineStr">
        <is>
          <t>SUSHILA AGGARWAL AND OTHERS versus STATE (NCT OF DELHI) AND ANOTHER</t>
        </is>
      </c>
      <c r="G111" s="2" t="inlineStr">
        <is>
          <t>Nirmal Jeet Kaur v. State of M.P. &amp; Anr</t>
        </is>
      </c>
      <c r="H111" s="2" t="inlineStr"/>
      <c r="I111" s="2" t="inlineStr">
        <is>
          <t>overruled</t>
        </is>
      </c>
      <c r="J111" s="11" t="inlineStr"/>
      <c r="K111" s="11" t="inlineStr">
        <is>
          <t>b2020_2_1_131</t>
        </is>
      </c>
      <c r="L111" s="11" t="inlineStr">
        <is>
          <t>2026-10-07</t>
        </is>
      </c>
      <c r="M111" s="11" t="n"/>
      <c r="N111" s="11" t="inlineStr">
        <is>
          <t>found</t>
        </is>
      </c>
    </row>
    <row r="112">
      <c r="A112" s="11" t="inlineStr">
        <is>
          <t>P-0109</t>
        </is>
      </c>
      <c r="B112" s="11" t="inlineStr">
        <is>
          <t>open</t>
        </is>
      </c>
      <c r="C112" s="11" t="inlineStr">
        <is>
          <t>tag</t>
        </is>
      </c>
      <c r="D112" s="11" t="inlineStr">
        <is>
          <t>2020-01-29</t>
        </is>
      </c>
      <c r="E112" s="11" t="n">
        <v>5</v>
      </c>
      <c r="F112" s="2" t="inlineStr">
        <is>
          <t>SUSHILA AGGARWAL AND OTHERS versus STATE (NCT OF DELHI) AND ANOTHER</t>
        </is>
      </c>
      <c r="G112" s="2" t="inlineStr">
        <is>
          <t>HDFC Bank Limited v. J.J. Mannan</t>
        </is>
      </c>
      <c r="H112" s="2" t="inlineStr"/>
      <c r="I112" s="2" t="inlineStr">
        <is>
          <t>overruled</t>
        </is>
      </c>
      <c r="J112" s="11" t="inlineStr"/>
      <c r="K112" s="11" t="inlineStr">
        <is>
          <t>b2020_2_1_131</t>
        </is>
      </c>
      <c r="L112" s="11" t="inlineStr">
        <is>
          <t>2026-10-07</t>
        </is>
      </c>
      <c r="M112" s="11" t="n"/>
      <c r="N112" s="11" t="inlineStr">
        <is>
          <t>found</t>
        </is>
      </c>
    </row>
    <row r="113">
      <c r="A113" s="11" t="inlineStr">
        <is>
          <t>P-0110</t>
        </is>
      </c>
      <c r="B113" s="11" t="inlineStr">
        <is>
          <t>open</t>
        </is>
      </c>
      <c r="C113" s="11" t="inlineStr">
        <is>
          <t>tag</t>
        </is>
      </c>
      <c r="D113" s="11" t="inlineStr">
        <is>
          <t>2020-01-29</t>
        </is>
      </c>
      <c r="E113" s="11" t="n">
        <v>5</v>
      </c>
      <c r="F113" s="2" t="inlineStr">
        <is>
          <t>SUSHILA AGGARWAL AND OTHERS versus STATE (NCT OF DELHI) AND ANOTHER</t>
        </is>
      </c>
      <c r="G113" s="2" t="inlineStr">
        <is>
          <t>Siddharam Satlingappa Mhetre v. State of Maharashtra</t>
        </is>
      </c>
      <c r="H113" s="2" t="inlineStr">
        <is>
          <t>(2011) 1 SCC 694 : [2010] 15 SCR 201</t>
        </is>
      </c>
      <c r="I113" s="2" t="inlineStr">
        <is>
          <t>overruled</t>
        </is>
      </c>
      <c r="J113" s="11" t="inlineStr">
        <is>
          <t>yes</t>
        </is>
      </c>
      <c r="K113" s="11" t="inlineStr">
        <is>
          <t>b2020_2_1_131</t>
        </is>
      </c>
      <c r="L113" s="11" t="inlineStr">
        <is>
          <t>2026-10-07</t>
        </is>
      </c>
      <c r="M113" s="11" t="n"/>
      <c r="N113" s="11" t="inlineStr">
        <is>
          <t>found</t>
        </is>
      </c>
    </row>
    <row r="114">
      <c r="A114" s="11" t="inlineStr">
        <is>
          <t>P-0111</t>
        </is>
      </c>
      <c r="B114" s="11" t="inlineStr">
        <is>
          <t>open</t>
        </is>
      </c>
      <c r="C114" s="11" t="inlineStr">
        <is>
          <t>tag</t>
        </is>
      </c>
      <c r="D114" s="11" t="inlineStr">
        <is>
          <t>2020-01-29</t>
        </is>
      </c>
      <c r="E114" s="11" t="n">
        <v>5</v>
      </c>
      <c r="F114" s="2" t="inlineStr">
        <is>
          <t>SUSHILA AGGARWAL AND OTHERS versus STATE (NCT OF DELHI) AND ANOTHER</t>
        </is>
      </c>
      <c r="G114" s="2" t="inlineStr">
        <is>
          <t>Salauddin Abdulsamad Shaikh v. State of Maharashtra</t>
        </is>
      </c>
      <c r="H114" s="2" t="inlineStr">
        <is>
          <t>(1996) 1 SCC 667 : [1995] 6 Suppl. SCR 556</t>
        </is>
      </c>
      <c r="I114" s="2" t="inlineStr">
        <is>
          <t>overruled</t>
        </is>
      </c>
      <c r="J114" s="11" t="inlineStr">
        <is>
          <t>yes</t>
        </is>
      </c>
      <c r="K114" s="11" t="inlineStr">
        <is>
          <t>b2020_2_1_131</t>
        </is>
      </c>
      <c r="L114" s="11" t="inlineStr">
        <is>
          <t>2026-10-07</t>
        </is>
      </c>
      <c r="M114" s="11" t="n"/>
      <c r="N114" s="11" t="inlineStr">
        <is>
          <t>found</t>
        </is>
      </c>
    </row>
    <row r="115">
      <c r="A115" s="11" t="inlineStr">
        <is>
          <t>P-0112</t>
        </is>
      </c>
      <c r="B115" s="11" t="inlineStr">
        <is>
          <t>open</t>
        </is>
      </c>
      <c r="C115" s="11" t="inlineStr">
        <is>
          <t>tag</t>
        </is>
      </c>
      <c r="D115" s="11" t="inlineStr">
        <is>
          <t>2020-01-29</t>
        </is>
      </c>
      <c r="E115" s="11" t="n">
        <v>5</v>
      </c>
      <c r="F115" s="2" t="inlineStr">
        <is>
          <t>SUSHILA AGGARWAL AND OTHERS versus STATE (NCT OF DELHI) AND ANOTHER</t>
        </is>
      </c>
      <c r="G115" s="2" t="inlineStr">
        <is>
          <t>K.L. Verma v. State and another</t>
        </is>
      </c>
      <c r="H115" s="2" t="inlineStr">
        <is>
          <t>(1998) 9 SCC 348</t>
        </is>
      </c>
      <c r="I115" s="2" t="inlineStr">
        <is>
          <t>overruled</t>
        </is>
      </c>
      <c r="J115" s="11" t="inlineStr">
        <is>
          <t>yes</t>
        </is>
      </c>
      <c r="K115" s="11" t="inlineStr">
        <is>
          <t>b2020_2_1_131</t>
        </is>
      </c>
      <c r="L115" s="11" t="inlineStr">
        <is>
          <t>2026-10-07</t>
        </is>
      </c>
      <c r="M115" s="11" t="n"/>
      <c r="N115" s="11" t="inlineStr">
        <is>
          <t>found</t>
        </is>
      </c>
    </row>
    <row r="116">
      <c r="A116" s="11" t="inlineStr">
        <is>
          <t>P-0113</t>
        </is>
      </c>
      <c r="B116" s="11" t="inlineStr">
        <is>
          <t>open</t>
        </is>
      </c>
      <c r="C116" s="11" t="inlineStr">
        <is>
          <t>tag</t>
        </is>
      </c>
      <c r="D116" s="11" t="inlineStr">
        <is>
          <t>2020-01-29</t>
        </is>
      </c>
      <c r="E116" s="11" t="n">
        <v>5</v>
      </c>
      <c r="F116" s="2" t="inlineStr">
        <is>
          <t>SUSHILA AGGARWAL AND OTHERS versus STATE (NCT OF DELHI) AND ANOTHER</t>
        </is>
      </c>
      <c r="G116" s="2" t="inlineStr">
        <is>
          <t>Sunita Devi v. State of Bihar</t>
        </is>
      </c>
      <c r="H116" s="2" t="inlineStr">
        <is>
          <t>(2005) 1 SCC 608 : [2004] 6 Suppl. SCR 707</t>
        </is>
      </c>
      <c r="I116" s="2" t="inlineStr">
        <is>
          <t>overruled</t>
        </is>
      </c>
      <c r="J116" s="11" t="inlineStr">
        <is>
          <t>yes</t>
        </is>
      </c>
      <c r="K116" s="11" t="inlineStr">
        <is>
          <t>b2020_2_1_131</t>
        </is>
      </c>
      <c r="L116" s="11" t="inlineStr">
        <is>
          <t>2026-10-07</t>
        </is>
      </c>
      <c r="M116" s="11" t="n"/>
      <c r="N116" s="11" t="inlineStr">
        <is>
          <t>found</t>
        </is>
      </c>
    </row>
    <row r="117">
      <c r="A117" s="11" t="inlineStr">
        <is>
          <t>P-0114</t>
        </is>
      </c>
      <c r="B117" s="11" t="inlineStr">
        <is>
          <t>open</t>
        </is>
      </c>
      <c r="C117" s="11" t="inlineStr">
        <is>
          <t>tag</t>
        </is>
      </c>
      <c r="D117" s="11" t="inlineStr">
        <is>
          <t>2020-01-29</t>
        </is>
      </c>
      <c r="E117" s="11" t="n">
        <v>5</v>
      </c>
      <c r="F117" s="2" t="inlineStr">
        <is>
          <t>SUSHILA AGGARWAL AND OTHERS versus STATE (NCT OF DELHI) AND ANOTHER</t>
        </is>
      </c>
      <c r="G117" s="2" t="inlineStr">
        <is>
          <t>Adri Dharan Das v. State of West Bengal</t>
        </is>
      </c>
      <c r="H117" s="2" t="inlineStr">
        <is>
          <t>(2005) (4) SCC 303 : [2005] 2 SCR 188</t>
        </is>
      </c>
      <c r="I117" s="2" t="inlineStr">
        <is>
          <t>overruled</t>
        </is>
      </c>
      <c r="J117" s="11" t="inlineStr">
        <is>
          <t>yes</t>
        </is>
      </c>
      <c r="K117" s="11" t="inlineStr">
        <is>
          <t>b2020_2_1_131</t>
        </is>
      </c>
      <c r="L117" s="11" t="inlineStr">
        <is>
          <t>2026-10-07</t>
        </is>
      </c>
      <c r="M117" s="11" t="n"/>
      <c r="N117" s="11" t="inlineStr">
        <is>
          <t>found</t>
        </is>
      </c>
    </row>
    <row r="118">
      <c r="A118" s="11" t="inlineStr">
        <is>
          <t>P-0115</t>
        </is>
      </c>
      <c r="B118" s="11" t="inlineStr">
        <is>
          <t>open</t>
        </is>
      </c>
      <c r="C118" s="11" t="inlineStr">
        <is>
          <t>tag</t>
        </is>
      </c>
      <c r="D118" s="11" t="inlineStr">
        <is>
          <t>2020-01-29</t>
        </is>
      </c>
      <c r="E118" s="11" t="n">
        <v>5</v>
      </c>
      <c r="F118" s="2" t="inlineStr">
        <is>
          <t>SUSHILA AGGARWAL AND OTHERS versus STATE (NCT OF DELHI) AND ANOTHER</t>
        </is>
      </c>
      <c r="G118" s="2" t="inlineStr">
        <is>
          <t>Nirmal Jeet Kaur v. SUSHILA AGGARWAL v. STATE (NCT OF DELHI) SUPREME COURT REPORTS</t>
        </is>
      </c>
      <c r="H118" s="2" t="inlineStr">
        <is>
          <t>[2020] 2 S.C.R. State of M.P. (2004) 7 SCC 558 : [2004] 3 Suppl. SCR 1006</t>
        </is>
      </c>
      <c r="I118" s="2" t="inlineStr">
        <is>
          <t>overruled</t>
        </is>
      </c>
      <c r="J118" s="11" t="inlineStr">
        <is>
          <t>yes</t>
        </is>
      </c>
      <c r="K118" s="11" t="inlineStr">
        <is>
          <t>b2020_2_1_131</t>
        </is>
      </c>
      <c r="L118" s="11" t="inlineStr">
        <is>
          <t>2026-10-07</t>
        </is>
      </c>
      <c r="M118" s="11" t="n"/>
      <c r="N118" s="11" t="inlineStr">
        <is>
          <t>found</t>
        </is>
      </c>
    </row>
    <row r="119">
      <c r="A119" s="11" t="inlineStr">
        <is>
          <t>P-0116</t>
        </is>
      </c>
      <c r="B119" s="11" t="inlineStr">
        <is>
          <t>open</t>
        </is>
      </c>
      <c r="C119" s="11" t="inlineStr">
        <is>
          <t>tag</t>
        </is>
      </c>
      <c r="D119" s="11" t="inlineStr">
        <is>
          <t>2020-01-29</t>
        </is>
      </c>
      <c r="E119" s="11" t="n">
        <v>5</v>
      </c>
      <c r="F119" s="2" t="inlineStr">
        <is>
          <t>SUSHILA AGGARWAL AND OTHERS versus STATE (NCT OF DELHI) AND ANOTHER</t>
        </is>
      </c>
      <c r="G119" s="2" t="inlineStr">
        <is>
          <t>HDFC Bank Limited v. J.J. Mannan</t>
        </is>
      </c>
      <c r="H119" s="2" t="inlineStr">
        <is>
          <t>(2010) 1 SCC 679 : [2009] 16 SCR 590</t>
        </is>
      </c>
      <c r="I119" s="2" t="inlineStr">
        <is>
          <t>overruled</t>
        </is>
      </c>
      <c r="J119" s="11" t="inlineStr">
        <is>
          <t>yes</t>
        </is>
      </c>
      <c r="K119" s="11" t="inlineStr">
        <is>
          <t>b2020_2_1_131</t>
        </is>
      </c>
      <c r="L119" s="11" t="inlineStr">
        <is>
          <t>2026-10-07</t>
        </is>
      </c>
      <c r="M119" s="11" t="n"/>
      <c r="N119" s="11" t="inlineStr">
        <is>
          <t>found</t>
        </is>
      </c>
    </row>
    <row r="120">
      <c r="A120" s="11" t="inlineStr">
        <is>
          <t>P-0117</t>
        </is>
      </c>
      <c r="B120" s="11" t="inlineStr">
        <is>
          <t>open</t>
        </is>
      </c>
      <c r="C120" s="11" t="inlineStr">
        <is>
          <t>tag</t>
        </is>
      </c>
      <c r="D120" s="11" t="inlineStr">
        <is>
          <t>2020-01-29</t>
        </is>
      </c>
      <c r="E120" s="11" t="n">
        <v>5</v>
      </c>
      <c r="F120" s="2" t="inlineStr">
        <is>
          <t>SUSHILA AGGARWAL AND OTHERS versus STATE (NCT OF DELHI) AND ANOTHER</t>
        </is>
      </c>
      <c r="G120" s="2" t="inlineStr">
        <is>
          <t>Satpal Singh v. State of Punjab</t>
        </is>
      </c>
      <c r="H120" s="2" t="inlineStr">
        <is>
          <t>(2018) 4 SCC 303 : [2018] 3 SCR 739</t>
        </is>
      </c>
      <c r="I120" s="2" t="inlineStr">
        <is>
          <t>overruled</t>
        </is>
      </c>
      <c r="J120" s="11" t="inlineStr">
        <is>
          <t>yes</t>
        </is>
      </c>
      <c r="K120" s="11" t="inlineStr">
        <is>
          <t>b2020_2_1_131</t>
        </is>
      </c>
      <c r="L120" s="11" t="inlineStr">
        <is>
          <t>2026-10-07</t>
        </is>
      </c>
      <c r="M120" s="11" t="n"/>
      <c r="N120" s="11" t="inlineStr">
        <is>
          <t>found</t>
        </is>
      </c>
    </row>
    <row r="121">
      <c r="A121" s="11" t="inlineStr">
        <is>
          <t>P-0118</t>
        </is>
      </c>
      <c r="B121" s="11" t="inlineStr">
        <is>
          <t>open</t>
        </is>
      </c>
      <c r="C121" s="11" t="inlineStr">
        <is>
          <t>tag</t>
        </is>
      </c>
      <c r="D121" s="11" t="inlineStr">
        <is>
          <t>2020-01-29</t>
        </is>
      </c>
      <c r="E121" s="11" t="n">
        <v>5</v>
      </c>
      <c r="F121" s="2" t="inlineStr">
        <is>
          <t>SUSHILA AGGARWAL AND OTHERS versus STATE (NCT OF DELHI) AND ANOTHER</t>
        </is>
      </c>
      <c r="G121" s="2" t="inlineStr">
        <is>
          <t>Naresh Kumar Yadav v Ravindra Kumar</t>
        </is>
      </c>
      <c r="H121" s="2" t="inlineStr">
        <is>
          <t>(2008) 1 SCC 632 : [2007] 11 SCR 615</t>
        </is>
      </c>
      <c r="I121" s="2" t="inlineStr">
        <is>
          <t>overruled</t>
        </is>
      </c>
      <c r="J121" s="11" t="inlineStr">
        <is>
          <t>yes</t>
        </is>
      </c>
      <c r="K121" s="11" t="inlineStr">
        <is>
          <t>b2020_2_1_131</t>
        </is>
      </c>
      <c r="L121" s="11" t="inlineStr">
        <is>
          <t>2026-10-07</t>
        </is>
      </c>
      <c r="M121" s="11" t="n"/>
      <c r="N121" s="11" t="inlineStr">
        <is>
          <t>found</t>
        </is>
      </c>
    </row>
    <row r="122">
      <c r="A122" s="11" t="inlineStr">
        <is>
          <t>P-0119</t>
        </is>
      </c>
      <c r="B122" s="11" t="inlineStr">
        <is>
          <t>open</t>
        </is>
      </c>
      <c r="C122" s="11" t="inlineStr">
        <is>
          <t>sentence</t>
        </is>
      </c>
      <c r="D122" s="11" t="inlineStr">
        <is>
          <t>2020-02-11</t>
        </is>
      </c>
      <c r="E122" s="11" t="n">
        <v>3</v>
      </c>
      <c r="F122" s="2" t="inlineStr">
        <is>
          <t>COMMISSIONER OF CUSTOMS AND CENTRAL EXCISE, GOA versus M/S ADANI EXPORTS LTD.</t>
        </is>
      </c>
      <c r="G122" s="2" t="n"/>
      <c r="H122" s="2" t="n"/>
      <c r="I122" s="2" t="inlineStr">
        <is>
          <t>The judgment in Commissioner of Customs, Bangalore (supra) being incorrect is therefore overruled. 4.</t>
        </is>
      </c>
      <c r="J122" s="11" t="inlineStr"/>
      <c r="K122" s="11" t="inlineStr">
        <is>
          <t>b2020_3_887_890</t>
        </is>
      </c>
      <c r="L122" s="11" t="inlineStr">
        <is>
          <t>2026-10-07</t>
        </is>
      </c>
      <c r="M122" s="11" t="n"/>
      <c r="N122" s="11" t="inlineStr">
        <is>
          <t>found</t>
        </is>
      </c>
    </row>
    <row r="123">
      <c r="A123" s="11" t="inlineStr">
        <is>
          <t>P-0120</t>
        </is>
      </c>
      <c r="B123" s="11" t="inlineStr">
        <is>
          <t>open</t>
        </is>
      </c>
      <c r="C123" s="11" t="inlineStr">
        <is>
          <t>tag</t>
        </is>
      </c>
      <c r="D123" s="11" t="inlineStr">
        <is>
          <t>2020-02-19</t>
        </is>
      </c>
      <c r="E123" s="11" t="n">
        <v>3</v>
      </c>
      <c r="F123" s="2" t="inlineStr">
        <is>
          <t>DHEERAJ MOR versus HON’BLE HIGH COURT OF DELHI</t>
        </is>
      </c>
      <c r="G123" s="2" t="inlineStr">
        <is>
          <t>Vijay Kumar Mishra &amp; Anr. v. High Court of Judicature at Patna &amp; Ors.</t>
        </is>
      </c>
      <c r="H123" s="2" t="inlineStr">
        <is>
          <t>(2016) 9 SCC 313 : [2016] 3 SCR 806</t>
        </is>
      </c>
      <c r="I123" s="2" t="inlineStr">
        <is>
          <t>overruled</t>
        </is>
      </c>
      <c r="J123" s="11" t="inlineStr"/>
      <c r="K123" s="11" t="inlineStr">
        <is>
          <t>b2020_2_161_245</t>
        </is>
      </c>
      <c r="L123" s="11" t="inlineStr">
        <is>
          <t>2026-10-07</t>
        </is>
      </c>
      <c r="M123" s="11" t="n"/>
      <c r="N123" s="11" t="inlineStr">
        <is>
          <t>found</t>
        </is>
      </c>
    </row>
    <row r="124">
      <c r="A124" s="11" t="inlineStr">
        <is>
          <t>P-0121</t>
        </is>
      </c>
      <c r="B124" s="11" t="inlineStr">
        <is>
          <t>open</t>
        </is>
      </c>
      <c r="C124" s="11" t="inlineStr">
        <is>
          <t>tag</t>
        </is>
      </c>
      <c r="D124" s="11" t="inlineStr">
        <is>
          <t>2020-02-19</t>
        </is>
      </c>
      <c r="E124" s="11" t="n">
        <v>3</v>
      </c>
      <c r="F124" s="2" t="inlineStr">
        <is>
          <t>DHEERAJ MOR versus HON’BLE HIGH COURT OF DELHI</t>
        </is>
      </c>
      <c r="G124" s="2" t="inlineStr">
        <is>
          <t>DHEERAJ MOR v. HON’BLE HIGH COURT OF DELHI SUPREME COURT REPORTS</t>
        </is>
      </c>
      <c r="H124" s="2" t="inlineStr">
        <is>
          <t>[2020] 2 S.C.R. (c) Article 233 (1) cannot be construed as a source of appointment; it merely delineates as to who is the appointing authority; (d) In matters relating to initial posting, initial appointment, and promotion of District Judges, the Governor has the authority to issue the order; thereafter it is up to the High Court, by virtue of Article 235, to exercise control and superintendence over the conditions of service of such District Judges. (See State of Assam v Ranga Mahammad [1967] 1 SCR 454); (e) Article 233 (2) is concerned only with eligibility of those who can be considered for appointment as District Judge. The Constitution clearly states that one who has been for not less than seven years, “an advocate or pleader” and one who is “not already in the service of the Union or of the State” (in the sense that such person is not a holder of a civil or executive post, under the Union or of a State) can be considered for appointment, as a District judge. Significantly, the eligibility- for both categories, is couched in negative terms. Clearly, all that the Constitution envisioned was that an advocate with not less than seven years’ practise could be appointed as a District Judge, under Article 233 (2). (f) Significantly, Article 233 (2) ex facie does not exclude judicial officers from consideration for appointment to the post of District Judge. It, however, equally does not spell out any criteria for such category of candidates. This does not mean however, that if they or any of them, had seven years’ practise in the past, can be considered eligible, because no one amongst them can be said to answer the description of a candidate who “has been for not less than seven years” “an advocate or a pleader” (per Deepak Agarwal, i.e. that the applicant/candidate should be an advocate fulfilling the condition of practise on the date of the eligibility condition, or applying for the post). The sequitur clearly is that a judicial officer is not one who has been for not less than seven years, an advocate or pleader. The net result of the decision in Chandra Mohan, and subsequent decisions which followed it, is that Article 233 (2) renders ineligible all those who hold civil posts under a State or the Union, just as it renders all advocates with less than seven years’ practice ineligible, on the date fixed for reckoning eligibility. Equally, those in judicial service [i.e. holders of posts other than District Judge, per Article 236 (2)] are not entitled to consideration because the provision (Article 233 [2]) does not prescribe any eligibility condition. Does this mean that any judicial officer, with any length of service as a member of the judicial service, is entitled to consideration under Article 233 (2)? The answer is clearly in the negative. This is because the negative phraseology through which eligibility of holders of civil posts, or those in civil service (of the State or the Union) and advocates with seven years’ service is couched. However, the eligibility conditions are not spelt out in respect of those who are in the judicial service. [Paras 24, 25][237-B-E; 238-A-D; 239-A-E] 1.2 The omission- in regard to spelling out the eligibility conditions vis-à-vis judicial officers, to the post of District Judge, in the opinion of this court, is clearly by design. This subject matter is covered by three provisions: Article 233 (1) – which refers to promotions to the post of District Judge</t>
        </is>
      </c>
      <c r="I124" s="2" t="inlineStr">
        <is>
          <t>overruled</t>
        </is>
      </c>
      <c r="J124" s="11" t="inlineStr"/>
      <c r="K124" s="11" t="inlineStr">
        <is>
          <t>b2020_2_161_245</t>
        </is>
      </c>
      <c r="L124" s="11" t="inlineStr">
        <is>
          <t>2026-10-07</t>
        </is>
      </c>
      <c r="M124" s="11" t="n"/>
      <c r="N124" s="11" t="inlineStr">
        <is>
          <t>found</t>
        </is>
      </c>
    </row>
    <row r="125">
      <c r="A125" s="11" t="inlineStr">
        <is>
          <t>P-0122</t>
        </is>
      </c>
      <c r="B125" s="11" t="inlineStr">
        <is>
          <t>open</t>
        </is>
      </c>
      <c r="C125" s="11" t="inlineStr">
        <is>
          <t>tag</t>
        </is>
      </c>
      <c r="D125" s="11" t="inlineStr">
        <is>
          <t>2020-02-19</t>
        </is>
      </c>
      <c r="E125" s="11" t="n">
        <v>3</v>
      </c>
      <c r="F125" s="2" t="inlineStr">
        <is>
          <t>DHEERAJ MOR versus HON’BLE HIGH COURT OF DELHI</t>
        </is>
      </c>
      <c r="G125" s="2" t="inlineStr">
        <is>
          <t>Vijay Kumar Mishra &amp; Anr. v. High Court of Judicature at Patna &amp; Ors.</t>
        </is>
      </c>
      <c r="H125" s="2" t="inlineStr">
        <is>
          <t>(2016) 9 SCC 313 : [2016] 3 SCR 806</t>
        </is>
      </c>
      <c r="I125" s="2" t="inlineStr">
        <is>
          <t>overruled</t>
        </is>
      </c>
      <c r="J125" s="11" t="inlineStr"/>
      <c r="K125" s="11" t="inlineStr">
        <is>
          <t>b2020_2_161_245</t>
        </is>
      </c>
      <c r="L125" s="11" t="inlineStr">
        <is>
          <t>2026-10-07</t>
        </is>
      </c>
      <c r="M125" s="11" t="n"/>
      <c r="N125" s="11" t="inlineStr">
        <is>
          <t>found</t>
        </is>
      </c>
    </row>
    <row r="126">
      <c r="A126" s="11" t="inlineStr">
        <is>
          <t>P-0123</t>
        </is>
      </c>
      <c r="B126" s="11" t="inlineStr">
        <is>
          <t>open</t>
        </is>
      </c>
      <c r="C126" s="11" t="inlineStr">
        <is>
          <t>sentence</t>
        </is>
      </c>
      <c r="D126" s="11" t="inlineStr">
        <is>
          <t>2020-03-04</t>
        </is>
      </c>
      <c r="E126" s="11" t="n">
        <v>5</v>
      </c>
      <c r="F126" s="2" t="inlineStr">
        <is>
          <t>ASSURANCE CO. LTD. versus HILLI  MULTIPURPOSE COLD STORAGE PVT. LTD.</t>
        </is>
      </c>
      <c r="G126" s="2" t="n"/>
      <c r="H126" s="2" t="n"/>
      <c r="I126" s="2" t="inlineStr">
        <is>
          <t>We are thus of the opinion that Kailash vs Nanhku (supra) has not overruled the decision in Dr. J. J. Merchant (supra) with regard to the provision of the Consumer Protection Act. 30.</t>
        </is>
      </c>
      <c r="J126" s="11" t="inlineStr"/>
      <c r="K126" s="11" t="inlineStr">
        <is>
          <t>b2020_5_429_464</t>
        </is>
      </c>
      <c r="L126" s="11" t="inlineStr">
        <is>
          <t>2026-10-07</t>
        </is>
      </c>
      <c r="M126" s="11" t="n"/>
      <c r="N126" s="11" t="inlineStr">
        <is>
          <t>found</t>
        </is>
      </c>
    </row>
    <row r="127">
      <c r="A127" s="11" t="inlineStr">
        <is>
          <t>P-0124</t>
        </is>
      </c>
      <c r="B127" s="11" t="inlineStr">
        <is>
          <t>open</t>
        </is>
      </c>
      <c r="C127" s="11" t="inlineStr">
        <is>
          <t>tag</t>
        </is>
      </c>
      <c r="D127" s="11" t="inlineStr">
        <is>
          <t>2020-03-06</t>
        </is>
      </c>
      <c r="E127" s="11" t="n">
        <v>5</v>
      </c>
      <c r="F127" s="2" t="inlineStr">
        <is>
          <t>INDORE DEVELOPMENT AUTHORITY versus MANOHARLAL &amp; ORS. ETC.</t>
        </is>
      </c>
      <c r="G127" s="2" t="inlineStr">
        <is>
          <t>Raghbir Singh Sehrawat v. State of Haryana</t>
        </is>
      </c>
      <c r="H127" s="2" t="inlineStr">
        <is>
          <t>(2012) 1 SCC 792 : [2011] 14 SCR 1113</t>
        </is>
      </c>
      <c r="I127" s="2" t="inlineStr">
        <is>
          <t>not correct law</t>
        </is>
      </c>
      <c r="J127" s="11" t="inlineStr"/>
      <c r="K127" s="11" t="inlineStr">
        <is>
          <t>b2020_3_1_328</t>
        </is>
      </c>
      <c r="L127" s="11" t="inlineStr">
        <is>
          <t>2026-10-07</t>
        </is>
      </c>
      <c r="M127" s="11" t="n"/>
      <c r="N127" s="11" t="inlineStr">
        <is>
          <t>found</t>
        </is>
      </c>
    </row>
    <row r="128">
      <c r="A128" s="11" t="inlineStr">
        <is>
          <t>P-0125</t>
        </is>
      </c>
      <c r="B128" s="11" t="inlineStr">
        <is>
          <t>open</t>
        </is>
      </c>
      <c r="C128" s="11" t="inlineStr">
        <is>
          <t>tag</t>
        </is>
      </c>
      <c r="D128" s="11" t="inlineStr">
        <is>
          <t>2020-04-22</t>
        </is>
      </c>
      <c r="E128" s="11" t="n">
        <v>3</v>
      </c>
      <c r="F128" s="2" t="inlineStr">
        <is>
          <t>HIRA SINGH AND ANOTHER versus UNION OF INDIA AND ANOTHER</t>
        </is>
      </c>
      <c r="G128" s="2" t="inlineStr">
        <is>
          <t>E. Micheal Raj v. Intelligence Officer, Narcotic Control Bureau</t>
        </is>
      </c>
      <c r="H128" s="2" t="inlineStr">
        <is>
          <t>(2008) 5 SCC 161 : [2008] 4 SCR 644</t>
        </is>
      </c>
      <c r="I128" s="2" t="inlineStr">
        <is>
          <t>not good law</t>
        </is>
      </c>
      <c r="J128" s="11" t="inlineStr"/>
      <c r="K128" s="11" t="inlineStr">
        <is>
          <t>b2020_4_1130_1162</t>
        </is>
      </c>
      <c r="L128" s="11" t="inlineStr">
        <is>
          <t>2026-10-07</t>
        </is>
      </c>
      <c r="M128" s="11" t="n"/>
      <c r="N128" s="11" t="inlineStr">
        <is>
          <t>found</t>
        </is>
      </c>
    </row>
    <row r="129">
      <c r="A129" s="11" t="inlineStr">
        <is>
          <t>P-0126</t>
        </is>
      </c>
      <c r="B129" s="11" t="inlineStr">
        <is>
          <t>open</t>
        </is>
      </c>
      <c r="C129" s="11" t="inlineStr">
        <is>
          <t>sentence</t>
        </is>
      </c>
      <c r="D129" s="11" t="inlineStr">
        <is>
          <t>2020-05-05</t>
        </is>
      </c>
      <c r="E129" s="11" t="n">
        <v>5</v>
      </c>
      <c r="F129" s="2" t="inlineStr">
        <is>
          <t>PANDURANG GANPATI CHAUGULE versus VISHWASRAO PATIL MURGUD SAHAKARI BANK LIMITED</t>
        </is>
      </c>
      <c r="G129" s="2" t="n"/>
      <c r="H129" s="2" t="n"/>
      <c r="I129" s="2" t="inlineStr">
        <is>
          <t>Bank Ltd. (supra) are incorrect and required to be overruled.</t>
        </is>
      </c>
      <c r="J129" s="11" t="inlineStr"/>
      <c r="K129" s="11" t="inlineStr">
        <is>
          <t>b2020_5_1038_1170</t>
        </is>
      </c>
      <c r="L129" s="11" t="inlineStr">
        <is>
          <t>2026-10-07</t>
        </is>
      </c>
      <c r="M129" s="11" t="n"/>
      <c r="N129" s="11" t="inlineStr">
        <is>
          <t>found</t>
        </is>
      </c>
    </row>
    <row r="130">
      <c r="A130" s="11" t="inlineStr">
        <is>
          <t>P-0127</t>
        </is>
      </c>
      <c r="B130" s="11" t="inlineStr">
        <is>
          <t>open</t>
        </is>
      </c>
      <c r="C130" s="11" t="inlineStr">
        <is>
          <t>tag</t>
        </is>
      </c>
      <c r="D130" s="11" t="inlineStr">
        <is>
          <t>2020-05-27</t>
        </is>
      </c>
      <c r="E130" s="11" t="n">
        <v>3</v>
      </c>
      <c r="F130" s="2" t="inlineStr">
        <is>
          <t>CHAIRMAN-CUM-MANAGING DIRECTOR, MAHANADI COALFIELDS LIMITED versus SRI RABINDRANATH CHOUBEY</t>
        </is>
      </c>
      <c r="G130" s="2" t="inlineStr">
        <is>
          <t>Jaswant Singh Gill v. Bharat Coking Coal Ltd.</t>
        </is>
      </c>
      <c r="H130" s="2" t="inlineStr">
        <is>
          <t>(2007) 1 SCC 663 : [2006] 8 Suppl. SCR 1064</t>
        </is>
      </c>
      <c r="I130" s="2" t="inlineStr">
        <is>
          <t>overruled</t>
        </is>
      </c>
      <c r="J130" s="11" t="inlineStr"/>
      <c r="K130" s="11" t="inlineStr">
        <is>
          <t>b2020_8_1_88</t>
        </is>
      </c>
      <c r="L130" s="11" t="inlineStr">
        <is>
          <t>2026-10-07</t>
        </is>
      </c>
      <c r="M130" s="11" t="n"/>
      <c r="N130" s="11" t="inlineStr">
        <is>
          <t>found</t>
        </is>
      </c>
    </row>
    <row r="131">
      <c r="A131" s="11" t="inlineStr">
        <is>
          <t>P-0128</t>
        </is>
      </c>
      <c r="B131" s="11" t="inlineStr">
        <is>
          <t>open</t>
        </is>
      </c>
      <c r="C131" s="11" t="inlineStr">
        <is>
          <t>sentence</t>
        </is>
      </c>
      <c r="D131" s="11" t="inlineStr">
        <is>
          <t>2020-06-19</t>
        </is>
      </c>
      <c r="E131" s="11" t="n">
        <v>3</v>
      </c>
      <c r="F131" s="2" t="inlineStr">
        <is>
          <t>S. KASI versus STATE THROUGH THE INSPECTOR OF POLICE SAMAYNALLUR POLICE STATION MADURAI DISTRICT</t>
        </is>
      </c>
      <c r="G131" s="2" t="n"/>
      <c r="H131" s="2" t="n"/>
      <c r="I131" s="2" t="inlineStr">
        <is>
          <t>We also overrule the decision in Union of India v. Bhanudas Krishna Gawde, which followed ADM Jabalpur.” 25.</t>
        </is>
      </c>
      <c r="J131" s="11" t="inlineStr"/>
      <c r="K131" s="11" t="inlineStr">
        <is>
          <t>b2020_5_277_298</t>
        </is>
      </c>
      <c r="L131" s="11" t="inlineStr">
        <is>
          <t>2026-10-07</t>
        </is>
      </c>
      <c r="M131" s="11" t="n"/>
      <c r="N131" s="11" t="inlineStr">
        <is>
          <t>found</t>
        </is>
      </c>
    </row>
    <row r="132">
      <c r="A132" s="11" t="inlineStr">
        <is>
          <t>P-0129</t>
        </is>
      </c>
      <c r="B132" s="11" t="inlineStr">
        <is>
          <t>open</t>
        </is>
      </c>
      <c r="C132" s="11" t="inlineStr">
        <is>
          <t>tag</t>
        </is>
      </c>
      <c r="D132" s="11" t="inlineStr">
        <is>
          <t>2020-07-14</t>
        </is>
      </c>
      <c r="E132" s="11" t="n">
        <v>3</v>
      </c>
      <c r="F132" s="2" t="inlineStr">
        <is>
          <t>ARJUN PANDITRAO KHOTKAR versus KAILASH KUSHANRAO GORANTYAL AND ORS.</t>
        </is>
      </c>
      <c r="G132" s="2" t="inlineStr">
        <is>
          <t>Tomaso Bruno and Anr. v. State of Uttar Pradesh</t>
        </is>
      </c>
      <c r="H132" s="2" t="inlineStr">
        <is>
          <t>(2015) 7 SCC 178 : [2015] 1 SCR 721</t>
        </is>
      </c>
      <c r="I132" s="2" t="inlineStr">
        <is>
          <t>overruled</t>
        </is>
      </c>
      <c r="J132" s="11" t="inlineStr">
        <is>
          <t>yes</t>
        </is>
      </c>
      <c r="K132" s="11" t="inlineStr">
        <is>
          <t>b2020_7_180_282</t>
        </is>
      </c>
      <c r="L132" s="11" t="inlineStr">
        <is>
          <t>2026-10-07</t>
        </is>
      </c>
      <c r="M132" s="11" t="n"/>
      <c r="N132" s="11" t="inlineStr">
        <is>
          <t>found</t>
        </is>
      </c>
    </row>
    <row r="133">
      <c r="A133" s="11" t="inlineStr">
        <is>
          <t>P-0130</t>
        </is>
      </c>
      <c r="B133" s="11" t="inlineStr">
        <is>
          <t>open</t>
        </is>
      </c>
      <c r="C133" s="11" t="inlineStr">
        <is>
          <t>tag</t>
        </is>
      </c>
      <c r="D133" s="11" t="inlineStr">
        <is>
          <t>2020-07-14</t>
        </is>
      </c>
      <c r="E133" s="11" t="n">
        <v>3</v>
      </c>
      <c r="F133" s="2" t="inlineStr">
        <is>
          <t>ARJUN PANDITRAO KHOTKAR versus KAILASH KUSHANRAO GORANTYAL AND ORS.</t>
        </is>
      </c>
      <c r="G133" s="2" t="inlineStr">
        <is>
          <t>Rajendra Kumar Meshram v. Vanshmani Prasad Verma</t>
        </is>
      </c>
      <c r="H133" s="2" t="inlineStr">
        <is>
          <t>(2016) 10 SCC 715 : [2016] 9 SCR 74</t>
        </is>
      </c>
      <c r="I133" s="2" t="inlineStr">
        <is>
          <t>held not correct law</t>
        </is>
      </c>
      <c r="J133" s="11" t="inlineStr"/>
      <c r="K133" s="11" t="inlineStr">
        <is>
          <t>b2020_7_180_282</t>
        </is>
      </c>
      <c r="L133" s="11" t="inlineStr">
        <is>
          <t>2026-10-07</t>
        </is>
      </c>
      <c r="M133" s="11" t="n"/>
      <c r="N133" s="11" t="inlineStr">
        <is>
          <t>found</t>
        </is>
      </c>
    </row>
    <row r="134">
      <c r="A134" s="11" t="inlineStr">
        <is>
          <t>P-0131</t>
        </is>
      </c>
      <c r="B134" s="11" t="inlineStr">
        <is>
          <t>open</t>
        </is>
      </c>
      <c r="C134" s="11" t="inlineStr">
        <is>
          <t>tag</t>
        </is>
      </c>
      <c r="D134" s="11" t="inlineStr">
        <is>
          <t>2020-07-14</t>
        </is>
      </c>
      <c r="E134" s="11" t="n">
        <v>3</v>
      </c>
      <c r="F134" s="2" t="inlineStr">
        <is>
          <t>ARJUN PANDITRAO KHOTKAR versus KAILASH KUSHANRAO GORANTYAL AND ORS.</t>
        </is>
      </c>
      <c r="G134" s="2" t="inlineStr">
        <is>
          <t>ARJUN PANDITRAO KHOTKAR v. KAILASH KUSHANRAO GORANTYAL SUPREME COURT REPORTS</t>
        </is>
      </c>
      <c r="H134" s="2" t="inlineStr">
        <is>
          <t>[2020] 7 S.C.R. Shafhi Mohammad v. State of Himachal Pradesh (2018) 2 SCC 801</t>
        </is>
      </c>
      <c r="I134" s="2" t="inlineStr">
        <is>
          <t>overruled</t>
        </is>
      </c>
      <c r="J134" s="11" t="inlineStr">
        <is>
          <t>yes</t>
        </is>
      </c>
      <c r="K134" s="11" t="inlineStr">
        <is>
          <t>b2020_7_180_282</t>
        </is>
      </c>
      <c r="L134" s="11" t="inlineStr">
        <is>
          <t>2026-10-07</t>
        </is>
      </c>
      <c r="M134" s="11" t="n"/>
      <c r="N134" s="11" t="inlineStr">
        <is>
          <t>found</t>
        </is>
      </c>
    </row>
    <row r="135">
      <c r="A135" s="11" t="inlineStr">
        <is>
          <t>P-0132</t>
        </is>
      </c>
      <c r="B135" s="11" t="inlineStr">
        <is>
          <t>open</t>
        </is>
      </c>
      <c r="C135" s="11" t="inlineStr">
        <is>
          <t>tag</t>
        </is>
      </c>
      <c r="D135" s="11" t="inlineStr">
        <is>
          <t>2020-07-14</t>
        </is>
      </c>
      <c r="E135" s="11" t="n">
        <v>3</v>
      </c>
      <c r="F135" s="2" t="inlineStr">
        <is>
          <t>ARJUN PANDITRAO KHOTKAR versus KAILASH KUSHANRAO GORANTYAL AND ORS.</t>
        </is>
      </c>
      <c r="G135" s="2" t="inlineStr">
        <is>
          <t>Shafhi Mohammad v. State of Himachal Pradesh</t>
        </is>
      </c>
      <c r="H135" s="2" t="inlineStr">
        <is>
          <t>(2018) 5 SCC 311 : [2018] 3 SCR 1096</t>
        </is>
      </c>
      <c r="I135" s="2" t="inlineStr">
        <is>
          <t>overruled</t>
        </is>
      </c>
      <c r="J135" s="11" t="inlineStr">
        <is>
          <t>yes</t>
        </is>
      </c>
      <c r="K135" s="11" t="inlineStr">
        <is>
          <t>b2020_7_180_282</t>
        </is>
      </c>
      <c r="L135" s="11" t="inlineStr">
        <is>
          <t>2026-10-07</t>
        </is>
      </c>
      <c r="M135" s="11" t="n"/>
      <c r="N135" s="11" t="inlineStr">
        <is>
          <t>found</t>
        </is>
      </c>
    </row>
    <row r="136">
      <c r="A136" s="11" t="inlineStr">
        <is>
          <t>P-0133</t>
        </is>
      </c>
      <c r="B136" s="11" t="inlineStr">
        <is>
          <t>open</t>
        </is>
      </c>
      <c r="C136" s="11" t="inlineStr">
        <is>
          <t>tag</t>
        </is>
      </c>
      <c r="D136" s="11" t="inlineStr">
        <is>
          <t>2020-07-14</t>
        </is>
      </c>
      <c r="E136" s="11" t="n">
        <v>3</v>
      </c>
      <c r="F136" s="2" t="inlineStr">
        <is>
          <t>ARJUN PANDITRAO KHOTKAR versus KAILASH KUSHANRAO GORANTYAL AND ORS.</t>
        </is>
      </c>
      <c r="G136" s="2" t="inlineStr">
        <is>
          <t>K. Ramajyam v. Inspector of Police</t>
        </is>
      </c>
      <c r="H136" s="2" t="inlineStr">
        <is>
          <t>(2016) Crl. LJ 1542</t>
        </is>
      </c>
      <c r="I136" s="2" t="inlineStr">
        <is>
          <t>overruled</t>
        </is>
      </c>
      <c r="J136" s="11" t="inlineStr"/>
      <c r="K136" s="11" t="inlineStr">
        <is>
          <t>b2020_7_180_282</t>
        </is>
      </c>
      <c r="L136" s="11" t="inlineStr">
        <is>
          <t>2026-10-07</t>
        </is>
      </c>
      <c r="M136" s="11" t="n"/>
      <c r="N136" s="11" t="inlineStr">
        <is>
          <t>found</t>
        </is>
      </c>
    </row>
    <row r="137">
      <c r="A137" s="11" t="inlineStr">
        <is>
          <t>P-0134</t>
        </is>
      </c>
      <c r="B137" s="11" t="inlineStr">
        <is>
          <t>open</t>
        </is>
      </c>
      <c r="C137" s="11" t="inlineStr">
        <is>
          <t>tag</t>
        </is>
      </c>
      <c r="D137" s="11" t="inlineStr">
        <is>
          <t>2020-08-05</t>
        </is>
      </c>
      <c r="E137" s="11" t="n">
        <v>3</v>
      </c>
      <c r="F137" s="2" t="inlineStr">
        <is>
          <t>THE CHAIRMAN, BOARD OF TRUSTEES, COCHIN PORT TRUST versus M/S AREBEE STAR MARITIME AGENCIES PVT. LTD. &amp; ORS.</t>
        </is>
      </c>
      <c r="G137" s="2" t="inlineStr">
        <is>
          <t>Port of Bombay v. Sriyanesh Knitters</t>
        </is>
      </c>
      <c r="H137" s="2" t="inlineStr">
        <is>
          <t>(1999) 7 SCC 228</t>
        </is>
      </c>
      <c r="I137" s="2" t="inlineStr">
        <is>
          <t>partly overruled</t>
        </is>
      </c>
      <c r="J137" s="11" t="inlineStr"/>
      <c r="K137" s="11" t="inlineStr">
        <is>
          <t>b2020_11_706_785</t>
        </is>
      </c>
      <c r="L137" s="11" t="inlineStr">
        <is>
          <t>2026-10-07</t>
        </is>
      </c>
      <c r="M137" s="11" t="n"/>
      <c r="N137" s="11" t="inlineStr">
        <is>
          <t>found</t>
        </is>
      </c>
    </row>
    <row r="138">
      <c r="A138" s="11" t="inlineStr">
        <is>
          <t>P-0135</t>
        </is>
      </c>
      <c r="B138" s="11" t="inlineStr">
        <is>
          <t>open</t>
        </is>
      </c>
      <c r="C138" s="11" t="inlineStr">
        <is>
          <t>tag</t>
        </is>
      </c>
      <c r="D138" s="11" t="inlineStr">
        <is>
          <t>2020-08-05</t>
        </is>
      </c>
      <c r="E138" s="11" t="n">
        <v>3</v>
      </c>
      <c r="F138" s="2" t="inlineStr">
        <is>
          <t>THE CHAIRMAN, BOARD OF TRUSTEES, COCHIN PORT TRUST versus M/S AREBEE STAR MARITIME AGENCIES PVT. LTD. &amp; ORS.</t>
        </is>
      </c>
      <c r="G138" s="2" t="inlineStr">
        <is>
          <t>Forbes Forbes Campbell &amp; Co. v. Port of Bombay (Forbes-II)</t>
        </is>
      </c>
      <c r="H138" s="2" t="inlineStr">
        <is>
          <t>(2015) 1 SCC 228 : [2014] 12 SCR 337</t>
        </is>
      </c>
      <c r="I138" s="2" t="inlineStr">
        <is>
          <t>held not correct law</t>
        </is>
      </c>
      <c r="J138" s="11" t="inlineStr"/>
      <c r="K138" s="11" t="inlineStr">
        <is>
          <t>b2020_11_706_785</t>
        </is>
      </c>
      <c r="L138" s="11" t="inlineStr">
        <is>
          <t>2026-10-07</t>
        </is>
      </c>
      <c r="M138" s="11" t="n"/>
      <c r="N138" s="11" t="inlineStr">
        <is>
          <t>found</t>
        </is>
      </c>
    </row>
    <row r="139">
      <c r="A139" s="11" t="inlineStr">
        <is>
          <t>P-0136</t>
        </is>
      </c>
      <c r="B139" s="11" t="inlineStr">
        <is>
          <t>open</t>
        </is>
      </c>
      <c r="C139" s="11" t="inlineStr">
        <is>
          <t>tag</t>
        </is>
      </c>
      <c r="D139" s="11" t="inlineStr">
        <is>
          <t>2020-08-05</t>
        </is>
      </c>
      <c r="E139" s="11" t="n">
        <v>3</v>
      </c>
      <c r="F139" s="2" t="inlineStr">
        <is>
          <t>M/S EXL CAREERS AND ANOTHER versus FRANKFINN AVIATION SERVICES PRIVATE LIMITED</t>
        </is>
      </c>
      <c r="G139" s="2" t="inlineStr">
        <is>
          <t>**Joginder Tuli v. S.L. Bhatia</t>
        </is>
      </c>
      <c r="H139" s="2" t="inlineStr">
        <is>
          <t>(1997) 1 SCC 502 : [1996] 7 Suppl. SCR 221 – held per-in-curium and distinguished. Oriental Insurance Company Ltd. v. Tejparas Associates and Exports Pvt. Ltd. [2019] 9 SCC 435</t>
        </is>
      </c>
      <c r="I139" s="2" t="inlineStr">
        <is>
          <t>overruled</t>
        </is>
      </c>
      <c r="J139" s="11" t="inlineStr"/>
      <c r="K139" s="11" t="inlineStr">
        <is>
          <t>b2020_6_289_302</t>
        </is>
      </c>
      <c r="L139" s="11" t="inlineStr">
        <is>
          <t>2026-10-07</t>
        </is>
      </c>
      <c r="M139" s="11" t="n"/>
      <c r="N139" s="11" t="inlineStr">
        <is>
          <t>found</t>
        </is>
      </c>
    </row>
    <row r="140">
      <c r="A140" s="11" t="inlineStr">
        <is>
          <t>P-0137</t>
        </is>
      </c>
      <c r="B140" s="11" t="inlineStr">
        <is>
          <t>open</t>
        </is>
      </c>
      <c r="C140" s="11" t="inlineStr">
        <is>
          <t>tag</t>
        </is>
      </c>
      <c r="D140" s="11" t="inlineStr">
        <is>
          <t>2020-08-11</t>
        </is>
      </c>
      <c r="E140" s="11" t="n">
        <v>3</v>
      </c>
      <c r="F140" s="2" t="inlineStr">
        <is>
          <t>VINEETA SHARMA versus RAKESH SHARMA &amp; ORS.</t>
        </is>
      </c>
      <c r="G140" s="2" t="inlineStr">
        <is>
          <t>Prakash &amp; Ors. v. Phulavati &amp; Ors.</t>
        </is>
      </c>
      <c r="H140" s="2" t="inlineStr">
        <is>
          <t>(2016) 2 SCC 36: [2015] 12 SCR 579</t>
        </is>
      </c>
      <c r="I140" s="2" t="inlineStr">
        <is>
          <t>overruled</t>
        </is>
      </c>
      <c r="J140" s="11" t="inlineStr">
        <is>
          <t>yes</t>
        </is>
      </c>
      <c r="K140" s="11" t="inlineStr">
        <is>
          <t>b2020_10_135_237</t>
        </is>
      </c>
      <c r="L140" s="11" t="inlineStr">
        <is>
          <t>2026-10-07</t>
        </is>
      </c>
      <c r="M140" s="11" t="n"/>
      <c r="N140" s="11" t="inlineStr">
        <is>
          <t>found</t>
        </is>
      </c>
    </row>
    <row r="141">
      <c r="A141" s="11" t="inlineStr">
        <is>
          <t>P-0138</t>
        </is>
      </c>
      <c r="B141" s="11" t="inlineStr">
        <is>
          <t>open</t>
        </is>
      </c>
      <c r="C141" s="11" t="inlineStr">
        <is>
          <t>tag</t>
        </is>
      </c>
      <c r="D141" s="11" t="inlineStr">
        <is>
          <t>2020-08-11</t>
        </is>
      </c>
      <c r="E141" s="11" t="n">
        <v>3</v>
      </c>
      <c r="F141" s="2" t="inlineStr">
        <is>
          <t>VINEETA SHARMA versus RAKESH SHARMA &amp; ORS.</t>
        </is>
      </c>
      <c r="G141" s="2" t="inlineStr">
        <is>
          <t>Danamma @ Suman Surpur &amp; Anr. v. Amar &amp; Ors.</t>
        </is>
      </c>
      <c r="H141" s="2" t="inlineStr">
        <is>
          <t>(2018) 3 SCC 343 : [2018] 2 SCR 553</t>
        </is>
      </c>
      <c r="I141" s="2" t="inlineStr">
        <is>
          <t>partly overruled</t>
        </is>
      </c>
      <c r="J141" s="11" t="inlineStr">
        <is>
          <t>yes</t>
        </is>
      </c>
      <c r="K141" s="11" t="inlineStr">
        <is>
          <t>b2020_10_135_237</t>
        </is>
      </c>
      <c r="L141" s="11" t="inlineStr">
        <is>
          <t>2026-10-07</t>
        </is>
      </c>
      <c r="M141" s="11" t="n"/>
      <c r="N141" s="11" t="inlineStr">
        <is>
          <t>found</t>
        </is>
      </c>
    </row>
    <row r="142">
      <c r="A142" s="11" t="inlineStr">
        <is>
          <t>P-0139</t>
        </is>
      </c>
      <c r="B142" s="11" t="inlineStr">
        <is>
          <t>open</t>
        </is>
      </c>
      <c r="C142" s="11" t="inlineStr">
        <is>
          <t>tag</t>
        </is>
      </c>
      <c r="D142" s="11" t="inlineStr">
        <is>
          <t>2020-08-19</t>
        </is>
      </c>
      <c r="E142" s="11" t="n">
        <v>3</v>
      </c>
      <c r="F142" s="2" t="inlineStr">
        <is>
          <t>DECCAN PAPER MILLS CO. LTD. versus REGENCY MAHAVIR PROPERTIES &amp; ORS.</t>
        </is>
      </c>
      <c r="G142" s="2" t="inlineStr">
        <is>
          <t>Aliens Developers Pvt. Ltd. v. M. Janardhan Reddy</t>
        </is>
      </c>
      <c r="H142" s="2" t="inlineStr">
        <is>
          <t>(2016) 1 ALT 194 (DB)</t>
        </is>
      </c>
      <c r="I142" s="2" t="inlineStr">
        <is>
          <t>overruled</t>
        </is>
      </c>
      <c r="J142" s="11" t="inlineStr"/>
      <c r="K142" s="11" t="inlineStr">
        <is>
          <t>b2020_13_427_464</t>
        </is>
      </c>
      <c r="L142" s="11" t="inlineStr">
        <is>
          <t>2026-10-07</t>
        </is>
      </c>
      <c r="M142" s="11" t="n"/>
      <c r="N142" s="11" t="inlineStr">
        <is>
          <t>found</t>
        </is>
      </c>
    </row>
    <row r="143">
      <c r="A143" s="11" t="inlineStr">
        <is>
          <t>P-0140</t>
        </is>
      </c>
      <c r="B143" s="11" t="inlineStr">
        <is>
          <t>open</t>
        </is>
      </c>
      <c r="C143" s="11" t="inlineStr">
        <is>
          <t>sentence</t>
        </is>
      </c>
      <c r="D143" s="11" t="inlineStr">
        <is>
          <t>2020-08-27</t>
        </is>
      </c>
      <c r="E143" s="11" t="n">
        <v>5</v>
      </c>
      <c r="F143" s="2" t="inlineStr">
        <is>
          <t>THE STATE OF PUNJAB &amp; ORS. versus DAVINDER SINGH &amp; ORS.</t>
        </is>
      </c>
      <c r="G143" s="2" t="n"/>
      <c r="H143" s="2" t="n"/>
      <c r="I143" s="2" t="inlineStr">
        <is>
          <t>(c) In David Burnet v. Colorado Oil &amp; Gas Company, 285 U.S. 393, it was observed that in cases involving the Federal Constitution, where correction through legislative action is practically impossible, this court has often overruled its earlier decisions.</t>
        </is>
      </c>
      <c r="J143" s="11" t="inlineStr"/>
      <c r="K143" s="11" t="inlineStr">
        <is>
          <t>b2020_10_857_922</t>
        </is>
      </c>
      <c r="L143" s="11" t="inlineStr">
        <is>
          <t>2026-10-07</t>
        </is>
      </c>
      <c r="M143" s="11" t="n"/>
      <c r="N143" s="11" t="inlineStr">
        <is>
          <t>found</t>
        </is>
      </c>
    </row>
    <row r="144">
      <c r="A144" s="11" t="inlineStr">
        <is>
          <t>P-0141</t>
        </is>
      </c>
      <c r="B144" s="11" t="inlineStr">
        <is>
          <t>open</t>
        </is>
      </c>
      <c r="C144" s="11" t="inlineStr">
        <is>
          <t>tag</t>
        </is>
      </c>
      <c r="D144" s="11" t="inlineStr">
        <is>
          <t>2020-08-31</t>
        </is>
      </c>
      <c r="E144" s="11" t="n">
        <v>5</v>
      </c>
      <c r="F144" s="2" t="inlineStr">
        <is>
          <t>MUKESH SINGH versus STATE (NARCOTIC BRANCH OF DELHI)</t>
        </is>
      </c>
      <c r="G144" s="2" t="inlineStr">
        <is>
          <t>1.8 The reference is answered as under: I. The observations of this Court in the cases of Bhagwan Singh v. State of Raja</t>
        </is>
      </c>
      <c r="H144" s="2" t="inlineStr">
        <is>
          <t>sthan</t>
        </is>
      </c>
      <c r="I144" s="2" t="inlineStr">
        <is>
          <t>overruled</t>
        </is>
      </c>
      <c r="J144" s="11" t="inlineStr"/>
      <c r="K144" s="11" t="inlineStr">
        <is>
          <t>b2020_9_245_302</t>
        </is>
      </c>
      <c r="L144" s="11" t="inlineStr">
        <is>
          <t>2026-10-07</t>
        </is>
      </c>
      <c r="M144" s="11" t="n"/>
      <c r="N144" s="11" t="inlineStr">
        <is>
          <t>found</t>
        </is>
      </c>
    </row>
    <row r="145">
      <c r="A145" s="11" t="inlineStr">
        <is>
          <t>P-0142</t>
        </is>
      </c>
      <c r="B145" s="11" t="inlineStr">
        <is>
          <t>open</t>
        </is>
      </c>
      <c r="C145" s="11" t="inlineStr">
        <is>
          <t>tag</t>
        </is>
      </c>
      <c r="D145" s="11" t="inlineStr">
        <is>
          <t>2020-08-31</t>
        </is>
      </c>
      <c r="E145" s="11" t="n">
        <v>5</v>
      </c>
      <c r="F145" s="2" t="inlineStr">
        <is>
          <t>MUKESH SINGH versus STATE (NARCOTIC BRANCH OF DELHI)</t>
        </is>
      </c>
      <c r="G145" s="2" t="inlineStr">
        <is>
          <t xml:space="preserve">Megha Singh v. State of Haryana; and State by Inspector of Police, NIB, Tamil Nadu v. Rajangam and the acquittal of the </t>
        </is>
      </c>
      <c r="H145" s="2" t="inlineStr">
        <is>
          <t>accused by this Court on the ground that as the informant and the investigator was the same, it has vitiated the trial and the accused is entitled to acquittal are to be treated to be confined to their own facts. It cannot be said that in the aforesaid decisions, this Court laid down any general proposition of law that in each and every case where the informant is the investigator there is a bias caused to the accused and the entire prosecution case is to be disbelieved and the accused is entitled to acquittal</t>
        </is>
      </c>
      <c r="I145" s="2" t="inlineStr">
        <is>
          <t>overruled</t>
        </is>
      </c>
      <c r="J145" s="11" t="inlineStr"/>
      <c r="K145" s="11" t="inlineStr">
        <is>
          <t>b2020_9_245_302</t>
        </is>
      </c>
      <c r="L145" s="11" t="inlineStr">
        <is>
          <t>2026-10-07</t>
        </is>
      </c>
      <c r="M145" s="11" t="n"/>
      <c r="N145" s="11" t="inlineStr">
        <is>
          <t>found</t>
        </is>
      </c>
    </row>
    <row r="146">
      <c r="A146" s="11" t="inlineStr">
        <is>
          <t>P-0143</t>
        </is>
      </c>
      <c r="B146" s="11" t="inlineStr">
        <is>
          <t>open</t>
        </is>
      </c>
      <c r="C146" s="11" t="inlineStr">
        <is>
          <t>tag</t>
        </is>
      </c>
      <c r="D146" s="11" t="inlineStr">
        <is>
          <t>2020-08-31</t>
        </is>
      </c>
      <c r="E146" s="11" t="n">
        <v>5</v>
      </c>
      <c r="F146" s="2" t="inlineStr">
        <is>
          <t>MUKESH SINGH versus STATE (NARCOTIC BRANCH OF DELHI)</t>
        </is>
      </c>
      <c r="G146" s="2" t="inlineStr">
        <is>
          <t>Mohan Lal v. State of Punjab</t>
        </is>
      </c>
      <c r="H146" s="2" t="inlineStr">
        <is>
          <t>(2018) 17 SCC 627 : [2018] 9 SCR 1006</t>
        </is>
      </c>
      <c r="I146" s="2" t="inlineStr">
        <is>
          <t>overruled</t>
        </is>
      </c>
      <c r="J146" s="11" t="inlineStr">
        <is>
          <t>yes</t>
        </is>
      </c>
      <c r="K146" s="11" t="inlineStr">
        <is>
          <t>b2020_9_245_302</t>
        </is>
      </c>
      <c r="L146" s="11" t="inlineStr">
        <is>
          <t>2026-10-07</t>
        </is>
      </c>
      <c r="M146" s="11" t="n"/>
      <c r="N146" s="11" t="inlineStr">
        <is>
          <t>found</t>
        </is>
      </c>
    </row>
    <row r="147">
      <c r="A147" s="11" t="inlineStr">
        <is>
          <t>P-0144</t>
        </is>
      </c>
      <c r="B147" s="11" t="inlineStr">
        <is>
          <t>open</t>
        </is>
      </c>
      <c r="C147" s="11" t="inlineStr">
        <is>
          <t>tag</t>
        </is>
      </c>
      <c r="D147" s="11" t="inlineStr">
        <is>
          <t>2020-09-08</t>
        </is>
      </c>
      <c r="E147" s="11" t="n">
        <v>3</v>
      </c>
      <c r="F147" s="2" t="inlineStr">
        <is>
          <t>M/S BANGALORE CLUB versus THE COMMISSIONER OF WEALTH TAX &amp; ANR.</t>
        </is>
      </c>
      <c r="G147" s="2" t="inlineStr">
        <is>
          <t>CWT v. ChikmagalurClub 197 ITR Karnataka 609</t>
        </is>
      </c>
      <c r="H147" s="2" t="inlineStr"/>
      <c r="I147" s="2" t="inlineStr">
        <is>
          <t>overruled</t>
        </is>
      </c>
      <c r="J147" s="11" t="inlineStr"/>
      <c r="K147" s="11" t="inlineStr">
        <is>
          <t>b2020_13_488_516</t>
        </is>
      </c>
      <c r="L147" s="11" t="inlineStr">
        <is>
          <t>2026-10-07</t>
        </is>
      </c>
      <c r="M147" s="11" t="n"/>
      <c r="N147" s="11" t="inlineStr">
        <is>
          <t>found</t>
        </is>
      </c>
    </row>
    <row r="148">
      <c r="A148" s="11" t="inlineStr">
        <is>
          <t>P-0145</t>
        </is>
      </c>
      <c r="B148" s="11" t="inlineStr">
        <is>
          <t>open</t>
        </is>
      </c>
      <c r="C148" s="11" t="inlineStr">
        <is>
          <t>tag</t>
        </is>
      </c>
      <c r="D148" s="11" t="inlineStr">
        <is>
          <t>2020-09-23</t>
        </is>
      </c>
      <c r="E148" s="11" t="n">
        <v>3</v>
      </c>
      <c r="F148" s="2" t="inlineStr">
        <is>
          <t>UNION OF INDIA &amp; ORS. versus M/S G S CHATHA RICE MILLS &amp; ANR.</t>
        </is>
      </c>
      <c r="G148" s="2" t="inlineStr">
        <is>
          <t>Collector of Central Excise v. New Tobacco Company and others</t>
        </is>
      </c>
      <c r="H148" s="2" t="inlineStr">
        <is>
          <t>(1998) 144 CTR (SC) 618</t>
        </is>
      </c>
      <c r="I148" s="2" t="inlineStr">
        <is>
          <t>held not good law</t>
        </is>
      </c>
      <c r="J148" s="11" t="inlineStr"/>
      <c r="K148" s="11" t="inlineStr">
        <is>
          <t>b2020_14_571_690</t>
        </is>
      </c>
      <c r="L148" s="11" t="inlineStr">
        <is>
          <t>2026-10-07</t>
        </is>
      </c>
      <c r="M148" s="11" t="n"/>
      <c r="N148" s="11" t="inlineStr">
        <is>
          <t>found</t>
        </is>
      </c>
    </row>
    <row r="149">
      <c r="A149" s="11" t="inlineStr">
        <is>
          <t>P-0146</t>
        </is>
      </c>
      <c r="B149" s="11" t="inlineStr">
        <is>
          <t>open</t>
        </is>
      </c>
      <c r="C149" s="11" t="inlineStr">
        <is>
          <t>sentence</t>
        </is>
      </c>
      <c r="D149" s="11" t="inlineStr">
        <is>
          <t>2020-10-15</t>
        </is>
      </c>
      <c r="E149" s="11" t="n">
        <v>3</v>
      </c>
      <c r="F149" s="2" t="inlineStr">
        <is>
          <t>SATISH CHANDER AHUJA versus SNEHA AHUJA</t>
        </is>
      </c>
      <c r="G149" s="2" t="n"/>
      <c r="H149" s="2" t="n"/>
      <c r="I149" s="2" t="inlineStr">
        <is>
          <t>We, thus, are of the opinion that the interpretation of definition of shared household as put by this Court in S.R. Batra Vs. Taruna Batra (supra) is not correct interpretation and the said judgment does not lay down the correct law.</t>
        </is>
      </c>
      <c r="J149" s="11" t="inlineStr"/>
      <c r="K149" s="11" t="inlineStr">
        <is>
          <t>b2020_12_189_278</t>
        </is>
      </c>
      <c r="L149" s="11" t="inlineStr">
        <is>
          <t>2026-10-07</t>
        </is>
      </c>
      <c r="M149" s="11" t="n"/>
      <c r="N149" s="11" t="inlineStr">
        <is>
          <t>found</t>
        </is>
      </c>
    </row>
    <row r="150">
      <c r="A150" s="11" t="inlineStr">
        <is>
          <t>P-0147</t>
        </is>
      </c>
      <c r="B150" s="11" t="inlineStr">
        <is>
          <t>open</t>
        </is>
      </c>
      <c r="C150" s="11" t="inlineStr">
        <is>
          <t>sentence</t>
        </is>
      </c>
      <c r="D150" s="11" t="inlineStr">
        <is>
          <t>2020-10-26</t>
        </is>
      </c>
      <c r="E150" s="11" t="n">
        <v>3</v>
      </c>
      <c r="F150" s="2" t="inlineStr">
        <is>
          <t>RAJESH DHIMAN versus STATE OF HIMACHAL PRADESH</t>
        </is>
      </c>
      <c r="G150" s="2" t="n"/>
      <c r="H150" s="2" t="n"/>
      <c r="I150" s="2" t="inlineStr">
        <is>
          <t>A contrary decision of this Court in the case of Mohan Lal v. State of Punjab, (2018) 17 SCC 627 and any other decision taking a contrary view that the informant cannot be the investigator and in such a case the accused is entitled to acquittal are not good law and they are specifically overruled.” [emphasis supplied] 11.</t>
        </is>
      </c>
      <c r="J150" s="11" t="inlineStr"/>
      <c r="K150" s="11" t="inlineStr">
        <is>
          <t>b2020_8_1057_1070</t>
        </is>
      </c>
      <c r="L150" s="11" t="inlineStr">
        <is>
          <t>2026-10-07</t>
        </is>
      </c>
      <c r="M150" s="11" t="n"/>
      <c r="N150" s="11" t="inlineStr">
        <is>
          <t>found</t>
        </is>
      </c>
    </row>
    <row r="151">
      <c r="A151" s="11" t="inlineStr">
        <is>
          <t>P-0148</t>
        </is>
      </c>
      <c r="B151" s="11" t="inlineStr">
        <is>
          <t>open</t>
        </is>
      </c>
      <c r="C151" s="11" t="inlineStr">
        <is>
          <t>tag</t>
        </is>
      </c>
      <c r="D151" s="11" t="inlineStr">
        <is>
          <t>2020-10-29</t>
        </is>
      </c>
      <c r="E151" s="11" t="n">
        <v>3</v>
      </c>
      <c r="F151" s="2" t="inlineStr">
        <is>
          <t>TOFAN SINGH versus STATE OF TAMIL NADU</t>
        </is>
      </c>
      <c r="G151" s="2" t="inlineStr">
        <is>
          <t>Raj Kumar Karwal v. Union of India</t>
        </is>
      </c>
      <c r="H151" s="2" t="inlineStr">
        <is>
          <t>(1990) 2 SCC 409: [1990] 2 SCR 63</t>
        </is>
      </c>
      <c r="I151" s="2" t="inlineStr">
        <is>
          <t>overruled</t>
        </is>
      </c>
      <c r="J151" s="11" t="inlineStr">
        <is>
          <t>yes</t>
        </is>
      </c>
      <c r="K151" s="11" t="inlineStr">
        <is>
          <t>b2020_12_583_874</t>
        </is>
      </c>
      <c r="L151" s="11" t="inlineStr">
        <is>
          <t>2026-10-07</t>
        </is>
      </c>
      <c r="M151" s="11" t="n"/>
      <c r="N151" s="11" t="inlineStr">
        <is>
          <t>found</t>
        </is>
      </c>
    </row>
    <row r="152">
      <c r="A152" s="11" t="inlineStr">
        <is>
          <t>P-0149</t>
        </is>
      </c>
      <c r="B152" s="11" t="inlineStr">
        <is>
          <t>open</t>
        </is>
      </c>
      <c r="C152" s="11" t="inlineStr">
        <is>
          <t>tag</t>
        </is>
      </c>
      <c r="D152" s="11" t="inlineStr">
        <is>
          <t>2020-10-29</t>
        </is>
      </c>
      <c r="E152" s="11" t="n">
        <v>3</v>
      </c>
      <c r="F152" s="2" t="inlineStr">
        <is>
          <t>TOFAN SINGH versus STATE OF TAMIL NADU</t>
        </is>
      </c>
      <c r="G152" s="2" t="inlineStr">
        <is>
          <t>Kanhaiyalal v. Union of India</t>
        </is>
      </c>
      <c r="H152" s="2" t="inlineStr">
        <is>
          <t>(2008) 4 SCC 668: [2008] 1 SCR 350</t>
        </is>
      </c>
      <c r="I152" s="2" t="inlineStr">
        <is>
          <t>overruled</t>
        </is>
      </c>
      <c r="J152" s="11" t="inlineStr">
        <is>
          <t>yes</t>
        </is>
      </c>
      <c r="K152" s="11" t="inlineStr">
        <is>
          <t>b2020_12_583_874</t>
        </is>
      </c>
      <c r="L152" s="11" t="inlineStr">
        <is>
          <t>2026-10-07</t>
        </is>
      </c>
      <c r="M152" s="11" t="n"/>
      <c r="N152" s="11" t="inlineStr">
        <is>
          <t>found</t>
        </is>
      </c>
    </row>
    <row r="153">
      <c r="A153" s="11" t="inlineStr">
        <is>
          <t>P-0150</t>
        </is>
      </c>
      <c r="B153" s="11" t="inlineStr">
        <is>
          <t>open</t>
        </is>
      </c>
      <c r="C153" s="11" t="inlineStr">
        <is>
          <t>tag</t>
        </is>
      </c>
      <c r="D153" s="11" t="inlineStr">
        <is>
          <t>2020-12-10</t>
        </is>
      </c>
      <c r="E153" s="11" t="n">
        <v>3</v>
      </c>
      <c r="F153" s="2" t="inlineStr">
        <is>
          <t>G H APJ ABDUL KALAM TECHNOLOGICAL UNIVERSITY &amp; ANR. versus JAI BHARATH COLLEGE OF MANAGEMENT AND ENGINEERING TECHNOLOGY &amp; ORS.</t>
        </is>
      </c>
      <c r="G153" s="2" t="inlineStr">
        <is>
          <t>Rungta Engineering College, Bhilai and Another v. Chattisgarh Swami Vivekanand Technical University and Another</t>
        </is>
      </c>
      <c r="H153" s="2" t="inlineStr">
        <is>
          <t>(2015) 11 SCC 291 : [2014] 12 SCR 796</t>
        </is>
      </c>
      <c r="I153" s="2" t="inlineStr">
        <is>
          <t>not correct law</t>
        </is>
      </c>
      <c r="J153" s="11" t="inlineStr"/>
      <c r="K153" s="11" t="inlineStr">
        <is>
          <t>b2020_13_732_761</t>
        </is>
      </c>
      <c r="L153" s="11" t="inlineStr">
        <is>
          <t>2026-10-07</t>
        </is>
      </c>
      <c r="M153" s="11" t="n"/>
      <c r="N153" s="11" t="inlineStr">
        <is>
          <t>found</t>
        </is>
      </c>
    </row>
    <row r="154">
      <c r="A154" s="11" t="inlineStr">
        <is>
          <t>P-0151</t>
        </is>
      </c>
      <c r="B154" s="11" t="inlineStr">
        <is>
          <t>open</t>
        </is>
      </c>
      <c r="C154" s="11" t="inlineStr">
        <is>
          <t>tag</t>
        </is>
      </c>
      <c r="D154" s="11" t="inlineStr">
        <is>
          <t>2020-12-14</t>
        </is>
      </c>
      <c r="E154" s="11" t="n">
        <v>3</v>
      </c>
      <c r="F154" s="2" t="inlineStr">
        <is>
          <t>VIDYA DROLIA AND OTHERS versus DURGA TRADING CORPORATION</t>
        </is>
      </c>
      <c r="G154" s="2" t="inlineStr">
        <is>
          <t>HDFC Bank Ltd. v. Satpal Singh Bakshi</t>
        </is>
      </c>
      <c r="H154" s="2" t="inlineStr">
        <is>
          <t>2013 (134) DRJ 566 (FB)</t>
        </is>
      </c>
      <c r="I154" s="2" t="inlineStr">
        <is>
          <t>overruled</t>
        </is>
      </c>
      <c r="J154" s="11" t="inlineStr"/>
      <c r="K154" s="11" t="inlineStr">
        <is>
          <t>b2020_11_1001_1180</t>
        </is>
      </c>
      <c r="L154" s="11" t="inlineStr">
        <is>
          <t>2026-10-07</t>
        </is>
      </c>
      <c r="M154" s="11" t="n"/>
      <c r="N154" s="11" t="inlineStr">
        <is>
          <t>found</t>
        </is>
      </c>
    </row>
    <row r="155">
      <c r="A155" s="11" t="inlineStr">
        <is>
          <t>P-0152</t>
        </is>
      </c>
      <c r="B155" s="11" t="inlineStr">
        <is>
          <t>open</t>
        </is>
      </c>
      <c r="C155" s="11" t="inlineStr">
        <is>
          <t>tag</t>
        </is>
      </c>
      <c r="D155" s="11" t="inlineStr">
        <is>
          <t>2020-12-14</t>
        </is>
      </c>
      <c r="E155" s="11" t="n">
        <v>3</v>
      </c>
      <c r="F155" s="2" t="inlineStr">
        <is>
          <t>VIDYA DROLIA AND OTHERS versus DURGA TRADING CORPORATION</t>
        </is>
      </c>
      <c r="G155" s="2" t="inlineStr">
        <is>
          <t>Himangni Enterprises v. Kamaljeet Singh Ahluwalia</t>
        </is>
      </c>
      <c r="H155" s="2" t="inlineStr">
        <is>
          <t>(2017) 10 SCC 706: [2017] 10 SCR 139</t>
        </is>
      </c>
      <c r="I155" s="2" t="inlineStr">
        <is>
          <t>overruled</t>
        </is>
      </c>
      <c r="J155" s="11" t="inlineStr">
        <is>
          <t>yes</t>
        </is>
      </c>
      <c r="K155" s="11" t="inlineStr">
        <is>
          <t>b2020_11_1001_1180</t>
        </is>
      </c>
      <c r="L155" s="11" t="inlineStr">
        <is>
          <t>2026-10-07</t>
        </is>
      </c>
      <c r="M155" s="11" t="n"/>
      <c r="N155" s="11" t="inlineStr">
        <is>
          <t>found</t>
        </is>
      </c>
    </row>
    <row r="156">
      <c r="A156" s="11" t="inlineStr">
        <is>
          <t>P-0153</t>
        </is>
      </c>
      <c r="B156" s="11" t="inlineStr">
        <is>
          <t>open</t>
        </is>
      </c>
      <c r="C156" s="11" t="inlineStr">
        <is>
          <t>tag</t>
        </is>
      </c>
      <c r="D156" s="11" t="inlineStr">
        <is>
          <t>2020-12-14</t>
        </is>
      </c>
      <c r="E156" s="11" t="n">
        <v>3</v>
      </c>
      <c r="F156" s="2" t="inlineStr">
        <is>
          <t>VIDYA DROLIA AND OTHERS versus DURGA TRADING CORPORATION</t>
        </is>
      </c>
      <c r="G156" s="2" t="inlineStr">
        <is>
          <t>N. Radhakrishnan v. Maestro Engineers and Others</t>
        </is>
      </c>
      <c r="H156" s="2" t="inlineStr">
        <is>
          <t>(2010) 1 SCC 72: [2009] 15 SCR 371</t>
        </is>
      </c>
      <c r="I156" s="2" t="inlineStr">
        <is>
          <t>overruled</t>
        </is>
      </c>
      <c r="J156" s="11" t="inlineStr">
        <is>
          <t>yes</t>
        </is>
      </c>
      <c r="K156" s="11" t="inlineStr">
        <is>
          <t>b2020_11_1001_1180</t>
        </is>
      </c>
      <c r="L156" s="11" t="inlineStr">
        <is>
          <t>2026-10-07</t>
        </is>
      </c>
      <c r="M156" s="11" t="n"/>
      <c r="N156" s="11" t="inlineStr">
        <is>
          <t>found</t>
        </is>
      </c>
    </row>
    <row r="157">
      <c r="A157" s="11" t="inlineStr">
        <is>
          <t>P-0154</t>
        </is>
      </c>
      <c r="B157" s="11" t="inlineStr">
        <is>
          <t>open</t>
        </is>
      </c>
      <c r="C157" s="11" t="inlineStr">
        <is>
          <t>tag</t>
        </is>
      </c>
      <c r="D157" s="11" t="inlineStr">
        <is>
          <t>2020-12-18</t>
        </is>
      </c>
      <c r="E157" s="11" t="n">
        <v>3</v>
      </c>
      <c r="F157" s="2" t="inlineStr">
        <is>
          <t>SAURAV YADAV &amp; ORS. versus STATE OF UTTAR PRADESH &amp; ORS.</t>
        </is>
      </c>
      <c r="G157" s="2" t="inlineStr">
        <is>
          <t>Ajay Kumar v. State of U.P. and Others</t>
        </is>
      </c>
      <c r="H157" s="2" t="inlineStr">
        <is>
          <t>(2019) 5 ALJ 466</t>
        </is>
      </c>
      <c r="I157" s="2" t="inlineStr">
        <is>
          <t>disapproved</t>
        </is>
      </c>
      <c r="J157" s="11" t="inlineStr"/>
      <c r="K157" s="11" t="inlineStr">
        <is>
          <t>b2020_11_281_344</t>
        </is>
      </c>
      <c r="L157" s="11" t="inlineStr">
        <is>
          <t>2026-10-07</t>
        </is>
      </c>
      <c r="M157" s="11" t="n"/>
      <c r="N157" s="11" t="inlineStr">
        <is>
          <t>found</t>
        </is>
      </c>
    </row>
    <row r="158">
      <c r="A158" s="11" t="inlineStr">
        <is>
          <t>P-0155</t>
        </is>
      </c>
      <c r="B158" s="11" t="inlineStr">
        <is>
          <t>open</t>
        </is>
      </c>
      <c r="C158" s="11" t="inlineStr">
        <is>
          <t>tag</t>
        </is>
      </c>
      <c r="D158" s="11" t="inlineStr">
        <is>
          <t>2020-12-18</t>
        </is>
      </c>
      <c r="E158" s="11" t="n">
        <v>3</v>
      </c>
      <c r="F158" s="2" t="inlineStr">
        <is>
          <t>SAURAV YADAV &amp; ORS. versus STATE OF UTTAR PRADESH &amp; ORS.</t>
        </is>
      </c>
      <c r="G158" s="2" t="inlineStr">
        <is>
          <t>State of Madhya Pradesh and Another v. Uday Sisode and Others</t>
        </is>
      </c>
      <c r="H158" s="2" t="inlineStr">
        <is>
          <t>(2019) SCC OnLine MP 5750</t>
        </is>
      </c>
      <c r="I158" s="2" t="inlineStr">
        <is>
          <t>disapproved</t>
        </is>
      </c>
      <c r="J158" s="11" t="inlineStr"/>
      <c r="K158" s="11" t="inlineStr">
        <is>
          <t>b2020_11_281_344</t>
        </is>
      </c>
      <c r="L158" s="11" t="inlineStr">
        <is>
          <t>2026-10-07</t>
        </is>
      </c>
      <c r="M158" s="11" t="n"/>
      <c r="N158" s="11" t="inlineStr">
        <is>
          <t>found</t>
        </is>
      </c>
    </row>
    <row r="159">
      <c r="A159" s="11" t="inlineStr">
        <is>
          <t>P-0156</t>
        </is>
      </c>
      <c r="B159" s="11" t="inlineStr">
        <is>
          <t>open</t>
        </is>
      </c>
      <c r="C159" s="11" t="inlineStr">
        <is>
          <t>tag</t>
        </is>
      </c>
      <c r="D159" s="11" t="inlineStr">
        <is>
          <t>2020-12-18</t>
        </is>
      </c>
      <c r="E159" s="11" t="n">
        <v>3</v>
      </c>
      <c r="F159" s="2" t="inlineStr">
        <is>
          <t>SAURAV YADAV &amp; ORS. versus STATE OF UTTAR PRADESH &amp; ORS.</t>
        </is>
      </c>
      <c r="G159" s="2" t="inlineStr">
        <is>
          <t>Allahabad and Madhya Pradesh (in Ajay Kumar v. State of UP &amp; Ors.</t>
        </is>
      </c>
      <c r="H159" s="2" t="inlineStr">
        <is>
          <t>(2019) 5 ALJ 466</t>
        </is>
      </c>
      <c r="I159" s="2" t="inlineStr">
        <is>
          <t>disapproved</t>
        </is>
      </c>
      <c r="J159" s="11" t="inlineStr"/>
      <c r="K159" s="11" t="inlineStr">
        <is>
          <t>b2020_11_281_344</t>
        </is>
      </c>
      <c r="L159" s="11" t="inlineStr">
        <is>
          <t>2026-10-07</t>
        </is>
      </c>
      <c r="M159" s="11" t="n"/>
      <c r="N159" s="11" t="inlineStr">
        <is>
          <t>found</t>
        </is>
      </c>
    </row>
    <row r="160">
      <c r="A160" s="11" t="inlineStr">
        <is>
          <t>P-0157</t>
        </is>
      </c>
      <c r="B160" s="11" t="inlineStr">
        <is>
          <t>open</t>
        </is>
      </c>
      <c r="C160" s="11" t="inlineStr">
        <is>
          <t>tag</t>
        </is>
      </c>
      <c r="D160" s="11" t="inlineStr">
        <is>
          <t>2020-12-18</t>
        </is>
      </c>
      <c r="E160" s="11" t="n">
        <v>3</v>
      </c>
      <c r="F160" s="2" t="inlineStr">
        <is>
          <t>SAURAV YADAV &amp; ORS. versus STATE OF UTTAR PRADESH &amp; ORS.</t>
        </is>
      </c>
      <c r="G160" s="2" t="inlineStr">
        <is>
          <t>State of Madhya Pradesh &amp; Anr. v. Uday Sisode &amp; Ors.</t>
        </is>
      </c>
      <c r="H160" s="2" t="inlineStr">
        <is>
          <t>(2019) SCC OnLine MP 5750</t>
        </is>
      </c>
      <c r="I160" s="2" t="inlineStr">
        <is>
          <t>disapproved</t>
        </is>
      </c>
      <c r="J160" s="11" t="inlineStr"/>
      <c r="K160" s="11" t="inlineStr">
        <is>
          <t>b2020_11_281_344</t>
        </is>
      </c>
      <c r="L160" s="11" t="inlineStr">
        <is>
          <t>2026-10-07</t>
        </is>
      </c>
      <c r="M160" s="11" t="n"/>
      <c r="N160" s="11" t="inlineStr">
        <is>
          <t>found</t>
        </is>
      </c>
    </row>
    <row r="161">
      <c r="A161" s="11" t="inlineStr">
        <is>
          <t>P-0158</t>
        </is>
      </c>
      <c r="B161" s="11" t="inlineStr">
        <is>
          <t>open</t>
        </is>
      </c>
      <c r="C161" s="11" t="inlineStr">
        <is>
          <t>sentence</t>
        </is>
      </c>
      <c r="D161" s="11" t="inlineStr">
        <is>
          <t>2020-12-18</t>
        </is>
      </c>
      <c r="E161" s="11" t="n">
        <v>3</v>
      </c>
      <c r="F161" s="2" t="inlineStr">
        <is>
          <t>THE STATE OF MAHARASHTRA &amp; ANR. versus KESHAO VISHWANATH SONONE &amp; ANR.</t>
        </is>
      </c>
      <c r="G161" s="2" t="n"/>
      <c r="H161" s="2" t="n"/>
      <c r="I161" s="2" t="inlineStr">
        <is>
          <t>Whether a two-Judge Bench decision of this Court in Dina v. Narayan Singh (for the sake of brevity “Dina I”) and the decision rendered by another two-Judge Bench of this Court in Dadaji v. Sukhdeobabu (for the sake of brevity “Dina II”) are overruled by a Constitution bench of this Court in State of Maharashtra v. Milind?” 90.</t>
        </is>
      </c>
      <c r="J161" s="11" t="inlineStr"/>
      <c r="K161" s="11" t="inlineStr">
        <is>
          <t>b2020_11_597_664</t>
        </is>
      </c>
      <c r="L161" s="11" t="inlineStr">
        <is>
          <t>2026-10-07</t>
        </is>
      </c>
      <c r="M161" s="11" t="n"/>
      <c r="N161" s="11" t="inlineStr">
        <is>
          <t>found</t>
        </is>
      </c>
    </row>
    <row r="162">
      <c r="A162" s="11" t="inlineStr">
        <is>
          <t>P-0159</t>
        </is>
      </c>
      <c r="B162" s="11" t="inlineStr">
        <is>
          <t>open</t>
        </is>
      </c>
      <c r="C162" s="11" t="inlineStr">
        <is>
          <t>tag</t>
        </is>
      </c>
      <c r="D162" s="11" t="inlineStr">
        <is>
          <t>2021-01-11</t>
        </is>
      </c>
      <c r="E162" s="11" t="n">
        <v>3</v>
      </c>
      <c r="F162" s="2" t="inlineStr">
        <is>
          <t>M/S. N.N. GLOBAL MERCANTILE PVT. LTD. versus M/S. INDO UNIQUE FLAME LTD. &amp; OTHERS</t>
        </is>
      </c>
      <c r="G162" s="2" t="inlineStr">
        <is>
          <t>SMS Tea Estates Pvt. Ltd. v. M/s. Chandmari Tea Co. Pvt. Ltd.</t>
        </is>
      </c>
      <c r="H162" s="2" t="inlineStr">
        <is>
          <t>(2011) 14 SCC 66 : [2011] 9 SCR 382</t>
        </is>
      </c>
      <c r="I162" s="2" t="inlineStr">
        <is>
          <t>partly overruled</t>
        </is>
      </c>
      <c r="J162" s="11" t="inlineStr"/>
      <c r="K162" s="11" t="inlineStr">
        <is>
          <t>b2021_4_933_995</t>
        </is>
      </c>
      <c r="L162" s="11" t="inlineStr">
        <is>
          <t>2026-10-07</t>
        </is>
      </c>
      <c r="M162" s="11" t="n"/>
      <c r="N162" s="11" t="inlineStr">
        <is>
          <t>found</t>
        </is>
      </c>
    </row>
    <row r="163">
      <c r="A163" s="11" t="inlineStr">
        <is>
          <t>P-0160</t>
        </is>
      </c>
      <c r="B163" s="11" t="inlineStr">
        <is>
          <t>open</t>
        </is>
      </c>
      <c r="C163" s="11" t="inlineStr">
        <is>
          <t>tag</t>
        </is>
      </c>
      <c r="D163" s="11" t="inlineStr">
        <is>
          <t>2021-02-11</t>
        </is>
      </c>
      <c r="E163" s="11" t="n">
        <v>3</v>
      </c>
      <c r="F163" s="2" t="inlineStr">
        <is>
          <t>CHINTELS INDIA LTD. versus BHAYANA BUILDERS PVT. LTD.</t>
        </is>
      </c>
      <c r="G163" s="2" t="inlineStr">
        <is>
          <t>State of Maharashtra and Anr. v. M/s Ramdas Construction Co. and Anr.</t>
        </is>
      </c>
      <c r="H163" s="2" t="inlineStr">
        <is>
          <t>2006 (6) Mah. L.J. 678</t>
        </is>
      </c>
      <c r="I163" s="2" t="inlineStr">
        <is>
          <t>overruled</t>
        </is>
      </c>
      <c r="J163" s="11" t="inlineStr"/>
      <c r="K163" s="11" t="inlineStr">
        <is>
          <t>b2021_1_829_857</t>
        </is>
      </c>
      <c r="L163" s="11" t="inlineStr">
        <is>
          <t>2026-10-07</t>
        </is>
      </c>
      <c r="M163" s="11" t="n"/>
      <c r="N163" s="11" t="inlineStr">
        <is>
          <t>found</t>
        </is>
      </c>
    </row>
    <row r="164">
      <c r="A164" s="11" t="inlineStr">
        <is>
          <t>P-0161</t>
        </is>
      </c>
      <c r="B164" s="11" t="inlineStr">
        <is>
          <t>open</t>
        </is>
      </c>
      <c r="C164" s="11" t="inlineStr">
        <is>
          <t>tag</t>
        </is>
      </c>
      <c r="D164" s="11" t="inlineStr">
        <is>
          <t>2021-02-11</t>
        </is>
      </c>
      <c r="E164" s="11" t="n">
        <v>3</v>
      </c>
      <c r="F164" s="2" t="inlineStr">
        <is>
          <t>CHINTELS INDIA LTD. versus BHAYANA BUILDERS PVT. LTD.</t>
        </is>
      </c>
      <c r="G164" s="2" t="inlineStr">
        <is>
          <t>Union of India v. Radha Krishna Seth and Anr. 2005</t>
        </is>
      </c>
      <c r="H164" s="2" t="inlineStr">
        <is>
          <t>SCC OnLine All 8400</t>
        </is>
      </c>
      <c r="I164" s="2" t="inlineStr">
        <is>
          <t>overruled</t>
        </is>
      </c>
      <c r="J164" s="11" t="inlineStr"/>
      <c r="K164" s="11" t="inlineStr">
        <is>
          <t>b2021_1_829_857</t>
        </is>
      </c>
      <c r="L164" s="11" t="inlineStr">
        <is>
          <t>2026-10-07</t>
        </is>
      </c>
      <c r="M164" s="11" t="n"/>
      <c r="N164" s="11" t="inlineStr">
        <is>
          <t>found</t>
        </is>
      </c>
    </row>
    <row r="165">
      <c r="A165" s="11" t="inlineStr">
        <is>
          <t>P-0162</t>
        </is>
      </c>
      <c r="B165" s="11" t="inlineStr">
        <is>
          <t>open</t>
        </is>
      </c>
      <c r="C165" s="11" t="inlineStr">
        <is>
          <t>tag</t>
        </is>
      </c>
      <c r="D165" s="11" t="inlineStr">
        <is>
          <t>2021-02-26</t>
        </is>
      </c>
      <c r="E165" s="11" t="n">
        <v>3</v>
      </c>
      <c r="F165" s="2" t="inlineStr">
        <is>
          <t>ASHA JOHN DIVIANATHAN versus VIKRAM MALHOTRA &amp; ORS.</t>
        </is>
      </c>
      <c r="G165" s="2" t="inlineStr">
        <is>
          <t>Piara Singh v. Jagtar Singh and Anr.</t>
        </is>
      </c>
      <c r="H165" s="2" t="inlineStr">
        <is>
          <t>AIR 1987 Punjab and Haryana 93</t>
        </is>
      </c>
      <c r="I165" s="2" t="inlineStr">
        <is>
          <t>overruled</t>
        </is>
      </c>
      <c r="J165" s="11" t="inlineStr"/>
      <c r="K165" s="11" t="inlineStr">
        <is>
          <t>b2021_1_953_988</t>
        </is>
      </c>
      <c r="L165" s="11" t="inlineStr">
        <is>
          <t>2026-10-07</t>
        </is>
      </c>
      <c r="M165" s="11" t="n"/>
      <c r="N165" s="11" t="inlineStr">
        <is>
          <t>found</t>
        </is>
      </c>
    </row>
    <row r="166">
      <c r="A166" s="11" t="inlineStr">
        <is>
          <t>P-0163</t>
        </is>
      </c>
      <c r="B166" s="11" t="inlineStr">
        <is>
          <t>open</t>
        </is>
      </c>
      <c r="C166" s="11" t="inlineStr">
        <is>
          <t>tag</t>
        </is>
      </c>
      <c r="D166" s="11" t="inlineStr">
        <is>
          <t>2021-02-26</t>
        </is>
      </c>
      <c r="E166" s="11" t="n">
        <v>3</v>
      </c>
      <c r="F166" s="2" t="inlineStr">
        <is>
          <t>ASHA JOHN DIVIANATHAN versus VIKRAM MALHOTRA &amp; ORS.</t>
        </is>
      </c>
      <c r="G166" s="2" t="inlineStr">
        <is>
          <t>R. Sambasivam v. Thangavelu ASHA JOHN DIVIANATHAN v. VIKRAM MALHOTRA &amp; ORS. SUPREME COURT REPORTS</t>
        </is>
      </c>
      <c r="H166" s="2" t="inlineStr">
        <is>
          <t>[2021] 1 S.C.R. Dhanabagyam 2001-1-L.W. 161</t>
        </is>
      </c>
      <c r="I166" s="2" t="inlineStr">
        <is>
          <t>overruled</t>
        </is>
      </c>
      <c r="J166" s="11" t="inlineStr"/>
      <c r="K166" s="11" t="inlineStr">
        <is>
          <t>b2021_1_953_988</t>
        </is>
      </c>
      <c r="L166" s="11" t="inlineStr">
        <is>
          <t>2026-10-07</t>
        </is>
      </c>
      <c r="M166" s="11" t="n"/>
      <c r="N166" s="11" t="inlineStr">
        <is>
          <t>found</t>
        </is>
      </c>
    </row>
    <row r="167">
      <c r="A167" s="11" t="inlineStr">
        <is>
          <t>P-0164</t>
        </is>
      </c>
      <c r="B167" s="11" t="inlineStr">
        <is>
          <t>open</t>
        </is>
      </c>
      <c r="C167" s="11" t="inlineStr">
        <is>
          <t>tag</t>
        </is>
      </c>
      <c r="D167" s="11" t="inlineStr">
        <is>
          <t>2021-02-26</t>
        </is>
      </c>
      <c r="E167" s="11" t="n">
        <v>3</v>
      </c>
      <c r="F167" s="2" t="inlineStr">
        <is>
          <t>ASHA JOHN DIVIANATHAN versus VIKRAM MALHOTRA &amp; ORS.</t>
        </is>
      </c>
      <c r="G167" s="2" t="inlineStr">
        <is>
          <t>Ajit Prashad Jain v. N.K. Widhani &amp; Ors.</t>
        </is>
      </c>
      <c r="H167" s="2" t="inlineStr">
        <is>
          <t>AIR 1990 Del 42</t>
        </is>
      </c>
      <c r="I167" s="2" t="inlineStr">
        <is>
          <t>overruled</t>
        </is>
      </c>
      <c r="J167" s="11" t="inlineStr"/>
      <c r="K167" s="11" t="inlineStr">
        <is>
          <t>b2021_1_953_988</t>
        </is>
      </c>
      <c r="L167" s="11" t="inlineStr">
        <is>
          <t>2026-10-07</t>
        </is>
      </c>
      <c r="M167" s="11" t="n"/>
      <c r="N167" s="11" t="inlineStr">
        <is>
          <t>found</t>
        </is>
      </c>
    </row>
    <row r="168">
      <c r="A168" s="11" t="inlineStr">
        <is>
          <t>P-0165</t>
        </is>
      </c>
      <c r="B168" s="11" t="inlineStr">
        <is>
          <t>open</t>
        </is>
      </c>
      <c r="C168" s="11" t="inlineStr">
        <is>
          <t>tag</t>
        </is>
      </c>
      <c r="D168" s="11" t="inlineStr">
        <is>
          <t>2021-02-26</t>
        </is>
      </c>
      <c r="E168" s="11" t="n">
        <v>3</v>
      </c>
      <c r="F168" s="2" t="inlineStr">
        <is>
          <t>ASHA JOHN DIVIANATHAN versus VIKRAM MALHOTRA &amp; ORS.</t>
        </is>
      </c>
      <c r="G168" s="2" t="inlineStr">
        <is>
          <t>Tufanu Chouhan &amp; Ors. v. Md. Abdur Rahman &amp; Ors.</t>
        </is>
      </c>
      <c r="H168" s="2" t="inlineStr">
        <is>
          <t>(1993) 1 Gau LR 306</t>
        </is>
      </c>
      <c r="I168" s="2" t="inlineStr">
        <is>
          <t>overruled</t>
        </is>
      </c>
      <c r="J168" s="11" t="inlineStr"/>
      <c r="K168" s="11" t="inlineStr">
        <is>
          <t>b2021_1_953_988</t>
        </is>
      </c>
      <c r="L168" s="11" t="inlineStr">
        <is>
          <t>2026-10-07</t>
        </is>
      </c>
      <c r="M168" s="11" t="n"/>
      <c r="N168" s="11" t="inlineStr">
        <is>
          <t>found</t>
        </is>
      </c>
    </row>
    <row r="169">
      <c r="A169" s="11" t="inlineStr">
        <is>
          <t>P-0166</t>
        </is>
      </c>
      <c r="B169" s="11" t="inlineStr">
        <is>
          <t>open</t>
        </is>
      </c>
      <c r="C169" s="11" t="inlineStr">
        <is>
          <t>tag</t>
        </is>
      </c>
      <c r="D169" s="11" t="inlineStr">
        <is>
          <t>2021-02-26</t>
        </is>
      </c>
      <c r="E169" s="11" t="n">
        <v>3</v>
      </c>
      <c r="F169" s="2" t="inlineStr">
        <is>
          <t>ASHA JOHN DIVIANATHAN versus VIKRAM MALHOTRA &amp; ORS.</t>
        </is>
      </c>
      <c r="G169" s="2" t="inlineStr">
        <is>
          <t>Geeta Reinboth v. Mrs. J. Clairs Brohier through LRs. Mrs. Cheryl Brohier Gosens &amp; Ors.</t>
        </is>
      </c>
      <c r="H169" s="2" t="inlineStr">
        <is>
          <t>(2005) 1 MP LJ 122</t>
        </is>
      </c>
      <c r="I169" s="2" t="inlineStr">
        <is>
          <t>overruled</t>
        </is>
      </c>
      <c r="J169" s="11" t="inlineStr"/>
      <c r="K169" s="11" t="inlineStr">
        <is>
          <t>b2021_1_953_988</t>
        </is>
      </c>
      <c r="L169" s="11" t="inlineStr">
        <is>
          <t>2026-10-07</t>
        </is>
      </c>
      <c r="M169" s="11" t="n"/>
      <c r="N169" s="11" t="inlineStr">
        <is>
          <t>found</t>
        </is>
      </c>
    </row>
    <row r="170">
      <c r="A170" s="11" t="inlineStr">
        <is>
          <t>P-0167</t>
        </is>
      </c>
      <c r="B170" s="11" t="inlineStr">
        <is>
          <t>open</t>
        </is>
      </c>
      <c r="C170" s="11" t="inlineStr">
        <is>
          <t>tag</t>
        </is>
      </c>
      <c r="D170" s="11" t="inlineStr">
        <is>
          <t>2021-02-26</t>
        </is>
      </c>
      <c r="E170" s="11" t="n">
        <v>3</v>
      </c>
      <c r="F170" s="2" t="inlineStr">
        <is>
          <t>ASHA JOHN DIVIANATHAN versus VIKRAM MALHOTRA &amp; ORS.</t>
        </is>
      </c>
      <c r="G170" s="2" t="inlineStr">
        <is>
          <t>Sivaprakasam v. Ilangovan &amp; Ors.</t>
        </is>
      </c>
      <c r="H170" s="2" t="inlineStr">
        <is>
          <t>(2010) 3 MWN (Civil) 525</t>
        </is>
      </c>
      <c r="I170" s="2" t="inlineStr">
        <is>
          <t>overruled</t>
        </is>
      </c>
      <c r="J170" s="11" t="inlineStr"/>
      <c r="K170" s="11" t="inlineStr">
        <is>
          <t>b2021_1_953_988</t>
        </is>
      </c>
      <c r="L170" s="11" t="inlineStr">
        <is>
          <t>2026-10-07</t>
        </is>
      </c>
      <c r="M170" s="11" t="n"/>
      <c r="N170" s="11" t="inlineStr">
        <is>
          <t>found</t>
        </is>
      </c>
    </row>
    <row r="171">
      <c r="A171" s="11" t="inlineStr">
        <is>
          <t>P-0168</t>
        </is>
      </c>
      <c r="B171" s="11" t="inlineStr">
        <is>
          <t>open</t>
        </is>
      </c>
      <c r="C171" s="11" t="inlineStr">
        <is>
          <t>tag</t>
        </is>
      </c>
      <c r="D171" s="11" t="inlineStr">
        <is>
          <t>2021-02-26</t>
        </is>
      </c>
      <c r="E171" s="11" t="n">
        <v>3</v>
      </c>
      <c r="F171" s="2" t="inlineStr">
        <is>
          <t>ASHA JOHN DIVIANATHAN versus VIKRAM MALHOTRA &amp; ORS.</t>
        </is>
      </c>
      <c r="G171" s="2" t="inlineStr">
        <is>
          <t>Mathu Sree Akkabai Ammani Charitable Trust &amp; Ors. v. Samikannu</t>
        </is>
      </c>
      <c r="H171" s="2" t="inlineStr">
        <is>
          <t>(2013) 1 LW 136</t>
        </is>
      </c>
      <c r="I171" s="2" t="inlineStr">
        <is>
          <t>overruled</t>
        </is>
      </c>
      <c r="J171" s="11" t="inlineStr"/>
      <c r="K171" s="11" t="inlineStr">
        <is>
          <t>b2021_1_953_988</t>
        </is>
      </c>
      <c r="L171" s="11" t="inlineStr">
        <is>
          <t>2026-10-07</t>
        </is>
      </c>
      <c r="M171" s="11" t="n"/>
      <c r="N171" s="11" t="inlineStr">
        <is>
          <t>found</t>
        </is>
      </c>
    </row>
    <row r="172">
      <c r="A172" s="11" t="inlineStr">
        <is>
          <t>P-0169</t>
        </is>
      </c>
      <c r="B172" s="11" t="inlineStr">
        <is>
          <t>open</t>
        </is>
      </c>
      <c r="C172" s="11" t="inlineStr">
        <is>
          <t>tag</t>
        </is>
      </c>
      <c r="D172" s="11" t="inlineStr">
        <is>
          <t>2021-03-01</t>
        </is>
      </c>
      <c r="E172" s="11" t="n">
        <v>3</v>
      </c>
      <c r="F172" s="2" t="inlineStr">
        <is>
          <t>P. MOHANRAJ &amp; ORS. versus M/S. SHAH BROTHERS ISPAT PVT. LTD.</t>
        </is>
      </c>
      <c r="G172" s="2" t="inlineStr">
        <is>
          <t>Power Grid Corporation of India Ltd. v. Jyoti Structures Ltd., 2017</t>
        </is>
      </c>
      <c r="H172" s="2" t="inlineStr">
        <is>
          <t>SCC OnLine Del 12189 : (2018) 246 DLT 485</t>
        </is>
      </c>
      <c r="I172" s="2" t="inlineStr">
        <is>
          <t>held not correct law</t>
        </is>
      </c>
      <c r="J172" s="11" t="inlineStr"/>
      <c r="K172" s="11" t="inlineStr">
        <is>
          <t>b2021_14_204_320</t>
        </is>
      </c>
      <c r="L172" s="11" t="inlineStr">
        <is>
          <t>2026-10-07</t>
        </is>
      </c>
      <c r="M172" s="11" t="n"/>
      <c r="N172" s="11" t="inlineStr">
        <is>
          <t>found</t>
        </is>
      </c>
    </row>
    <row r="173">
      <c r="A173" s="11" t="inlineStr">
        <is>
          <t>P-0170</t>
        </is>
      </c>
      <c r="B173" s="11" t="inlineStr">
        <is>
          <t>open</t>
        </is>
      </c>
      <c r="C173" s="11" t="inlineStr">
        <is>
          <t>tag</t>
        </is>
      </c>
      <c r="D173" s="11" t="inlineStr">
        <is>
          <t>2021-03-01</t>
        </is>
      </c>
      <c r="E173" s="11" t="n">
        <v>3</v>
      </c>
      <c r="F173" s="2" t="inlineStr">
        <is>
          <t>P. MOHANRAJ &amp; ORS. versus M/S. SHAH BROTHERS ISPAT PVT. LTD.</t>
        </is>
      </c>
      <c r="G173" s="2" t="inlineStr">
        <is>
          <t>Tayal Cotton Pvt. Ltd. v. State of Maharashtra, 2018</t>
        </is>
      </c>
      <c r="H173" s="2" t="inlineStr">
        <is>
          <t>SCC OnLine Bom 2069 : (2019) 1 Mah LJ 312</t>
        </is>
      </c>
      <c r="I173" s="2" t="inlineStr">
        <is>
          <t>disapproved</t>
        </is>
      </c>
      <c r="J173" s="11" t="inlineStr"/>
      <c r="K173" s="11" t="inlineStr">
        <is>
          <t>b2021_14_204_320</t>
        </is>
      </c>
      <c r="L173" s="11" t="inlineStr">
        <is>
          <t>2026-10-07</t>
        </is>
      </c>
      <c r="M173" s="11" t="n"/>
      <c r="N173" s="11" t="inlineStr">
        <is>
          <t>found</t>
        </is>
      </c>
    </row>
    <row r="174">
      <c r="A174" s="11" t="inlineStr">
        <is>
          <t>P-0171</t>
        </is>
      </c>
      <c r="B174" s="11" t="inlineStr">
        <is>
          <t>open</t>
        </is>
      </c>
      <c r="C174" s="11" t="inlineStr">
        <is>
          <t>tag</t>
        </is>
      </c>
      <c r="D174" s="11" t="inlineStr">
        <is>
          <t>2021-03-01</t>
        </is>
      </c>
      <c r="E174" s="11" t="n">
        <v>3</v>
      </c>
      <c r="F174" s="2" t="inlineStr">
        <is>
          <t>P. MOHANRAJ &amp; ORS. versus M/S. SHAH BROTHERS ISPAT PVT. LTD.</t>
        </is>
      </c>
      <c r="G174" s="2" t="inlineStr">
        <is>
          <t>M/s MBL Infrastructure Ltd. v. Manik Chand Somani, CRR 3456/2018</t>
        </is>
      </c>
      <c r="H174" s="2" t="inlineStr"/>
      <c r="I174" s="2" t="inlineStr">
        <is>
          <t>disapproved</t>
        </is>
      </c>
      <c r="J174" s="11" t="inlineStr"/>
      <c r="K174" s="11" t="inlineStr">
        <is>
          <t>b2021_14_204_320</t>
        </is>
      </c>
      <c r="L174" s="11" t="inlineStr">
        <is>
          <t>2026-10-07</t>
        </is>
      </c>
      <c r="M174" s="11" t="n"/>
      <c r="N174" s="11" t="inlineStr">
        <is>
          <t>found</t>
        </is>
      </c>
    </row>
    <row r="175">
      <c r="A175" s="11" t="inlineStr">
        <is>
          <t>P-0172</t>
        </is>
      </c>
      <c r="B175" s="11" t="inlineStr">
        <is>
          <t>open</t>
        </is>
      </c>
      <c r="C175" s="11" t="inlineStr">
        <is>
          <t>tag</t>
        </is>
      </c>
      <c r="D175" s="11" t="inlineStr">
        <is>
          <t>2021-03-02</t>
        </is>
      </c>
      <c r="E175" s="11" t="n">
        <v>3</v>
      </c>
      <c r="F175" s="2" t="inlineStr">
        <is>
          <t>ENGINEERING ANALYSIS CENTRE OF EXCELLENCE PRIVATE LIMITED versus THE COMMISSIONER OF INCOME TAX &amp; ANR.</t>
        </is>
      </c>
      <c r="G175" s="2" t="inlineStr">
        <is>
          <t>CIT v. Samsung Electronics Co. Ltd.</t>
        </is>
      </c>
      <c r="H175" s="2" t="inlineStr">
        <is>
          <t>(2012) 345 ITR 494</t>
        </is>
      </c>
      <c r="I175" s="2" t="inlineStr">
        <is>
          <t>not correct law</t>
        </is>
      </c>
      <c r="J175" s="11" t="inlineStr"/>
      <c r="K175" s="11" t="inlineStr">
        <is>
          <t>b2021_2_321_492</t>
        </is>
      </c>
      <c r="L175" s="11" t="inlineStr">
        <is>
          <t>2026-10-07</t>
        </is>
      </c>
      <c r="M175" s="11" t="n"/>
      <c r="N175" s="11" t="inlineStr">
        <is>
          <t>found</t>
        </is>
      </c>
    </row>
    <row r="176">
      <c r="A176" s="11" t="inlineStr">
        <is>
          <t>P-0173</t>
        </is>
      </c>
      <c r="B176" s="11" t="inlineStr">
        <is>
          <t>open</t>
        </is>
      </c>
      <c r="C176" s="11" t="inlineStr">
        <is>
          <t>sentence</t>
        </is>
      </c>
      <c r="D176" s="11" t="inlineStr">
        <is>
          <t>2021-03-08</t>
        </is>
      </c>
      <c r="E176" s="11" t="n">
        <v>3</v>
      </c>
      <c r="F176" s="2" t="inlineStr">
        <is>
          <t>PRAVIN ELECTRICALS PVT. LTD. versus GALAXY INFRA AND ENGINEERING PVT. LTD.</t>
        </is>
      </c>
      <c r="G176" s="2" t="n"/>
      <c r="H176" s="2" t="n"/>
      <c r="I176" s="2" t="inlineStr">
        <is>
          <t>Ltd. v. Rani Construction (P) Ltd., (2002) 2 SCC 388 is overruled.’ 11.</t>
        </is>
      </c>
      <c r="J176" s="11" t="inlineStr"/>
      <c r="K176" s="11" t="inlineStr">
        <is>
          <t>b2021_1_1162_1198</t>
        </is>
      </c>
      <c r="L176" s="11" t="inlineStr">
        <is>
          <t>2026-10-07</t>
        </is>
      </c>
      <c r="M176" s="11" t="n"/>
      <c r="N176" s="11" t="inlineStr">
        <is>
          <t>found</t>
        </is>
      </c>
    </row>
    <row r="177">
      <c r="A177" s="11" t="inlineStr">
        <is>
          <t>P-0174</t>
        </is>
      </c>
      <c r="B177" s="11" t="inlineStr">
        <is>
          <t>open</t>
        </is>
      </c>
      <c r="C177" s="11" t="inlineStr">
        <is>
          <t>tag</t>
        </is>
      </c>
      <c r="D177" s="11" t="inlineStr">
        <is>
          <t>2021-03-10</t>
        </is>
      </c>
      <c r="E177" s="11" t="n">
        <v>3</v>
      </c>
      <c r="F177" s="2" t="inlineStr">
        <is>
          <t>KALPRAJ DHARAMSHI &amp; ANR. versus KOTAK INVESTMENT ADVISORS LTD. &amp; ANR.</t>
        </is>
      </c>
      <c r="G177" s="2" t="inlineStr">
        <is>
          <t>Commissioner of Sales Tax, U.P. vs. Madan Lal Das &amp; Sons, Bareilly</t>
        </is>
      </c>
      <c r="H177" s="2" t="inlineStr">
        <is>
          <t>(1976) 4 SCC 464 : [1977] 1 SCR 683</t>
        </is>
      </c>
      <c r="I177" s="2" t="inlineStr">
        <is>
          <t>per incuriam</t>
        </is>
      </c>
      <c r="J177" s="11" t="inlineStr"/>
      <c r="K177" s="11" t="inlineStr">
        <is>
          <t>b2021_2_677_769</t>
        </is>
      </c>
      <c r="L177" s="11" t="inlineStr">
        <is>
          <t>2026-10-07</t>
        </is>
      </c>
      <c r="M177" s="11" t="n"/>
      <c r="N177" s="11" t="inlineStr">
        <is>
          <t>found</t>
        </is>
      </c>
    </row>
    <row r="178">
      <c r="A178" s="11" t="inlineStr">
        <is>
          <t>P-0175</t>
        </is>
      </c>
      <c r="B178" s="11" t="inlineStr">
        <is>
          <t>open</t>
        </is>
      </c>
      <c r="C178" s="11" t="inlineStr">
        <is>
          <t>tag</t>
        </is>
      </c>
      <c r="D178" s="11" t="inlineStr">
        <is>
          <t>2021-03-19</t>
        </is>
      </c>
      <c r="E178" s="11" t="n">
        <v>3</v>
      </c>
      <c r="F178" s="2" t="inlineStr">
        <is>
          <t>GOVERNMENT OF MAHARASHTRA (WATER RESOURCES DEPARTMENT) REPRESENTED BY EXECUTIVE ENGINEER versus M/S BORSE BROTHERS ENGINEERS &amp; CONTRACTORS PVT. LTD.</t>
        </is>
      </c>
      <c r="G178" s="2" t="inlineStr">
        <is>
          <t>N.V. International v. State of Assam</t>
        </is>
      </c>
      <c r="H178" s="2" t="inlineStr">
        <is>
          <t>(2020) 2 SCC 109</t>
        </is>
      </c>
      <c r="I178" s="2" t="inlineStr">
        <is>
          <t>overruled</t>
        </is>
      </c>
      <c r="J178" s="11" t="inlineStr">
        <is>
          <t>yes</t>
        </is>
      </c>
      <c r="K178" s="11" t="inlineStr">
        <is>
          <t>b2021_3_193_254</t>
        </is>
      </c>
      <c r="L178" s="11" t="inlineStr">
        <is>
          <t>2026-10-07</t>
        </is>
      </c>
      <c r="M178" s="11" t="n"/>
      <c r="N178" s="11" t="inlineStr">
        <is>
          <t>found</t>
        </is>
      </c>
    </row>
    <row r="179">
      <c r="A179" s="11" t="inlineStr">
        <is>
          <t>P-0176</t>
        </is>
      </c>
      <c r="B179" s="11" t="inlineStr">
        <is>
          <t>open</t>
        </is>
      </c>
      <c r="C179" s="11" t="inlineStr">
        <is>
          <t>sentence</t>
        </is>
      </c>
      <c r="D179" s="11" t="inlineStr">
        <is>
          <t>2021-04-05</t>
        </is>
      </c>
      <c r="E179" s="11" t="n">
        <v>3</v>
      </c>
      <c r="F179" s="2" t="inlineStr">
        <is>
          <t>KIRAN DEVI versus THE BIHAR STATE SUNNI WAKF BOARD &amp; ORS.</t>
        </is>
      </c>
      <c r="G179" s="2" t="n"/>
      <c r="H179" s="2" t="n"/>
      <c r="I179" s="2" t="inlineStr">
        <is>
          <t>Contrary view in Surya Dev Rai [Surya Dev Rai v. Ram Chander Rai, (2003) 6 SCC 675] is overruled.” 20.</t>
        </is>
      </c>
      <c r="J179" s="11" t="inlineStr"/>
      <c r="K179" s="11" t="inlineStr">
        <is>
          <t>b2021_7_86_111</t>
        </is>
      </c>
      <c r="L179" s="11" t="inlineStr">
        <is>
          <t>2026-10-07</t>
        </is>
      </c>
      <c r="M179" s="11" t="n"/>
      <c r="N179" s="11" t="inlineStr">
        <is>
          <t>found</t>
        </is>
      </c>
    </row>
    <row r="180">
      <c r="A180" s="11" t="inlineStr">
        <is>
          <t>P-0177</t>
        </is>
      </c>
      <c r="B180" s="11" t="inlineStr">
        <is>
          <t>open</t>
        </is>
      </c>
      <c r="C180" s="11" t="inlineStr">
        <is>
          <t>tag</t>
        </is>
      </c>
      <c r="D180" s="11" t="inlineStr">
        <is>
          <t>2021-04-15</t>
        </is>
      </c>
      <c r="E180" s="11" t="n">
        <v>3</v>
      </c>
      <c r="F180" s="2" t="inlineStr">
        <is>
          <t>ASSET RECONSTRUCTION COMPANY (INDIA) LIMITED versus BISHAL JAISWAL &amp; ANR.</t>
        </is>
      </c>
      <c r="G180" s="2" t="inlineStr">
        <is>
          <t>V. Padmakumar v. Stressed Assets Stabilisation Fund, Company Appeal (AT) (Insolvency) No. 57 of</t>
        </is>
      </c>
      <c r="H180" s="2" t="inlineStr">
        <is>
          <t>2020 (Majority judgment of Full Bench of NCLAT decided on 12.03.2020)</t>
        </is>
      </c>
      <c r="I180" s="2" t="inlineStr">
        <is>
          <t>overruled</t>
        </is>
      </c>
      <c r="J180" s="11" t="inlineStr"/>
      <c r="K180" s="11" t="inlineStr">
        <is>
          <t>b2021_3_524_575</t>
        </is>
      </c>
      <c r="L180" s="11" t="inlineStr">
        <is>
          <t>2026-10-07</t>
        </is>
      </c>
      <c r="M180" s="11" t="n"/>
      <c r="N180" s="11" t="inlineStr">
        <is>
          <t>found</t>
        </is>
      </c>
    </row>
    <row r="181">
      <c r="A181" s="11" t="inlineStr">
        <is>
          <t>P-0178</t>
        </is>
      </c>
      <c r="B181" s="11" t="inlineStr">
        <is>
          <t>open</t>
        </is>
      </c>
      <c r="C181" s="11" t="inlineStr">
        <is>
          <t>tag</t>
        </is>
      </c>
      <c r="D181" s="11" t="inlineStr">
        <is>
          <t>2021-04-16</t>
        </is>
      </c>
      <c r="E181" s="11" t="n">
        <v>5</v>
      </c>
      <c r="F181" s="2" t="inlineStr">
        <is>
          <t>IN RE: EXPEDITIOUS TRIAL OF CASES UNDER SECTION 138 OF N.I. ACT 1881 versus .</t>
        </is>
      </c>
      <c r="G181" s="2" t="inlineStr">
        <is>
          <t>Meters and Instruments Private Limited and Another v. Kanchan Mehta</t>
        </is>
      </c>
      <c r="H181" s="2" t="inlineStr">
        <is>
          <t>(2018) 1 SCC 560 : [2017] 10 SCR 66</t>
        </is>
      </c>
      <c r="I181" s="2" t="inlineStr">
        <is>
          <t>held not correct law</t>
        </is>
      </c>
      <c r="J181" s="11" t="inlineStr"/>
      <c r="K181" s="11" t="inlineStr">
        <is>
          <t>b2021_4_257_273</t>
        </is>
      </c>
      <c r="L181" s="11" t="inlineStr">
        <is>
          <t>2026-10-07</t>
        </is>
      </c>
      <c r="M181" s="11" t="n"/>
      <c r="N181" s="11" t="inlineStr">
        <is>
          <t>found</t>
        </is>
      </c>
    </row>
    <row r="182">
      <c r="A182" s="11" t="inlineStr">
        <is>
          <t>P-0179</t>
        </is>
      </c>
      <c r="B182" s="11" t="inlineStr">
        <is>
          <t>open</t>
        </is>
      </c>
      <c r="C182" s="11" t="inlineStr">
        <is>
          <t>tag</t>
        </is>
      </c>
      <c r="D182" s="11" t="inlineStr">
        <is>
          <t>2021-04-20</t>
        </is>
      </c>
      <c r="E182" s="11" t="n">
        <v>3</v>
      </c>
      <c r="F182" s="2" t="inlineStr">
        <is>
          <t>PASL WIND SOLUTIONS PRIVATE LIMITED versus GE POWER CONVERSION INDIA PRIVATE LIMITED</t>
        </is>
      </c>
      <c r="G182" s="2" t="inlineStr">
        <is>
          <t>TDM Infrastructure (P) Ltd. v. UE Development India (P) Ltd.</t>
        </is>
      </c>
      <c r="H182" s="2" t="inlineStr">
        <is>
          <t>(2008) 14 SCC 271 : [2008] 8 SCR 775</t>
        </is>
      </c>
      <c r="I182" s="2" t="inlineStr">
        <is>
          <t>overruled</t>
        </is>
      </c>
      <c r="J182" s="11" t="inlineStr"/>
      <c r="K182" s="11" t="inlineStr">
        <is>
          <t>b2021_4_532_632</t>
        </is>
      </c>
      <c r="L182" s="11" t="inlineStr">
        <is>
          <t>2026-10-07</t>
        </is>
      </c>
      <c r="M182" s="11" t="n"/>
      <c r="N182" s="11" t="inlineStr">
        <is>
          <t>found</t>
        </is>
      </c>
    </row>
    <row r="183">
      <c r="A183" s="11" t="inlineStr">
        <is>
          <t>P-0180</t>
        </is>
      </c>
      <c r="B183" s="11" t="inlineStr">
        <is>
          <t>open</t>
        </is>
      </c>
      <c r="C183" s="11" t="inlineStr">
        <is>
          <t>tag</t>
        </is>
      </c>
      <c r="D183" s="11" t="inlineStr">
        <is>
          <t>2021-04-20</t>
        </is>
      </c>
      <c r="E183" s="11" t="n">
        <v>3</v>
      </c>
      <c r="F183" s="2" t="inlineStr">
        <is>
          <t>PASL WIND SOLUTIONS PRIVATE LIMITED versus GE POWER CONVERSION INDIA PRIVATE LIMITED</t>
        </is>
      </c>
      <c r="G183" s="2" t="inlineStr">
        <is>
          <t>Seven Islands Shipping Ltd. v. Sah Petroleums Ltd.</t>
        </is>
      </c>
      <c r="H183" s="2" t="inlineStr">
        <is>
          <t>(2012) 5 Mah LJ 822</t>
        </is>
      </c>
      <c r="I183" s="2" t="inlineStr">
        <is>
          <t>disapproved</t>
        </is>
      </c>
      <c r="J183" s="11" t="inlineStr"/>
      <c r="K183" s="11" t="inlineStr">
        <is>
          <t>b2021_4_532_632</t>
        </is>
      </c>
      <c r="L183" s="11" t="inlineStr">
        <is>
          <t>2026-10-07</t>
        </is>
      </c>
      <c r="M183" s="11" t="n"/>
      <c r="N183" s="11" t="inlineStr">
        <is>
          <t>found</t>
        </is>
      </c>
    </row>
    <row r="184">
      <c r="A184" s="11" t="inlineStr">
        <is>
          <t>P-0181</t>
        </is>
      </c>
      <c r="B184" s="11" t="inlineStr">
        <is>
          <t>open</t>
        </is>
      </c>
      <c r="C184" s="11" t="inlineStr">
        <is>
          <t>tag</t>
        </is>
      </c>
      <c r="D184" s="11" t="inlineStr">
        <is>
          <t>2021-04-20</t>
        </is>
      </c>
      <c r="E184" s="11" t="n">
        <v>3</v>
      </c>
      <c r="F184" s="2" t="inlineStr">
        <is>
          <t>PASL WIND SOLUTIONS PRIVATE LIMITED versus GE POWER CONVERSION INDIA PRIVATE LIMITED</t>
        </is>
      </c>
      <c r="G184" s="2" t="inlineStr">
        <is>
          <t>M/s. Addhar Mercantile Pvt. Ltd. v. Shree Jagadamba Agrico Exports Pvt. Ltd. Arbitration Application No. 197 of</t>
        </is>
      </c>
      <c r="H184" s="2" t="inlineStr">
        <is>
          <t>2014 (decided on 12.06.2015)</t>
        </is>
      </c>
      <c r="I184" s="2" t="inlineStr">
        <is>
          <t>disapproved</t>
        </is>
      </c>
      <c r="J184" s="11" t="inlineStr"/>
      <c r="K184" s="11" t="inlineStr">
        <is>
          <t>b2021_4_532_632</t>
        </is>
      </c>
      <c r="L184" s="11" t="inlineStr">
        <is>
          <t>2026-10-07</t>
        </is>
      </c>
      <c r="M184" s="11" t="n"/>
      <c r="N184" s="11" t="inlineStr">
        <is>
          <t>found</t>
        </is>
      </c>
    </row>
    <row r="185">
      <c r="A185" s="11" t="inlineStr">
        <is>
          <t>P-0182</t>
        </is>
      </c>
      <c r="B185" s="11" t="inlineStr">
        <is>
          <t>open</t>
        </is>
      </c>
      <c r="C185" s="11" t="inlineStr">
        <is>
          <t>tag</t>
        </is>
      </c>
      <c r="D185" s="11" t="inlineStr">
        <is>
          <t>2021-07-22</t>
        </is>
      </c>
      <c r="E185" s="11" t="n">
        <v>3</v>
      </c>
      <c r="F185" s="2" t="inlineStr">
        <is>
          <t>M/S LAUREATE BUILDWELL PVT. LTD. versus CHARANJEET SINGH</t>
        </is>
      </c>
      <c r="G185" s="2" t="inlineStr">
        <is>
          <t>HUDA v. Raje Ram</t>
        </is>
      </c>
      <c r="H185" s="2" t="inlineStr">
        <is>
          <t>2008 (17) SCC 407: [2008] 16 SCR 601</t>
        </is>
      </c>
      <c r="I185" s="2" t="inlineStr">
        <is>
          <t>held not good law</t>
        </is>
      </c>
      <c r="J185" s="11" t="inlineStr"/>
      <c r="K185" s="11" t="inlineStr">
        <is>
          <t>b2021_6_673_691</t>
        </is>
      </c>
      <c r="L185" s="11" t="inlineStr">
        <is>
          <t>2026-10-07</t>
        </is>
      </c>
      <c r="M185" s="11" t="n"/>
      <c r="N185" s="11" t="inlineStr">
        <is>
          <t>found</t>
        </is>
      </c>
    </row>
    <row r="186">
      <c r="A186" s="11" t="inlineStr">
        <is>
          <t>P-0183</t>
        </is>
      </c>
      <c r="B186" s="11" t="inlineStr">
        <is>
          <t>open</t>
        </is>
      </c>
      <c r="C186" s="11" t="inlineStr">
        <is>
          <t>tag</t>
        </is>
      </c>
      <c r="D186" s="11" t="inlineStr">
        <is>
          <t>2021-07-22</t>
        </is>
      </c>
      <c r="E186" s="11" t="n">
        <v>3</v>
      </c>
      <c r="F186" s="2" t="inlineStr">
        <is>
          <t>M/S LAUREATE BUILDWELL PVT. LTD. versus CHARANJEET SINGH</t>
        </is>
      </c>
      <c r="G186" s="2" t="inlineStr">
        <is>
          <t>Wing Commander Arifur Rahman Khan and Anr. v. DLF Southern Homes Pvt. Ltd., 2020</t>
        </is>
      </c>
      <c r="H186" s="2" t="inlineStr">
        <is>
          <t>SCC Online 667 (SC)</t>
        </is>
      </c>
      <c r="I186" s="2" t="inlineStr">
        <is>
          <t>held not good law</t>
        </is>
      </c>
      <c r="J186" s="11" t="inlineStr"/>
      <c r="K186" s="11" t="inlineStr">
        <is>
          <t>b2021_6_673_691</t>
        </is>
      </c>
      <c r="L186" s="11" t="inlineStr">
        <is>
          <t>2026-10-07</t>
        </is>
      </c>
      <c r="M186" s="11" t="n"/>
      <c r="N186" s="11" t="inlineStr">
        <is>
          <t>found</t>
        </is>
      </c>
    </row>
    <row r="187">
      <c r="A187" s="11" t="inlineStr">
        <is>
          <t>P-0184</t>
        </is>
      </c>
      <c r="B187" s="11" t="inlineStr">
        <is>
          <t>open</t>
        </is>
      </c>
      <c r="C187" s="11" t="inlineStr">
        <is>
          <t>sentence</t>
        </is>
      </c>
      <c r="D187" s="11" t="inlineStr">
        <is>
          <t>2021-09-28</t>
        </is>
      </c>
      <c r="E187" s="11" t="n">
        <v>3</v>
      </c>
      <c r="F187" s="2" t="inlineStr">
        <is>
          <t>ADANI GAS LIMITED versus UNION OF INDIA &amp; ORS.</t>
        </is>
      </c>
      <c r="G187" s="2" t="n"/>
      <c r="H187" s="2" t="n"/>
      <c r="I187" s="2" t="inlineStr">
        <is>
          <t>To sum up, the points of consideration raised are answered as follows: a. On the scope of the “deemed authorisation” clause under the proviso to Section 16 of the PNGRB Act, the decision in Adani Gas (supra) is held to have laid down the law incorrectly, and is hereby overruled. b. It is held that the “deemed authorization” clause under proviso to Section 16 is subject to other provisions of Chapt</t>
        </is>
      </c>
      <c r="J187" s="11" t="inlineStr"/>
      <c r="K187" s="11" t="inlineStr">
        <is>
          <t>b2021_13_1146_1240</t>
        </is>
      </c>
      <c r="L187" s="11" t="inlineStr">
        <is>
          <t>2026-10-07</t>
        </is>
      </c>
      <c r="M187" s="11" t="n"/>
      <c r="N187" s="11" t="inlineStr">
        <is>
          <t>found</t>
        </is>
      </c>
    </row>
    <row r="188">
      <c r="A188" s="11" t="inlineStr">
        <is>
          <t>P-0185</t>
        </is>
      </c>
      <c r="B188" s="11" t="inlineStr">
        <is>
          <t>open</t>
        </is>
      </c>
      <c r="C188" s="11" t="inlineStr">
        <is>
          <t>tag</t>
        </is>
      </c>
      <c r="D188" s="11" t="inlineStr">
        <is>
          <t>2021-10-22</t>
        </is>
      </c>
      <c r="E188" s="11" t="n">
        <v>3</v>
      </c>
      <c r="F188" s="2" t="inlineStr">
        <is>
          <t>JALKAL VIBHAG NAGAR NIGAM &amp; ORS. versus PRADESHIYA INDUSTRIAL AND INVESTMENT CORPORATION &amp; ANR.</t>
        </is>
      </c>
      <c r="G188" s="2" t="inlineStr">
        <is>
          <t>JALKAL VIBHAG NAGAR NIGAM v. PRADESHIYA INDUSTRIAL AND INVESTMENT CORP. SUPREME COURT REPORTS</t>
        </is>
      </c>
      <c r="H188" s="2" t="inlineStr">
        <is>
          <t>[2021] 12 S.C.R. Union of India v. State of U.P. and others (2007) 11 SCC 324 : [2007] (11) SCR 792</t>
        </is>
      </c>
      <c r="I188" s="2" t="inlineStr">
        <is>
          <t>overruled</t>
        </is>
      </c>
      <c r="J188" s="11" t="inlineStr"/>
      <c r="K188" s="11" t="inlineStr">
        <is>
          <t>b2021_12_210_258</t>
        </is>
      </c>
      <c r="L188" s="11" t="inlineStr">
        <is>
          <t>2026-10-07</t>
        </is>
      </c>
      <c r="M188" s="11" t="n"/>
      <c r="N188" s="11" t="inlineStr">
        <is>
          <t>found</t>
        </is>
      </c>
    </row>
    <row r="189">
      <c r="A189" s="11" t="inlineStr">
        <is>
          <t>P-0186</t>
        </is>
      </c>
      <c r="B189" s="11" t="inlineStr">
        <is>
          <t>open</t>
        </is>
      </c>
      <c r="C189" s="11" t="inlineStr">
        <is>
          <t>tag</t>
        </is>
      </c>
      <c r="D189" s="11" t="inlineStr">
        <is>
          <t>2022-02-16</t>
        </is>
      </c>
      <c r="E189" s="11" t="n">
        <v>3</v>
      </c>
      <c r="F189" s="2" t="inlineStr">
        <is>
          <t>VODAFONE IDEA CELLULAR LTD. versus AJAY KUMAR AGARWAL</t>
        </is>
      </c>
      <c r="G189" s="2" t="inlineStr">
        <is>
          <t>General Manager, Telecom v. M Krishnan and Another</t>
        </is>
      </c>
      <c r="H189" s="2" t="inlineStr">
        <is>
          <t>(2009) 8 SCC 481 : [2009] 14 SCR 86</t>
        </is>
      </c>
      <c r="I189" s="2" t="inlineStr">
        <is>
          <t>not correct law</t>
        </is>
      </c>
      <c r="J189" s="11" t="inlineStr"/>
      <c r="K189" s="11" t="inlineStr">
        <is>
          <t>b2022_2_748_763</t>
        </is>
      </c>
      <c r="L189" s="11" t="inlineStr">
        <is>
          <t>2026-10-07</t>
        </is>
      </c>
      <c r="M189" s="11" t="n"/>
      <c r="N189" s="11" t="inlineStr">
        <is>
          <t>found</t>
        </is>
      </c>
    </row>
    <row r="190">
      <c r="A190" s="11" t="inlineStr">
        <is>
          <t>P-0187</t>
        </is>
      </c>
      <c r="B190" s="11" t="inlineStr">
        <is>
          <t>open</t>
        </is>
      </c>
      <c r="C190" s="11" t="inlineStr">
        <is>
          <t>tag</t>
        </is>
      </c>
      <c r="D190" s="11" t="inlineStr">
        <is>
          <t>2022-04-27</t>
        </is>
      </c>
      <c r="E190" s="11" t="n">
        <v>3</v>
      </c>
      <c r="F190" s="2" t="inlineStr">
        <is>
          <t>RANBIR SINGH versus SK ROY, CHAIRMAN, LIFE INSURANCE CORP. OF INDIA &amp; ANR.</t>
        </is>
      </c>
      <c r="G190" s="2" t="inlineStr">
        <is>
          <t>Tamil Nadu Terminated Full Time Temporary LIC Employees Association v. Life Insurance Corporation of India</t>
        </is>
      </c>
      <c r="H190" s="2" t="inlineStr">
        <is>
          <t>(2015) 9 SCC 62 : [2015] 5 SCR 806</t>
        </is>
      </c>
      <c r="I190" s="2" t="inlineStr">
        <is>
          <t>held per incuriam</t>
        </is>
      </c>
      <c r="J190" s="11" t="inlineStr"/>
      <c r="K190" s="11" t="inlineStr">
        <is>
          <t>b2022_10_986_1064</t>
        </is>
      </c>
      <c r="L190" s="11" t="inlineStr">
        <is>
          <t>2026-10-07</t>
        </is>
      </c>
      <c r="M190" s="11" t="n"/>
      <c r="N190" s="11" t="inlineStr">
        <is>
          <t>found</t>
        </is>
      </c>
    </row>
    <row r="191">
      <c r="A191" s="11" t="inlineStr">
        <is>
          <t>P-0188</t>
        </is>
      </c>
      <c r="B191" s="11" t="inlineStr">
        <is>
          <t>open</t>
        </is>
      </c>
      <c r="C191" s="11" t="inlineStr">
        <is>
          <t>sentence</t>
        </is>
      </c>
      <c r="D191" s="11" t="inlineStr">
        <is>
          <t>2022-04-27</t>
        </is>
      </c>
      <c r="E191" s="11" t="n">
        <v>3</v>
      </c>
      <c r="F191" s="2" t="inlineStr">
        <is>
          <t>OIL AND NATURAL GAS CORPORATION LTD. versus M/S DISCOVERY ENTERPRISES PVT. LTD. &amp; ANR.</t>
        </is>
      </c>
      <c r="G191" s="2" t="n"/>
      <c r="H191" s="2" t="n"/>
      <c r="I191" s="2" t="inlineStr">
        <is>
          <t>These decisions are: a. Chloro Controls India Pvt. Ltd. v. Severn Trent Water Purification Inc. &amp; Ors;14 b. Cheran Properties Ltd. v. Kasturi &amp; Sons Ltd. &amp; Ors;15 and c. MTNL v. Canara Bank &amp; Ors.16. and (ix) The decision in Indowind (supra) is not good law in view of the subsequent judgments of this Court.</t>
        </is>
      </c>
      <c r="J191" s="11" t="inlineStr"/>
      <c r="K191" s="11" t="inlineStr">
        <is>
          <t>b2022_4_926_977</t>
        </is>
      </c>
      <c r="L191" s="11" t="inlineStr">
        <is>
          <t>2026-10-07</t>
        </is>
      </c>
      <c r="M191" s="11" t="n"/>
      <c r="N191" s="11" t="inlineStr">
        <is>
          <t>found</t>
        </is>
      </c>
    </row>
    <row r="192">
      <c r="A192" s="11" t="inlineStr">
        <is>
          <t>P-0189</t>
        </is>
      </c>
      <c r="B192" s="11" t="inlineStr">
        <is>
          <t>open</t>
        </is>
      </c>
      <c r="C192" s="11" t="inlineStr">
        <is>
          <t>tag</t>
        </is>
      </c>
      <c r="D192" s="11" t="inlineStr">
        <is>
          <t>2022-05-13</t>
        </is>
      </c>
      <c r="E192" s="11" t="n">
        <v>3</v>
      </c>
      <c r="F192" s="2" t="inlineStr">
        <is>
          <t>SURENDRAN versus STATE OF KERELA</t>
        </is>
      </c>
      <c r="G192" s="2" t="inlineStr">
        <is>
          <t>Gananath Pattnaik v. State of Orissa</t>
        </is>
      </c>
      <c r="H192" s="2" t="inlineStr">
        <is>
          <t>(2002) 2 SCC 619 : [2002] 1 SCR 845</t>
        </is>
      </c>
      <c r="I192" s="2" t="inlineStr">
        <is>
          <t>partly overruled</t>
        </is>
      </c>
      <c r="J192" s="11" t="inlineStr"/>
      <c r="K192" s="11" t="inlineStr">
        <is>
          <t>b2022_4_675_691</t>
        </is>
      </c>
      <c r="L192" s="11" t="inlineStr">
        <is>
          <t>2026-10-07</t>
        </is>
      </c>
      <c r="M192" s="11" t="n"/>
      <c r="N192" s="11" t="inlineStr">
        <is>
          <t>found</t>
        </is>
      </c>
    </row>
    <row r="193">
      <c r="A193" s="11" t="inlineStr">
        <is>
          <t>P-0190</t>
        </is>
      </c>
      <c r="B193" s="11" t="inlineStr">
        <is>
          <t>open</t>
        </is>
      </c>
      <c r="C193" s="11" t="inlineStr">
        <is>
          <t>tag</t>
        </is>
      </c>
      <c r="D193" s="11" t="inlineStr">
        <is>
          <t>2022-05-13</t>
        </is>
      </c>
      <c r="E193" s="11" t="n">
        <v>3</v>
      </c>
      <c r="F193" s="2" t="inlineStr">
        <is>
          <t>SURENDRAN versus STATE OF KERELA</t>
        </is>
      </c>
      <c r="G193" s="2" t="inlineStr">
        <is>
          <t>Inderpal v. State of MP</t>
        </is>
      </c>
      <c r="H193" s="2" t="inlineStr">
        <is>
          <t>(2001) 10 SCC 736</t>
        </is>
      </c>
      <c r="I193" s="2" t="inlineStr">
        <is>
          <t>partly overruled</t>
        </is>
      </c>
      <c r="J193" s="11" t="inlineStr"/>
      <c r="K193" s="11" t="inlineStr">
        <is>
          <t>b2022_4_675_691</t>
        </is>
      </c>
      <c r="L193" s="11" t="inlineStr">
        <is>
          <t>2026-10-07</t>
        </is>
      </c>
      <c r="M193" s="11" t="n"/>
      <c r="N193" s="11" t="inlineStr">
        <is>
          <t>found</t>
        </is>
      </c>
    </row>
    <row r="194">
      <c r="A194" s="11" t="inlineStr">
        <is>
          <t>P-0191</t>
        </is>
      </c>
      <c r="B194" s="11" t="inlineStr">
        <is>
          <t>open</t>
        </is>
      </c>
      <c r="C194" s="11" t="inlineStr">
        <is>
          <t>tag</t>
        </is>
      </c>
      <c r="D194" s="11" t="inlineStr">
        <is>
          <t>2022-05-13</t>
        </is>
      </c>
      <c r="E194" s="11" t="n">
        <v>3</v>
      </c>
      <c r="F194" s="2" t="inlineStr">
        <is>
          <t>SURENDRAN versus STATE OF KERELA</t>
        </is>
      </c>
      <c r="G194" s="2" t="inlineStr">
        <is>
          <t>Bhairon Singh v. State of Madhya Pradesh</t>
        </is>
      </c>
      <c r="H194" s="2" t="inlineStr">
        <is>
          <t>(2009) 13 SCC 80 : [2009] 9 SCR 875</t>
        </is>
      </c>
      <c r="I194" s="2" t="inlineStr">
        <is>
          <t>partly overruled</t>
        </is>
      </c>
      <c r="J194" s="11" t="inlineStr"/>
      <c r="K194" s="11" t="inlineStr">
        <is>
          <t>b2022_4_675_691</t>
        </is>
      </c>
      <c r="L194" s="11" t="inlineStr">
        <is>
          <t>2026-10-07</t>
        </is>
      </c>
      <c r="M194" s="11" t="n"/>
      <c r="N194" s="11" t="inlineStr">
        <is>
          <t>found</t>
        </is>
      </c>
    </row>
    <row r="195">
      <c r="A195" s="11" t="inlineStr">
        <is>
          <t>P-0192</t>
        </is>
      </c>
      <c r="B195" s="11" t="inlineStr">
        <is>
          <t>open</t>
        </is>
      </c>
      <c r="C195" s="11" t="inlineStr">
        <is>
          <t>tag</t>
        </is>
      </c>
      <c r="D195" s="11" t="inlineStr">
        <is>
          <t>2022-05-13</t>
        </is>
      </c>
      <c r="E195" s="11" t="n">
        <v>3</v>
      </c>
      <c r="F195" s="2" t="inlineStr">
        <is>
          <t>SURENDRAN versus STATE OF KERELA</t>
        </is>
      </c>
      <c r="G195" s="2" t="inlineStr">
        <is>
          <t>Kantilal Martaji Pandor v. State of Gujarat</t>
        </is>
      </c>
      <c r="H195" s="2" t="inlineStr">
        <is>
          <t>(2013) 8 SCC 781 : [2013] 8 SCR 137</t>
        </is>
      </c>
      <c r="I195" s="2" t="inlineStr">
        <is>
          <t>partly overruled</t>
        </is>
      </c>
      <c r="J195" s="11" t="inlineStr"/>
      <c r="K195" s="11" t="inlineStr">
        <is>
          <t>b2022_4_675_691</t>
        </is>
      </c>
      <c r="L195" s="11" t="inlineStr">
        <is>
          <t>2026-10-07</t>
        </is>
      </c>
      <c r="M195" s="11" t="n"/>
      <c r="N195" s="11" t="inlineStr">
        <is>
          <t>found</t>
        </is>
      </c>
    </row>
    <row r="196">
      <c r="A196" s="11" t="inlineStr">
        <is>
          <t>P-0193</t>
        </is>
      </c>
      <c r="B196" s="11" t="inlineStr">
        <is>
          <t>open</t>
        </is>
      </c>
      <c r="C196" s="11" t="inlineStr">
        <is>
          <t>tag</t>
        </is>
      </c>
      <c r="D196" s="11" t="inlineStr">
        <is>
          <t>2022-05-20</t>
        </is>
      </c>
      <c r="E196" s="11" t="n">
        <v>3</v>
      </c>
      <c r="F196" s="2" t="inlineStr">
        <is>
          <t>STATE OF HIMACHAL PRADESH &amp; ORS. versus RAJ KUMAR &amp; ORS.</t>
        </is>
      </c>
      <c r="G196" s="2" t="inlineStr">
        <is>
          <t>Y. V. Rangaiah v. J. Sreenivasa Rao</t>
        </is>
      </c>
      <c r="H196" s="2" t="inlineStr">
        <is>
          <t>(1983) 3 SCC 284</t>
        </is>
      </c>
      <c r="I196" s="2" t="inlineStr">
        <is>
          <t>overruled</t>
        </is>
      </c>
      <c r="J196" s="11" t="inlineStr"/>
      <c r="K196" s="11" t="inlineStr">
        <is>
          <t>b2022_15_847_898</t>
        </is>
      </c>
      <c r="L196" s="11" t="inlineStr">
        <is>
          <t>2026-10-07</t>
        </is>
      </c>
      <c r="M196" s="11" t="n"/>
      <c r="N196" s="11" t="inlineStr">
        <is>
          <t>found</t>
        </is>
      </c>
    </row>
    <row r="197">
      <c r="A197" s="11" t="inlineStr">
        <is>
          <t>P-0194</t>
        </is>
      </c>
      <c r="B197" s="11" t="inlineStr">
        <is>
          <t>open</t>
        </is>
      </c>
      <c r="C197" s="11" t="inlineStr">
        <is>
          <t>sentence</t>
        </is>
      </c>
      <c r="D197" s="11" t="inlineStr">
        <is>
          <t>2022-07-26</t>
        </is>
      </c>
      <c r="E197" s="11" t="n">
        <v>3</v>
      </c>
      <c r="F197" s="2" t="inlineStr">
        <is>
          <t>ALL INDIA HAJ UMRAH TOUR ORGANIZER ASSOCIATION MUMBAI versus UNION OF INDIA &amp; ORS</t>
        </is>
      </c>
      <c r="G197" s="2" t="n"/>
      <c r="H197" s="2" t="n"/>
      <c r="I197" s="2" t="inlineStr">
        <is>
          <t>The ratio in Sun Export case [Sun Export Corpn. v. Collector of Customs, (1997) 6 SCC 564] is not correct and all the decisions which took similar view as in Sun Export case [Sun Export Corpn. v. Collector of Customs, (1997) 6 SCC 564] stand overruled.” (emphasis added) 49.</t>
        </is>
      </c>
      <c r="J197" s="11" t="inlineStr"/>
      <c r="K197" s="11" t="inlineStr">
        <is>
          <t>b2022_17_92_150</t>
        </is>
      </c>
      <c r="L197" s="11" t="inlineStr">
        <is>
          <t>2026-10-07</t>
        </is>
      </c>
      <c r="M197" s="11" t="n"/>
      <c r="N197" s="11" t="inlineStr">
        <is>
          <t>found</t>
        </is>
      </c>
    </row>
    <row r="198">
      <c r="A198" s="11" t="inlineStr">
        <is>
          <t>P-0195</t>
        </is>
      </c>
      <c r="B198" s="11" t="inlineStr">
        <is>
          <t>open</t>
        </is>
      </c>
      <c r="C198" s="11" t="inlineStr">
        <is>
          <t>tag</t>
        </is>
      </c>
      <c r="D198" s="11" t="inlineStr">
        <is>
          <t>2022-08-18</t>
        </is>
      </c>
      <c r="E198" s="11" t="n">
        <v>3</v>
      </c>
      <c r="F198" s="2" t="inlineStr">
        <is>
          <t>PR. COMMISSIONER OF INCOME TAX – I, CHANDIGARH versus M/S. ABC PAPERS LIMITED</t>
        </is>
      </c>
      <c r="G198" s="2" t="inlineStr">
        <is>
          <t>CIT v. Aar Bee Industries Ltd.</t>
        </is>
      </c>
      <c r="H198" s="2" t="inlineStr">
        <is>
          <t>(2013) 357 ITR 542 (Del)</t>
        </is>
      </c>
      <c r="I198" s="2" t="inlineStr">
        <is>
          <t>overruled</t>
        </is>
      </c>
      <c r="J198" s="11" t="inlineStr"/>
      <c r="K198" s="11" t="inlineStr">
        <is>
          <t>b2022_17_1058_1078</t>
        </is>
      </c>
      <c r="L198" s="11" t="inlineStr">
        <is>
          <t>2026-10-07</t>
        </is>
      </c>
      <c r="M198" s="11" t="n"/>
      <c r="N198" s="11" t="inlineStr">
        <is>
          <t>found</t>
        </is>
      </c>
    </row>
    <row r="199">
      <c r="A199" s="11" t="inlineStr">
        <is>
          <t>P-0196</t>
        </is>
      </c>
      <c r="B199" s="11" t="inlineStr">
        <is>
          <t>open</t>
        </is>
      </c>
      <c r="C199" s="11" t="inlineStr">
        <is>
          <t>sentence</t>
        </is>
      </c>
      <c r="D199" s="11" t="inlineStr">
        <is>
          <t>2022-09-19</t>
        </is>
      </c>
      <c r="E199" s="11" t="n">
        <v>5</v>
      </c>
      <c r="F199" s="2" t="inlineStr">
        <is>
          <t>M/S TRIMURTHI FRAGRANCES (P) LTD. THROUGH ITS DIRECTOR SHRI PRADEEP KUMAR AGRAWAL versus GOVERNMENT OF N.C.T. OF DELHI THROUGH ITS PRINCIPAL SECRETARY (FINANCE) &amp; ORS.</t>
        </is>
      </c>
      <c r="G199" s="2" t="n"/>
      <c r="H199" s="2" t="n"/>
      <c r="I199" s="2" t="inlineStr">
        <is>
          <t>The question of numerical strength gains poignancy when one judgment is overruled by another, as has been pointed by Beaumont, C.J. in Ningappa Ramappa Kurbar [Ningappa Ramappa Kurbar v. Emperor, 1941 SCC OnLine Bom 41 : AIR 1941 Bom 408], and by Lokur, J. in Supreme Court Advocates- on-Record Assn. [Supreme Court Advocates-on-Record Assn. v. Union of India, (2016) 5 SCC 1]” 4.</t>
        </is>
      </c>
      <c r="J199" s="11" t="inlineStr"/>
      <c r="K199" s="11" t="inlineStr">
        <is>
          <t>b2022_15_516_535</t>
        </is>
      </c>
      <c r="L199" s="11" t="inlineStr">
        <is>
          <t>2026-10-07</t>
        </is>
      </c>
      <c r="M199" s="11" t="n"/>
      <c r="N199" s="11" t="inlineStr">
        <is>
          <t>found</t>
        </is>
      </c>
    </row>
    <row r="200">
      <c r="A200" s="11" t="inlineStr">
        <is>
          <t>P-0197</t>
        </is>
      </c>
      <c r="B200" s="11" t="inlineStr">
        <is>
          <t>open</t>
        </is>
      </c>
      <c r="C200" s="11" t="inlineStr">
        <is>
          <t>tag</t>
        </is>
      </c>
      <c r="D200" s="11" t="inlineStr">
        <is>
          <t>2022-10-19</t>
        </is>
      </c>
      <c r="E200" s="11" t="n">
        <v>3</v>
      </c>
      <c r="F200" s="2" t="inlineStr">
        <is>
          <t>M/S NEW NOBLE EDUCATIONAL SOCIETY versus THE CHIEF COMMISSIONER OF INCOME TAX 1 AND ANR.</t>
        </is>
      </c>
      <c r="G200" s="2" t="inlineStr">
        <is>
          <t>American Hotel and Lodging Association v. Central Board of Direct Taxes</t>
        </is>
      </c>
      <c r="H200" s="2" t="inlineStr">
        <is>
          <t>(2008) 10 SCC 509 : [2008] 8 SCR 117</t>
        </is>
      </c>
      <c r="I200" s="2" t="inlineStr">
        <is>
          <t>partly overruled</t>
        </is>
      </c>
      <c r="J200" s="11" t="inlineStr"/>
      <c r="K200" s="11" t="inlineStr">
        <is>
          <t>b2022_18_1082_1143</t>
        </is>
      </c>
      <c r="L200" s="11" t="inlineStr">
        <is>
          <t>2026-10-07</t>
        </is>
      </c>
      <c r="M200" s="11" t="n"/>
      <c r="N200" s="11" t="inlineStr">
        <is>
          <t>found</t>
        </is>
      </c>
    </row>
    <row r="201">
      <c r="A201" s="11" t="inlineStr">
        <is>
          <t>P-0198</t>
        </is>
      </c>
      <c r="B201" s="11" t="inlineStr">
        <is>
          <t>open</t>
        </is>
      </c>
      <c r="C201" s="11" t="inlineStr">
        <is>
          <t>tag</t>
        </is>
      </c>
      <c r="D201" s="11" t="inlineStr">
        <is>
          <t>2022-10-19</t>
        </is>
      </c>
      <c r="E201" s="11" t="n">
        <v>3</v>
      </c>
      <c r="F201" s="2" t="inlineStr">
        <is>
          <t>M/S NEW NOBLE EDUCATIONAL SOCIETY versus THE CHIEF COMMISSIONER OF INCOME TAX 1 AND ANR.</t>
        </is>
      </c>
      <c r="G201" s="2" t="inlineStr">
        <is>
          <t>Queen’s Education Society v Commissioner of Income Tax</t>
        </is>
      </c>
      <c r="H201" s="2" t="inlineStr">
        <is>
          <t>(2015) 8 SCC 47 : [2015] 3 SCR 838</t>
        </is>
      </c>
      <c r="I201" s="2" t="inlineStr">
        <is>
          <t>partly overruled</t>
        </is>
      </c>
      <c r="J201" s="11" t="inlineStr"/>
      <c r="K201" s="11" t="inlineStr">
        <is>
          <t>b2022_18_1082_1143</t>
        </is>
      </c>
      <c r="L201" s="11" t="inlineStr">
        <is>
          <t>2026-10-07</t>
        </is>
      </c>
      <c r="M201" s="11" t="n"/>
      <c r="N201" s="11" t="inlineStr">
        <is>
          <t>found</t>
        </is>
      </c>
    </row>
    <row r="202">
      <c r="A202" s="11" t="inlineStr">
        <is>
          <t>P-0199</t>
        </is>
      </c>
      <c r="B202" s="11" t="inlineStr">
        <is>
          <t>open</t>
        </is>
      </c>
      <c r="C202" s="11" t="inlineStr">
        <is>
          <t>sentence</t>
        </is>
      </c>
      <c r="D202" s="11" t="inlineStr">
        <is>
          <t>2022-11-03</t>
        </is>
      </c>
      <c r="E202" s="11" t="n">
        <v>3</v>
      </c>
      <c r="F202" s="2" t="inlineStr">
        <is>
          <t>MOHD. ARIF @ ASHFAQ versus STATE (NCT OF DELHI)</t>
        </is>
      </c>
      <c r="G202" s="2" t="n"/>
      <c r="H202" s="2" t="n"/>
      <c r="I202" s="2" t="inlineStr">
        <is>
          <t>Also, the judgment in Shafhi Mohammad v. State of H.P., (2018) 2 SCC 801 and the judgment dated 3-4- 2018 reported as Shafhi Mohd. v. State of H.P., (2018) 5 SCC 311s, do not lay down the law correctly and are therefore overruled. 73.2.</t>
        </is>
      </c>
      <c r="J202" s="11" t="inlineStr"/>
      <c r="K202" s="11" t="inlineStr">
        <is>
          <t>b2022_7_792_832</t>
        </is>
      </c>
      <c r="L202" s="11" t="inlineStr">
        <is>
          <t>2026-10-07</t>
        </is>
      </c>
      <c r="M202" s="11" t="n"/>
      <c r="N202" s="11" t="inlineStr">
        <is>
          <t>found</t>
        </is>
      </c>
    </row>
    <row r="203">
      <c r="A203" s="11" t="inlineStr">
        <is>
          <t>P-0200</t>
        </is>
      </c>
      <c r="B203" s="11" t="inlineStr">
        <is>
          <t>open</t>
        </is>
      </c>
      <c r="C203" s="11" t="inlineStr">
        <is>
          <t>tag</t>
        </is>
      </c>
      <c r="D203" s="11" t="inlineStr">
        <is>
          <t>2022-11-10</t>
        </is>
      </c>
      <c r="E203" s="11" t="n">
        <v>3</v>
      </c>
      <c r="F203" s="2" t="inlineStr">
        <is>
          <t>BANK OF RAJASTHAN LTD. versus VCK SHARES &amp; STOCK BROKING SERVICES LTD.</t>
        </is>
      </c>
      <c r="G203" s="2" t="inlineStr">
        <is>
          <t>United Bank of India, Calcutta v. Abhijit Tea Co. Pvt. Ltd. And Others</t>
        </is>
      </c>
      <c r="H203" s="2" t="inlineStr">
        <is>
          <t>(2000) 7 SCC 357 : [2000] 3 Suppl. SCR 153</t>
        </is>
      </c>
      <c r="I203" s="2" t="inlineStr">
        <is>
          <t>held not correct law</t>
        </is>
      </c>
      <c r="J203" s="11" t="inlineStr"/>
      <c r="K203" s="11" t="inlineStr">
        <is>
          <t>b2022_17_567_600</t>
        </is>
      </c>
      <c r="L203" s="11" t="inlineStr">
        <is>
          <t>2026-10-07</t>
        </is>
      </c>
      <c r="M203" s="11" t="n"/>
      <c r="N203" s="11" t="inlineStr">
        <is>
          <t>found</t>
        </is>
      </c>
    </row>
    <row r="204">
      <c r="A204" s="11" t="inlineStr">
        <is>
          <t>P-0201</t>
        </is>
      </c>
      <c r="B204" s="11" t="inlineStr">
        <is>
          <t>open</t>
        </is>
      </c>
      <c r="C204" s="11" t="inlineStr">
        <is>
          <t>tag</t>
        </is>
      </c>
      <c r="D204" s="11" t="inlineStr">
        <is>
          <t>2022-11-10</t>
        </is>
      </c>
      <c r="E204" s="11" t="n">
        <v>3</v>
      </c>
      <c r="F204" s="2" t="inlineStr">
        <is>
          <t>BANK OF RAJASTHAN LTD. versus VCK SHARES &amp; STOCK BROKING SERVICES LTD.</t>
        </is>
      </c>
      <c r="G204" s="2" t="inlineStr">
        <is>
          <t>State Bank of India v. Ranjan Chemicals Ltd. and Another</t>
        </is>
      </c>
      <c r="H204" s="2" t="inlineStr">
        <is>
          <t>(2007) 1 SCC 97 : [2006] 7 Suppl. SCR 145</t>
        </is>
      </c>
      <c r="I204" s="2" t="inlineStr">
        <is>
          <t>held not correct law</t>
        </is>
      </c>
      <c r="J204" s="11" t="inlineStr"/>
      <c r="K204" s="11" t="inlineStr">
        <is>
          <t>b2022_17_567_600</t>
        </is>
      </c>
      <c r="L204" s="11" t="inlineStr">
        <is>
          <t>2026-10-07</t>
        </is>
      </c>
      <c r="M204" s="11" t="n"/>
      <c r="N204" s="11" t="inlineStr">
        <is>
          <t>found</t>
        </is>
      </c>
    </row>
    <row r="205">
      <c r="A205" s="11" t="inlineStr">
        <is>
          <t>P-0202</t>
        </is>
      </c>
      <c r="B205" s="11" t="inlineStr">
        <is>
          <t>open</t>
        </is>
      </c>
      <c r="C205" s="11" t="inlineStr">
        <is>
          <t>tag</t>
        </is>
      </c>
      <c r="D205" s="11" t="inlineStr">
        <is>
          <t>2023-02-10</t>
        </is>
      </c>
      <c r="E205" s="11" t="n">
        <v>5</v>
      </c>
      <c r="F205" s="2" t="inlineStr">
        <is>
          <t>BAR COUNCIL OF INDIA versus BONNIE FOI LAW COLLEGE &amp; ORS.</t>
        </is>
      </c>
      <c r="G205" s="2" t="inlineStr">
        <is>
          <t>V. Sudeer v. Bar Council of India</t>
        </is>
      </c>
      <c r="H205" s="2" t="inlineStr">
        <is>
          <t>(1999) 3 SCC 176 : [1999] 1 SCR 1048</t>
        </is>
      </c>
      <c r="I205" s="2" t="inlineStr">
        <is>
          <t>held not correct law</t>
        </is>
      </c>
      <c r="J205" s="11" t="inlineStr"/>
      <c r="K205" s="11" t="inlineStr">
        <is>
          <t>b2023_2_343_368</t>
        </is>
      </c>
      <c r="L205" s="11" t="inlineStr">
        <is>
          <t>2026-10-07</t>
        </is>
      </c>
      <c r="M205" s="11" t="n"/>
      <c r="N205" s="11" t="inlineStr">
        <is>
          <t>found</t>
        </is>
      </c>
    </row>
    <row r="206">
      <c r="A206" s="11" t="inlineStr">
        <is>
          <t>P-0203</t>
        </is>
      </c>
      <c r="B206" s="11" t="inlineStr">
        <is>
          <t>open</t>
        </is>
      </c>
      <c r="C206" s="11" t="inlineStr">
        <is>
          <t>sentence</t>
        </is>
      </c>
      <c r="D206" s="11" t="inlineStr">
        <is>
          <t>2023-02-17</t>
        </is>
      </c>
      <c r="E206" s="11" t="n">
        <v>3</v>
      </c>
      <c r="F206" s="2" t="inlineStr">
        <is>
          <t>LAND &amp; BUILDING DEPARTMENT &amp; ANR. versus MANISH SETHI AND ORS.</t>
        </is>
      </c>
      <c r="G206" s="2" t="n"/>
      <c r="H206" s="2" t="n"/>
      <c r="I206" s="2" t="inlineStr">
        <is>
          <t>[Pune Municipal Corpn. v. Harakchand Misirimal Solanki, (2014) 3 SCC 183] is hereby overruled and all other decisions in which Pune Municipal Corpn.</t>
        </is>
      </c>
      <c r="J206" s="11" t="inlineStr"/>
      <c r="K206" s="11" t="inlineStr">
        <is>
          <t>b2023_2_392_396</t>
        </is>
      </c>
      <c r="L206" s="11" t="inlineStr">
        <is>
          <t>2026-10-07</t>
        </is>
      </c>
      <c r="M206" s="11" t="n"/>
      <c r="N206" s="11" t="inlineStr">
        <is>
          <t>found</t>
        </is>
      </c>
    </row>
    <row r="207">
      <c r="A207" s="11" t="inlineStr">
        <is>
          <t>P-0204</t>
        </is>
      </c>
      <c r="B207" s="11" t="inlineStr">
        <is>
          <t>open</t>
        </is>
      </c>
      <c r="C207" s="11" t="inlineStr">
        <is>
          <t>sentence</t>
        </is>
      </c>
      <c r="D207" s="11" t="inlineStr">
        <is>
          <t>2023-02-17</t>
        </is>
      </c>
      <c r="E207" s="11" t="n">
        <v>3</v>
      </c>
      <c r="F207" s="2" t="inlineStr">
        <is>
          <t>LAND &amp; BUILDING DEPARTMENT &amp; ANR. versus MANISH SETHI AND ORS.</t>
        </is>
      </c>
      <c r="G207" s="2" t="n"/>
      <c r="H207" s="2" t="n"/>
      <c r="I207" s="2" t="inlineStr">
        <is>
          <t>[Pune Municipal Corpn. v. Harakchand Misirimal Solanki, (2014) 3 SCC 183] has been followed, are also overruled.</t>
        </is>
      </c>
      <c r="J207" s="11" t="inlineStr"/>
      <c r="K207" s="11" t="inlineStr">
        <is>
          <t>b2023_2_392_396</t>
        </is>
      </c>
      <c r="L207" s="11" t="inlineStr">
        <is>
          <t>2026-10-07</t>
        </is>
      </c>
      <c r="M207" s="11" t="n"/>
      <c r="N207" s="11" t="inlineStr">
        <is>
          <t>found</t>
        </is>
      </c>
    </row>
    <row r="208">
      <c r="A208" s="11" t="inlineStr">
        <is>
          <t>P-0205</t>
        </is>
      </c>
      <c r="B208" s="11" t="inlineStr">
        <is>
          <t>open</t>
        </is>
      </c>
      <c r="C208" s="11" t="inlineStr">
        <is>
          <t>sentence</t>
        </is>
      </c>
      <c r="D208" s="11" t="inlineStr">
        <is>
          <t>2023-02-17</t>
        </is>
      </c>
      <c r="E208" s="11" t="n">
        <v>3</v>
      </c>
      <c r="F208" s="2" t="inlineStr">
        <is>
          <t>LAND &amp; BUILDING DEPARTMENT &amp; ANR. versus MANISH SETHI AND ORS.</t>
        </is>
      </c>
      <c r="G208" s="2" t="n"/>
      <c r="H208" s="2" t="n"/>
      <c r="I208" s="2" t="inlineStr">
        <is>
          <t>The decision in Sree Balaji Nagar LAND &amp; BUILDING DEPARTMENT &amp; ANR. v. MANISH SETHI AND ORS. SUPREME COURT REPORTS [2023] 2 S.C.R. Residential Assn. [Sree Balaji Nagar Residential Assn. v. State of T.N., (2015) 3 SCC 353] cannot be said to be laying down good law, is overruled and other decisions following the same are also overruled.</t>
        </is>
      </c>
      <c r="J208" s="11" t="inlineStr"/>
      <c r="K208" s="11" t="inlineStr">
        <is>
          <t>b2023_2_392_396</t>
        </is>
      </c>
      <c r="L208" s="11" t="inlineStr">
        <is>
          <t>2026-10-07</t>
        </is>
      </c>
      <c r="M208" s="11" t="n"/>
      <c r="N208" s="11" t="inlineStr">
        <is>
          <t>found</t>
        </is>
      </c>
    </row>
    <row r="209">
      <c r="A209" s="11" t="inlineStr">
        <is>
          <t>P-0206</t>
        </is>
      </c>
      <c r="B209" s="11" t="inlineStr">
        <is>
          <t>open</t>
        </is>
      </c>
      <c r="C209" s="11" t="inlineStr">
        <is>
          <t>sentence</t>
        </is>
      </c>
      <c r="D209" s="11" t="inlineStr">
        <is>
          <t>2023-02-17</t>
        </is>
      </c>
      <c r="E209" s="11" t="n">
        <v>3</v>
      </c>
      <c r="F209" s="2" t="inlineStr">
        <is>
          <t>GOVT. OF NCT DELHI &amp; ORS. versus DHANNU &amp; ANR</t>
        </is>
      </c>
      <c r="G209" s="2" t="n"/>
      <c r="H209" s="2" t="n"/>
      <c r="I209" s="2" t="inlineStr">
        <is>
          <t>[Pune Municipal Corpn. v. Harakchand Misirimal Solanki, (2014) 3 SCC 183] is hereby overruled and all other decisions in which Pune Municipal Corpn.</t>
        </is>
      </c>
      <c r="J209" s="11" t="inlineStr"/>
      <c r="K209" s="11" t="inlineStr">
        <is>
          <t>b2023_2_397_401</t>
        </is>
      </c>
      <c r="L209" s="11" t="inlineStr">
        <is>
          <t>2026-10-07</t>
        </is>
      </c>
      <c r="M209" s="11" t="n"/>
      <c r="N209" s="11" t="inlineStr">
        <is>
          <t>found</t>
        </is>
      </c>
    </row>
    <row r="210">
      <c r="A210" s="11" t="inlineStr">
        <is>
          <t>P-0207</t>
        </is>
      </c>
      <c r="B210" s="11" t="inlineStr">
        <is>
          <t>open</t>
        </is>
      </c>
      <c r="C210" s="11" t="inlineStr">
        <is>
          <t>sentence</t>
        </is>
      </c>
      <c r="D210" s="11" t="inlineStr">
        <is>
          <t>2023-02-17</t>
        </is>
      </c>
      <c r="E210" s="11" t="n">
        <v>3</v>
      </c>
      <c r="F210" s="2" t="inlineStr">
        <is>
          <t>GOVT. OF NCT DELHI &amp; ORS. versus DHANNU &amp; ANR</t>
        </is>
      </c>
      <c r="G210" s="2" t="n"/>
      <c r="H210" s="2" t="n"/>
      <c r="I210" s="2" t="inlineStr">
        <is>
          <t>[Pune Municipal Corpn. v. Harakchand Misirimal Solanki, (2014) 3 SCC 183] has been followed, are also overruled.</t>
        </is>
      </c>
      <c r="J210" s="11" t="inlineStr"/>
      <c r="K210" s="11" t="inlineStr">
        <is>
          <t>b2023_2_397_401</t>
        </is>
      </c>
      <c r="L210" s="11" t="inlineStr">
        <is>
          <t>2026-10-07</t>
        </is>
      </c>
      <c r="M210" s="11" t="n"/>
      <c r="N210" s="11" t="inlineStr">
        <is>
          <t>found</t>
        </is>
      </c>
    </row>
    <row r="211">
      <c r="A211" s="11" t="inlineStr">
        <is>
          <t>P-0208</t>
        </is>
      </c>
      <c r="B211" s="11" t="inlineStr">
        <is>
          <t>open</t>
        </is>
      </c>
      <c r="C211" s="11" t="inlineStr">
        <is>
          <t>sentence</t>
        </is>
      </c>
      <c r="D211" s="11" t="inlineStr">
        <is>
          <t>2023-02-17</t>
        </is>
      </c>
      <c r="E211" s="11" t="n">
        <v>3</v>
      </c>
      <c r="F211" s="2" t="inlineStr">
        <is>
          <t>GOVT. OF NCT DELHI &amp; ORS. versus DHANNU &amp; ANR</t>
        </is>
      </c>
      <c r="G211" s="2" t="n"/>
      <c r="H211" s="2" t="n"/>
      <c r="I211" s="2" t="inlineStr">
        <is>
          <t>The decision in Sree Balaji Nagar Residential Assn. [Sree Balaji Nagar Residential Assn. v. State of T.N., (2015) 3 SCC 353] cannot be said to be laying down good law, is overruled and other decisions following the same are also overruled.</t>
        </is>
      </c>
      <c r="J211" s="11" t="inlineStr"/>
      <c r="K211" s="11" t="inlineStr">
        <is>
          <t>b2023_2_397_401</t>
        </is>
      </c>
      <c r="L211" s="11" t="inlineStr">
        <is>
          <t>2026-10-07</t>
        </is>
      </c>
      <c r="M211" s="11" t="n"/>
      <c r="N211" s="11" t="inlineStr">
        <is>
          <t>found</t>
        </is>
      </c>
    </row>
    <row r="212">
      <c r="A212" s="11" t="inlineStr">
        <is>
          <t>P-0209</t>
        </is>
      </c>
      <c r="B212" s="11" t="inlineStr">
        <is>
          <t>open</t>
        </is>
      </c>
      <c r="C212" s="11" t="inlineStr">
        <is>
          <t>sentence</t>
        </is>
      </c>
      <c r="D212" s="11" t="inlineStr">
        <is>
          <t>2023-02-17</t>
        </is>
      </c>
      <c r="E212" s="11" t="n">
        <v>3</v>
      </c>
      <c r="F212" s="2" t="inlineStr">
        <is>
          <t>DELHI DEVELOPMENT AUTHORITY versus JAGAN SINGH &amp; ORS.</t>
        </is>
      </c>
      <c r="G212" s="2" t="n"/>
      <c r="H212" s="2" t="n"/>
      <c r="I212" s="2" t="inlineStr">
        <is>
          <t>[Pune Municipal Corpn. v. Harakchand Misirimal Solanki, (2014) 3 SCC 183] is hereby overruled and all other decisions in which Pune Municipal Corpn.</t>
        </is>
      </c>
      <c r="J212" s="11" t="inlineStr"/>
      <c r="K212" s="11" t="inlineStr">
        <is>
          <t>b2023_2_411_415</t>
        </is>
      </c>
      <c r="L212" s="11" t="inlineStr">
        <is>
          <t>2026-10-07</t>
        </is>
      </c>
      <c r="M212" s="11" t="n"/>
      <c r="N212" s="11" t="inlineStr">
        <is>
          <t>found</t>
        </is>
      </c>
    </row>
    <row r="213">
      <c r="A213" s="11" t="inlineStr">
        <is>
          <t>P-0210</t>
        </is>
      </c>
      <c r="B213" s="11" t="inlineStr">
        <is>
          <t>open</t>
        </is>
      </c>
      <c r="C213" s="11" t="inlineStr">
        <is>
          <t>sentence</t>
        </is>
      </c>
      <c r="D213" s="11" t="inlineStr">
        <is>
          <t>2023-02-17</t>
        </is>
      </c>
      <c r="E213" s="11" t="n">
        <v>3</v>
      </c>
      <c r="F213" s="2" t="inlineStr">
        <is>
          <t>DELHI DEVELOPMENT AUTHORITY versus JAGAN SINGH &amp; ORS.</t>
        </is>
      </c>
      <c r="G213" s="2" t="n"/>
      <c r="H213" s="2" t="n"/>
      <c r="I213" s="2" t="inlineStr">
        <is>
          <t>[Pune Municipal Corpn. v. Harakchand Misirimal Solanki, (2014) 3 SCC 183] has been followed, are also overruled.</t>
        </is>
      </c>
      <c r="J213" s="11" t="inlineStr"/>
      <c r="K213" s="11" t="inlineStr">
        <is>
          <t>b2023_2_411_415</t>
        </is>
      </c>
      <c r="L213" s="11" t="inlineStr">
        <is>
          <t>2026-10-07</t>
        </is>
      </c>
      <c r="M213" s="11" t="n"/>
      <c r="N213" s="11" t="inlineStr">
        <is>
          <t>found</t>
        </is>
      </c>
    </row>
    <row r="214">
      <c r="A214" s="11" t="inlineStr">
        <is>
          <t>P-0211</t>
        </is>
      </c>
      <c r="B214" s="11" t="inlineStr">
        <is>
          <t>open</t>
        </is>
      </c>
      <c r="C214" s="11" t="inlineStr">
        <is>
          <t>sentence</t>
        </is>
      </c>
      <c r="D214" s="11" t="inlineStr">
        <is>
          <t>2023-02-17</t>
        </is>
      </c>
      <c r="E214" s="11" t="n">
        <v>3</v>
      </c>
      <c r="F214" s="2" t="inlineStr">
        <is>
          <t>DELHI DEVELOPMENT AUTHORITY versus JAGAN SINGH &amp; ORS.</t>
        </is>
      </c>
      <c r="G214" s="2" t="n"/>
      <c r="H214" s="2" t="n"/>
      <c r="I214" s="2" t="inlineStr">
        <is>
          <t>The decision in Sree Balaji Nagar Residential Assn. [Sree Balaji Nagar Residential Assn. v. State of T.N., (2015) 3 SCC 353] cannot be said to be laying down good law, is overruled and other decisions following the same are also overruled.</t>
        </is>
      </c>
      <c r="J214" s="11" t="inlineStr"/>
      <c r="K214" s="11" t="inlineStr">
        <is>
          <t>b2023_2_411_415</t>
        </is>
      </c>
      <c r="L214" s="11" t="inlineStr">
        <is>
          <t>2026-10-07</t>
        </is>
      </c>
      <c r="M214" s="11" t="n"/>
      <c r="N214" s="11" t="inlineStr">
        <is>
          <t>found</t>
        </is>
      </c>
    </row>
    <row r="215">
      <c r="A215" s="11" t="inlineStr">
        <is>
          <t>P-0212</t>
        </is>
      </c>
      <c r="B215" s="11" t="inlineStr">
        <is>
          <t>open</t>
        </is>
      </c>
      <c r="C215" s="11" t="inlineStr">
        <is>
          <t>sentence</t>
        </is>
      </c>
      <c r="D215" s="11" t="inlineStr">
        <is>
          <t>2023-02-17</t>
        </is>
      </c>
      <c r="E215" s="11" t="n">
        <v>3</v>
      </c>
      <c r="F215" s="2" t="inlineStr">
        <is>
          <t>GOVERNMENT OF NCT DELHI &amp; ORS. versus KRISHAN KUMAR &amp; ORS.</t>
        </is>
      </c>
      <c r="G215" s="2" t="n"/>
      <c r="H215" s="2" t="n"/>
      <c r="I215" s="2" t="inlineStr">
        <is>
          <t>[Pune Municipal Corpn. v. Harakchand Misirimal Solanki, (2014) 3 SCC 183] is hereby overruled and all other decisions in which Pune Municipal Corpn.</t>
        </is>
      </c>
      <c r="J215" s="11" t="inlineStr"/>
      <c r="K215" s="11" t="inlineStr">
        <is>
          <t>b2023_2_416_421</t>
        </is>
      </c>
      <c r="L215" s="11" t="inlineStr">
        <is>
          <t>2026-10-07</t>
        </is>
      </c>
      <c r="M215" s="11" t="n"/>
      <c r="N215" s="11" t="inlineStr">
        <is>
          <t>found</t>
        </is>
      </c>
    </row>
    <row r="216">
      <c r="A216" s="11" t="inlineStr">
        <is>
          <t>P-0213</t>
        </is>
      </c>
      <c r="B216" s="11" t="inlineStr">
        <is>
          <t>open</t>
        </is>
      </c>
      <c r="C216" s="11" t="inlineStr">
        <is>
          <t>sentence</t>
        </is>
      </c>
      <c r="D216" s="11" t="inlineStr">
        <is>
          <t>2023-02-17</t>
        </is>
      </c>
      <c r="E216" s="11" t="n">
        <v>3</v>
      </c>
      <c r="F216" s="2" t="inlineStr">
        <is>
          <t>GOVERNMENT OF NCT DELHI &amp; ORS. versus KRISHAN KUMAR &amp; ORS.</t>
        </is>
      </c>
      <c r="G216" s="2" t="n"/>
      <c r="H216" s="2" t="n"/>
      <c r="I216" s="2" t="inlineStr">
        <is>
          <t>[Pune Municipal Corpn. v. Harakchand Misirimal Solanki, (2014) 3 SCC 183] has been followed, are also overruled.</t>
        </is>
      </c>
      <c r="J216" s="11" t="inlineStr"/>
      <c r="K216" s="11" t="inlineStr">
        <is>
          <t>b2023_2_416_421</t>
        </is>
      </c>
      <c r="L216" s="11" t="inlineStr">
        <is>
          <t>2026-10-07</t>
        </is>
      </c>
      <c r="M216" s="11" t="n"/>
      <c r="N216" s="11" t="inlineStr">
        <is>
          <t>found</t>
        </is>
      </c>
    </row>
    <row r="217">
      <c r="A217" s="11" t="inlineStr">
        <is>
          <t>P-0214</t>
        </is>
      </c>
      <c r="B217" s="11" t="inlineStr">
        <is>
          <t>open</t>
        </is>
      </c>
      <c r="C217" s="11" t="inlineStr">
        <is>
          <t>sentence</t>
        </is>
      </c>
      <c r="D217" s="11" t="inlineStr">
        <is>
          <t>2023-02-17</t>
        </is>
      </c>
      <c r="E217" s="11" t="n">
        <v>3</v>
      </c>
      <c r="F217" s="2" t="inlineStr">
        <is>
          <t>GOVERNMENT OF NCT DELHI &amp; ORS. versus KRISHAN KUMAR &amp; ORS.</t>
        </is>
      </c>
      <c r="G217" s="2" t="n"/>
      <c r="H217" s="2" t="n"/>
      <c r="I217" s="2" t="inlineStr">
        <is>
          <t>The decision in Sree Balaji Nagar Residential Assn. [Sree Balaji Nagar Residential Assn. v. State of T.N., (2015) 3 SCC 353] cannot be said to be laying down good law, is overruled and other decisions following the same are also overruled.</t>
        </is>
      </c>
      <c r="J217" s="11" t="inlineStr"/>
      <c r="K217" s="11" t="inlineStr">
        <is>
          <t>b2023_2_416_421</t>
        </is>
      </c>
      <c r="L217" s="11" t="inlineStr">
        <is>
          <t>2026-10-07</t>
        </is>
      </c>
      <c r="M217" s="11" t="n"/>
      <c r="N217" s="11" t="inlineStr">
        <is>
          <t>found</t>
        </is>
      </c>
    </row>
    <row r="218">
      <c r="A218" s="11" t="inlineStr">
        <is>
          <t>P-0215</t>
        </is>
      </c>
      <c r="B218" s="11" t="inlineStr">
        <is>
          <t>open</t>
        </is>
      </c>
      <c r="C218" s="11" t="inlineStr">
        <is>
          <t>sentence</t>
        </is>
      </c>
      <c r="D218" s="11" t="inlineStr">
        <is>
          <t>2023-03-02</t>
        </is>
      </c>
      <c r="E218" s="11" t="n">
        <v>5</v>
      </c>
      <c r="F218" s="2" t="inlineStr">
        <is>
          <t>ANOOP BARANWAL versus UNION OF INDIA</t>
        </is>
      </c>
      <c r="G218" s="2" t="n"/>
      <c r="H218" s="2" t="n"/>
      <c r="I218" s="2" t="inlineStr">
        <is>
          <t>With the above observation, we hold that there is no doubt or confusion persisting in the Constitution Bench judgment of this Court in Kuldip Nayar [(2006) 7 SCC 1] and the decisions in Assn. for Democratic Reforms [(2002) 5 SCC 294] and People’s Union for Civil Liberties [(2003) 4 SCC 399] do not stand impliedly overruled.” (Emphasis supplied) S. ARTICLE 326 DEMYSTIFIED 110.</t>
        </is>
      </c>
      <c r="J218" s="11" t="inlineStr"/>
      <c r="K218" s="11" t="inlineStr">
        <is>
          <t>b2023_9_1_245</t>
        </is>
      </c>
      <c r="L218" s="11" t="inlineStr">
        <is>
          <t>2026-10-07</t>
        </is>
      </c>
      <c r="M218" s="11" t="n"/>
      <c r="N218" s="11" t="inlineStr">
        <is>
          <t>found</t>
        </is>
      </c>
    </row>
    <row r="219">
      <c r="A219" s="11" t="inlineStr">
        <is>
          <t>P-0216</t>
        </is>
      </c>
      <c r="B219" s="11" t="inlineStr">
        <is>
          <t>open</t>
        </is>
      </c>
      <c r="C219" s="11" t="inlineStr">
        <is>
          <t>tag</t>
        </is>
      </c>
      <c r="D219" s="11" t="inlineStr">
        <is>
          <t>2023-03-14</t>
        </is>
      </c>
      <c r="E219" s="11" t="n">
        <v>3</v>
      </c>
      <c r="F219" s="2" t="inlineStr">
        <is>
          <t>MOHINDER SINGH(DEAD) THROUGH LRS AND ANOTHER versus NARAIN SINGH AND OTHERS</t>
        </is>
      </c>
      <c r="G219" s="2" t="inlineStr">
        <is>
          <t>Umed Singh v. Govt. of NCT of Delhi and Others 1997</t>
        </is>
      </c>
      <c r="H219" s="2" t="inlineStr">
        <is>
          <t>SCC Online Del 842</t>
        </is>
      </c>
      <c r="I219" s="2" t="inlineStr">
        <is>
          <t>disapproved</t>
        </is>
      </c>
      <c r="J219" s="11" t="inlineStr"/>
      <c r="K219" s="11" t="inlineStr">
        <is>
          <t>b2023_2_256_275</t>
        </is>
      </c>
      <c r="L219" s="11" t="inlineStr">
        <is>
          <t>2026-10-07</t>
        </is>
      </c>
      <c r="M219" s="11" t="n"/>
      <c r="N219" s="11" t="inlineStr">
        <is>
          <t>found</t>
        </is>
      </c>
    </row>
    <row r="220">
      <c r="A220" s="11" t="inlineStr">
        <is>
          <t>P-0217</t>
        </is>
      </c>
      <c r="B220" s="11" t="inlineStr">
        <is>
          <t>open</t>
        </is>
      </c>
      <c r="C220" s="11" t="inlineStr">
        <is>
          <t>sentence</t>
        </is>
      </c>
      <c r="D220" s="11" t="inlineStr">
        <is>
          <t>2023-03-15</t>
        </is>
      </c>
      <c r="E220" s="11" t="n">
        <v>3</v>
      </c>
      <c r="F220" s="2" t="inlineStr">
        <is>
          <t>AJAY KUMAR RADHEYSHYAM GOENKA versus TOURISM FINANCE CORPORATION OF INDIA LTD.</t>
        </is>
      </c>
      <c r="G220" s="2" t="n"/>
      <c r="H220" s="2" t="n"/>
      <c r="I220" s="2" t="inlineStr">
        <is>
          <t>It was specifically observed that the decision in Anil Hada (supra) is overruled with the qualifier as stated in para 51.</t>
        </is>
      </c>
      <c r="J220" s="11" t="inlineStr"/>
      <c r="K220" s="11" t="inlineStr">
        <is>
          <t>b2023_4_986_1052</t>
        </is>
      </c>
      <c r="L220" s="11" t="inlineStr">
        <is>
          <t>2026-10-07</t>
        </is>
      </c>
      <c r="M220" s="11" t="n"/>
      <c r="N220" s="11" t="inlineStr">
        <is>
          <t>found</t>
        </is>
      </c>
    </row>
    <row r="221">
      <c r="A221" s="11" t="inlineStr">
        <is>
          <t>P-0218</t>
        </is>
      </c>
      <c r="B221" s="11" t="inlineStr">
        <is>
          <t>open</t>
        </is>
      </c>
      <c r="C221" s="11" t="inlineStr">
        <is>
          <t>tag</t>
        </is>
      </c>
      <c r="D221" s="11" t="inlineStr">
        <is>
          <t>2023-03-21</t>
        </is>
      </c>
      <c r="E221" s="11" t="n">
        <v>3</v>
      </c>
      <c r="F221" s="2" t="inlineStr">
        <is>
          <t>UNION OF INDIA &amp; ORS. versus PARASHOTAM DASS</t>
        </is>
      </c>
      <c r="G221" s="2" t="inlineStr">
        <is>
          <t>Union of India Ors. v. Major General Shri Kant Sharma &amp; Anr.</t>
        </is>
      </c>
      <c r="H221" s="2" t="inlineStr">
        <is>
          <t>(2015) 6 SCC 773 : [2015] 4 SCR 676</t>
        </is>
      </c>
      <c r="I221" s="2" t="inlineStr">
        <is>
          <t>held not correct law</t>
        </is>
      </c>
      <c r="J221" s="11" t="inlineStr"/>
      <c r="K221" s="11" t="inlineStr">
        <is>
          <t>b2023_3_598_617</t>
        </is>
      </c>
      <c r="L221" s="11" t="inlineStr">
        <is>
          <t>2026-10-07</t>
        </is>
      </c>
      <c r="M221" s="11" t="n"/>
      <c r="N221" s="11" t="inlineStr">
        <is>
          <t>found</t>
        </is>
      </c>
    </row>
    <row r="222">
      <c r="A222" s="11" t="inlineStr">
        <is>
          <t>P-0219</t>
        </is>
      </c>
      <c r="B222" s="11" t="inlineStr">
        <is>
          <t>open</t>
        </is>
      </c>
      <c r="C222" s="11" t="inlineStr">
        <is>
          <t>sentence</t>
        </is>
      </c>
      <c r="D222" s="11" t="inlineStr">
        <is>
          <t>2023-03-21</t>
        </is>
      </c>
      <c r="E222" s="11" t="n">
        <v>3</v>
      </c>
      <c r="F222" s="2" t="inlineStr">
        <is>
          <t>SUNDAR @ SUNDARRAJAN versus STATE BY INSPECTOR OF POLICE</t>
        </is>
      </c>
      <c r="G222" s="2" t="n"/>
      <c r="H222" s="2" t="n"/>
      <c r="I222" s="2" t="inlineStr">
        <is>
          <t>Also, the judgment in Shafhi Mohammad and the judgment dated 3-4-2018 reported as Shafhi Mohd. v. State of H.P., do not lay down the law correctly and are therefore overruled. 73.2.</t>
        </is>
      </c>
      <c r="J222" s="11" t="inlineStr"/>
      <c r="K222" s="11" t="inlineStr">
        <is>
          <t>b2023_5_1016_1066</t>
        </is>
      </c>
      <c r="L222" s="11" t="inlineStr">
        <is>
          <t>2026-10-07</t>
        </is>
      </c>
      <c r="M222" s="11" t="n"/>
      <c r="N222" s="11" t="inlineStr">
        <is>
          <t>found</t>
        </is>
      </c>
    </row>
    <row r="223">
      <c r="A223" s="11" t="inlineStr">
        <is>
          <t>P-0220</t>
        </is>
      </c>
      <c r="B223" s="11" t="inlineStr">
        <is>
          <t>open</t>
        </is>
      </c>
      <c r="C223" s="11" t="inlineStr">
        <is>
          <t>tag</t>
        </is>
      </c>
      <c r="D223" s="11" t="inlineStr">
        <is>
          <t>2023-03-24</t>
        </is>
      </c>
      <c r="E223" s="11" t="n">
        <v>3</v>
      </c>
      <c r="F223" s="2" t="inlineStr">
        <is>
          <t>ARUP BHUYAN versus STATE OF ASSAM &amp; ANR.</t>
        </is>
      </c>
      <c r="G223" s="2" t="inlineStr">
        <is>
          <t>State of Kerala vs. Raneef</t>
        </is>
      </c>
      <c r="H223" s="2" t="inlineStr">
        <is>
          <t>(2011) 1 SCC 784 : [2011] 1 SCR 590</t>
        </is>
      </c>
      <c r="I223" s="2" t="inlineStr">
        <is>
          <t>held not good law</t>
        </is>
      </c>
      <c r="J223" s="11" t="inlineStr">
        <is>
          <t>yes</t>
        </is>
      </c>
      <c r="K223" s="11" t="inlineStr">
        <is>
          <t>b2023_8_496_580</t>
        </is>
      </c>
      <c r="L223" s="11" t="inlineStr">
        <is>
          <t>2026-10-07</t>
        </is>
      </c>
      <c r="M223" s="11" t="n"/>
      <c r="N223" s="11" t="inlineStr">
        <is>
          <t>found</t>
        </is>
      </c>
    </row>
    <row r="224">
      <c r="A224" s="11" t="inlineStr">
        <is>
          <t>P-0221</t>
        </is>
      </c>
      <c r="B224" s="11" t="inlineStr">
        <is>
          <t>open</t>
        </is>
      </c>
      <c r="C224" s="11" t="inlineStr">
        <is>
          <t>tag</t>
        </is>
      </c>
      <c r="D224" s="11" t="inlineStr">
        <is>
          <t>2023-03-24</t>
        </is>
      </c>
      <c r="E224" s="11" t="n">
        <v>3</v>
      </c>
      <c r="F224" s="2" t="inlineStr">
        <is>
          <t>ARUP BHUYAN versus STATE OF ASSAM &amp; ANR.</t>
        </is>
      </c>
      <c r="G224" s="2" t="inlineStr">
        <is>
          <t>Arup Bhuyan vs. Union of India</t>
        </is>
      </c>
      <c r="H224" s="2" t="inlineStr">
        <is>
          <t>(2011) 3 SCC 377 : [2011] 2 SCR 506 and Indra Das v. State of Assam (2011) 3 SCC 380 : [2011] 4 SCR 289</t>
        </is>
      </c>
      <c r="I224" s="2" t="inlineStr">
        <is>
          <t>held not good law</t>
        </is>
      </c>
      <c r="J224" s="11" t="inlineStr">
        <is>
          <t>yes</t>
        </is>
      </c>
      <c r="K224" s="11" t="inlineStr">
        <is>
          <t>b2023_8_496_580</t>
        </is>
      </c>
      <c r="L224" s="11" t="inlineStr">
        <is>
          <t>2026-10-07</t>
        </is>
      </c>
      <c r="M224" s="11" t="n"/>
      <c r="N224" s="11" t="inlineStr">
        <is>
          <t>found</t>
        </is>
      </c>
    </row>
    <row r="225">
      <c r="A225" s="11" t="inlineStr">
        <is>
          <t>P-0222</t>
        </is>
      </c>
      <c r="B225" s="11" t="inlineStr">
        <is>
          <t>open</t>
        </is>
      </c>
      <c r="C225" s="11" t="inlineStr">
        <is>
          <t>tag</t>
        </is>
      </c>
      <c r="D225" s="11" t="inlineStr">
        <is>
          <t>2023-03-24</t>
        </is>
      </c>
      <c r="E225" s="11" t="n">
        <v>3</v>
      </c>
      <c r="F225" s="2" t="inlineStr">
        <is>
          <t>ARUP BHUYAN versus STATE OF ASSAM &amp; ANR.</t>
        </is>
      </c>
      <c r="G225" s="2" t="inlineStr">
        <is>
          <t>Arup Bhuyan v. State of Assam</t>
        </is>
      </c>
      <c r="H225" s="2" t="inlineStr">
        <is>
          <t>(2011) 3 SCC 377 : [2011] 2 SCR 506 and Sri Indra Das v. State of Assam (2011) 3 SCC 380 : [2011] 4 SCR 289</t>
        </is>
      </c>
      <c r="I225" s="2" t="inlineStr">
        <is>
          <t>held not good law</t>
        </is>
      </c>
      <c r="J225" s="11" t="inlineStr">
        <is>
          <t>yes</t>
        </is>
      </c>
      <c r="K225" s="11" t="inlineStr">
        <is>
          <t>b2023_8_496_580</t>
        </is>
      </c>
      <c r="L225" s="11" t="inlineStr">
        <is>
          <t>2026-10-07</t>
        </is>
      </c>
      <c r="M225" s="11" t="n"/>
      <c r="N225" s="11" t="inlineStr">
        <is>
          <t>found</t>
        </is>
      </c>
    </row>
    <row r="226">
      <c r="A226" s="11" t="inlineStr">
        <is>
          <t>P-0223</t>
        </is>
      </c>
      <c r="B226" s="11" t="inlineStr">
        <is>
          <t>open</t>
        </is>
      </c>
      <c r="C226" s="11" t="inlineStr">
        <is>
          <t>tag</t>
        </is>
      </c>
      <c r="D226" s="11" t="inlineStr">
        <is>
          <t>2023-03-27</t>
        </is>
      </c>
      <c r="E226" s="11" t="n">
        <v>3</v>
      </c>
      <c r="F226" s="2" t="inlineStr">
        <is>
          <t>ENFORCEMENT DIRECTORATE, GOVERNMENT OF INDIA versus KAPIL WADHAWAN &amp; ANR. ETC</t>
        </is>
      </c>
      <c r="G226" s="2" t="inlineStr">
        <is>
          <t>State of M.P. Vs. Rustam &amp; Ors.</t>
        </is>
      </c>
      <c r="H226" s="2" t="inlineStr">
        <is>
          <t>1995 (Supp) 3 SCC 221</t>
        </is>
      </c>
      <c r="I226" s="2" t="inlineStr">
        <is>
          <t>per incuriam</t>
        </is>
      </c>
      <c r="J226" s="11" t="inlineStr"/>
      <c r="K226" s="11" t="inlineStr">
        <is>
          <t>b2023_5_918_948</t>
        </is>
      </c>
      <c r="L226" s="11" t="inlineStr">
        <is>
          <t>2026-10-07</t>
        </is>
      </c>
      <c r="M226" s="11" t="n"/>
      <c r="N226" s="11" t="inlineStr">
        <is>
          <t>found</t>
        </is>
      </c>
    </row>
    <row r="227">
      <c r="A227" s="11" t="inlineStr">
        <is>
          <t>P-0224</t>
        </is>
      </c>
      <c r="B227" s="11" t="inlineStr">
        <is>
          <t>open</t>
        </is>
      </c>
      <c r="C227" s="11" t="inlineStr">
        <is>
          <t>tag</t>
        </is>
      </c>
      <c r="D227" s="11" t="inlineStr">
        <is>
          <t>2023-03-27</t>
        </is>
      </c>
      <c r="E227" s="11" t="n">
        <v>3</v>
      </c>
      <c r="F227" s="2" t="inlineStr">
        <is>
          <t>NARAYAN CHETANRAM CHAUDHARY versus THE STATE OF MAHARASHTRA</t>
        </is>
      </c>
      <c r="G227" s="2" t="inlineStr">
        <is>
          <t>Murari Thakur &amp; Another v. State of Bihar</t>
        </is>
      </c>
      <c r="H227" s="2" t="inlineStr">
        <is>
          <t>(2009) 16 SCC 256 : [2006] 10 Suppl. SCR 988</t>
        </is>
      </c>
      <c r="I227" s="2" t="inlineStr">
        <is>
          <t>held not good law</t>
        </is>
      </c>
      <c r="J227" s="11" t="inlineStr"/>
      <c r="K227" s="11" t="inlineStr">
        <is>
          <t>b2023_6_1055_1114</t>
        </is>
      </c>
      <c r="L227" s="11" t="inlineStr">
        <is>
          <t>2026-10-07</t>
        </is>
      </c>
      <c r="M227" s="11" t="n"/>
      <c r="N227" s="11" t="inlineStr">
        <is>
          <t>found</t>
        </is>
      </c>
    </row>
    <row r="228">
      <c r="A228" s="11" t="inlineStr">
        <is>
          <t>P-0225</t>
        </is>
      </c>
      <c r="B228" s="11" t="inlineStr">
        <is>
          <t>open</t>
        </is>
      </c>
      <c r="C228" s="11" t="inlineStr">
        <is>
          <t>tag</t>
        </is>
      </c>
      <c r="D228" s="11" t="inlineStr">
        <is>
          <t>2023-04-25</t>
        </is>
      </c>
      <c r="E228" s="11" t="n">
        <v>5</v>
      </c>
      <c r="F228" s="2" t="inlineStr">
        <is>
          <t>M/S N. N. GLOBAL MERCANTILE PRIVATE LIMITED versus M/S INDO UNIQUE FLAME LTD. &amp; ORS.</t>
        </is>
      </c>
      <c r="G228" s="2" t="inlineStr">
        <is>
          <t>N.N. Global Mercantile Private Limited v. Indo Unique Flame Limited and others</t>
        </is>
      </c>
      <c r="H228" s="2" t="inlineStr">
        <is>
          <t>(2021) 4 SCC 379</t>
        </is>
      </c>
      <c r="I228" s="2" t="inlineStr">
        <is>
          <t>overruled</t>
        </is>
      </c>
      <c r="J228" s="11" t="inlineStr">
        <is>
          <t>yes</t>
        </is>
      </c>
      <c r="K228" s="11" t="inlineStr">
        <is>
          <t>b2023_9_285_492</t>
        </is>
      </c>
      <c r="L228" s="11" t="inlineStr">
        <is>
          <t>2026-10-07</t>
        </is>
      </c>
      <c r="M228" s="11" t="n"/>
      <c r="N228" s="11" t="inlineStr">
        <is>
          <t>found</t>
        </is>
      </c>
    </row>
    <row r="229">
      <c r="A229" s="11" t="inlineStr">
        <is>
          <t>P-0226</t>
        </is>
      </c>
      <c r="B229" s="11" t="inlineStr">
        <is>
          <t>open</t>
        </is>
      </c>
      <c r="C229" s="11" t="inlineStr">
        <is>
          <t>tag</t>
        </is>
      </c>
      <c r="D229" s="11" t="inlineStr">
        <is>
          <t>2023-04-25</t>
        </is>
      </c>
      <c r="E229" s="11" t="n">
        <v>5</v>
      </c>
      <c r="F229" s="2" t="inlineStr">
        <is>
          <t>M/S N. N. GLOBAL MERCANTILE PRIVATE LIMITED versus M/S INDO UNIQUE FLAME LTD. &amp; ORS.</t>
        </is>
      </c>
      <c r="G229" s="2" t="inlineStr">
        <is>
          <t>Vidya Drolia and others v. Durga Trading Corporation</t>
        </is>
      </c>
      <c r="H229" s="2" t="inlineStr">
        <is>
          <t>(2021) 2 SCC 1</t>
        </is>
      </c>
      <c r="I229" s="2" t="inlineStr">
        <is>
          <t>overruled</t>
        </is>
      </c>
      <c r="J229" s="11" t="inlineStr"/>
      <c r="K229" s="11" t="inlineStr">
        <is>
          <t>b2023_9_285_492</t>
        </is>
      </c>
      <c r="L229" s="11" t="inlineStr">
        <is>
          <t>2026-10-07</t>
        </is>
      </c>
      <c r="M229" s="11" t="n"/>
      <c r="N229" s="11" t="inlineStr">
        <is>
          <t>found</t>
        </is>
      </c>
    </row>
    <row r="230">
      <c r="A230" s="11" t="inlineStr">
        <is>
          <t>P-0227</t>
        </is>
      </c>
      <c r="B230" s="11" t="inlineStr">
        <is>
          <t>open</t>
        </is>
      </c>
      <c r="C230" s="11" t="inlineStr">
        <is>
          <t>tag</t>
        </is>
      </c>
      <c r="D230" s="11" t="inlineStr">
        <is>
          <t>2023-04-25</t>
        </is>
      </c>
      <c r="E230" s="11" t="n">
        <v>5</v>
      </c>
      <c r="F230" s="2" t="inlineStr">
        <is>
          <t>M/S N. N. GLOBAL MERCANTILE PRIVATE LIMITED versus M/S INDO UNIQUE FLAME LTD. &amp; ORS.</t>
        </is>
      </c>
      <c r="G230" s="2" t="inlineStr">
        <is>
          <t>SMS Tea Estates Private Limited v. Chandmari Tea Company Private Limited</t>
        </is>
      </c>
      <c r="H230" s="2" t="inlineStr">
        <is>
          <t>(2011) 14 SCC 66 : [2011] 9 SCR 382 and Garware Wall Ropes Limited v. Coastal Marine Constructions &amp; Engineering Limited (2019) 9 SCC 209 : [2019] 5 SCR 579</t>
        </is>
      </c>
      <c r="I230" s="2" t="inlineStr">
        <is>
          <t>overruled</t>
        </is>
      </c>
      <c r="J230" s="11" t="inlineStr"/>
      <c r="K230" s="11" t="inlineStr">
        <is>
          <t>b2023_9_285_492</t>
        </is>
      </c>
      <c r="L230" s="11" t="inlineStr">
        <is>
          <t>2026-10-07</t>
        </is>
      </c>
      <c r="M230" s="11" t="n"/>
      <c r="N230" s="11" t="inlineStr">
        <is>
          <t>found</t>
        </is>
      </c>
    </row>
    <row r="231">
      <c r="A231" s="11" t="inlineStr">
        <is>
          <t>P-0228</t>
        </is>
      </c>
      <c r="B231" s="11" t="inlineStr">
        <is>
          <t>open</t>
        </is>
      </c>
      <c r="C231" s="11" t="inlineStr">
        <is>
          <t>tag</t>
        </is>
      </c>
      <c r="D231" s="11" t="inlineStr">
        <is>
          <t>2023-04-25</t>
        </is>
      </c>
      <c r="E231" s="11" t="n">
        <v>5</v>
      </c>
      <c r="F231" s="2" t="inlineStr">
        <is>
          <t>M/S N. N. GLOBAL MERCANTILE PRIVATE LIMITED versus M/S INDO UNIQUE FLAME LTD. &amp; ORS.</t>
        </is>
      </c>
      <c r="G231" s="2" t="inlineStr">
        <is>
          <t>Vidya Drolia and others v. Durga Trading Corporation</t>
        </is>
      </c>
      <c r="H231" s="2" t="inlineStr">
        <is>
          <t>(2021) 2 SCC 1</t>
        </is>
      </c>
      <c r="I231" s="2" t="inlineStr">
        <is>
          <t>overruled</t>
        </is>
      </c>
      <c r="J231" s="11" t="inlineStr"/>
      <c r="K231" s="11" t="inlineStr">
        <is>
          <t>b2023_9_285_492</t>
        </is>
      </c>
      <c r="L231" s="11" t="inlineStr">
        <is>
          <t>2026-10-07</t>
        </is>
      </c>
      <c r="M231" s="11" t="n"/>
      <c r="N231" s="11" t="inlineStr">
        <is>
          <t>found</t>
        </is>
      </c>
    </row>
    <row r="232">
      <c r="A232" s="11" t="inlineStr">
        <is>
          <t>P-0229</t>
        </is>
      </c>
      <c r="B232" s="11" t="inlineStr">
        <is>
          <t>open</t>
        </is>
      </c>
      <c r="C232" s="11" t="inlineStr">
        <is>
          <t>tag</t>
        </is>
      </c>
      <c r="D232" s="11" t="inlineStr">
        <is>
          <t>2023-04-25</t>
        </is>
      </c>
      <c r="E232" s="11" t="n">
        <v>5</v>
      </c>
      <c r="F232" s="2" t="inlineStr">
        <is>
          <t>M/S N. N. GLOBAL MERCANTILE PRIVATE LIMITED versus M/S INDO UNIQUE FLAME LTD. &amp; ORS.</t>
        </is>
      </c>
      <c r="G232" s="2" t="inlineStr">
        <is>
          <t>Garware Wall Ropes Limited v. Coastal Marine Constructions &amp; Engineering Limited</t>
        </is>
      </c>
      <c r="H232" s="2" t="inlineStr">
        <is>
          <t>(2019) 9 SCC 209 : [2019] 5 SCR 579</t>
        </is>
      </c>
      <c r="I232" s="2" t="inlineStr">
        <is>
          <t>overruled</t>
        </is>
      </c>
      <c r="J232" s="11" t="inlineStr"/>
      <c r="K232" s="11" t="inlineStr">
        <is>
          <t>b2023_9_285_492</t>
        </is>
      </c>
      <c r="L232" s="11" t="inlineStr">
        <is>
          <t>2026-10-07</t>
        </is>
      </c>
      <c r="M232" s="11" t="n"/>
      <c r="N232" s="11" t="inlineStr">
        <is>
          <t>found</t>
        </is>
      </c>
    </row>
    <row r="233">
      <c r="A233" s="11" t="inlineStr">
        <is>
          <t>P-0230</t>
        </is>
      </c>
      <c r="B233" s="11" t="inlineStr">
        <is>
          <t>open</t>
        </is>
      </c>
      <c r="C233" s="11" t="inlineStr">
        <is>
          <t>tag</t>
        </is>
      </c>
      <c r="D233" s="11" t="inlineStr">
        <is>
          <t>2023-04-25</t>
        </is>
      </c>
      <c r="E233" s="11" t="n">
        <v>5</v>
      </c>
      <c r="F233" s="2" t="inlineStr">
        <is>
          <t>M/S N. N. GLOBAL MERCANTILE PRIVATE LIMITED versus M/S INDO UNIQUE FLAME LTD. &amp; ORS.</t>
        </is>
      </c>
      <c r="G233" s="2" t="inlineStr">
        <is>
          <t>SMS Tea Estates Private Limited v. Chandmari Tea Company Private Limited</t>
        </is>
      </c>
      <c r="H233" s="2" t="inlineStr">
        <is>
          <t>(2011) 14 SCC 66 : [2011] 9 SCR 382</t>
        </is>
      </c>
      <c r="I233" s="2" t="inlineStr">
        <is>
          <t>overruled</t>
        </is>
      </c>
      <c r="J233" s="11" t="inlineStr"/>
      <c r="K233" s="11" t="inlineStr">
        <is>
          <t>b2023_9_285_492</t>
        </is>
      </c>
      <c r="L233" s="11" t="inlineStr">
        <is>
          <t>2026-10-07</t>
        </is>
      </c>
      <c r="M233" s="11" t="n"/>
      <c r="N233" s="11" t="inlineStr">
        <is>
          <t>found</t>
        </is>
      </c>
    </row>
    <row r="234">
      <c r="A234" s="11" t="inlineStr">
        <is>
          <t>P-0231</t>
        </is>
      </c>
      <c r="B234" s="11" t="inlineStr">
        <is>
          <t>open</t>
        </is>
      </c>
      <c r="C234" s="11" t="inlineStr">
        <is>
          <t>tag</t>
        </is>
      </c>
      <c r="D234" s="11" t="inlineStr">
        <is>
          <t>2023-04-25</t>
        </is>
      </c>
      <c r="E234" s="11" t="n">
        <v>5</v>
      </c>
      <c r="F234" s="2" t="inlineStr">
        <is>
          <t>M/S N. N. GLOBAL MERCANTILE PRIVATE LIMITED versus M/S INDO UNIQUE FLAME LTD. &amp; ORS.</t>
        </is>
      </c>
      <c r="G234" s="2" t="inlineStr">
        <is>
          <t>United India Insurance Company Limited v. Hyundai Engineering and Construction Company Limited</t>
        </is>
      </c>
      <c r="H234" s="2" t="inlineStr">
        <is>
          <t>(2018) 17 SCC 607 : [2018] 12 SCR 1085</t>
        </is>
      </c>
      <c r="I234" s="2" t="inlineStr">
        <is>
          <t>overruled</t>
        </is>
      </c>
      <c r="J234" s="11" t="inlineStr"/>
      <c r="K234" s="11" t="inlineStr">
        <is>
          <t>b2023_9_285_492</t>
        </is>
      </c>
      <c r="L234" s="11" t="inlineStr">
        <is>
          <t>2026-10-07</t>
        </is>
      </c>
      <c r="M234" s="11" t="n"/>
      <c r="N234" s="11" t="inlineStr">
        <is>
          <t>found</t>
        </is>
      </c>
    </row>
    <row r="235">
      <c r="A235" s="11" t="inlineStr">
        <is>
          <t>P-0232</t>
        </is>
      </c>
      <c r="B235" s="11" t="inlineStr">
        <is>
          <t>open</t>
        </is>
      </c>
      <c r="C235" s="11" t="inlineStr">
        <is>
          <t>tag</t>
        </is>
      </c>
      <c r="D235" s="11" t="inlineStr">
        <is>
          <t>2023-05-11</t>
        </is>
      </c>
      <c r="E235" s="11" t="n">
        <v>5</v>
      </c>
      <c r="F235" s="2" t="inlineStr">
        <is>
          <t>GOVERNMENT OF NCT OF DELHI versus UNION OF INDIA</t>
        </is>
      </c>
      <c r="G235" s="2" t="inlineStr">
        <is>
          <t>Shiv Kirpal Singh v. VV Giri</t>
        </is>
      </c>
      <c r="H235" s="2" t="inlineStr">
        <is>
          <t>AIR 1970 SC 2097 : [1971] 2 SCR 197</t>
        </is>
      </c>
      <c r="I235" s="2" t="inlineStr">
        <is>
          <t>held per incuriam</t>
        </is>
      </c>
      <c r="J235" s="11" t="inlineStr"/>
      <c r="K235" s="11" t="inlineStr">
        <is>
          <t>b2023_9_493_582</t>
        </is>
      </c>
      <c r="L235" s="11" t="inlineStr">
        <is>
          <t>2026-10-07</t>
        </is>
      </c>
      <c r="M235" s="11" t="n"/>
      <c r="N235" s="11" t="inlineStr">
        <is>
          <t>found</t>
        </is>
      </c>
    </row>
    <row r="236">
      <c r="A236" s="11" t="inlineStr">
        <is>
          <t>P-0233</t>
        </is>
      </c>
      <c r="B236" s="11" t="inlineStr">
        <is>
          <t>open</t>
        </is>
      </c>
      <c r="C236" s="11" t="inlineStr">
        <is>
          <t>tag</t>
        </is>
      </c>
      <c r="D236" s="11" t="inlineStr">
        <is>
          <t>2023-08-16</t>
        </is>
      </c>
      <c r="E236" s="11" t="n">
        <v>3</v>
      </c>
      <c r="F236" s="2" t="inlineStr">
        <is>
          <t>PESALA NOOKARAJU versus THE GOVERNMENT OF ANDHRA PRADESH &amp; ORS</t>
        </is>
      </c>
      <c r="G236" s="2" t="inlineStr">
        <is>
          <t>LIST OF CITATIONS AND OTHER REFERENCES Cherukuri Mani v. Chief Secretary, Government of Andhra Pradesh</t>
        </is>
      </c>
      <c r="H236" s="2" t="inlineStr">
        <is>
          <t>(2015) 13 SCC 722:[2014] 6 SCR 750</t>
        </is>
      </c>
      <c r="I236" s="2" t="inlineStr">
        <is>
          <t>held not correct law</t>
        </is>
      </c>
      <c r="J236" s="11" t="inlineStr"/>
      <c r="K236" s="11" t="inlineStr">
        <is>
          <t>b2023_11_520_582</t>
        </is>
      </c>
      <c r="L236" s="11" t="inlineStr">
        <is>
          <t>2026-10-07</t>
        </is>
      </c>
      <c r="M236" s="11" t="n"/>
      <c r="N236" s="11" t="inlineStr">
        <is>
          <t>found</t>
        </is>
      </c>
    </row>
    <row r="237">
      <c r="A237" s="11" t="inlineStr">
        <is>
          <t>P-0234</t>
        </is>
      </c>
      <c r="B237" s="11" t="inlineStr">
        <is>
          <t>open</t>
        </is>
      </c>
      <c r="C237" s="11" t="inlineStr">
        <is>
          <t>sentence</t>
        </is>
      </c>
      <c r="D237" s="11" t="inlineStr">
        <is>
          <t>2023-08-18</t>
        </is>
      </c>
      <c r="E237" s="11" t="n">
        <v>3</v>
      </c>
      <c r="F237" s="2" t="inlineStr">
        <is>
          <t>EXPERION DEVELOPERS PRIVATE LIMITED versus HIMANSHU DEWAN AND SONALI DEWAN AND OTHERS</t>
        </is>
      </c>
      <c r="G237" s="2" t="n"/>
      <c r="H237" s="2" t="n"/>
      <c r="I237" s="2" t="inlineStr">
        <is>
          <t>However, this view in re. the subsequent purchasers stands overruled by a bench of three judges’ in Laureate Buildwell Private Limited v. Charanjeet Singh10.</t>
        </is>
      </c>
      <c r="J237" s="11" t="inlineStr"/>
      <c r="K237" s="11" t="inlineStr">
        <is>
          <t>b2023_12_1118_1144</t>
        </is>
      </c>
      <c r="L237" s="11" t="inlineStr">
        <is>
          <t>2026-10-07</t>
        </is>
      </c>
      <c r="M237" s="11" t="n"/>
      <c r="N237" s="11" t="inlineStr">
        <is>
          <t>found</t>
        </is>
      </c>
    </row>
    <row r="238">
      <c r="A238" s="11" t="inlineStr">
        <is>
          <t>P-0235</t>
        </is>
      </c>
      <c r="B238" s="11" t="inlineStr">
        <is>
          <t>open</t>
        </is>
      </c>
      <c r="C238" s="11" t="inlineStr">
        <is>
          <t>sentence</t>
        </is>
      </c>
      <c r="D238" s="11" t="inlineStr">
        <is>
          <t>2023-09-22</t>
        </is>
      </c>
      <c r="E238" s="11" t="n">
        <v>3</v>
      </c>
      <c r="F238" s="2" t="inlineStr">
        <is>
          <t>BALWINDER SINGH (BINDA) versus THE NARCOTICS CONTROL BUREAU</t>
        </is>
      </c>
      <c r="G238" s="2" t="n"/>
      <c r="H238" s="2" t="n"/>
      <c r="I238" s="2" t="inlineStr">
        <is>
          <t>Now that it has been declared in Tofan Singh’s case36 (supra) that the judgements in the case of Kanhaiyalal33 (supra) and Raj Kumar Karwal35 (supra) did not state the correct legal position and they stand overruled, the entire case set up by the prosecution against Balwinder Singh3, collapses like a House of cards.</t>
        </is>
      </c>
      <c r="J238" s="11" t="inlineStr"/>
      <c r="K238" s="11" t="inlineStr">
        <is>
          <t>b2023_14_100_122</t>
        </is>
      </c>
      <c r="L238" s="11" t="inlineStr">
        <is>
          <t>2026-10-07</t>
        </is>
      </c>
      <c r="M238" s="11" t="n"/>
      <c r="N238" s="11" t="inlineStr">
        <is>
          <t>found</t>
        </is>
      </c>
    </row>
    <row r="239">
      <c r="A239" s="11" t="inlineStr">
        <is>
          <t>P-0236</t>
        </is>
      </c>
      <c r="B239" s="11" t="inlineStr">
        <is>
          <t>open</t>
        </is>
      </c>
      <c r="C239" s="11" t="inlineStr">
        <is>
          <t>sentence</t>
        </is>
      </c>
      <c r="D239" s="11" t="inlineStr">
        <is>
          <t>2023-12-06</t>
        </is>
      </c>
      <c r="E239" s="11" t="n">
        <v>5</v>
      </c>
      <c r="F239" s="2" t="inlineStr">
        <is>
          <t>COX AND KINGS LTD. versus SAP INDIA PVT. LTD. &amp; ANR.</t>
        </is>
      </c>
      <c r="G239" s="2" t="n"/>
      <c r="H239" s="2" t="n"/>
      <c r="I239" s="2" t="inlineStr">
        <is>
          <t>However, Roussel-Uclaf (supra) was expressly overruled by the Court of Appeal in Sancheti (supra) on the ground that a mere legal or commercial connection is not suﬃ cient for a person to claim through or under a party to an arbitration agreement. 132.</t>
        </is>
      </c>
      <c r="J239" s="11" t="inlineStr"/>
      <c r="K239" s="11" t="inlineStr">
        <is>
          <t>b2023_15_621_745</t>
        </is>
      </c>
      <c r="L239" s="11" t="inlineStr">
        <is>
          <t>2026-10-07</t>
        </is>
      </c>
      <c r="M239" s="11" t="n"/>
      <c r="N239" s="11" t="inlineStr">
        <is>
          <t>found</t>
        </is>
      </c>
    </row>
    <row r="240">
      <c r="A240" s="11" t="inlineStr">
        <is>
          <t>P-0237</t>
        </is>
      </c>
      <c r="B240" s="11" t="inlineStr">
        <is>
          <t>open</t>
        </is>
      </c>
      <c r="C240" s="11" t="inlineStr">
        <is>
          <t>tag</t>
        </is>
      </c>
      <c r="D240" s="11" t="inlineStr">
        <is>
          <t>2023-12-13</t>
        </is>
      </c>
      <c r="E240" s="11" t="n">
        <v>7</v>
      </c>
      <c r="F240" s="2" t="inlineStr">
        <is>
          <t>IN RE: INTERPLAY BETWEEN ARBITRATION AGREEMENTS UNDER THE ARBITRATION AND CONCILIATION ACT 1996 AND THE INDIAN STAMP ACT 1899 versus .</t>
        </is>
      </c>
      <c r="G240" s="2" t="inlineStr">
        <is>
          <t>LIST OF CITATIONS AND OTHER REFERENCES In the judgment of Dr D.Y. Chandrachud, CJI N N Global Mercantile (P) Ltd. v. Indo Unique Flame Ltd.</t>
        </is>
      </c>
      <c r="H240" s="2" t="inlineStr">
        <is>
          <t>(2023) 7 SCC 1 and SMS Tea Estates (P) Ltd. v. Chandmari Tea Co. (P) Ltd (2011) 14 SCC 66 : [2011] 9 SCR 382</t>
        </is>
      </c>
      <c r="I240" s="2" t="inlineStr">
        <is>
          <t>overruled</t>
        </is>
      </c>
      <c r="J240" s="11" t="inlineStr">
        <is>
          <t>yes</t>
        </is>
      </c>
      <c r="K240" s="11" t="inlineStr">
        <is>
          <t>b2023_15_1081_1212</t>
        </is>
      </c>
      <c r="L240" s="11" t="inlineStr">
        <is>
          <t>2026-10-07</t>
        </is>
      </c>
      <c r="M240" s="11" t="n"/>
      <c r="N240" s="11" t="inlineStr">
        <is>
          <t>found</t>
        </is>
      </c>
    </row>
    <row r="241">
      <c r="A241" s="11" t="inlineStr">
        <is>
          <t>P-0238</t>
        </is>
      </c>
      <c r="B241" s="11" t="inlineStr">
        <is>
          <t>open</t>
        </is>
      </c>
      <c r="C241" s="11" t="inlineStr">
        <is>
          <t>tag</t>
        </is>
      </c>
      <c r="D241" s="11" t="inlineStr">
        <is>
          <t>2023-12-13</t>
        </is>
      </c>
      <c r="E241" s="11" t="n">
        <v>7</v>
      </c>
      <c r="F241" s="2" t="inlineStr">
        <is>
          <t>IN RE: INTERPLAY BETWEEN ARBITRATION AGREEMENTS UNDER THE ARBITRATION AND CONCILIATION ACT 1996 AND THE INDIAN STAMP ACT 1899 versus .</t>
        </is>
      </c>
      <c r="G241" s="2" t="inlineStr">
        <is>
          <t>Garware Wall Ropes Ltd. v. Coastal Marine Constructions &amp; Engg. Ltd.</t>
        </is>
      </c>
      <c r="H241" s="2" t="inlineStr">
        <is>
          <t>(2019) 9 SCC 209 : [2019] 5 SCR 579</t>
        </is>
      </c>
      <c r="I241" s="2" t="inlineStr">
        <is>
          <t>overruled</t>
        </is>
      </c>
      <c r="J241" s="11" t="inlineStr">
        <is>
          <t>yes</t>
        </is>
      </c>
      <c r="K241" s="11" t="inlineStr">
        <is>
          <t>b2023_15_1081_1212</t>
        </is>
      </c>
      <c r="L241" s="11" t="inlineStr">
        <is>
          <t>2026-10-07</t>
        </is>
      </c>
      <c r="M241" s="11" t="n"/>
      <c r="N241" s="11" t="inlineStr">
        <is>
          <t>found</t>
        </is>
      </c>
    </row>
    <row r="242">
      <c r="A242" s="11" t="inlineStr">
        <is>
          <t>P-0239</t>
        </is>
      </c>
      <c r="B242" s="11" t="inlineStr">
        <is>
          <t>open</t>
        </is>
      </c>
      <c r="C242" s="11" t="inlineStr">
        <is>
          <t>tag</t>
        </is>
      </c>
      <c r="D242" s="11" t="inlineStr">
        <is>
          <t>2023-12-13</t>
        </is>
      </c>
      <c r="E242" s="11" t="n">
        <v>7</v>
      </c>
      <c r="F242" s="2" t="inlineStr">
        <is>
          <t>IN RE: INTERPLAY BETWEEN ARBITRATION AGREEMENTS UNDER THE ARBITRATION AND CONCILIATION ACT 1996 AND THE INDIAN STAMP ACT 1899 versus .</t>
        </is>
      </c>
      <c r="G242" s="2" t="inlineStr">
        <is>
          <t>In the judgment of Sanjiv Khanna, J. N N Global Mercantile (P) Ltd. v. Indo Unique Flame Ltd.</t>
        </is>
      </c>
      <c r="H242" s="2" t="inlineStr">
        <is>
          <t>(2023) 7 SCC 1</t>
        </is>
      </c>
      <c r="I242" s="2" t="inlineStr">
        <is>
          <t>overruled</t>
        </is>
      </c>
      <c r="J242" s="11" t="inlineStr">
        <is>
          <t>yes</t>
        </is>
      </c>
      <c r="K242" s="11" t="inlineStr">
        <is>
          <t>b2023_15_1081_1212</t>
        </is>
      </c>
      <c r="L242" s="11" t="inlineStr">
        <is>
          <t>2026-10-07</t>
        </is>
      </c>
      <c r="M242" s="11" t="n"/>
      <c r="N242" s="11" t="inlineStr">
        <is>
          <t>found</t>
        </is>
      </c>
    </row>
    <row r="243">
      <c r="A243" s="11" t="inlineStr">
        <is>
          <t>P-0240</t>
        </is>
      </c>
      <c r="B243" s="11" t="inlineStr">
        <is>
          <t>open</t>
        </is>
      </c>
      <c r="C243" s="11" t="inlineStr">
        <is>
          <t>tag</t>
        </is>
      </c>
      <c r="D243" s="11" t="inlineStr">
        <is>
          <t>2024-03-04</t>
        </is>
      </c>
      <c r="E243" s="11" t="n">
        <v>7</v>
      </c>
      <c r="F243" s="2" t="inlineStr">
        <is>
          <t>SITA SOREN versus UNION OF INDIA</t>
        </is>
      </c>
      <c r="G243" s="2" t="inlineStr">
        <is>
          <t>*PV Narasimha Rao v. State (CBI/SPE)</t>
        </is>
      </c>
      <c r="H243" s="2" t="inlineStr">
        <is>
          <t>[1998] 2 SCR 870 : (1998) 4 SCC 626</t>
        </is>
      </c>
      <c r="I243" s="2" t="inlineStr">
        <is>
          <t>overruled</t>
        </is>
      </c>
      <c r="J243" s="11" t="inlineStr"/>
      <c r="K243" s="11" t="inlineStr">
        <is>
          <t>b2024_3_462_584</t>
        </is>
      </c>
      <c r="L243" s="11" t="inlineStr">
        <is>
          <t>2026-10-07</t>
        </is>
      </c>
      <c r="M243" s="11" t="n"/>
      <c r="N243" s="11" t="inlineStr">
        <is>
          <t>found</t>
        </is>
      </c>
    </row>
    <row r="244">
      <c r="A244" s="11" t="inlineStr">
        <is>
          <t>P-0241</t>
        </is>
      </c>
      <c r="B244" s="11" t="inlineStr">
        <is>
          <t>open</t>
        </is>
      </c>
      <c r="C244" s="11" t="inlineStr">
        <is>
          <t>sentence</t>
        </is>
      </c>
      <c r="D244" s="11" t="inlineStr">
        <is>
          <t>2024-05-17</t>
        </is>
      </c>
      <c r="E244" s="11" t="n">
        <v>3</v>
      </c>
      <c r="F244" s="2" t="inlineStr">
        <is>
          <t>GOVERNMENT OF NCT OF DELHI &amp; ANR. versus M/S BSK REALTORS LLP &amp; ANR.</t>
        </is>
      </c>
      <c r="G244" s="2" t="n"/>
      <c r="H244" s="2" t="n"/>
      <c r="I244" s="2" t="inlineStr">
        <is>
          <t>[2024] 5 S.C.R. 1179 Government of NCT of Delhi &amp; Anr. v. M/s BSK Realtors LLP &amp; Anr. i) Although the Bench of two Hon’ble Judges in Govt (NCT) of Delhi v. Manav Dharam Trust and another10 had recognised the right of the subsequent purchasers, such decision is no longer good law in view of the same being overruled by a Bench of three Hon’ble Judges in Shiv Kumar and another v. Union of India and o</t>
        </is>
      </c>
      <c r="J244" s="11" t="inlineStr"/>
      <c r="K244" s="11" t="inlineStr">
        <is>
          <t>b2024_5_1159_1210</t>
        </is>
      </c>
      <c r="L244" s="11" t="inlineStr">
        <is>
          <t>2026-10-07</t>
        </is>
      </c>
      <c r="M244" s="11" t="n"/>
      <c r="N244" s="11" t="inlineStr">
        <is>
          <t>found</t>
        </is>
      </c>
    </row>
    <row r="245">
      <c r="A245" s="11" t="inlineStr">
        <is>
          <t>P-0242</t>
        </is>
      </c>
      <c r="B245" s="11" t="inlineStr">
        <is>
          <t>open</t>
        </is>
      </c>
      <c r="C245" s="11" t="inlineStr">
        <is>
          <t>sentence</t>
        </is>
      </c>
      <c r="D245" s="11" t="inlineStr">
        <is>
          <t>2024-05-17</t>
        </is>
      </c>
      <c r="E245" s="11" t="n">
        <v>3</v>
      </c>
      <c r="F245" s="2" t="inlineStr">
        <is>
          <t>GOVERNMENT OF NCT OF DELHI &amp; ANR. versus M/S BSK REALTORS LLP &amp; ANR.</t>
        </is>
      </c>
      <c r="G245" s="2" t="n"/>
      <c r="H245" s="2" t="n"/>
      <c r="I245" s="2" t="inlineStr">
        <is>
          <t>Therefore, the change in law occasioned by its overruling in Shiv Kumar (supra) cannot be utilised as a crutch to claim that subsequent purchasers cannot seek a declaration of lapsing. g) In any event, the decision in Shiv Kumar (supra) is not good law and requires reconsideration by a larger Bench of this Court.</t>
        </is>
      </c>
      <c r="J245" s="11" t="inlineStr"/>
      <c r="K245" s="11" t="inlineStr">
        <is>
          <t>b2024_5_1159_1210</t>
        </is>
      </c>
      <c r="L245" s="11" t="inlineStr">
        <is>
          <t>2026-10-07</t>
        </is>
      </c>
      <c r="M245" s="11" t="n"/>
      <c r="N245" s="11" t="inlineStr">
        <is>
          <t>found</t>
        </is>
      </c>
    </row>
    <row r="246">
      <c r="A246" s="11" t="inlineStr">
        <is>
          <t>P-0243</t>
        </is>
      </c>
      <c r="B246" s="11" t="inlineStr">
        <is>
          <t>open</t>
        </is>
      </c>
      <c r="C246" s="11" t="inlineStr">
        <is>
          <t>sentence</t>
        </is>
      </c>
      <c r="D246" s="11" t="inlineStr">
        <is>
          <t>2024-05-17</t>
        </is>
      </c>
      <c r="E246" s="11" t="n">
        <v>3</v>
      </c>
      <c r="F246" s="2" t="inlineStr">
        <is>
          <t>GOVERNMENT OF NCT OF DELHI &amp; ANR. versus M/S BSK REALTORS LLP &amp; ANR.</t>
        </is>
      </c>
      <c r="G246" s="2" t="n"/>
      <c r="H246" s="2" t="n"/>
      <c r="I246" s="2" t="inlineStr">
        <is>
          <t>Is hereby overruled and all other decisions in which Pune Municipal Corpn.1 has been followed, are also 19 [2000] Supp. 1 SCR 538 : (2000) 6 SCC 359 [2024] 5 S.C.R. 1189 Government of NCT of Delhi &amp; Anr. v. M/s BSK Realtors LLP &amp; Anr. overruled.</t>
        </is>
      </c>
      <c r="J246" s="11" t="inlineStr"/>
      <c r="K246" s="11" t="inlineStr">
        <is>
          <t>b2024_5_1159_1210</t>
        </is>
      </c>
      <c r="L246" s="11" t="inlineStr">
        <is>
          <t>2026-10-07</t>
        </is>
      </c>
      <c r="M246" s="11" t="n"/>
      <c r="N246" s="11" t="inlineStr">
        <is>
          <t>found</t>
        </is>
      </c>
    </row>
    <row r="247">
      <c r="A247" s="11" t="inlineStr">
        <is>
          <t>P-0244</t>
        </is>
      </c>
      <c r="B247" s="11" t="inlineStr">
        <is>
          <t>open</t>
        </is>
      </c>
      <c r="C247" s="11" t="inlineStr">
        <is>
          <t>sentence</t>
        </is>
      </c>
      <c r="D247" s="11" t="inlineStr">
        <is>
          <t>2024-05-17</t>
        </is>
      </c>
      <c r="E247" s="11" t="n">
        <v>3</v>
      </c>
      <c r="F247" s="2" t="inlineStr">
        <is>
          <t>DELHI DEVELOPMENT AUTHORITY versus TEJPAL &amp; ORS.</t>
        </is>
      </c>
      <c r="G247" s="2" t="n"/>
      <c r="H247" s="2" t="n"/>
      <c r="I247" s="2" t="inlineStr">
        <is>
          <t>Sree Balaji Nagar Residential Association (supra) was also overruled in so far as it allowed landowners to unduly benefit from orders of stay. 5 (2016) 6 SCC 387, para 6-7. 6 (2018) 1 SCC 733, para 23. 7 [2018] 2 SCR 1 : (2018) 3 SCC 412, para 216-217.</t>
        </is>
      </c>
      <c r="J247" s="11" t="inlineStr"/>
      <c r="K247" s="11" t="inlineStr">
        <is>
          <t>b2024_5_1211_1304</t>
        </is>
      </c>
      <c r="L247" s="11" t="inlineStr">
        <is>
          <t>2026-10-07</t>
        </is>
      </c>
      <c r="M247" s="11" t="n"/>
      <c r="N247" s="11" t="inlineStr">
        <is>
          <t>found</t>
        </is>
      </c>
    </row>
    <row r="248">
      <c r="A248" s="11" t="inlineStr">
        <is>
          <t>P-0245</t>
        </is>
      </c>
      <c r="B248" s="11" t="inlineStr">
        <is>
          <t>open</t>
        </is>
      </c>
      <c r="C248" s="11" t="inlineStr">
        <is>
          <t>sentence</t>
        </is>
      </c>
      <c r="D248" s="11" t="inlineStr">
        <is>
          <t>2024-05-17</t>
        </is>
      </c>
      <c r="E248" s="11" t="n">
        <v>3</v>
      </c>
      <c r="F248" s="2" t="inlineStr">
        <is>
          <t>DELHI DEVELOPMENT AUTHORITY versus TEJPAL &amp; ORS.</t>
        </is>
      </c>
      <c r="G248" s="2" t="n"/>
      <c r="H248" s="2" t="n"/>
      <c r="I248" s="2" t="inlineStr">
        <is>
          <t>This Court also overruled Shailendra (supra), since the question of reading the conditions under Section 24(2) conjunctively (i.e., reading “or” as ‘and’) was not considered by that case.</t>
        </is>
      </c>
      <c r="J248" s="11" t="inlineStr"/>
      <c r="K248" s="11" t="inlineStr">
        <is>
          <t>b2024_5_1211_1304</t>
        </is>
      </c>
      <c r="L248" s="11" t="inlineStr">
        <is>
          <t>2026-10-07</t>
        </is>
      </c>
      <c r="M248" s="11" t="n"/>
      <c r="N248" s="11" t="inlineStr">
        <is>
          <t>found</t>
        </is>
      </c>
    </row>
    <row r="249">
      <c r="A249" s="11" t="inlineStr">
        <is>
          <t>P-0246</t>
        </is>
      </c>
      <c r="B249" s="11" t="inlineStr">
        <is>
          <t>open</t>
        </is>
      </c>
      <c r="C249" s="11" t="inlineStr">
        <is>
          <t>sentence</t>
        </is>
      </c>
      <c r="D249" s="11" t="inlineStr">
        <is>
          <t>2024-05-17</t>
        </is>
      </c>
      <c r="E249" s="11" t="n">
        <v>3</v>
      </c>
      <c r="F249" s="2" t="inlineStr">
        <is>
          <t>DELHI DEVELOPMENT AUTHORITY versus TEJPAL &amp; ORS.</t>
        </is>
      </c>
      <c r="G249" s="2" t="n"/>
      <c r="H249" s="2" t="n"/>
      <c r="I249" s="2" t="inlineStr">
        <is>
          <t>Housing Society Ltd. (supra) was overruled in the case of Nusli Neville Wadia v. Ivory Properties.39 This Court while deciding the issue in Shyam Mohan Ruia (supra), held that since the precedent forming the very basis of the High Court’s decision stood overruled, the dispute before it must be decided as per the later decision. 32.</t>
        </is>
      </c>
      <c r="J249" s="11" t="inlineStr"/>
      <c r="K249" s="11" t="inlineStr">
        <is>
          <t>b2024_5_1211_1304</t>
        </is>
      </c>
      <c r="L249" s="11" t="inlineStr">
        <is>
          <t>2026-10-07</t>
        </is>
      </c>
      <c r="M249" s="11" t="n"/>
      <c r="N249" s="11" t="inlineStr">
        <is>
          <t>found</t>
        </is>
      </c>
    </row>
    <row r="250">
      <c r="A250" s="11" t="inlineStr">
        <is>
          <t>P-0247</t>
        </is>
      </c>
      <c r="B250" s="11" t="inlineStr">
        <is>
          <t>open</t>
        </is>
      </c>
      <c r="C250" s="11" t="inlineStr">
        <is>
          <t>sentence</t>
        </is>
      </c>
      <c r="D250" s="11" t="inlineStr">
        <is>
          <t>2024-05-17</t>
        </is>
      </c>
      <c r="E250" s="11" t="n">
        <v>3</v>
      </c>
      <c r="F250" s="2" t="inlineStr">
        <is>
          <t>GOVT. OF NCT OF DELHI THROUGH ITS SECRETARY, LAND AND BUILDING DEPARTMENT &amp; ANOTHER versus M/S K.L. RATHI STEELS LIMITED AND OTHERS</t>
        </is>
      </c>
      <c r="G250" s="2" t="n"/>
      <c r="H250" s="2" t="n"/>
      <c r="I250" s="2" t="inlineStr">
        <is>
          <t>Although it is true that Shailendra [3-Judge] (supra) was not expressly overruled by Manoharlal [5-Judge, lapse] (supra), what stands out as a direct impact of paragraph 365 thereof is that Shailendra [3-Judge] (supra), not having considered certain vital aspects and more particularly as to how the conjunction ‘or’ in sub- section (2) of section 24 of the 2013 Act has to be read as well as the pro</t>
        </is>
      </c>
      <c r="J250" s="11" t="inlineStr"/>
      <c r="K250" s="11" t="inlineStr">
        <is>
          <t>b2024_5_949_1010</t>
        </is>
      </c>
      <c r="L250" s="11" t="inlineStr">
        <is>
          <t>2026-10-07</t>
        </is>
      </c>
      <c r="M250" s="11" t="n"/>
      <c r="N250" s="11" t="inlineStr">
        <is>
          <t>found</t>
        </is>
      </c>
    </row>
    <row r="251">
      <c r="A251" s="11" t="inlineStr">
        <is>
          <t>P-0248</t>
        </is>
      </c>
      <c r="B251" s="11" t="inlineStr">
        <is>
          <t>open</t>
        </is>
      </c>
      <c r="C251" s="11" t="inlineStr">
        <is>
          <t>sentence</t>
        </is>
      </c>
      <c r="D251" s="11" t="inlineStr">
        <is>
          <t>2024-07-18</t>
        </is>
      </c>
      <c r="E251" s="11" t="n">
        <v>3</v>
      </c>
      <c r="F251" s="2" t="inlineStr">
        <is>
          <t>SBI GENERAL INSURANCE CO. LTD. versus KRISH SPINNING</t>
        </is>
      </c>
      <c r="G251" s="2" t="n"/>
      <c r="H251" s="2" t="n"/>
      <c r="I251" s="2" t="inlineStr">
        <is>
          <t>This pre-2015 position, as was also pointed in Mayavati Trading (supra), was legislatively overruled by the 2015 amendment to the Act, 1996 and the introduction of Section 11(6-A).</t>
        </is>
      </c>
      <c r="J251" s="11" t="inlineStr"/>
      <c r="K251" s="11" t="inlineStr">
        <is>
          <t>b2024_7_840_909</t>
        </is>
      </c>
      <c r="L251" s="11" t="inlineStr">
        <is>
          <t>2026-10-07</t>
        </is>
      </c>
      <c r="M251" s="11" t="n"/>
      <c r="N251" s="11" t="inlineStr">
        <is>
          <t>found</t>
        </is>
      </c>
    </row>
    <row r="252">
      <c r="A252" s="11" t="inlineStr">
        <is>
          <t>P-0249</t>
        </is>
      </c>
      <c r="B252" s="11" t="inlineStr">
        <is>
          <t>open</t>
        </is>
      </c>
      <c r="C252" s="11" t="inlineStr">
        <is>
          <t>sentence</t>
        </is>
      </c>
      <c r="D252" s="11" t="inlineStr">
        <is>
          <t>2024-07-18</t>
        </is>
      </c>
      <c r="E252" s="11" t="n">
        <v>3</v>
      </c>
      <c r="F252" s="2" t="inlineStr">
        <is>
          <t>SBI GENERAL INSURANCE CO. LTD. versus KRISH SPINNING</t>
        </is>
      </c>
      <c r="G252" s="2" t="n"/>
      <c r="H252" s="2" t="n"/>
      <c r="I252" s="2" t="inlineStr">
        <is>
          <t>The view taken in SBP &amp; Co. (supra) and affirmed in Vidya Drolia (supra) that Sections 8 and 11 respectively of the Act, 1996 are complementary in nature was legislatively overruled by the introduction of Section 11(6-A) in 2015.</t>
        </is>
      </c>
      <c r="J252" s="11" t="inlineStr"/>
      <c r="K252" s="11" t="inlineStr">
        <is>
          <t>b2024_7_840_909</t>
        </is>
      </c>
      <c r="L252" s="11" t="inlineStr">
        <is>
          <t>2026-10-07</t>
        </is>
      </c>
      <c r="M252" s="11" t="n"/>
      <c r="N252" s="11" t="inlineStr">
        <is>
          <t>found</t>
        </is>
      </c>
    </row>
    <row r="253">
      <c r="A253" s="11" t="inlineStr">
        <is>
          <t>P-0250</t>
        </is>
      </c>
      <c r="B253" s="11" t="inlineStr">
        <is>
          <t>open</t>
        </is>
      </c>
      <c r="C253" s="11" t="inlineStr">
        <is>
          <t>tag</t>
        </is>
      </c>
      <c r="D253" s="11" t="inlineStr">
        <is>
          <t>2024-07-25</t>
        </is>
      </c>
      <c r="E253" s="11" t="n">
        <v>9</v>
      </c>
      <c r="F253" s="2" t="inlineStr">
        <is>
          <t>MINERAL AREA DEVELOPMENT AUTHORITY &amp; ANR. versus M/S STEEL AUTHORITY OF INDIA &amp; ANR. ETC.</t>
        </is>
      </c>
      <c r="G253" s="2" t="inlineStr">
        <is>
          <t>India Cement Ltd. v. State of Tamil Nadu</t>
        </is>
      </c>
      <c r="H253" s="2" t="inlineStr">
        <is>
          <t>[1989] Supp. 1 SCR 692 : (1990) 1 SCC 12</t>
        </is>
      </c>
      <c r="I253" s="2" t="inlineStr">
        <is>
          <t>overruled</t>
        </is>
      </c>
      <c r="J253" s="11" t="inlineStr">
        <is>
          <t>yes</t>
        </is>
      </c>
      <c r="K253" s="11" t="inlineStr">
        <is>
          <t>b2024_7_1549_1846</t>
        </is>
      </c>
      <c r="L253" s="11" t="inlineStr">
        <is>
          <t>2026-10-07</t>
        </is>
      </c>
      <c r="M253" s="11" t="n"/>
      <c r="N253" s="11" t="inlineStr">
        <is>
          <t>found</t>
        </is>
      </c>
    </row>
    <row r="254">
      <c r="A254" s="11" t="inlineStr">
        <is>
          <t>P-0251</t>
        </is>
      </c>
      <c r="B254" s="11" t="inlineStr">
        <is>
          <t>open</t>
        </is>
      </c>
      <c r="C254" s="11" t="inlineStr">
        <is>
          <t>tag</t>
        </is>
      </c>
      <c r="D254" s="11" t="inlineStr">
        <is>
          <t>2024-07-25</t>
        </is>
      </c>
      <c r="E254" s="11" t="n">
        <v>9</v>
      </c>
      <c r="F254" s="2" t="inlineStr">
        <is>
          <t>MINERAL AREA DEVELOPMENT AUTHORITY &amp; ANR. versus M/S STEEL AUTHORITY OF INDIA &amp; ANR. ETC.</t>
        </is>
      </c>
      <c r="G254" s="2" t="inlineStr">
        <is>
          <t>Orissa Cement Ltd. v. State of Orissa</t>
        </is>
      </c>
      <c r="H254" s="2" t="inlineStr">
        <is>
          <t>[1991] 2 SCR 105 : (1991) Supp 1 SCC 430</t>
        </is>
      </c>
      <c r="I254" s="2" t="inlineStr">
        <is>
          <t>overruled</t>
        </is>
      </c>
      <c r="J254" s="11" t="inlineStr">
        <is>
          <t>yes</t>
        </is>
      </c>
      <c r="K254" s="11" t="inlineStr">
        <is>
          <t>b2024_7_1549_1846</t>
        </is>
      </c>
      <c r="L254" s="11" t="inlineStr">
        <is>
          <t>2026-10-07</t>
        </is>
      </c>
      <c r="M254" s="11" t="n"/>
      <c r="N254" s="11" t="inlineStr">
        <is>
          <t>found</t>
        </is>
      </c>
    </row>
    <row r="255">
      <c r="A255" s="11" t="inlineStr">
        <is>
          <t>P-0252</t>
        </is>
      </c>
      <c r="B255" s="11" t="inlineStr">
        <is>
          <t>open</t>
        </is>
      </c>
      <c r="C255" s="11" t="inlineStr">
        <is>
          <t>tag</t>
        </is>
      </c>
      <c r="D255" s="11" t="inlineStr">
        <is>
          <t>2024-07-25</t>
        </is>
      </c>
      <c r="E255" s="11" t="n">
        <v>9</v>
      </c>
      <c r="F255" s="2" t="inlineStr">
        <is>
          <t>MINERAL AREA DEVELOPMENT AUTHORITY &amp; ANR. versus M/S STEEL AUTHORITY OF INDIA &amp; ANR. ETC.</t>
        </is>
      </c>
      <c r="G255" s="2" t="inlineStr">
        <is>
          <t>Federation of Mining Associations of Rajasthan v. State of Rajasthan</t>
        </is>
      </c>
      <c r="H255" s="2" t="inlineStr">
        <is>
          <t>(1992) Supp 2 SCC 239</t>
        </is>
      </c>
      <c r="I255" s="2" t="inlineStr">
        <is>
          <t>overruled</t>
        </is>
      </c>
      <c r="J255" s="11" t="inlineStr">
        <is>
          <t>yes</t>
        </is>
      </c>
      <c r="K255" s="11" t="inlineStr">
        <is>
          <t>b2024_7_1549_1846</t>
        </is>
      </c>
      <c r="L255" s="11" t="inlineStr">
        <is>
          <t>2026-10-07</t>
        </is>
      </c>
      <c r="M255" s="11" t="n"/>
      <c r="N255" s="11" t="inlineStr">
        <is>
          <t>found</t>
        </is>
      </c>
    </row>
    <row r="256">
      <c r="A256" s="11" t="inlineStr">
        <is>
          <t>P-0253</t>
        </is>
      </c>
      <c r="B256" s="11" t="inlineStr">
        <is>
          <t>open</t>
        </is>
      </c>
      <c r="C256" s="11" t="inlineStr">
        <is>
          <t>tag</t>
        </is>
      </c>
      <c r="D256" s="11" t="inlineStr">
        <is>
          <t>2024-07-25</t>
        </is>
      </c>
      <c r="E256" s="11" t="n">
        <v>9</v>
      </c>
      <c r="F256" s="2" t="inlineStr">
        <is>
          <t>MINERAL AREA DEVELOPMENT AUTHORITY &amp; ANR. versus M/S STEEL AUTHORITY OF INDIA &amp; ANR. ETC.</t>
        </is>
      </c>
      <c r="G256" s="2" t="inlineStr">
        <is>
          <t>State of M P v. Mahalaxmi Fabric Mills Ltd.</t>
        </is>
      </c>
      <c r="H256" s="2" t="inlineStr">
        <is>
          <t>[1995] 1 SCR 756 : (1995) Supp 1 SCC 642</t>
        </is>
      </c>
      <c r="I256" s="2" t="inlineStr">
        <is>
          <t>overruled</t>
        </is>
      </c>
      <c r="J256" s="11" t="inlineStr">
        <is>
          <t>yes</t>
        </is>
      </c>
      <c r="K256" s="11" t="inlineStr">
        <is>
          <t>b2024_7_1549_1846</t>
        </is>
      </c>
      <c r="L256" s="11" t="inlineStr">
        <is>
          <t>2026-10-07</t>
        </is>
      </c>
      <c r="M256" s="11" t="n"/>
      <c r="N256" s="11" t="inlineStr">
        <is>
          <t>found</t>
        </is>
      </c>
    </row>
    <row r="257">
      <c r="A257" s="11" t="inlineStr">
        <is>
          <t>P-0254</t>
        </is>
      </c>
      <c r="B257" s="11" t="inlineStr">
        <is>
          <t>open</t>
        </is>
      </c>
      <c r="C257" s="11" t="inlineStr">
        <is>
          <t>tag</t>
        </is>
      </c>
      <c r="D257" s="11" t="inlineStr">
        <is>
          <t>2024-07-25</t>
        </is>
      </c>
      <c r="E257" s="11" t="n">
        <v>9</v>
      </c>
      <c r="F257" s="2" t="inlineStr">
        <is>
          <t>MINERAL AREA DEVELOPMENT AUTHORITY &amp; ANR. versus M/S STEEL AUTHORITY OF INDIA &amp; ANR. ETC.</t>
        </is>
      </c>
      <c r="G257" s="2" t="inlineStr">
        <is>
          <t>Saurashtra Cement &amp; Chemical Industries Ltd. v. Union of India</t>
        </is>
      </c>
      <c r="H257" s="2" t="inlineStr">
        <is>
          <t>[2000] Supp. 4 SCR 44 : (2001) 1 SCC 91</t>
        </is>
      </c>
      <c r="I257" s="2" t="inlineStr">
        <is>
          <t>overruled</t>
        </is>
      </c>
      <c r="J257" s="11" t="inlineStr">
        <is>
          <t>yes</t>
        </is>
      </c>
      <c r="K257" s="11" t="inlineStr">
        <is>
          <t>b2024_7_1549_1846</t>
        </is>
      </c>
      <c r="L257" s="11" t="inlineStr">
        <is>
          <t>2026-10-07</t>
        </is>
      </c>
      <c r="M257" s="11" t="n"/>
      <c r="N257" s="11" t="inlineStr">
        <is>
          <t>found</t>
        </is>
      </c>
    </row>
    <row r="258">
      <c r="A258" s="11" t="inlineStr">
        <is>
          <t>P-0255</t>
        </is>
      </c>
      <c r="B258" s="11" t="inlineStr">
        <is>
          <t>open</t>
        </is>
      </c>
      <c r="C258" s="11" t="inlineStr">
        <is>
          <t>tag</t>
        </is>
      </c>
      <c r="D258" s="11" t="inlineStr">
        <is>
          <t>2024-07-25</t>
        </is>
      </c>
      <c r="E258" s="11" t="n">
        <v>9</v>
      </c>
      <c r="F258" s="2" t="inlineStr">
        <is>
          <t>MINERAL AREA DEVELOPMENT AUTHORITY &amp; ANR. versus M/S STEEL AUTHORITY OF INDIA &amp; ANR. ETC.</t>
        </is>
      </c>
      <c r="G258" s="2" t="inlineStr">
        <is>
          <t>State of Orissa v. Mahanadi Coalfields Ltd.</t>
        </is>
      </c>
      <c r="H258" s="2" t="inlineStr">
        <is>
          <t>[1995] 3 SCR 639 : (1995) Supp 2 SCC 686</t>
        </is>
      </c>
      <c r="I258" s="2" t="inlineStr">
        <is>
          <t>overruled</t>
        </is>
      </c>
      <c r="J258" s="11" t="inlineStr">
        <is>
          <t>yes</t>
        </is>
      </c>
      <c r="K258" s="11" t="inlineStr">
        <is>
          <t>b2024_7_1549_1846</t>
        </is>
      </c>
      <c r="L258" s="11" t="inlineStr">
        <is>
          <t>2026-10-07</t>
        </is>
      </c>
      <c r="M258" s="11" t="n"/>
      <c r="N258" s="11" t="inlineStr">
        <is>
          <t>found</t>
        </is>
      </c>
    </row>
    <row r="259">
      <c r="A259" s="11" t="inlineStr">
        <is>
          <t>P-0256</t>
        </is>
      </c>
      <c r="B259" s="11" t="inlineStr">
        <is>
          <t>open</t>
        </is>
      </c>
      <c r="C259" s="11" t="inlineStr">
        <is>
          <t>tag</t>
        </is>
      </c>
      <c r="D259" s="11" t="inlineStr">
        <is>
          <t>2024-07-25</t>
        </is>
      </c>
      <c r="E259" s="11" t="n">
        <v>9</v>
      </c>
      <c r="F259" s="2" t="inlineStr">
        <is>
          <t>MINERAL AREA DEVELOPMENT AUTHORITY &amp; ANR. versus M/S STEEL AUTHORITY OF INDIA &amp; ANR. ETC.</t>
        </is>
      </c>
      <c r="G259" s="2" t="inlineStr">
        <is>
          <t>P Kannadasan v. State of Tamil Nadu</t>
        </is>
      </c>
      <c r="H259" s="2" t="inlineStr">
        <is>
          <t>[1996] Supp. 4 SCR 92 : (1996) 5 SCC 670</t>
        </is>
      </c>
      <c r="I259" s="2" t="inlineStr">
        <is>
          <t>overruled</t>
        </is>
      </c>
      <c r="J259" s="11" t="inlineStr">
        <is>
          <t>yes</t>
        </is>
      </c>
      <c r="K259" s="11" t="inlineStr">
        <is>
          <t>b2024_7_1549_1846</t>
        </is>
      </c>
      <c r="L259" s="11" t="inlineStr">
        <is>
          <t>2026-10-07</t>
        </is>
      </c>
      <c r="M259" s="11" t="n"/>
      <c r="N259" s="11" t="inlineStr">
        <is>
          <t>found</t>
        </is>
      </c>
    </row>
    <row r="260">
      <c r="A260" s="11" t="inlineStr">
        <is>
          <t>P-0257</t>
        </is>
      </c>
      <c r="B260" s="11" t="inlineStr">
        <is>
          <t>open</t>
        </is>
      </c>
      <c r="C260" s="11" t="inlineStr">
        <is>
          <t>tag</t>
        </is>
      </c>
      <c r="D260" s="11" t="inlineStr">
        <is>
          <t>2024-07-25</t>
        </is>
      </c>
      <c r="E260" s="11" t="n">
        <v>9</v>
      </c>
      <c r="F260" s="2" t="inlineStr">
        <is>
          <t>MINERAL AREA DEVELOPMENT AUTHORITY &amp; ANR. versus M/S STEEL AUTHORITY OF INDIA &amp; ANR. ETC.</t>
        </is>
      </c>
      <c r="G260" s="2" t="inlineStr">
        <is>
          <t>In the judgment of B.V. Nagarathna, J. District Mining Officer v. Tata Iron and Steel Company</t>
        </is>
      </c>
      <c r="H260" s="2" t="inlineStr">
        <is>
          <t>[2001] Supp. 1 SCR 147 : (2001) 7 SCC 358 – correct law. India Cement Limited v. State of Tamil Nadu [1989] Supp. 1 SCR 692 : (1990) 1 SCC 12 : AIR 1990 SC 85</t>
        </is>
      </c>
      <c r="I260" s="2" t="inlineStr">
        <is>
          <t>overruled to the extent</t>
        </is>
      </c>
      <c r="J260" s="11" t="inlineStr">
        <is>
          <t>yes</t>
        </is>
      </c>
      <c r="K260" s="11" t="inlineStr">
        <is>
          <t>b2024_7_1549_1846</t>
        </is>
      </c>
      <c r="L260" s="11" t="inlineStr">
        <is>
          <t>2026-10-07</t>
        </is>
      </c>
      <c r="M260" s="11" t="n"/>
      <c r="N260" s="11" t="inlineStr">
        <is>
          <t>found</t>
        </is>
      </c>
    </row>
    <row r="261">
      <c r="A261" s="11" t="inlineStr">
        <is>
          <t>P-0258</t>
        </is>
      </c>
      <c r="B261" s="11" t="inlineStr">
        <is>
          <t>open</t>
        </is>
      </c>
      <c r="C261" s="11" t="inlineStr">
        <is>
          <t>tag</t>
        </is>
      </c>
      <c r="D261" s="11" t="inlineStr">
        <is>
          <t>2024-07-25</t>
        </is>
      </c>
      <c r="E261" s="11" t="n">
        <v>9</v>
      </c>
      <c r="F261" s="2" t="inlineStr">
        <is>
          <t>MINERAL AREA DEVELOPMENT AUTHORITY &amp; ANR. versus M/S STEEL AUTHORITY OF INDIA &amp; ANR. ETC.</t>
        </is>
      </c>
      <c r="G261" s="2" t="inlineStr">
        <is>
          <t>State of Madhya Pradesh v. Mahalaxmi Fabric Mills Ltd.</t>
        </is>
      </c>
      <c r="H261" s="2" t="inlineStr">
        <is>
          <t>[1995] 1 SCR 756 : (1995) Supp 1 SCC 642</t>
        </is>
      </c>
      <c r="I261" s="2" t="inlineStr">
        <is>
          <t>overruled to the extent</t>
        </is>
      </c>
      <c r="J261" s="11" t="inlineStr">
        <is>
          <t>yes</t>
        </is>
      </c>
      <c r="K261" s="11" t="inlineStr">
        <is>
          <t>b2024_7_1549_1846</t>
        </is>
      </c>
      <c r="L261" s="11" t="inlineStr">
        <is>
          <t>2026-10-07</t>
        </is>
      </c>
      <c r="M261" s="11" t="n"/>
      <c r="N261" s="11" t="inlineStr">
        <is>
          <t>found</t>
        </is>
      </c>
    </row>
    <row r="262">
      <c r="A262" s="11" t="inlineStr">
        <is>
          <t>P-0259</t>
        </is>
      </c>
      <c r="B262" s="11" t="inlineStr">
        <is>
          <t>open</t>
        </is>
      </c>
      <c r="C262" s="11" t="inlineStr">
        <is>
          <t>tag</t>
        </is>
      </c>
      <c r="D262" s="11" t="inlineStr">
        <is>
          <t>2024-07-25</t>
        </is>
      </c>
      <c r="E262" s="11" t="n">
        <v>9</v>
      </c>
      <c r="F262" s="2" t="inlineStr">
        <is>
          <t>MINERAL AREA DEVELOPMENT AUTHORITY &amp; ANR. versus M/S STEEL AUTHORITY OF INDIA &amp; ANR. ETC.</t>
        </is>
      </c>
      <c r="G262" s="2" t="inlineStr">
        <is>
          <t>Orissa Cement Limited v. State of Orissa</t>
        </is>
      </c>
      <c r="H262" s="2" t="inlineStr">
        <is>
          <t>[1991] 2 SCR 105 : (1991) Supp 1 SCC 430</t>
        </is>
      </c>
      <c r="I262" s="2" t="inlineStr">
        <is>
          <t>overruled to the extent</t>
        </is>
      </c>
      <c r="J262" s="11" t="inlineStr">
        <is>
          <t>yes</t>
        </is>
      </c>
      <c r="K262" s="11" t="inlineStr">
        <is>
          <t>b2024_7_1549_1846</t>
        </is>
      </c>
      <c r="L262" s="11" t="inlineStr">
        <is>
          <t>2026-10-07</t>
        </is>
      </c>
      <c r="M262" s="11" t="n"/>
      <c r="N262" s="11" t="inlineStr">
        <is>
          <t>found</t>
        </is>
      </c>
    </row>
    <row r="263">
      <c r="A263" s="11" t="inlineStr">
        <is>
          <t>P-0260</t>
        </is>
      </c>
      <c r="B263" s="11" t="inlineStr">
        <is>
          <t>open</t>
        </is>
      </c>
      <c r="C263" s="11" t="inlineStr">
        <is>
          <t>tag</t>
        </is>
      </c>
      <c r="D263" s="11" t="inlineStr">
        <is>
          <t>2024-07-25</t>
        </is>
      </c>
      <c r="E263" s="11" t="n">
        <v>9</v>
      </c>
      <c r="F263" s="2" t="inlineStr">
        <is>
          <t>MINERAL AREA DEVELOPMENT AUTHORITY &amp; ANR. versus M/S STEEL AUTHORITY OF INDIA &amp; ANR. ETC.</t>
        </is>
      </c>
      <c r="G263" s="2" t="inlineStr">
        <is>
          <t>State of Orissa v. Mahanadi Coalfields Ltd.</t>
        </is>
      </c>
      <c r="H263" s="2" t="inlineStr">
        <is>
          <t>[1995] 3 SCR 639 : (1995) Supp. 2 SCC 686</t>
        </is>
      </c>
      <c r="I263" s="2" t="inlineStr">
        <is>
          <t>overruled to the extent</t>
        </is>
      </c>
      <c r="J263" s="11" t="inlineStr">
        <is>
          <t>yes</t>
        </is>
      </c>
      <c r="K263" s="11" t="inlineStr">
        <is>
          <t>b2024_7_1549_1846</t>
        </is>
      </c>
      <c r="L263" s="11" t="inlineStr">
        <is>
          <t>2026-10-07</t>
        </is>
      </c>
      <c r="M263" s="11" t="n"/>
      <c r="N263" s="11" t="inlineStr">
        <is>
          <t>found</t>
        </is>
      </c>
    </row>
    <row r="264">
      <c r="A264" s="11" t="inlineStr">
        <is>
          <t>P-0261</t>
        </is>
      </c>
      <c r="B264" s="11" t="inlineStr">
        <is>
          <t>open</t>
        </is>
      </c>
      <c r="C264" s="11" t="inlineStr">
        <is>
          <t>tag</t>
        </is>
      </c>
      <c r="D264" s="11" t="inlineStr">
        <is>
          <t>2024-07-25</t>
        </is>
      </c>
      <c r="E264" s="11" t="n">
        <v>9</v>
      </c>
      <c r="F264" s="2" t="inlineStr">
        <is>
          <t>MINERAL AREA DEVELOPMENT AUTHORITY &amp; ANR. versus M/S STEEL AUTHORITY OF INDIA &amp; ANR. ETC.</t>
        </is>
      </c>
      <c r="G264" s="2" t="inlineStr">
        <is>
          <t>P. Kannadasan v. State of Tamil Nadu</t>
        </is>
      </c>
      <c r="H264" s="2" t="inlineStr">
        <is>
          <t>[1996] Supp. 4 SCR 92 : (1996) 5 SCC 670 – correct law excluding to the extent overruled in Tata Iron and Steel’s case. State of West Bengal v. Kesoram Industries Limited [2004] 1 SCR 564 : (2004) 10 SCC 201</t>
        </is>
      </c>
      <c r="I264" s="2" t="inlineStr">
        <is>
          <t>overruled to the extent</t>
        </is>
      </c>
      <c r="J264" s="11" t="inlineStr">
        <is>
          <t>yes</t>
        </is>
      </c>
      <c r="K264" s="11" t="inlineStr">
        <is>
          <t>b2024_7_1549_1846</t>
        </is>
      </c>
      <c r="L264" s="11" t="inlineStr">
        <is>
          <t>2026-10-07</t>
        </is>
      </c>
      <c r="M264" s="11" t="n"/>
      <c r="N264" s="11" t="inlineStr">
        <is>
          <t>found</t>
        </is>
      </c>
    </row>
    <row r="265">
      <c r="A265" s="11" t="inlineStr">
        <is>
          <t>P-0262</t>
        </is>
      </c>
      <c r="B265" s="11" t="inlineStr">
        <is>
          <t>open</t>
        </is>
      </c>
      <c r="C265" s="11" t="inlineStr">
        <is>
          <t>tag</t>
        </is>
      </c>
      <c r="D265" s="11" t="inlineStr">
        <is>
          <t>2024-08-01</t>
        </is>
      </c>
      <c r="E265" s="11" t="n">
        <v>7</v>
      </c>
      <c r="F265" s="2" t="inlineStr">
        <is>
          <t>THE STATE OF PUNJAB &amp; ORS. versus DAVINDER SINGH &amp; ORS.</t>
        </is>
      </c>
      <c r="G265" s="2" t="inlineStr">
        <is>
          <t>In the judgment of Dr Dhananjaya Y Chandrachud, CJI EV Chinnaiah v. State of Andhra Pradesh</t>
        </is>
      </c>
      <c r="H265" s="2" t="inlineStr">
        <is>
          <t>[2004] Supp. 5 SCR 972 : (2005) 1 SCC 394</t>
        </is>
      </c>
      <c r="I265" s="2" t="inlineStr">
        <is>
          <t>overruled</t>
        </is>
      </c>
      <c r="J265" s="11" t="inlineStr">
        <is>
          <t>yes</t>
        </is>
      </c>
      <c r="K265" s="11" t="inlineStr">
        <is>
          <t>b2024_8_1321_1672</t>
        </is>
      </c>
      <c r="L265" s="11" t="inlineStr">
        <is>
          <t>2026-10-07</t>
        </is>
      </c>
      <c r="M265" s="11" t="n"/>
      <c r="N265" s="11" t="inlineStr">
        <is>
          <t>found</t>
        </is>
      </c>
    </row>
    <row r="266">
      <c r="A266" s="11" t="inlineStr">
        <is>
          <t>P-0263</t>
        </is>
      </c>
      <c r="B266" s="11" t="inlineStr">
        <is>
          <t>open</t>
        </is>
      </c>
      <c r="C266" s="11" t="inlineStr">
        <is>
          <t>tag</t>
        </is>
      </c>
      <c r="D266" s="11" t="inlineStr">
        <is>
          <t>2024-09-09</t>
        </is>
      </c>
      <c r="E266" s="11" t="n">
        <v>3</v>
      </c>
      <c r="F266" s="2" t="inlineStr">
        <is>
          <t>DHANRAJ ASWANI versus AMAR S. MULCHANDANI &amp; ANR.</t>
        </is>
      </c>
      <c r="G266" s="2" t="inlineStr">
        <is>
          <t>Sunil Kallani v. State of Rajasthan</t>
        </is>
      </c>
      <c r="H266" s="2" t="inlineStr">
        <is>
          <t>(2021) SCC OnLine Raj 1654</t>
        </is>
      </c>
      <c r="I266" s="2" t="inlineStr">
        <is>
          <t>disapproved</t>
        </is>
      </c>
      <c r="J266" s="11" t="inlineStr"/>
      <c r="K266" s="11" t="inlineStr">
        <is>
          <t>b2024_9_257_312</t>
        </is>
      </c>
      <c r="L266" s="11" t="inlineStr">
        <is>
          <t>2026-10-07</t>
        </is>
      </c>
      <c r="M266" s="11" t="n"/>
      <c r="N266" s="11" t="inlineStr">
        <is>
          <t>found</t>
        </is>
      </c>
    </row>
    <row r="267">
      <c r="A267" s="11" t="inlineStr">
        <is>
          <t>P-0264</t>
        </is>
      </c>
      <c r="B267" s="11" t="inlineStr">
        <is>
          <t>open</t>
        </is>
      </c>
      <c r="C267" s="11" t="inlineStr">
        <is>
          <t>tag</t>
        </is>
      </c>
      <c r="D267" s="11" t="inlineStr">
        <is>
          <t>2024-09-09</t>
        </is>
      </c>
      <c r="E267" s="11" t="n">
        <v>3</v>
      </c>
      <c r="F267" s="2" t="inlineStr">
        <is>
          <t>DHANRAJ ASWANI versus AMAR S. MULCHANDANI &amp; ANR.</t>
        </is>
      </c>
      <c r="G267" s="2" t="inlineStr">
        <is>
          <t>Rajesh Kumar Sharma v. CBI</t>
        </is>
      </c>
      <c r="H267" s="2" t="inlineStr">
        <is>
          <t>(2022) SCC OnLine All 832</t>
        </is>
      </c>
      <c r="I267" s="2" t="inlineStr">
        <is>
          <t>disapproved</t>
        </is>
      </c>
      <c r="J267" s="11" t="inlineStr"/>
      <c r="K267" s="11" t="inlineStr">
        <is>
          <t>b2024_9_257_312</t>
        </is>
      </c>
      <c r="L267" s="11" t="inlineStr">
        <is>
          <t>2026-10-07</t>
        </is>
      </c>
      <c r="M267" s="11" t="n"/>
      <c r="N267" s="11" t="inlineStr">
        <is>
          <t>found</t>
        </is>
      </c>
    </row>
    <row r="268">
      <c r="A268" s="11" t="inlineStr">
        <is>
          <t>P-0265</t>
        </is>
      </c>
      <c r="B268" s="11" t="inlineStr">
        <is>
          <t>open</t>
        </is>
      </c>
      <c r="C268" s="11" t="inlineStr">
        <is>
          <t>tag</t>
        </is>
      </c>
      <c r="D268" s="11" t="inlineStr">
        <is>
          <t>2024-09-09</t>
        </is>
      </c>
      <c r="E268" s="11" t="n">
        <v>3</v>
      </c>
      <c r="F268" s="2" t="inlineStr">
        <is>
          <t>DHANRAJ ASWANI versus AMAR S. MULCHANDANI &amp; ANR.</t>
        </is>
      </c>
      <c r="G268" s="2" t="inlineStr">
        <is>
          <t>Bashir Hasan Siddiqui v. State (GNCTD)</t>
        </is>
      </c>
      <c r="H268" s="2" t="inlineStr">
        <is>
          <t>(2023) SCC OnLine Del 7544</t>
        </is>
      </c>
      <c r="I268" s="2" t="inlineStr">
        <is>
          <t>disapproved</t>
        </is>
      </c>
      <c r="J268" s="11" t="inlineStr"/>
      <c r="K268" s="11" t="inlineStr">
        <is>
          <t>b2024_9_257_312</t>
        </is>
      </c>
      <c r="L268" s="11" t="inlineStr">
        <is>
          <t>2026-10-07</t>
        </is>
      </c>
      <c r="M268" s="11" t="n"/>
      <c r="N268" s="11" t="inlineStr">
        <is>
          <t>found</t>
        </is>
      </c>
    </row>
    <row r="269">
      <c r="A269" s="11" t="inlineStr">
        <is>
          <t>P-0266</t>
        </is>
      </c>
      <c r="B269" s="11" t="inlineStr">
        <is>
          <t>open</t>
        </is>
      </c>
      <c r="C269" s="11" t="inlineStr">
        <is>
          <t>sentence</t>
        </is>
      </c>
      <c r="D269" s="11" t="inlineStr">
        <is>
          <t>2024-09-20</t>
        </is>
      </c>
      <c r="E269" s="11" t="n">
        <v>3</v>
      </c>
      <c r="F269" s="2" t="inlineStr">
        <is>
          <t>AJAY MADHUSUDAN PATEL &amp; ORS.  versus JYOTRINDRA S. PATEL &amp; ORS.</t>
        </is>
      </c>
      <c r="G269" s="2" t="n"/>
      <c r="H269" s="2" t="n"/>
      <c r="I269" s="2" t="inlineStr">
        <is>
          <t>Ltd. v. Rani Construction (P) Ltd. [(2002) 2 SCC 388] is overruled.</t>
        </is>
      </c>
      <c r="J269" s="11" t="inlineStr"/>
      <c r="K269" s="11" t="inlineStr">
        <is>
          <t>b2024_9_894_946</t>
        </is>
      </c>
      <c r="L269" s="11" t="inlineStr">
        <is>
          <t>2026-10-07</t>
        </is>
      </c>
      <c r="M269" s="11" t="n"/>
      <c r="N269" s="11" t="inlineStr">
        <is>
          <t>found</t>
        </is>
      </c>
    </row>
    <row r="270">
      <c r="A270" s="11" t="inlineStr">
        <is>
          <t>P-0267</t>
        </is>
      </c>
      <c r="B270" s="11" t="inlineStr">
        <is>
          <t>open</t>
        </is>
      </c>
      <c r="C270" s="11" t="inlineStr">
        <is>
          <t>tag</t>
        </is>
      </c>
      <c r="D270" s="11" t="inlineStr">
        <is>
          <t>2024-10-23</t>
        </is>
      </c>
      <c r="E270" s="11" t="n">
        <v>3</v>
      </c>
      <c r="F270" s="2" t="inlineStr">
        <is>
          <t>GLAS TRUST COMPANY LLC  versus BYJU RAVEENDRAN &amp; ORS.</t>
        </is>
      </c>
      <c r="G270" s="2" t="inlineStr">
        <is>
          <t>Kamal K. Singh v. Dinesh Gupta</t>
        </is>
      </c>
      <c r="H270" s="2" t="inlineStr">
        <is>
          <t>(2022) 8 SCC 33</t>
        </is>
      </c>
      <c r="I270" s="2" t="inlineStr">
        <is>
          <t>held per incuriam</t>
        </is>
      </c>
      <c r="J270" s="11" t="inlineStr"/>
      <c r="K270" s="11" t="inlineStr">
        <is>
          <t>b2024_10_1802_1854</t>
        </is>
      </c>
      <c r="L270" s="11" t="inlineStr">
        <is>
          <t>2026-10-07</t>
        </is>
      </c>
      <c r="M270" s="11" t="n"/>
      <c r="N270" s="11" t="inlineStr">
        <is>
          <t>found</t>
        </is>
      </c>
    </row>
    <row r="271">
      <c r="A271" s="11" t="inlineStr">
        <is>
          <t>P-0268</t>
        </is>
      </c>
      <c r="B271" s="11" t="inlineStr">
        <is>
          <t>open</t>
        </is>
      </c>
      <c r="C271" s="11" t="inlineStr">
        <is>
          <t>tag</t>
        </is>
      </c>
      <c r="D271" s="11" t="inlineStr">
        <is>
          <t>2024-10-23</t>
        </is>
      </c>
      <c r="E271" s="11" t="n">
        <v>3</v>
      </c>
      <c r="F271" s="2" t="inlineStr">
        <is>
          <t>GLAS TRUST COMPANY LLC  versus BYJU RAVEENDRAN &amp; ORS.</t>
        </is>
      </c>
      <c r="G271" s="2" t="inlineStr">
        <is>
          <t>Ashok G. Rajani v. Beacon Trusteeship Ltd</t>
        </is>
      </c>
      <c r="H271" s="2" t="inlineStr">
        <is>
          <t>[2022] 18 SCR 133 : 2022 SCC OnLine SC 1275</t>
        </is>
      </c>
      <c r="I271" s="2" t="inlineStr">
        <is>
          <t>held per incuriam</t>
        </is>
      </c>
      <c r="J271" s="11" t="inlineStr"/>
      <c r="K271" s="11" t="inlineStr">
        <is>
          <t>b2024_10_1802_1854</t>
        </is>
      </c>
      <c r="L271" s="11" t="inlineStr">
        <is>
          <t>2026-10-07</t>
        </is>
      </c>
      <c r="M271" s="11" t="n"/>
      <c r="N271" s="11" t="inlineStr">
        <is>
          <t>found</t>
        </is>
      </c>
    </row>
    <row r="272">
      <c r="A272" s="11" t="inlineStr">
        <is>
          <t>P-0269</t>
        </is>
      </c>
      <c r="B272" s="11" t="inlineStr">
        <is>
          <t>open</t>
        </is>
      </c>
      <c r="C272" s="11" t="inlineStr">
        <is>
          <t>tag</t>
        </is>
      </c>
      <c r="D272" s="11" t="inlineStr">
        <is>
          <t>2024-10-23</t>
        </is>
      </c>
      <c r="E272" s="11" t="n">
        <v>9</v>
      </c>
      <c r="F272" s="2" t="inlineStr">
        <is>
          <t>STATE OF U.P. &amp; ORS versus M/S LALTA PRASAD VAISH AND SONS</t>
        </is>
      </c>
      <c r="G272" s="2" t="inlineStr">
        <is>
          <t>In the Judgment of Dr Dhananjaya Y Chandrachud, CJI. Synthetics and Chemicals Ltd. v. State of UP</t>
        </is>
      </c>
      <c r="H272" s="2" t="inlineStr">
        <is>
          <t>[1989] Supp. 1 SCR 623 : (1990) 1 SCC 109</t>
        </is>
      </c>
      <c r="I272" s="2" t="inlineStr">
        <is>
          <t>overruled</t>
        </is>
      </c>
      <c r="J272" s="11" t="inlineStr">
        <is>
          <t>yes</t>
        </is>
      </c>
      <c r="K272" s="11" t="inlineStr">
        <is>
          <t>b2024_10_1931_2182</t>
        </is>
      </c>
      <c r="L272" s="11" t="inlineStr">
        <is>
          <t>2026-10-07</t>
        </is>
      </c>
      <c r="M272" s="11" t="n"/>
      <c r="N272" s="11" t="inlineStr">
        <is>
          <t>found</t>
        </is>
      </c>
    </row>
    <row r="273">
      <c r="A273" s="11" t="inlineStr">
        <is>
          <t>P-0270</t>
        </is>
      </c>
      <c r="B273" s="11" t="inlineStr">
        <is>
          <t>open</t>
        </is>
      </c>
      <c r="C273" s="11" t="inlineStr">
        <is>
          <t>tag</t>
        </is>
      </c>
      <c r="D273" s="11" t="inlineStr">
        <is>
          <t>2024-10-23</t>
        </is>
      </c>
      <c r="E273" s="11" t="n">
        <v>9</v>
      </c>
      <c r="F273" s="2" t="inlineStr">
        <is>
          <t>STATE OF U.P. &amp; ORS versus M/S LALTA PRASAD VAISH AND SONS</t>
        </is>
      </c>
      <c r="G273" s="2" t="inlineStr">
        <is>
          <t>Tika Ramji v. State of Uttar Pradesh</t>
        </is>
      </c>
      <c r="H273" s="2" t="inlineStr">
        <is>
          <t>[1956] 1 SCR 393 : AIR 1956 SC 676</t>
        </is>
      </c>
      <c r="I273" s="2" t="inlineStr">
        <is>
          <t>held not good law</t>
        </is>
      </c>
      <c r="J273" s="11" t="inlineStr"/>
      <c r="K273" s="11" t="inlineStr">
        <is>
          <t>b2024_10_1931_2182</t>
        </is>
      </c>
      <c r="L273" s="11" t="inlineStr">
        <is>
          <t>2026-10-07</t>
        </is>
      </c>
      <c r="M273" s="11" t="n"/>
      <c r="N273" s="11" t="inlineStr">
        <is>
          <t>found</t>
        </is>
      </c>
    </row>
    <row r="274">
      <c r="A274" s="11" t="inlineStr">
        <is>
          <t>P-0271</t>
        </is>
      </c>
      <c r="B274" s="11" t="inlineStr">
        <is>
          <t>open</t>
        </is>
      </c>
      <c r="C274" s="11" t="inlineStr">
        <is>
          <t>tag</t>
        </is>
      </c>
      <c r="D274" s="11" t="inlineStr">
        <is>
          <t>2024-11-06</t>
        </is>
      </c>
      <c r="E274" s="11" t="n">
        <v>5</v>
      </c>
      <c r="F274" s="2" t="inlineStr">
        <is>
          <t>M/S BAJAJ ALLIANCE GENERAL INSURANCE CO. LTD. versus RAMBHA DEVI &amp; ORS.</t>
        </is>
      </c>
      <c r="G274" s="2" t="inlineStr">
        <is>
          <t>New India Assurance Company v. Prabhu Lal</t>
        </is>
      </c>
      <c r="H274" s="2" t="inlineStr">
        <is>
          <t>[2007] 12 SCR 724 : (2008) 1 SCC 696</t>
        </is>
      </c>
      <c r="I274" s="2" t="inlineStr">
        <is>
          <t>overruled</t>
        </is>
      </c>
      <c r="J274" s="11" t="inlineStr">
        <is>
          <t>yes</t>
        </is>
      </c>
      <c r="K274" s="11" t="inlineStr">
        <is>
          <t>b2024_11_541_640</t>
        </is>
      </c>
      <c r="L274" s="11" t="inlineStr">
        <is>
          <t>2026-10-07</t>
        </is>
      </c>
      <c r="M274" s="11" t="n"/>
      <c r="N274" s="11" t="inlineStr">
        <is>
          <t>found</t>
        </is>
      </c>
    </row>
    <row r="275">
      <c r="A275" s="11" t="inlineStr">
        <is>
          <t>P-0272</t>
        </is>
      </c>
      <c r="B275" s="11" t="inlineStr">
        <is>
          <t>open</t>
        </is>
      </c>
      <c r="C275" s="11" t="inlineStr">
        <is>
          <t>tag</t>
        </is>
      </c>
      <c r="D275" s="11" t="inlineStr">
        <is>
          <t>2024-11-06</t>
        </is>
      </c>
      <c r="E275" s="11" t="n">
        <v>5</v>
      </c>
      <c r="F275" s="2" t="inlineStr">
        <is>
          <t>M/S BAJAJ ALLIANCE GENERAL INSURANCE CO. LTD. versus RAMBHA DEVI &amp; ORS.</t>
        </is>
      </c>
      <c r="G275" s="2" t="inlineStr">
        <is>
          <t>New India Assurance Co. Ltd. v. Roshanben Rahemansha Fakir</t>
        </is>
      </c>
      <c r="H275" s="2" t="inlineStr">
        <is>
          <t>[2008] 8 SCR 328 : (2008) 8 SCC 253</t>
        </is>
      </c>
      <c r="I275" s="2" t="inlineStr">
        <is>
          <t>overruled</t>
        </is>
      </c>
      <c r="J275" s="11" t="inlineStr">
        <is>
          <t>yes</t>
        </is>
      </c>
      <c r="K275" s="11" t="inlineStr">
        <is>
          <t>b2024_11_541_640</t>
        </is>
      </c>
      <c r="L275" s="11" t="inlineStr">
        <is>
          <t>2026-10-07</t>
        </is>
      </c>
      <c r="M275" s="11" t="n"/>
      <c r="N275" s="11" t="inlineStr">
        <is>
          <t>found</t>
        </is>
      </c>
    </row>
    <row r="276">
      <c r="A276" s="11" t="inlineStr">
        <is>
          <t>P-0273</t>
        </is>
      </c>
      <c r="B276" s="11" t="inlineStr">
        <is>
          <t>open</t>
        </is>
      </c>
      <c r="C276" s="11" t="inlineStr">
        <is>
          <t>tag</t>
        </is>
      </c>
      <c r="D276" s="11" t="inlineStr">
        <is>
          <t>2024-11-06</t>
        </is>
      </c>
      <c r="E276" s="11" t="n">
        <v>5</v>
      </c>
      <c r="F276" s="2" t="inlineStr">
        <is>
          <t>M/S BAJAJ ALLIANCE GENERAL INSURANCE CO. LTD. versus RAMBHA DEVI &amp; ORS.</t>
        </is>
      </c>
      <c r="G276" s="2" t="inlineStr">
        <is>
          <t>Oriental Insurance Co. Ltd. v. Angad Kol</t>
        </is>
      </c>
      <c r="H276" s="2" t="inlineStr">
        <is>
          <t>[2009] 2 SCR 695 : (2009) 11 SCC 356</t>
        </is>
      </c>
      <c r="I276" s="2" t="inlineStr">
        <is>
          <t>overruled</t>
        </is>
      </c>
      <c r="J276" s="11" t="inlineStr">
        <is>
          <t>yes</t>
        </is>
      </c>
      <c r="K276" s="11" t="inlineStr">
        <is>
          <t>b2024_11_541_640</t>
        </is>
      </c>
      <c r="L276" s="11" t="inlineStr">
        <is>
          <t>2026-10-07</t>
        </is>
      </c>
      <c r="M276" s="11" t="n"/>
      <c r="N276" s="11" t="inlineStr">
        <is>
          <t>found</t>
        </is>
      </c>
    </row>
    <row r="277">
      <c r="A277" s="11" t="inlineStr">
        <is>
          <t>P-0274</t>
        </is>
      </c>
      <c r="B277" s="11" t="inlineStr">
        <is>
          <t>open</t>
        </is>
      </c>
      <c r="C277" s="11" t="inlineStr">
        <is>
          <t>tag</t>
        </is>
      </c>
      <c r="D277" s="11" t="inlineStr">
        <is>
          <t>2024-11-06</t>
        </is>
      </c>
      <c r="E277" s="11" t="n">
        <v>5</v>
      </c>
      <c r="F277" s="2" t="inlineStr">
        <is>
          <t>M/S BAJAJ ALLIANCE GENERAL INSURANCE CO. LTD. versus RAMBHA DEVI &amp; ORS.</t>
        </is>
      </c>
      <c r="G277" s="2" t="inlineStr">
        <is>
          <t>National Insurance Co. Ltd. v. Annappa Irappa Nesaria</t>
        </is>
      </c>
      <c r="H277" s="2" t="inlineStr">
        <is>
          <t>[2008] 1 SCR 1061 : (2008) 3 SCC 464</t>
        </is>
      </c>
      <c r="I277" s="2" t="inlineStr">
        <is>
          <t>partially overruled</t>
        </is>
      </c>
      <c r="J277" s="11" t="inlineStr">
        <is>
          <t>yes</t>
        </is>
      </c>
      <c r="K277" s="11" t="inlineStr">
        <is>
          <t>b2024_11_541_640</t>
        </is>
      </c>
      <c r="L277" s="11" t="inlineStr">
        <is>
          <t>2026-10-07</t>
        </is>
      </c>
      <c r="M277" s="11" t="n"/>
      <c r="N277" s="11" t="inlineStr">
        <is>
          <t>found</t>
        </is>
      </c>
    </row>
    <row r="278">
      <c r="A278" s="11" t="inlineStr">
        <is>
          <t>P-0275</t>
        </is>
      </c>
      <c r="B278" s="11" t="inlineStr">
        <is>
          <t>open</t>
        </is>
      </c>
      <c r="C278" s="11" t="inlineStr">
        <is>
          <t>tag</t>
        </is>
      </c>
      <c r="D278" s="11" t="inlineStr">
        <is>
          <t>2024-11-07</t>
        </is>
      </c>
      <c r="E278" s="11" t="n">
        <v>3</v>
      </c>
      <c r="F278" s="2" t="inlineStr">
        <is>
          <t>COMMISSIONER OF CUSTOMS versus M/S CANON INDIA PVT. LTD.</t>
        </is>
      </c>
      <c r="G278" s="2" t="inlineStr">
        <is>
          <t>Mangali Impex Ltd. v. Union of India</t>
        </is>
      </c>
      <c r="H278" s="2" t="inlineStr">
        <is>
          <t>(2016) SCC Online Del 2597</t>
        </is>
      </c>
      <c r="I278" s="2" t="inlineStr">
        <is>
          <t>disapproved</t>
        </is>
      </c>
      <c r="J278" s="11" t="inlineStr"/>
      <c r="K278" s="11" t="inlineStr">
        <is>
          <t>b2024_12_202_334</t>
        </is>
      </c>
      <c r="L278" s="11" t="inlineStr">
        <is>
          <t>2026-10-07</t>
        </is>
      </c>
      <c r="M278" s="11" t="n"/>
      <c r="N278" s="11" t="inlineStr">
        <is>
          <t>found</t>
        </is>
      </c>
    </row>
    <row r="279">
      <c r="A279" s="11" t="inlineStr">
        <is>
          <t>P-0276</t>
        </is>
      </c>
      <c r="B279" s="11" t="inlineStr">
        <is>
          <t>open</t>
        </is>
      </c>
      <c r="C279" s="11" t="inlineStr">
        <is>
          <t>tag</t>
        </is>
      </c>
      <c r="D279" s="11" t="inlineStr">
        <is>
          <t>2024-11-08</t>
        </is>
      </c>
      <c r="E279" s="11" t="n">
        <v>7</v>
      </c>
      <c r="F279" s="2" t="inlineStr">
        <is>
          <t>ALIGARH MUSLIM UNIVERSITY versus NARESH AGARWAL &amp; ORS.</t>
        </is>
      </c>
      <c r="G279" s="2" t="inlineStr">
        <is>
          <t>S Azeez Basha v. Union of India</t>
        </is>
      </c>
      <c r="H279" s="2" t="inlineStr">
        <is>
          <t>[1968] 1 SCR 833 : AIR 1968 SC 662</t>
        </is>
      </c>
      <c r="I279" s="2" t="inlineStr">
        <is>
          <t>overruled</t>
        </is>
      </c>
      <c r="J279" s="11" t="inlineStr">
        <is>
          <t>yes</t>
        </is>
      </c>
      <c r="K279" s="11" t="inlineStr">
        <is>
          <t>b2024_11_1647_2038</t>
        </is>
      </c>
      <c r="L279" s="11" t="inlineStr">
        <is>
          <t>2026-10-07</t>
        </is>
      </c>
      <c r="M279" s="11" t="n"/>
      <c r="N279" s="11" t="inlineStr">
        <is>
          <t>found</t>
        </is>
      </c>
    </row>
    <row r="280">
      <c r="A280" s="11" t="inlineStr">
        <is>
          <t>P-0277</t>
        </is>
      </c>
      <c r="B280" s="11" t="inlineStr">
        <is>
          <t>open</t>
        </is>
      </c>
      <c r="C280" s="11" t="inlineStr">
        <is>
          <t>sentence</t>
        </is>
      </c>
      <c r="D280" s="11" t="inlineStr">
        <is>
          <t>2024-12-09</t>
        </is>
      </c>
      <c r="E280" s="11" t="n">
        <v>3</v>
      </c>
      <c r="F280" s="2" t="inlineStr">
        <is>
          <t>STATE OF MAHARASHTRA &amp; ORS. versus PRADEEP YASHWANT KOKADE &amp; ANR.</t>
        </is>
      </c>
      <c r="G280" s="2" t="n"/>
      <c r="H280" s="2" t="n"/>
      <c r="I280" s="2" t="inlineStr">
        <is>
          <t>No fixed period of delay could be held to make the sentence of death inexecutable and to this extent the decision in Vatheeswaran case [(1983) 2 SCC 68 : 1983 SCC (Cri) 342 : (1983) 2 SCR 348] cannot be said to lay down the correct law and therefore to that extent stands overruled.’’ (emphasis added) In paragraph 16, the Constitution Bench held that while considering the delay, the period consumed</t>
        </is>
      </c>
      <c r="J280" s="11" t="inlineStr"/>
      <c r="K280" s="11" t="inlineStr">
        <is>
          <t>b2024_12_574_616</t>
        </is>
      </c>
      <c r="L280" s="11" t="inlineStr">
        <is>
          <t>2026-10-07</t>
        </is>
      </c>
      <c r="M280" s="11" t="n"/>
      <c r="N280" s="11" t="inlineStr">
        <is>
          <t>found</t>
        </is>
      </c>
    </row>
    <row r="281">
      <c r="A281" s="11" t="inlineStr">
        <is>
          <t>P-0278</t>
        </is>
      </c>
      <c r="B281" s="11" t="inlineStr">
        <is>
          <t>open</t>
        </is>
      </c>
      <c r="C281" s="11" t="inlineStr">
        <is>
          <t>sentence</t>
        </is>
      </c>
      <c r="D281" s="11" t="inlineStr">
        <is>
          <t>2025-01-28</t>
        </is>
      </c>
      <c r="E281" s="11" t="n">
        <v>3</v>
      </c>
      <c r="F281" s="2" t="inlineStr">
        <is>
          <t>CHANDRABHAN SUDAM SANAP versus THE STATE OF MAHARASHTRA</t>
        </is>
      </c>
      <c r="G281" s="2" t="n"/>
      <c r="H281" s="2" t="n"/>
      <c r="I281" s="2" t="inlineStr">
        <is>
          <t>Resultantly, the judgment dated 3-4-2018 of a Division Bench of this Court reported as Shafhi Mohd. v. State of H.P. [Shafhi Mohd. v. State of H.P., (2018) 5 SCC 311 : (2018) 2 SCC (Cri) 704], in following the law incorrectly laid down in Shafhi Mohammad [Shafhi Mohammad v. State of H.P., (2018) 2 SCC 801 : (2018) 2 SCC 807 : (2018) 2 SCC (Civ) 346 : (2018) 2 SCC (Civ) 351 : (2018) 1 SCC (Cri) 860</t>
        </is>
      </c>
      <c r="J281" s="11" t="inlineStr"/>
      <c r="K281" s="11" t="inlineStr">
        <is>
          <t>b2025_1_1041_1104</t>
        </is>
      </c>
      <c r="L281" s="11" t="inlineStr">
        <is>
          <t>2026-10-07</t>
        </is>
      </c>
      <c r="M281" s="11" t="n"/>
      <c r="N281" s="11" t="inlineStr">
        <is>
          <t>found</t>
        </is>
      </c>
    </row>
    <row r="282">
      <c r="A282" s="11" t="inlineStr">
        <is>
          <t>P-0279</t>
        </is>
      </c>
      <c r="B282" s="11" t="inlineStr">
        <is>
          <t>open</t>
        </is>
      </c>
      <c r="C282" s="11" t="inlineStr">
        <is>
          <t>sentence</t>
        </is>
      </c>
      <c r="D282" s="11" t="inlineStr">
        <is>
          <t>2025-01-28</t>
        </is>
      </c>
      <c r="E282" s="11" t="n">
        <v>3</v>
      </c>
      <c r="F282" s="2" t="inlineStr">
        <is>
          <t>CHANDRABHAN SUDAM SANAP versus THE STATE OF MAHARASHTRA</t>
        </is>
      </c>
      <c r="G282" s="2" t="n"/>
      <c r="H282" s="2" t="n"/>
      <c r="I282" s="2" t="inlineStr">
        <is>
          <t>Also, the judgment in Shafhi Mohammad [Shafhi Mohammad v. State of H.P., (2018) 2 SCC 801 : (2018) 2 SCC 807 : (2018) 2 SCC (Civ) 346 : (2018) 2 SCC (Civ) 351 : (2018) 1 SCC (Cri) 860 : (2018) 1 SCC (Cri) 865] and the judgment dated 3-4-2018 reported as Shafhi Mohd. v. State of H.P. [Shafhi Mohd. v. State of H.P., (2018) 5 SCC 311 : (2018) 2 SCC (Cri) 704] , do not lay down the law correctly and a</t>
        </is>
      </c>
      <c r="J282" s="11" t="inlineStr"/>
      <c r="K282" s="11" t="inlineStr">
        <is>
          <t>b2025_1_1041_1104</t>
        </is>
      </c>
      <c r="L282" s="11" t="inlineStr">
        <is>
          <t>2026-10-07</t>
        </is>
      </c>
      <c r="M282" s="11" t="n"/>
      <c r="N282" s="11" t="inlineStr">
        <is>
          <t>found</t>
        </is>
      </c>
    </row>
    <row r="283">
      <c r="A283" s="11" t="inlineStr">
        <is>
          <t>P-0280</t>
        </is>
      </c>
      <c r="B283" s="11" t="inlineStr">
        <is>
          <t>open</t>
        </is>
      </c>
      <c r="C283" s="11" t="inlineStr">
        <is>
          <t>tag</t>
        </is>
      </c>
      <c r="D283" s="11" t="inlineStr">
        <is>
          <t>2025-02-12</t>
        </is>
      </c>
      <c r="E283" s="11" t="n">
        <v>3</v>
      </c>
      <c r="F283" s="2" t="inlineStr">
        <is>
          <t>SUKHDEV SINGH versus SUKHBIR KAUR</t>
        </is>
      </c>
      <c r="G283" s="2" t="inlineStr">
        <is>
          <t>Navdeep Kaur v. Dilraj Singh</t>
        </is>
      </c>
      <c r="H283" s="2" t="inlineStr">
        <is>
          <t>[2003] 1 HLR 100 : 2002 SCC OnLine P&amp;H 498</t>
        </is>
      </c>
      <c r="I283" s="2" t="inlineStr">
        <is>
          <t>overruled</t>
        </is>
      </c>
      <c r="J283" s="11" t="inlineStr"/>
      <c r="K283" s="11" t="inlineStr">
        <is>
          <t>b2025_2_1569_1587</t>
        </is>
      </c>
      <c r="L283" s="11" t="inlineStr">
        <is>
          <t>2026-10-07</t>
        </is>
      </c>
      <c r="M283" s="11" t="n"/>
      <c r="N283" s="11" t="inlineStr">
        <is>
          <t>found</t>
        </is>
      </c>
    </row>
    <row r="284">
      <c r="A284" s="11" t="inlineStr">
        <is>
          <t>P-0281</t>
        </is>
      </c>
      <c r="B284" s="11" t="inlineStr">
        <is>
          <t>open</t>
        </is>
      </c>
      <c r="C284" s="11" t="inlineStr">
        <is>
          <t>tag</t>
        </is>
      </c>
      <c r="D284" s="11" t="inlineStr">
        <is>
          <t>2025-02-12</t>
        </is>
      </c>
      <c r="E284" s="11" t="n">
        <v>3</v>
      </c>
      <c r="F284" s="2" t="inlineStr">
        <is>
          <t>SUKHDEV SINGH versus SUKHBIR KAUR</t>
        </is>
      </c>
      <c r="G284" s="2" t="inlineStr">
        <is>
          <t>Bhausaheb @ Sandhu v. Leelabai</t>
        </is>
      </c>
      <c r="H284" s="2" t="inlineStr">
        <is>
          <t>[2004] AIR Bom. 283 (FB)</t>
        </is>
      </c>
      <c r="I284" s="2" t="inlineStr">
        <is>
          <t>overruled</t>
        </is>
      </c>
      <c r="J284" s="11" t="inlineStr"/>
      <c r="K284" s="11" t="inlineStr">
        <is>
          <t>b2025_2_1569_1587</t>
        </is>
      </c>
      <c r="L284" s="11" t="inlineStr">
        <is>
          <t>2026-10-07</t>
        </is>
      </c>
      <c r="M284" s="11" t="n"/>
      <c r="N284" s="11" t="inlineStr">
        <is>
          <t>found</t>
        </is>
      </c>
    </row>
    <row r="285">
      <c r="A285" s="11" t="inlineStr">
        <is>
          <t>P-0282</t>
        </is>
      </c>
      <c r="B285" s="11" t="inlineStr">
        <is>
          <t>open</t>
        </is>
      </c>
      <c r="C285" s="11" t="inlineStr">
        <is>
          <t>tag</t>
        </is>
      </c>
      <c r="D285" s="11" t="inlineStr">
        <is>
          <t>2025-02-27</t>
        </is>
      </c>
      <c r="E285" s="11" t="n">
        <v>3</v>
      </c>
      <c r="F285" s="2" t="inlineStr">
        <is>
          <t>RADHIKA AGARWAL versus UNION OF INDIA AND OTHERS</t>
        </is>
      </c>
      <c r="G285" s="2" t="inlineStr">
        <is>
          <t>State of Gujarat v. Choodamani Parmeshwaran Iyer and Another</t>
        </is>
      </c>
      <c r="H285" s="2" t="inlineStr">
        <is>
          <t>[2023] 8 SCR 1139 : 2023 SCC OnLine SC 1043</t>
        </is>
      </c>
      <c r="I285" s="2" t="inlineStr">
        <is>
          <t>held not binding</t>
        </is>
      </c>
      <c r="J285" s="11" t="inlineStr">
        <is>
          <t>yes</t>
        </is>
      </c>
      <c r="K285" s="11" t="inlineStr">
        <is>
          <t>b2025_2_1331_1395</t>
        </is>
      </c>
      <c r="L285" s="11" t="inlineStr">
        <is>
          <t>2026-10-07</t>
        </is>
      </c>
      <c r="M285" s="11" t="n"/>
      <c r="N285" s="11" t="inlineStr">
        <is>
          <t>found</t>
        </is>
      </c>
    </row>
    <row r="286">
      <c r="A286" s="11" t="inlineStr">
        <is>
          <t>P-0283</t>
        </is>
      </c>
      <c r="B286" s="11" t="inlineStr">
        <is>
          <t>open</t>
        </is>
      </c>
      <c r="C286" s="11" t="inlineStr">
        <is>
          <t>tag</t>
        </is>
      </c>
      <c r="D286" s="11" t="inlineStr">
        <is>
          <t>2025-02-27</t>
        </is>
      </c>
      <c r="E286" s="11" t="n">
        <v>3</v>
      </c>
      <c r="F286" s="2" t="inlineStr">
        <is>
          <t>RADHIKA AGARWAL versus UNION OF INDIA AND OTHERS</t>
        </is>
      </c>
      <c r="G286" s="2" t="inlineStr">
        <is>
          <t>Bharat Bhushan v. Director General of GST Intelligence, SLP (Crl.) No. 8525/2024</t>
        </is>
      </c>
      <c r="H286" s="2" t="inlineStr"/>
      <c r="I286" s="2" t="inlineStr">
        <is>
          <t>held not binding</t>
        </is>
      </c>
      <c r="J286" s="11" t="inlineStr">
        <is>
          <t>yes</t>
        </is>
      </c>
      <c r="K286" s="11" t="inlineStr">
        <is>
          <t>b2025_2_1331_1395</t>
        </is>
      </c>
      <c r="L286" s="11" t="inlineStr">
        <is>
          <t>2026-10-07</t>
        </is>
      </c>
      <c r="M286" s="11" t="n"/>
      <c r="N286" s="11" t="inlineStr">
        <is>
          <t>found</t>
        </is>
      </c>
    </row>
    <row r="287">
      <c r="A287" s="11" t="inlineStr">
        <is>
          <t>P-0284</t>
        </is>
      </c>
      <c r="B287" s="11" t="inlineStr">
        <is>
          <t>open</t>
        </is>
      </c>
      <c r="C287" s="11" t="inlineStr">
        <is>
          <t>sentence</t>
        </is>
      </c>
      <c r="D287" s="11" t="inlineStr">
        <is>
          <t>2025-03-18</t>
        </is>
      </c>
      <c r="E287" s="11" t="n">
        <v>3</v>
      </c>
      <c r="F287" s="2" t="inlineStr">
        <is>
          <t>DISORTHO S.A.S.  versus MERIL LIFE SCIENCES PRIVATE LIMITED</t>
        </is>
      </c>
      <c r="G287" s="2" t="n"/>
      <c r="H287" s="2" t="n"/>
      <c r="I287" s="2" t="inlineStr">
        <is>
          <t>The notional doctrine of concurrent [2025] 3 S.C.R. 1573 Disortho S.A.S. v. Meril Life Sciences Private Limited jurisdiction has been expressly rejected and overruled by this Court in its subsequent decisions.</t>
        </is>
      </c>
      <c r="J287" s="11" t="inlineStr"/>
      <c r="K287" s="11" t="inlineStr">
        <is>
          <t>b2025_3_1555_1578</t>
        </is>
      </c>
      <c r="L287" s="11" t="inlineStr">
        <is>
          <t>2026-10-07</t>
        </is>
      </c>
      <c r="M287" s="11" t="n"/>
      <c r="N287" s="11" t="inlineStr">
        <is>
          <t>found</t>
        </is>
      </c>
    </row>
    <row r="288">
      <c r="A288" s="11" t="inlineStr">
        <is>
          <t>P-0285</t>
        </is>
      </c>
      <c r="B288" s="11" t="inlineStr">
        <is>
          <t>open</t>
        </is>
      </c>
      <c r="C288" s="11" t="inlineStr">
        <is>
          <t>tag</t>
        </is>
      </c>
      <c r="D288" s="11" t="inlineStr">
        <is>
          <t>2025-04-30</t>
        </is>
      </c>
      <c r="E288" s="11" t="n">
        <v>5</v>
      </c>
      <c r="F288" s="2" t="inlineStr">
        <is>
          <t>GAYATRI BALASAMY versus M/S ISG NOVASOFT TECHNOLOGIES LIMITED</t>
        </is>
      </c>
      <c r="G288" s="2" t="inlineStr">
        <is>
          <t>Kinnari Mullick and Another v. Ghanshyam Das Damani</t>
        </is>
      </c>
      <c r="H288" s="2" t="inlineStr">
        <is>
          <t>[2017] 6 SCR 657 : (2018) 11 SCC 328</t>
        </is>
      </c>
      <c r="I288" s="2" t="inlineStr">
        <is>
          <t>held not correct law</t>
        </is>
      </c>
      <c r="J288" s="11" t="inlineStr"/>
      <c r="K288" s="11" t="inlineStr">
        <is>
          <t>b2025_4_2080_2236</t>
        </is>
      </c>
      <c r="L288" s="11" t="inlineStr">
        <is>
          <t>2026-10-07</t>
        </is>
      </c>
      <c r="M288" s="11" t="n"/>
      <c r="N288" s="11" t="inlineStr">
        <is>
          <t>found</t>
        </is>
      </c>
    </row>
    <row r="289">
      <c r="A289" s="11" t="inlineStr">
        <is>
          <t>P-0286</t>
        </is>
      </c>
      <c r="B289" s="11" t="inlineStr">
        <is>
          <t>open</t>
        </is>
      </c>
      <c r="C289" s="11" t="inlineStr">
        <is>
          <t>tag</t>
        </is>
      </c>
      <c r="D289" s="11" t="inlineStr">
        <is>
          <t>2025-04-30</t>
        </is>
      </c>
      <c r="E289" s="11" t="n">
        <v>5</v>
      </c>
      <c r="F289" s="2" t="inlineStr">
        <is>
          <t>GAYATRI BALASAMY versus M/S ISG NOVASOFT TECHNOLOGIES LIMITED</t>
        </is>
      </c>
      <c r="G289" s="2" t="inlineStr">
        <is>
          <t>Kinnari Mullick and Another v. Ghanshyam Das Damani</t>
        </is>
      </c>
      <c r="H289" s="2" t="inlineStr">
        <is>
          <t>[2017] 6 SCR 657 : (2018) 11 SCC 328</t>
        </is>
      </c>
      <c r="I289" s="2" t="inlineStr">
        <is>
          <t>held not correct law</t>
        </is>
      </c>
      <c r="J289" s="11" t="inlineStr"/>
      <c r="K289" s="11" t="inlineStr">
        <is>
          <t>b2025_4_2080_2236</t>
        </is>
      </c>
      <c r="L289" s="11" t="inlineStr">
        <is>
          <t>2026-10-07</t>
        </is>
      </c>
      <c r="M289" s="11" t="n"/>
      <c r="N289" s="11" t="inlineStr">
        <is>
          <t>found</t>
        </is>
      </c>
    </row>
    <row r="290">
      <c r="A290" s="11" t="inlineStr">
        <is>
          <t>P-0287</t>
        </is>
      </c>
      <c r="B290" s="11" t="inlineStr">
        <is>
          <t>open</t>
        </is>
      </c>
      <c r="C290" s="11" t="inlineStr">
        <is>
          <t>sentence</t>
        </is>
      </c>
      <c r="D290" s="11" t="inlineStr">
        <is>
          <t>2025-05-08</t>
        </is>
      </c>
      <c r="E290" s="11" t="n">
        <v>3</v>
      </c>
      <c r="F290" s="2" t="inlineStr">
        <is>
          <t>C.T. KOCHOUSEPH versus STATE OF KERALA AND ANOTHER ETC.</t>
        </is>
      </c>
      <c r="G290" s="2" t="n"/>
      <c r="H290" s="2" t="n"/>
      <c r="I290" s="2" t="inlineStr">
        <is>
          <t>I am inclined now to think that this is an approach that basically alters the parameters and removes the provision from the area of vulnerability.” (emphasis supplied)” This Court in Devi Dass (supra) affirmed the reasoning in Hotel Balaji (supra), clearly holding that the decision in Goodyear (supra) did not lay down the correct law: “6.</t>
        </is>
      </c>
      <c r="J290" s="11" t="inlineStr"/>
      <c r="K290" s="11" t="inlineStr">
        <is>
          <t>b2025_6_310_359</t>
        </is>
      </c>
      <c r="L290" s="11" t="inlineStr">
        <is>
          <t>2026-10-07</t>
        </is>
      </c>
      <c r="M290" s="11" t="n"/>
      <c r="N290" s="11" t="inlineStr">
        <is>
          <t>found</t>
        </is>
      </c>
    </row>
    <row r="291">
      <c r="A291" s="11" t="inlineStr">
        <is>
          <t>P-0288</t>
        </is>
      </c>
      <c r="B291" s="11" t="inlineStr">
        <is>
          <t>open</t>
        </is>
      </c>
      <c r="C291" s="11" t="inlineStr">
        <is>
          <t>sentence</t>
        </is>
      </c>
      <c r="D291" s="11" t="n"/>
      <c r="E291" s="11" t="n">
        <v>3</v>
      </c>
      <c r="F291" s="2" t="inlineStr">
        <is>
          <t>A.C. Narayanan v. State of Maharashtra &amp; Anr</t>
        </is>
      </c>
      <c r="G291" s="2" t="n"/>
      <c r="H291" s="2" t="n"/>
      <c r="I291" s="2" t="inlineStr">
        <is>
          <t>The view taken in the case of Floriano Armando Luis cannot be said to have laid down a correct law and is accordingly overruled.” 19) As noticed hereinabove, though Janki Vashdeo Bhojwani (supra), relates to powers of Power of Attorney holder under CPC but it was concluded therein that a plaint by a Power of Attorney holder on behalf of the original plaintiff is maintainable provided he has person</t>
        </is>
      </c>
      <c r="J291" s="11" t="inlineStr"/>
      <c r="K291" s="11" t="inlineStr">
        <is>
          <t>c40769</t>
        </is>
      </c>
      <c r="L291" s="11" t="inlineStr">
        <is>
          <t>2026-10-08</t>
        </is>
      </c>
      <c r="M291" s="11" t="n"/>
      <c r="N291" s="11" t="inlineStr">
        <is>
          <t>found</t>
        </is>
      </c>
    </row>
    <row r="292">
      <c r="A292" s="11" t="inlineStr">
        <is>
          <t>P-0289</t>
        </is>
      </c>
      <c r="B292" s="11" t="inlineStr">
        <is>
          <t>open</t>
        </is>
      </c>
      <c r="C292" s="11" t="inlineStr">
        <is>
          <t>sentence</t>
        </is>
      </c>
      <c r="D292" s="11" t="n"/>
      <c r="E292" s="11" t="n">
        <v>3</v>
      </c>
      <c r="F292" s="2" t="inlineStr">
        <is>
          <t>People’s Union for Civil Liberties &amp; Anr v. Union of India &amp; Anr</t>
        </is>
      </c>
      <c r="G292" s="2" t="n"/>
      <c r="H292" s="2" t="n"/>
      <c r="I292" s="2" t="inlineStr">
        <is>
          <t>With the above observation, we hold that there is no doubt or confusion persisting in the Constitution Bench judgment of this Court in Kuldip Nayar (supra) and the decisions in Association for Democratic Reforms (supra) and People’s Union for Civil Liberties (PUCL) (supra) do not stand impliedly overruled.</t>
        </is>
      </c>
      <c r="J292" s="11" t="inlineStr"/>
      <c r="K292" s="11" t="inlineStr">
        <is>
          <t>c40835</t>
        </is>
      </c>
      <c r="L292" s="11" t="inlineStr">
        <is>
          <t>2026-10-08</t>
        </is>
      </c>
      <c r="M292" s="11" t="n"/>
      <c r="N292" s="11" t="inlineStr">
        <is>
          <t>found</t>
        </is>
      </c>
    </row>
    <row r="293">
      <c r="A293" s="11" t="inlineStr">
        <is>
          <t>P-0290</t>
        </is>
      </c>
      <c r="B293" s="11" t="inlineStr">
        <is>
          <t>open</t>
        </is>
      </c>
      <c r="C293" s="11" t="inlineStr">
        <is>
          <t>sentence</t>
        </is>
      </c>
      <c r="D293" s="11" t="n"/>
      <c r="E293" s="11" t="n">
        <v>3</v>
      </c>
      <c r="F293" s="2" t="inlineStr">
        <is>
          <t>Shatrughan Chauhan &amp; Anr v. Union of India &amp; Ors</t>
        </is>
      </c>
      <c r="G293" s="2" t="n"/>
      <c r="H293" s="2" t="n"/>
      <c r="I293" s="2" t="inlineStr">
        <is>
          <t>No fixed period of delay could be held to make the sentence of death inexecutable and to this extent the decision in Vatheeswaran case cannot be said to lay down the correct law and therefore to that extent stands overruled.” 35) While giving full reasons which is reported in Smt. Triveniben vs. State of Gujarat, (1989) 1 SCC 678 this Court, in para 22, appreciated the aspect of delay in execution</t>
        </is>
      </c>
      <c r="J293" s="11" t="inlineStr"/>
      <c r="K293" s="11" t="inlineStr">
        <is>
          <t>c41163</t>
        </is>
      </c>
      <c r="L293" s="11" t="inlineStr">
        <is>
          <t>2026-10-08</t>
        </is>
      </c>
      <c r="M293" s="11" t="n"/>
      <c r="N293" s="11" t="inlineStr">
        <is>
          <t>found</t>
        </is>
      </c>
    </row>
    <row r="294">
      <c r="A294" s="11" t="inlineStr">
        <is>
          <t>P-0291</t>
        </is>
      </c>
      <c r="B294" s="11" t="inlineStr">
        <is>
          <t>open</t>
        </is>
      </c>
      <c r="C294" s="11" t="inlineStr">
        <is>
          <t>sentence</t>
        </is>
      </c>
      <c r="D294" s="11" t="inlineStr">
        <is>
          <t>2001-01-10</t>
        </is>
      </c>
      <c r="E294" s="11" t="n">
        <v>3</v>
      </c>
      <c r="F294" s="2" t="inlineStr">
        <is>
          <t>STATE OF PUNJAB v. N.C. BUDHARAJ (DEAD) BY L.RS., ETC. ETC</t>
        </is>
      </c>
      <c r="G294" s="2" t="n"/>
      <c r="H294" s="2" t="n"/>
      <c r="I294" s="2" t="inlineStr">
        <is>
          <t>The decision in Jenas case [1988 (1) SCC 418] taking a contra view does not lay down the correct position and stands overruled, prospectively, which means that this decision shall not entitle any party nor shall it empower any Court to reopen proceedings which have already become final, and apply only to any pending proceedings.</t>
        </is>
      </c>
      <c r="J294" s="11" t="inlineStr"/>
      <c r="K294" s="11" t="inlineStr">
        <is>
          <t>c17511</t>
        </is>
      </c>
      <c r="L294" s="11" t="inlineStr">
        <is>
          <t>2026-10-08</t>
        </is>
      </c>
      <c r="M294" s="11" t="n"/>
      <c r="N294" s="11" t="inlineStr">
        <is>
          <t>found</t>
        </is>
      </c>
    </row>
    <row r="295">
      <c r="A295" s="11" t="inlineStr">
        <is>
          <t>P-0292</t>
        </is>
      </c>
      <c r="B295" s="11" t="inlineStr">
        <is>
          <t>open</t>
        </is>
      </c>
      <c r="C295" s="11" t="inlineStr">
        <is>
          <t>sentence</t>
        </is>
      </c>
      <c r="D295" s="11" t="inlineStr">
        <is>
          <t>2001-01-10</t>
        </is>
      </c>
      <c r="E295" s="11" t="n">
        <v>5</v>
      </c>
      <c r="F295" s="2" t="inlineStr">
        <is>
          <t>EXECUTIVE ENGINEER, DHENKANAL MINOR IRRIGATION DIVISION,ETC.ETC v. N.C.BUDHARAJ (DEAD) BY L.RS.ETC.ETC</t>
        </is>
      </c>
      <c r="G295" s="2" t="n"/>
      <c r="H295" s="2" t="n"/>
      <c r="I295" s="2" t="inlineStr">
        <is>
          <t>The decision in Jenas case [1988 (1) SCC 418] taking a contra view does not lay down the correct position and stands overruled, prospectively, which means that this decision shall not entitle any party nor shall it empower any Court to reopen proceedings which have already become final, and apply only to any pending proceedings.</t>
        </is>
      </c>
      <c r="J295" s="11" t="inlineStr"/>
      <c r="K295" s="11" t="inlineStr">
        <is>
          <t>c30886</t>
        </is>
      </c>
      <c r="L295" s="11" t="inlineStr">
        <is>
          <t>2026-10-08</t>
        </is>
      </c>
      <c r="M295" s="11" t="n"/>
      <c r="N295" s="11" t="inlineStr">
        <is>
          <t>found</t>
        </is>
      </c>
    </row>
    <row r="296">
      <c r="A296" s="11" t="inlineStr">
        <is>
          <t>P-0293</t>
        </is>
      </c>
      <c r="B296" s="11" t="inlineStr">
        <is>
          <t>open</t>
        </is>
      </c>
      <c r="C296" s="11" t="inlineStr">
        <is>
          <t>sentence</t>
        </is>
      </c>
      <c r="D296" s="11" t="inlineStr">
        <is>
          <t>2001-03-26</t>
        </is>
      </c>
      <c r="E296" s="11" t="n">
        <v>3</v>
      </c>
      <c r="F296" s="2" t="inlineStr">
        <is>
          <t>SYNDICATE BANK v. PRABHA D. NAIK AND ANR. ETC</t>
        </is>
      </c>
      <c r="G296" s="2" t="n"/>
      <c r="H296" s="2" t="n"/>
      <c r="I296" s="2" t="inlineStr">
        <is>
          <t>At the cost of repitition we say that while implied repeal is not to be readily inferred but in the contextual facts, upon scrutiny, we cannot but hold that on the wake of the factum of the Limitation Act coming into existence from 1.1.1964, Article 535 of the Portuguese Civil Code cannot but be termed to be impliedly repealed and it is on this score that the decision of this Court in Justiniano’s</t>
        </is>
      </c>
      <c r="J296" s="11" t="inlineStr"/>
      <c r="K296" s="11" t="inlineStr">
        <is>
          <t>c20431</t>
        </is>
      </c>
      <c r="L296" s="11" t="inlineStr">
        <is>
          <t>2026-10-08</t>
        </is>
      </c>
      <c r="M296" s="11" t="n"/>
      <c r="N296" s="11" t="inlineStr">
        <is>
          <t>found</t>
        </is>
      </c>
    </row>
    <row r="297">
      <c r="A297" s="11" t="inlineStr">
        <is>
          <t>P-0294</t>
        </is>
      </c>
      <c r="B297" s="11" t="inlineStr">
        <is>
          <t>open</t>
        </is>
      </c>
      <c r="C297" s="11" t="inlineStr">
        <is>
          <t>sentence</t>
        </is>
      </c>
      <c r="D297" s="11" t="inlineStr">
        <is>
          <t>2001-05-01</t>
        </is>
      </c>
      <c r="E297" s="11" t="n">
        <v>5</v>
      </c>
      <c r="F297" s="2" t="inlineStr">
        <is>
          <t>KARNATAKA STATE ROAD TRANSPORT CORPN v. LAKSHMIDEVAMMA &amp; ANOTHER</t>
        </is>
      </c>
      <c r="G297" s="2" t="n"/>
      <c r="H297" s="2" t="n"/>
      <c r="I297" s="2" t="inlineStr">
        <is>
          <t>In view of above, I am of the opinion that the Shambu Nath Goyal’s case (supra) does not lay down correct law.</t>
        </is>
      </c>
      <c r="J297" s="11" t="inlineStr"/>
      <c r="K297" s="11" t="inlineStr">
        <is>
          <t>c30883</t>
        </is>
      </c>
      <c r="L297" s="11" t="inlineStr">
        <is>
          <t>2026-10-08</t>
        </is>
      </c>
      <c r="M297" s="11" t="n"/>
      <c r="N297" s="11" t="inlineStr">
        <is>
          <t>found</t>
        </is>
      </c>
    </row>
    <row r="298">
      <c r="A298" s="11" t="inlineStr">
        <is>
          <t>P-0295</t>
        </is>
      </c>
      <c r="B298" s="11" t="inlineStr">
        <is>
          <t>open</t>
        </is>
      </c>
      <c r="C298" s="11" t="inlineStr">
        <is>
          <t>sentence</t>
        </is>
      </c>
      <c r="D298" s="11" t="inlineStr">
        <is>
          <t>2002-04-16</t>
        </is>
      </c>
      <c r="E298" s="11" t="n">
        <v>5</v>
      </c>
      <c r="F298" s="2" t="inlineStr">
        <is>
          <t>PRADEEP KUMAR BISWAS v. IBNIDOILAONGYIN&amp;STOIRTSU.TE OF CHEMICAL</t>
        </is>
      </c>
      <c r="G298" s="2" t="n"/>
      <c r="H298" s="2" t="n"/>
      <c r="I298" s="2" t="inlineStr">
        <is>
          <t>Yet another judicial blow was dealt to the decision in Sabhajit Tewary when it was said: "Much water has flown down the Jamuna since the dicta in Sabhajit Tewary case and conceding that it is not specifically overruled in later decision, its ratio is considerably watered down so as to be a decision confined to its own facts." B. S. Minhas v. Indian Statistical Institute &amp; Ors. held that the Indian</t>
        </is>
      </c>
      <c r="J298" s="11" t="inlineStr"/>
      <c r="K298" s="11" t="inlineStr">
        <is>
          <t>c18411</t>
        </is>
      </c>
      <c r="L298" s="11" t="inlineStr">
        <is>
          <t>2026-10-08</t>
        </is>
      </c>
      <c r="M298" s="11" t="n"/>
      <c r="N298" s="11" t="inlineStr">
        <is>
          <t>found</t>
        </is>
      </c>
    </row>
    <row r="299">
      <c r="A299" s="11" t="inlineStr">
        <is>
          <t>P-0296</t>
        </is>
      </c>
      <c r="B299" s="11" t="inlineStr">
        <is>
          <t>open</t>
        </is>
      </c>
      <c r="C299" s="11" t="inlineStr">
        <is>
          <t>sentence</t>
        </is>
      </c>
      <c r="D299" s="11" t="inlineStr">
        <is>
          <t>2002-10-30</t>
        </is>
      </c>
      <c r="E299" s="11" t="n">
        <v>3</v>
      </c>
      <c r="F299" s="2" t="inlineStr">
        <is>
          <t>K.M. CHINNAPPA, T.N. Godavarman Thirumalpad v. Union of India and Ors</t>
        </is>
      </c>
      <c r="G299" s="2" t="n"/>
      <c r="H299" s="2" t="n"/>
      <c r="I299" s="2" t="inlineStr">
        <is>
          <t>Banshi Ram’s case on which emphasis was laid by the company is not good law in view of the subsequent decisions of this Court in Ambica Quarry Works v. State of Gujarat and Ors. (1987 (1) SCC 213).</t>
        </is>
      </c>
      <c r="J299" s="11" t="inlineStr"/>
      <c r="K299" s="11" t="inlineStr">
        <is>
          <t>c18743</t>
        </is>
      </c>
      <c r="L299" s="11" t="inlineStr">
        <is>
          <t>2026-10-08</t>
        </is>
      </c>
      <c r="M299" s="11" t="n"/>
      <c r="N299" s="11" t="inlineStr">
        <is>
          <t>found</t>
        </is>
      </c>
    </row>
    <row r="300">
      <c r="A300" s="11" t="inlineStr">
        <is>
          <t>P-0297</t>
        </is>
      </c>
      <c r="B300" s="11" t="inlineStr">
        <is>
          <t>open</t>
        </is>
      </c>
      <c r="C300" s="11" t="inlineStr">
        <is>
          <t>sentence</t>
        </is>
      </c>
      <c r="D300" s="11" t="inlineStr">
        <is>
          <t>2003-02-18</t>
        </is>
      </c>
      <c r="E300" s="11" t="n">
        <v>3</v>
      </c>
      <c r="F300" s="2" t="inlineStr">
        <is>
          <t>Maan Singh v. Union of India &amp; Ors</t>
        </is>
      </c>
      <c r="G300" s="2" t="n"/>
      <c r="H300" s="2" t="n"/>
      <c r="I300" s="2" t="inlineStr">
        <is>
          <t>It was also contended that the decision of this Court in State of Madhya Pradeshb vs. Harihar Gopal, 1969 SLR 274, is deemed to have been overruled.</t>
        </is>
      </c>
      <c r="J300" s="11" t="inlineStr"/>
      <c r="K300" s="11" t="inlineStr">
        <is>
          <t>c18927</t>
        </is>
      </c>
      <c r="L300" s="11" t="inlineStr">
        <is>
          <t>2026-10-08</t>
        </is>
      </c>
      <c r="M300" s="11" t="n"/>
      <c r="N300" s="11" t="inlineStr">
        <is>
          <t>found</t>
        </is>
      </c>
    </row>
    <row r="301">
      <c r="A301" s="11" t="inlineStr">
        <is>
          <t>P-0298</t>
        </is>
      </c>
      <c r="B301" s="11" t="inlineStr">
        <is>
          <t>open</t>
        </is>
      </c>
      <c r="C301" s="11" t="inlineStr">
        <is>
          <t>sentence</t>
        </is>
      </c>
      <c r="D301" s="11" t="inlineStr">
        <is>
          <t>2003-02-18</t>
        </is>
      </c>
      <c r="E301" s="11" t="n">
        <v>3</v>
      </c>
      <c r="F301" s="2" t="inlineStr">
        <is>
          <t>Shri Kirshna Gyanoday Sugar Ltd. &amp; Anr v. Vs. State of Bihar</t>
        </is>
      </c>
      <c r="G301" s="2" t="n"/>
      <c r="H301" s="2" t="n"/>
      <c r="I301" s="2" t="inlineStr">
        <is>
          <t>That the decision in Ishwari Khetan Sugar Mills (P) Ltd. &amp; Ors. vs. State of U.P. &amp; Ors., 1980 (4) SCC 136, stands overruled by the decision in Synthetics &amp; Chemicals Ltd. &amp; Ors. vs. State of U.P. &amp; Ors., 1990 (1) SCC 109; 3.</t>
        </is>
      </c>
      <c r="J301" s="11" t="inlineStr"/>
      <c r="K301" s="11" t="inlineStr">
        <is>
          <t>c19189</t>
        </is>
      </c>
      <c r="L301" s="11" t="inlineStr">
        <is>
          <t>2026-10-08</t>
        </is>
      </c>
      <c r="M301" s="11" t="n"/>
      <c r="N301" s="11" t="inlineStr">
        <is>
          <t>found</t>
        </is>
      </c>
    </row>
    <row r="302">
      <c r="A302" s="11" t="inlineStr">
        <is>
          <t>P-0299</t>
        </is>
      </c>
      <c r="B302" s="11" t="inlineStr">
        <is>
          <t>open</t>
        </is>
      </c>
      <c r="C302" s="11" t="inlineStr">
        <is>
          <t>sentence</t>
        </is>
      </c>
      <c r="D302" s="11" t="inlineStr">
        <is>
          <t>2003-02-19</t>
        </is>
      </c>
      <c r="E302" s="11" t="n">
        <v>3</v>
      </c>
      <c r="F302" s="2" t="inlineStr">
        <is>
          <t>IMDAD ALI v. KESHAV CHAND AND ORS</t>
        </is>
      </c>
      <c r="G302" s="2" t="n"/>
      <c r="H302" s="2" t="n"/>
      <c r="I302" s="2" t="inlineStr">
        <is>
          <t>We, however, do not subscribe to the general observations made in A.S. Sulachana’s case (supra) and to the said extent, it cannot be held to have laid down a good law’and is overruled accordingly.</t>
        </is>
      </c>
      <c r="J302" s="11" t="inlineStr"/>
      <c r="K302" s="11" t="inlineStr">
        <is>
          <t>c20683</t>
        </is>
      </c>
      <c r="L302" s="11" t="inlineStr">
        <is>
          <t>2026-10-08</t>
        </is>
      </c>
      <c r="M302" s="11" t="n"/>
      <c r="N302" s="11" t="inlineStr">
        <is>
          <t>found</t>
        </is>
      </c>
    </row>
    <row r="303">
      <c r="A303" s="11" t="inlineStr">
        <is>
          <t>P-0300</t>
        </is>
      </c>
      <c r="B303" s="11" t="inlineStr">
        <is>
          <t>open</t>
        </is>
      </c>
      <c r="C303" s="11" t="inlineStr">
        <is>
          <t>sentence</t>
        </is>
      </c>
      <c r="D303" s="11" t="inlineStr">
        <is>
          <t>2003-11-04</t>
        </is>
      </c>
      <c r="E303" s="11" t="n">
        <v>5</v>
      </c>
      <c r="F303" s="2" t="inlineStr">
        <is>
          <t>Saurabh Chaudri &amp; Ors v. Union of India &amp; Ors</t>
        </is>
      </c>
      <c r="G303" s="2" t="n"/>
      <c r="H303" s="2" t="n"/>
      <c r="I303" s="2" t="inlineStr">
        <is>
          <t>According to Shri Salve, Magan Mehrotra (supra), does not lay down the correct law and it is required to be overruled.</t>
        </is>
      </c>
      <c r="J303" s="11" t="inlineStr"/>
      <c r="K303" s="11" t="inlineStr">
        <is>
          <t>c30906</t>
        </is>
      </c>
      <c r="L303" s="11" t="inlineStr">
        <is>
          <t>2026-10-08</t>
        </is>
      </c>
      <c r="M303" s="11" t="n"/>
      <c r="N303" s="11" t="inlineStr">
        <is>
          <t>found</t>
        </is>
      </c>
    </row>
    <row r="304">
      <c r="A304" s="11" t="inlineStr">
        <is>
          <t>P-0301</t>
        </is>
      </c>
      <c r="B304" s="11" t="inlineStr">
        <is>
          <t>open</t>
        </is>
      </c>
      <c r="C304" s="11" t="inlineStr">
        <is>
          <t>sentence</t>
        </is>
      </c>
      <c r="D304" s="11" t="inlineStr">
        <is>
          <t>2004-01-05</t>
        </is>
      </c>
      <c r="E304" s="11" t="n">
        <v>4</v>
      </c>
      <c r="F304" s="2" t="inlineStr">
        <is>
          <t>National Insurance Co. Ltd v. Swaran Singh &amp; Ors</t>
        </is>
      </c>
      <c r="G304" s="2" t="n"/>
      <c r="H304" s="2" t="n"/>
      <c r="I304" s="2" t="inlineStr">
        <is>
          <t>The decisions of this Court in New India Assurance Co., Shimla vs. Kamla and Others etc. [(2001) 4 SCC 342] and United India Insurance Company Ltd. vs. Lehru and Others [(2003) 3 SCC 338] wherein it has been held that the court is entitled to issue a direction upon the insurer to satisfy the award and thereafter recover the same from the owner of the vehicle do not lay down the correct law and sho</t>
        </is>
      </c>
      <c r="J304" s="11" t="inlineStr"/>
      <c r="K304" s="11" t="inlineStr">
        <is>
          <t>c25765</t>
        </is>
      </c>
      <c r="L304" s="11" t="inlineStr">
        <is>
          <t>2026-10-08</t>
        </is>
      </c>
      <c r="M304" s="11" t="n"/>
      <c r="N304" s="11" t="inlineStr">
        <is>
          <t>found</t>
        </is>
      </c>
    </row>
    <row r="305">
      <c r="A305" s="11" t="inlineStr">
        <is>
          <t>P-0302</t>
        </is>
      </c>
      <c r="B305" s="11" t="inlineStr">
        <is>
          <t>open</t>
        </is>
      </c>
      <c r="C305" s="11" t="inlineStr">
        <is>
          <t>sentence</t>
        </is>
      </c>
      <c r="D305" s="11" t="inlineStr">
        <is>
          <t>2004-01-15</t>
        </is>
      </c>
      <c r="E305" s="11" t="n">
        <v>5</v>
      </c>
      <c r="F305" s="2" t="inlineStr">
        <is>
          <t>State of West Bengal v. Kesoram Industries Ltd. and Ors</t>
        </is>
      </c>
      <c r="G305" s="2" t="n"/>
      <c r="H305" s="2" t="n"/>
      <c r="I305" s="2" t="inlineStr">
        <is>
          <t>(2) SCC 686, is overruled.</t>
        </is>
      </c>
      <c r="J305" s="11" t="inlineStr"/>
      <c r="K305" s="11" t="inlineStr">
        <is>
          <t>c30880</t>
        </is>
      </c>
      <c r="L305" s="11" t="inlineStr">
        <is>
          <t>2026-10-08</t>
        </is>
      </c>
      <c r="M305" s="11" t="n"/>
      <c r="N305" s="11" t="inlineStr">
        <is>
          <t>found</t>
        </is>
      </c>
    </row>
    <row r="306">
      <c r="A306" s="11" t="inlineStr">
        <is>
          <t>P-0303</t>
        </is>
      </c>
      <c r="B306" s="11" t="inlineStr">
        <is>
          <t>open</t>
        </is>
      </c>
      <c r="C306" s="11" t="inlineStr">
        <is>
          <t>sentence</t>
        </is>
      </c>
      <c r="D306" s="11" t="inlineStr">
        <is>
          <t>2004-02-05</t>
        </is>
      </c>
      <c r="E306" s="11" t="n">
        <v>3</v>
      </c>
      <c r="F306" s="2" t="inlineStr">
        <is>
          <t>Union of India and Ors v. West Coast Paper Mills Ltd. &amp; Anr</t>
        </is>
      </c>
      <c r="G306" s="2" t="n"/>
      <c r="H306" s="2" t="n"/>
      <c r="I306" s="2" t="inlineStr">
        <is>
          <t>We, therefore, are of the opinion that P.K. Kutty (supra) does not lay down the law correctly and is overruled accordingly.</t>
        </is>
      </c>
      <c r="J306" s="11" t="inlineStr"/>
      <c r="K306" s="11" t="inlineStr">
        <is>
          <t>c25851</t>
        </is>
      </c>
      <c r="L306" s="11" t="inlineStr">
        <is>
          <t>2026-10-08</t>
        </is>
      </c>
      <c r="M306" s="11" t="n"/>
      <c r="N306" s="11" t="inlineStr">
        <is>
          <t>found</t>
        </is>
      </c>
    </row>
    <row r="307">
      <c r="A307" s="11" t="inlineStr">
        <is>
          <t>P-0304</t>
        </is>
      </c>
      <c r="B307" s="11" t="inlineStr">
        <is>
          <t>open</t>
        </is>
      </c>
      <c r="C307" s="11" t="inlineStr">
        <is>
          <t>sentence</t>
        </is>
      </c>
      <c r="D307" s="11" t="inlineStr">
        <is>
          <t>2004-03-12</t>
        </is>
      </c>
      <c r="E307" s="11" t="n">
        <v>3</v>
      </c>
      <c r="F307" s="2" t="inlineStr">
        <is>
          <t>R.L. Jain (D) by LRs v. DDA &amp; Ors</t>
        </is>
      </c>
      <c r="G307" s="2" t="n"/>
      <c r="H307" s="2" t="n"/>
      <c r="I307" s="2" t="inlineStr">
        <is>
          <t>For the reasons already indicated, we are of the opinion that the view taken in Special Tehsildar is legally correct and the view to the contrary taken in Assistant Commissioner, Gadag (supra), is not in accordance with law and is hereby overruled. 17.</t>
        </is>
      </c>
      <c r="J307" s="11" t="inlineStr"/>
      <c r="K307" s="11" t="inlineStr">
        <is>
          <t>c25972</t>
        </is>
      </c>
      <c r="L307" s="11" t="inlineStr">
        <is>
          <t>2026-10-08</t>
        </is>
      </c>
      <c r="M307" s="11" t="n"/>
      <c r="N307" s="11" t="inlineStr">
        <is>
          <t>found</t>
        </is>
      </c>
    </row>
    <row r="308">
      <c r="A308" s="11" t="inlineStr">
        <is>
          <t>P-0305</t>
        </is>
      </c>
      <c r="B308" s="11" t="inlineStr">
        <is>
          <t>open</t>
        </is>
      </c>
      <c r="C308" s="11" t="inlineStr">
        <is>
          <t>sentence</t>
        </is>
      </c>
      <c r="D308" s="11" t="inlineStr">
        <is>
          <t>2004-08-25</t>
        </is>
      </c>
      <c r="E308" s="11" t="n">
        <v>3</v>
      </c>
      <c r="F308" s="2" t="inlineStr">
        <is>
          <t>Adalat Prasad v. Rooplal Jindal &amp; Ors</t>
        </is>
      </c>
      <c r="G308" s="2" t="n"/>
      <c r="H308" s="2" t="n"/>
      <c r="I308" s="2" t="inlineStr">
        <is>
          <t>Therefore, we are of the opinion, that the view of this Court in Mathew’s case (supra) that no specific provision is required for recalling an erroneous order, amounting to one without jurisdiction, does not lay down the correct law.</t>
        </is>
      </c>
      <c r="J308" s="11" t="inlineStr"/>
      <c r="K308" s="11" t="inlineStr">
        <is>
          <t>c26355</t>
        </is>
      </c>
      <c r="L308" s="11" t="inlineStr">
        <is>
          <t>2026-10-08</t>
        </is>
      </c>
      <c r="M308" s="11" t="n"/>
      <c r="N308" s="11" t="inlineStr">
        <is>
          <t>found</t>
        </is>
      </c>
    </row>
    <row r="309">
      <c r="A309" s="11" t="inlineStr">
        <is>
          <t>P-0306</t>
        </is>
      </c>
      <c r="B309" s="11" t="inlineStr">
        <is>
          <t>open</t>
        </is>
      </c>
      <c r="C309" s="11" t="inlineStr">
        <is>
          <t>sentence</t>
        </is>
      </c>
      <c r="D309" s="11" t="inlineStr">
        <is>
          <t>2004-09-06</t>
        </is>
      </c>
      <c r="E309" s="11" t="n">
        <v>3</v>
      </c>
      <c r="F309" s="2" t="inlineStr">
        <is>
          <t>Mukesh K. Tripathi v. Sr. Divn. Manager, L.I.C. &amp; Ors</t>
        </is>
      </c>
      <c r="G309" s="2" t="n"/>
      <c r="H309" s="2" t="n"/>
      <c r="I309" s="2" t="inlineStr">
        <is>
          <t>It may be true, as has been submitted by Ms. Jaisingh, that S.K. Verma (supra) has not been expressly overruled in H.R. Adyanthaya (supra) but once the said decision has been held to have been rendered per incuriam, it cannot be said to have laid down a good law.</t>
        </is>
      </c>
      <c r="J309" s="11" t="inlineStr"/>
      <c r="K309" s="11" t="inlineStr">
        <is>
          <t>c26399</t>
        </is>
      </c>
      <c r="L309" s="11" t="inlineStr">
        <is>
          <t>2026-10-08</t>
        </is>
      </c>
      <c r="M309" s="11" t="n"/>
      <c r="N309" s="11" t="inlineStr">
        <is>
          <t>found</t>
        </is>
      </c>
    </row>
    <row r="310">
      <c r="A310" s="11" t="inlineStr">
        <is>
          <t>P-0307</t>
        </is>
      </c>
      <c r="B310" s="11" t="inlineStr">
        <is>
          <t>open</t>
        </is>
      </c>
      <c r="C310" s="11" t="inlineStr">
        <is>
          <t>sentence</t>
        </is>
      </c>
      <c r="D310" s="11" t="inlineStr">
        <is>
          <t>2004-10-07</t>
        </is>
      </c>
      <c r="E310" s="11" t="n">
        <v>3</v>
      </c>
      <c r="F310" s="2" t="inlineStr">
        <is>
          <t>P.S. Sathappan (Dead) by LRs v. Andhra Bank Ltd. &amp; Ors</t>
        </is>
      </c>
      <c r="G310" s="2" t="n"/>
      <c r="H310" s="2" t="n"/>
      <c r="I310" s="2" t="inlineStr">
        <is>
          <t>At this stage it must be mentioned that the abovementioned authority of the Allahabad High Court has been overruled by this Court in Shah Babulal Khimji vs. Jayaben D. Kania reported in (1981) 4 SCC 8.</t>
        </is>
      </c>
      <c r="J310" s="11" t="inlineStr"/>
      <c r="K310" s="11" t="inlineStr">
        <is>
          <t>c26525</t>
        </is>
      </c>
      <c r="L310" s="11" t="inlineStr">
        <is>
          <t>2026-10-08</t>
        </is>
      </c>
      <c r="M310" s="11" t="n"/>
      <c r="N310" s="11" t="inlineStr">
        <is>
          <t>found</t>
        </is>
      </c>
    </row>
    <row r="311">
      <c r="A311" s="11" t="inlineStr">
        <is>
          <t>P-0308</t>
        </is>
      </c>
      <c r="B311" s="11" t="inlineStr">
        <is>
          <t>open</t>
        </is>
      </c>
      <c r="C311" s="11" t="inlineStr">
        <is>
          <t>sentence</t>
        </is>
      </c>
      <c r="D311" s="11" t="inlineStr">
        <is>
          <t>2004-10-07</t>
        </is>
      </c>
      <c r="E311" s="11" t="n">
        <v>5</v>
      </c>
      <c r="F311" s="2" t="inlineStr">
        <is>
          <t>P.S. Sathappan (Dead) by Lrs v. Andhra Bank Ltd. &amp; Ors</t>
        </is>
      </c>
      <c r="G311" s="2" t="n"/>
      <c r="H311" s="2" t="n"/>
      <c r="I311" s="2" t="inlineStr">
        <is>
          <t>At this stage it must be mentioned that the abovementioned authority of the Allahabad High Court has been overruled by this Court in Shah Babulal Khimji vs. Jayaben D. Kania reported in (1981) 4 SCC 8.</t>
        </is>
      </c>
      <c r="J311" s="11" t="inlineStr"/>
      <c r="K311" s="11" t="inlineStr">
        <is>
          <t>c30233</t>
        </is>
      </c>
      <c r="L311" s="11" t="inlineStr">
        <is>
          <t>2026-10-08</t>
        </is>
      </c>
      <c r="M311" s="11" t="n"/>
      <c r="N311" s="11" t="inlineStr">
        <is>
          <t>found</t>
        </is>
      </c>
    </row>
    <row r="312">
      <c r="A312" s="11" t="inlineStr">
        <is>
          <t>P-0309</t>
        </is>
      </c>
      <c r="B312" s="11" t="inlineStr">
        <is>
          <t>open</t>
        </is>
      </c>
      <c r="C312" s="11" t="inlineStr">
        <is>
          <t>sentence</t>
        </is>
      </c>
      <c r="D312" s="11" t="inlineStr">
        <is>
          <t>2005-03-14</t>
        </is>
      </c>
      <c r="E312" s="11" t="n">
        <v>3</v>
      </c>
      <c r="F312" s="2" t="inlineStr">
        <is>
          <t>Andhra Bank v. Official Liquidator and Anr</t>
        </is>
      </c>
      <c r="G312" s="2" t="n"/>
      <c r="H312" s="2" t="n"/>
      <c r="I312" s="2" t="inlineStr">
        <is>
          <t>We have, therefore, no hesitation in holding that finding of this Court in Allahabad Bank (supra) to the aforementioned extent does not lay down the correct law.</t>
        </is>
      </c>
      <c r="J312" s="11" t="inlineStr"/>
      <c r="K312" s="11" t="inlineStr">
        <is>
          <t>c26869</t>
        </is>
      </c>
      <c r="L312" s="11" t="inlineStr">
        <is>
          <t>2026-10-08</t>
        </is>
      </c>
      <c r="M312" s="11" t="n"/>
      <c r="N312" s="11" t="inlineStr">
        <is>
          <t>found</t>
        </is>
      </c>
    </row>
    <row r="313">
      <c r="A313" s="11" t="inlineStr">
        <is>
          <t>P-0310</t>
        </is>
      </c>
      <c r="B313" s="11" t="inlineStr">
        <is>
          <t>open</t>
        </is>
      </c>
      <c r="C313" s="11" t="inlineStr">
        <is>
          <t>sentence</t>
        </is>
      </c>
      <c r="D313" s="11" t="inlineStr">
        <is>
          <t>2005-07-18</t>
        </is>
      </c>
      <c r="E313" s="11" t="n">
        <v>3</v>
      </c>
      <c r="F313" s="2" t="inlineStr">
        <is>
          <t>STATE OF H.P. and ORS v. GUJARAT AMBUJA CEMENT LTD. and ANR</t>
        </is>
      </c>
      <c r="G313" s="2" t="n"/>
      <c r="H313" s="2" t="n"/>
      <c r="I313" s="2" t="inlineStr">
        <is>
          <t>(17) The case of Firm Chhotabhai Jethabai Patel &amp; Co. v. State of M. P., [1953] SCR 476 is not good law and has been overruled by decisions of larger benches of this Court as pointed out by this Court is State of M. P. v. Yakinuddin, AIR (1962) SC 1916.</t>
        </is>
      </c>
      <c r="J313" s="11" t="inlineStr"/>
      <c r="K313" s="11" t="inlineStr">
        <is>
          <t>c29340</t>
        </is>
      </c>
      <c r="L313" s="11" t="inlineStr">
        <is>
          <t>2026-10-08</t>
        </is>
      </c>
      <c r="M313" s="11" t="n"/>
      <c r="N313" s="11" t="inlineStr">
        <is>
          <t>found</t>
        </is>
      </c>
    </row>
    <row r="314">
      <c r="A314" s="11" t="inlineStr">
        <is>
          <t>P-0311</t>
        </is>
      </c>
      <c r="B314" s="11" t="inlineStr">
        <is>
          <t>open</t>
        </is>
      </c>
      <c r="C314" s="11" t="inlineStr">
        <is>
          <t>sentence</t>
        </is>
      </c>
      <c r="D314" s="11" t="inlineStr">
        <is>
          <t>2005-08-05</t>
        </is>
      </c>
      <c r="E314" s="11" t="n">
        <v>3</v>
      </c>
      <c r="F314" s="2" t="inlineStr">
        <is>
          <t>Commissioner of Customs (General), N. Delhi v. M/s. Gujarat Perstorp Electronics Ltd</t>
        </is>
      </c>
      <c r="G314" s="2" t="n"/>
      <c r="H314" s="2" t="n"/>
      <c r="I314" s="2" t="inlineStr">
        <is>
          <t>It, therefore, could not have been interfered with by this Court as has been done in an appeal against the decision and the decision of this Court in Commissioner of Customs, New Delhi vs. Parasrampuria Synthetics Ltd. does not lay down correct law and deserves to be overruled.</t>
        </is>
      </c>
      <c r="J314" s="11" t="inlineStr"/>
      <c r="K314" s="11" t="inlineStr">
        <is>
          <t>c27097</t>
        </is>
      </c>
      <c r="L314" s="11" t="inlineStr">
        <is>
          <t>2026-10-08</t>
        </is>
      </c>
      <c r="M314" s="11" t="n"/>
      <c r="N314" s="11" t="inlineStr">
        <is>
          <t>found</t>
        </is>
      </c>
    </row>
    <row r="315">
      <c r="A315" s="11" t="inlineStr">
        <is>
          <t>P-0312</t>
        </is>
      </c>
      <c r="B315" s="11" t="inlineStr">
        <is>
          <t>open</t>
        </is>
      </c>
      <c r="C315" s="11" t="inlineStr">
        <is>
          <t>sentence</t>
        </is>
      </c>
      <c r="D315" s="11" t="inlineStr">
        <is>
          <t>2005-10-25</t>
        </is>
      </c>
      <c r="E315" s="11" t="n">
        <v>3</v>
      </c>
      <c r="F315" s="2" t="inlineStr">
        <is>
          <t>STATE OF KARNATAKA v. LAXUMAN</t>
        </is>
      </c>
      <c r="G315" s="2" t="n"/>
      <c r="H315" s="2" t="n"/>
      <c r="I315" s="2" t="inlineStr">
        <is>
          <t>Since, the High Court relied upon the case in Municipal Corporation of Athani (AIR 1969 SC 1335), which has stood overruled, the order of the High Court is unsustainable." This position is also supported by the reasoning in Kerala State Electricity Board vs. T.P. Kunhaliumma ( 1976 (4) SCC 634).</t>
        </is>
      </c>
      <c r="J315" s="11" t="inlineStr"/>
      <c r="K315" s="11" t="inlineStr">
        <is>
          <t>c27296</t>
        </is>
      </c>
      <c r="L315" s="11" t="inlineStr">
        <is>
          <t>2026-10-08</t>
        </is>
      </c>
      <c r="M315" s="11" t="n"/>
      <c r="N315" s="11" t="inlineStr">
        <is>
          <t>found</t>
        </is>
      </c>
    </row>
    <row r="316">
      <c r="A316" s="11" t="inlineStr">
        <is>
          <t>P-0313</t>
        </is>
      </c>
      <c r="B316" s="11" t="inlineStr">
        <is>
          <t>open</t>
        </is>
      </c>
      <c r="C316" s="11" t="inlineStr">
        <is>
          <t>sentence</t>
        </is>
      </c>
      <c r="D316" s="11" t="inlineStr">
        <is>
          <t>2005-10-26</t>
        </is>
      </c>
      <c r="E316" s="11" t="n">
        <v>4</v>
      </c>
      <c r="F316" s="2" t="inlineStr">
        <is>
          <t>M/S S.B.P. &amp; CO v. M/S PATEL ENGINEERING LTD. &amp; ANR</t>
        </is>
      </c>
      <c r="G316" s="2" t="n"/>
      <c r="H316" s="2" t="n"/>
      <c r="I316" s="2" t="inlineStr">
        <is>
          <t>Ltd. &amp; anr. Vs. Rani Construction Pvt. Ltd. [(2000) 8 SCC 159] is overruled. 44.</t>
        </is>
      </c>
      <c r="J316" s="11" t="inlineStr"/>
      <c r="K316" s="11" t="inlineStr">
        <is>
          <t>c27300</t>
        </is>
      </c>
      <c r="L316" s="11" t="inlineStr">
        <is>
          <t>2026-10-08</t>
        </is>
      </c>
      <c r="M316" s="11" t="n"/>
      <c r="N316" s="11" t="inlineStr">
        <is>
          <t>found</t>
        </is>
      </c>
    </row>
    <row r="317">
      <c r="A317" s="11" t="inlineStr">
        <is>
          <t>P-0314</t>
        </is>
      </c>
      <c r="B317" s="11" t="inlineStr">
        <is>
          <t>open</t>
        </is>
      </c>
      <c r="C317" s="11" t="inlineStr">
        <is>
          <t>sentence</t>
        </is>
      </c>
      <c r="D317" s="11" t="inlineStr">
        <is>
          <t>2006-04-13</t>
        </is>
      </c>
      <c r="E317" s="11" t="n">
        <v>5</v>
      </c>
      <c r="F317" s="2" t="inlineStr">
        <is>
          <t>Jindal Stainless Ltd. &amp; Anr v. State of Haryana &amp; Ors</t>
        </is>
      </c>
      <c r="G317" s="2" t="n"/>
      <c r="H317" s="2" t="n"/>
      <c r="I317" s="2" t="inlineStr">
        <is>
          <t>As stated above, we are confining this judgment only to the question as to whether the observations of this court in the case of Bhagatram1 (supra) followed by the judgment of this court in the case of Bihar Chamber of Commerce2 needs to be overruled in the light of the judgment of seven-Judge Constitution Bench in the case of Automobile Transport6.</t>
        </is>
      </c>
      <c r="J317" s="11" t="inlineStr"/>
      <c r="K317" s="11" t="inlineStr">
        <is>
          <t>c30885</t>
        </is>
      </c>
      <c r="L317" s="11" t="inlineStr">
        <is>
          <t>2026-10-08</t>
        </is>
      </c>
      <c r="M317" s="11" t="n"/>
      <c r="N317" s="11" t="inlineStr">
        <is>
          <t>found</t>
        </is>
      </c>
    </row>
    <row r="318">
      <c r="A318" s="11" t="inlineStr">
        <is>
          <t>P-0315</t>
        </is>
      </c>
      <c r="B318" s="11" t="inlineStr">
        <is>
          <t>open</t>
        </is>
      </c>
      <c r="C318" s="11" t="inlineStr">
        <is>
          <t>sentence</t>
        </is>
      </c>
      <c r="D318" s="11" t="inlineStr">
        <is>
          <t>2006-04-13</t>
        </is>
      </c>
      <c r="E318" s="11" t="n">
        <v>5</v>
      </c>
      <c r="F318" s="2" t="inlineStr">
        <is>
          <t>Jindal Stainless Ltd. &amp; Anr v. State of Haryana &amp; Ors</t>
        </is>
      </c>
      <c r="G318" s="2" t="n"/>
      <c r="H318" s="2" t="n"/>
      <c r="I318" s="2" t="inlineStr">
        <is>
          <t>Therefore, in our view, the test of "some connection" as propounded in Bhagatram’s case1 is not applicable to the concept of compensatory tax and accordingly to that extent, the judgments of this Court in Bhagatram Rajeevkumar v. Commissioner of Sales Tax, M.P.1 and State of Bihar v. Bihar Chamber of Commerce2 stand overruled.</t>
        </is>
      </c>
      <c r="J318" s="11" t="inlineStr"/>
      <c r="K318" s="11" t="inlineStr">
        <is>
          <t>c30885</t>
        </is>
      </c>
      <c r="L318" s="11" t="inlineStr">
        <is>
          <t>2026-10-08</t>
        </is>
      </c>
      <c r="M318" s="11" t="n"/>
      <c r="N318" s="11" t="inlineStr">
        <is>
          <t>found</t>
        </is>
      </c>
    </row>
    <row r="319">
      <c r="A319" s="11" t="inlineStr">
        <is>
          <t>P-0316</t>
        </is>
      </c>
      <c r="B319" s="11" t="inlineStr">
        <is>
          <t>open</t>
        </is>
      </c>
      <c r="C319" s="11" t="inlineStr">
        <is>
          <t>sentence</t>
        </is>
      </c>
      <c r="D319" s="11" t="inlineStr">
        <is>
          <t>2006-10-19</t>
        </is>
      </c>
      <c r="E319" s="11" t="n">
        <v>3</v>
      </c>
      <c r="F319" s="2" t="inlineStr">
        <is>
          <t>Gurpreet Singh v. Union of India</t>
        </is>
      </c>
      <c r="G319" s="2" t="n"/>
      <c r="H319" s="2" t="n"/>
      <c r="I319" s="2" t="inlineStr">
        <is>
          <t>Thus, one part of the decision in Prem Nath Kapur (supra) stood overruled, though the Constitution Bench did not say anything about the other aspect dealt with therein, namely, the mode of appropriation of the amount due under an award decree.</t>
        </is>
      </c>
      <c r="J319" s="11" t="inlineStr"/>
      <c r="K319" s="11" t="inlineStr">
        <is>
          <t>c28157</t>
        </is>
      </c>
      <c r="L319" s="11" t="inlineStr">
        <is>
          <t>2026-10-08</t>
        </is>
      </c>
      <c r="M319" s="11" t="n"/>
      <c r="N319" s="11" t="inlineStr">
        <is>
          <t>found</t>
        </is>
      </c>
    </row>
    <row r="320">
      <c r="A320" s="11" t="inlineStr">
        <is>
          <t>P-0317</t>
        </is>
      </c>
      <c r="B320" s="11" t="inlineStr">
        <is>
          <t>open</t>
        </is>
      </c>
      <c r="C320" s="11" t="inlineStr">
        <is>
          <t>sentence</t>
        </is>
      </c>
      <c r="D320" s="11" t="inlineStr">
        <is>
          <t>2007-01-11</t>
        </is>
      </c>
      <c r="E320" s="11" t="n">
        <v>3</v>
      </c>
      <c r="F320" s="2" t="inlineStr">
        <is>
          <t>I.R.Coelho (Dead) By LRs v. State of Tamil Nadu &amp; Ors</t>
        </is>
      </c>
      <c r="G320" s="2" t="n"/>
      <c r="H320" s="2" t="n"/>
      <c r="I320" s="2" t="inlineStr">
        <is>
          <t>It is trite knowledge that Golaknath was overruled in Kesavananda Bharati (supra) in which it was held unanimously that the power to amend the Constitution was to be found in Article 368 of the Constitution.</t>
        </is>
      </c>
      <c r="J320" s="11" t="inlineStr"/>
      <c r="K320" s="11" t="inlineStr">
        <is>
          <t>c30879</t>
        </is>
      </c>
      <c r="L320" s="11" t="inlineStr">
        <is>
          <t>2026-10-08</t>
        </is>
      </c>
      <c r="M320" s="11" t="n"/>
      <c r="N320" s="11" t="inlineStr">
        <is>
          <t>found</t>
        </is>
      </c>
    </row>
    <row r="321">
      <c r="A321" s="11" t="inlineStr">
        <is>
          <t>P-0318</t>
        </is>
      </c>
      <c r="B321" s="11" t="inlineStr">
        <is>
          <t>open</t>
        </is>
      </c>
      <c r="C321" s="11" t="inlineStr">
        <is>
          <t>sentence</t>
        </is>
      </c>
      <c r="D321" s="11" t="inlineStr">
        <is>
          <t>2007-08-13</t>
        </is>
      </c>
      <c r="E321" s="11" t="n">
        <v>3</v>
      </c>
      <c r="F321" s="2" t="inlineStr">
        <is>
          <t>Asian Thermal Insulation (I) P. Ltd v. Bridge &amp; Roof Co. (I) Ltd</t>
        </is>
      </c>
      <c r="G321" s="2" t="n"/>
      <c r="H321" s="2" t="n"/>
      <c r="I321" s="2" t="inlineStr">
        <is>
          <t>Ltd. v. Rani construction (P) Ltd. is overruled\024. 5.</t>
        </is>
      </c>
      <c r="J321" s="11" t="inlineStr"/>
      <c r="K321" s="11" t="inlineStr">
        <is>
          <t>c29310</t>
        </is>
      </c>
      <c r="L321" s="11" t="inlineStr">
        <is>
          <t>2026-10-08</t>
        </is>
      </c>
      <c r="M321" s="11" t="n"/>
      <c r="N321" s="11" t="inlineStr">
        <is>
          <t>found</t>
        </is>
      </c>
    </row>
    <row r="322">
      <c r="A322" s="11" t="inlineStr">
        <is>
          <t>P-0319</t>
        </is>
      </c>
      <c r="B322" s="11" t="inlineStr">
        <is>
          <t>open</t>
        </is>
      </c>
      <c r="C322" s="11" t="inlineStr">
        <is>
          <t>sentence</t>
        </is>
      </c>
      <c r="D322" s="11" t="inlineStr">
        <is>
          <t>2008-11-04</t>
        </is>
      </c>
      <c r="E322" s="11" t="n">
        <v>3</v>
      </c>
      <c r="F322" s="2" t="inlineStr">
        <is>
          <t>Official Liquidator v. Dayanand and Others</t>
        </is>
      </c>
      <c r="G322" s="2" t="n"/>
      <c r="H322" s="2" t="n"/>
      <c r="I322" s="2" t="inlineStr">
        <is>
          <t>By virtue of Article 141 of the Constitution, the judgment of the Constitution Bench in Secretary, State of Karnataka vs. Uma Devi (supra) is binding on all the courts including this Court till the same is overruled by a larger Bench.</t>
        </is>
      </c>
      <c r="J322" s="11" t="inlineStr"/>
      <c r="K322" s="11" t="inlineStr">
        <is>
          <t>c32874</t>
        </is>
      </c>
      <c r="L322" s="11" t="inlineStr">
        <is>
          <t>2026-10-08</t>
        </is>
      </c>
      <c r="M322" s="11" t="n"/>
      <c r="N322" s="11" t="inlineStr">
        <is>
          <t>found</t>
        </is>
      </c>
    </row>
    <row r="323">
      <c r="A323" s="11" t="inlineStr">
        <is>
          <t>P-0320</t>
        </is>
      </c>
      <c r="B323" s="11" t="inlineStr">
        <is>
          <t>open</t>
        </is>
      </c>
      <c r="C323" s="11" t="inlineStr">
        <is>
          <t>sentence</t>
        </is>
      </c>
      <c r="D323" s="11" t="inlineStr">
        <is>
          <t>2009-08-27</t>
        </is>
      </c>
      <c r="E323" s="11" t="n">
        <v>3</v>
      </c>
      <c r="F323" s="2" t="inlineStr">
        <is>
          <t>The State of Maharashtra &amp; Anr v. M/s. Super Max International Pvt. Ltd. &amp; Ors</t>
        </is>
      </c>
      <c r="G323" s="2" t="n"/>
      <c r="H323" s="2" t="n"/>
      <c r="I323" s="2" t="inlineStr">
        <is>
          <t>The observations of this Court in the decision of the seven-Judge Bench in the case of V. Dhanapal Chettiar vs. Yesodai Ammal which we have earlier quoted appear to conclude the question.” In paragraph 33 of the decision the Court expressed its inability to agree with the observations made by the three-Judge bench in Ganpat Ladha and in paragraph 35 it stated more explicitly that the view expresse</t>
        </is>
      </c>
      <c r="J323" s="11" t="inlineStr"/>
      <c r="K323" s="11" t="inlineStr">
        <is>
          <t>c35386</t>
        </is>
      </c>
      <c r="L323" s="11" t="inlineStr">
        <is>
          <t>2026-10-08</t>
        </is>
      </c>
      <c r="M323" s="11" t="n"/>
      <c r="N323" s="11" t="inlineStr">
        <is>
          <t>found</t>
        </is>
      </c>
    </row>
    <row r="324">
      <c r="A324" s="11" t="inlineStr">
        <is>
          <t>P-0321</t>
        </is>
      </c>
      <c r="B324" s="11" t="inlineStr">
        <is>
          <t>open</t>
        </is>
      </c>
      <c r="C324" s="11" t="inlineStr">
        <is>
          <t>sentence</t>
        </is>
      </c>
      <c r="D324" s="11" t="inlineStr">
        <is>
          <t>2009-12-02</t>
        </is>
      </c>
      <c r="E324" s="11" t="n">
        <v>3</v>
      </c>
      <c r="F324" s="2" t="inlineStr">
        <is>
          <t>Dr. Gulshan Prakash &amp; Ors v. State of Haryana &amp; Ors</t>
        </is>
      </c>
      <c r="G324" s="2" t="n"/>
      <c r="H324" s="2" t="n"/>
      <c r="I324" s="2" t="inlineStr">
        <is>
          <t>We need to examine only whether any special provision in the form of lower qualifying marks in PGMEE can be prescribed for the reserved category” After discussing relevant aspects and earlier decisions this Court concluded:- “In the premises, we agree with the reasoning and conclusion in Dr Sadhna Devi v. State of U.P. and we overrule the reasoning and conclusions in Ajay Kumar Singh v. State of B</t>
        </is>
      </c>
      <c r="J324" s="11" t="inlineStr"/>
      <c r="K324" s="11" t="inlineStr">
        <is>
          <t>c35755</t>
        </is>
      </c>
      <c r="L324" s="11" t="inlineStr">
        <is>
          <t>2026-10-08</t>
        </is>
      </c>
      <c r="M324" s="11" t="n"/>
      <c r="N324" s="11" t="inlineStr">
        <is>
          <t>found</t>
        </is>
      </c>
    </row>
    <row r="325">
      <c r="A325" s="11" t="inlineStr">
        <is>
          <t>P-0322</t>
        </is>
      </c>
      <c r="B325" s="11" t="inlineStr">
        <is>
          <t>open</t>
        </is>
      </c>
      <c r="C325" s="11" t="inlineStr">
        <is>
          <t>sentence</t>
        </is>
      </c>
      <c r="D325" s="11" t="inlineStr">
        <is>
          <t>2012-02-17</t>
        </is>
      </c>
      <c r="E325" s="11" t="n">
        <v>3</v>
      </c>
      <c r="F325" s="2" t="inlineStr">
        <is>
          <t>Rattiram &amp; Ors v. State of M. P. Through Inspector of Police</t>
        </is>
      </c>
      <c r="G325" s="2" t="n"/>
      <c r="H325" s="2" t="n"/>
      <c r="I325" s="2" t="inlineStr">
        <is>
          <t>The decisions rendered in 45 Moly (supra) and Vidyadharan (supra) have not noted the decision in Bhooraji (supra), a binding precedent, and hence they are per incuriam and further, the law laid down therein, whereby the conviction is set aside or matter is remanded after setting aside the conviction for fresh trial, does not expound the correct proposition of law and, accordingly, they are hereby,</t>
        </is>
      </c>
      <c r="J325" s="11" t="inlineStr"/>
      <c r="K325" s="11" t="inlineStr">
        <is>
          <t>c39092</t>
        </is>
      </c>
      <c r="L325" s="11" t="inlineStr">
        <is>
          <t>2026-10-08</t>
        </is>
      </c>
      <c r="M325" s="11" t="n"/>
      <c r="N325" s="11" t="inlineStr">
        <is>
          <t>found</t>
        </is>
      </c>
    </row>
    <row r="326">
      <c r="A326" s="11" t="inlineStr">
        <is>
          <t>P-0323</t>
        </is>
      </c>
      <c r="B326" s="11" t="inlineStr">
        <is>
          <t>open</t>
        </is>
      </c>
      <c r="C326" s="11" t="inlineStr">
        <is>
          <t>sentence</t>
        </is>
      </c>
      <c r="D326" s="11" t="inlineStr">
        <is>
          <t>2012-04-27</t>
        </is>
      </c>
      <c r="E326" s="11" t="n">
        <v>3</v>
      </c>
      <c r="F326" s="2" t="inlineStr">
        <is>
          <t>Aneeta Hada v. M/s. Godfather Travels &amp; Tours Pvt. Ltd</t>
        </is>
      </c>
      <c r="G326" s="2" t="n"/>
      <c r="H326" s="2" t="n"/>
      <c r="I326" s="2" t="inlineStr">
        <is>
          <t>Thus, the view expressed in Sheoratan Agarwal (supra) does not correctly lay down the law and, accordingly, is hereby overruled.</t>
        </is>
      </c>
      <c r="J326" s="11" t="inlineStr"/>
      <c r="K326" s="11" t="inlineStr">
        <is>
          <t>c39265</t>
        </is>
      </c>
      <c r="L326" s="11" t="inlineStr">
        <is>
          <t>2026-10-08</t>
        </is>
      </c>
      <c r="M326" s="11" t="n"/>
      <c r="N326" s="11" t="inlineStr">
        <is>
          <t>found</t>
        </is>
      </c>
    </row>
    <row r="327">
      <c r="A327" s="11" t="inlineStr">
        <is>
          <t>P-0324</t>
        </is>
      </c>
      <c r="B327" s="11" t="inlineStr">
        <is>
          <t>open</t>
        </is>
      </c>
      <c r="C327" s="11" t="inlineStr">
        <is>
          <t>sentence</t>
        </is>
      </c>
      <c r="D327" s="11" t="inlineStr">
        <is>
          <t>2012-04-27</t>
        </is>
      </c>
      <c r="E327" s="11" t="n">
        <v>3</v>
      </c>
      <c r="F327" s="2" t="inlineStr">
        <is>
          <t>Aneeta Hada v. M/s. Godfather Travels &amp; Tours Pvt. Ltd</t>
        </is>
      </c>
      <c r="G327" s="2" t="n"/>
      <c r="H327" s="2" t="n"/>
      <c r="I327" s="2" t="inlineStr">
        <is>
          <t>The decision in Anil Hada (supra) is overruled with the qualifier as stated in paragraph 37.</t>
        </is>
      </c>
      <c r="J327" s="11" t="inlineStr"/>
      <c r="K327" s="11" t="inlineStr">
        <is>
          <t>c39265</t>
        </is>
      </c>
      <c r="L327" s="11" t="inlineStr">
        <is>
          <t>2026-10-08</t>
        </is>
      </c>
      <c r="M327" s="11" t="n"/>
      <c r="N327" s="11" t="inlineStr">
        <is>
          <t>found</t>
        </is>
      </c>
    </row>
    <row r="328">
      <c r="A328" s="11" t="inlineStr">
        <is>
          <t>P-0325</t>
        </is>
      </c>
      <c r="B328" s="11" t="inlineStr">
        <is>
          <t>open</t>
        </is>
      </c>
      <c r="C328" s="11" t="inlineStr">
        <is>
          <t>sentence</t>
        </is>
      </c>
      <c r="D328" s="11" t="inlineStr">
        <is>
          <t>2012-09-26</t>
        </is>
      </c>
      <c r="E328" s="11" t="n">
        <v>3</v>
      </c>
      <c r="F328" s="2" t="inlineStr">
        <is>
          <t>MSR Leathers v. S. Palaniappan &amp; Anr</t>
        </is>
      </c>
      <c r="G328" s="2" t="n"/>
      <c r="H328" s="2" t="n"/>
      <c r="I328" s="2" t="inlineStr">
        <is>
          <t>In the result, we overrule the decision in Sadanandan Bhadran’s case (supra) and hold that prosecution based upon second or successive dishonour of the cheque is also permissible so long as the same satisfies the requirements stipulated in the proviso to Section 138 of the Negotiable Instruments Act.</t>
        </is>
      </c>
      <c r="J328" s="11" t="inlineStr"/>
      <c r="K328" s="11" t="inlineStr">
        <is>
          <t>c39586</t>
        </is>
      </c>
      <c r="L328" s="11" t="inlineStr">
        <is>
          <t>2026-10-08</t>
        </is>
      </c>
      <c r="M328" s="11" t="n"/>
      <c r="N328" s="11" t="inlineStr">
        <is>
          <t>found</t>
        </is>
      </c>
    </row>
    <row r="329">
      <c r="A329" s="11" t="inlineStr">
        <is>
          <t>P-0326</t>
        </is>
      </c>
      <c r="B329" s="11" t="inlineStr">
        <is>
          <t>open</t>
        </is>
      </c>
      <c r="C329" s="11" t="inlineStr">
        <is>
          <t>tag</t>
        </is>
      </c>
      <c r="D329" s="11" t="inlineStr">
        <is>
          <t>2013-04-23</t>
        </is>
      </c>
      <c r="E329" s="11" t="n">
        <v>3</v>
      </c>
      <c r="F329" s="2" t="inlineStr">
        <is>
          <t>VIRENDER JAIN versus ALAKNANDA COOPERATIVE GROUP HOUSING  SOCIETY LIMITED AND OTHERS</t>
        </is>
      </c>
      <c r="G329" s="2" t="inlineStr">
        <is>
          <t>*B.K. Prabha v. Secretary Kendriya Upadyarasanga</t>
        </is>
      </c>
      <c r="H329" s="2" t="inlineStr">
        <is>
          <t>(2004) 2 CLT 305</t>
        </is>
      </c>
      <c r="I329" s="2" t="inlineStr">
        <is>
          <t>overruled</t>
        </is>
      </c>
      <c r="J329" s="11" t="inlineStr"/>
      <c r="K329" s="11" t="inlineStr">
        <is>
          <t>b2013_2_1058_1069</t>
        </is>
      </c>
      <c r="L329" s="11" t="inlineStr">
        <is>
          <t>2026-10-08</t>
        </is>
      </c>
      <c r="M329" s="11" t="n"/>
      <c r="N329" s="11" t="inlineStr">
        <is>
          <t>found</t>
        </is>
      </c>
    </row>
    <row r="330">
      <c r="A330" s="11" t="inlineStr">
        <is>
          <t>P-0327</t>
        </is>
      </c>
      <c r="B330" s="11" t="inlineStr">
        <is>
          <t>open</t>
        </is>
      </c>
      <c r="C330" s="11" t="inlineStr">
        <is>
          <t>sentence</t>
        </is>
      </c>
      <c r="D330" s="11" t="inlineStr">
        <is>
          <t>2014-05-06</t>
        </is>
      </c>
      <c r="E330" s="11" t="n">
        <v>5</v>
      </c>
      <c r="F330" s="2" t="inlineStr">
        <is>
          <t>M/S. Kone Elevator India Pvt. Ltd v. State of Tamil Nadu and Ors</t>
        </is>
      </c>
      <c r="G330" s="2" t="n"/>
      <c r="H330" s="2" t="n"/>
      <c r="I330" s="2" t="inlineStr">
        <is>
          <t>Thus analysed, we conclude and hold that the decision rendered in Kone Elevators (supra) does not correctly lay down the law and it is, accordingly, overruled. 65.</t>
        </is>
      </c>
      <c r="J330" s="11" t="inlineStr"/>
      <c r="K330" s="11" t="inlineStr">
        <is>
          <t>c41510</t>
        </is>
      </c>
      <c r="L330" s="11" t="inlineStr">
        <is>
          <t>2026-10-08</t>
        </is>
      </c>
      <c r="M330" s="11" t="n"/>
      <c r="N330" s="11" t="inlineStr">
        <is>
          <t>found</t>
        </is>
      </c>
    </row>
    <row r="331">
      <c r="A331" s="11" t="inlineStr">
        <is>
          <t>P-0328</t>
        </is>
      </c>
      <c r="B331" s="11" t="inlineStr">
        <is>
          <t>open</t>
        </is>
      </c>
      <c r="C331" s="11" t="inlineStr">
        <is>
          <t>sentence</t>
        </is>
      </c>
      <c r="D331" s="11" t="inlineStr">
        <is>
          <t>2015-09-18</t>
        </is>
      </c>
      <c r="E331" s="11" t="n">
        <v>3</v>
      </c>
      <c r="F331" s="2" t="inlineStr">
        <is>
          <t>Nos. 31423-31424 /2010) Ram Niranjan Kajaria v. Sheo Prakash Kajaria and others</t>
        </is>
      </c>
      <c r="G331" s="2" t="n"/>
      <c r="H331" s="2" t="n"/>
      <c r="I331" s="2" t="inlineStr">
        <is>
          <t>To that extent, the proposition of law that even an admission can be 16 Page 17 JUDGMENT withdrawn, as held in Panchdeo Narain Srivastava (supra), does not reflect the correct legal position and it is overruled. 25.</t>
        </is>
      </c>
      <c r="J331" s="11" t="inlineStr"/>
      <c r="K331" s="11" t="inlineStr">
        <is>
          <t>c42961</t>
        </is>
      </c>
      <c r="L331" s="11" t="inlineStr">
        <is>
          <t>2026-10-08</t>
        </is>
      </c>
      <c r="M331" s="11" t="n"/>
      <c r="N331" s="11" t="inlineStr">
        <is>
          <t>found</t>
        </is>
      </c>
    </row>
    <row r="332">
      <c r="A332" s="11" t="inlineStr">
        <is>
          <t>P-0329</t>
        </is>
      </c>
      <c r="B332" s="11" t="inlineStr">
        <is>
          <t>open</t>
        </is>
      </c>
      <c r="C332" s="11" t="inlineStr">
        <is>
          <t>sentence</t>
        </is>
      </c>
      <c r="D332" s="11" t="inlineStr">
        <is>
          <t>2015-12-02</t>
        </is>
      </c>
      <c r="E332" s="11" t="n">
        <v>6</v>
      </c>
      <c r="F332" s="2" t="inlineStr">
        <is>
          <t>Union of India v. V. Sriharan @ Murugan &amp; Ors</t>
        </is>
      </c>
      <c r="G332" s="2" t="n"/>
      <c r="H332" s="2" t="n"/>
      <c r="I332" s="2" t="inlineStr">
        <is>
          <t>We are, therefore, not in agreement with the opinion expressed by this Court in Sangeet and Anr. v. Page 106 JUDGMENT State of Haryana – 2013 (2) SCC 452 that the deprival of remission power of the Appropriate Government by awarding sentences of 20 or 25 years or without any remission as not permissible is not in consonance with the law and we specifically overrule the same. 106.</t>
        </is>
      </c>
      <c r="J332" s="11" t="inlineStr"/>
      <c r="K332" s="11" t="inlineStr">
        <is>
          <t>c43153</t>
        </is>
      </c>
      <c r="L332" s="11" t="inlineStr">
        <is>
          <t>2026-10-08</t>
        </is>
      </c>
      <c r="M332" s="11" t="n"/>
      <c r="N332" s="11" t="inlineStr">
        <is>
          <t>found</t>
        </is>
      </c>
    </row>
  </sheetData>
  <autoFilter ref="A3:N332"/>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6" customWidth="1" min="3" max="3"/>
    <col width="16" customWidth="1" min="4" max="4"/>
    <col width="16" customWidth="1" min="5" max="5"/>
    <col width="16" customWidth="1" min="6" max="6"/>
    <col width="60" customWidth="1" min="7" max="7"/>
    <col width="16" customWidth="1" min="8" max="8"/>
    <col width="40" customWidth="1" min="9" max="9"/>
    <col width="16" customWidth="1" min="10" max="10"/>
    <col width="16" customWidth="1" min="11" max="11"/>
    <col width="16" customWidth="1" min="12" max="12"/>
    <col width="16" customWidth="1" min="13" max="13"/>
    <col width="90" customWidth="1" min="14" max="14"/>
  </cols>
  <sheetData>
    <row r="1" ht="44" customHeight="1">
      <c r="A1" s="9" t="inlineStr">
        <is>
          <t>The checker's open warnings (cases the site can show whose later history looks adverse). Both are already candidate rows in the register. A person confirms or clears them at the weekly review.</t>
        </is>
      </c>
    </row>
    <row r="3">
      <c r="A3" s="10" t="inlineStr">
        <is>
          <t>Flag</t>
        </is>
      </c>
      <c r="B3" s="10" t="inlineStr">
        <is>
          <t>State</t>
        </is>
      </c>
      <c r="C3" s="10" t="inlineStr">
        <is>
          <t>Case</t>
        </is>
      </c>
      <c r="D3" s="10" t="inlineStr">
        <is>
          <t>Citation</t>
        </is>
      </c>
      <c r="E3" s="10" t="inlineStr">
        <is>
          <t>Year</t>
        </is>
      </c>
      <c r="F3" s="10" t="inlineStr">
        <is>
          <t>Checker status</t>
        </is>
      </c>
      <c r="G3" s="10" t="inlineStr">
        <is>
          <t>Note the site would show</t>
        </is>
      </c>
      <c r="H3" s="10" t="inlineStr">
        <is>
          <t>Register rows</t>
        </is>
      </c>
      <c r="I3" s="10" t="inlineStr">
        <is>
          <t>Later judgment</t>
        </is>
      </c>
      <c r="J3" s="10" t="inlineStr">
        <is>
          <t>Date</t>
        </is>
      </c>
      <c r="K3" s="10" t="inlineStr">
        <is>
          <t>Bench</t>
        </is>
      </c>
      <c r="L3" s="10" t="inlineStr">
        <is>
          <t>Cue</t>
        </is>
      </c>
      <c r="M3" s="10" t="inlineStr">
        <is>
          <t>Reading</t>
        </is>
      </c>
      <c r="N3" s="10" t="inlineStr">
        <is>
          <t>Quoted evidence</t>
        </is>
      </c>
    </row>
    <row r="4">
      <c r="A4" s="11" t="inlineStr">
        <is>
          <t>F-mohan-lal-v-state-of-punjab</t>
        </is>
      </c>
      <c r="B4" s="11" t="inlineStr">
        <is>
          <t>open</t>
        </is>
      </c>
      <c r="C4" s="2" t="inlineStr">
        <is>
          <t>Mohan Lal v State of Punjab</t>
        </is>
      </c>
      <c r="D4" s="11" t="inlineStr">
        <is>
          <t>(2018) 17 SCC 627</t>
        </is>
      </c>
      <c r="E4" s="11" t="n">
        <v>2018</v>
      </c>
      <c r="F4" s="11" t="inlineStr">
        <is>
          <t>ADVERSE_SIGNAL</t>
        </is>
      </c>
      <c r="G4" s="2" t="inlineStr">
        <is>
          <t>A later five-judge bench of the Supreme Court (2020) appears to overrule or reject this case, in whole or in part, so check it before relying on this case.</t>
        </is>
      </c>
      <c r="H4" s="11" t="inlineStr">
        <is>
          <t>L2-034</t>
        </is>
      </c>
      <c r="I4" s="2" t="inlineStr">
        <is>
          <t>MUKESH SINGH versus STATE (NARCOTIC BRANCH OF DELHI)</t>
        </is>
      </c>
      <c r="J4" s="11" t="inlineStr">
        <is>
          <t>2020-08-31</t>
        </is>
      </c>
      <c r="K4" s="11" t="n">
        <v>5</v>
      </c>
      <c r="L4" s="11" t="inlineStr">
        <is>
          <t>are not good law</t>
        </is>
      </c>
      <c r="M4" s="11" t="inlineStr">
        <is>
          <t>OVERRULES</t>
        </is>
      </c>
      <c r="N4" s="2" t="inlineStr">
        <is>
          <t>MUKESH SINGH v. STATE (NARCOTIC BRANCH OF DELHI) (Special Leave Petition (Criminal) Diary No. 39528 of 2018) AUGUST 31, 2020 [ARUN MISHRA, INDIRA BANERJEE,VINEET SARAN, M. R. SHAH AND S. RAVINDRA BHAT, JJ.] Narcotic Drugs and Psychotropic Substances Act, 1985 – Informant-police officer who is the co</t>
        </is>
      </c>
    </row>
    <row r="5">
      <c r="A5" s="11" t="inlineStr">
        <is>
          <t>F-mohan-lal-v-state-of-punjab</t>
        </is>
      </c>
      <c r="B5" s="11" t="inlineStr">
        <is>
          <t>open</t>
        </is>
      </c>
      <c r="C5" s="2" t="inlineStr">
        <is>
          <t>Mohan Lal v State of Punjab</t>
        </is>
      </c>
      <c r="D5" s="11" t="inlineStr">
        <is>
          <t>(2018) 17 SCC 627</t>
        </is>
      </c>
      <c r="E5" s="11" t="n">
        <v>2018</v>
      </c>
      <c r="F5" s="11" t="inlineStr">
        <is>
          <t>ADVERSE_SIGNAL</t>
        </is>
      </c>
      <c r="G5" s="2" t="inlineStr">
        <is>
          <t>A later five-judge bench of the Supreme Court (2020) appears to overrule or reject this case, in whole or in part, so check it before relying on this case.</t>
        </is>
      </c>
      <c r="H5" s="11" t="inlineStr">
        <is>
          <t>L2-034</t>
        </is>
      </c>
      <c r="I5" s="2" t="inlineStr">
        <is>
          <t>MUKESH SINGH versus STATE (NARCOTIC BRANCH OF DELHI)</t>
        </is>
      </c>
      <c r="J5" s="11" t="inlineStr">
        <is>
          <t>2020-08-31</t>
        </is>
      </c>
      <c r="K5" s="11" t="n">
        <v>5</v>
      </c>
      <c r="L5" s="11" t="inlineStr">
        <is>
          <t>overruled</t>
        </is>
      </c>
      <c r="M5" s="11" t="inlineStr">
        <is>
          <t>OVERRULES</t>
        </is>
      </c>
      <c r="N5" s="2" t="inlineStr">
        <is>
          <t>[Para 12][302-B-G] Mohan Lal v. State of Punjab (2018) 17 SCC 627 : [2018] 9 SCR 1006 – overruled.</t>
        </is>
      </c>
    </row>
    <row r="6">
      <c r="A6" s="11" t="inlineStr">
        <is>
          <t>F-siddharam-satlingappa-mhetre-v-state-of-maharashtra</t>
        </is>
      </c>
      <c r="B6" s="11" t="inlineStr">
        <is>
          <t>open</t>
        </is>
      </c>
      <c r="C6" s="2" t="inlineStr">
        <is>
          <t>Siddharam Satlingappa Mhetre v State of Maharashtra</t>
        </is>
      </c>
      <c r="D6" s="11" t="inlineStr">
        <is>
          <t>(2011) 1 SCC 694</t>
        </is>
      </c>
      <c r="E6" s="11" t="n">
        <v>2011</v>
      </c>
      <c r="F6" s="11" t="inlineStr">
        <is>
          <t>ADVERSE_SIGNAL</t>
        </is>
      </c>
      <c r="G6" s="2" t="inlineStr">
        <is>
          <t>A later five-judge bench of the Supreme Court (2020) appears to overrule or reject this case, in whole or in part, so check it before relying on this case.</t>
        </is>
      </c>
      <c r="H6" s="11" t="inlineStr">
        <is>
          <t>L2-031</t>
        </is>
      </c>
      <c r="I6" s="2" t="inlineStr">
        <is>
          <t>SUSHILA AGGARWAL AND OTHERS versus STATE (NCT OF DELHI) AND ANOTHER</t>
        </is>
      </c>
      <c r="J6" s="11" t="inlineStr">
        <is>
          <t>2020-01-29</t>
        </is>
      </c>
      <c r="K6" s="11" t="n">
        <v>5</v>
      </c>
      <c r="L6" s="11" t="inlineStr">
        <is>
          <t>accordingly overruled</t>
        </is>
      </c>
      <c r="M6" s="11" t="inlineStr">
        <is>
          <t>OVERRULES</t>
        </is>
      </c>
      <c r="N6" s="2" t="inlineStr">
        <is>
          <t>Mhetre to that extent and other judgments which have followed it are accordingly overruled.</t>
        </is>
      </c>
    </row>
    <row r="7">
      <c r="A7" s="11" t="inlineStr">
        <is>
          <t>F-siddharam-satlingappa-mhetre-v-state-of-maharashtra</t>
        </is>
      </c>
      <c r="B7" s="11" t="inlineStr">
        <is>
          <t>open</t>
        </is>
      </c>
      <c r="C7" s="2" t="inlineStr">
        <is>
          <t>Siddharam Satlingappa Mhetre v State of Maharashtra</t>
        </is>
      </c>
      <c r="D7" s="11" t="inlineStr">
        <is>
          <t>(2011) 1 SCC 694</t>
        </is>
      </c>
      <c r="E7" s="11" t="n">
        <v>2011</v>
      </c>
      <c r="F7" s="11" t="inlineStr">
        <is>
          <t>ADVERSE_SIGNAL</t>
        </is>
      </c>
      <c r="G7" s="2" t="inlineStr">
        <is>
          <t>A later five-judge bench of the Supreme Court (2020) appears to overrule or reject this case, in whole or in part, so check it before relying on this case.</t>
        </is>
      </c>
      <c r="H7" s="11" t="inlineStr">
        <is>
          <t>L2-031</t>
        </is>
      </c>
      <c r="I7" s="2" t="inlineStr">
        <is>
          <t>SUSHILA AGGARWAL AND OTHERS versus STATE (NCT OF DELHI) AND ANOTHER</t>
        </is>
      </c>
      <c r="J7" s="11" t="inlineStr">
        <is>
          <t>2020-01-29</t>
        </is>
      </c>
      <c r="K7" s="11" t="n">
        <v>5</v>
      </c>
      <c r="L7" s="11" t="inlineStr">
        <is>
          <t>overruled</t>
        </is>
      </c>
      <c r="M7" s="11" t="inlineStr">
        <is>
          <t>OVERRULES</t>
        </is>
      </c>
      <c r="N7" s="2" t="inlineStr">
        <is>
          <t>SCR 556; Siddharam Satlingappa Mhetre v. State of Maharashtra (2011) 1 SCC 694 : [2010] 15 SCR 201 – overruled.</t>
        </is>
      </c>
    </row>
    <row r="8">
      <c r="A8" s="11" t="inlineStr">
        <is>
          <t>F-siddharam-satlingappa-mhetre-v-state-of-maharashtra</t>
        </is>
      </c>
      <c r="B8" s="11" t="inlineStr">
        <is>
          <t>open</t>
        </is>
      </c>
      <c r="C8" s="2" t="inlineStr">
        <is>
          <t>Siddharam Satlingappa Mhetre v State of Maharashtra</t>
        </is>
      </c>
      <c r="D8" s="11" t="inlineStr">
        <is>
          <t>(2011) 1 SCC 694</t>
        </is>
      </c>
      <c r="E8" s="11" t="n">
        <v>2011</v>
      </c>
      <c r="F8" s="11" t="inlineStr">
        <is>
          <t>ADVERSE_SIGNAL</t>
        </is>
      </c>
      <c r="G8" s="2" t="inlineStr">
        <is>
          <t>A later five-judge bench of the Supreme Court (2020) appears to overrule or reject this case, in whole or in part, so check it before relying on this case.</t>
        </is>
      </c>
      <c r="H8" s="11" t="inlineStr">
        <is>
          <t>L2-031</t>
        </is>
      </c>
      <c r="I8" s="2" t="inlineStr">
        <is>
          <t>SUSHILA AGGARWAL AND OTHERS versus STATE (NCT OF DELHI) AND ANOTHER</t>
        </is>
      </c>
      <c r="J8" s="11" t="inlineStr">
        <is>
          <t>2020-01-29</t>
        </is>
      </c>
      <c r="K8" s="11" t="n">
        <v>5</v>
      </c>
      <c r="L8" s="11" t="inlineStr">
        <is>
          <t>are hereby overruled</t>
        </is>
      </c>
      <c r="M8" s="11" t="inlineStr">
        <is>
          <t>OVERRULES</t>
        </is>
      </c>
      <c r="N8" s="2" t="inlineStr">
        <is>
          <t>This does not amount to “cancellation” in terms of Section 439 (2), Cr. PC. (12) The observations in Siddharam Satlingappa Mhetre v. State of Maharashtra &amp; Ors (and other similar judgments) that no restrictive conditions at all can be imposed, while granting anticipatory bail are hereby overruled.</t>
        </is>
      </c>
    </row>
  </sheetData>
  <autoFilter ref="A3:N8"/>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8" customWidth="1" min="3" max="3"/>
    <col width="40" customWidth="1" min="4" max="4"/>
    <col width="40" customWidth="1" min="5" max="5"/>
    <col width="70" customWidth="1" min="6" max="6"/>
    <col width="46" customWidth="1" min="7" max="7"/>
    <col width="18" customWidth="1" min="8" max="8"/>
    <col width="18" customWidth="1" min="9" max="9"/>
    <col width="28" customWidth="1" min="10" max="10"/>
    <col width="30" customWidth="1" min="11" max="11"/>
    <col width="16" customWidth="1" min="12" max="12"/>
    <col width="16" customWidth="1" min="13" max="13"/>
    <col width="16" customWidth="1" min="14" max="14"/>
    <col width="30" customWidth="1" min="15" max="15"/>
    <col width="16" customWidth="1" min="16" max="16"/>
    <col width="16" customWidth="1" min="17" max="17"/>
    <col width="14" customWidth="1" min="18" max="18"/>
  </cols>
  <sheetData>
    <row r="1">
      <c r="A1" s="10" t="inlineStr">
        <is>
          <t>item_id</t>
        </is>
      </c>
      <c r="B1" s="10" t="inlineStr">
        <is>
          <t>kind</t>
        </is>
      </c>
      <c r="C1" s="10" t="inlineStr">
        <is>
          <t>priority</t>
        </is>
      </c>
      <c r="D1" s="10" t="inlineStr">
        <is>
          <t>case</t>
        </is>
      </c>
      <c r="E1" s="10" t="inlineStr">
        <is>
          <t>later_case</t>
        </is>
      </c>
      <c r="F1" s="10" t="inlineStr">
        <is>
          <t>evidence</t>
        </is>
      </c>
      <c r="G1" s="10" t="inlineStr">
        <is>
          <t>ask</t>
        </is>
      </c>
      <c r="H1" s="10" t="inlineStr">
        <is>
          <t>decision</t>
        </is>
      </c>
      <c r="I1" s="10" t="inlineStr">
        <is>
          <t>new_treatment</t>
        </is>
      </c>
      <c r="J1" s="10" t="inlineStr">
        <is>
          <t>scope</t>
        </is>
      </c>
      <c r="K1" s="10" t="inlineStr">
        <is>
          <t>overruling_case</t>
        </is>
      </c>
      <c r="L1" s="10" t="inlineStr">
        <is>
          <t>overruling_year</t>
        </is>
      </c>
      <c r="M1" s="10" t="inlineStr">
        <is>
          <t>overruled_cites</t>
        </is>
      </c>
      <c r="N1" s="10" t="inlineStr">
        <is>
          <t>overruled_year</t>
        </is>
      </c>
      <c r="O1" s="10" t="inlineStr">
        <is>
          <t>note</t>
        </is>
      </c>
      <c r="P1" s="10" t="inlineStr">
        <is>
          <t>reviewer</t>
        </is>
      </c>
      <c r="Q1" s="10" t="inlineStr">
        <is>
          <t>review_date</t>
        </is>
      </c>
      <c r="R1" s="10" t="inlineStr">
        <is>
          <t>next_review_if_kept</t>
        </is>
      </c>
    </row>
    <row r="2">
      <c r="A2" s="11" t="inlineStr">
        <is>
          <t>F-mohan-lal-v-state-of-punjab</t>
        </is>
      </c>
      <c r="B2" s="11" t="inlineStr">
        <is>
          <t>flag</t>
        </is>
      </c>
      <c r="C2" s="11" t="n">
        <v>1</v>
      </c>
      <c r="D2" s="2" t="inlineStr">
        <is>
          <t>Mohan Lal v State of Punjab (2018)</t>
        </is>
      </c>
      <c r="E2" s="2" t="inlineStr"/>
      <c r="F2" s="2" t="inlineStr">
        <is>
          <t>MUKESH SINGH versus STATE (NARCOTIC BRANCH OF DELHI) (2020, 5 judges): are not good law: MUKESH SINGH v. STATE (NARCOTIC BRANCH OF DELHI) (Special Leave Petition (Criminal) Diary No. 39528 of 2018) AUGUST 31, 2020 [ARUN MISHRA, I; MUKESH SINGH versus STATE (NARCOTIC BRANCH OF DELHI) (2020, 5 judges): overruled: [Para 12][302-B-G] Mohan Lal v. State of Punjab (2018) 17 SCC 627 : [2018] 9 SCR 1006 – overruled.</t>
        </is>
      </c>
      <c r="G2" s="2" t="inlineStr">
        <is>
          <t>Confirm (overruled / in part / not good law / per incuriam / not binding), clear, or keep open. Already in the register as L2-034.</t>
        </is>
      </c>
      <c r="H2" s="12" t="inlineStr"/>
      <c r="I2" s="12" t="inlineStr"/>
      <c r="J2" s="13" t="inlineStr"/>
      <c r="K2" s="12" t="inlineStr"/>
      <c r="L2" s="12" t="inlineStr"/>
      <c r="M2" s="12" t="inlineStr"/>
      <c r="N2" s="12" t="inlineStr"/>
      <c r="O2" s="13" t="inlineStr"/>
      <c r="P2" s="12" t="inlineStr"/>
      <c r="Q2" s="12" t="inlineStr"/>
      <c r="R2" s="11" t="inlineStr">
        <is>
          <t>2026-10-15</t>
        </is>
      </c>
    </row>
    <row r="3">
      <c r="A3" s="11" t="inlineStr">
        <is>
          <t>F-siddharam-satlingappa-mhetre-v-state-of-maharashtra</t>
        </is>
      </c>
      <c r="B3" s="11" t="inlineStr">
        <is>
          <t>flag</t>
        </is>
      </c>
      <c r="C3" s="11" t="n">
        <v>1</v>
      </c>
      <c r="D3" s="2" t="inlineStr">
        <is>
          <t>Siddharam Satlingappa Mhetre v State of Maharashtra (2011)</t>
        </is>
      </c>
      <c r="E3" s="2" t="inlineStr"/>
      <c r="F3" s="2" t="inlineStr">
        <is>
          <t>SUSHILA AGGARWAL AND OTHERS versus STATE (NCT OF DELHI) AND ANOTHER (2020, 5 judges): accordingly overruled: Mhetre to that extent and other judgments which have followed it are accordingly overruled.; SUSHILA AGGARWAL AND OTHERS versus STATE (NCT OF DELHI) AND ANOTHER (2020, 5 judges): overruled: SCR 556; Siddharam Satlingappa Mhetre v. State of Maharashtra (2011) 1 SCC 694 : [2010] 15 SCR 201 – overruled.</t>
        </is>
      </c>
      <c r="G3" s="2" t="inlineStr">
        <is>
          <t>Confirm (overruled / in part / not good law / per incuriam / not binding), clear, or keep open. Already in the register as L2-031.</t>
        </is>
      </c>
      <c r="H3" s="12" t="inlineStr"/>
      <c r="I3" s="12" t="inlineStr"/>
      <c r="J3" s="13" t="inlineStr"/>
      <c r="K3" s="12" t="inlineStr"/>
      <c r="L3" s="12" t="inlineStr"/>
      <c r="M3" s="12" t="inlineStr"/>
      <c r="N3" s="12" t="inlineStr"/>
      <c r="O3" s="13" t="inlineStr"/>
      <c r="P3" s="12" t="inlineStr"/>
      <c r="Q3" s="12" t="inlineStr"/>
      <c r="R3" s="11" t="inlineStr">
        <is>
          <t>2026-10-15</t>
        </is>
      </c>
    </row>
    <row r="4">
      <c r="A4" s="11" t="inlineStr">
        <is>
          <t>D2-BHADRESH</t>
        </is>
      </c>
      <c r="B4" s="11" t="inlineStr">
        <is>
          <t>candidate</t>
        </is>
      </c>
      <c r="C4" s="11" t="n">
        <v>2</v>
      </c>
      <c r="D4" s="2" t="inlineStr">
        <is>
          <t>Bhadresh Bipinbhai Sheth v. State of Gujarat (2016)</t>
        </is>
      </c>
      <c r="E4" s="2" t="inlineStr">
        <is>
          <t>Sushila Aggarwal v. State (NCT of Delhi) (2020)</t>
        </is>
      </c>
      <c r="F4" s="2" t="inlineStr">
        <is>
          <t>overruled: Bhadresh Bipinbhai Sheth ... - overruled (the report's case-law list for one opinion); the judgment orders 'Mhetre (and other similar decisions)' overruled | scope: the view that no restrictive conditions at all can be imposed on anticipatory bail | checked by Claude (H)</t>
        </is>
      </c>
      <c r="G4" s="2" t="inlineStr">
        <is>
          <t>Confirm, change the treatment, reject, or keep (the answer says 'reported, not yet confirmed' until you confirm).</t>
        </is>
      </c>
      <c r="H4" s="12" t="inlineStr"/>
      <c r="I4" s="12" t="inlineStr"/>
      <c r="J4" s="13" t="inlineStr"/>
      <c r="K4" s="12" t="inlineStr"/>
      <c r="L4" s="12" t="inlineStr"/>
      <c r="M4" s="12" t="inlineStr"/>
      <c r="N4" s="12" t="inlineStr"/>
      <c r="O4" s="13" t="inlineStr"/>
      <c r="P4" s="12" t="inlineStr"/>
      <c r="Q4" s="12" t="inlineStr"/>
      <c r="R4" s="11" t="inlineStr">
        <is>
          <t>2026-10-15</t>
        </is>
      </c>
    </row>
    <row r="5">
      <c r="A5" s="11" t="inlineStr">
        <is>
          <t>D2-BHANUDAS</t>
        </is>
      </c>
      <c r="B5" s="11" t="inlineStr">
        <is>
          <t>candidate</t>
        </is>
      </c>
      <c r="C5" s="11" t="n">
        <v>2</v>
      </c>
      <c r="D5" s="2" t="inlineStr">
        <is>
          <t>Union of India v. Bhanudas Krishna Gawde (1977)</t>
        </is>
      </c>
      <c r="E5" s="2" t="inlineStr">
        <is>
          <t>K.S. Puttaswamy (Retd.) v. Union of India (2017)</t>
        </is>
      </c>
      <c r="F5" s="2" t="inlineStr">
        <is>
          <t>overruled: We also overrule the decision in Union of India v Bhanudas Krishna Gawde, which followed ADM Jabalpur | scope: followed ADM Jabalpur | checked by Claude (B)</t>
        </is>
      </c>
      <c r="G5" s="2" t="inlineStr">
        <is>
          <t>Confirm, change the treatment, reject, or keep (the answer says 'reported, not yet confirmed' until you confirm).</t>
        </is>
      </c>
      <c r="H5" s="12" t="inlineStr"/>
      <c r="I5" s="12" t="inlineStr"/>
      <c r="J5" s="13" t="inlineStr"/>
      <c r="K5" s="12" t="inlineStr"/>
      <c r="L5" s="12" t="inlineStr"/>
      <c r="M5" s="12" t="inlineStr"/>
      <c r="N5" s="12" t="inlineStr"/>
      <c r="O5" s="13" t="inlineStr"/>
      <c r="P5" s="12" t="inlineStr"/>
      <c r="Q5" s="12" t="inlineStr"/>
      <c r="R5" s="11" t="inlineStr">
        <is>
          <t>2026-10-15</t>
        </is>
      </c>
    </row>
    <row r="6">
      <c r="A6" s="11" t="inlineStr">
        <is>
          <t>D2-DEVARAPALLI</t>
        </is>
      </c>
      <c r="B6" s="11" t="inlineStr">
        <is>
          <t>candidate</t>
        </is>
      </c>
      <c r="C6" s="11" t="n">
        <v>2</v>
      </c>
      <c r="D6" s="2" t="inlineStr">
        <is>
          <t>Devarapalli Lakshminarayana Reddy v. V. Narayana Reddy (1976)</t>
        </is>
      </c>
      <c r="E6" s="2" t="inlineStr">
        <is>
          <t>Vinubhai Haribhai Malaviya v. State of Gujarat (2019)</t>
        </is>
      </c>
      <c r="F6" s="2" t="inlineStr">
        <is>
          <t>not_good_law: the statement of the law contained in paragraph 17 in Devarapalli Lakshminarayana Reddy cannot be relied upon | scope: the statement of the law in paragraph 17 (section 156(3) CrPC investigation is pre-cognizance only) | checked by Claude (B)</t>
        </is>
      </c>
      <c r="G6" s="2" t="inlineStr">
        <is>
          <t>Confirm, change the treatment, reject, or keep (the answer says 'reported, not yet confirmed' until you confirm).</t>
        </is>
      </c>
      <c r="H6" s="12" t="inlineStr"/>
      <c r="I6" s="12" t="inlineStr"/>
      <c r="J6" s="13" t="inlineStr"/>
      <c r="K6" s="12" t="inlineStr"/>
      <c r="L6" s="12" t="inlineStr"/>
      <c r="M6" s="12" t="inlineStr"/>
      <c r="N6" s="12" t="inlineStr"/>
      <c r="O6" s="13" t="inlineStr"/>
      <c r="P6" s="12" t="inlineStr"/>
      <c r="Q6" s="12" t="inlineStr"/>
      <c r="R6" s="11" t="inlineStr">
        <is>
          <t>2026-10-15</t>
        </is>
      </c>
    </row>
    <row r="7">
      <c r="A7" s="11" t="inlineStr">
        <is>
          <t>D2-FEDMINING</t>
        </is>
      </c>
      <c r="B7" s="11" t="inlineStr">
        <is>
          <t>candidate</t>
        </is>
      </c>
      <c r="C7" s="11" t="n">
        <v>2</v>
      </c>
      <c r="D7" s="2" t="inlineStr">
        <is>
          <t>Federation of Mining Associations of Rajasthan v. State of Rajasthan (1992)</t>
        </is>
      </c>
      <c r="E7" s="2" t="inlineStr">
        <is>
          <t>Mineral Area Development Authority v. Steel Authority of India (2024)</t>
        </is>
      </c>
      <c r="F7" s="2" t="inlineStr">
        <is>
          <t>overruled_in_part: overruled to the extent of the observations made in the present case | scope: to the extent of the observations made in the present case | checked by Claude (B)</t>
        </is>
      </c>
      <c r="G7" s="2" t="inlineStr">
        <is>
          <t>Confirm, change the treatment, reject, or keep (the answer says 'reported, not yet confirmed' until you confirm).</t>
        </is>
      </c>
      <c r="H7" s="12" t="inlineStr"/>
      <c r="I7" s="12" t="inlineStr"/>
      <c r="J7" s="13" t="inlineStr"/>
      <c r="K7" s="12" t="inlineStr"/>
      <c r="L7" s="12" t="inlineStr"/>
      <c r="M7" s="12" t="inlineStr"/>
      <c r="N7" s="12" t="inlineStr"/>
      <c r="O7" s="13" t="inlineStr"/>
      <c r="P7" s="12" t="inlineStr"/>
      <c r="Q7" s="12" t="inlineStr"/>
      <c r="R7" s="11" t="inlineStr">
        <is>
          <t>2026-10-15</t>
        </is>
      </c>
    </row>
    <row r="8">
      <c r="A8" s="11" t="inlineStr">
        <is>
          <t>D2-GARWARE</t>
        </is>
      </c>
      <c r="B8" s="11" t="inlineStr">
        <is>
          <t>candidate</t>
        </is>
      </c>
      <c r="C8" s="11" t="n">
        <v>2</v>
      </c>
      <c r="D8" s="2" t="inlineStr">
        <is>
          <t>Garware Wall Ropes Limited v. Coastal Marine Constructions &amp; Engineering Limited (2019)</t>
        </is>
      </c>
      <c r="E8" s="2" t="inlineStr">
        <is>
          <t>In re: Interplay between Arbitration Agreements under the Arbitration and Conciliation Act 1996 and the Indian Stamp Act 1899 (2023)</t>
        </is>
      </c>
      <c r="F8" s="2" t="inlineStr">
        <is>
          <t>overruled_in_part: Paragraphs 22 and 29 of Garware Wall Ropes are overruled to that extent | scope: paragraphs 22 and 29 only | checked by Claude (B)</t>
        </is>
      </c>
      <c r="G8" s="2" t="inlineStr">
        <is>
          <t>Confirm, change the treatment, reject, or keep (the answer says 'reported, not yet confirmed' until you confirm).</t>
        </is>
      </c>
      <c r="H8" s="12" t="inlineStr"/>
      <c r="I8" s="12" t="inlineStr"/>
      <c r="J8" s="13" t="inlineStr"/>
      <c r="K8" s="12" t="inlineStr"/>
      <c r="L8" s="12" t="inlineStr"/>
      <c r="M8" s="12" t="inlineStr"/>
      <c r="N8" s="12" t="inlineStr"/>
      <c r="O8" s="13" t="inlineStr"/>
      <c r="P8" s="12" t="inlineStr"/>
      <c r="Q8" s="12" t="inlineStr"/>
      <c r="R8" s="11" t="inlineStr">
        <is>
          <t>2026-10-15</t>
        </is>
      </c>
    </row>
    <row r="9">
      <c r="A9" s="11" t="inlineStr">
        <is>
          <t>D2-KADER</t>
        </is>
      </c>
      <c r="B9" s="11" t="inlineStr">
        <is>
          <t>candidate</t>
        </is>
      </c>
      <c r="C9" s="11" t="n">
        <v>2</v>
      </c>
      <c r="D9" s="2" t="inlineStr">
        <is>
          <t>Kader v. State of Kerala (2001)</t>
        </is>
      </c>
      <c r="E9" s="2" t="inlineStr">
        <is>
          <t>Mohanlal v. State of Punjab (2018)</t>
        </is>
      </c>
      <c r="F9" s="2" t="inlineStr">
        <is>
          <t>overruled: The view taken by the Kerala High Court in Kader does not meet our approval | scope: an informant who is also the investigator under the NDPS Act | checked by Claude (B) | the overruling decision was itself later: overruled by Mukesh Singh v. State (Narcotic Branch of Delhi) (2020)</t>
        </is>
      </c>
      <c r="G9" s="2" t="inlineStr">
        <is>
          <t>Confirm, change the treatment, reject, or keep (the answer says 'reported, not yet confirmed' until you confirm).</t>
        </is>
      </c>
      <c r="H9" s="12" t="inlineStr"/>
      <c r="I9" s="12" t="inlineStr"/>
      <c r="J9" s="13" t="inlineStr"/>
      <c r="K9" s="12" t="inlineStr"/>
      <c r="L9" s="12" t="inlineStr"/>
      <c r="M9" s="12" t="inlineStr"/>
      <c r="N9" s="12" t="inlineStr"/>
      <c r="O9" s="13" t="inlineStr"/>
      <c r="P9" s="12" t="inlineStr"/>
      <c r="Q9" s="12" t="inlineStr"/>
      <c r="R9" s="11" t="inlineStr">
        <is>
          <t>2026-10-15</t>
        </is>
      </c>
    </row>
    <row r="10">
      <c r="A10" s="11" t="inlineStr">
        <is>
          <t>D2-KANHAIYALAL</t>
        </is>
      </c>
      <c r="B10" s="11" t="inlineStr">
        <is>
          <t>candidate</t>
        </is>
      </c>
      <c r="C10" s="11" t="n">
        <v>2</v>
      </c>
      <c r="D10" s="2" t="inlineStr">
        <is>
          <t>Kanhaiyalal v. Union of India (2008)</t>
        </is>
      </c>
      <c r="E10" s="2" t="inlineStr">
        <is>
          <t>Tofan Singh v. State of Tamil Nadu (2020)</t>
        </is>
      </c>
      <c r="F10" s="2" t="inlineStr">
        <is>
          <t>overruled: Kanhaiyalal ... overruled (the report's case-law list, Para 153) | scope: a statement under section 67 of the NDPS Act as a confession | checked by Claude (H)</t>
        </is>
      </c>
      <c r="G10" s="2" t="inlineStr">
        <is>
          <t>Confirm, change the treatment, reject, or keep (the answer says 'reported, not yet confirmed' until you confirm).</t>
        </is>
      </c>
      <c r="H10" s="12" t="inlineStr"/>
      <c r="I10" s="12" t="inlineStr"/>
      <c r="J10" s="13" t="inlineStr"/>
      <c r="K10" s="12" t="inlineStr"/>
      <c r="L10" s="12" t="inlineStr"/>
      <c r="M10" s="12" t="inlineStr"/>
      <c r="N10" s="12" t="inlineStr"/>
      <c r="O10" s="13" t="inlineStr"/>
      <c r="P10" s="12" t="inlineStr"/>
      <c r="Q10" s="12" t="inlineStr"/>
      <c r="R10" s="11" t="inlineStr">
        <is>
          <t>2026-10-15</t>
        </is>
      </c>
    </row>
    <row r="11">
      <c r="A11" s="11" t="inlineStr">
        <is>
          <t>D2-KANNADASAN</t>
        </is>
      </c>
      <c r="B11" s="11" t="inlineStr">
        <is>
          <t>candidate</t>
        </is>
      </c>
      <c r="C11" s="11" t="n">
        <v>2</v>
      </c>
      <c r="D11" s="2" t="inlineStr">
        <is>
          <t>P. Kannadasan v. State of Tamil Nadu (1996)</t>
        </is>
      </c>
      <c r="E11" s="2" t="inlineStr">
        <is>
          <t>Mineral Area Development Authority v. Steel Authority of India (2024)</t>
        </is>
      </c>
      <c r="F11" s="2" t="inlineStr">
        <is>
          <t>overruled_in_part: overruled to the extent of the observations made in the present case | scope: to the extent of the observations made in the present case | checked by Claude (B)</t>
        </is>
      </c>
      <c r="G11" s="2" t="inlineStr">
        <is>
          <t>Confirm, change the treatment, reject, or keep (the answer says 'reported, not yet confirmed' until you confirm).</t>
        </is>
      </c>
      <c r="H11" s="12" t="inlineStr"/>
      <c r="I11" s="12" t="inlineStr"/>
      <c r="J11" s="13" t="inlineStr"/>
      <c r="K11" s="12" t="inlineStr"/>
      <c r="L11" s="12" t="inlineStr"/>
      <c r="M11" s="12" t="inlineStr"/>
      <c r="N11" s="12" t="inlineStr"/>
      <c r="O11" s="13" t="inlineStr"/>
      <c r="P11" s="12" t="inlineStr"/>
      <c r="Q11" s="12" t="inlineStr"/>
      <c r="R11" s="11" t="inlineStr">
        <is>
          <t>2026-10-15</t>
        </is>
      </c>
    </row>
    <row r="12">
      <c r="A12" s="11" t="inlineStr">
        <is>
          <t>D2-KARWAL</t>
        </is>
      </c>
      <c r="B12" s="11" t="inlineStr">
        <is>
          <t>candidate</t>
        </is>
      </c>
      <c r="C12" s="11" t="n">
        <v>2</v>
      </c>
      <c r="D12" s="2" t="inlineStr">
        <is>
          <t>Raj Kumar Karwal v. Union of India (1990)</t>
        </is>
      </c>
      <c r="E12" s="2" t="inlineStr">
        <is>
          <t>Tofan Singh v. State of Tamil Nadu (2020)</t>
        </is>
      </c>
      <c r="F12" s="2" t="inlineStr">
        <is>
          <t>overruled: Raj Kumar Karwal ... overruled (the report's case-law list, Para 128) | scope: a statement under section 67 of the NDPS Act as a confession | checked by Claude (H)</t>
        </is>
      </c>
      <c r="G12" s="2" t="inlineStr">
        <is>
          <t>Confirm, change the treatment, reject, or keep (the answer says 'reported, not yet confirmed' until you confirm).</t>
        </is>
      </c>
      <c r="H12" s="12" t="inlineStr"/>
      <c r="I12" s="12" t="inlineStr"/>
      <c r="J12" s="13" t="inlineStr"/>
      <c r="K12" s="12" t="inlineStr"/>
      <c r="L12" s="12" t="inlineStr"/>
      <c r="M12" s="12" t="inlineStr"/>
      <c r="N12" s="12" t="inlineStr"/>
      <c r="O12" s="13" t="inlineStr"/>
      <c r="P12" s="12" t="inlineStr"/>
      <c r="Q12" s="12" t="inlineStr"/>
      <c r="R12" s="11" t="inlineStr">
        <is>
          <t>2026-10-15</t>
        </is>
      </c>
    </row>
    <row r="13">
      <c r="A13" s="11" t="inlineStr">
        <is>
          <t>D2-MAHALAXMI</t>
        </is>
      </c>
      <c r="B13" s="11" t="inlineStr">
        <is>
          <t>candidate</t>
        </is>
      </c>
      <c r="C13" s="11" t="n">
        <v>2</v>
      </c>
      <c r="D13" s="2" t="inlineStr">
        <is>
          <t>State of M.P. v. Mahalaxmi Fabric Mills Ltd. (1995)</t>
        </is>
      </c>
      <c r="E13" s="2" t="inlineStr">
        <is>
          <t>Mineral Area Development Authority v. Steel Authority of India (2024)</t>
        </is>
      </c>
      <c r="F13" s="2" t="inlineStr">
        <is>
          <t>overruled_in_part: overruled to the extent of the observations made in the present case | scope: to the extent of the observations made in the present case | checked by Claude (B)</t>
        </is>
      </c>
      <c r="G13" s="2" t="inlineStr">
        <is>
          <t>Confirm, change the treatment, reject, or keep (the answer says 'reported, not yet confirmed' until you confirm).</t>
        </is>
      </c>
      <c r="H13" s="12" t="inlineStr"/>
      <c r="I13" s="12" t="inlineStr"/>
      <c r="J13" s="13" t="inlineStr"/>
      <c r="K13" s="12" t="inlineStr"/>
      <c r="L13" s="12" t="inlineStr"/>
      <c r="M13" s="12" t="inlineStr"/>
      <c r="N13" s="12" t="inlineStr"/>
      <c r="O13" s="13" t="inlineStr"/>
      <c r="P13" s="12" t="inlineStr"/>
      <c r="Q13" s="12" t="inlineStr"/>
      <c r="R13" s="11" t="inlineStr">
        <is>
          <t>2026-10-15</t>
        </is>
      </c>
    </row>
    <row r="14">
      <c r="A14" s="11" t="inlineStr">
        <is>
          <t>D2-MAHANADI-1995</t>
        </is>
      </c>
      <c r="B14" s="11" t="inlineStr">
        <is>
          <t>candidate</t>
        </is>
      </c>
      <c r="C14" s="11" t="n">
        <v>2</v>
      </c>
      <c r="D14" s="2" t="inlineStr">
        <is>
          <t>State of Orissa v. Mahanadi Coalfields Ltd. (1995)</t>
        </is>
      </c>
      <c r="E14" s="2" t="inlineStr">
        <is>
          <t>Mineral Area Development Authority v. Steel Authority of India (2024)</t>
        </is>
      </c>
      <c r="F14" s="2" t="inlineStr">
        <is>
          <t>overruled_in_part: overruled to the extent of the observations made in the present case | scope: to the extent of the observations made in the present case | checked by Claude (B)</t>
        </is>
      </c>
      <c r="G14" s="2" t="inlineStr">
        <is>
          <t>Confirm, change the treatment, reject, or keep (the answer says 'reported, not yet confirmed' until you confirm).</t>
        </is>
      </c>
      <c r="H14" s="12" t="inlineStr"/>
      <c r="I14" s="12" t="inlineStr"/>
      <c r="J14" s="13" t="inlineStr"/>
      <c r="K14" s="12" t="inlineStr"/>
      <c r="L14" s="12" t="inlineStr"/>
      <c r="M14" s="12" t="inlineStr"/>
      <c r="N14" s="12" t="inlineStr"/>
      <c r="O14" s="13" t="inlineStr"/>
      <c r="P14" s="12" t="inlineStr"/>
      <c r="Q14" s="12" t="inlineStr"/>
      <c r="R14" s="11" t="inlineStr">
        <is>
          <t>2026-10-15</t>
        </is>
      </c>
    </row>
    <row r="15">
      <c r="A15" s="11" t="inlineStr">
        <is>
          <t>D2-NNG2</t>
        </is>
      </c>
      <c r="B15" s="11" t="inlineStr">
        <is>
          <t>candidate</t>
        </is>
      </c>
      <c r="C15" s="11" t="n">
        <v>2</v>
      </c>
      <c r="D15" s="2" t="inlineStr">
        <is>
          <t>N.N. Global Mercantile Pvt. Ltd. v. Indo Unique Flame Ltd. (2023)</t>
        </is>
      </c>
      <c r="E15" s="2" t="inlineStr">
        <is>
          <t>In re: Interplay between Arbitration Agreements under the Arbitration and Conciliation Act 1996 and the Indian Stamp Act 1899 (2023)</t>
        </is>
      </c>
      <c r="F15" s="2" t="inlineStr">
        <is>
          <t>overruled: The decision in NN Global 2 and SMS Tea Estates are overruled | scope: arbitration agreement in an unstamped instrument | checked by Claude (B)</t>
        </is>
      </c>
      <c r="G15" s="2" t="inlineStr">
        <is>
          <t>Confirm, change the treatment, reject, or keep (the answer says 'reported, not yet confirmed' until you confirm).</t>
        </is>
      </c>
      <c r="H15" s="12" t="inlineStr"/>
      <c r="I15" s="12" t="inlineStr"/>
      <c r="J15" s="13" t="inlineStr"/>
      <c r="K15" s="12" t="inlineStr"/>
      <c r="L15" s="12" t="inlineStr"/>
      <c r="M15" s="12" t="inlineStr"/>
      <c r="N15" s="12" t="inlineStr"/>
      <c r="O15" s="13" t="inlineStr"/>
      <c r="P15" s="12" t="inlineStr"/>
      <c r="Q15" s="12" t="inlineStr"/>
      <c r="R15" s="11" t="inlineStr">
        <is>
          <t>2026-10-15</t>
        </is>
      </c>
    </row>
    <row r="16">
      <c r="A16" s="11" t="inlineStr">
        <is>
          <t>D2-NRADHAKRISHNAN</t>
        </is>
      </c>
      <c r="B16" s="11" t="inlineStr">
        <is>
          <t>candidate</t>
        </is>
      </c>
      <c r="C16" s="11" t="n">
        <v>2</v>
      </c>
      <c r="D16" s="2" t="inlineStr">
        <is>
          <t>N. Radhakrishnan v. Maestro Engineers (2010)</t>
        </is>
      </c>
      <c r="E16" s="2" t="inlineStr">
        <is>
          <t>Vidya Drolia v. Durga Trading Corporation (2020)</t>
        </is>
      </c>
      <c r="F16" s="2" t="inlineStr">
        <is>
          <t>overruled: we overrule the ratio in N. Radhakrishnan inter alia observing that allegations of fraud can be made a subject matter of arbitration when they relate to a civil dispute | scope: allegations of fraud make a dispute non-arbitrable | checked by Claude (B)</t>
        </is>
      </c>
      <c r="G16" s="2" t="inlineStr">
        <is>
          <t>Confirm, change the treatment, reject, or keep (the answer says 'reported, not yet confirmed' until you confirm).</t>
        </is>
      </c>
      <c r="H16" s="12" t="inlineStr"/>
      <c r="I16" s="12" t="inlineStr"/>
      <c r="J16" s="13" t="inlineStr"/>
      <c r="K16" s="12" t="inlineStr"/>
      <c r="L16" s="12" t="inlineStr"/>
      <c r="M16" s="12" t="inlineStr"/>
      <c r="N16" s="12" t="inlineStr"/>
      <c r="O16" s="13" t="inlineStr"/>
      <c r="P16" s="12" t="inlineStr"/>
      <c r="Q16" s="12" t="inlineStr"/>
      <c r="R16" s="11" t="inlineStr">
        <is>
          <t>2026-10-15</t>
        </is>
      </c>
    </row>
    <row r="17">
      <c r="A17" s="11" t="inlineStr">
        <is>
          <t>D2-ORISSACEMENT</t>
        </is>
      </c>
      <c r="B17" s="11" t="inlineStr">
        <is>
          <t>candidate</t>
        </is>
      </c>
      <c r="C17" s="11" t="n">
        <v>2</v>
      </c>
      <c r="D17" s="2" t="inlineStr">
        <is>
          <t>Orissa Cement Ltd. v. State of Orissa (1991)</t>
        </is>
      </c>
      <c r="E17" s="2" t="inlineStr">
        <is>
          <t>Mineral Area Development Authority v. Steel Authority of India (2024)</t>
        </is>
      </c>
      <c r="F17" s="2" t="inlineStr">
        <is>
          <t>overruled_in_part: overruled to the extent of the observations made in the present case | scope: to the extent of the observations made in the present case | checked by Claude (B)</t>
        </is>
      </c>
      <c r="G17" s="2" t="inlineStr">
        <is>
          <t>Confirm, change the treatment, reject, or keep (the answer says 'reported, not yet confirmed' until you confirm).</t>
        </is>
      </c>
      <c r="H17" s="12" t="inlineStr"/>
      <c r="I17" s="12" t="inlineStr"/>
      <c r="J17" s="13" t="inlineStr"/>
      <c r="K17" s="12" t="inlineStr"/>
      <c r="L17" s="12" t="inlineStr"/>
      <c r="M17" s="12" t="inlineStr"/>
      <c r="N17" s="12" t="inlineStr"/>
      <c r="O17" s="13" t="inlineStr"/>
      <c r="P17" s="12" t="inlineStr"/>
      <c r="Q17" s="12" t="inlineStr"/>
      <c r="R17" s="11" t="inlineStr">
        <is>
          <t>2026-10-15</t>
        </is>
      </c>
    </row>
    <row r="18">
      <c r="A18" s="11" t="inlineStr">
        <is>
          <t>D2-PRABHULAL-2017</t>
        </is>
      </c>
      <c r="B18" s="11" t="inlineStr">
        <is>
          <t>candidate</t>
        </is>
      </c>
      <c r="C18" s="11" t="n">
        <v>2</v>
      </c>
      <c r="D18" s="2" t="inlineStr">
        <is>
          <t>New India Assurance Co. Ltd. v. Prabhu Lal (2008)</t>
        </is>
      </c>
      <c r="E18" s="2" t="inlineStr">
        <is>
          <t>Mukund Dewangan v. Oriental Insurance Co. Ltd. (2017)</t>
        </is>
      </c>
      <c r="F18" s="2" t="inlineStr">
        <is>
          <t>overruled: the decision in Prabhu Lal does not lay down correct proposition of law and is hereby overruled | scope: the view that a light motor vehicle licence holder needs a separate endorsement to drive a transport vehicle | checked by Claude (B)</t>
        </is>
      </c>
      <c r="G18" s="2" t="inlineStr">
        <is>
          <t>Confirm, change the treatment, reject, or keep (the answer says 'reported, not yet confirmed' until you confirm).</t>
        </is>
      </c>
      <c r="H18" s="12" t="inlineStr"/>
      <c r="I18" s="12" t="inlineStr"/>
      <c r="J18" s="13" t="inlineStr"/>
      <c r="K18" s="12" t="inlineStr"/>
      <c r="L18" s="12" t="inlineStr"/>
      <c r="M18" s="12" t="inlineStr"/>
      <c r="N18" s="12" t="inlineStr"/>
      <c r="O18" s="13" t="inlineStr"/>
      <c r="P18" s="12" t="inlineStr"/>
      <c r="Q18" s="12" t="inlineStr"/>
      <c r="R18" s="11" t="inlineStr">
        <is>
          <t>2026-10-15</t>
        </is>
      </c>
    </row>
    <row r="19">
      <c r="A19" s="11" t="inlineStr">
        <is>
          <t>D2-SAURASHTRA</t>
        </is>
      </c>
      <c r="B19" s="11" t="inlineStr">
        <is>
          <t>candidate</t>
        </is>
      </c>
      <c r="C19" s="11" t="n">
        <v>2</v>
      </c>
      <c r="D19" s="2" t="inlineStr">
        <is>
          <t>Saurashtra Cement &amp; Chemical Industries Ltd. v. Union of India (2000)</t>
        </is>
      </c>
      <c r="E19" s="2" t="inlineStr">
        <is>
          <t>Mineral Area Development Authority v. Steel Authority of India (2024)</t>
        </is>
      </c>
      <c r="F19" s="2" t="inlineStr">
        <is>
          <t>overruled_in_part: overruled to the extent of the observations made in the present case | scope: to the extent of the observations made in the present case | checked by Claude (B)</t>
        </is>
      </c>
      <c r="G19" s="2" t="inlineStr">
        <is>
          <t>Confirm, change the treatment, reject, or keep (the answer says 'reported, not yet confirmed' until you confirm).</t>
        </is>
      </c>
      <c r="H19" s="12" t="inlineStr"/>
      <c r="I19" s="12" t="inlineStr"/>
      <c r="J19" s="13" t="inlineStr"/>
      <c r="K19" s="12" t="inlineStr"/>
      <c r="L19" s="12" t="inlineStr"/>
      <c r="M19" s="12" t="inlineStr"/>
      <c r="N19" s="12" t="inlineStr"/>
      <c r="O19" s="13" t="inlineStr"/>
      <c r="P19" s="12" t="inlineStr"/>
      <c r="Q19" s="12" t="inlineStr"/>
      <c r="R19" s="11" t="inlineStr">
        <is>
          <t>2026-10-15</t>
        </is>
      </c>
    </row>
    <row r="20">
      <c r="A20" s="11" t="inlineStr">
        <is>
          <t>D2-SMSTEA</t>
        </is>
      </c>
      <c r="B20" s="11" t="inlineStr">
        <is>
          <t>candidate</t>
        </is>
      </c>
      <c r="C20" s="11" t="n">
        <v>2</v>
      </c>
      <c r="D20" s="2" t="inlineStr">
        <is>
          <t>SMS Tea Estates Private Limited v. Chandmari Tea Company Private Limited (2011)</t>
        </is>
      </c>
      <c r="E20" s="2" t="inlineStr">
        <is>
          <t>In re: Interplay between Arbitration Agreements under the Arbitration and Conciliation Act 1996 and the Indian Stamp Act 1899 (2023)</t>
        </is>
      </c>
      <c r="F20" s="2" t="inlineStr">
        <is>
          <t>overruled: The decision in NN Global 2 and SMS Tea Estates are overruled | scope: arbitration agreement in an unstamped instrument | checked by Claude (B)</t>
        </is>
      </c>
      <c r="G20" s="2" t="inlineStr">
        <is>
          <t>Confirm, change the treatment, reject, or keep (the answer says 'reported, not yet confirmed' until you confirm).</t>
        </is>
      </c>
      <c r="H20" s="12" t="inlineStr"/>
      <c r="I20" s="12" t="inlineStr"/>
      <c r="J20" s="13" t="inlineStr"/>
      <c r="K20" s="12" t="inlineStr"/>
      <c r="L20" s="12" t="inlineStr"/>
      <c r="M20" s="12" t="inlineStr"/>
      <c r="N20" s="12" t="inlineStr"/>
      <c r="O20" s="13" t="inlineStr"/>
      <c r="P20" s="12" t="inlineStr"/>
      <c r="Q20" s="12" t="inlineStr"/>
      <c r="R20" s="11" t="inlineStr">
        <is>
          <t>2026-10-15</t>
        </is>
      </c>
    </row>
    <row r="21">
      <c r="A21" s="11" t="inlineStr">
        <is>
          <t>D2-SREEBALAJI-2018</t>
        </is>
      </c>
      <c r="B21" s="11" t="inlineStr">
        <is>
          <t>candidate</t>
        </is>
      </c>
      <c r="C21" s="11" t="n">
        <v>2</v>
      </c>
      <c r="D21" s="2" t="inlineStr">
        <is>
          <t>Sree Balaji Nagar Residential Association v. State of Tamil Nadu (2015)</t>
        </is>
      </c>
      <c r="E21" s="2" t="inlineStr">
        <is>
          <t>Indore Development Authority v. Shailendra (Dead) through LRs. (2018)</t>
        </is>
      </c>
      <c r="F21" s="2" t="inlineStr">
        <is>
          <t>overruled: The decision in Shree Balaji (supra) cannot be said to be laying down good law, is overruled | scope: the reading of section 24(2) of the 2013 Act on lapse of acquisition | checked by Claude (B)</t>
        </is>
      </c>
      <c r="G21" s="2" t="inlineStr">
        <is>
          <t>Confirm, change the treatment, reject, or keep (the answer says 'reported, not yet confirmed' until you confirm).</t>
        </is>
      </c>
      <c r="H21" s="12" t="inlineStr"/>
      <c r="I21" s="12" t="inlineStr"/>
      <c r="J21" s="13" t="inlineStr"/>
      <c r="K21" s="12" t="inlineStr"/>
      <c r="L21" s="12" t="inlineStr"/>
      <c r="M21" s="12" t="inlineStr"/>
      <c r="N21" s="12" t="inlineStr"/>
      <c r="O21" s="13" t="inlineStr"/>
      <c r="P21" s="12" t="inlineStr"/>
      <c r="Q21" s="12" t="inlineStr"/>
      <c r="R21" s="11" t="inlineStr">
        <is>
          <t>2026-10-15</t>
        </is>
      </c>
    </row>
    <row r="22">
      <c r="A22" s="11" t="inlineStr">
        <is>
          <t>L2-001</t>
        </is>
      </c>
      <c r="B22" s="11" t="inlineStr">
        <is>
          <t>candidate</t>
        </is>
      </c>
      <c r="C22" s="11" t="n">
        <v>2</v>
      </c>
      <c r="D22" s="2" t="inlineStr">
        <is>
          <t>M.P. Sharma v. Satish Chandra (1954)</t>
        </is>
      </c>
      <c r="E22" s="2" t="inlineStr">
        <is>
          <t>K.S. Puttaswamy (Retd.) v. Union of India (2017)</t>
        </is>
      </c>
      <c r="F22" s="2" t="inlineStr">
        <is>
          <t>overruled: MP Sharma is overruled to the extent to which it indicates to the contrary | scope: the holding that the right to privacy is not protected by the Constitution | checked by Claude (H+B)</t>
        </is>
      </c>
      <c r="G22" s="2" t="inlineStr">
        <is>
          <t>Confirm, change the treatment, reject, or keep (the answer says 'reported, not yet confirmed' until you confirm).</t>
        </is>
      </c>
      <c r="H22" s="12" t="inlineStr"/>
      <c r="I22" s="12" t="inlineStr"/>
      <c r="J22" s="13" t="inlineStr"/>
      <c r="K22" s="12" t="inlineStr"/>
      <c r="L22" s="12" t="inlineStr"/>
      <c r="M22" s="12" t="inlineStr"/>
      <c r="N22" s="12" t="inlineStr"/>
      <c r="O22" s="13" t="inlineStr"/>
      <c r="P22" s="12" t="inlineStr"/>
      <c r="Q22" s="12" t="inlineStr"/>
      <c r="R22" s="11" t="inlineStr">
        <is>
          <t>2026-10-15</t>
        </is>
      </c>
    </row>
    <row r="23">
      <c r="A23" s="11" t="inlineStr">
        <is>
          <t>L2-002</t>
        </is>
      </c>
      <c r="B23" s="11" t="inlineStr">
        <is>
          <t>candidate</t>
        </is>
      </c>
      <c r="C23" s="11" t="n">
        <v>2</v>
      </c>
      <c r="D23" s="2" t="inlineStr">
        <is>
          <t>Kharak Singh v. State of U.P. (1963)</t>
        </is>
      </c>
      <c r="E23" s="2" t="inlineStr">
        <is>
          <t>K.S. Puttaswamy (Retd.) v. Union of India (2017)</t>
        </is>
      </c>
      <c r="F23" s="2" t="inlineStr">
        <is>
          <t>overruled_in_part: Kharak Singh to the extent that it holds that the right to privacy is not protected ... is overruled | scope: only the holding that privacy is not a protected right; the first part of the decision stands | checked by Claude (H+B)</t>
        </is>
      </c>
      <c r="G23" s="2" t="inlineStr">
        <is>
          <t>Confirm, change the treatment, reject, or keep (the answer says 'reported, not yet confirmed' until you confirm).</t>
        </is>
      </c>
      <c r="H23" s="12" t="inlineStr"/>
      <c r="I23" s="12" t="inlineStr"/>
      <c r="J23" s="13" t="inlineStr"/>
      <c r="K23" s="12" t="inlineStr"/>
      <c r="L23" s="12" t="inlineStr"/>
      <c r="M23" s="12" t="inlineStr"/>
      <c r="N23" s="12" t="inlineStr"/>
      <c r="O23" s="13" t="inlineStr"/>
      <c r="P23" s="12" t="inlineStr"/>
      <c r="Q23" s="12" t="inlineStr"/>
      <c r="R23" s="11" t="inlineStr">
        <is>
          <t>2026-10-15</t>
        </is>
      </c>
    </row>
    <row r="24">
      <c r="A24" s="11" t="inlineStr">
        <is>
          <t>L2-003</t>
        </is>
      </c>
      <c r="B24" s="11" t="inlineStr">
        <is>
          <t>candidate</t>
        </is>
      </c>
      <c r="C24" s="11" t="n">
        <v>2</v>
      </c>
      <c r="D24" s="2" t="inlineStr">
        <is>
          <t>A.D.M. Jabalpur v. Shivkant Shukla (1976)</t>
        </is>
      </c>
      <c r="E24" s="2" t="inlineStr">
        <is>
          <t>K.S. Puttaswamy (Retd.) v. Union of India (2017)</t>
        </is>
      </c>
      <c r="F24" s="2" t="inlineStr">
        <is>
          <t>overruled: ADM Jabalpur must be and is accordingly overruled | scope:  | checked by Claude (H+B)</t>
        </is>
      </c>
      <c r="G24" s="2" t="inlineStr">
        <is>
          <t>Confirm, change the treatment, reject, or keep (the answer says 'reported, not yet confirmed' until you confirm).</t>
        </is>
      </c>
      <c r="H24" s="12" t="inlineStr"/>
      <c r="I24" s="12" t="inlineStr"/>
      <c r="J24" s="13" t="inlineStr"/>
      <c r="K24" s="12" t="inlineStr"/>
      <c r="L24" s="12" t="inlineStr"/>
      <c r="M24" s="12" t="inlineStr"/>
      <c r="N24" s="12" t="inlineStr"/>
      <c r="O24" s="13" t="inlineStr"/>
      <c r="P24" s="12" t="inlineStr"/>
      <c r="Q24" s="12" t="inlineStr"/>
      <c r="R24" s="11" t="inlineStr">
        <is>
          <t>2026-10-15</t>
        </is>
      </c>
    </row>
    <row r="25">
      <c r="A25" s="11" t="inlineStr">
        <is>
          <t>L2-004</t>
        </is>
      </c>
      <c r="B25" s="11" t="inlineStr">
        <is>
          <t>candidate</t>
        </is>
      </c>
      <c r="C25" s="11" t="n">
        <v>2</v>
      </c>
      <c r="D25" s="2" t="inlineStr">
        <is>
          <t>Bhupendra Kumar Bose v. State of Orissa (1962)</t>
        </is>
      </c>
      <c r="E25" s="2" t="inlineStr">
        <is>
          <t>Krishna Kumar Singh v. State of Bihar (2017)</t>
        </is>
      </c>
      <c r="F25" s="2" t="inlineStr">
        <is>
          <t>overruled_in_part: To this extent, both Bhupendra Kumar Bose and Venkata Reddy are overruled | scope: the 'enduring rights' theory for ordinances | checked by Claude (B)</t>
        </is>
      </c>
      <c r="G25" s="2" t="inlineStr">
        <is>
          <t>Confirm, change the treatment, reject, or keep (the answer says 'reported, not yet confirmed' until you confirm).</t>
        </is>
      </c>
      <c r="H25" s="12" t="inlineStr"/>
      <c r="I25" s="12" t="inlineStr"/>
      <c r="J25" s="13" t="inlineStr"/>
      <c r="K25" s="12" t="inlineStr"/>
      <c r="L25" s="12" t="inlineStr"/>
      <c r="M25" s="12" t="inlineStr"/>
      <c r="N25" s="12" t="inlineStr"/>
      <c r="O25" s="13" t="inlineStr"/>
      <c r="P25" s="12" t="inlineStr"/>
      <c r="Q25" s="12" t="inlineStr"/>
      <c r="R25" s="11" t="inlineStr">
        <is>
          <t>2026-10-15</t>
        </is>
      </c>
    </row>
    <row r="26">
      <c r="A26" s="11" t="inlineStr">
        <is>
          <t>L2-005</t>
        </is>
      </c>
      <c r="B26" s="11" t="inlineStr">
        <is>
          <t>candidate</t>
        </is>
      </c>
      <c r="C26" s="11" t="n">
        <v>2</v>
      </c>
      <c r="D26" s="2" t="inlineStr">
        <is>
          <t>T. Venkata Reddy v. State of A.P. (1985)</t>
        </is>
      </c>
      <c r="E26" s="2" t="inlineStr">
        <is>
          <t>Krishna Kumar Singh v. State of Bihar (2017)</t>
        </is>
      </c>
      <c r="F26" s="2" t="inlineStr">
        <is>
          <t>overruled_in_part: Bhupendra Kumar Bose and T. Venkata Reddy ... to the extent ... 'creation of enduring rights' ... not correctly decided and should stand overruled | scope: the 'enduring rights' theory for ordinances | checked by Claude (B)</t>
        </is>
      </c>
      <c r="G26" s="2" t="inlineStr">
        <is>
          <t>Confirm, change the treatment, reject, or keep (the answer says 'reported, not yet confirmed' until you confirm).</t>
        </is>
      </c>
      <c r="H26" s="12" t="inlineStr"/>
      <c r="I26" s="12" t="inlineStr"/>
      <c r="J26" s="13" t="inlineStr"/>
      <c r="K26" s="12" t="inlineStr"/>
      <c r="L26" s="12" t="inlineStr"/>
      <c r="M26" s="12" t="inlineStr"/>
      <c r="N26" s="12" t="inlineStr"/>
      <c r="O26" s="13" t="inlineStr"/>
      <c r="P26" s="12" t="inlineStr"/>
      <c r="Q26" s="12" t="inlineStr"/>
      <c r="R26" s="11" t="inlineStr">
        <is>
          <t>2026-10-15</t>
        </is>
      </c>
    </row>
    <row r="27">
      <c r="A27" s="11" t="inlineStr">
        <is>
          <t>L2-006</t>
        </is>
      </c>
      <c r="B27" s="11" t="inlineStr">
        <is>
          <t>candidate</t>
        </is>
      </c>
      <c r="C27" s="11" t="n">
        <v>2</v>
      </c>
      <c r="D27" s="2" t="inlineStr">
        <is>
          <t>State of M.P. v. Saith &amp; Skelton (P) Ltd. (1972)</t>
        </is>
      </c>
      <c r="E27" s="2" t="inlineStr">
        <is>
          <t>State of Jharkhand v. Hindustan Construction Co. Ltd. (2017)</t>
        </is>
      </c>
      <c r="F27" s="2" t="inlineStr">
        <is>
          <t>overruled: Saith and Skelton and Guru Nanak Foundation do not lay the correct position of law and ... are overruled. Any other judgment ... also stands overruled | scope: the view that a superior court that appoints the arbitrator keeps jurisdiction over later arbitration proceedings | checked by Claude (B)</t>
        </is>
      </c>
      <c r="G27" s="2" t="inlineStr">
        <is>
          <t>Confirm, change the treatment, reject, or keep (the answer says 'reported, not yet confirmed' until you confirm).</t>
        </is>
      </c>
      <c r="H27" s="12" t="inlineStr"/>
      <c r="I27" s="12" t="inlineStr"/>
      <c r="J27" s="13" t="inlineStr"/>
      <c r="K27" s="12" t="inlineStr"/>
      <c r="L27" s="12" t="inlineStr"/>
      <c r="M27" s="12" t="inlineStr"/>
      <c r="N27" s="12" t="inlineStr"/>
      <c r="O27" s="13" t="inlineStr"/>
      <c r="P27" s="12" t="inlineStr"/>
      <c r="Q27" s="12" t="inlineStr"/>
      <c r="R27" s="11" t="inlineStr">
        <is>
          <t>2026-10-15</t>
        </is>
      </c>
    </row>
    <row r="28">
      <c r="A28" s="11" t="inlineStr">
        <is>
          <t>L2-007</t>
        </is>
      </c>
      <c r="B28" s="11" t="inlineStr">
        <is>
          <t>candidate</t>
        </is>
      </c>
      <c r="C28" s="11" t="n">
        <v>2</v>
      </c>
      <c r="D28" s="2" t="inlineStr">
        <is>
          <t>Guru Nanak Foundation v. Rattan Singh &amp; Sons (1981)</t>
        </is>
      </c>
      <c r="E28" s="2" t="inlineStr">
        <is>
          <t>State of Jharkhand v. Hindustan Construction Co. Ltd. (2017)</t>
        </is>
      </c>
      <c r="F28" s="2" t="inlineStr">
        <is>
          <t>overruled: same sentence as row 6 | scope: the view that a superior court that appoints the arbitrator keeps jurisdiction over later arbitration proceedings | checked by Claude (B)</t>
        </is>
      </c>
      <c r="G28" s="2" t="inlineStr">
        <is>
          <t>Confirm, change the treatment, reject, or keep (the answer says 'reported, not yet confirmed' until you confirm).</t>
        </is>
      </c>
      <c r="H28" s="12" t="inlineStr"/>
      <c r="I28" s="12" t="inlineStr"/>
      <c r="J28" s="13" t="inlineStr"/>
      <c r="K28" s="12" t="inlineStr"/>
      <c r="L28" s="12" t="inlineStr"/>
      <c r="M28" s="12" t="inlineStr"/>
      <c r="N28" s="12" t="inlineStr"/>
      <c r="O28" s="13" t="inlineStr"/>
      <c r="P28" s="12" t="inlineStr"/>
      <c r="Q28" s="12" t="inlineStr"/>
      <c r="R28" s="11" t="inlineStr">
        <is>
          <t>2026-10-15</t>
        </is>
      </c>
    </row>
    <row r="29">
      <c r="A29" s="11" t="inlineStr">
        <is>
          <t>L2-008</t>
        </is>
      </c>
      <c r="B29" s="11" t="inlineStr">
        <is>
          <t>candidate</t>
        </is>
      </c>
      <c r="C29" s="11" t="n">
        <v>2</v>
      </c>
      <c r="D29" s="2" t="inlineStr">
        <is>
          <t>Sun Export Corporation v. Collector of Customs (1997)</t>
        </is>
      </c>
      <c r="E29" s="2" t="inlineStr">
        <is>
          <t>Commissioner of Customs v. Dilip Kumar &amp; Co. (2018)</t>
        </is>
      </c>
      <c r="F29" s="2" t="inlineStr">
        <is>
          <t>overruled: The ratio in Sun Export case is not correct and all the decisions which took similar view ... stand over-ruled | scope: benefit of ambiguity in an exemption notification goes to the Revenue | checked by Claude (H+B)</t>
        </is>
      </c>
      <c r="G29" s="2" t="inlineStr">
        <is>
          <t>Confirm, change the treatment, reject, or keep (the answer says 'reported, not yet confirmed' until you confirm).</t>
        </is>
      </c>
      <c r="H29" s="12" t="inlineStr"/>
      <c r="I29" s="12" t="inlineStr"/>
      <c r="J29" s="13" t="inlineStr"/>
      <c r="K29" s="12" t="inlineStr"/>
      <c r="L29" s="12" t="inlineStr"/>
      <c r="M29" s="12" t="inlineStr"/>
      <c r="N29" s="12" t="inlineStr"/>
      <c r="O29" s="13" t="inlineStr"/>
      <c r="P29" s="12" t="inlineStr"/>
      <c r="Q29" s="12" t="inlineStr"/>
      <c r="R29" s="11" t="inlineStr">
        <is>
          <t>2026-10-15</t>
        </is>
      </c>
    </row>
    <row r="30">
      <c r="A30" s="11" t="inlineStr">
        <is>
          <t>L2-009</t>
        </is>
      </c>
      <c r="B30" s="11" t="inlineStr">
        <is>
          <t>candidate</t>
        </is>
      </c>
      <c r="C30" s="11" t="n">
        <v>2</v>
      </c>
      <c r="D30" s="2" t="inlineStr">
        <is>
          <t>Suresh Kumar Koushal v. Naz Foundation (2013)</t>
        </is>
      </c>
      <c r="E30" s="2" t="inlineStr">
        <is>
          <t>Navtej Singh Johar v. Union of India (2018)</t>
        </is>
      </c>
      <c r="F30" s="2" t="inlineStr">
        <is>
          <t>overruled: Suresh Kumar Koushal needs to be, and is hereby, overruled | scope:  | checked by Claude (H+B)</t>
        </is>
      </c>
      <c r="G30" s="2" t="inlineStr">
        <is>
          <t>Confirm, change the treatment, reject, or keep (the answer says 'reported, not yet confirmed' until you confirm).</t>
        </is>
      </c>
      <c r="H30" s="12" t="inlineStr"/>
      <c r="I30" s="12" t="inlineStr"/>
      <c r="J30" s="13" t="inlineStr"/>
      <c r="K30" s="12" t="inlineStr"/>
      <c r="L30" s="12" t="inlineStr"/>
      <c r="M30" s="12" t="inlineStr"/>
      <c r="N30" s="12" t="inlineStr"/>
      <c r="O30" s="13" t="inlineStr"/>
      <c r="P30" s="12" t="inlineStr"/>
      <c r="Q30" s="12" t="inlineStr"/>
      <c r="R30" s="11" t="inlineStr">
        <is>
          <t>2026-10-15</t>
        </is>
      </c>
    </row>
    <row r="31">
      <c r="A31" s="11" t="inlineStr">
        <is>
          <t>L2-010</t>
        </is>
      </c>
      <c r="B31" s="11" t="inlineStr">
        <is>
          <t>candidate</t>
        </is>
      </c>
      <c r="C31" s="11" t="n">
        <v>2</v>
      </c>
      <c r="D31" s="2" t="inlineStr">
        <is>
          <t>Sowmithri Vishnu v. Union of India (1985)</t>
        </is>
      </c>
      <c r="E31" s="2" t="inlineStr">
        <is>
          <t>Joseph Shine v. Union of India (2018)</t>
        </is>
      </c>
      <c r="F31" s="2" t="inlineStr">
        <is>
          <t>overruled: The decisions in Sowmithri Vishnu, V. Revathi and W. Kalyani hereby stand overruled | scope:  | checked by Claude (B)</t>
        </is>
      </c>
      <c r="G31" s="2" t="inlineStr">
        <is>
          <t>Confirm, change the treatment, reject, or keep (the answer says 'reported, not yet confirmed' until you confirm).</t>
        </is>
      </c>
      <c r="H31" s="12" t="inlineStr"/>
      <c r="I31" s="12" t="inlineStr"/>
      <c r="J31" s="13" t="inlineStr"/>
      <c r="K31" s="12" t="inlineStr"/>
      <c r="L31" s="12" t="inlineStr"/>
      <c r="M31" s="12" t="inlineStr"/>
      <c r="N31" s="12" t="inlineStr"/>
      <c r="O31" s="13" t="inlineStr"/>
      <c r="P31" s="12" t="inlineStr"/>
      <c r="Q31" s="12" t="inlineStr"/>
      <c r="R31" s="11" t="inlineStr">
        <is>
          <t>2026-10-15</t>
        </is>
      </c>
    </row>
    <row r="32">
      <c r="A32" s="11" t="inlineStr">
        <is>
          <t>L2-011</t>
        </is>
      </c>
      <c r="B32" s="11" t="inlineStr">
        <is>
          <t>candidate</t>
        </is>
      </c>
      <c r="C32" s="11" t="n">
        <v>2</v>
      </c>
      <c r="D32" s="2" t="inlineStr">
        <is>
          <t>V. Revathi v. Union of India (1988)</t>
        </is>
      </c>
      <c r="E32" s="2" t="inlineStr">
        <is>
          <t>Joseph Shine v. Union of India (2018)</t>
        </is>
      </c>
      <c r="F32" s="2" t="inlineStr">
        <is>
          <t>overruled: same sentence as row 10 | scope:  | checked by Claude (B)</t>
        </is>
      </c>
      <c r="G32" s="2" t="inlineStr">
        <is>
          <t>Confirm, change the treatment, reject, or keep (the answer says 'reported, not yet confirmed' until you confirm).</t>
        </is>
      </c>
      <c r="H32" s="12" t="inlineStr"/>
      <c r="I32" s="12" t="inlineStr"/>
      <c r="J32" s="13" t="inlineStr"/>
      <c r="K32" s="12" t="inlineStr"/>
      <c r="L32" s="12" t="inlineStr"/>
      <c r="M32" s="12" t="inlineStr"/>
      <c r="N32" s="12" t="inlineStr"/>
      <c r="O32" s="13" t="inlineStr"/>
      <c r="P32" s="12" t="inlineStr"/>
      <c r="Q32" s="12" t="inlineStr"/>
      <c r="R32" s="11" t="inlineStr">
        <is>
          <t>2026-10-15</t>
        </is>
      </c>
    </row>
    <row r="33">
      <c r="A33" s="11" t="inlineStr">
        <is>
          <t>L2-012</t>
        </is>
      </c>
      <c r="B33" s="11" t="inlineStr">
        <is>
          <t>candidate</t>
        </is>
      </c>
      <c r="C33" s="11" t="n">
        <v>2</v>
      </c>
      <c r="D33" s="2" t="inlineStr">
        <is>
          <t>W. Kalyani v. State (2012)</t>
        </is>
      </c>
      <c r="E33" s="2" t="inlineStr">
        <is>
          <t>Joseph Shine v. Union of India (2018)</t>
        </is>
      </c>
      <c r="F33" s="2" t="inlineStr">
        <is>
          <t>overruled: same sentence as row 10 | scope:  | checked by Claude (B)</t>
        </is>
      </c>
      <c r="G33" s="2" t="inlineStr">
        <is>
          <t>Confirm, change the treatment, reject, or keep (the answer says 'reported, not yet confirmed' until you confirm).</t>
        </is>
      </c>
      <c r="H33" s="12" t="inlineStr"/>
      <c r="I33" s="12" t="inlineStr"/>
      <c r="J33" s="13" t="inlineStr"/>
      <c r="K33" s="12" t="inlineStr"/>
      <c r="L33" s="12" t="inlineStr"/>
      <c r="M33" s="12" t="inlineStr"/>
      <c r="N33" s="12" t="inlineStr"/>
      <c r="O33" s="13" t="inlineStr"/>
      <c r="P33" s="12" t="inlineStr"/>
      <c r="Q33" s="12" t="inlineStr"/>
      <c r="R33" s="11" t="inlineStr">
        <is>
          <t>2026-10-15</t>
        </is>
      </c>
    </row>
    <row r="34">
      <c r="A34" s="11" t="inlineStr">
        <is>
          <t>L2-013</t>
        </is>
      </c>
      <c r="B34" s="11" t="inlineStr">
        <is>
          <t>candidate</t>
        </is>
      </c>
      <c r="C34" s="11" t="n">
        <v>2</v>
      </c>
      <c r="D34" s="2" t="inlineStr">
        <is>
          <t>Foreshore Cooperative Housing Society Ltd. v. Praveen D. Desai (2015)</t>
        </is>
      </c>
      <c r="E34" s="2" t="inlineStr">
        <is>
          <t>Nusli Neville Wadia v. Ivory Properties (2019)</t>
        </is>
      </c>
      <c r="F34" s="2" t="inlineStr">
        <is>
          <t>not_good_law: The decision in Foreshore Cooperative Housing Society Limited cannot be said to be laying down the law correctly | scope: section 9A CPC (Maharashtra): limitation as a preliminary issue | checked by Claude (B)</t>
        </is>
      </c>
      <c r="G34" s="2" t="inlineStr">
        <is>
          <t>Confirm, change the treatment, reject, or keep (the answer says 'reported, not yet confirmed' until you confirm).</t>
        </is>
      </c>
      <c r="H34" s="12" t="inlineStr"/>
      <c r="I34" s="12" t="inlineStr"/>
      <c r="J34" s="13" t="inlineStr"/>
      <c r="K34" s="12" t="inlineStr"/>
      <c r="L34" s="12" t="inlineStr"/>
      <c r="M34" s="12" t="inlineStr"/>
      <c r="N34" s="12" t="inlineStr"/>
      <c r="O34" s="13" t="inlineStr"/>
      <c r="P34" s="12" t="inlineStr"/>
      <c r="Q34" s="12" t="inlineStr"/>
      <c r="R34" s="11" t="inlineStr">
        <is>
          <t>2026-10-15</t>
        </is>
      </c>
    </row>
    <row r="35">
      <c r="A35" s="11" t="inlineStr">
        <is>
          <t>L2-014</t>
        </is>
      </c>
      <c r="B35" s="11" t="inlineStr">
        <is>
          <t>candidate</t>
        </is>
      </c>
      <c r="C35" s="11" t="n">
        <v>2</v>
      </c>
      <c r="D35" s="2" t="inlineStr">
        <is>
          <t>Motilal Pesticides (I) Pvt. Ltd. v. CIT (2000)</t>
        </is>
      </c>
      <c r="E35" s="2" t="inlineStr">
        <is>
          <t>Vijay Industries v. Commissioner of Income Tax (2019)</t>
        </is>
      </c>
      <c r="F35" s="2" t="inlineStr">
        <is>
          <t>overruled: the judgment of Motilal Pesticides is erroneous. We, therefore, overrule this judgment | scope: section 80HH deduction computed on gross profits | checked by Claude (B)</t>
        </is>
      </c>
      <c r="G35" s="2" t="inlineStr">
        <is>
          <t>Confirm, change the treatment, reject, or keep (the answer says 'reported, not yet confirmed' until you confirm).</t>
        </is>
      </c>
      <c r="H35" s="12" t="inlineStr"/>
      <c r="I35" s="12" t="inlineStr"/>
      <c r="J35" s="13" t="inlineStr"/>
      <c r="K35" s="12" t="inlineStr"/>
      <c r="L35" s="12" t="inlineStr"/>
      <c r="M35" s="12" t="inlineStr"/>
      <c r="N35" s="12" t="inlineStr"/>
      <c r="O35" s="13" t="inlineStr"/>
      <c r="P35" s="12" t="inlineStr"/>
      <c r="Q35" s="12" t="inlineStr"/>
      <c r="R35" s="11" t="inlineStr">
        <is>
          <t>2026-10-15</t>
        </is>
      </c>
    </row>
    <row r="36">
      <c r="A36" s="11" t="inlineStr">
        <is>
          <t>L2-015</t>
        </is>
      </c>
      <c r="B36" s="11" t="inlineStr">
        <is>
          <t>candidate</t>
        </is>
      </c>
      <c r="C36" s="11" t="n">
        <v>2</v>
      </c>
      <c r="D36" s="2" t="inlineStr">
        <is>
          <t>Amrutbhai Shambhubhai Patel v. Sumanbhai Kantibhai Patel (2017)</t>
        </is>
      </c>
      <c r="E36" s="2" t="inlineStr">
        <is>
          <t>Vinubhai Haribhai Malaviya v. State of Gujarat (2019)</t>
        </is>
      </c>
      <c r="F36" s="2" t="inlineStr">
        <is>
          <t>overruled_in_part: to the extent that the judgments in Amrutbhai Shambubhai Patel, Athul Rao and Bikash Ranjan Rout have held to the contrary, they stand overruled | scope: to the extent it held the contrary to Vinubhai | checked by Claude (B)</t>
        </is>
      </c>
      <c r="G36" s="2" t="inlineStr">
        <is>
          <t>Confirm, change the treatment, reject, or keep (the answer says 'reported, not yet confirmed' until you confirm).</t>
        </is>
      </c>
      <c r="H36" s="12" t="inlineStr"/>
      <c r="I36" s="12" t="inlineStr"/>
      <c r="J36" s="13" t="inlineStr"/>
      <c r="K36" s="12" t="inlineStr"/>
      <c r="L36" s="12" t="inlineStr"/>
      <c r="M36" s="12" t="inlineStr"/>
      <c r="N36" s="12" t="inlineStr"/>
      <c r="O36" s="13" t="inlineStr"/>
      <c r="P36" s="12" t="inlineStr"/>
      <c r="Q36" s="12" t="inlineStr"/>
      <c r="R36" s="11" t="inlineStr">
        <is>
          <t>2026-10-15</t>
        </is>
      </c>
    </row>
    <row r="37">
      <c r="A37" s="11" t="inlineStr">
        <is>
          <t>L2-016</t>
        </is>
      </c>
      <c r="B37" s="11" t="inlineStr">
        <is>
          <t>candidate</t>
        </is>
      </c>
      <c r="C37" s="11" t="n">
        <v>2</v>
      </c>
      <c r="D37" s="2" t="inlineStr">
        <is>
          <t>Athul Rao v. State of Karnataka (2018)</t>
        </is>
      </c>
      <c r="E37" s="2" t="inlineStr">
        <is>
          <t>Vinubhai Haribhai Malaviya v. State of Gujarat (2019)</t>
        </is>
      </c>
      <c r="F37" s="2" t="inlineStr">
        <is>
          <t>overruled_in_part: same sentence as row 15 | scope: to the extent it held the contrary to Vinubhai | checked by Claude (B)</t>
        </is>
      </c>
      <c r="G37" s="2" t="inlineStr">
        <is>
          <t>Confirm, change the treatment, reject, or keep (the answer says 'reported, not yet confirmed' until you confirm).</t>
        </is>
      </c>
      <c r="H37" s="12" t="inlineStr"/>
      <c r="I37" s="12" t="inlineStr"/>
      <c r="J37" s="13" t="inlineStr"/>
      <c r="K37" s="12" t="inlineStr"/>
      <c r="L37" s="12" t="inlineStr"/>
      <c r="M37" s="12" t="inlineStr"/>
      <c r="N37" s="12" t="inlineStr"/>
      <c r="O37" s="13" t="inlineStr"/>
      <c r="P37" s="12" t="inlineStr"/>
      <c r="Q37" s="12" t="inlineStr"/>
      <c r="R37" s="11" t="inlineStr">
        <is>
          <t>2026-10-15</t>
        </is>
      </c>
    </row>
    <row r="38">
      <c r="A38" s="11" t="inlineStr">
        <is>
          <t>L2-017</t>
        </is>
      </c>
      <c r="B38" s="11" t="inlineStr">
        <is>
          <t>candidate</t>
        </is>
      </c>
      <c r="C38" s="11" t="n">
        <v>2</v>
      </c>
      <c r="D38" s="2" t="inlineStr">
        <is>
          <t>Bikash Ranjan Rout v. State (NCT of Delhi) (2019)</t>
        </is>
      </c>
      <c r="E38" s="2" t="inlineStr">
        <is>
          <t>Vinubhai Haribhai Malaviya v. State of Gujarat (2019)</t>
        </is>
      </c>
      <c r="F38" s="2" t="inlineStr">
        <is>
          <t>overruled_in_part: same sentence as row 15 | scope: to the extent it held the contrary to Vinubhai | checked by Claude (B)</t>
        </is>
      </c>
      <c r="G38" s="2" t="inlineStr">
        <is>
          <t>Confirm, change the treatment, reject, or keep (the answer says 'reported, not yet confirmed' until you confirm).</t>
        </is>
      </c>
      <c r="H38" s="12" t="inlineStr"/>
      <c r="I38" s="12" t="inlineStr"/>
      <c r="J38" s="13" t="inlineStr"/>
      <c r="K38" s="12" t="inlineStr"/>
      <c r="L38" s="12" t="inlineStr"/>
      <c r="M38" s="12" t="inlineStr"/>
      <c r="N38" s="12" t="inlineStr"/>
      <c r="O38" s="13" t="inlineStr"/>
      <c r="P38" s="12" t="inlineStr"/>
      <c r="Q38" s="12" t="inlineStr"/>
      <c r="R38" s="11" t="inlineStr">
        <is>
          <t>2026-10-15</t>
        </is>
      </c>
    </row>
    <row r="39">
      <c r="A39" s="11" t="inlineStr">
        <is>
          <t>L2-018</t>
        </is>
      </c>
      <c r="B39" s="11" t="inlineStr">
        <is>
          <t>candidate</t>
        </is>
      </c>
      <c r="C39" s="11" t="n">
        <v>2</v>
      </c>
      <c r="D39" s="2" t="inlineStr">
        <is>
          <t>Randhir Singh Rana v. State (Delhi Administration) (1997)</t>
        </is>
      </c>
      <c r="E39" s="2" t="inlineStr">
        <is>
          <t>Vinubhai Haribhai Malaviya v. State of Gujarat (2019)</t>
        </is>
      </c>
      <c r="F39" s="2" t="inlineStr">
        <is>
          <t>overruled: Randhir Singh Rana ... and Reeta Nag ... also stand overruled | scope:  | checked by Claude (B)</t>
        </is>
      </c>
      <c r="G39" s="2" t="inlineStr">
        <is>
          <t>Confirm, change the treatment, reject, or keep (the answer says 'reported, not yet confirmed' until you confirm).</t>
        </is>
      </c>
      <c r="H39" s="12" t="inlineStr"/>
      <c r="I39" s="12" t="inlineStr"/>
      <c r="J39" s="13" t="inlineStr"/>
      <c r="K39" s="12" t="inlineStr"/>
      <c r="L39" s="12" t="inlineStr"/>
      <c r="M39" s="12" t="inlineStr"/>
      <c r="N39" s="12" t="inlineStr"/>
      <c r="O39" s="13" t="inlineStr"/>
      <c r="P39" s="12" t="inlineStr"/>
      <c r="Q39" s="12" t="inlineStr"/>
      <c r="R39" s="11" t="inlineStr">
        <is>
          <t>2026-10-15</t>
        </is>
      </c>
    </row>
    <row r="40">
      <c r="A40" s="11" t="inlineStr">
        <is>
          <t>L2-019</t>
        </is>
      </c>
      <c r="B40" s="11" t="inlineStr">
        <is>
          <t>candidate</t>
        </is>
      </c>
      <c r="C40" s="11" t="n">
        <v>2</v>
      </c>
      <c r="D40" s="2" t="inlineStr">
        <is>
          <t>Reeta Nag v. State of West Bengal (2009)</t>
        </is>
      </c>
      <c r="E40" s="2" t="inlineStr">
        <is>
          <t>Vinubhai Haribhai Malaviya v. State of Gujarat (2019)</t>
        </is>
      </c>
      <c r="F40" s="2" t="inlineStr">
        <is>
          <t>overruled: same sentence as row 18 | scope:  | checked by Claude (B)</t>
        </is>
      </c>
      <c r="G40" s="2" t="inlineStr">
        <is>
          <t>Confirm, change the treatment, reject, or keep (the answer says 'reported, not yet confirmed' until you confirm).</t>
        </is>
      </c>
      <c r="H40" s="12" t="inlineStr"/>
      <c r="I40" s="12" t="inlineStr"/>
      <c r="J40" s="13" t="inlineStr"/>
      <c r="K40" s="12" t="inlineStr"/>
      <c r="L40" s="12" t="inlineStr"/>
      <c r="M40" s="12" t="inlineStr"/>
      <c r="N40" s="12" t="inlineStr"/>
      <c r="O40" s="13" t="inlineStr"/>
      <c r="P40" s="12" t="inlineStr"/>
      <c r="Q40" s="12" t="inlineStr"/>
      <c r="R40" s="11" t="inlineStr">
        <is>
          <t>2026-10-15</t>
        </is>
      </c>
    </row>
    <row r="41">
      <c r="A41" s="11" t="inlineStr">
        <is>
          <t>L2-020</t>
        </is>
      </c>
      <c r="B41" s="11" t="inlineStr">
        <is>
          <t>candidate</t>
        </is>
      </c>
      <c r="C41" s="11" t="n">
        <v>2</v>
      </c>
      <c r="D41" s="2" t="inlineStr">
        <is>
          <t>Gurdwara Sahib v. Gram Panchayat Village Sirthala (2014)</t>
        </is>
      </c>
      <c r="E41" s="2" t="inlineStr">
        <is>
          <t>Ravinder Kaur Grewal v. Manjit Kaur (2019)</t>
        </is>
      </c>
      <c r="F41" s="2" t="inlineStr">
        <is>
          <t>overruled: decisions of Gurudwara Sahab v. Gram Panchayat Village Sirthala ... cannot be said to be laying down the law correctly, thus they are hereby overruled | scope: adverse possession cannot be pleaded by a plaintiff under Article 65 of the Limitation Act | checked by Claude (B)</t>
        </is>
      </c>
      <c r="G41" s="2" t="inlineStr">
        <is>
          <t>Confirm, change the treatment, reject, or keep (the answer says 'reported, not yet confirmed' until you confirm).</t>
        </is>
      </c>
      <c r="H41" s="12" t="inlineStr"/>
      <c r="I41" s="12" t="inlineStr"/>
      <c r="J41" s="13" t="inlineStr"/>
      <c r="K41" s="12" t="inlineStr"/>
      <c r="L41" s="12" t="inlineStr"/>
      <c r="M41" s="12" t="inlineStr"/>
      <c r="N41" s="12" t="inlineStr"/>
      <c r="O41" s="13" t="inlineStr"/>
      <c r="P41" s="12" t="inlineStr"/>
      <c r="Q41" s="12" t="inlineStr"/>
      <c r="R41" s="11" t="inlineStr">
        <is>
          <t>2026-10-15</t>
        </is>
      </c>
    </row>
    <row r="42">
      <c r="A42" s="11" t="inlineStr">
        <is>
          <t>L2-021</t>
        </is>
      </c>
      <c r="B42" s="11" t="inlineStr">
        <is>
          <t>candidate</t>
        </is>
      </c>
      <c r="C42" s="11" t="n">
        <v>2</v>
      </c>
      <c r="D42" s="2" t="inlineStr">
        <is>
          <t>State of Uttarakhand v. Mandir Sri Laxman Sidh Maharaj (2017)</t>
        </is>
      </c>
      <c r="E42" s="2" t="inlineStr">
        <is>
          <t>Ravinder Kaur Grewal v. Manjit Kaur (2019)</t>
        </is>
      </c>
      <c r="F42" s="2" t="inlineStr">
        <is>
          <t>overruled: same sentence as row 20 | scope: adverse possession cannot be pleaded by a plaintiff under Article 65 of the Limitation Act | checked by Claude (B)</t>
        </is>
      </c>
      <c r="G42" s="2" t="inlineStr">
        <is>
          <t>Confirm, change the treatment, reject, or keep (the answer says 'reported, not yet confirmed' until you confirm).</t>
        </is>
      </c>
      <c r="H42" s="12" t="inlineStr"/>
      <c r="I42" s="12" t="inlineStr"/>
      <c r="J42" s="13" t="inlineStr"/>
      <c r="K42" s="12" t="inlineStr"/>
      <c r="L42" s="12" t="inlineStr"/>
      <c r="M42" s="12" t="inlineStr"/>
      <c r="N42" s="12" t="inlineStr"/>
      <c r="O42" s="13" t="inlineStr"/>
      <c r="P42" s="12" t="inlineStr"/>
      <c r="Q42" s="12" t="inlineStr"/>
      <c r="R42" s="11" t="inlineStr">
        <is>
          <t>2026-10-15</t>
        </is>
      </c>
    </row>
    <row r="43">
      <c r="A43" s="11" t="inlineStr">
        <is>
          <t>L2-022</t>
        </is>
      </c>
      <c r="B43" s="11" t="inlineStr">
        <is>
          <t>candidate</t>
        </is>
      </c>
      <c r="C43" s="11" t="n">
        <v>2</v>
      </c>
      <c r="D43" s="2" t="inlineStr">
        <is>
          <t>Dharampal (dead) through LRs v. Punjab Wakf Board (2017)</t>
        </is>
      </c>
      <c r="E43" s="2" t="inlineStr">
        <is>
          <t>Ravinder Kaur Grewal v. Manjit Kaur (2019)</t>
        </is>
      </c>
      <c r="F43" s="2" t="inlineStr">
        <is>
          <t>overruled: same sentence as row 20 | scope: adverse possession cannot be pleaded by a plaintiff under Article 65 of the Limitation Act | checked by Claude (B)</t>
        </is>
      </c>
      <c r="G43" s="2" t="inlineStr">
        <is>
          <t>Confirm, change the treatment, reject, or keep (the answer says 'reported, not yet confirmed' until you confirm).</t>
        </is>
      </c>
      <c r="H43" s="12" t="inlineStr"/>
      <c r="I43" s="12" t="inlineStr"/>
      <c r="J43" s="13" t="inlineStr"/>
      <c r="K43" s="12" t="inlineStr"/>
      <c r="L43" s="12" t="inlineStr"/>
      <c r="M43" s="12" t="inlineStr"/>
      <c r="N43" s="12" t="inlineStr"/>
      <c r="O43" s="13" t="inlineStr"/>
      <c r="P43" s="12" t="inlineStr"/>
      <c r="Q43" s="12" t="inlineStr"/>
      <c r="R43" s="11" t="inlineStr">
        <is>
          <t>2026-10-15</t>
        </is>
      </c>
    </row>
    <row r="44">
      <c r="A44" s="11" t="inlineStr">
        <is>
          <t>L2-023</t>
        </is>
      </c>
      <c r="B44" s="11" t="inlineStr">
        <is>
          <t>candidate</t>
        </is>
      </c>
      <c r="C44" s="11" t="n">
        <v>2</v>
      </c>
      <c r="D44" s="2" t="inlineStr">
        <is>
          <t>Salauddin Abdulsamad Shaikh v. State of Maharashtra (1996)</t>
        </is>
      </c>
      <c r="E44" s="2" t="inlineStr">
        <is>
          <t>Sushila Aggarwal v. State (NCT of Delhi) (2020)</t>
        </is>
      </c>
      <c r="F44" s="2" t="inlineStr">
        <is>
          <t>overruled: the decision in Salauddin Abdulsamad Shaikh ... and subsequent decisions ... are hereby overruled | scope: the view that anticipatory bail must end after a fixed period | checked by Claude (B)</t>
        </is>
      </c>
      <c r="G44" s="2" t="inlineStr">
        <is>
          <t>Confirm, change the treatment, reject, or keep (the answer says 'reported, not yet confirmed' until you confirm).</t>
        </is>
      </c>
      <c r="H44" s="12" t="inlineStr"/>
      <c r="I44" s="12" t="inlineStr"/>
      <c r="J44" s="13" t="inlineStr"/>
      <c r="K44" s="12" t="inlineStr"/>
      <c r="L44" s="12" t="inlineStr"/>
      <c r="M44" s="12" t="inlineStr"/>
      <c r="N44" s="12" t="inlineStr"/>
      <c r="O44" s="13" t="inlineStr"/>
      <c r="P44" s="12" t="inlineStr"/>
      <c r="Q44" s="12" t="inlineStr"/>
      <c r="R44" s="11" t="inlineStr">
        <is>
          <t>2026-10-15</t>
        </is>
      </c>
    </row>
    <row r="45">
      <c r="A45" s="11" t="inlineStr">
        <is>
          <t>L2-024</t>
        </is>
      </c>
      <c r="B45" s="11" t="inlineStr">
        <is>
          <t>candidate</t>
        </is>
      </c>
      <c r="C45" s="11" t="n">
        <v>2</v>
      </c>
      <c r="D45" s="2" t="inlineStr">
        <is>
          <t>K.L. Verma v. State (1998)</t>
        </is>
      </c>
      <c r="E45" s="2" t="inlineStr">
        <is>
          <t>Sushila Aggarwal v. State (NCT of Delhi) (2020)</t>
        </is>
      </c>
      <c r="F45" s="2" t="inlineStr">
        <is>
          <t>overruled: (including K.L. Verma ...) are hereby overruled | scope: the view that anticipatory bail must end after a fixed period | checked by Claude (B)</t>
        </is>
      </c>
      <c r="G45" s="2" t="inlineStr">
        <is>
          <t>Confirm, change the treatment, reject, or keep (the answer says 'reported, not yet confirmed' until you confirm).</t>
        </is>
      </c>
      <c r="H45" s="12" t="inlineStr"/>
      <c r="I45" s="12" t="inlineStr"/>
      <c r="J45" s="13" t="inlineStr"/>
      <c r="K45" s="12" t="inlineStr"/>
      <c r="L45" s="12" t="inlineStr"/>
      <c r="M45" s="12" t="inlineStr"/>
      <c r="N45" s="12" t="inlineStr"/>
      <c r="O45" s="13" t="inlineStr"/>
      <c r="P45" s="12" t="inlineStr"/>
      <c r="Q45" s="12" t="inlineStr"/>
      <c r="R45" s="11" t="inlineStr">
        <is>
          <t>2026-10-15</t>
        </is>
      </c>
    </row>
    <row r="46">
      <c r="A46" s="11" t="inlineStr">
        <is>
          <t>L2-025</t>
        </is>
      </c>
      <c r="B46" s="11" t="inlineStr">
        <is>
          <t>candidate</t>
        </is>
      </c>
      <c r="C46" s="11" t="n">
        <v>2</v>
      </c>
      <c r="D46" s="2" t="inlineStr">
        <is>
          <t>Sunita Devi v. State of Bihar (2005)</t>
        </is>
      </c>
      <c r="E46" s="2" t="inlineStr">
        <is>
          <t>Sushila Aggarwal v. State (NCT of Delhi) (2020)</t>
        </is>
      </c>
      <c r="F46" s="2" t="inlineStr">
        <is>
          <t>overruled: same sentence as row 24 | scope: the view that anticipatory bail must end after a fixed period | checked by Claude (B)</t>
        </is>
      </c>
      <c r="G46" s="2" t="inlineStr">
        <is>
          <t>Confirm, change the treatment, reject, or keep (the answer says 'reported, not yet confirmed' until you confirm).</t>
        </is>
      </c>
      <c r="H46" s="12" t="inlineStr"/>
      <c r="I46" s="12" t="inlineStr"/>
      <c r="J46" s="13" t="inlineStr"/>
      <c r="K46" s="12" t="inlineStr"/>
      <c r="L46" s="12" t="inlineStr"/>
      <c r="M46" s="12" t="inlineStr"/>
      <c r="N46" s="12" t="inlineStr"/>
      <c r="O46" s="13" t="inlineStr"/>
      <c r="P46" s="12" t="inlineStr"/>
      <c r="Q46" s="12" t="inlineStr"/>
      <c r="R46" s="11" t="inlineStr">
        <is>
          <t>2026-10-15</t>
        </is>
      </c>
    </row>
    <row r="47">
      <c r="A47" s="11" t="inlineStr">
        <is>
          <t>L2-026</t>
        </is>
      </c>
      <c r="B47" s="11" t="inlineStr">
        <is>
          <t>candidate</t>
        </is>
      </c>
      <c r="C47" s="11" t="n">
        <v>2</v>
      </c>
      <c r="D47" s="2" t="inlineStr">
        <is>
          <t>Adri Dharan Das v. State of West Bengal (2005)</t>
        </is>
      </c>
      <c r="E47" s="2" t="inlineStr">
        <is>
          <t>Sushila Aggarwal v. State (NCT of Delhi) (2020)</t>
        </is>
      </c>
      <c r="F47" s="2" t="inlineStr">
        <is>
          <t>overruled: same sentence as row 24 | scope: the view that anticipatory bail must end after a fixed period | checked by Claude (B)</t>
        </is>
      </c>
      <c r="G47" s="2" t="inlineStr">
        <is>
          <t>Confirm, change the treatment, reject, or keep (the answer says 'reported, not yet confirmed' until you confirm).</t>
        </is>
      </c>
      <c r="H47" s="12" t="inlineStr"/>
      <c r="I47" s="12" t="inlineStr"/>
      <c r="J47" s="13" t="inlineStr"/>
      <c r="K47" s="12" t="inlineStr"/>
      <c r="L47" s="12" t="inlineStr"/>
      <c r="M47" s="12" t="inlineStr"/>
      <c r="N47" s="12" t="inlineStr"/>
      <c r="O47" s="13" t="inlineStr"/>
      <c r="P47" s="12" t="inlineStr"/>
      <c r="Q47" s="12" t="inlineStr"/>
      <c r="R47" s="11" t="inlineStr">
        <is>
          <t>2026-10-15</t>
        </is>
      </c>
    </row>
    <row r="48">
      <c r="A48" s="11" t="inlineStr">
        <is>
          <t>L2-027</t>
        </is>
      </c>
      <c r="B48" s="11" t="inlineStr">
        <is>
          <t>candidate</t>
        </is>
      </c>
      <c r="C48" s="11" t="n">
        <v>2</v>
      </c>
      <c r="D48" s="2" t="inlineStr">
        <is>
          <t>Nirmal Jeet Kaur v. State of M.P. (2004)</t>
        </is>
      </c>
      <c r="E48" s="2" t="inlineStr">
        <is>
          <t>Sushila Aggarwal v. State (NCT of Delhi) (2020)</t>
        </is>
      </c>
      <c r="F48" s="2" t="inlineStr">
        <is>
          <t>overruled: same sentence as row 24 | scope: the view that anticipatory bail must end after a fixed period | checked by Claude (B)</t>
        </is>
      </c>
      <c r="G48" s="2" t="inlineStr">
        <is>
          <t>Confirm, change the treatment, reject, or keep (the answer says 'reported, not yet confirmed' until you confirm).</t>
        </is>
      </c>
      <c r="H48" s="12" t="inlineStr"/>
      <c r="I48" s="12" t="inlineStr"/>
      <c r="J48" s="13" t="inlineStr"/>
      <c r="K48" s="12" t="inlineStr"/>
      <c r="L48" s="12" t="inlineStr"/>
      <c r="M48" s="12" t="inlineStr"/>
      <c r="N48" s="12" t="inlineStr"/>
      <c r="O48" s="13" t="inlineStr"/>
      <c r="P48" s="12" t="inlineStr"/>
      <c r="Q48" s="12" t="inlineStr"/>
      <c r="R48" s="11" t="inlineStr">
        <is>
          <t>2026-10-15</t>
        </is>
      </c>
    </row>
    <row r="49">
      <c r="A49" s="11" t="inlineStr">
        <is>
          <t>L2-028</t>
        </is>
      </c>
      <c r="B49" s="11" t="inlineStr">
        <is>
          <t>candidate</t>
        </is>
      </c>
      <c r="C49" s="11" t="n">
        <v>2</v>
      </c>
      <c r="D49" s="2" t="inlineStr">
        <is>
          <t>HDFC Bank Ltd. v. J.J. Mannan (2010)</t>
        </is>
      </c>
      <c r="E49" s="2" t="inlineStr">
        <is>
          <t>Sushila Aggarwal v. State (NCT of Delhi) (2020)</t>
        </is>
      </c>
      <c r="F49" s="2" t="inlineStr">
        <is>
          <t>overruled: same sentence as row 24 | scope: the view that anticipatory bail must end after a fixed period | checked by Claude (B)</t>
        </is>
      </c>
      <c r="G49" s="2" t="inlineStr">
        <is>
          <t>Confirm, change the treatment, reject, or keep (the answer says 'reported, not yet confirmed' until you confirm).</t>
        </is>
      </c>
      <c r="H49" s="12" t="inlineStr"/>
      <c r="I49" s="12" t="inlineStr"/>
      <c r="J49" s="13" t="inlineStr"/>
      <c r="K49" s="12" t="inlineStr"/>
      <c r="L49" s="12" t="inlineStr"/>
      <c r="M49" s="12" t="inlineStr"/>
      <c r="N49" s="12" t="inlineStr"/>
      <c r="O49" s="13" t="inlineStr"/>
      <c r="P49" s="12" t="inlineStr"/>
      <c r="Q49" s="12" t="inlineStr"/>
      <c r="R49" s="11" t="inlineStr">
        <is>
          <t>2026-10-15</t>
        </is>
      </c>
    </row>
    <row r="50">
      <c r="A50" s="11" t="inlineStr">
        <is>
          <t>L2-029</t>
        </is>
      </c>
      <c r="B50" s="11" t="inlineStr">
        <is>
          <t>candidate</t>
        </is>
      </c>
      <c r="C50" s="11" t="n">
        <v>2</v>
      </c>
      <c r="D50" s="2" t="inlineStr">
        <is>
          <t>Satpal Singh v. State of Punjab (2018)</t>
        </is>
      </c>
      <c r="E50" s="2" t="inlineStr">
        <is>
          <t>Sushila Aggarwal v. State (NCT of Delhi) (2020)</t>
        </is>
      </c>
      <c r="F50" s="2" t="inlineStr">
        <is>
          <t>overruled: same sentence as row 24 | scope: the view that anticipatory bail must end after a fixed period | checked by Claude (B)</t>
        </is>
      </c>
      <c r="G50" s="2" t="inlineStr">
        <is>
          <t>Confirm, change the treatment, reject, or keep (the answer says 'reported, not yet confirmed' until you confirm).</t>
        </is>
      </c>
      <c r="H50" s="12" t="inlineStr"/>
      <c r="I50" s="12" t="inlineStr"/>
      <c r="J50" s="13" t="inlineStr"/>
      <c r="K50" s="12" t="inlineStr"/>
      <c r="L50" s="12" t="inlineStr"/>
      <c r="M50" s="12" t="inlineStr"/>
      <c r="N50" s="12" t="inlineStr"/>
      <c r="O50" s="13" t="inlineStr"/>
      <c r="P50" s="12" t="inlineStr"/>
      <c r="Q50" s="12" t="inlineStr"/>
      <c r="R50" s="11" t="inlineStr">
        <is>
          <t>2026-10-15</t>
        </is>
      </c>
    </row>
    <row r="51">
      <c r="A51" s="11" t="inlineStr">
        <is>
          <t>L2-030</t>
        </is>
      </c>
      <c r="B51" s="11" t="inlineStr">
        <is>
          <t>candidate</t>
        </is>
      </c>
      <c r="C51" s="11" t="n">
        <v>2</v>
      </c>
      <c r="D51" s="2" t="inlineStr">
        <is>
          <t>Naresh Kumar Yadav v. Ravindra Kumar (2008)</t>
        </is>
      </c>
      <c r="E51" s="2" t="inlineStr">
        <is>
          <t>Sushila Aggarwal v. State (NCT of Delhi) (2020)</t>
        </is>
      </c>
      <c r="F51" s="2" t="inlineStr">
        <is>
          <t>overruled: same sentence as row 24 | scope: the view that anticipatory bail must end after a fixed period | checked by Claude (B)</t>
        </is>
      </c>
      <c r="G51" s="2" t="inlineStr">
        <is>
          <t>Confirm, change the treatment, reject, or keep (the answer says 'reported, not yet confirmed' until you confirm).</t>
        </is>
      </c>
      <c r="H51" s="12" t="inlineStr"/>
      <c r="I51" s="12" t="inlineStr"/>
      <c r="J51" s="13" t="inlineStr"/>
      <c r="K51" s="12" t="inlineStr"/>
      <c r="L51" s="12" t="inlineStr"/>
      <c r="M51" s="12" t="inlineStr"/>
      <c r="N51" s="12" t="inlineStr"/>
      <c r="O51" s="13" t="inlineStr"/>
      <c r="P51" s="12" t="inlineStr"/>
      <c r="Q51" s="12" t="inlineStr"/>
      <c r="R51" s="11" t="inlineStr">
        <is>
          <t>2026-10-15</t>
        </is>
      </c>
    </row>
    <row r="52">
      <c r="A52" s="11" t="inlineStr">
        <is>
          <t>L2-031</t>
        </is>
      </c>
      <c r="B52" s="11" t="inlineStr">
        <is>
          <t>candidate</t>
        </is>
      </c>
      <c r="C52" s="11" t="n">
        <v>2</v>
      </c>
      <c r="D52" s="2" t="inlineStr">
        <is>
          <t>Siddharam Satlingappa Mhetre v. State of Maharashtra (2011)</t>
        </is>
      </c>
      <c r="E52" s="2" t="inlineStr">
        <is>
          <t>Sushila Aggarwal v. State (NCT of Delhi) (2020)</t>
        </is>
      </c>
      <c r="F52" s="2" t="inlineStr">
        <is>
          <t>overruled_in_part: observations in Mhetre that no restrictive conditions at all can be imposed ... are hereby overruled | scope: the view that no restrictive conditions at all can be imposed on anticipatory bail | checked by Claude (B)</t>
        </is>
      </c>
      <c r="G52" s="2" t="inlineStr">
        <is>
          <t>Confirm, change the treatment, reject, or keep (the answer says 'reported, not yet confirmed' until you confirm).</t>
        </is>
      </c>
      <c r="H52" s="12" t="inlineStr"/>
      <c r="I52" s="12" t="inlineStr"/>
      <c r="J52" s="13" t="inlineStr"/>
      <c r="K52" s="12" t="inlineStr"/>
      <c r="L52" s="12" t="inlineStr"/>
      <c r="M52" s="12" t="inlineStr"/>
      <c r="N52" s="12" t="inlineStr"/>
      <c r="O52" s="13" t="inlineStr"/>
      <c r="P52" s="12" t="inlineStr"/>
      <c r="Q52" s="12" t="inlineStr"/>
      <c r="R52" s="11" t="inlineStr">
        <is>
          <t>2026-10-15</t>
        </is>
      </c>
    </row>
    <row r="53">
      <c r="A53" s="11" t="inlineStr">
        <is>
          <t>L2-032</t>
        </is>
      </c>
      <c r="B53" s="11" t="inlineStr">
        <is>
          <t>candidate</t>
        </is>
      </c>
      <c r="C53" s="11" t="n">
        <v>2</v>
      </c>
      <c r="D53" s="2" t="inlineStr">
        <is>
          <t>Shafhi Mohammad v. State of Himachal Pradesh (2018)</t>
        </is>
      </c>
      <c r="E53" s="2" t="inlineStr">
        <is>
          <t>Arjun Panditrao Khotkar v. Kailash Kushanrao Gorantyal (2020)</t>
        </is>
      </c>
      <c r="F53" s="2" t="inlineStr">
        <is>
          <t>overruled: do not lay down the law correctly and are therefore overruled | scope: the view that a section 65B(4) certificate can be dispensed with where the party cannot produce one | checked by Claude (B)</t>
        </is>
      </c>
      <c r="G53" s="2" t="inlineStr">
        <is>
          <t>Confirm, change the treatment, reject, or keep (the answer says 'reported, not yet confirmed' until you confirm).</t>
        </is>
      </c>
      <c r="H53" s="12" t="inlineStr"/>
      <c r="I53" s="12" t="inlineStr"/>
      <c r="J53" s="13" t="inlineStr"/>
      <c r="K53" s="12" t="inlineStr"/>
      <c r="L53" s="12" t="inlineStr"/>
      <c r="M53" s="12" t="inlineStr"/>
      <c r="N53" s="12" t="inlineStr"/>
      <c r="O53" s="13" t="inlineStr"/>
      <c r="P53" s="12" t="inlineStr"/>
      <c r="Q53" s="12" t="inlineStr"/>
      <c r="R53" s="11" t="inlineStr">
        <is>
          <t>2026-10-15</t>
        </is>
      </c>
    </row>
    <row r="54">
      <c r="A54" s="11" t="inlineStr">
        <is>
          <t>L2-033</t>
        </is>
      </c>
      <c r="B54" s="11" t="inlineStr">
        <is>
          <t>candidate</t>
        </is>
      </c>
      <c r="C54" s="11" t="n">
        <v>2</v>
      </c>
      <c r="D54" s="2" t="inlineStr">
        <is>
          <t>Tomaso Bruno v. State of U.P. (2015)</t>
        </is>
      </c>
      <c r="E54" s="2" t="inlineStr">
        <is>
          <t>Arjun Panditrao Khotkar v. Kailash Kushanrao Gorantyal (2020)</t>
        </is>
      </c>
      <c r="F54" s="2" t="inlineStr">
        <is>
          <t>overruled: Tomaso Bruno ... being per incuriam, does not lay down the law correctly ... overruled | scope: secondary evidence of electronic records (CCTV footage) under section 65 of the Evidence Act | checked by Claude (H+B)</t>
        </is>
      </c>
      <c r="G54" s="2" t="inlineStr">
        <is>
          <t>Confirm, change the treatment, reject, or keep (the answer says 'reported, not yet confirmed' until you confirm).</t>
        </is>
      </c>
      <c r="H54" s="12" t="inlineStr"/>
      <c r="I54" s="12" t="inlineStr"/>
      <c r="J54" s="13" t="inlineStr"/>
      <c r="K54" s="12" t="inlineStr"/>
      <c r="L54" s="12" t="inlineStr"/>
      <c r="M54" s="12" t="inlineStr"/>
      <c r="N54" s="12" t="inlineStr"/>
      <c r="O54" s="13" t="inlineStr"/>
      <c r="P54" s="12" t="inlineStr"/>
      <c r="Q54" s="12" t="inlineStr"/>
      <c r="R54" s="11" t="inlineStr">
        <is>
          <t>2026-10-15</t>
        </is>
      </c>
    </row>
    <row r="55">
      <c r="A55" s="11" t="inlineStr">
        <is>
          <t>L2-034</t>
        </is>
      </c>
      <c r="B55" s="11" t="inlineStr">
        <is>
          <t>candidate</t>
        </is>
      </c>
      <c r="C55" s="11" t="n">
        <v>2</v>
      </c>
      <c r="D55" s="2" t="inlineStr">
        <is>
          <t>Mohan Lal v. State of Punjab (2018)</t>
        </is>
      </c>
      <c r="E55" s="2" t="inlineStr">
        <is>
          <t>Mukesh Singh v. State (Narcotic Branch of Delhi) (2020)</t>
        </is>
      </c>
      <c r="F55" s="2" t="inlineStr">
        <is>
          <t>overruled: are not good law and they are specifically overruled | scope: the informant who is also the investigator: acquittal is not automatic | checked by Claude (H+B)</t>
        </is>
      </c>
      <c r="G55" s="2" t="inlineStr">
        <is>
          <t>Confirm, change the treatment, reject, or keep (the answer says 'reported, not yet confirmed' until you confirm).</t>
        </is>
      </c>
      <c r="H55" s="12" t="inlineStr"/>
      <c r="I55" s="12" t="inlineStr"/>
      <c r="J55" s="13" t="inlineStr"/>
      <c r="K55" s="12" t="inlineStr"/>
      <c r="L55" s="12" t="inlineStr"/>
      <c r="M55" s="12" t="inlineStr"/>
      <c r="N55" s="12" t="inlineStr"/>
      <c r="O55" s="13" t="inlineStr"/>
      <c r="P55" s="12" t="inlineStr"/>
      <c r="Q55" s="12" t="inlineStr"/>
      <c r="R55" s="11" t="inlineStr">
        <is>
          <t>2026-10-15</t>
        </is>
      </c>
    </row>
    <row r="56">
      <c r="A56" s="11" t="inlineStr">
        <is>
          <t>L2-035</t>
        </is>
      </c>
      <c r="B56" s="11" t="inlineStr">
        <is>
          <t>candidate</t>
        </is>
      </c>
      <c r="C56" s="11" t="n">
        <v>2</v>
      </c>
      <c r="D56" s="2" t="inlineStr">
        <is>
          <t>Prakash v. Phulavati (2016)</t>
        </is>
      </c>
      <c r="E56" s="2" t="inlineStr">
        <is>
          <t>Vineeta Sharma v. Rakesh Sharma (2020)</t>
        </is>
      </c>
      <c r="F56" s="2" t="inlineStr">
        <is>
          <t>overruled: we overrule the views to the contrary expressed in Prakash v. Phulavati and Mangammal v. T.B. Raju | scope: daughters' rights under section 6 of the Hindu Succession Act: only living daughters of living coparceners | checked by Claude (B)</t>
        </is>
      </c>
      <c r="G56" s="2" t="inlineStr">
        <is>
          <t>Confirm, change the treatment, reject, or keep (the answer says 'reported, not yet confirmed' until you confirm).</t>
        </is>
      </c>
      <c r="H56" s="12" t="inlineStr"/>
      <c r="I56" s="12" t="inlineStr"/>
      <c r="J56" s="13" t="inlineStr"/>
      <c r="K56" s="12" t="inlineStr"/>
      <c r="L56" s="12" t="inlineStr"/>
      <c r="M56" s="12" t="inlineStr"/>
      <c r="N56" s="12" t="inlineStr"/>
      <c r="O56" s="13" t="inlineStr"/>
      <c r="P56" s="12" t="inlineStr"/>
      <c r="Q56" s="12" t="inlineStr"/>
      <c r="R56" s="11" t="inlineStr">
        <is>
          <t>2026-10-15</t>
        </is>
      </c>
    </row>
    <row r="57">
      <c r="A57" s="11" t="inlineStr">
        <is>
          <t>L2-036</t>
        </is>
      </c>
      <c r="B57" s="11" t="inlineStr">
        <is>
          <t>candidate</t>
        </is>
      </c>
      <c r="C57" s="11" t="n">
        <v>2</v>
      </c>
      <c r="D57" s="2" t="inlineStr">
        <is>
          <t>Mangammal v. T.B. Raju (2018)</t>
        </is>
      </c>
      <c r="E57" s="2" t="inlineStr">
        <is>
          <t>Vineeta Sharma v. Rakesh Sharma (2020)</t>
        </is>
      </c>
      <c r="F57" s="2" t="inlineStr">
        <is>
          <t>overruled: same sentence as row 35 | scope: daughters' rights under section 6 of the Hindu Succession Act | checked by Claude (B)</t>
        </is>
      </c>
      <c r="G57" s="2" t="inlineStr">
        <is>
          <t>Confirm, change the treatment, reject, or keep (the answer says 'reported, not yet confirmed' until you confirm).</t>
        </is>
      </c>
      <c r="H57" s="12" t="inlineStr"/>
      <c r="I57" s="12" t="inlineStr"/>
      <c r="J57" s="13" t="inlineStr"/>
      <c r="K57" s="12" t="inlineStr"/>
      <c r="L57" s="12" t="inlineStr"/>
      <c r="M57" s="12" t="inlineStr"/>
      <c r="N57" s="12" t="inlineStr"/>
      <c r="O57" s="13" t="inlineStr"/>
      <c r="P57" s="12" t="inlineStr"/>
      <c r="Q57" s="12" t="inlineStr"/>
      <c r="R57" s="11" t="inlineStr">
        <is>
          <t>2026-10-15</t>
        </is>
      </c>
    </row>
    <row r="58">
      <c r="A58" s="11" t="inlineStr">
        <is>
          <t>L2-037</t>
        </is>
      </c>
      <c r="B58" s="11" t="inlineStr">
        <is>
          <t>candidate</t>
        </is>
      </c>
      <c r="C58" s="11" t="n">
        <v>2</v>
      </c>
      <c r="D58" s="2" t="inlineStr">
        <is>
          <t>Danamma @ Suman Surpur v. Amar (2018)</t>
        </is>
      </c>
      <c r="E58" s="2" t="inlineStr">
        <is>
          <t>Vineeta Sharma v. Rakesh Sharma (2020)</t>
        </is>
      </c>
      <c r="F58" s="2" t="inlineStr">
        <is>
          <t>overruled_in_part: The opinion expressed in Danamma is partly overruled to the extent it is contrary to this decision | scope: to the extent contrary to Vineeta Sharma | checked by Claude (B)</t>
        </is>
      </c>
      <c r="G58" s="2" t="inlineStr">
        <is>
          <t>Confirm, change the treatment, reject, or keep (the answer says 'reported, not yet confirmed' until you confirm).</t>
        </is>
      </c>
      <c r="H58" s="12" t="inlineStr"/>
      <c r="I58" s="12" t="inlineStr"/>
      <c r="J58" s="13" t="inlineStr"/>
      <c r="K58" s="12" t="inlineStr"/>
      <c r="L58" s="12" t="inlineStr"/>
      <c r="M58" s="12" t="inlineStr"/>
      <c r="N58" s="12" t="inlineStr"/>
      <c r="O58" s="13" t="inlineStr"/>
      <c r="P58" s="12" t="inlineStr"/>
      <c r="Q58" s="12" t="inlineStr"/>
      <c r="R58" s="11" t="inlineStr">
        <is>
          <t>2026-10-15</t>
        </is>
      </c>
    </row>
    <row r="59">
      <c r="A59" s="11" t="inlineStr">
        <is>
          <t>L2-038</t>
        </is>
      </c>
      <c r="B59" s="11" t="inlineStr">
        <is>
          <t>candidate</t>
        </is>
      </c>
      <c r="C59" s="11" t="n">
        <v>2</v>
      </c>
      <c r="D59" s="2" t="inlineStr">
        <is>
          <t>Himangni Enterprises v. Kamaljeet Singh Ahluwalia (2017)</t>
        </is>
      </c>
      <c r="E59" s="2" t="inlineStr">
        <is>
          <t>Vidya Drolia v. Durga Trading Corporation (2020)</t>
        </is>
      </c>
      <c r="F59" s="2" t="inlineStr">
        <is>
          <t>overruled: we overrule the ratio laid down in Himangni Enterprises | scope: the holding that landlord-tenant disputes under the Transfer of Property Act are not arbitrable | checked by Claude (B)</t>
        </is>
      </c>
      <c r="G59" s="2" t="inlineStr">
        <is>
          <t>Confirm, change the treatment, reject, or keep (the answer says 'reported, not yet confirmed' until you confirm).</t>
        </is>
      </c>
      <c r="H59" s="12" t="inlineStr"/>
      <c r="I59" s="12" t="inlineStr"/>
      <c r="J59" s="13" t="inlineStr"/>
      <c r="K59" s="12" t="inlineStr"/>
      <c r="L59" s="12" t="inlineStr"/>
      <c r="M59" s="12" t="inlineStr"/>
      <c r="N59" s="12" t="inlineStr"/>
      <c r="O59" s="13" t="inlineStr"/>
      <c r="P59" s="12" t="inlineStr"/>
      <c r="Q59" s="12" t="inlineStr"/>
      <c r="R59" s="11" t="inlineStr">
        <is>
          <t>2026-10-15</t>
        </is>
      </c>
    </row>
    <row r="60">
      <c r="A60" s="11" t="inlineStr">
        <is>
          <t>L2-039</t>
        </is>
      </c>
      <c r="B60" s="11" t="inlineStr">
        <is>
          <t>candidate</t>
        </is>
      </c>
      <c r="C60" s="11" t="n">
        <v>2</v>
      </c>
      <c r="D60" s="2" t="inlineStr">
        <is>
          <t>V. Surendra Mohan v. State of Tamil Nadu (2019)</t>
        </is>
      </c>
      <c r="E60" s="2" t="inlineStr">
        <is>
          <t>Vikash Kumar v. Union Public Service Commission (2021)</t>
        </is>
      </c>
      <c r="F60" s="2" t="inlineStr">
        <is>
          <t>not_binding: the Mohan judgment stands on a legally vulnerable footing. It would not be a binding precedent, after enforcement of the RPwD Act 2016 | scope: after the RPwD Act 2016, as a decision under the 1995 Act without a reasonable-accommodation analysis | checked by Claude (B)</t>
        </is>
      </c>
      <c r="G60" s="2" t="inlineStr">
        <is>
          <t>Confirm, change the treatment, reject, or keep (the answer says 'reported, not yet confirmed' until you confirm).</t>
        </is>
      </c>
      <c r="H60" s="12" t="inlineStr"/>
      <c r="I60" s="12" t="inlineStr"/>
      <c r="J60" s="13" t="inlineStr"/>
      <c r="K60" s="12" t="inlineStr"/>
      <c r="L60" s="12" t="inlineStr"/>
      <c r="M60" s="12" t="inlineStr"/>
      <c r="N60" s="12" t="inlineStr"/>
      <c r="O60" s="13" t="inlineStr"/>
      <c r="P60" s="12" t="inlineStr"/>
      <c r="Q60" s="12" t="inlineStr"/>
      <c r="R60" s="11" t="inlineStr">
        <is>
          <t>2026-10-15</t>
        </is>
      </c>
    </row>
    <row r="61">
      <c r="A61" s="11" t="inlineStr">
        <is>
          <t>L2-040</t>
        </is>
      </c>
      <c r="B61" s="11" t="inlineStr">
        <is>
          <t>candidate</t>
        </is>
      </c>
      <c r="C61" s="11" t="n">
        <v>2</v>
      </c>
      <c r="D61" s="2" t="inlineStr">
        <is>
          <t>M/s N.V. International v. State of Assam (2020)</t>
        </is>
      </c>
      <c r="E61" s="2" t="inlineStr">
        <is>
          <t>Government of Maharashtra v. Borse Brothers Engineers &amp; Contractors (2021)</t>
        </is>
      </c>
      <c r="F61" s="2" t="inlineStr">
        <is>
          <t>overruled: N.V. International has been wrongly decided and is therefore overruled | scope: the rule that delay beyond 120 days cannot be condoned in a section 37 appeal | checked by Claude (B)</t>
        </is>
      </c>
      <c r="G61" s="2" t="inlineStr">
        <is>
          <t>Confirm, change the treatment, reject, or keep (the answer says 'reported, not yet confirmed' until you confirm).</t>
        </is>
      </c>
      <c r="H61" s="12" t="inlineStr"/>
      <c r="I61" s="12" t="inlineStr"/>
      <c r="J61" s="13" t="inlineStr"/>
      <c r="K61" s="12" t="inlineStr"/>
      <c r="L61" s="12" t="inlineStr"/>
      <c r="M61" s="12" t="inlineStr"/>
      <c r="N61" s="12" t="inlineStr"/>
      <c r="O61" s="13" t="inlineStr"/>
      <c r="P61" s="12" t="inlineStr"/>
      <c r="Q61" s="12" t="inlineStr"/>
      <c r="R61" s="11" t="inlineStr">
        <is>
          <t>2026-10-15</t>
        </is>
      </c>
    </row>
  </sheetData>
  <autoFilter ref="A1:R61"/>
  <dataValidations count="2">
    <dataValidation sqref="H2:H61" showDropDown="0" showInputMessage="0" showErrorMessage="0" allowBlank="1" type="list">
      <formula1>"keep,confirm,change,reject,supply,add_row,keep_open,clear,confirm_overruled,confirm_partial,confirm_not_good_law,confirm_per_incuriam,confirm_not_binding"</formula1>
    </dataValidation>
    <dataValidation sqref="I2:I61" showDropDown="0" showInputMessage="0" showErrorMessage="0" allowBlank="1" type="list">
      <formula1>"overruled,overruled_in_part,not_good_law,per_incuriam,not_binding,not_approved,reversed_on_appeal,disputed_listing"</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50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8" customWidth="1" min="3" max="3"/>
    <col width="40" customWidth="1" min="4" max="4"/>
    <col width="40" customWidth="1" min="5" max="5"/>
    <col width="70" customWidth="1" min="6" max="6"/>
    <col width="46" customWidth="1" min="7" max="7"/>
    <col width="18" customWidth="1" min="8" max="8"/>
    <col width="18" customWidth="1" min="9" max="9"/>
    <col width="28" customWidth="1" min="10" max="10"/>
    <col width="30" customWidth="1" min="11" max="11"/>
    <col width="16" customWidth="1" min="12" max="12"/>
    <col width="16" customWidth="1" min="13" max="13"/>
    <col width="16" customWidth="1" min="14" max="14"/>
    <col width="30" customWidth="1" min="15" max="15"/>
    <col width="16" customWidth="1" min="16" max="16"/>
    <col width="16" customWidth="1" min="17" max="17"/>
    <col width="14" customWidth="1" min="18" max="18"/>
    <col width="16" customWidth="1" min="19" max="19"/>
  </cols>
  <sheetData>
    <row r="1">
      <c r="A1" s="10" t="inlineStr">
        <is>
          <t>item_id</t>
        </is>
      </c>
      <c r="B1" s="10" t="inlineStr">
        <is>
          <t>kind</t>
        </is>
      </c>
      <c r="C1" s="10" t="inlineStr">
        <is>
          <t>priority</t>
        </is>
      </c>
      <c r="D1" s="10" t="inlineStr">
        <is>
          <t>case</t>
        </is>
      </c>
      <c r="E1" s="10" t="inlineStr">
        <is>
          <t>later_case</t>
        </is>
      </c>
      <c r="F1" s="10" t="inlineStr">
        <is>
          <t>evidence</t>
        </is>
      </c>
      <c r="G1" s="10" t="inlineStr">
        <is>
          <t>ask</t>
        </is>
      </c>
      <c r="H1" s="10" t="inlineStr">
        <is>
          <t>decision</t>
        </is>
      </c>
      <c r="I1" s="10" t="inlineStr">
        <is>
          <t>new_treatment</t>
        </is>
      </c>
      <c r="J1" s="10" t="inlineStr">
        <is>
          <t>scope</t>
        </is>
      </c>
      <c r="K1" s="10" t="inlineStr">
        <is>
          <t>overruling_case</t>
        </is>
      </c>
      <c r="L1" s="10" t="inlineStr">
        <is>
          <t>overruling_year</t>
        </is>
      </c>
      <c r="M1" s="10" t="inlineStr">
        <is>
          <t>overruled_cites</t>
        </is>
      </c>
      <c r="N1" s="10" t="inlineStr">
        <is>
          <t>overruled_year</t>
        </is>
      </c>
      <c r="O1" s="10" t="inlineStr">
        <is>
          <t>note</t>
        </is>
      </c>
      <c r="P1" s="10" t="inlineStr">
        <is>
          <t>reviewer</t>
        </is>
      </c>
      <c r="Q1" s="10" t="inlineStr">
        <is>
          <t>review_date</t>
        </is>
      </c>
      <c r="R1" s="10" t="inlineStr">
        <is>
          <t>next_review_if_kept</t>
        </is>
      </c>
      <c r="S1" s="10" t="inlineStr">
        <is>
          <t>in this week's sheet</t>
        </is>
      </c>
    </row>
    <row r="2">
      <c r="A2" s="11" t="inlineStr">
        <is>
          <t>F-mohan-lal-v-state-of-punjab</t>
        </is>
      </c>
      <c r="B2" s="11" t="inlineStr">
        <is>
          <t>flag</t>
        </is>
      </c>
      <c r="C2" s="11" t="n">
        <v>1</v>
      </c>
      <c r="D2" s="2" t="inlineStr">
        <is>
          <t>Mohan Lal v State of Punjab (2018)</t>
        </is>
      </c>
      <c r="E2" s="2" t="inlineStr"/>
      <c r="F2" s="2" t="inlineStr">
        <is>
          <t>MUKESH SINGH versus STATE (NARCOTIC BRANCH OF DELHI) (2020, 5 judges): are not good law: MUKESH SINGH v. STATE (NARCOTIC BRANCH OF DELHI) (Special Leave Petition (Criminal) Diary No. 39528 of 2018) AUGUST 31, 2020 [ARUN MISHRA, I; MUKESH SINGH versus STATE (NARCOTIC BRANCH OF DELHI) (2020, 5 judges): overruled: [Para 12][302-B-G] Mohan Lal v. State of Punjab (2018) 17 SCC 627 : [2018] 9 SCR 1006 – overruled.</t>
        </is>
      </c>
      <c r="G2" s="2" t="inlineStr">
        <is>
          <t>Confirm (overruled / in part / not good law / per incuriam / not binding), clear, or keep open. Already in the register as L2-034.</t>
        </is>
      </c>
      <c r="H2" s="12" t="inlineStr"/>
      <c r="I2" s="12" t="inlineStr"/>
      <c r="J2" s="13" t="inlineStr"/>
      <c r="K2" s="12" t="inlineStr"/>
      <c r="L2" s="12" t="inlineStr"/>
      <c r="M2" s="12" t="inlineStr"/>
      <c r="N2" s="12" t="inlineStr"/>
      <c r="O2" s="13" t="inlineStr"/>
      <c r="P2" s="12" t="inlineStr"/>
      <c r="Q2" s="12" t="inlineStr"/>
      <c r="R2" s="11" t="inlineStr">
        <is>
          <t>2026-10-15</t>
        </is>
      </c>
      <c r="S2" s="11" t="inlineStr">
        <is>
          <t>yes</t>
        </is>
      </c>
    </row>
    <row r="3">
      <c r="A3" s="11" t="inlineStr">
        <is>
          <t>F-siddharam-satlingappa-mhetre-v-state-of-maharashtra</t>
        </is>
      </c>
      <c r="B3" s="11" t="inlineStr">
        <is>
          <t>flag</t>
        </is>
      </c>
      <c r="C3" s="11" t="n">
        <v>1</v>
      </c>
      <c r="D3" s="2" t="inlineStr">
        <is>
          <t>Siddharam Satlingappa Mhetre v State of Maharashtra (2011)</t>
        </is>
      </c>
      <c r="E3" s="2" t="inlineStr"/>
      <c r="F3" s="2" t="inlineStr">
        <is>
          <t>SUSHILA AGGARWAL AND OTHERS versus STATE (NCT OF DELHI) AND ANOTHER (2020, 5 judges): accordingly overruled: Mhetre to that extent and other judgments which have followed it are accordingly overruled.; SUSHILA AGGARWAL AND OTHERS versus STATE (NCT OF DELHI) AND ANOTHER (2020, 5 judges): overruled: SCR 556; Siddharam Satlingappa Mhetre v. State of Maharashtra (2011) 1 SCC 694 : [2010] 15 SCR 201 – overruled.</t>
        </is>
      </c>
      <c r="G3" s="2" t="inlineStr">
        <is>
          <t>Confirm (overruled / in part / not good law / per incuriam / not binding), clear, or keep open. Already in the register as L2-031.</t>
        </is>
      </c>
      <c r="H3" s="12" t="inlineStr"/>
      <c r="I3" s="12" t="inlineStr"/>
      <c r="J3" s="13" t="inlineStr"/>
      <c r="K3" s="12" t="inlineStr"/>
      <c r="L3" s="12" t="inlineStr"/>
      <c r="M3" s="12" t="inlineStr"/>
      <c r="N3" s="12" t="inlineStr"/>
      <c r="O3" s="13" t="inlineStr"/>
      <c r="P3" s="12" t="inlineStr"/>
      <c r="Q3" s="12" t="inlineStr"/>
      <c r="R3" s="11" t="inlineStr">
        <is>
          <t>2026-10-15</t>
        </is>
      </c>
      <c r="S3" s="11" t="inlineStr">
        <is>
          <t>yes</t>
        </is>
      </c>
    </row>
    <row r="4">
      <c r="A4" s="11" t="inlineStr">
        <is>
          <t>D2-BHADRESH</t>
        </is>
      </c>
      <c r="B4" s="11" t="inlineStr">
        <is>
          <t>candidate</t>
        </is>
      </c>
      <c r="C4" s="11" t="n">
        <v>2</v>
      </c>
      <c r="D4" s="2" t="inlineStr">
        <is>
          <t>Bhadresh Bipinbhai Sheth v. State of Gujarat (2016)</t>
        </is>
      </c>
      <c r="E4" s="2" t="inlineStr">
        <is>
          <t>Sushila Aggarwal v. State (NCT of Delhi) (2020)</t>
        </is>
      </c>
      <c r="F4" s="2" t="inlineStr">
        <is>
          <t>overruled: Bhadresh Bipinbhai Sheth ... - overruled (the report's case-law list for one opinion); the judgment orders 'Mhetre (and other similar decisions)' overruled | scope: the view that no restrictive conditions at all can be imposed on anticipatory bail | checked by Claude (H)</t>
        </is>
      </c>
      <c r="G4" s="2" t="inlineStr">
        <is>
          <t>Confirm, change the treatment, reject, or keep (the answer says 'reported, not yet confirmed' until you confirm).</t>
        </is>
      </c>
      <c r="H4" s="12" t="inlineStr"/>
      <c r="I4" s="12" t="inlineStr"/>
      <c r="J4" s="13" t="inlineStr"/>
      <c r="K4" s="12" t="inlineStr"/>
      <c r="L4" s="12" t="inlineStr"/>
      <c r="M4" s="12" t="inlineStr"/>
      <c r="N4" s="12" t="inlineStr"/>
      <c r="O4" s="13" t="inlineStr"/>
      <c r="P4" s="12" t="inlineStr"/>
      <c r="Q4" s="12" t="inlineStr"/>
      <c r="R4" s="11" t="inlineStr">
        <is>
          <t>2026-10-15</t>
        </is>
      </c>
      <c r="S4" s="11" t="inlineStr">
        <is>
          <t>yes</t>
        </is>
      </c>
    </row>
    <row r="5">
      <c r="A5" s="11" t="inlineStr">
        <is>
          <t>D2-BHANUDAS</t>
        </is>
      </c>
      <c r="B5" s="11" t="inlineStr">
        <is>
          <t>candidate</t>
        </is>
      </c>
      <c r="C5" s="11" t="n">
        <v>2</v>
      </c>
      <c r="D5" s="2" t="inlineStr">
        <is>
          <t>Union of India v. Bhanudas Krishna Gawde (1977)</t>
        </is>
      </c>
      <c r="E5" s="2" t="inlineStr">
        <is>
          <t>K.S. Puttaswamy (Retd.) v. Union of India (2017)</t>
        </is>
      </c>
      <c r="F5" s="2" t="inlineStr">
        <is>
          <t>overruled: We also overrule the decision in Union of India v Bhanudas Krishna Gawde, which followed ADM Jabalpur | scope: followed ADM Jabalpur | checked by Claude (B)</t>
        </is>
      </c>
      <c r="G5" s="2" t="inlineStr">
        <is>
          <t>Confirm, change the treatment, reject, or keep (the answer says 'reported, not yet confirmed' until you confirm).</t>
        </is>
      </c>
      <c r="H5" s="12" t="inlineStr"/>
      <c r="I5" s="12" t="inlineStr"/>
      <c r="J5" s="13" t="inlineStr"/>
      <c r="K5" s="12" t="inlineStr"/>
      <c r="L5" s="12" t="inlineStr"/>
      <c r="M5" s="12" t="inlineStr"/>
      <c r="N5" s="12" t="inlineStr"/>
      <c r="O5" s="13" t="inlineStr"/>
      <c r="P5" s="12" t="inlineStr"/>
      <c r="Q5" s="12" t="inlineStr"/>
      <c r="R5" s="11" t="inlineStr">
        <is>
          <t>2026-10-15</t>
        </is>
      </c>
      <c r="S5" s="11" t="inlineStr">
        <is>
          <t>yes</t>
        </is>
      </c>
    </row>
    <row r="6">
      <c r="A6" s="11" t="inlineStr">
        <is>
          <t>D2-DEVARAPALLI</t>
        </is>
      </c>
      <c r="B6" s="11" t="inlineStr">
        <is>
          <t>candidate</t>
        </is>
      </c>
      <c r="C6" s="11" t="n">
        <v>2</v>
      </c>
      <c r="D6" s="2" t="inlineStr">
        <is>
          <t>Devarapalli Lakshminarayana Reddy v. V. Narayana Reddy (1976)</t>
        </is>
      </c>
      <c r="E6" s="2" t="inlineStr">
        <is>
          <t>Vinubhai Haribhai Malaviya v. State of Gujarat (2019)</t>
        </is>
      </c>
      <c r="F6" s="2" t="inlineStr">
        <is>
          <t>not_good_law: the statement of the law contained in paragraph 17 in Devarapalli Lakshminarayana Reddy cannot be relied upon | scope: the statement of the law in paragraph 17 (section 156(3) CrPC investigation is pre-cognizance only) | checked by Claude (B)</t>
        </is>
      </c>
      <c r="G6" s="2" t="inlineStr">
        <is>
          <t>Confirm, change the treatment, reject, or keep (the answer says 'reported, not yet confirmed' until you confirm).</t>
        </is>
      </c>
      <c r="H6" s="12" t="inlineStr"/>
      <c r="I6" s="12" t="inlineStr"/>
      <c r="J6" s="13" t="inlineStr"/>
      <c r="K6" s="12" t="inlineStr"/>
      <c r="L6" s="12" t="inlineStr"/>
      <c r="M6" s="12" t="inlineStr"/>
      <c r="N6" s="12" t="inlineStr"/>
      <c r="O6" s="13" t="inlineStr"/>
      <c r="P6" s="12" t="inlineStr"/>
      <c r="Q6" s="12" t="inlineStr"/>
      <c r="R6" s="11" t="inlineStr">
        <is>
          <t>2026-10-15</t>
        </is>
      </c>
      <c r="S6" s="11" t="inlineStr">
        <is>
          <t>yes</t>
        </is>
      </c>
    </row>
    <row r="7">
      <c r="A7" s="11" t="inlineStr">
        <is>
          <t>D2-FEDMINING</t>
        </is>
      </c>
      <c r="B7" s="11" t="inlineStr">
        <is>
          <t>candidate</t>
        </is>
      </c>
      <c r="C7" s="11" t="n">
        <v>2</v>
      </c>
      <c r="D7" s="2" t="inlineStr">
        <is>
          <t>Federation of Mining Associations of Rajasthan v. State of Rajasthan (1992)</t>
        </is>
      </c>
      <c r="E7" s="2" t="inlineStr">
        <is>
          <t>Mineral Area Development Authority v. Steel Authority of India (2024)</t>
        </is>
      </c>
      <c r="F7" s="2" t="inlineStr">
        <is>
          <t>overruled_in_part: overruled to the extent of the observations made in the present case | scope: to the extent of the observations made in the present case | checked by Claude (B)</t>
        </is>
      </c>
      <c r="G7" s="2" t="inlineStr">
        <is>
          <t>Confirm, change the treatment, reject, or keep (the answer says 'reported, not yet confirmed' until you confirm).</t>
        </is>
      </c>
      <c r="H7" s="12" t="inlineStr"/>
      <c r="I7" s="12" t="inlineStr"/>
      <c r="J7" s="13" t="inlineStr"/>
      <c r="K7" s="12" t="inlineStr"/>
      <c r="L7" s="12" t="inlineStr"/>
      <c r="M7" s="12" t="inlineStr"/>
      <c r="N7" s="12" t="inlineStr"/>
      <c r="O7" s="13" t="inlineStr"/>
      <c r="P7" s="12" t="inlineStr"/>
      <c r="Q7" s="12" t="inlineStr"/>
      <c r="R7" s="11" t="inlineStr">
        <is>
          <t>2026-10-15</t>
        </is>
      </c>
      <c r="S7" s="11" t="inlineStr">
        <is>
          <t>yes</t>
        </is>
      </c>
    </row>
    <row r="8">
      <c r="A8" s="11" t="inlineStr">
        <is>
          <t>D2-GARWARE</t>
        </is>
      </c>
      <c r="B8" s="11" t="inlineStr">
        <is>
          <t>candidate</t>
        </is>
      </c>
      <c r="C8" s="11" t="n">
        <v>2</v>
      </c>
      <c r="D8" s="2" t="inlineStr">
        <is>
          <t>Garware Wall Ropes Limited v. Coastal Marine Constructions &amp; Engineering Limited (2019)</t>
        </is>
      </c>
      <c r="E8" s="2" t="inlineStr">
        <is>
          <t>In re: Interplay between Arbitration Agreements under the Arbitration and Conciliation Act 1996 and the Indian Stamp Act 1899 (2023)</t>
        </is>
      </c>
      <c r="F8" s="2" t="inlineStr">
        <is>
          <t>overruled_in_part: Paragraphs 22 and 29 of Garware Wall Ropes are overruled to that extent | scope: paragraphs 22 and 29 only | checked by Claude (B)</t>
        </is>
      </c>
      <c r="G8" s="2" t="inlineStr">
        <is>
          <t>Confirm, change the treatment, reject, or keep (the answer says 'reported, not yet confirmed' until you confirm).</t>
        </is>
      </c>
      <c r="H8" s="12" t="inlineStr"/>
      <c r="I8" s="12" t="inlineStr"/>
      <c r="J8" s="13" t="inlineStr"/>
      <c r="K8" s="12" t="inlineStr"/>
      <c r="L8" s="12" t="inlineStr"/>
      <c r="M8" s="12" t="inlineStr"/>
      <c r="N8" s="12" t="inlineStr"/>
      <c r="O8" s="13" t="inlineStr"/>
      <c r="P8" s="12" t="inlineStr"/>
      <c r="Q8" s="12" t="inlineStr"/>
      <c r="R8" s="11" t="inlineStr">
        <is>
          <t>2026-10-15</t>
        </is>
      </c>
      <c r="S8" s="11" t="inlineStr">
        <is>
          <t>yes</t>
        </is>
      </c>
    </row>
    <row r="9">
      <c r="A9" s="11" t="inlineStr">
        <is>
          <t>D2-KADER</t>
        </is>
      </c>
      <c r="B9" s="11" t="inlineStr">
        <is>
          <t>candidate</t>
        </is>
      </c>
      <c r="C9" s="11" t="n">
        <v>2</v>
      </c>
      <c r="D9" s="2" t="inlineStr">
        <is>
          <t>Kader v. State of Kerala (2001)</t>
        </is>
      </c>
      <c r="E9" s="2" t="inlineStr">
        <is>
          <t>Mohanlal v. State of Punjab (2018)</t>
        </is>
      </c>
      <c r="F9" s="2" t="inlineStr">
        <is>
          <t>overruled: The view taken by the Kerala High Court in Kader does not meet our approval | scope: an informant who is also the investigator under the NDPS Act | checked by Claude (B) | the overruling decision was itself later: overruled by Mukesh Singh v. State (Narcotic Branch of Delhi) (2020)</t>
        </is>
      </c>
      <c r="G9" s="2" t="inlineStr">
        <is>
          <t>Confirm, change the treatment, reject, or keep (the answer says 'reported, not yet confirmed' until you confirm).</t>
        </is>
      </c>
      <c r="H9" s="12" t="inlineStr"/>
      <c r="I9" s="12" t="inlineStr"/>
      <c r="J9" s="13" t="inlineStr"/>
      <c r="K9" s="12" t="inlineStr"/>
      <c r="L9" s="12" t="inlineStr"/>
      <c r="M9" s="12" t="inlineStr"/>
      <c r="N9" s="12" t="inlineStr"/>
      <c r="O9" s="13" t="inlineStr"/>
      <c r="P9" s="12" t="inlineStr"/>
      <c r="Q9" s="12" t="inlineStr"/>
      <c r="R9" s="11" t="inlineStr">
        <is>
          <t>2026-10-15</t>
        </is>
      </c>
      <c r="S9" s="11" t="inlineStr">
        <is>
          <t>yes</t>
        </is>
      </c>
    </row>
    <row r="10">
      <c r="A10" s="11" t="inlineStr">
        <is>
          <t>D2-KANHAIYALAL</t>
        </is>
      </c>
      <c r="B10" s="11" t="inlineStr">
        <is>
          <t>candidate</t>
        </is>
      </c>
      <c r="C10" s="11" t="n">
        <v>2</v>
      </c>
      <c r="D10" s="2" t="inlineStr">
        <is>
          <t>Kanhaiyalal v. Union of India (2008)</t>
        </is>
      </c>
      <c r="E10" s="2" t="inlineStr">
        <is>
          <t>Tofan Singh v. State of Tamil Nadu (2020)</t>
        </is>
      </c>
      <c r="F10" s="2" t="inlineStr">
        <is>
          <t>overruled: Kanhaiyalal ... overruled (the report's case-law list, Para 153) | scope: a statement under section 67 of the NDPS Act as a confession | checked by Claude (H)</t>
        </is>
      </c>
      <c r="G10" s="2" t="inlineStr">
        <is>
          <t>Confirm, change the treatment, reject, or keep (the answer says 'reported, not yet confirmed' until you confirm).</t>
        </is>
      </c>
      <c r="H10" s="12" t="inlineStr"/>
      <c r="I10" s="12" t="inlineStr"/>
      <c r="J10" s="13" t="inlineStr"/>
      <c r="K10" s="12" t="inlineStr"/>
      <c r="L10" s="12" t="inlineStr"/>
      <c r="M10" s="12" t="inlineStr"/>
      <c r="N10" s="12" t="inlineStr"/>
      <c r="O10" s="13" t="inlineStr"/>
      <c r="P10" s="12" t="inlineStr"/>
      <c r="Q10" s="12" t="inlineStr"/>
      <c r="R10" s="11" t="inlineStr">
        <is>
          <t>2026-10-15</t>
        </is>
      </c>
      <c r="S10" s="11" t="inlineStr">
        <is>
          <t>yes</t>
        </is>
      </c>
    </row>
    <row r="11">
      <c r="A11" s="11" t="inlineStr">
        <is>
          <t>D2-KANNADASAN</t>
        </is>
      </c>
      <c r="B11" s="11" t="inlineStr">
        <is>
          <t>candidate</t>
        </is>
      </c>
      <c r="C11" s="11" t="n">
        <v>2</v>
      </c>
      <c r="D11" s="2" t="inlineStr">
        <is>
          <t>P. Kannadasan v. State of Tamil Nadu (1996)</t>
        </is>
      </c>
      <c r="E11" s="2" t="inlineStr">
        <is>
          <t>Mineral Area Development Authority v. Steel Authority of India (2024)</t>
        </is>
      </c>
      <c r="F11" s="2" t="inlineStr">
        <is>
          <t>overruled_in_part: overruled to the extent of the observations made in the present case | scope: to the extent of the observations made in the present case | checked by Claude (B)</t>
        </is>
      </c>
      <c r="G11" s="2" t="inlineStr">
        <is>
          <t>Confirm, change the treatment, reject, or keep (the answer says 'reported, not yet confirmed' until you confirm).</t>
        </is>
      </c>
      <c r="H11" s="12" t="inlineStr"/>
      <c r="I11" s="12" t="inlineStr"/>
      <c r="J11" s="13" t="inlineStr"/>
      <c r="K11" s="12" t="inlineStr"/>
      <c r="L11" s="12" t="inlineStr"/>
      <c r="M11" s="12" t="inlineStr"/>
      <c r="N11" s="12" t="inlineStr"/>
      <c r="O11" s="13" t="inlineStr"/>
      <c r="P11" s="12" t="inlineStr"/>
      <c r="Q11" s="12" t="inlineStr"/>
      <c r="R11" s="11" t="inlineStr">
        <is>
          <t>2026-10-15</t>
        </is>
      </c>
      <c r="S11" s="11" t="inlineStr">
        <is>
          <t>yes</t>
        </is>
      </c>
    </row>
    <row r="12">
      <c r="A12" s="11" t="inlineStr">
        <is>
          <t>D2-KARWAL</t>
        </is>
      </c>
      <c r="B12" s="11" t="inlineStr">
        <is>
          <t>candidate</t>
        </is>
      </c>
      <c r="C12" s="11" t="n">
        <v>2</v>
      </c>
      <c r="D12" s="2" t="inlineStr">
        <is>
          <t>Raj Kumar Karwal v. Union of India (1990)</t>
        </is>
      </c>
      <c r="E12" s="2" t="inlineStr">
        <is>
          <t>Tofan Singh v. State of Tamil Nadu (2020)</t>
        </is>
      </c>
      <c r="F12" s="2" t="inlineStr">
        <is>
          <t>overruled: Raj Kumar Karwal ... overruled (the report's case-law list, Para 128) | scope: a statement under section 67 of the NDPS Act as a confession | checked by Claude (H)</t>
        </is>
      </c>
      <c r="G12" s="2" t="inlineStr">
        <is>
          <t>Confirm, change the treatment, reject, or keep (the answer says 'reported, not yet confirmed' until you confirm).</t>
        </is>
      </c>
      <c r="H12" s="12" t="inlineStr"/>
      <c r="I12" s="12" t="inlineStr"/>
      <c r="J12" s="13" t="inlineStr"/>
      <c r="K12" s="12" t="inlineStr"/>
      <c r="L12" s="12" t="inlineStr"/>
      <c r="M12" s="12" t="inlineStr"/>
      <c r="N12" s="12" t="inlineStr"/>
      <c r="O12" s="13" t="inlineStr"/>
      <c r="P12" s="12" t="inlineStr"/>
      <c r="Q12" s="12" t="inlineStr"/>
      <c r="R12" s="11" t="inlineStr">
        <is>
          <t>2026-10-15</t>
        </is>
      </c>
      <c r="S12" s="11" t="inlineStr">
        <is>
          <t>yes</t>
        </is>
      </c>
    </row>
    <row r="13">
      <c r="A13" s="11" t="inlineStr">
        <is>
          <t>D2-MAHALAXMI</t>
        </is>
      </c>
      <c r="B13" s="11" t="inlineStr">
        <is>
          <t>candidate</t>
        </is>
      </c>
      <c r="C13" s="11" t="n">
        <v>2</v>
      </c>
      <c r="D13" s="2" t="inlineStr">
        <is>
          <t>State of M.P. v. Mahalaxmi Fabric Mills Ltd. (1995)</t>
        </is>
      </c>
      <c r="E13" s="2" t="inlineStr">
        <is>
          <t>Mineral Area Development Authority v. Steel Authority of India (2024)</t>
        </is>
      </c>
      <c r="F13" s="2" t="inlineStr">
        <is>
          <t>overruled_in_part: overruled to the extent of the observations made in the present case | scope: to the extent of the observations made in the present case | checked by Claude (B)</t>
        </is>
      </c>
      <c r="G13" s="2" t="inlineStr">
        <is>
          <t>Confirm, change the treatment, reject, or keep (the answer says 'reported, not yet confirmed' until you confirm).</t>
        </is>
      </c>
      <c r="H13" s="12" t="inlineStr"/>
      <c r="I13" s="12" t="inlineStr"/>
      <c r="J13" s="13" t="inlineStr"/>
      <c r="K13" s="12" t="inlineStr"/>
      <c r="L13" s="12" t="inlineStr"/>
      <c r="M13" s="12" t="inlineStr"/>
      <c r="N13" s="12" t="inlineStr"/>
      <c r="O13" s="13" t="inlineStr"/>
      <c r="P13" s="12" t="inlineStr"/>
      <c r="Q13" s="12" t="inlineStr"/>
      <c r="R13" s="11" t="inlineStr">
        <is>
          <t>2026-10-15</t>
        </is>
      </c>
      <c r="S13" s="11" t="inlineStr">
        <is>
          <t>yes</t>
        </is>
      </c>
    </row>
    <row r="14">
      <c r="A14" s="11" t="inlineStr">
        <is>
          <t>D2-MAHANADI-1995</t>
        </is>
      </c>
      <c r="B14" s="11" t="inlineStr">
        <is>
          <t>candidate</t>
        </is>
      </c>
      <c r="C14" s="11" t="n">
        <v>2</v>
      </c>
      <c r="D14" s="2" t="inlineStr">
        <is>
          <t>State of Orissa v. Mahanadi Coalfields Ltd. (1995)</t>
        </is>
      </c>
      <c r="E14" s="2" t="inlineStr">
        <is>
          <t>Mineral Area Development Authority v. Steel Authority of India (2024)</t>
        </is>
      </c>
      <c r="F14" s="2" t="inlineStr">
        <is>
          <t>overruled_in_part: overruled to the extent of the observations made in the present case | scope: to the extent of the observations made in the present case | checked by Claude (B)</t>
        </is>
      </c>
      <c r="G14" s="2" t="inlineStr">
        <is>
          <t>Confirm, change the treatment, reject, or keep (the answer says 'reported, not yet confirmed' until you confirm).</t>
        </is>
      </c>
      <c r="H14" s="12" t="inlineStr"/>
      <c r="I14" s="12" t="inlineStr"/>
      <c r="J14" s="13" t="inlineStr"/>
      <c r="K14" s="12" t="inlineStr"/>
      <c r="L14" s="12" t="inlineStr"/>
      <c r="M14" s="12" t="inlineStr"/>
      <c r="N14" s="12" t="inlineStr"/>
      <c r="O14" s="13" t="inlineStr"/>
      <c r="P14" s="12" t="inlineStr"/>
      <c r="Q14" s="12" t="inlineStr"/>
      <c r="R14" s="11" t="inlineStr">
        <is>
          <t>2026-10-15</t>
        </is>
      </c>
      <c r="S14" s="11" t="inlineStr">
        <is>
          <t>yes</t>
        </is>
      </c>
    </row>
    <row r="15">
      <c r="A15" s="11" t="inlineStr">
        <is>
          <t>D2-NNG2</t>
        </is>
      </c>
      <c r="B15" s="11" t="inlineStr">
        <is>
          <t>candidate</t>
        </is>
      </c>
      <c r="C15" s="11" t="n">
        <v>2</v>
      </c>
      <c r="D15" s="2" t="inlineStr">
        <is>
          <t>N.N. Global Mercantile Pvt. Ltd. v. Indo Unique Flame Ltd. (2023)</t>
        </is>
      </c>
      <c r="E15" s="2" t="inlineStr">
        <is>
          <t>In re: Interplay between Arbitration Agreements under the Arbitration and Conciliation Act 1996 and the Indian Stamp Act 1899 (2023)</t>
        </is>
      </c>
      <c r="F15" s="2" t="inlineStr">
        <is>
          <t>overruled: The decision in NN Global 2 and SMS Tea Estates are overruled | scope: arbitration agreement in an unstamped instrument | checked by Claude (B)</t>
        </is>
      </c>
      <c r="G15" s="2" t="inlineStr">
        <is>
          <t>Confirm, change the treatment, reject, or keep (the answer says 'reported, not yet confirmed' until you confirm).</t>
        </is>
      </c>
      <c r="H15" s="12" t="inlineStr"/>
      <c r="I15" s="12" t="inlineStr"/>
      <c r="J15" s="13" t="inlineStr"/>
      <c r="K15" s="12" t="inlineStr"/>
      <c r="L15" s="12" t="inlineStr"/>
      <c r="M15" s="12" t="inlineStr"/>
      <c r="N15" s="12" t="inlineStr"/>
      <c r="O15" s="13" t="inlineStr"/>
      <c r="P15" s="12" t="inlineStr"/>
      <c r="Q15" s="12" t="inlineStr"/>
      <c r="R15" s="11" t="inlineStr">
        <is>
          <t>2026-10-15</t>
        </is>
      </c>
      <c r="S15" s="11" t="inlineStr">
        <is>
          <t>yes</t>
        </is>
      </c>
    </row>
    <row r="16">
      <c r="A16" s="11" t="inlineStr">
        <is>
          <t>D2-NRADHAKRISHNAN</t>
        </is>
      </c>
      <c r="B16" s="11" t="inlineStr">
        <is>
          <t>candidate</t>
        </is>
      </c>
      <c r="C16" s="11" t="n">
        <v>2</v>
      </c>
      <c r="D16" s="2" t="inlineStr">
        <is>
          <t>N. Radhakrishnan v. Maestro Engineers (2010)</t>
        </is>
      </c>
      <c r="E16" s="2" t="inlineStr">
        <is>
          <t>Vidya Drolia v. Durga Trading Corporation (2020)</t>
        </is>
      </c>
      <c r="F16" s="2" t="inlineStr">
        <is>
          <t>overruled: we overrule the ratio in N. Radhakrishnan inter alia observing that allegations of fraud can be made a subject matter of arbitration when they relate to a civil dispute | scope: allegations of fraud make a dispute non-arbitrable | checked by Claude (B)</t>
        </is>
      </c>
      <c r="G16" s="2" t="inlineStr">
        <is>
          <t>Confirm, change the treatment, reject, or keep (the answer says 'reported, not yet confirmed' until you confirm).</t>
        </is>
      </c>
      <c r="H16" s="12" t="inlineStr"/>
      <c r="I16" s="12" t="inlineStr"/>
      <c r="J16" s="13" t="inlineStr"/>
      <c r="K16" s="12" t="inlineStr"/>
      <c r="L16" s="12" t="inlineStr"/>
      <c r="M16" s="12" t="inlineStr"/>
      <c r="N16" s="12" t="inlineStr"/>
      <c r="O16" s="13" t="inlineStr"/>
      <c r="P16" s="12" t="inlineStr"/>
      <c r="Q16" s="12" t="inlineStr"/>
      <c r="R16" s="11" t="inlineStr">
        <is>
          <t>2026-10-15</t>
        </is>
      </c>
      <c r="S16" s="11" t="inlineStr">
        <is>
          <t>yes</t>
        </is>
      </c>
    </row>
    <row r="17">
      <c r="A17" s="11" t="inlineStr">
        <is>
          <t>D2-ORISSACEMENT</t>
        </is>
      </c>
      <c r="B17" s="11" t="inlineStr">
        <is>
          <t>candidate</t>
        </is>
      </c>
      <c r="C17" s="11" t="n">
        <v>2</v>
      </c>
      <c r="D17" s="2" t="inlineStr">
        <is>
          <t>Orissa Cement Ltd. v. State of Orissa (1991)</t>
        </is>
      </c>
      <c r="E17" s="2" t="inlineStr">
        <is>
          <t>Mineral Area Development Authority v. Steel Authority of India (2024)</t>
        </is>
      </c>
      <c r="F17" s="2" t="inlineStr">
        <is>
          <t>overruled_in_part: overruled to the extent of the observations made in the present case | scope: to the extent of the observations made in the present case | checked by Claude (B)</t>
        </is>
      </c>
      <c r="G17" s="2" t="inlineStr">
        <is>
          <t>Confirm, change the treatment, reject, or keep (the answer says 'reported, not yet confirmed' until you confirm).</t>
        </is>
      </c>
      <c r="H17" s="12" t="inlineStr"/>
      <c r="I17" s="12" t="inlineStr"/>
      <c r="J17" s="13" t="inlineStr"/>
      <c r="K17" s="12" t="inlineStr"/>
      <c r="L17" s="12" t="inlineStr"/>
      <c r="M17" s="12" t="inlineStr"/>
      <c r="N17" s="12" t="inlineStr"/>
      <c r="O17" s="13" t="inlineStr"/>
      <c r="P17" s="12" t="inlineStr"/>
      <c r="Q17" s="12" t="inlineStr"/>
      <c r="R17" s="11" t="inlineStr">
        <is>
          <t>2026-10-15</t>
        </is>
      </c>
      <c r="S17" s="11" t="inlineStr">
        <is>
          <t>yes</t>
        </is>
      </c>
    </row>
    <row r="18">
      <c r="A18" s="11" t="inlineStr">
        <is>
          <t>D2-PRABHULAL-2017</t>
        </is>
      </c>
      <c r="B18" s="11" t="inlineStr">
        <is>
          <t>candidate</t>
        </is>
      </c>
      <c r="C18" s="11" t="n">
        <v>2</v>
      </c>
      <c r="D18" s="2" t="inlineStr">
        <is>
          <t>New India Assurance Co. Ltd. v. Prabhu Lal (2008)</t>
        </is>
      </c>
      <c r="E18" s="2" t="inlineStr">
        <is>
          <t>Mukund Dewangan v. Oriental Insurance Co. Ltd. (2017)</t>
        </is>
      </c>
      <c r="F18" s="2" t="inlineStr">
        <is>
          <t>overruled: the decision in Prabhu Lal does not lay down correct proposition of law and is hereby overruled | scope: the view that a light motor vehicle licence holder needs a separate endorsement to drive a transport vehicle | checked by Claude (B)</t>
        </is>
      </c>
      <c r="G18" s="2" t="inlineStr">
        <is>
          <t>Confirm, change the treatment, reject, or keep (the answer says 'reported, not yet confirmed' until you confirm).</t>
        </is>
      </c>
      <c r="H18" s="12" t="inlineStr"/>
      <c r="I18" s="12" t="inlineStr"/>
      <c r="J18" s="13" t="inlineStr"/>
      <c r="K18" s="12" t="inlineStr"/>
      <c r="L18" s="12" t="inlineStr"/>
      <c r="M18" s="12" t="inlineStr"/>
      <c r="N18" s="12" t="inlineStr"/>
      <c r="O18" s="13" t="inlineStr"/>
      <c r="P18" s="12" t="inlineStr"/>
      <c r="Q18" s="12" t="inlineStr"/>
      <c r="R18" s="11" t="inlineStr">
        <is>
          <t>2026-10-15</t>
        </is>
      </c>
      <c r="S18" s="11" t="inlineStr">
        <is>
          <t>yes</t>
        </is>
      </c>
    </row>
    <row r="19">
      <c r="A19" s="11" t="inlineStr">
        <is>
          <t>D2-SAURASHTRA</t>
        </is>
      </c>
      <c r="B19" s="11" t="inlineStr">
        <is>
          <t>candidate</t>
        </is>
      </c>
      <c r="C19" s="11" t="n">
        <v>2</v>
      </c>
      <c r="D19" s="2" t="inlineStr">
        <is>
          <t>Saurashtra Cement &amp; Chemical Industries Ltd. v. Union of India (2000)</t>
        </is>
      </c>
      <c r="E19" s="2" t="inlineStr">
        <is>
          <t>Mineral Area Development Authority v. Steel Authority of India (2024)</t>
        </is>
      </c>
      <c r="F19" s="2" t="inlineStr">
        <is>
          <t>overruled_in_part: overruled to the extent of the observations made in the present case | scope: to the extent of the observations made in the present case | checked by Claude (B)</t>
        </is>
      </c>
      <c r="G19" s="2" t="inlineStr">
        <is>
          <t>Confirm, change the treatment, reject, or keep (the answer says 'reported, not yet confirmed' until you confirm).</t>
        </is>
      </c>
      <c r="H19" s="12" t="inlineStr"/>
      <c r="I19" s="12" t="inlineStr"/>
      <c r="J19" s="13" t="inlineStr"/>
      <c r="K19" s="12" t="inlineStr"/>
      <c r="L19" s="12" t="inlineStr"/>
      <c r="M19" s="12" t="inlineStr"/>
      <c r="N19" s="12" t="inlineStr"/>
      <c r="O19" s="13" t="inlineStr"/>
      <c r="P19" s="12" t="inlineStr"/>
      <c r="Q19" s="12" t="inlineStr"/>
      <c r="R19" s="11" t="inlineStr">
        <is>
          <t>2026-10-15</t>
        </is>
      </c>
      <c r="S19" s="11" t="inlineStr">
        <is>
          <t>yes</t>
        </is>
      </c>
    </row>
    <row r="20">
      <c r="A20" s="11" t="inlineStr">
        <is>
          <t>D2-SMSTEA</t>
        </is>
      </c>
      <c r="B20" s="11" t="inlineStr">
        <is>
          <t>candidate</t>
        </is>
      </c>
      <c r="C20" s="11" t="n">
        <v>2</v>
      </c>
      <c r="D20" s="2" t="inlineStr">
        <is>
          <t>SMS Tea Estates Private Limited v. Chandmari Tea Company Private Limited (2011)</t>
        </is>
      </c>
      <c r="E20" s="2" t="inlineStr">
        <is>
          <t>In re: Interplay between Arbitration Agreements under the Arbitration and Conciliation Act 1996 and the Indian Stamp Act 1899 (2023)</t>
        </is>
      </c>
      <c r="F20" s="2" t="inlineStr">
        <is>
          <t>overruled: The decision in NN Global 2 and SMS Tea Estates are overruled | scope: arbitration agreement in an unstamped instrument | checked by Claude (B)</t>
        </is>
      </c>
      <c r="G20" s="2" t="inlineStr">
        <is>
          <t>Confirm, change the treatment, reject, or keep (the answer says 'reported, not yet confirmed' until you confirm).</t>
        </is>
      </c>
      <c r="H20" s="12" t="inlineStr"/>
      <c r="I20" s="12" t="inlineStr"/>
      <c r="J20" s="13" t="inlineStr"/>
      <c r="K20" s="12" t="inlineStr"/>
      <c r="L20" s="12" t="inlineStr"/>
      <c r="M20" s="12" t="inlineStr"/>
      <c r="N20" s="12" t="inlineStr"/>
      <c r="O20" s="13" t="inlineStr"/>
      <c r="P20" s="12" t="inlineStr"/>
      <c r="Q20" s="12" t="inlineStr"/>
      <c r="R20" s="11" t="inlineStr">
        <is>
          <t>2026-10-15</t>
        </is>
      </c>
      <c r="S20" s="11" t="inlineStr">
        <is>
          <t>yes</t>
        </is>
      </c>
    </row>
    <row r="21">
      <c r="A21" s="11" t="inlineStr">
        <is>
          <t>D2-SREEBALAJI-2018</t>
        </is>
      </c>
      <c r="B21" s="11" t="inlineStr">
        <is>
          <t>candidate</t>
        </is>
      </c>
      <c r="C21" s="11" t="n">
        <v>2</v>
      </c>
      <c r="D21" s="2" t="inlineStr">
        <is>
          <t>Sree Balaji Nagar Residential Association v. State of Tamil Nadu (2015)</t>
        </is>
      </c>
      <c r="E21" s="2" t="inlineStr">
        <is>
          <t>Indore Development Authority v. Shailendra (Dead) through LRs. (2018)</t>
        </is>
      </c>
      <c r="F21" s="2" t="inlineStr">
        <is>
          <t>overruled: The decision in Shree Balaji (supra) cannot be said to be laying down good law, is overruled | scope: the reading of section 24(2) of the 2013 Act on lapse of acquisition | checked by Claude (B)</t>
        </is>
      </c>
      <c r="G21" s="2" t="inlineStr">
        <is>
          <t>Confirm, change the treatment, reject, or keep (the answer says 'reported, not yet confirmed' until you confirm).</t>
        </is>
      </c>
      <c r="H21" s="12" t="inlineStr"/>
      <c r="I21" s="12" t="inlineStr"/>
      <c r="J21" s="13" t="inlineStr"/>
      <c r="K21" s="12" t="inlineStr"/>
      <c r="L21" s="12" t="inlineStr"/>
      <c r="M21" s="12" t="inlineStr"/>
      <c r="N21" s="12" t="inlineStr"/>
      <c r="O21" s="13" t="inlineStr"/>
      <c r="P21" s="12" t="inlineStr"/>
      <c r="Q21" s="12" t="inlineStr"/>
      <c r="R21" s="11" t="inlineStr">
        <is>
          <t>2026-10-15</t>
        </is>
      </c>
      <c r="S21" s="11" t="inlineStr">
        <is>
          <t>yes</t>
        </is>
      </c>
    </row>
    <row r="22">
      <c r="A22" s="11" t="inlineStr">
        <is>
          <t>L2-001</t>
        </is>
      </c>
      <c r="B22" s="11" t="inlineStr">
        <is>
          <t>candidate</t>
        </is>
      </c>
      <c r="C22" s="11" t="n">
        <v>2</v>
      </c>
      <c r="D22" s="2" t="inlineStr">
        <is>
          <t>M.P. Sharma v. Satish Chandra (1954)</t>
        </is>
      </c>
      <c r="E22" s="2" t="inlineStr">
        <is>
          <t>K.S. Puttaswamy (Retd.) v. Union of India (2017)</t>
        </is>
      </c>
      <c r="F22" s="2" t="inlineStr">
        <is>
          <t>overruled: MP Sharma is overruled to the extent to which it indicates to the contrary | scope: the holding that the right to privacy is not protected by the Constitution | checked by Claude (H+B)</t>
        </is>
      </c>
      <c r="G22" s="2" t="inlineStr">
        <is>
          <t>Confirm, change the treatment, reject, or keep (the answer says 'reported, not yet confirmed' until you confirm).</t>
        </is>
      </c>
      <c r="H22" s="12" t="inlineStr"/>
      <c r="I22" s="12" t="inlineStr"/>
      <c r="J22" s="13" t="inlineStr"/>
      <c r="K22" s="12" t="inlineStr"/>
      <c r="L22" s="12" t="inlineStr"/>
      <c r="M22" s="12" t="inlineStr"/>
      <c r="N22" s="12" t="inlineStr"/>
      <c r="O22" s="13" t="inlineStr"/>
      <c r="P22" s="12" t="inlineStr"/>
      <c r="Q22" s="12" t="inlineStr"/>
      <c r="R22" s="11" t="inlineStr">
        <is>
          <t>2026-10-15</t>
        </is>
      </c>
      <c r="S22" s="11" t="inlineStr">
        <is>
          <t>yes</t>
        </is>
      </c>
    </row>
    <row r="23">
      <c r="A23" s="11" t="inlineStr">
        <is>
          <t>L2-002</t>
        </is>
      </c>
      <c r="B23" s="11" t="inlineStr">
        <is>
          <t>candidate</t>
        </is>
      </c>
      <c r="C23" s="11" t="n">
        <v>2</v>
      </c>
      <c r="D23" s="2" t="inlineStr">
        <is>
          <t>Kharak Singh v. State of U.P. (1963)</t>
        </is>
      </c>
      <c r="E23" s="2" t="inlineStr">
        <is>
          <t>K.S. Puttaswamy (Retd.) v. Union of India (2017)</t>
        </is>
      </c>
      <c r="F23" s="2" t="inlineStr">
        <is>
          <t>overruled_in_part: Kharak Singh to the extent that it holds that the right to privacy is not protected ... is overruled | scope: only the holding that privacy is not a protected right; the first part of the decision stands | checked by Claude (H+B)</t>
        </is>
      </c>
      <c r="G23" s="2" t="inlineStr">
        <is>
          <t>Confirm, change the treatment, reject, or keep (the answer says 'reported, not yet confirmed' until you confirm).</t>
        </is>
      </c>
      <c r="H23" s="12" t="inlineStr"/>
      <c r="I23" s="12" t="inlineStr"/>
      <c r="J23" s="13" t="inlineStr"/>
      <c r="K23" s="12" t="inlineStr"/>
      <c r="L23" s="12" t="inlineStr"/>
      <c r="M23" s="12" t="inlineStr"/>
      <c r="N23" s="12" t="inlineStr"/>
      <c r="O23" s="13" t="inlineStr"/>
      <c r="P23" s="12" t="inlineStr"/>
      <c r="Q23" s="12" t="inlineStr"/>
      <c r="R23" s="11" t="inlineStr">
        <is>
          <t>2026-10-15</t>
        </is>
      </c>
      <c r="S23" s="11" t="inlineStr">
        <is>
          <t>yes</t>
        </is>
      </c>
    </row>
    <row r="24">
      <c r="A24" s="11" t="inlineStr">
        <is>
          <t>L2-003</t>
        </is>
      </c>
      <c r="B24" s="11" t="inlineStr">
        <is>
          <t>candidate</t>
        </is>
      </c>
      <c r="C24" s="11" t="n">
        <v>2</v>
      </c>
      <c r="D24" s="2" t="inlineStr">
        <is>
          <t>A.D.M. Jabalpur v. Shivkant Shukla (1976)</t>
        </is>
      </c>
      <c r="E24" s="2" t="inlineStr">
        <is>
          <t>K.S. Puttaswamy (Retd.) v. Union of India (2017)</t>
        </is>
      </c>
      <c r="F24" s="2" t="inlineStr">
        <is>
          <t>overruled: ADM Jabalpur must be and is accordingly overruled | scope:  | checked by Claude (H+B)</t>
        </is>
      </c>
      <c r="G24" s="2" t="inlineStr">
        <is>
          <t>Confirm, change the treatment, reject, or keep (the answer says 'reported, not yet confirmed' until you confirm).</t>
        </is>
      </c>
      <c r="H24" s="12" t="inlineStr"/>
      <c r="I24" s="12" t="inlineStr"/>
      <c r="J24" s="13" t="inlineStr"/>
      <c r="K24" s="12" t="inlineStr"/>
      <c r="L24" s="12" t="inlineStr"/>
      <c r="M24" s="12" t="inlineStr"/>
      <c r="N24" s="12" t="inlineStr"/>
      <c r="O24" s="13" t="inlineStr"/>
      <c r="P24" s="12" t="inlineStr"/>
      <c r="Q24" s="12" t="inlineStr"/>
      <c r="R24" s="11" t="inlineStr">
        <is>
          <t>2026-10-15</t>
        </is>
      </c>
      <c r="S24" s="11" t="inlineStr">
        <is>
          <t>yes</t>
        </is>
      </c>
    </row>
    <row r="25">
      <c r="A25" s="11" t="inlineStr">
        <is>
          <t>L2-004</t>
        </is>
      </c>
      <c r="B25" s="11" t="inlineStr">
        <is>
          <t>candidate</t>
        </is>
      </c>
      <c r="C25" s="11" t="n">
        <v>2</v>
      </c>
      <c r="D25" s="2" t="inlineStr">
        <is>
          <t>Bhupendra Kumar Bose v. State of Orissa (1962)</t>
        </is>
      </c>
      <c r="E25" s="2" t="inlineStr">
        <is>
          <t>Krishna Kumar Singh v. State of Bihar (2017)</t>
        </is>
      </c>
      <c r="F25" s="2" t="inlineStr">
        <is>
          <t>overruled_in_part: To this extent, both Bhupendra Kumar Bose and Venkata Reddy are overruled | scope: the 'enduring rights' theory for ordinances | checked by Claude (B)</t>
        </is>
      </c>
      <c r="G25" s="2" t="inlineStr">
        <is>
          <t>Confirm, change the treatment, reject, or keep (the answer says 'reported, not yet confirmed' until you confirm).</t>
        </is>
      </c>
      <c r="H25" s="12" t="inlineStr"/>
      <c r="I25" s="12" t="inlineStr"/>
      <c r="J25" s="13" t="inlineStr"/>
      <c r="K25" s="12" t="inlineStr"/>
      <c r="L25" s="12" t="inlineStr"/>
      <c r="M25" s="12" t="inlineStr"/>
      <c r="N25" s="12" t="inlineStr"/>
      <c r="O25" s="13" t="inlineStr"/>
      <c r="P25" s="12" t="inlineStr"/>
      <c r="Q25" s="12" t="inlineStr"/>
      <c r="R25" s="11" t="inlineStr">
        <is>
          <t>2026-10-15</t>
        </is>
      </c>
      <c r="S25" s="11" t="inlineStr">
        <is>
          <t>yes</t>
        </is>
      </c>
    </row>
    <row r="26">
      <c r="A26" s="11" t="inlineStr">
        <is>
          <t>L2-005</t>
        </is>
      </c>
      <c r="B26" s="11" t="inlineStr">
        <is>
          <t>candidate</t>
        </is>
      </c>
      <c r="C26" s="11" t="n">
        <v>2</v>
      </c>
      <c r="D26" s="2" t="inlineStr">
        <is>
          <t>T. Venkata Reddy v. State of A.P. (1985)</t>
        </is>
      </c>
      <c r="E26" s="2" t="inlineStr">
        <is>
          <t>Krishna Kumar Singh v. State of Bihar (2017)</t>
        </is>
      </c>
      <c r="F26" s="2" t="inlineStr">
        <is>
          <t>overruled_in_part: Bhupendra Kumar Bose and T. Venkata Reddy ... to the extent ... 'creation of enduring rights' ... not correctly decided and should stand overruled | scope: the 'enduring rights' theory for ordinances | checked by Claude (B)</t>
        </is>
      </c>
      <c r="G26" s="2" t="inlineStr">
        <is>
          <t>Confirm, change the treatment, reject, or keep (the answer says 'reported, not yet confirmed' until you confirm).</t>
        </is>
      </c>
      <c r="H26" s="12" t="inlineStr"/>
      <c r="I26" s="12" t="inlineStr"/>
      <c r="J26" s="13" t="inlineStr"/>
      <c r="K26" s="12" t="inlineStr"/>
      <c r="L26" s="12" t="inlineStr"/>
      <c r="M26" s="12" t="inlineStr"/>
      <c r="N26" s="12" t="inlineStr"/>
      <c r="O26" s="13" t="inlineStr"/>
      <c r="P26" s="12" t="inlineStr"/>
      <c r="Q26" s="12" t="inlineStr"/>
      <c r="R26" s="11" t="inlineStr">
        <is>
          <t>2026-10-15</t>
        </is>
      </c>
      <c r="S26" s="11" t="inlineStr">
        <is>
          <t>yes</t>
        </is>
      </c>
    </row>
    <row r="27">
      <c r="A27" s="11" t="inlineStr">
        <is>
          <t>L2-006</t>
        </is>
      </c>
      <c r="B27" s="11" t="inlineStr">
        <is>
          <t>candidate</t>
        </is>
      </c>
      <c r="C27" s="11" t="n">
        <v>2</v>
      </c>
      <c r="D27" s="2" t="inlineStr">
        <is>
          <t>State of M.P. v. Saith &amp; Skelton (P) Ltd. (1972)</t>
        </is>
      </c>
      <c r="E27" s="2" t="inlineStr">
        <is>
          <t>State of Jharkhand v. Hindustan Construction Co. Ltd. (2017)</t>
        </is>
      </c>
      <c r="F27" s="2" t="inlineStr">
        <is>
          <t>overruled: Saith and Skelton and Guru Nanak Foundation do not lay the correct position of law and ... are overruled. Any other judgment ... also stands overruled | scope: the view that a superior court that appoints the arbitrator keeps jurisdiction over later arbitration proceedings | checked by Claude (B)</t>
        </is>
      </c>
      <c r="G27" s="2" t="inlineStr">
        <is>
          <t>Confirm, change the treatment, reject, or keep (the answer says 'reported, not yet confirmed' until you confirm).</t>
        </is>
      </c>
      <c r="H27" s="12" t="inlineStr"/>
      <c r="I27" s="12" t="inlineStr"/>
      <c r="J27" s="13" t="inlineStr"/>
      <c r="K27" s="12" t="inlineStr"/>
      <c r="L27" s="12" t="inlineStr"/>
      <c r="M27" s="12" t="inlineStr"/>
      <c r="N27" s="12" t="inlineStr"/>
      <c r="O27" s="13" t="inlineStr"/>
      <c r="P27" s="12" t="inlineStr"/>
      <c r="Q27" s="12" t="inlineStr"/>
      <c r="R27" s="11" t="inlineStr">
        <is>
          <t>2026-10-15</t>
        </is>
      </c>
      <c r="S27" s="11" t="inlineStr">
        <is>
          <t>yes</t>
        </is>
      </c>
    </row>
    <row r="28">
      <c r="A28" s="11" t="inlineStr">
        <is>
          <t>L2-007</t>
        </is>
      </c>
      <c r="B28" s="11" t="inlineStr">
        <is>
          <t>candidate</t>
        </is>
      </c>
      <c r="C28" s="11" t="n">
        <v>2</v>
      </c>
      <c r="D28" s="2" t="inlineStr">
        <is>
          <t>Guru Nanak Foundation v. Rattan Singh &amp; Sons (1981)</t>
        </is>
      </c>
      <c r="E28" s="2" t="inlineStr">
        <is>
          <t>State of Jharkhand v. Hindustan Construction Co. Ltd. (2017)</t>
        </is>
      </c>
      <c r="F28" s="2" t="inlineStr">
        <is>
          <t>overruled: same sentence as row 6 | scope: the view that a superior court that appoints the arbitrator keeps jurisdiction over later arbitration proceedings | checked by Claude (B)</t>
        </is>
      </c>
      <c r="G28" s="2" t="inlineStr">
        <is>
          <t>Confirm, change the treatment, reject, or keep (the answer says 'reported, not yet confirmed' until you confirm).</t>
        </is>
      </c>
      <c r="H28" s="12" t="inlineStr"/>
      <c r="I28" s="12" t="inlineStr"/>
      <c r="J28" s="13" t="inlineStr"/>
      <c r="K28" s="12" t="inlineStr"/>
      <c r="L28" s="12" t="inlineStr"/>
      <c r="M28" s="12" t="inlineStr"/>
      <c r="N28" s="12" t="inlineStr"/>
      <c r="O28" s="13" t="inlineStr"/>
      <c r="P28" s="12" t="inlineStr"/>
      <c r="Q28" s="12" t="inlineStr"/>
      <c r="R28" s="11" t="inlineStr">
        <is>
          <t>2026-10-15</t>
        </is>
      </c>
      <c r="S28" s="11" t="inlineStr">
        <is>
          <t>yes</t>
        </is>
      </c>
    </row>
    <row r="29">
      <c r="A29" s="11" t="inlineStr">
        <is>
          <t>L2-008</t>
        </is>
      </c>
      <c r="B29" s="11" t="inlineStr">
        <is>
          <t>candidate</t>
        </is>
      </c>
      <c r="C29" s="11" t="n">
        <v>2</v>
      </c>
      <c r="D29" s="2" t="inlineStr">
        <is>
          <t>Sun Export Corporation v. Collector of Customs (1997)</t>
        </is>
      </c>
      <c r="E29" s="2" t="inlineStr">
        <is>
          <t>Commissioner of Customs v. Dilip Kumar &amp; Co. (2018)</t>
        </is>
      </c>
      <c r="F29" s="2" t="inlineStr">
        <is>
          <t>overruled: The ratio in Sun Export case is not correct and all the decisions which took similar view ... stand over-ruled | scope: benefit of ambiguity in an exemption notification goes to the Revenue | checked by Claude (H+B)</t>
        </is>
      </c>
      <c r="G29" s="2" t="inlineStr">
        <is>
          <t>Confirm, change the treatment, reject, or keep (the answer says 'reported, not yet confirmed' until you confirm).</t>
        </is>
      </c>
      <c r="H29" s="12" t="inlineStr"/>
      <c r="I29" s="12" t="inlineStr"/>
      <c r="J29" s="13" t="inlineStr"/>
      <c r="K29" s="12" t="inlineStr"/>
      <c r="L29" s="12" t="inlineStr"/>
      <c r="M29" s="12" t="inlineStr"/>
      <c r="N29" s="12" t="inlineStr"/>
      <c r="O29" s="13" t="inlineStr"/>
      <c r="P29" s="12" t="inlineStr"/>
      <c r="Q29" s="12" t="inlineStr"/>
      <c r="R29" s="11" t="inlineStr">
        <is>
          <t>2026-10-15</t>
        </is>
      </c>
      <c r="S29" s="11" t="inlineStr">
        <is>
          <t>yes</t>
        </is>
      </c>
    </row>
    <row r="30">
      <c r="A30" s="11" t="inlineStr">
        <is>
          <t>L2-009</t>
        </is>
      </c>
      <c r="B30" s="11" t="inlineStr">
        <is>
          <t>candidate</t>
        </is>
      </c>
      <c r="C30" s="11" t="n">
        <v>2</v>
      </c>
      <c r="D30" s="2" t="inlineStr">
        <is>
          <t>Suresh Kumar Koushal v. Naz Foundation (2013)</t>
        </is>
      </c>
      <c r="E30" s="2" t="inlineStr">
        <is>
          <t>Navtej Singh Johar v. Union of India (2018)</t>
        </is>
      </c>
      <c r="F30" s="2" t="inlineStr">
        <is>
          <t>overruled: Suresh Kumar Koushal needs to be, and is hereby, overruled | scope:  | checked by Claude (H+B)</t>
        </is>
      </c>
      <c r="G30" s="2" t="inlineStr">
        <is>
          <t>Confirm, change the treatment, reject, or keep (the answer says 'reported, not yet confirmed' until you confirm).</t>
        </is>
      </c>
      <c r="H30" s="12" t="inlineStr"/>
      <c r="I30" s="12" t="inlineStr"/>
      <c r="J30" s="13" t="inlineStr"/>
      <c r="K30" s="12" t="inlineStr"/>
      <c r="L30" s="12" t="inlineStr"/>
      <c r="M30" s="12" t="inlineStr"/>
      <c r="N30" s="12" t="inlineStr"/>
      <c r="O30" s="13" t="inlineStr"/>
      <c r="P30" s="12" t="inlineStr"/>
      <c r="Q30" s="12" t="inlineStr"/>
      <c r="R30" s="11" t="inlineStr">
        <is>
          <t>2026-10-15</t>
        </is>
      </c>
      <c r="S30" s="11" t="inlineStr">
        <is>
          <t>yes</t>
        </is>
      </c>
    </row>
    <row r="31">
      <c r="A31" s="11" t="inlineStr">
        <is>
          <t>L2-010</t>
        </is>
      </c>
      <c r="B31" s="11" t="inlineStr">
        <is>
          <t>candidate</t>
        </is>
      </c>
      <c r="C31" s="11" t="n">
        <v>2</v>
      </c>
      <c r="D31" s="2" t="inlineStr">
        <is>
          <t>Sowmithri Vishnu v. Union of India (1985)</t>
        </is>
      </c>
      <c r="E31" s="2" t="inlineStr">
        <is>
          <t>Joseph Shine v. Union of India (2018)</t>
        </is>
      </c>
      <c r="F31" s="2" t="inlineStr">
        <is>
          <t>overruled: The decisions in Sowmithri Vishnu, V. Revathi and W. Kalyani hereby stand overruled | scope:  | checked by Claude (B)</t>
        </is>
      </c>
      <c r="G31" s="2" t="inlineStr">
        <is>
          <t>Confirm, change the treatment, reject, or keep (the answer says 'reported, not yet confirmed' until you confirm).</t>
        </is>
      </c>
      <c r="H31" s="12" t="inlineStr"/>
      <c r="I31" s="12" t="inlineStr"/>
      <c r="J31" s="13" t="inlineStr"/>
      <c r="K31" s="12" t="inlineStr"/>
      <c r="L31" s="12" t="inlineStr"/>
      <c r="M31" s="12" t="inlineStr"/>
      <c r="N31" s="12" t="inlineStr"/>
      <c r="O31" s="13" t="inlineStr"/>
      <c r="P31" s="12" t="inlineStr"/>
      <c r="Q31" s="12" t="inlineStr"/>
      <c r="R31" s="11" t="inlineStr">
        <is>
          <t>2026-10-15</t>
        </is>
      </c>
      <c r="S31" s="11" t="inlineStr">
        <is>
          <t>yes</t>
        </is>
      </c>
    </row>
    <row r="32">
      <c r="A32" s="11" t="inlineStr">
        <is>
          <t>L2-011</t>
        </is>
      </c>
      <c r="B32" s="11" t="inlineStr">
        <is>
          <t>candidate</t>
        </is>
      </c>
      <c r="C32" s="11" t="n">
        <v>2</v>
      </c>
      <c r="D32" s="2" t="inlineStr">
        <is>
          <t>V. Revathi v. Union of India (1988)</t>
        </is>
      </c>
      <c r="E32" s="2" t="inlineStr">
        <is>
          <t>Joseph Shine v. Union of India (2018)</t>
        </is>
      </c>
      <c r="F32" s="2" t="inlineStr">
        <is>
          <t>overruled: same sentence as row 10 | scope:  | checked by Claude (B)</t>
        </is>
      </c>
      <c r="G32" s="2" t="inlineStr">
        <is>
          <t>Confirm, change the treatment, reject, or keep (the answer says 'reported, not yet confirmed' until you confirm).</t>
        </is>
      </c>
      <c r="H32" s="12" t="inlineStr"/>
      <c r="I32" s="12" t="inlineStr"/>
      <c r="J32" s="13" t="inlineStr"/>
      <c r="K32" s="12" t="inlineStr"/>
      <c r="L32" s="12" t="inlineStr"/>
      <c r="M32" s="12" t="inlineStr"/>
      <c r="N32" s="12" t="inlineStr"/>
      <c r="O32" s="13" t="inlineStr"/>
      <c r="P32" s="12" t="inlineStr"/>
      <c r="Q32" s="12" t="inlineStr"/>
      <c r="R32" s="11" t="inlineStr">
        <is>
          <t>2026-10-15</t>
        </is>
      </c>
      <c r="S32" s="11" t="inlineStr">
        <is>
          <t>yes</t>
        </is>
      </c>
    </row>
    <row r="33">
      <c r="A33" s="11" t="inlineStr">
        <is>
          <t>L2-012</t>
        </is>
      </c>
      <c r="B33" s="11" t="inlineStr">
        <is>
          <t>candidate</t>
        </is>
      </c>
      <c r="C33" s="11" t="n">
        <v>2</v>
      </c>
      <c r="D33" s="2" t="inlineStr">
        <is>
          <t>W. Kalyani v. State (2012)</t>
        </is>
      </c>
      <c r="E33" s="2" t="inlineStr">
        <is>
          <t>Joseph Shine v. Union of India (2018)</t>
        </is>
      </c>
      <c r="F33" s="2" t="inlineStr">
        <is>
          <t>overruled: same sentence as row 10 | scope:  | checked by Claude (B)</t>
        </is>
      </c>
      <c r="G33" s="2" t="inlineStr">
        <is>
          <t>Confirm, change the treatment, reject, or keep (the answer says 'reported, not yet confirmed' until you confirm).</t>
        </is>
      </c>
      <c r="H33" s="12" t="inlineStr"/>
      <c r="I33" s="12" t="inlineStr"/>
      <c r="J33" s="13" t="inlineStr"/>
      <c r="K33" s="12" t="inlineStr"/>
      <c r="L33" s="12" t="inlineStr"/>
      <c r="M33" s="12" t="inlineStr"/>
      <c r="N33" s="12" t="inlineStr"/>
      <c r="O33" s="13" t="inlineStr"/>
      <c r="P33" s="12" t="inlineStr"/>
      <c r="Q33" s="12" t="inlineStr"/>
      <c r="R33" s="11" t="inlineStr">
        <is>
          <t>2026-10-15</t>
        </is>
      </c>
      <c r="S33" s="11" t="inlineStr">
        <is>
          <t>yes</t>
        </is>
      </c>
    </row>
    <row r="34">
      <c r="A34" s="11" t="inlineStr">
        <is>
          <t>L2-013</t>
        </is>
      </c>
      <c r="B34" s="11" t="inlineStr">
        <is>
          <t>candidate</t>
        </is>
      </c>
      <c r="C34" s="11" t="n">
        <v>2</v>
      </c>
      <c r="D34" s="2" t="inlineStr">
        <is>
          <t>Foreshore Cooperative Housing Society Ltd. v. Praveen D. Desai (2015)</t>
        </is>
      </c>
      <c r="E34" s="2" t="inlineStr">
        <is>
          <t>Nusli Neville Wadia v. Ivory Properties (2019)</t>
        </is>
      </c>
      <c r="F34" s="2" t="inlineStr">
        <is>
          <t>not_good_law: The decision in Foreshore Cooperative Housing Society Limited cannot be said to be laying down the law correctly | scope: section 9A CPC (Maharashtra): limitation as a preliminary issue | checked by Claude (B)</t>
        </is>
      </c>
      <c r="G34" s="2" t="inlineStr">
        <is>
          <t>Confirm, change the treatment, reject, or keep (the answer says 'reported, not yet confirmed' until you confirm).</t>
        </is>
      </c>
      <c r="H34" s="12" t="inlineStr"/>
      <c r="I34" s="12" t="inlineStr"/>
      <c r="J34" s="13" t="inlineStr"/>
      <c r="K34" s="12" t="inlineStr"/>
      <c r="L34" s="12" t="inlineStr"/>
      <c r="M34" s="12" t="inlineStr"/>
      <c r="N34" s="12" t="inlineStr"/>
      <c r="O34" s="13" t="inlineStr"/>
      <c r="P34" s="12" t="inlineStr"/>
      <c r="Q34" s="12" t="inlineStr"/>
      <c r="R34" s="11" t="inlineStr">
        <is>
          <t>2026-10-15</t>
        </is>
      </c>
      <c r="S34" s="11" t="inlineStr">
        <is>
          <t>yes</t>
        </is>
      </c>
    </row>
    <row r="35">
      <c r="A35" s="11" t="inlineStr">
        <is>
          <t>L2-014</t>
        </is>
      </c>
      <c r="B35" s="11" t="inlineStr">
        <is>
          <t>candidate</t>
        </is>
      </c>
      <c r="C35" s="11" t="n">
        <v>2</v>
      </c>
      <c r="D35" s="2" t="inlineStr">
        <is>
          <t>Motilal Pesticides (I) Pvt. Ltd. v. CIT (2000)</t>
        </is>
      </c>
      <c r="E35" s="2" t="inlineStr">
        <is>
          <t>Vijay Industries v. Commissioner of Income Tax (2019)</t>
        </is>
      </c>
      <c r="F35" s="2" t="inlineStr">
        <is>
          <t>overruled: the judgment of Motilal Pesticides is erroneous. We, therefore, overrule this judgment | scope: section 80HH deduction computed on gross profits | checked by Claude (B)</t>
        </is>
      </c>
      <c r="G35" s="2" t="inlineStr">
        <is>
          <t>Confirm, change the treatment, reject, or keep (the answer says 'reported, not yet confirmed' until you confirm).</t>
        </is>
      </c>
      <c r="H35" s="12" t="inlineStr"/>
      <c r="I35" s="12" t="inlineStr"/>
      <c r="J35" s="13" t="inlineStr"/>
      <c r="K35" s="12" t="inlineStr"/>
      <c r="L35" s="12" t="inlineStr"/>
      <c r="M35" s="12" t="inlineStr"/>
      <c r="N35" s="12" t="inlineStr"/>
      <c r="O35" s="13" t="inlineStr"/>
      <c r="P35" s="12" t="inlineStr"/>
      <c r="Q35" s="12" t="inlineStr"/>
      <c r="R35" s="11" t="inlineStr">
        <is>
          <t>2026-10-15</t>
        </is>
      </c>
      <c r="S35" s="11" t="inlineStr">
        <is>
          <t>yes</t>
        </is>
      </c>
    </row>
    <row r="36">
      <c r="A36" s="11" t="inlineStr">
        <is>
          <t>L2-015</t>
        </is>
      </c>
      <c r="B36" s="11" t="inlineStr">
        <is>
          <t>candidate</t>
        </is>
      </c>
      <c r="C36" s="11" t="n">
        <v>2</v>
      </c>
      <c r="D36" s="2" t="inlineStr">
        <is>
          <t>Amrutbhai Shambhubhai Patel v. Sumanbhai Kantibhai Patel (2017)</t>
        </is>
      </c>
      <c r="E36" s="2" t="inlineStr">
        <is>
          <t>Vinubhai Haribhai Malaviya v. State of Gujarat (2019)</t>
        </is>
      </c>
      <c r="F36" s="2" t="inlineStr">
        <is>
          <t>overruled_in_part: to the extent that the judgments in Amrutbhai Shambubhai Patel, Athul Rao and Bikash Ranjan Rout have held to the contrary, they stand overruled | scope: to the extent it held the contrary to Vinubhai | checked by Claude (B)</t>
        </is>
      </c>
      <c r="G36" s="2" t="inlineStr">
        <is>
          <t>Confirm, change the treatment, reject, or keep (the answer says 'reported, not yet confirmed' until you confirm).</t>
        </is>
      </c>
      <c r="H36" s="12" t="inlineStr"/>
      <c r="I36" s="12" t="inlineStr"/>
      <c r="J36" s="13" t="inlineStr"/>
      <c r="K36" s="12" t="inlineStr"/>
      <c r="L36" s="12" t="inlineStr"/>
      <c r="M36" s="12" t="inlineStr"/>
      <c r="N36" s="12" t="inlineStr"/>
      <c r="O36" s="13" t="inlineStr"/>
      <c r="P36" s="12" t="inlineStr"/>
      <c r="Q36" s="12" t="inlineStr"/>
      <c r="R36" s="11" t="inlineStr">
        <is>
          <t>2026-10-15</t>
        </is>
      </c>
      <c r="S36" s="11" t="inlineStr">
        <is>
          <t>yes</t>
        </is>
      </c>
    </row>
    <row r="37">
      <c r="A37" s="11" t="inlineStr">
        <is>
          <t>L2-016</t>
        </is>
      </c>
      <c r="B37" s="11" t="inlineStr">
        <is>
          <t>candidate</t>
        </is>
      </c>
      <c r="C37" s="11" t="n">
        <v>2</v>
      </c>
      <c r="D37" s="2" t="inlineStr">
        <is>
          <t>Athul Rao v. State of Karnataka (2018)</t>
        </is>
      </c>
      <c r="E37" s="2" t="inlineStr">
        <is>
          <t>Vinubhai Haribhai Malaviya v. State of Gujarat (2019)</t>
        </is>
      </c>
      <c r="F37" s="2" t="inlineStr">
        <is>
          <t>overruled_in_part: same sentence as row 15 | scope: to the extent it held the contrary to Vinubhai | checked by Claude (B)</t>
        </is>
      </c>
      <c r="G37" s="2" t="inlineStr">
        <is>
          <t>Confirm, change the treatment, reject, or keep (the answer says 'reported, not yet confirmed' until you confirm).</t>
        </is>
      </c>
      <c r="H37" s="12" t="inlineStr"/>
      <c r="I37" s="12" t="inlineStr"/>
      <c r="J37" s="13" t="inlineStr"/>
      <c r="K37" s="12" t="inlineStr"/>
      <c r="L37" s="12" t="inlineStr"/>
      <c r="M37" s="12" t="inlineStr"/>
      <c r="N37" s="12" t="inlineStr"/>
      <c r="O37" s="13" t="inlineStr"/>
      <c r="P37" s="12" t="inlineStr"/>
      <c r="Q37" s="12" t="inlineStr"/>
      <c r="R37" s="11" t="inlineStr">
        <is>
          <t>2026-10-15</t>
        </is>
      </c>
      <c r="S37" s="11" t="inlineStr">
        <is>
          <t>yes</t>
        </is>
      </c>
    </row>
    <row r="38">
      <c r="A38" s="11" t="inlineStr">
        <is>
          <t>L2-017</t>
        </is>
      </c>
      <c r="B38" s="11" t="inlineStr">
        <is>
          <t>candidate</t>
        </is>
      </c>
      <c r="C38" s="11" t="n">
        <v>2</v>
      </c>
      <c r="D38" s="2" t="inlineStr">
        <is>
          <t>Bikash Ranjan Rout v. State (NCT of Delhi) (2019)</t>
        </is>
      </c>
      <c r="E38" s="2" t="inlineStr">
        <is>
          <t>Vinubhai Haribhai Malaviya v. State of Gujarat (2019)</t>
        </is>
      </c>
      <c r="F38" s="2" t="inlineStr">
        <is>
          <t>overruled_in_part: same sentence as row 15 | scope: to the extent it held the contrary to Vinubhai | checked by Claude (B)</t>
        </is>
      </c>
      <c r="G38" s="2" t="inlineStr">
        <is>
          <t>Confirm, change the treatment, reject, or keep (the answer says 'reported, not yet confirmed' until you confirm).</t>
        </is>
      </c>
      <c r="H38" s="12" t="inlineStr"/>
      <c r="I38" s="12" t="inlineStr"/>
      <c r="J38" s="13" t="inlineStr"/>
      <c r="K38" s="12" t="inlineStr"/>
      <c r="L38" s="12" t="inlineStr"/>
      <c r="M38" s="12" t="inlineStr"/>
      <c r="N38" s="12" t="inlineStr"/>
      <c r="O38" s="13" t="inlineStr"/>
      <c r="P38" s="12" t="inlineStr"/>
      <c r="Q38" s="12" t="inlineStr"/>
      <c r="R38" s="11" t="inlineStr">
        <is>
          <t>2026-10-15</t>
        </is>
      </c>
      <c r="S38" s="11" t="inlineStr">
        <is>
          <t>yes</t>
        </is>
      </c>
    </row>
    <row r="39">
      <c r="A39" s="11" t="inlineStr">
        <is>
          <t>L2-018</t>
        </is>
      </c>
      <c r="B39" s="11" t="inlineStr">
        <is>
          <t>candidate</t>
        </is>
      </c>
      <c r="C39" s="11" t="n">
        <v>2</v>
      </c>
      <c r="D39" s="2" t="inlineStr">
        <is>
          <t>Randhir Singh Rana v. State (Delhi Administration) (1997)</t>
        </is>
      </c>
      <c r="E39" s="2" t="inlineStr">
        <is>
          <t>Vinubhai Haribhai Malaviya v. State of Gujarat (2019)</t>
        </is>
      </c>
      <c r="F39" s="2" t="inlineStr">
        <is>
          <t>overruled: Randhir Singh Rana ... and Reeta Nag ... also stand overruled | scope:  | checked by Claude (B)</t>
        </is>
      </c>
      <c r="G39" s="2" t="inlineStr">
        <is>
          <t>Confirm, change the treatment, reject, or keep (the answer says 'reported, not yet confirmed' until you confirm).</t>
        </is>
      </c>
      <c r="H39" s="12" t="inlineStr"/>
      <c r="I39" s="12" t="inlineStr"/>
      <c r="J39" s="13" t="inlineStr"/>
      <c r="K39" s="12" t="inlineStr"/>
      <c r="L39" s="12" t="inlineStr"/>
      <c r="M39" s="12" t="inlineStr"/>
      <c r="N39" s="12" t="inlineStr"/>
      <c r="O39" s="13" t="inlineStr"/>
      <c r="P39" s="12" t="inlineStr"/>
      <c r="Q39" s="12" t="inlineStr"/>
      <c r="R39" s="11" t="inlineStr">
        <is>
          <t>2026-10-15</t>
        </is>
      </c>
      <c r="S39" s="11" t="inlineStr">
        <is>
          <t>yes</t>
        </is>
      </c>
    </row>
    <row r="40">
      <c r="A40" s="11" t="inlineStr">
        <is>
          <t>L2-019</t>
        </is>
      </c>
      <c r="B40" s="11" t="inlineStr">
        <is>
          <t>candidate</t>
        </is>
      </c>
      <c r="C40" s="11" t="n">
        <v>2</v>
      </c>
      <c r="D40" s="2" t="inlineStr">
        <is>
          <t>Reeta Nag v. State of West Bengal (2009)</t>
        </is>
      </c>
      <c r="E40" s="2" t="inlineStr">
        <is>
          <t>Vinubhai Haribhai Malaviya v. State of Gujarat (2019)</t>
        </is>
      </c>
      <c r="F40" s="2" t="inlineStr">
        <is>
          <t>overruled: same sentence as row 18 | scope:  | checked by Claude (B)</t>
        </is>
      </c>
      <c r="G40" s="2" t="inlineStr">
        <is>
          <t>Confirm, change the treatment, reject, or keep (the answer says 'reported, not yet confirmed' until you confirm).</t>
        </is>
      </c>
      <c r="H40" s="12" t="inlineStr"/>
      <c r="I40" s="12" t="inlineStr"/>
      <c r="J40" s="13" t="inlineStr"/>
      <c r="K40" s="12" t="inlineStr"/>
      <c r="L40" s="12" t="inlineStr"/>
      <c r="M40" s="12" t="inlineStr"/>
      <c r="N40" s="12" t="inlineStr"/>
      <c r="O40" s="13" t="inlineStr"/>
      <c r="P40" s="12" t="inlineStr"/>
      <c r="Q40" s="12" t="inlineStr"/>
      <c r="R40" s="11" t="inlineStr">
        <is>
          <t>2026-10-15</t>
        </is>
      </c>
      <c r="S40" s="11" t="inlineStr">
        <is>
          <t>yes</t>
        </is>
      </c>
    </row>
    <row r="41">
      <c r="A41" s="11" t="inlineStr">
        <is>
          <t>L2-020</t>
        </is>
      </c>
      <c r="B41" s="11" t="inlineStr">
        <is>
          <t>candidate</t>
        </is>
      </c>
      <c r="C41" s="11" t="n">
        <v>2</v>
      </c>
      <c r="D41" s="2" t="inlineStr">
        <is>
          <t>Gurdwara Sahib v. Gram Panchayat Village Sirthala (2014)</t>
        </is>
      </c>
      <c r="E41" s="2" t="inlineStr">
        <is>
          <t>Ravinder Kaur Grewal v. Manjit Kaur (2019)</t>
        </is>
      </c>
      <c r="F41" s="2" t="inlineStr">
        <is>
          <t>overruled: decisions of Gurudwara Sahab v. Gram Panchayat Village Sirthala ... cannot be said to be laying down the law correctly, thus they are hereby overruled | scope: adverse possession cannot be pleaded by a plaintiff under Article 65 of the Limitation Act | checked by Claude (B)</t>
        </is>
      </c>
      <c r="G41" s="2" t="inlineStr">
        <is>
          <t>Confirm, change the treatment, reject, or keep (the answer says 'reported, not yet confirmed' until you confirm).</t>
        </is>
      </c>
      <c r="H41" s="12" t="inlineStr"/>
      <c r="I41" s="12" t="inlineStr"/>
      <c r="J41" s="13" t="inlineStr"/>
      <c r="K41" s="12" t="inlineStr"/>
      <c r="L41" s="12" t="inlineStr"/>
      <c r="M41" s="12" t="inlineStr"/>
      <c r="N41" s="12" t="inlineStr"/>
      <c r="O41" s="13" t="inlineStr"/>
      <c r="P41" s="12" t="inlineStr"/>
      <c r="Q41" s="12" t="inlineStr"/>
      <c r="R41" s="11" t="inlineStr">
        <is>
          <t>2026-10-15</t>
        </is>
      </c>
      <c r="S41" s="11" t="inlineStr">
        <is>
          <t>yes</t>
        </is>
      </c>
    </row>
    <row r="42">
      <c r="A42" s="11" t="inlineStr">
        <is>
          <t>L2-021</t>
        </is>
      </c>
      <c r="B42" s="11" t="inlineStr">
        <is>
          <t>candidate</t>
        </is>
      </c>
      <c r="C42" s="11" t="n">
        <v>2</v>
      </c>
      <c r="D42" s="2" t="inlineStr">
        <is>
          <t>State of Uttarakhand v. Mandir Sri Laxman Sidh Maharaj (2017)</t>
        </is>
      </c>
      <c r="E42" s="2" t="inlineStr">
        <is>
          <t>Ravinder Kaur Grewal v. Manjit Kaur (2019)</t>
        </is>
      </c>
      <c r="F42" s="2" t="inlineStr">
        <is>
          <t>overruled: same sentence as row 20 | scope: adverse possession cannot be pleaded by a plaintiff under Article 65 of the Limitation Act | checked by Claude (B)</t>
        </is>
      </c>
      <c r="G42" s="2" t="inlineStr">
        <is>
          <t>Confirm, change the treatment, reject, or keep (the answer says 'reported, not yet confirmed' until you confirm).</t>
        </is>
      </c>
      <c r="H42" s="12" t="inlineStr"/>
      <c r="I42" s="12" t="inlineStr"/>
      <c r="J42" s="13" t="inlineStr"/>
      <c r="K42" s="12" t="inlineStr"/>
      <c r="L42" s="12" t="inlineStr"/>
      <c r="M42" s="12" t="inlineStr"/>
      <c r="N42" s="12" t="inlineStr"/>
      <c r="O42" s="13" t="inlineStr"/>
      <c r="P42" s="12" t="inlineStr"/>
      <c r="Q42" s="12" t="inlineStr"/>
      <c r="R42" s="11" t="inlineStr">
        <is>
          <t>2026-10-15</t>
        </is>
      </c>
      <c r="S42" s="11" t="inlineStr">
        <is>
          <t>yes</t>
        </is>
      </c>
    </row>
    <row r="43">
      <c r="A43" s="11" t="inlineStr">
        <is>
          <t>L2-022</t>
        </is>
      </c>
      <c r="B43" s="11" t="inlineStr">
        <is>
          <t>candidate</t>
        </is>
      </c>
      <c r="C43" s="11" t="n">
        <v>2</v>
      </c>
      <c r="D43" s="2" t="inlineStr">
        <is>
          <t>Dharampal (dead) through LRs v. Punjab Wakf Board (2017)</t>
        </is>
      </c>
      <c r="E43" s="2" t="inlineStr">
        <is>
          <t>Ravinder Kaur Grewal v. Manjit Kaur (2019)</t>
        </is>
      </c>
      <c r="F43" s="2" t="inlineStr">
        <is>
          <t>overruled: same sentence as row 20 | scope: adverse possession cannot be pleaded by a plaintiff under Article 65 of the Limitation Act | checked by Claude (B)</t>
        </is>
      </c>
      <c r="G43" s="2" t="inlineStr">
        <is>
          <t>Confirm, change the treatment, reject, or keep (the answer says 'reported, not yet confirmed' until you confirm).</t>
        </is>
      </c>
      <c r="H43" s="12" t="inlineStr"/>
      <c r="I43" s="12" t="inlineStr"/>
      <c r="J43" s="13" t="inlineStr"/>
      <c r="K43" s="12" t="inlineStr"/>
      <c r="L43" s="12" t="inlineStr"/>
      <c r="M43" s="12" t="inlineStr"/>
      <c r="N43" s="12" t="inlineStr"/>
      <c r="O43" s="13" t="inlineStr"/>
      <c r="P43" s="12" t="inlineStr"/>
      <c r="Q43" s="12" t="inlineStr"/>
      <c r="R43" s="11" t="inlineStr">
        <is>
          <t>2026-10-15</t>
        </is>
      </c>
      <c r="S43" s="11" t="inlineStr">
        <is>
          <t>yes</t>
        </is>
      </c>
    </row>
    <row r="44">
      <c r="A44" s="11" t="inlineStr">
        <is>
          <t>L2-023</t>
        </is>
      </c>
      <c r="B44" s="11" t="inlineStr">
        <is>
          <t>candidate</t>
        </is>
      </c>
      <c r="C44" s="11" t="n">
        <v>2</v>
      </c>
      <c r="D44" s="2" t="inlineStr">
        <is>
          <t>Salauddin Abdulsamad Shaikh v. State of Maharashtra (1996)</t>
        </is>
      </c>
      <c r="E44" s="2" t="inlineStr">
        <is>
          <t>Sushila Aggarwal v. State (NCT of Delhi) (2020)</t>
        </is>
      </c>
      <c r="F44" s="2" t="inlineStr">
        <is>
          <t>overruled: the decision in Salauddin Abdulsamad Shaikh ... and subsequent decisions ... are hereby overruled | scope: the view that anticipatory bail must end after a fixed period | checked by Claude (B)</t>
        </is>
      </c>
      <c r="G44" s="2" t="inlineStr">
        <is>
          <t>Confirm, change the treatment, reject, or keep (the answer says 'reported, not yet confirmed' until you confirm).</t>
        </is>
      </c>
      <c r="H44" s="12" t="inlineStr"/>
      <c r="I44" s="12" t="inlineStr"/>
      <c r="J44" s="13" t="inlineStr"/>
      <c r="K44" s="12" t="inlineStr"/>
      <c r="L44" s="12" t="inlineStr"/>
      <c r="M44" s="12" t="inlineStr"/>
      <c r="N44" s="12" t="inlineStr"/>
      <c r="O44" s="13" t="inlineStr"/>
      <c r="P44" s="12" t="inlineStr"/>
      <c r="Q44" s="12" t="inlineStr"/>
      <c r="R44" s="11" t="inlineStr">
        <is>
          <t>2026-10-15</t>
        </is>
      </c>
      <c r="S44" s="11" t="inlineStr">
        <is>
          <t>yes</t>
        </is>
      </c>
    </row>
    <row r="45">
      <c r="A45" s="11" t="inlineStr">
        <is>
          <t>L2-024</t>
        </is>
      </c>
      <c r="B45" s="11" t="inlineStr">
        <is>
          <t>candidate</t>
        </is>
      </c>
      <c r="C45" s="11" t="n">
        <v>2</v>
      </c>
      <c r="D45" s="2" t="inlineStr">
        <is>
          <t>K.L. Verma v. State (1998)</t>
        </is>
      </c>
      <c r="E45" s="2" t="inlineStr">
        <is>
          <t>Sushila Aggarwal v. State (NCT of Delhi) (2020)</t>
        </is>
      </c>
      <c r="F45" s="2" t="inlineStr">
        <is>
          <t>overruled: (including K.L. Verma ...) are hereby overruled | scope: the view that anticipatory bail must end after a fixed period | checked by Claude (B)</t>
        </is>
      </c>
      <c r="G45" s="2" t="inlineStr">
        <is>
          <t>Confirm, change the treatment, reject, or keep (the answer says 'reported, not yet confirmed' until you confirm).</t>
        </is>
      </c>
      <c r="H45" s="12" t="inlineStr"/>
      <c r="I45" s="12" t="inlineStr"/>
      <c r="J45" s="13" t="inlineStr"/>
      <c r="K45" s="12" t="inlineStr"/>
      <c r="L45" s="12" t="inlineStr"/>
      <c r="M45" s="12" t="inlineStr"/>
      <c r="N45" s="12" t="inlineStr"/>
      <c r="O45" s="13" t="inlineStr"/>
      <c r="P45" s="12" t="inlineStr"/>
      <c r="Q45" s="12" t="inlineStr"/>
      <c r="R45" s="11" t="inlineStr">
        <is>
          <t>2026-10-15</t>
        </is>
      </c>
      <c r="S45" s="11" t="inlineStr">
        <is>
          <t>yes</t>
        </is>
      </c>
    </row>
    <row r="46">
      <c r="A46" s="11" t="inlineStr">
        <is>
          <t>L2-025</t>
        </is>
      </c>
      <c r="B46" s="11" t="inlineStr">
        <is>
          <t>candidate</t>
        </is>
      </c>
      <c r="C46" s="11" t="n">
        <v>2</v>
      </c>
      <c r="D46" s="2" t="inlineStr">
        <is>
          <t>Sunita Devi v. State of Bihar (2005)</t>
        </is>
      </c>
      <c r="E46" s="2" t="inlineStr">
        <is>
          <t>Sushila Aggarwal v. State (NCT of Delhi) (2020)</t>
        </is>
      </c>
      <c r="F46" s="2" t="inlineStr">
        <is>
          <t>overruled: same sentence as row 24 | scope: the view that anticipatory bail must end after a fixed period | checked by Claude (B)</t>
        </is>
      </c>
      <c r="G46" s="2" t="inlineStr">
        <is>
          <t>Confirm, change the treatment, reject, or keep (the answer says 'reported, not yet confirmed' until you confirm).</t>
        </is>
      </c>
      <c r="H46" s="12" t="inlineStr"/>
      <c r="I46" s="12" t="inlineStr"/>
      <c r="J46" s="13" t="inlineStr"/>
      <c r="K46" s="12" t="inlineStr"/>
      <c r="L46" s="12" t="inlineStr"/>
      <c r="M46" s="12" t="inlineStr"/>
      <c r="N46" s="12" t="inlineStr"/>
      <c r="O46" s="13" t="inlineStr"/>
      <c r="P46" s="12" t="inlineStr"/>
      <c r="Q46" s="12" t="inlineStr"/>
      <c r="R46" s="11" t="inlineStr">
        <is>
          <t>2026-10-15</t>
        </is>
      </c>
      <c r="S46" s="11" t="inlineStr">
        <is>
          <t>yes</t>
        </is>
      </c>
    </row>
    <row r="47">
      <c r="A47" s="11" t="inlineStr">
        <is>
          <t>L2-026</t>
        </is>
      </c>
      <c r="B47" s="11" t="inlineStr">
        <is>
          <t>candidate</t>
        </is>
      </c>
      <c r="C47" s="11" t="n">
        <v>2</v>
      </c>
      <c r="D47" s="2" t="inlineStr">
        <is>
          <t>Adri Dharan Das v. State of West Bengal (2005)</t>
        </is>
      </c>
      <c r="E47" s="2" t="inlineStr">
        <is>
          <t>Sushila Aggarwal v. State (NCT of Delhi) (2020)</t>
        </is>
      </c>
      <c r="F47" s="2" t="inlineStr">
        <is>
          <t>overruled: same sentence as row 24 | scope: the view that anticipatory bail must end after a fixed period | checked by Claude (B)</t>
        </is>
      </c>
      <c r="G47" s="2" t="inlineStr">
        <is>
          <t>Confirm, change the treatment, reject, or keep (the answer says 'reported, not yet confirmed' until you confirm).</t>
        </is>
      </c>
      <c r="H47" s="12" t="inlineStr"/>
      <c r="I47" s="12" t="inlineStr"/>
      <c r="J47" s="13" t="inlineStr"/>
      <c r="K47" s="12" t="inlineStr"/>
      <c r="L47" s="12" t="inlineStr"/>
      <c r="M47" s="12" t="inlineStr"/>
      <c r="N47" s="12" t="inlineStr"/>
      <c r="O47" s="13" t="inlineStr"/>
      <c r="P47" s="12" t="inlineStr"/>
      <c r="Q47" s="12" t="inlineStr"/>
      <c r="R47" s="11" t="inlineStr">
        <is>
          <t>2026-10-15</t>
        </is>
      </c>
      <c r="S47" s="11" t="inlineStr">
        <is>
          <t>yes</t>
        </is>
      </c>
    </row>
    <row r="48">
      <c r="A48" s="11" t="inlineStr">
        <is>
          <t>L2-027</t>
        </is>
      </c>
      <c r="B48" s="11" t="inlineStr">
        <is>
          <t>candidate</t>
        </is>
      </c>
      <c r="C48" s="11" t="n">
        <v>2</v>
      </c>
      <c r="D48" s="2" t="inlineStr">
        <is>
          <t>Nirmal Jeet Kaur v. State of M.P. (2004)</t>
        </is>
      </c>
      <c r="E48" s="2" t="inlineStr">
        <is>
          <t>Sushila Aggarwal v. State (NCT of Delhi) (2020)</t>
        </is>
      </c>
      <c r="F48" s="2" t="inlineStr">
        <is>
          <t>overruled: same sentence as row 24 | scope: the view that anticipatory bail must end after a fixed period | checked by Claude (B)</t>
        </is>
      </c>
      <c r="G48" s="2" t="inlineStr">
        <is>
          <t>Confirm, change the treatment, reject, or keep (the answer says 'reported, not yet confirmed' until you confirm).</t>
        </is>
      </c>
      <c r="H48" s="12" t="inlineStr"/>
      <c r="I48" s="12" t="inlineStr"/>
      <c r="J48" s="13" t="inlineStr"/>
      <c r="K48" s="12" t="inlineStr"/>
      <c r="L48" s="12" t="inlineStr"/>
      <c r="M48" s="12" t="inlineStr"/>
      <c r="N48" s="12" t="inlineStr"/>
      <c r="O48" s="13" t="inlineStr"/>
      <c r="P48" s="12" t="inlineStr"/>
      <c r="Q48" s="12" t="inlineStr"/>
      <c r="R48" s="11" t="inlineStr">
        <is>
          <t>2026-10-15</t>
        </is>
      </c>
      <c r="S48" s="11" t="inlineStr">
        <is>
          <t>yes</t>
        </is>
      </c>
    </row>
    <row r="49">
      <c r="A49" s="11" t="inlineStr">
        <is>
          <t>L2-028</t>
        </is>
      </c>
      <c r="B49" s="11" t="inlineStr">
        <is>
          <t>candidate</t>
        </is>
      </c>
      <c r="C49" s="11" t="n">
        <v>2</v>
      </c>
      <c r="D49" s="2" t="inlineStr">
        <is>
          <t>HDFC Bank Ltd. v. J.J. Mannan (2010)</t>
        </is>
      </c>
      <c r="E49" s="2" t="inlineStr">
        <is>
          <t>Sushila Aggarwal v. State (NCT of Delhi) (2020)</t>
        </is>
      </c>
      <c r="F49" s="2" t="inlineStr">
        <is>
          <t>overruled: same sentence as row 24 | scope: the view that anticipatory bail must end after a fixed period | checked by Claude (B)</t>
        </is>
      </c>
      <c r="G49" s="2" t="inlineStr">
        <is>
          <t>Confirm, change the treatment, reject, or keep (the answer says 'reported, not yet confirmed' until you confirm).</t>
        </is>
      </c>
      <c r="H49" s="12" t="inlineStr"/>
      <c r="I49" s="12" t="inlineStr"/>
      <c r="J49" s="13" t="inlineStr"/>
      <c r="K49" s="12" t="inlineStr"/>
      <c r="L49" s="12" t="inlineStr"/>
      <c r="M49" s="12" t="inlineStr"/>
      <c r="N49" s="12" t="inlineStr"/>
      <c r="O49" s="13" t="inlineStr"/>
      <c r="P49" s="12" t="inlineStr"/>
      <c r="Q49" s="12" t="inlineStr"/>
      <c r="R49" s="11" t="inlineStr">
        <is>
          <t>2026-10-15</t>
        </is>
      </c>
      <c r="S49" s="11" t="inlineStr">
        <is>
          <t>yes</t>
        </is>
      </c>
    </row>
    <row r="50">
      <c r="A50" s="11" t="inlineStr">
        <is>
          <t>L2-029</t>
        </is>
      </c>
      <c r="B50" s="11" t="inlineStr">
        <is>
          <t>candidate</t>
        </is>
      </c>
      <c r="C50" s="11" t="n">
        <v>2</v>
      </c>
      <c r="D50" s="2" t="inlineStr">
        <is>
          <t>Satpal Singh v. State of Punjab (2018)</t>
        </is>
      </c>
      <c r="E50" s="2" t="inlineStr">
        <is>
          <t>Sushila Aggarwal v. State (NCT of Delhi) (2020)</t>
        </is>
      </c>
      <c r="F50" s="2" t="inlineStr">
        <is>
          <t>overruled: same sentence as row 24 | scope: the view that anticipatory bail must end after a fixed period | checked by Claude (B)</t>
        </is>
      </c>
      <c r="G50" s="2" t="inlineStr">
        <is>
          <t>Confirm, change the treatment, reject, or keep (the answer says 'reported, not yet confirmed' until you confirm).</t>
        </is>
      </c>
      <c r="H50" s="12" t="inlineStr"/>
      <c r="I50" s="12" t="inlineStr"/>
      <c r="J50" s="13" t="inlineStr"/>
      <c r="K50" s="12" t="inlineStr"/>
      <c r="L50" s="12" t="inlineStr"/>
      <c r="M50" s="12" t="inlineStr"/>
      <c r="N50" s="12" t="inlineStr"/>
      <c r="O50" s="13" t="inlineStr"/>
      <c r="P50" s="12" t="inlineStr"/>
      <c r="Q50" s="12" t="inlineStr"/>
      <c r="R50" s="11" t="inlineStr">
        <is>
          <t>2026-10-15</t>
        </is>
      </c>
      <c r="S50" s="11" t="inlineStr">
        <is>
          <t>yes</t>
        </is>
      </c>
    </row>
    <row r="51">
      <c r="A51" s="11" t="inlineStr">
        <is>
          <t>L2-030</t>
        </is>
      </c>
      <c r="B51" s="11" t="inlineStr">
        <is>
          <t>candidate</t>
        </is>
      </c>
      <c r="C51" s="11" t="n">
        <v>2</v>
      </c>
      <c r="D51" s="2" t="inlineStr">
        <is>
          <t>Naresh Kumar Yadav v. Ravindra Kumar (2008)</t>
        </is>
      </c>
      <c r="E51" s="2" t="inlineStr">
        <is>
          <t>Sushila Aggarwal v. State (NCT of Delhi) (2020)</t>
        </is>
      </c>
      <c r="F51" s="2" t="inlineStr">
        <is>
          <t>overruled: same sentence as row 24 | scope: the view that anticipatory bail must end after a fixed period | checked by Claude (B)</t>
        </is>
      </c>
      <c r="G51" s="2" t="inlineStr">
        <is>
          <t>Confirm, change the treatment, reject, or keep (the answer says 'reported, not yet confirmed' until you confirm).</t>
        </is>
      </c>
      <c r="H51" s="12" t="inlineStr"/>
      <c r="I51" s="12" t="inlineStr"/>
      <c r="J51" s="13" t="inlineStr"/>
      <c r="K51" s="12" t="inlineStr"/>
      <c r="L51" s="12" t="inlineStr"/>
      <c r="M51" s="12" t="inlineStr"/>
      <c r="N51" s="12" t="inlineStr"/>
      <c r="O51" s="13" t="inlineStr"/>
      <c r="P51" s="12" t="inlineStr"/>
      <c r="Q51" s="12" t="inlineStr"/>
      <c r="R51" s="11" t="inlineStr">
        <is>
          <t>2026-10-15</t>
        </is>
      </c>
      <c r="S51" s="11" t="inlineStr">
        <is>
          <t>yes</t>
        </is>
      </c>
    </row>
    <row r="52">
      <c r="A52" s="11" t="inlineStr">
        <is>
          <t>L2-031</t>
        </is>
      </c>
      <c r="B52" s="11" t="inlineStr">
        <is>
          <t>candidate</t>
        </is>
      </c>
      <c r="C52" s="11" t="n">
        <v>2</v>
      </c>
      <c r="D52" s="2" t="inlineStr">
        <is>
          <t>Siddharam Satlingappa Mhetre v. State of Maharashtra (2011)</t>
        </is>
      </c>
      <c r="E52" s="2" t="inlineStr">
        <is>
          <t>Sushila Aggarwal v. State (NCT of Delhi) (2020)</t>
        </is>
      </c>
      <c r="F52" s="2" t="inlineStr">
        <is>
          <t>overruled_in_part: observations in Mhetre that no restrictive conditions at all can be imposed ... are hereby overruled | scope: the view that no restrictive conditions at all can be imposed on anticipatory bail | checked by Claude (B)</t>
        </is>
      </c>
      <c r="G52" s="2" t="inlineStr">
        <is>
          <t>Confirm, change the treatment, reject, or keep (the answer says 'reported, not yet confirmed' until you confirm).</t>
        </is>
      </c>
      <c r="H52" s="12" t="inlineStr"/>
      <c r="I52" s="12" t="inlineStr"/>
      <c r="J52" s="13" t="inlineStr"/>
      <c r="K52" s="12" t="inlineStr"/>
      <c r="L52" s="12" t="inlineStr"/>
      <c r="M52" s="12" t="inlineStr"/>
      <c r="N52" s="12" t="inlineStr"/>
      <c r="O52" s="13" t="inlineStr"/>
      <c r="P52" s="12" t="inlineStr"/>
      <c r="Q52" s="12" t="inlineStr"/>
      <c r="R52" s="11" t="inlineStr">
        <is>
          <t>2026-10-15</t>
        </is>
      </c>
      <c r="S52" s="11" t="inlineStr">
        <is>
          <t>yes</t>
        </is>
      </c>
    </row>
    <row r="53">
      <c r="A53" s="11" t="inlineStr">
        <is>
          <t>L2-032</t>
        </is>
      </c>
      <c r="B53" s="11" t="inlineStr">
        <is>
          <t>candidate</t>
        </is>
      </c>
      <c r="C53" s="11" t="n">
        <v>2</v>
      </c>
      <c r="D53" s="2" t="inlineStr">
        <is>
          <t>Shafhi Mohammad v. State of Himachal Pradesh (2018)</t>
        </is>
      </c>
      <c r="E53" s="2" t="inlineStr">
        <is>
          <t>Arjun Panditrao Khotkar v. Kailash Kushanrao Gorantyal (2020)</t>
        </is>
      </c>
      <c r="F53" s="2" t="inlineStr">
        <is>
          <t>overruled: do not lay down the law correctly and are therefore overruled | scope: the view that a section 65B(4) certificate can be dispensed with where the party cannot produce one | checked by Claude (B)</t>
        </is>
      </c>
      <c r="G53" s="2" t="inlineStr">
        <is>
          <t>Confirm, change the treatment, reject, or keep (the answer says 'reported, not yet confirmed' until you confirm).</t>
        </is>
      </c>
      <c r="H53" s="12" t="inlineStr"/>
      <c r="I53" s="12" t="inlineStr"/>
      <c r="J53" s="13" t="inlineStr"/>
      <c r="K53" s="12" t="inlineStr"/>
      <c r="L53" s="12" t="inlineStr"/>
      <c r="M53" s="12" t="inlineStr"/>
      <c r="N53" s="12" t="inlineStr"/>
      <c r="O53" s="13" t="inlineStr"/>
      <c r="P53" s="12" t="inlineStr"/>
      <c r="Q53" s="12" t="inlineStr"/>
      <c r="R53" s="11" t="inlineStr">
        <is>
          <t>2026-10-15</t>
        </is>
      </c>
      <c r="S53" s="11" t="inlineStr">
        <is>
          <t>yes</t>
        </is>
      </c>
    </row>
    <row r="54">
      <c r="A54" s="11" t="inlineStr">
        <is>
          <t>L2-033</t>
        </is>
      </c>
      <c r="B54" s="11" t="inlineStr">
        <is>
          <t>candidate</t>
        </is>
      </c>
      <c r="C54" s="11" t="n">
        <v>2</v>
      </c>
      <c r="D54" s="2" t="inlineStr">
        <is>
          <t>Tomaso Bruno v. State of U.P. (2015)</t>
        </is>
      </c>
      <c r="E54" s="2" t="inlineStr">
        <is>
          <t>Arjun Panditrao Khotkar v. Kailash Kushanrao Gorantyal (2020)</t>
        </is>
      </c>
      <c r="F54" s="2" t="inlineStr">
        <is>
          <t>overruled: Tomaso Bruno ... being per incuriam, does not lay down the law correctly ... overruled | scope: secondary evidence of electronic records (CCTV footage) under section 65 of the Evidence Act | checked by Claude (H+B)</t>
        </is>
      </c>
      <c r="G54" s="2" t="inlineStr">
        <is>
          <t>Confirm, change the treatment, reject, or keep (the answer says 'reported, not yet confirmed' until you confirm).</t>
        </is>
      </c>
      <c r="H54" s="12" t="inlineStr"/>
      <c r="I54" s="12" t="inlineStr"/>
      <c r="J54" s="13" t="inlineStr"/>
      <c r="K54" s="12" t="inlineStr"/>
      <c r="L54" s="12" t="inlineStr"/>
      <c r="M54" s="12" t="inlineStr"/>
      <c r="N54" s="12" t="inlineStr"/>
      <c r="O54" s="13" t="inlineStr"/>
      <c r="P54" s="12" t="inlineStr"/>
      <c r="Q54" s="12" t="inlineStr"/>
      <c r="R54" s="11" t="inlineStr">
        <is>
          <t>2026-10-15</t>
        </is>
      </c>
      <c r="S54" s="11" t="inlineStr">
        <is>
          <t>yes</t>
        </is>
      </c>
    </row>
    <row r="55">
      <c r="A55" s="11" t="inlineStr">
        <is>
          <t>L2-034</t>
        </is>
      </c>
      <c r="B55" s="11" t="inlineStr">
        <is>
          <t>candidate</t>
        </is>
      </c>
      <c r="C55" s="11" t="n">
        <v>2</v>
      </c>
      <c r="D55" s="2" t="inlineStr">
        <is>
          <t>Mohan Lal v. State of Punjab (2018)</t>
        </is>
      </c>
      <c r="E55" s="2" t="inlineStr">
        <is>
          <t>Mukesh Singh v. State (Narcotic Branch of Delhi) (2020)</t>
        </is>
      </c>
      <c r="F55" s="2" t="inlineStr">
        <is>
          <t>overruled: are not good law and they are specifically overruled | scope: the informant who is also the investigator: acquittal is not automatic | checked by Claude (H+B)</t>
        </is>
      </c>
      <c r="G55" s="2" t="inlineStr">
        <is>
          <t>Confirm, change the treatment, reject, or keep (the answer says 'reported, not yet confirmed' until you confirm).</t>
        </is>
      </c>
      <c r="H55" s="12" t="inlineStr"/>
      <c r="I55" s="12" t="inlineStr"/>
      <c r="J55" s="13" t="inlineStr"/>
      <c r="K55" s="12" t="inlineStr"/>
      <c r="L55" s="12" t="inlineStr"/>
      <c r="M55" s="12" t="inlineStr"/>
      <c r="N55" s="12" t="inlineStr"/>
      <c r="O55" s="13" t="inlineStr"/>
      <c r="P55" s="12" t="inlineStr"/>
      <c r="Q55" s="12" t="inlineStr"/>
      <c r="R55" s="11" t="inlineStr">
        <is>
          <t>2026-10-15</t>
        </is>
      </c>
      <c r="S55" s="11" t="inlineStr">
        <is>
          <t>yes</t>
        </is>
      </c>
    </row>
    <row r="56">
      <c r="A56" s="11" t="inlineStr">
        <is>
          <t>L2-035</t>
        </is>
      </c>
      <c r="B56" s="11" t="inlineStr">
        <is>
          <t>candidate</t>
        </is>
      </c>
      <c r="C56" s="11" t="n">
        <v>2</v>
      </c>
      <c r="D56" s="2" t="inlineStr">
        <is>
          <t>Prakash v. Phulavati (2016)</t>
        </is>
      </c>
      <c r="E56" s="2" t="inlineStr">
        <is>
          <t>Vineeta Sharma v. Rakesh Sharma (2020)</t>
        </is>
      </c>
      <c r="F56" s="2" t="inlineStr">
        <is>
          <t>overruled: we overrule the views to the contrary expressed in Prakash v. Phulavati and Mangammal v. T.B. Raju | scope: daughters' rights under section 6 of the Hindu Succession Act: only living daughters of living coparceners | checked by Claude (B)</t>
        </is>
      </c>
      <c r="G56" s="2" t="inlineStr">
        <is>
          <t>Confirm, change the treatment, reject, or keep (the answer says 'reported, not yet confirmed' until you confirm).</t>
        </is>
      </c>
      <c r="H56" s="12" t="inlineStr"/>
      <c r="I56" s="12" t="inlineStr"/>
      <c r="J56" s="13" t="inlineStr"/>
      <c r="K56" s="12" t="inlineStr"/>
      <c r="L56" s="12" t="inlineStr"/>
      <c r="M56" s="12" t="inlineStr"/>
      <c r="N56" s="12" t="inlineStr"/>
      <c r="O56" s="13" t="inlineStr"/>
      <c r="P56" s="12" t="inlineStr"/>
      <c r="Q56" s="12" t="inlineStr"/>
      <c r="R56" s="11" t="inlineStr">
        <is>
          <t>2026-10-15</t>
        </is>
      </c>
      <c r="S56" s="11" t="inlineStr">
        <is>
          <t>yes</t>
        </is>
      </c>
    </row>
    <row r="57">
      <c r="A57" s="11" t="inlineStr">
        <is>
          <t>L2-036</t>
        </is>
      </c>
      <c r="B57" s="11" t="inlineStr">
        <is>
          <t>candidate</t>
        </is>
      </c>
      <c r="C57" s="11" t="n">
        <v>2</v>
      </c>
      <c r="D57" s="2" t="inlineStr">
        <is>
          <t>Mangammal v. T.B. Raju (2018)</t>
        </is>
      </c>
      <c r="E57" s="2" t="inlineStr">
        <is>
          <t>Vineeta Sharma v. Rakesh Sharma (2020)</t>
        </is>
      </c>
      <c r="F57" s="2" t="inlineStr">
        <is>
          <t>overruled: same sentence as row 35 | scope: daughters' rights under section 6 of the Hindu Succession Act | checked by Claude (B)</t>
        </is>
      </c>
      <c r="G57" s="2" t="inlineStr">
        <is>
          <t>Confirm, change the treatment, reject, or keep (the answer says 'reported, not yet confirmed' until you confirm).</t>
        </is>
      </c>
      <c r="H57" s="12" t="inlineStr"/>
      <c r="I57" s="12" t="inlineStr"/>
      <c r="J57" s="13" t="inlineStr"/>
      <c r="K57" s="12" t="inlineStr"/>
      <c r="L57" s="12" t="inlineStr"/>
      <c r="M57" s="12" t="inlineStr"/>
      <c r="N57" s="12" t="inlineStr"/>
      <c r="O57" s="13" t="inlineStr"/>
      <c r="P57" s="12" t="inlineStr"/>
      <c r="Q57" s="12" t="inlineStr"/>
      <c r="R57" s="11" t="inlineStr">
        <is>
          <t>2026-10-15</t>
        </is>
      </c>
      <c r="S57" s="11" t="inlineStr">
        <is>
          <t>yes</t>
        </is>
      </c>
    </row>
    <row r="58">
      <c r="A58" s="11" t="inlineStr">
        <is>
          <t>L2-037</t>
        </is>
      </c>
      <c r="B58" s="11" t="inlineStr">
        <is>
          <t>candidate</t>
        </is>
      </c>
      <c r="C58" s="11" t="n">
        <v>2</v>
      </c>
      <c r="D58" s="2" t="inlineStr">
        <is>
          <t>Danamma @ Suman Surpur v. Amar (2018)</t>
        </is>
      </c>
      <c r="E58" s="2" t="inlineStr">
        <is>
          <t>Vineeta Sharma v. Rakesh Sharma (2020)</t>
        </is>
      </c>
      <c r="F58" s="2" t="inlineStr">
        <is>
          <t>overruled_in_part: The opinion expressed in Danamma is partly overruled to the extent it is contrary to this decision | scope: to the extent contrary to Vineeta Sharma | checked by Claude (B)</t>
        </is>
      </c>
      <c r="G58" s="2" t="inlineStr">
        <is>
          <t>Confirm, change the treatment, reject, or keep (the answer says 'reported, not yet confirmed' until you confirm).</t>
        </is>
      </c>
      <c r="H58" s="12" t="inlineStr"/>
      <c r="I58" s="12" t="inlineStr"/>
      <c r="J58" s="13" t="inlineStr"/>
      <c r="K58" s="12" t="inlineStr"/>
      <c r="L58" s="12" t="inlineStr"/>
      <c r="M58" s="12" t="inlineStr"/>
      <c r="N58" s="12" t="inlineStr"/>
      <c r="O58" s="13" t="inlineStr"/>
      <c r="P58" s="12" t="inlineStr"/>
      <c r="Q58" s="12" t="inlineStr"/>
      <c r="R58" s="11" t="inlineStr">
        <is>
          <t>2026-10-15</t>
        </is>
      </c>
      <c r="S58" s="11" t="inlineStr">
        <is>
          <t>yes</t>
        </is>
      </c>
    </row>
    <row r="59">
      <c r="A59" s="11" t="inlineStr">
        <is>
          <t>L2-038</t>
        </is>
      </c>
      <c r="B59" s="11" t="inlineStr">
        <is>
          <t>candidate</t>
        </is>
      </c>
      <c r="C59" s="11" t="n">
        <v>2</v>
      </c>
      <c r="D59" s="2" t="inlineStr">
        <is>
          <t>Himangni Enterprises v. Kamaljeet Singh Ahluwalia (2017)</t>
        </is>
      </c>
      <c r="E59" s="2" t="inlineStr">
        <is>
          <t>Vidya Drolia v. Durga Trading Corporation (2020)</t>
        </is>
      </c>
      <c r="F59" s="2" t="inlineStr">
        <is>
          <t>overruled: we overrule the ratio laid down in Himangni Enterprises | scope: the holding that landlord-tenant disputes under the Transfer of Property Act are not arbitrable | checked by Claude (B)</t>
        </is>
      </c>
      <c r="G59" s="2" t="inlineStr">
        <is>
          <t>Confirm, change the treatment, reject, or keep (the answer says 'reported, not yet confirmed' until you confirm).</t>
        </is>
      </c>
      <c r="H59" s="12" t="inlineStr"/>
      <c r="I59" s="12" t="inlineStr"/>
      <c r="J59" s="13" t="inlineStr"/>
      <c r="K59" s="12" t="inlineStr"/>
      <c r="L59" s="12" t="inlineStr"/>
      <c r="M59" s="12" t="inlineStr"/>
      <c r="N59" s="12" t="inlineStr"/>
      <c r="O59" s="13" t="inlineStr"/>
      <c r="P59" s="12" t="inlineStr"/>
      <c r="Q59" s="12" t="inlineStr"/>
      <c r="R59" s="11" t="inlineStr">
        <is>
          <t>2026-10-15</t>
        </is>
      </c>
      <c r="S59" s="11" t="inlineStr">
        <is>
          <t>yes</t>
        </is>
      </c>
    </row>
    <row r="60">
      <c r="A60" s="11" t="inlineStr">
        <is>
          <t>L2-039</t>
        </is>
      </c>
      <c r="B60" s="11" t="inlineStr">
        <is>
          <t>candidate</t>
        </is>
      </c>
      <c r="C60" s="11" t="n">
        <v>2</v>
      </c>
      <c r="D60" s="2" t="inlineStr">
        <is>
          <t>V. Surendra Mohan v. State of Tamil Nadu (2019)</t>
        </is>
      </c>
      <c r="E60" s="2" t="inlineStr">
        <is>
          <t>Vikash Kumar v. Union Public Service Commission (2021)</t>
        </is>
      </c>
      <c r="F60" s="2" t="inlineStr">
        <is>
          <t>not_binding: the Mohan judgment stands on a legally vulnerable footing. It would not be a binding precedent, after enforcement of the RPwD Act 2016 | scope: after the RPwD Act 2016, as a decision under the 1995 Act without a reasonable-accommodation analysis | checked by Claude (B)</t>
        </is>
      </c>
      <c r="G60" s="2" t="inlineStr">
        <is>
          <t>Confirm, change the treatment, reject, or keep (the answer says 'reported, not yet confirmed' until you confirm).</t>
        </is>
      </c>
      <c r="H60" s="12" t="inlineStr"/>
      <c r="I60" s="12" t="inlineStr"/>
      <c r="J60" s="13" t="inlineStr"/>
      <c r="K60" s="12" t="inlineStr"/>
      <c r="L60" s="12" t="inlineStr"/>
      <c r="M60" s="12" t="inlineStr"/>
      <c r="N60" s="12" t="inlineStr"/>
      <c r="O60" s="13" t="inlineStr"/>
      <c r="P60" s="12" t="inlineStr"/>
      <c r="Q60" s="12" t="inlineStr"/>
      <c r="R60" s="11" t="inlineStr">
        <is>
          <t>2026-10-15</t>
        </is>
      </c>
      <c r="S60" s="11" t="inlineStr">
        <is>
          <t>yes</t>
        </is>
      </c>
    </row>
    <row r="61">
      <c r="A61" s="11" t="inlineStr">
        <is>
          <t>L2-040</t>
        </is>
      </c>
      <c r="B61" s="11" t="inlineStr">
        <is>
          <t>candidate</t>
        </is>
      </c>
      <c r="C61" s="11" t="n">
        <v>2</v>
      </c>
      <c r="D61" s="2" t="inlineStr">
        <is>
          <t>M/s N.V. International v. State of Assam (2020)</t>
        </is>
      </c>
      <c r="E61" s="2" t="inlineStr">
        <is>
          <t>Government of Maharashtra v. Borse Brothers Engineers &amp; Contractors (2021)</t>
        </is>
      </c>
      <c r="F61" s="2" t="inlineStr">
        <is>
          <t>overruled: N.V. International has been wrongly decided and is therefore overruled | scope: the rule that delay beyond 120 days cannot be condoned in a section 37 appeal | checked by Claude (B)</t>
        </is>
      </c>
      <c r="G61" s="2" t="inlineStr">
        <is>
          <t>Confirm, change the treatment, reject, or keep (the answer says 'reported, not yet confirmed' until you confirm).</t>
        </is>
      </c>
      <c r="H61" s="12" t="inlineStr"/>
      <c r="I61" s="12" t="inlineStr"/>
      <c r="J61" s="13" t="inlineStr"/>
      <c r="K61" s="12" t="inlineStr"/>
      <c r="L61" s="12" t="inlineStr"/>
      <c r="M61" s="12" t="inlineStr"/>
      <c r="N61" s="12" t="inlineStr"/>
      <c r="O61" s="13" t="inlineStr"/>
      <c r="P61" s="12" t="inlineStr"/>
      <c r="Q61" s="12" t="inlineStr"/>
      <c r="R61" s="11" t="inlineStr">
        <is>
          <t>2026-10-15</t>
        </is>
      </c>
      <c r="S61" s="11" t="inlineStr">
        <is>
          <t>yes</t>
        </is>
      </c>
    </row>
    <row r="62">
      <c r="A62" s="11" t="inlineStr">
        <is>
          <t>L2-041</t>
        </is>
      </c>
      <c r="B62" s="11" t="inlineStr">
        <is>
          <t>candidate</t>
        </is>
      </c>
      <c r="C62" s="11" t="n">
        <v>2</v>
      </c>
      <c r="D62" s="2" t="inlineStr">
        <is>
          <t>Pune Municipal Corporation v. Harakchand Misirimal Solanki (2014)</t>
        </is>
      </c>
      <c r="E62" s="2" t="inlineStr">
        <is>
          <t>Indore Development Authority v. Manoharlal (2020)</t>
        </is>
      </c>
      <c r="F62" s="2" t="inlineStr">
        <is>
          <t>overruled: the decision rendered in Pune Municipal Corpn. is hereby overruled and all other decisions in which [it] has been followed, are also overruled | scope: the reading of section 24(2) of the 2013 Act on lapse of acquisition | checked by Claude (B)</t>
        </is>
      </c>
      <c r="G62" s="2" t="inlineStr">
        <is>
          <t>Confirm, change the treatment, reject, or keep (the answer says 'reported, not yet confirmed' until you confirm).</t>
        </is>
      </c>
      <c r="H62" s="12" t="inlineStr"/>
      <c r="I62" s="12" t="inlineStr"/>
      <c r="J62" s="13" t="inlineStr"/>
      <c r="K62" s="12" t="inlineStr"/>
      <c r="L62" s="12" t="inlineStr"/>
      <c r="M62" s="12" t="inlineStr"/>
      <c r="N62" s="12" t="inlineStr"/>
      <c r="O62" s="13" t="inlineStr"/>
      <c r="P62" s="12" t="inlineStr"/>
      <c r="Q62" s="12" t="inlineStr"/>
      <c r="R62" s="11" t="inlineStr">
        <is>
          <t>2026-10-15</t>
        </is>
      </c>
      <c r="S62" s="11" t="inlineStr"/>
    </row>
    <row r="63">
      <c r="A63" s="11" t="inlineStr">
        <is>
          <t>L2-042</t>
        </is>
      </c>
      <c r="B63" s="11" t="inlineStr">
        <is>
          <t>candidate</t>
        </is>
      </c>
      <c r="C63" s="11" t="n">
        <v>2</v>
      </c>
      <c r="D63" s="2" t="inlineStr">
        <is>
          <t>Sree Balaji Nagar Residential Association v. State of Tamil Nadu (2015)</t>
        </is>
      </c>
      <c r="E63" s="2" t="inlineStr">
        <is>
          <t>Indore Development Authority v. Manoharlal (2020)</t>
        </is>
      </c>
      <c r="F63" s="2" t="inlineStr">
        <is>
          <t>overruled: The decision in Shree Balaji Nagar Residential Association cannot be said to be laying down good law, is overruled | scope: the reading of section 24(2) of the 2013 Act on lapse of acquisition | checked by Claude (B)</t>
        </is>
      </c>
      <c r="G63" s="2" t="inlineStr">
        <is>
          <t>Confirm, change the treatment, reject, or keep (the answer says 'reported, not yet confirmed' until you confirm).</t>
        </is>
      </c>
      <c r="H63" s="12" t="inlineStr"/>
      <c r="I63" s="12" t="inlineStr"/>
      <c r="J63" s="13" t="inlineStr"/>
      <c r="K63" s="12" t="inlineStr"/>
      <c r="L63" s="12" t="inlineStr"/>
      <c r="M63" s="12" t="inlineStr"/>
      <c r="N63" s="12" t="inlineStr"/>
      <c r="O63" s="13" t="inlineStr"/>
      <c r="P63" s="12" t="inlineStr"/>
      <c r="Q63" s="12" t="inlineStr"/>
      <c r="R63" s="11" t="inlineStr">
        <is>
          <t>2026-10-15</t>
        </is>
      </c>
      <c r="S63" s="11" t="inlineStr"/>
    </row>
    <row r="64">
      <c r="A64" s="11" t="inlineStr">
        <is>
          <t>L2-043</t>
        </is>
      </c>
      <c r="B64" s="11" t="inlineStr">
        <is>
          <t>unchecked</t>
        </is>
      </c>
      <c r="C64" s="11" t="n">
        <v>2</v>
      </c>
      <c r="D64" s="2" t="inlineStr">
        <is>
          <t>Union of India v. Major General Shri Kant Sharma (2015)</t>
        </is>
      </c>
      <c r="E64" s="2" t="inlineStr">
        <is>
          <t>Union of India v. Parshotam Dass (2023)</t>
        </is>
      </c>
      <c r="F64" s="2" t="inlineStr">
        <is>
          <t>named by the outside list; the later judgment is not in our text</t>
        </is>
      </c>
      <c r="G64" s="2" t="inlineStr">
        <is>
          <t>Confirm from the judgment, reject, or keep.</t>
        </is>
      </c>
      <c r="H64" s="12" t="inlineStr"/>
      <c r="I64" s="12" t="inlineStr"/>
      <c r="J64" s="13" t="inlineStr"/>
      <c r="K64" s="12" t="inlineStr"/>
      <c r="L64" s="12" t="inlineStr"/>
      <c r="M64" s="12" t="inlineStr"/>
      <c r="N64" s="12" t="inlineStr"/>
      <c r="O64" s="13" t="inlineStr"/>
      <c r="P64" s="12" t="inlineStr"/>
      <c r="Q64" s="12" t="inlineStr"/>
      <c r="R64" s="11" t="inlineStr">
        <is>
          <t>2026-10-15</t>
        </is>
      </c>
      <c r="S64" s="11" t="inlineStr"/>
    </row>
    <row r="65">
      <c r="A65" s="11" t="inlineStr">
        <is>
          <t>L2-044</t>
        </is>
      </c>
      <c r="B65" s="11" t="inlineStr">
        <is>
          <t>candidate</t>
        </is>
      </c>
      <c r="C65" s="11" t="n">
        <v>2</v>
      </c>
      <c r="D65" s="2" t="inlineStr">
        <is>
          <t>Arup Bhuyan v. State of Assam (2011)</t>
        </is>
      </c>
      <c r="E65" s="2" t="inlineStr">
        <is>
          <t>Arup Bhuyan v. State of Assam (2023)</t>
        </is>
      </c>
      <c r="F65" s="2" t="inlineStr">
        <is>
          <t>not_good_law: held not good law (the report's tag) | scope: mere membership of a banned organisation (section 10(a)(i) UAPA) | checked by Claude (H)</t>
        </is>
      </c>
      <c r="G65" s="2" t="inlineStr">
        <is>
          <t>Confirm, change the treatment, reject, or keep (the answer says 'reported, not yet confirmed' until you confirm).</t>
        </is>
      </c>
      <c r="H65" s="12" t="inlineStr"/>
      <c r="I65" s="12" t="inlineStr"/>
      <c r="J65" s="13" t="inlineStr"/>
      <c r="K65" s="12" t="inlineStr"/>
      <c r="L65" s="12" t="inlineStr"/>
      <c r="M65" s="12" t="inlineStr"/>
      <c r="N65" s="12" t="inlineStr"/>
      <c r="O65" s="13" t="inlineStr"/>
      <c r="P65" s="12" t="inlineStr"/>
      <c r="Q65" s="12" t="inlineStr"/>
      <c r="R65" s="11" t="inlineStr">
        <is>
          <t>2026-10-15</t>
        </is>
      </c>
      <c r="S65" s="11" t="inlineStr"/>
    </row>
    <row r="66">
      <c r="A66" s="11" t="inlineStr">
        <is>
          <t>L2-045</t>
        </is>
      </c>
      <c r="B66" s="11" t="inlineStr">
        <is>
          <t>candidate</t>
        </is>
      </c>
      <c r="C66" s="11" t="n">
        <v>2</v>
      </c>
      <c r="D66" s="2" t="inlineStr">
        <is>
          <t>Indra Das v. State of Assam (2011)</t>
        </is>
      </c>
      <c r="E66" s="2" t="inlineStr">
        <is>
          <t>Arup Bhuyan v. State of Assam (2023)</t>
        </is>
      </c>
      <c r="F66" s="2" t="inlineStr">
        <is>
          <t>not_good_law: held not good law | scope: mere membership of a banned organisation (section 10(a)(i) UAPA) | checked by Claude (H)</t>
        </is>
      </c>
      <c r="G66" s="2" t="inlineStr">
        <is>
          <t>Confirm, change the treatment, reject, or keep (the answer says 'reported, not yet confirmed' until you confirm).</t>
        </is>
      </c>
      <c r="H66" s="12" t="inlineStr"/>
      <c r="I66" s="12" t="inlineStr"/>
      <c r="J66" s="13" t="inlineStr"/>
      <c r="K66" s="12" t="inlineStr"/>
      <c r="L66" s="12" t="inlineStr"/>
      <c r="M66" s="12" t="inlineStr"/>
      <c r="N66" s="12" t="inlineStr"/>
      <c r="O66" s="13" t="inlineStr"/>
      <c r="P66" s="12" t="inlineStr"/>
      <c r="Q66" s="12" t="inlineStr"/>
      <c r="R66" s="11" t="inlineStr">
        <is>
          <t>2026-10-15</t>
        </is>
      </c>
      <c r="S66" s="11" t="inlineStr"/>
    </row>
    <row r="67">
      <c r="A67" s="11" t="inlineStr">
        <is>
          <t>L2-046</t>
        </is>
      </c>
      <c r="B67" s="11" t="inlineStr">
        <is>
          <t>candidate</t>
        </is>
      </c>
      <c r="C67" s="11" t="n">
        <v>2</v>
      </c>
      <c r="D67" s="2" t="inlineStr">
        <is>
          <t>State of Kerala v. Raneef (2011)</t>
        </is>
      </c>
      <c r="E67" s="2" t="inlineStr">
        <is>
          <t>Arup Bhuyan v. State of Assam (2023)</t>
        </is>
      </c>
      <c r="F67" s="2" t="inlineStr">
        <is>
          <t>not_good_law: held not good law | scope: mere membership of a banned organisation (section 10(a)(i) UAPA) | checked by Claude (H)</t>
        </is>
      </c>
      <c r="G67" s="2" t="inlineStr">
        <is>
          <t>Confirm, change the treatment, reject, or keep (the answer says 'reported, not yet confirmed' until you confirm).</t>
        </is>
      </c>
      <c r="H67" s="12" t="inlineStr"/>
      <c r="I67" s="12" t="inlineStr"/>
      <c r="J67" s="13" t="inlineStr"/>
      <c r="K67" s="12" t="inlineStr"/>
      <c r="L67" s="12" t="inlineStr"/>
      <c r="M67" s="12" t="inlineStr"/>
      <c r="N67" s="12" t="inlineStr"/>
      <c r="O67" s="13" t="inlineStr"/>
      <c r="P67" s="12" t="inlineStr"/>
      <c r="Q67" s="12" t="inlineStr"/>
      <c r="R67" s="11" t="inlineStr">
        <is>
          <t>2026-10-15</t>
        </is>
      </c>
      <c r="S67" s="11" t="inlineStr"/>
    </row>
    <row r="68">
      <c r="A68" s="11" t="inlineStr">
        <is>
          <t>L2-047</t>
        </is>
      </c>
      <c r="B68" s="11" t="inlineStr">
        <is>
          <t>candidate</t>
        </is>
      </c>
      <c r="C68" s="11" t="n">
        <v>2</v>
      </c>
      <c r="D68" s="2" t="inlineStr">
        <is>
          <t>SRD Nutrients (P) Ltd. v. CCE (2018)</t>
        </is>
      </c>
      <c r="E68" s="2" t="inlineStr">
        <is>
          <t>Unicorn Industries v. Union of India (2019)</t>
        </is>
      </c>
      <c r="F68" s="2" t="inlineStr">
        <is>
          <t>per_incuriam: the decisions in SRD Nutrients ... and Bajaj Auto ... are clearly per incuriam | scope: the view that an exemption from excise duty also exempts education cess | checked by Claude (B)</t>
        </is>
      </c>
      <c r="G68" s="2" t="inlineStr">
        <is>
          <t>Confirm, change the treatment, reject, or keep (the answer says 'reported, not yet confirmed' until you confirm).</t>
        </is>
      </c>
      <c r="H68" s="12" t="inlineStr"/>
      <c r="I68" s="12" t="inlineStr"/>
      <c r="J68" s="13" t="inlineStr"/>
      <c r="K68" s="12" t="inlineStr"/>
      <c r="L68" s="12" t="inlineStr"/>
      <c r="M68" s="12" t="inlineStr"/>
      <c r="N68" s="12" t="inlineStr"/>
      <c r="O68" s="13" t="inlineStr"/>
      <c r="P68" s="12" t="inlineStr"/>
      <c r="Q68" s="12" t="inlineStr"/>
      <c r="R68" s="11" t="inlineStr">
        <is>
          <t>2026-10-15</t>
        </is>
      </c>
      <c r="S68" s="11" t="inlineStr"/>
    </row>
    <row r="69">
      <c r="A69" s="11" t="inlineStr">
        <is>
          <t>L2-048</t>
        </is>
      </c>
      <c r="B69" s="11" t="inlineStr">
        <is>
          <t>candidate</t>
        </is>
      </c>
      <c r="C69" s="11" t="n">
        <v>2</v>
      </c>
      <c r="D69" s="2" t="inlineStr">
        <is>
          <t>S. Azeez Basha v. Union of India (1967)</t>
        </is>
      </c>
      <c r="E69" s="2" t="inlineStr">
        <is>
          <t>Aligarh Muslim University v. Naresh Agarwal (2024)</t>
        </is>
      </c>
      <c r="F69" s="2" t="inlineStr">
        <is>
          <t>overruled: The view taken in Azeez Basha that an educational institution is not established by a minority if it derives its legal character through a statute, is overruled | scope: the view that an educational institution is not established by a minority if it derives its legal character from a statute | checked by Claude (B)</t>
        </is>
      </c>
      <c r="G69" s="2" t="inlineStr">
        <is>
          <t>Confirm, change the treatment, reject, or keep (the answer says 'reported, not yet confirmed' until you confirm).</t>
        </is>
      </c>
      <c r="H69" s="12" t="inlineStr"/>
      <c r="I69" s="12" t="inlineStr"/>
      <c r="J69" s="13" t="inlineStr"/>
      <c r="K69" s="12" t="inlineStr"/>
      <c r="L69" s="12" t="inlineStr"/>
      <c r="M69" s="12" t="inlineStr"/>
      <c r="N69" s="12" t="inlineStr"/>
      <c r="O69" s="13" t="inlineStr"/>
      <c r="P69" s="12" t="inlineStr"/>
      <c r="Q69" s="12" t="inlineStr"/>
      <c r="R69" s="11" t="inlineStr">
        <is>
          <t>2026-10-15</t>
        </is>
      </c>
      <c r="S69" s="11" t="inlineStr"/>
    </row>
    <row r="70">
      <c r="A70" s="11" t="inlineStr">
        <is>
          <t>L2-049</t>
        </is>
      </c>
      <c r="B70" s="11" t="inlineStr">
        <is>
          <t>candidate</t>
        </is>
      </c>
      <c r="C70" s="11" t="n">
        <v>2</v>
      </c>
      <c r="D70" s="2" t="inlineStr">
        <is>
          <t>E.V. Chinnaiah v. State of Andhra Pradesh (2005)</t>
        </is>
      </c>
      <c r="E70" s="2" t="inlineStr">
        <is>
          <t>State of Punjab v. Davinder Singh (2024)</t>
        </is>
      </c>
      <c r="F70" s="2" t="inlineStr">
        <is>
          <t>overruled: The holding in Chinnaiah that sub-classification of the Scheduled Castes is impermissible is overruled | scope: the holding that sub-classification of the Scheduled Castes is impermissible | checked by Claude (B)</t>
        </is>
      </c>
      <c r="G70" s="2" t="inlineStr">
        <is>
          <t>Confirm, change the treatment, reject, or keep (the answer says 'reported, not yet confirmed' until you confirm).</t>
        </is>
      </c>
      <c r="H70" s="12" t="inlineStr"/>
      <c r="I70" s="12" t="inlineStr"/>
      <c r="J70" s="13" t="inlineStr"/>
      <c r="K70" s="12" t="inlineStr"/>
      <c r="L70" s="12" t="inlineStr"/>
      <c r="M70" s="12" t="inlineStr"/>
      <c r="N70" s="12" t="inlineStr"/>
      <c r="O70" s="13" t="inlineStr"/>
      <c r="P70" s="12" t="inlineStr"/>
      <c r="Q70" s="12" t="inlineStr"/>
      <c r="R70" s="11" t="inlineStr">
        <is>
          <t>2026-10-15</t>
        </is>
      </c>
      <c r="S70" s="11" t="inlineStr"/>
    </row>
    <row r="71">
      <c r="A71" s="11" t="inlineStr">
        <is>
          <t>L2-050</t>
        </is>
      </c>
      <c r="B71" s="11" t="inlineStr">
        <is>
          <t>candidate</t>
        </is>
      </c>
      <c r="C71" s="11" t="n">
        <v>2</v>
      </c>
      <c r="D71" s="2" t="inlineStr">
        <is>
          <t>India Cement Ltd. v. State of Tamil Nadu (1990)</t>
        </is>
      </c>
      <c r="E71" s="2" t="inlineStr">
        <is>
          <t>Mineral Area Development Authority v. Steel Authority of India (2024)</t>
        </is>
      </c>
      <c r="F71" s="2" t="inlineStr">
        <is>
          <t>overruled_in_part: The decisions in India Cement, Orissa Cement, Federation of Mining Associations of Rajasthan, Mahalaxmi Fabric Mills, Saurashtra Cement, Mahanadi Coalfields and P Kannadasan are overruled to the extent of the observations made in the present case | scope: to the extent of the observations made in the present case; India Cement had held royalty to be a tax | checked by Claude (B)</t>
        </is>
      </c>
      <c r="G71" s="2" t="inlineStr">
        <is>
          <t>Confirm, change the treatment, reject, or keep (the answer says 'reported, not yet confirmed' until you confirm).</t>
        </is>
      </c>
      <c r="H71" s="12" t="inlineStr"/>
      <c r="I71" s="12" t="inlineStr"/>
      <c r="J71" s="13" t="inlineStr"/>
      <c r="K71" s="12" t="inlineStr"/>
      <c r="L71" s="12" t="inlineStr"/>
      <c r="M71" s="12" t="inlineStr"/>
      <c r="N71" s="12" t="inlineStr"/>
      <c r="O71" s="13" t="inlineStr"/>
      <c r="P71" s="12" t="inlineStr"/>
      <c r="Q71" s="12" t="inlineStr"/>
      <c r="R71" s="11" t="inlineStr">
        <is>
          <t>2026-10-15</t>
        </is>
      </c>
      <c r="S71" s="11" t="inlineStr"/>
    </row>
    <row r="72">
      <c r="A72" s="11" t="inlineStr">
        <is>
          <t>L2-051</t>
        </is>
      </c>
      <c r="B72" s="11" t="inlineStr">
        <is>
          <t>candidate</t>
        </is>
      </c>
      <c r="C72" s="11" t="n">
        <v>2</v>
      </c>
      <c r="D72" s="2" t="inlineStr">
        <is>
          <t>Synthetics &amp; Chemicals Ltd. v. State of U.P. (1990)</t>
        </is>
      </c>
      <c r="E72" s="2" t="inlineStr">
        <is>
          <t>State of U.P. v. Lalta Prasad Vaish &amp; Sons (2024)</t>
        </is>
      </c>
      <c r="F72" s="2" t="inlineStr">
        <is>
          <t>overruled: The judgment in Synthetics (7J) is overruled in terms of this judgment | scope:  | checked by Claude (B)</t>
        </is>
      </c>
      <c r="G72" s="2" t="inlineStr">
        <is>
          <t>Confirm, change the treatment, reject, or keep (the answer says 'reported, not yet confirmed' until you confirm).</t>
        </is>
      </c>
      <c r="H72" s="12" t="inlineStr"/>
      <c r="I72" s="12" t="inlineStr"/>
      <c r="J72" s="13" t="inlineStr"/>
      <c r="K72" s="12" t="inlineStr"/>
      <c r="L72" s="12" t="inlineStr"/>
      <c r="M72" s="12" t="inlineStr"/>
      <c r="N72" s="12" t="inlineStr"/>
      <c r="O72" s="13" t="inlineStr"/>
      <c r="P72" s="12" t="inlineStr"/>
      <c r="Q72" s="12" t="inlineStr"/>
      <c r="R72" s="11" t="inlineStr">
        <is>
          <t>2026-10-15</t>
        </is>
      </c>
      <c r="S72" s="11" t="inlineStr"/>
    </row>
    <row r="73">
      <c r="A73" s="11" t="inlineStr">
        <is>
          <t>L2-052</t>
        </is>
      </c>
      <c r="B73" s="11" t="inlineStr">
        <is>
          <t>candidate</t>
        </is>
      </c>
      <c r="C73" s="11" t="n">
        <v>2</v>
      </c>
      <c r="D73" s="2" t="inlineStr">
        <is>
          <t>Asian Resurfacing of Road Agency Pvt. Ltd. v. CBI (2018)</t>
        </is>
      </c>
      <c r="E73" s="2" t="inlineStr">
        <is>
          <t>High Court Bar Association, Allahabad v. State of U.P. (2024)</t>
        </is>
      </c>
      <c r="F73" s="2" t="inlineStr">
        <is>
          <t>not_approved: we are unable to concur with the directions issued in paragraphs 36 and 37 ... We do not approve the direction | scope: directions in paragraphs 36 and 37 (automatic vacation of stay; day-to-day hearing); the rest of the judgment stands | checked by Claude (B)</t>
        </is>
      </c>
      <c r="G73" s="2" t="inlineStr">
        <is>
          <t>Confirm, change the treatment, reject, or keep (the answer says 'reported, not yet confirmed' until you confirm).</t>
        </is>
      </c>
      <c r="H73" s="12" t="inlineStr"/>
      <c r="I73" s="12" t="inlineStr"/>
      <c r="J73" s="13" t="inlineStr"/>
      <c r="K73" s="12" t="inlineStr"/>
      <c r="L73" s="12" t="inlineStr"/>
      <c r="M73" s="12" t="inlineStr"/>
      <c r="N73" s="12" t="inlineStr"/>
      <c r="O73" s="13" t="inlineStr"/>
      <c r="P73" s="12" t="inlineStr"/>
      <c r="Q73" s="12" t="inlineStr"/>
      <c r="R73" s="11" t="inlineStr">
        <is>
          <t>2026-10-15</t>
        </is>
      </c>
      <c r="S73" s="11" t="inlineStr"/>
    </row>
    <row r="74">
      <c r="A74" s="11" t="inlineStr">
        <is>
          <t>L2-053</t>
        </is>
      </c>
      <c r="B74" s="11" t="inlineStr">
        <is>
          <t>candidate</t>
        </is>
      </c>
      <c r="C74" s="11" t="n">
        <v>2</v>
      </c>
      <c r="D74" s="2" t="inlineStr">
        <is>
          <t>New India Assurance Co. Ltd. v. Prabhu Lal (2008)</t>
        </is>
      </c>
      <c r="E74" s="2" t="inlineStr">
        <is>
          <t>Bajaj Allianz General Insurance Co. Ltd. v. Rambha Devi (2024)</t>
        </is>
      </c>
      <c r="F74" s="2" t="inlineStr">
        <is>
          <t>overruled: the three judgments which concluded otherwise i.e. Prabhu Lal, Roshanben Rahemansha Fakir and Angad Kol are overruled | scope: the view that a light motor vehicle licence holder needs a separate endorsement to drive a transport vehicle | checked by Claude (B)</t>
        </is>
      </c>
      <c r="G74" s="2" t="inlineStr">
        <is>
          <t>Confirm, change the treatment, reject, or keep (the answer says 'reported, not yet confirmed' until you confirm).</t>
        </is>
      </c>
      <c r="H74" s="12" t="inlineStr"/>
      <c r="I74" s="12" t="inlineStr"/>
      <c r="J74" s="13" t="inlineStr"/>
      <c r="K74" s="12" t="inlineStr"/>
      <c r="L74" s="12" t="inlineStr"/>
      <c r="M74" s="12" t="inlineStr"/>
      <c r="N74" s="12" t="inlineStr"/>
      <c r="O74" s="13" t="inlineStr"/>
      <c r="P74" s="12" t="inlineStr"/>
      <c r="Q74" s="12" t="inlineStr"/>
      <c r="R74" s="11" t="inlineStr">
        <is>
          <t>2026-10-15</t>
        </is>
      </c>
      <c r="S74" s="11" t="inlineStr"/>
    </row>
    <row r="75">
      <c r="A75" s="11" t="inlineStr">
        <is>
          <t>L2-054</t>
        </is>
      </c>
      <c r="B75" s="11" t="inlineStr">
        <is>
          <t>candidate</t>
        </is>
      </c>
      <c r="C75" s="11" t="n">
        <v>2</v>
      </c>
      <c r="D75" s="2" t="inlineStr">
        <is>
          <t>New India Assurance Co. Ltd. v. Roshanben Rahemansha Fakir (2008)</t>
        </is>
      </c>
      <c r="E75" s="2" t="inlineStr">
        <is>
          <t>Bajaj Allianz General Insurance Co. Ltd. v. Rambha Devi (2024)</t>
        </is>
      </c>
      <c r="F75" s="2" t="inlineStr">
        <is>
          <t>overruled: same sentence as row 53 | scope: the view that a light motor vehicle licence holder needs a separate endorsement to drive a transport vehicle | checked by Claude (B)</t>
        </is>
      </c>
      <c r="G75" s="2" t="inlineStr">
        <is>
          <t>Confirm, change the treatment, reject, or keep (the answer says 'reported, not yet confirmed' until you confirm).</t>
        </is>
      </c>
      <c r="H75" s="12" t="inlineStr"/>
      <c r="I75" s="12" t="inlineStr"/>
      <c r="J75" s="13" t="inlineStr"/>
      <c r="K75" s="12" t="inlineStr"/>
      <c r="L75" s="12" t="inlineStr"/>
      <c r="M75" s="12" t="inlineStr"/>
      <c r="N75" s="12" t="inlineStr"/>
      <c r="O75" s="13" t="inlineStr"/>
      <c r="P75" s="12" t="inlineStr"/>
      <c r="Q75" s="12" t="inlineStr"/>
      <c r="R75" s="11" t="inlineStr">
        <is>
          <t>2026-10-15</t>
        </is>
      </c>
      <c r="S75" s="11" t="inlineStr"/>
    </row>
    <row r="76">
      <c r="A76" s="11" t="inlineStr">
        <is>
          <t>L2-055</t>
        </is>
      </c>
      <c r="B76" s="11" t="inlineStr">
        <is>
          <t>candidate</t>
        </is>
      </c>
      <c r="C76" s="11" t="n">
        <v>2</v>
      </c>
      <c r="D76" s="2" t="inlineStr">
        <is>
          <t>Oriental Insurance Co. Ltd. v. Angad Kol (2009)</t>
        </is>
      </c>
      <c r="E76" s="2" t="inlineStr">
        <is>
          <t>Bajaj Allianz General Insurance Co. Ltd. v. Rambha Devi (2024)</t>
        </is>
      </c>
      <c r="F76" s="2" t="inlineStr">
        <is>
          <t>overruled: same sentence as row 53 | scope: the view that a light motor vehicle licence holder needs a separate endorsement to drive a transport vehicle | checked by Claude (B)</t>
        </is>
      </c>
      <c r="G76" s="2" t="inlineStr">
        <is>
          <t>Confirm, change the treatment, reject, or keep (the answer says 'reported, not yet confirmed' until you confirm).</t>
        </is>
      </c>
      <c r="H76" s="12" t="inlineStr"/>
      <c r="I76" s="12" t="inlineStr"/>
      <c r="J76" s="13" t="inlineStr"/>
      <c r="K76" s="12" t="inlineStr"/>
      <c r="L76" s="12" t="inlineStr"/>
      <c r="M76" s="12" t="inlineStr"/>
      <c r="N76" s="12" t="inlineStr"/>
      <c r="O76" s="13" t="inlineStr"/>
      <c r="P76" s="12" t="inlineStr"/>
      <c r="Q76" s="12" t="inlineStr"/>
      <c r="R76" s="11" t="inlineStr">
        <is>
          <t>2026-10-15</t>
        </is>
      </c>
      <c r="S76" s="11" t="inlineStr"/>
    </row>
    <row r="77">
      <c r="A77" s="11" t="inlineStr">
        <is>
          <t>L2-056</t>
        </is>
      </c>
      <c r="B77" s="11" t="inlineStr">
        <is>
          <t>candidate</t>
        </is>
      </c>
      <c r="C77" s="11" t="n">
        <v>2</v>
      </c>
      <c r="D77" s="2" t="inlineStr">
        <is>
          <t>National Insurance Co. Ltd. v. Annappa Irappa Nesaria (2008)</t>
        </is>
      </c>
      <c r="E77" s="2" t="inlineStr">
        <is>
          <t>Bajaj Allianz General Insurance Co. Ltd. v. Rambha Devi (2024)</t>
        </is>
      </c>
      <c r="F77" s="2" t="inlineStr">
        <is>
          <t>overruled_in_part: We therefore partially overrule the decision in Annappa Irappa Nesaria for the view taken w.r.t the post-1994 amendment position | scope: the view taken on the position after the 1994 amendment | checked by Claude (B)</t>
        </is>
      </c>
      <c r="G77" s="2" t="inlineStr">
        <is>
          <t>Confirm, change the treatment, reject, or keep (the answer says 'reported, not yet confirmed' until you confirm).</t>
        </is>
      </c>
      <c r="H77" s="12" t="inlineStr"/>
      <c r="I77" s="12" t="inlineStr"/>
      <c r="J77" s="13" t="inlineStr"/>
      <c r="K77" s="12" t="inlineStr"/>
      <c r="L77" s="12" t="inlineStr"/>
      <c r="M77" s="12" t="inlineStr"/>
      <c r="N77" s="12" t="inlineStr"/>
      <c r="O77" s="13" t="inlineStr"/>
      <c r="P77" s="12" t="inlineStr"/>
      <c r="Q77" s="12" t="inlineStr"/>
      <c r="R77" s="11" t="inlineStr">
        <is>
          <t>2026-10-15</t>
        </is>
      </c>
      <c r="S77" s="11" t="inlineStr"/>
    </row>
    <row r="78">
      <c r="A78" s="11" t="inlineStr">
        <is>
          <t>L2-057</t>
        </is>
      </c>
      <c r="B78" s="11" t="inlineStr">
        <is>
          <t>candidate</t>
        </is>
      </c>
      <c r="C78" s="11" t="n">
        <v>2</v>
      </c>
      <c r="D78" s="2" t="inlineStr">
        <is>
          <t>N.N. Global Mercantile Pvt. Ltd. v. Indo Unique Flame Ltd. (2021)</t>
        </is>
      </c>
      <c r="E78" s="2" t="inlineStr">
        <is>
          <t>N.N. Global Mercantile Pvt. Ltd. v. Indo Unique Flame Ltd. (2023)</t>
        </is>
      </c>
      <c r="F78" s="2" t="inlineStr">
        <is>
          <t>overruled: [2023, 5 judges] N.N. Global (2021) 4 SCC 379 - overruled (majority); [7 judges, 13 Dec 2023] The decision in NN Global 2 and SMS Tea Estates are overruled | scope: arbitration agreement in an unstamped instrument | checked by Claude (B) | the overruling decision was itself later: overruled by In re: Interplay between Arbitration Agreements under the Arbitration and Conciliation Act 1996 and the Indian Stamp Act 1899 (2023)</t>
        </is>
      </c>
      <c r="G78" s="2" t="inlineStr">
        <is>
          <t>Confirm, change the treatment, reject, or keep (the answer says 'reported, not yet confirmed' until you confirm).</t>
        </is>
      </c>
      <c r="H78" s="12" t="inlineStr"/>
      <c r="I78" s="12" t="inlineStr"/>
      <c r="J78" s="13" t="inlineStr"/>
      <c r="K78" s="12" t="inlineStr"/>
      <c r="L78" s="12" t="inlineStr"/>
      <c r="M78" s="12" t="inlineStr"/>
      <c r="N78" s="12" t="inlineStr"/>
      <c r="O78" s="13" t="inlineStr"/>
      <c r="P78" s="12" t="inlineStr"/>
      <c r="Q78" s="12" t="inlineStr"/>
      <c r="R78" s="11" t="inlineStr">
        <is>
          <t>2026-10-15</t>
        </is>
      </c>
      <c r="S78" s="11" t="inlineStr"/>
    </row>
    <row r="79">
      <c r="A79" s="11" t="inlineStr">
        <is>
          <t>L2-058</t>
        </is>
      </c>
      <c r="B79" s="11" t="inlineStr">
        <is>
          <t>candidate</t>
        </is>
      </c>
      <c r="C79" s="11" t="n">
        <v>2</v>
      </c>
      <c r="D79" s="2" t="inlineStr">
        <is>
          <t>State of Gujarat v. Choodamani Parmeshwaran Iyer (2023)</t>
        </is>
      </c>
      <c r="E79" s="2" t="inlineStr">
        <is>
          <t>Radhika Agarwal v. Union of India (2025)</t>
        </is>
      </c>
      <c r="F79" s="2" t="inlineStr">
        <is>
          <t>not_binding: Some decisions of this Court in the context of GST Acts which are contrary to the aforesaid ratio should not be treated as binding | scope: GST decisions contrary to the anticipatory-bail ratio of Sushila Aggarwal | checked by Claude (B)</t>
        </is>
      </c>
      <c r="G79" s="2" t="inlineStr">
        <is>
          <t>Confirm, change the treatment, reject, or keep (the answer says 'reported, not yet confirmed' until you confirm).</t>
        </is>
      </c>
      <c r="H79" s="12" t="inlineStr"/>
      <c r="I79" s="12" t="inlineStr"/>
      <c r="J79" s="13" t="inlineStr"/>
      <c r="K79" s="12" t="inlineStr"/>
      <c r="L79" s="12" t="inlineStr"/>
      <c r="M79" s="12" t="inlineStr"/>
      <c r="N79" s="12" t="inlineStr"/>
      <c r="O79" s="13" t="inlineStr"/>
      <c r="P79" s="12" t="inlineStr"/>
      <c r="Q79" s="12" t="inlineStr"/>
      <c r="R79" s="11" t="inlineStr">
        <is>
          <t>2026-10-15</t>
        </is>
      </c>
      <c r="S79" s="11" t="inlineStr"/>
    </row>
    <row r="80">
      <c r="A80" s="11" t="inlineStr">
        <is>
          <t>L2-059</t>
        </is>
      </c>
      <c r="B80" s="11" t="inlineStr">
        <is>
          <t>candidate</t>
        </is>
      </c>
      <c r="C80" s="11" t="n">
        <v>2</v>
      </c>
      <c r="D80" s="2" t="inlineStr">
        <is>
          <t>Bharat Bhushan v. Director General of GST Intelligence (2024)</t>
        </is>
      </c>
      <c r="E80" s="2" t="inlineStr">
        <is>
          <t>Radhika Agarwal v. Union of India (2025)</t>
        </is>
      </c>
      <c r="F80" s="2" t="inlineStr">
        <is>
          <t>not_binding: same sentence as row 58 | scope: GST decisions contrary to the anticipatory-bail ratio of Sushila Aggarwal; an SLP order (SLP (Crl.) No. 8525/2024) | checked by Claude (B)</t>
        </is>
      </c>
      <c r="G80" s="2" t="inlineStr">
        <is>
          <t>Confirm, change the treatment, reject, or keep (the answer says 'reported, not yet confirmed' until you confirm).</t>
        </is>
      </c>
      <c r="H80" s="12" t="inlineStr"/>
      <c r="I80" s="12" t="inlineStr"/>
      <c r="J80" s="13" t="inlineStr"/>
      <c r="K80" s="12" t="inlineStr"/>
      <c r="L80" s="12" t="inlineStr"/>
      <c r="M80" s="12" t="inlineStr"/>
      <c r="N80" s="12" t="inlineStr"/>
      <c r="O80" s="13" t="inlineStr"/>
      <c r="P80" s="12" t="inlineStr"/>
      <c r="Q80" s="12" t="inlineStr"/>
      <c r="R80" s="11" t="inlineStr">
        <is>
          <t>2026-10-15</t>
        </is>
      </c>
      <c r="S80" s="11" t="inlineStr"/>
    </row>
    <row r="81">
      <c r="A81" s="11" t="inlineStr">
        <is>
          <t>L1-0057</t>
        </is>
      </c>
      <c r="B81" s="11" t="inlineStr">
        <is>
          <t>chain</t>
        </is>
      </c>
      <c r="C81" s="11" t="n">
        <v>3</v>
      </c>
      <c r="D81" s="2" t="inlineStr">
        <is>
          <t>Deoki Nandan Agarwala v. Union of India (UOI) (1988)</t>
        </is>
      </c>
      <c r="E81" s="2" t="inlineStr">
        <is>
          <t>Union of India and another v. Deoki Nandan Aggarwal (1992)</t>
        </is>
      </c>
      <c r="F81" s="2" t="inlineStr">
        <is>
          <t>The overruling decision was itself later: overruled by Union of India (UOI) and Another v. M.C. Desai and Others (1995) [L1-0469]</t>
        </is>
      </c>
      <c r="G81" s="2" t="inlineStr">
        <is>
          <t>Does the recorded status of the earlier decision still stand? (confirm = it stands; change = give the new treatment; keep = decide next week)</t>
        </is>
      </c>
      <c r="H81" s="12" t="inlineStr"/>
      <c r="I81" s="12" t="inlineStr"/>
      <c r="J81" s="13" t="inlineStr"/>
      <c r="K81" s="12" t="inlineStr"/>
      <c r="L81" s="12" t="inlineStr"/>
      <c r="M81" s="12" t="inlineStr"/>
      <c r="N81" s="12" t="inlineStr"/>
      <c r="O81" s="13" t="inlineStr"/>
      <c r="P81" s="12" t="inlineStr"/>
      <c r="Q81" s="12" t="inlineStr"/>
      <c r="R81" s="11" t="inlineStr">
        <is>
          <t>2026-10-15</t>
        </is>
      </c>
      <c r="S81" s="11" t="inlineStr"/>
    </row>
    <row r="82">
      <c r="A82" s="11" t="inlineStr">
        <is>
          <t>L1-0083</t>
        </is>
      </c>
      <c r="B82" s="11" t="inlineStr">
        <is>
          <t>chain</t>
        </is>
      </c>
      <c r="C82" s="11" t="n">
        <v>3</v>
      </c>
      <c r="D82" s="2" t="inlineStr">
        <is>
          <t>Sitalpore Colliery Concern Ltd. v. Union of India (UOI) and Others (1957)</t>
        </is>
      </c>
      <c r="E82" s="2" t="inlineStr">
        <is>
          <t>Dwarka Nath v. Income Tax Officer, Special Circle D-ward, Kanpur and Another (1966)</t>
        </is>
      </c>
      <c r="F82" s="2" t="inlineStr">
        <is>
          <t>The overruling decision was itself later: overruled by Prabodh Verma and Others v. State of Uttar Pradesh and Others (1985) [L1-0576]</t>
        </is>
      </c>
      <c r="G82" s="2" t="inlineStr">
        <is>
          <t>Does the recorded status of the earlier decision still stand? (confirm = it stands; change = give the new treatment; keep = decide next week)</t>
        </is>
      </c>
      <c r="H82" s="12" t="inlineStr"/>
      <c r="I82" s="12" t="inlineStr"/>
      <c r="J82" s="13" t="inlineStr"/>
      <c r="K82" s="12" t="inlineStr"/>
      <c r="L82" s="12" t="inlineStr"/>
      <c r="M82" s="12" t="inlineStr"/>
      <c r="N82" s="12" t="inlineStr"/>
      <c r="O82" s="13" t="inlineStr"/>
      <c r="P82" s="12" t="inlineStr"/>
      <c r="Q82" s="12" t="inlineStr"/>
      <c r="R82" s="11" t="inlineStr">
        <is>
          <t>2026-10-15</t>
        </is>
      </c>
      <c r="S82" s="11" t="inlineStr"/>
    </row>
    <row r="83">
      <c r="A83" s="11" t="inlineStr">
        <is>
          <t>L1-0137</t>
        </is>
      </c>
      <c r="B83" s="11" t="inlineStr">
        <is>
          <t>chain</t>
        </is>
      </c>
      <c r="C83" s="11" t="n">
        <v>3</v>
      </c>
      <c r="D83" s="2" t="inlineStr">
        <is>
          <t>The Workmen of Best and Crompton Industries Ltd. v. The Management of Best and Crompton Engineering Ltd., Madras-55 (1985)</t>
        </is>
      </c>
      <c r="E83" s="2" t="inlineStr">
        <is>
          <t>Dena Nath and others v. National Fertilisers Ltd. and others (1992)</t>
        </is>
      </c>
      <c r="F83" s="2" t="inlineStr">
        <is>
          <t>The overruling decision was itself later: overruled by Steel Authority of India Ltd. and Others etc. etc. v. National Union Water Front Workers and Others etc. (2001) [L1-0534]</t>
        </is>
      </c>
      <c r="G83" s="2" t="inlineStr">
        <is>
          <t>Does the recorded status of the earlier decision still stand? (confirm = it stands; change = give the new treatment; keep = decide next week)</t>
        </is>
      </c>
      <c r="H83" s="12" t="inlineStr"/>
      <c r="I83" s="12" t="inlineStr"/>
      <c r="J83" s="13" t="inlineStr"/>
      <c r="K83" s="12" t="inlineStr"/>
      <c r="L83" s="12" t="inlineStr"/>
      <c r="M83" s="12" t="inlineStr"/>
      <c r="N83" s="12" t="inlineStr"/>
      <c r="O83" s="13" t="inlineStr"/>
      <c r="P83" s="12" t="inlineStr"/>
      <c r="Q83" s="12" t="inlineStr"/>
      <c r="R83" s="11" t="inlineStr">
        <is>
          <t>2026-10-15</t>
        </is>
      </c>
      <c r="S83" s="11" t="inlineStr"/>
    </row>
    <row r="84">
      <c r="A84" s="11" t="inlineStr">
        <is>
          <t>L1-0150</t>
        </is>
      </c>
      <c r="B84" s="11" t="inlineStr">
        <is>
          <t>chain</t>
        </is>
      </c>
      <c r="C84" s="11" t="n">
        <v>3</v>
      </c>
      <c r="D84" s="2" t="inlineStr">
        <is>
          <t>Sailesh Chandra Chakraborty v. The State (1963)</t>
        </is>
      </c>
      <c r="E84" s="2" t="inlineStr">
        <is>
          <t>Ram Lal v. State of Uttar Pradesh (1979)</t>
        </is>
      </c>
      <c r="F84" s="2" t="inlineStr">
        <is>
          <t>The overruling decision was itself later: overruled by Randhir Singh Rana v. The State Being the Delhi Administration (1997) [L1-0407]</t>
        </is>
      </c>
      <c r="G84" s="2" t="inlineStr">
        <is>
          <t>Does the recorded status of the earlier decision still stand? (confirm = it stands; change = give the new treatment; keep = decide next week)</t>
        </is>
      </c>
      <c r="H84" s="12" t="inlineStr"/>
      <c r="I84" s="12" t="inlineStr"/>
      <c r="J84" s="13" t="inlineStr"/>
      <c r="K84" s="12" t="inlineStr"/>
      <c r="L84" s="12" t="inlineStr"/>
      <c r="M84" s="12" t="inlineStr"/>
      <c r="N84" s="12" t="inlineStr"/>
      <c r="O84" s="13" t="inlineStr"/>
      <c r="P84" s="12" t="inlineStr"/>
      <c r="Q84" s="12" t="inlineStr"/>
      <c r="R84" s="11" t="inlineStr">
        <is>
          <t>2026-10-15</t>
        </is>
      </c>
      <c r="S84" s="11" t="inlineStr"/>
    </row>
    <row r="85">
      <c r="A85" s="11" t="inlineStr">
        <is>
          <t>L1-0177</t>
        </is>
      </c>
      <c r="B85" s="11" t="inlineStr">
        <is>
          <t>chain</t>
        </is>
      </c>
      <c r="C85" s="11" t="n">
        <v>3</v>
      </c>
      <c r="D85" s="2" t="inlineStr">
        <is>
          <t>A.S. Shaik Fathima and Others v. Omer Cloth Store and Others (1986)</t>
        </is>
      </c>
      <c r="E85" s="2" t="inlineStr">
        <is>
          <t>P.ORR and Sons (P) Ltd. v. Associated Publishers (Madras) Limited (1990)</t>
        </is>
      </c>
      <c r="F85" s="2" t="inlineStr">
        <is>
          <t>The overruling decision was itself later: overruled by Laxmi Bai Patel v. Shyam Kumar Patel (2002) [L1-0236]</t>
        </is>
      </c>
      <c r="G85" s="2" t="inlineStr">
        <is>
          <t>Does the recorded status of the earlier decision still stand? (confirm = it stands; change = give the new treatment; keep = decide next week)</t>
        </is>
      </c>
      <c r="H85" s="12" t="inlineStr"/>
      <c r="I85" s="12" t="inlineStr"/>
      <c r="J85" s="13" t="inlineStr"/>
      <c r="K85" s="12" t="inlineStr"/>
      <c r="L85" s="12" t="inlineStr"/>
      <c r="M85" s="12" t="inlineStr"/>
      <c r="N85" s="12" t="inlineStr"/>
      <c r="O85" s="13" t="inlineStr"/>
      <c r="P85" s="12" t="inlineStr"/>
      <c r="Q85" s="12" t="inlineStr"/>
      <c r="R85" s="11" t="inlineStr">
        <is>
          <t>2026-10-15</t>
        </is>
      </c>
      <c r="S85" s="11" t="inlineStr"/>
    </row>
    <row r="86">
      <c r="A86" s="11" t="inlineStr">
        <is>
          <t>L1-0187</t>
        </is>
      </c>
      <c r="B86" s="11" t="inlineStr">
        <is>
          <t>chain</t>
        </is>
      </c>
      <c r="C86" s="11" t="n">
        <v>3</v>
      </c>
      <c r="D86" s="2" t="inlineStr">
        <is>
          <t>Kanakavali Ammal and Others v. V.S. Sundaram and Others (1984)</t>
        </is>
      </c>
      <c r="E86" s="2" t="inlineStr">
        <is>
          <t>P.ORR and Sons (P) Ltd. v. Associated Publishers (Madras) Limited (1990)</t>
        </is>
      </c>
      <c r="F86" s="2" t="inlineStr">
        <is>
          <t>The overruling decision was itself later: overruled by Laxmi Bai Patel v. Shyam Kumar Patel (2002) [L1-0236]</t>
        </is>
      </c>
      <c r="G86" s="2" t="inlineStr">
        <is>
          <t>Does the recorded status of the earlier decision still stand? (confirm = it stands; change = give the new treatment; keep = decide next week)</t>
        </is>
      </c>
      <c r="H86" s="12" t="inlineStr"/>
      <c r="I86" s="12" t="inlineStr"/>
      <c r="J86" s="13" t="inlineStr"/>
      <c r="K86" s="12" t="inlineStr"/>
      <c r="L86" s="12" t="inlineStr"/>
      <c r="M86" s="12" t="inlineStr"/>
      <c r="N86" s="12" t="inlineStr"/>
      <c r="O86" s="13" t="inlineStr"/>
      <c r="P86" s="12" t="inlineStr"/>
      <c r="Q86" s="12" t="inlineStr"/>
      <c r="R86" s="11" t="inlineStr">
        <is>
          <t>2026-10-15</t>
        </is>
      </c>
      <c r="S86" s="11" t="inlineStr"/>
    </row>
    <row r="87">
      <c r="A87" s="11" t="inlineStr">
        <is>
          <t>L1-0215</t>
        </is>
      </c>
      <c r="B87" s="11" t="inlineStr">
        <is>
          <t>chain</t>
        </is>
      </c>
      <c r="C87" s="11" t="n">
        <v>3</v>
      </c>
      <c r="D87" s="2" t="inlineStr">
        <is>
          <t>Sugan Chand Suraogi v. The Commissioner of Income Tax, Calcutta and Another (1964)</t>
        </is>
      </c>
      <c r="E87" s="2" t="inlineStr">
        <is>
          <t>Dwarka Nath v. Income Tax Officer, Special Circle D-ward, Kanpur and Another (1966)</t>
        </is>
      </c>
      <c r="F87" s="2" t="inlineStr">
        <is>
          <t>The overruling decision was itself later: overruled by Prabodh Verma and Others v. State of Uttar Pradesh and Others (1985) [L1-0576]</t>
        </is>
      </c>
      <c r="G87" s="2" t="inlineStr">
        <is>
          <t>Does the recorded status of the earlier decision still stand? (confirm = it stands; change = give the new treatment; keep = decide next week)</t>
        </is>
      </c>
      <c r="H87" s="12" t="inlineStr"/>
      <c r="I87" s="12" t="inlineStr"/>
      <c r="J87" s="13" t="inlineStr"/>
      <c r="K87" s="12" t="inlineStr"/>
      <c r="L87" s="12" t="inlineStr"/>
      <c r="M87" s="12" t="inlineStr"/>
      <c r="N87" s="12" t="inlineStr"/>
      <c r="O87" s="13" t="inlineStr"/>
      <c r="P87" s="12" t="inlineStr"/>
      <c r="Q87" s="12" t="inlineStr"/>
      <c r="R87" s="11" t="inlineStr">
        <is>
          <t>2026-10-15</t>
        </is>
      </c>
      <c r="S87" s="11" t="inlineStr"/>
    </row>
    <row r="88">
      <c r="A88" s="11" t="inlineStr">
        <is>
          <t>L1-0242</t>
        </is>
      </c>
      <c r="B88" s="11" t="inlineStr">
        <is>
          <t>chain</t>
        </is>
      </c>
      <c r="C88" s="11" t="n">
        <v>3</v>
      </c>
      <c r="D88" s="2" t="inlineStr">
        <is>
          <t>The Commissioner of Income Tax, Gujarat II, Ahmedabad v. Shri R.M. Amin, L.R. of The Late Shri. Chunnibhai J. Amin, Baroda (1977)</t>
        </is>
      </c>
      <c r="E88" s="2" t="inlineStr">
        <is>
          <t>The Burma Oil Co. (I) Trading Ltd., Calcutta v. The Commissioner of Wealth Tax (Central), Calcutta (1977)</t>
        </is>
      </c>
      <c r="F88" s="2" t="inlineStr">
        <is>
          <t>The overruling decision was itself later: listed in our reference list as overruled by The Commissioner of Income Tax, Gujarat II, Ahmedabad v. Shri R.M. Amin, L.R. of The Late Shri. Chunnibhai J. Amin, Baroda (1977), but the list is inconsistent on this entry [L1-0265]</t>
        </is>
      </c>
      <c r="G88" s="2" t="inlineStr">
        <is>
          <t>Does the recorded status of the earlier decision still stand? (confirm = it stands; change = give the new treatment; keep = decide next week)</t>
        </is>
      </c>
      <c r="H88" s="12" t="inlineStr"/>
      <c r="I88" s="12" t="inlineStr"/>
      <c r="J88" s="13" t="inlineStr"/>
      <c r="K88" s="12" t="inlineStr"/>
      <c r="L88" s="12" t="inlineStr"/>
      <c r="M88" s="12" t="inlineStr"/>
      <c r="N88" s="12" t="inlineStr"/>
      <c r="O88" s="13" t="inlineStr"/>
      <c r="P88" s="12" t="inlineStr"/>
      <c r="Q88" s="12" t="inlineStr"/>
      <c r="R88" s="11" t="inlineStr">
        <is>
          <t>2026-10-15</t>
        </is>
      </c>
      <c r="S88" s="11" t="inlineStr"/>
    </row>
    <row r="89">
      <c r="A89" s="11" t="inlineStr">
        <is>
          <t>L1-0247</t>
        </is>
      </c>
      <c r="B89" s="11" t="inlineStr">
        <is>
          <t>chain</t>
        </is>
      </c>
      <c r="C89" s="11" t="n">
        <v>3</v>
      </c>
      <c r="D89" s="2" t="inlineStr">
        <is>
          <t>Director of Rationing and Distribution v. The Corporation of Calcutta and Others (1960)</t>
        </is>
      </c>
      <c r="E89" s="2" t="inlineStr">
        <is>
          <t>Superintendent and Legal Remembrancer, State of West Bengal v. Corporation of Calcutta (1967)</t>
        </is>
      </c>
      <c r="F89" s="2" t="inlineStr">
        <is>
          <t>The overruling decision was itself later: listed in our reference list as overruled by Director of Rationing and Distribution v. The Corporation of Calcutta and Others (1960), but the list is inconsistent on this entry [L1-0506]</t>
        </is>
      </c>
      <c r="G89" s="2" t="inlineStr">
        <is>
          <t>Does the recorded status of the earlier decision still stand? (confirm = it stands; change = give the new treatment; keep = decide next week)</t>
        </is>
      </c>
      <c r="H89" s="12" t="inlineStr"/>
      <c r="I89" s="12" t="inlineStr"/>
      <c r="J89" s="13" t="inlineStr"/>
      <c r="K89" s="12" t="inlineStr"/>
      <c r="L89" s="12" t="inlineStr"/>
      <c r="M89" s="12" t="inlineStr"/>
      <c r="N89" s="12" t="inlineStr"/>
      <c r="O89" s="13" t="inlineStr"/>
      <c r="P89" s="12" t="inlineStr"/>
      <c r="Q89" s="12" t="inlineStr"/>
      <c r="R89" s="11" t="inlineStr">
        <is>
          <t>2026-10-15</t>
        </is>
      </c>
      <c r="S89" s="11" t="inlineStr"/>
    </row>
    <row r="90">
      <c r="A90" s="11" t="inlineStr">
        <is>
          <t>L1-0248</t>
        </is>
      </c>
      <c r="B90" s="11" t="inlineStr">
        <is>
          <t>chain</t>
        </is>
      </c>
      <c r="C90" s="11" t="n">
        <v>3</v>
      </c>
      <c r="D90" s="2" t="inlineStr">
        <is>
          <t>Deep Chand v. The State of Uttar Pradesh and Others (1959)</t>
        </is>
      </c>
      <c r="E90" s="2" t="inlineStr">
        <is>
          <t>Dr. A.K. Sabhapathy v. State of Kerala and others (1992)</t>
        </is>
      </c>
      <c r="F90" s="2" t="inlineStr">
        <is>
          <t>The overruling decision was itself later: overruled by Dr. Mukhtiar Chand and Others v. The State of Punjab and Others (1999) [L1-0403]</t>
        </is>
      </c>
      <c r="G90" s="2" t="inlineStr">
        <is>
          <t>Does the recorded status of the earlier decision still stand? (confirm = it stands; change = give the new treatment; keep = decide next week)</t>
        </is>
      </c>
      <c r="H90" s="12" t="inlineStr"/>
      <c r="I90" s="12" t="inlineStr"/>
      <c r="J90" s="13" t="inlineStr"/>
      <c r="K90" s="12" t="inlineStr"/>
      <c r="L90" s="12" t="inlineStr"/>
      <c r="M90" s="12" t="inlineStr"/>
      <c r="N90" s="12" t="inlineStr"/>
      <c r="O90" s="13" t="inlineStr"/>
      <c r="P90" s="12" t="inlineStr"/>
      <c r="Q90" s="12" t="inlineStr"/>
      <c r="R90" s="11" t="inlineStr">
        <is>
          <t>2026-10-15</t>
        </is>
      </c>
      <c r="S90" s="11" t="inlineStr"/>
    </row>
    <row r="91">
      <c r="A91" s="11" t="inlineStr">
        <is>
          <t>L1-0252</t>
        </is>
      </c>
      <c r="B91" s="11" t="inlineStr">
        <is>
          <t>chain</t>
        </is>
      </c>
      <c r="C91" s="11" t="n">
        <v>3</v>
      </c>
      <c r="D91" s="2" t="inlineStr">
        <is>
          <t>Kailash Chand Joshi v. Rajasthan High Court and Others (1996)</t>
        </is>
      </c>
      <c r="E91" s="2" t="inlineStr">
        <is>
          <t>Ajit Singh and Others v. The State of Punjab and Others (1999)</t>
        </is>
      </c>
      <c r="F91" s="2" t="inlineStr">
        <is>
          <t>The overruling decision was itself later: overruled by Shiv Nath Prasad v. Saran Pal Jeet Singh Tulsi and Others (2008) [L1-0312]</t>
        </is>
      </c>
      <c r="G91" s="2" t="inlineStr">
        <is>
          <t>Does the recorded status of the earlier decision still stand? (confirm = it stands; change = give the new treatment; keep = decide next week)</t>
        </is>
      </c>
      <c r="H91" s="12" t="inlineStr"/>
      <c r="I91" s="12" t="inlineStr"/>
      <c r="J91" s="13" t="inlineStr"/>
      <c r="K91" s="12" t="inlineStr"/>
      <c r="L91" s="12" t="inlineStr"/>
      <c r="M91" s="12" t="inlineStr"/>
      <c r="N91" s="12" t="inlineStr"/>
      <c r="O91" s="13" t="inlineStr"/>
      <c r="P91" s="12" t="inlineStr"/>
      <c r="Q91" s="12" t="inlineStr"/>
      <c r="R91" s="11" t="inlineStr">
        <is>
          <t>2026-10-15</t>
        </is>
      </c>
      <c r="S91" s="11" t="inlineStr"/>
    </row>
    <row r="92">
      <c r="A92" s="11" t="inlineStr">
        <is>
          <t>L1-0256</t>
        </is>
      </c>
      <c r="B92" s="11" t="inlineStr">
        <is>
          <t>chain</t>
        </is>
      </c>
      <c r="C92" s="11" t="n">
        <v>3</v>
      </c>
      <c r="D92" s="2" t="inlineStr">
        <is>
          <t>K.L. Verma v. State and Another (1998)</t>
        </is>
      </c>
      <c r="E92" s="2" t="inlineStr">
        <is>
          <t>Adri Dharan Das v. State of West Bengal (2005)</t>
        </is>
      </c>
      <c r="F92" s="2" t="inlineStr">
        <is>
          <t>The overruling decision was itself later: overruled by Sushila Aggarwal v. State (NCT of Delhi) (2020) [L2-026]</t>
        </is>
      </c>
      <c r="G92" s="2" t="inlineStr">
        <is>
          <t>Does the recorded status of the earlier decision still stand? (confirm = it stands; change = give the new treatment; keep = decide next week)</t>
        </is>
      </c>
      <c r="H92" s="12" t="inlineStr"/>
      <c r="I92" s="12" t="inlineStr"/>
      <c r="J92" s="13" t="inlineStr"/>
      <c r="K92" s="12" t="inlineStr"/>
      <c r="L92" s="12" t="inlineStr"/>
      <c r="M92" s="12" t="inlineStr"/>
      <c r="N92" s="12" t="inlineStr"/>
      <c r="O92" s="13" t="inlineStr"/>
      <c r="P92" s="12" t="inlineStr"/>
      <c r="Q92" s="12" t="inlineStr"/>
      <c r="R92" s="11" t="inlineStr">
        <is>
          <t>2026-10-15</t>
        </is>
      </c>
      <c r="S92" s="11" t="inlineStr"/>
    </row>
    <row r="93">
      <c r="A93" s="11" t="inlineStr">
        <is>
          <t>L1-0258</t>
        </is>
      </c>
      <c r="B93" s="11" t="inlineStr">
        <is>
          <t>chain</t>
        </is>
      </c>
      <c r="C93" s="11" t="n">
        <v>3</v>
      </c>
      <c r="D93" s="2" t="inlineStr">
        <is>
          <t>Mediwell Hospital and Health Care Pvt. Ltd. v. Union of India and others (1997)</t>
        </is>
      </c>
      <c r="E93" s="2" t="inlineStr">
        <is>
          <t>M/s. Faridabad Ct. Scan center v. D.G. Health Services and others (1997)</t>
        </is>
      </c>
      <c r="F93" s="2" t="inlineStr">
        <is>
          <t>The overruling decision was itself later: listed in our reference list as overruled by Mediwell Hospital and Health Care Pvt. Ltd. v. Union of India and others (1997), but the list is inconsistent on this entry [L1-0270]</t>
        </is>
      </c>
      <c r="G93" s="2" t="inlineStr">
        <is>
          <t>Does the recorded status of the earlier decision still stand? (confirm = it stands; change = give the new treatment; keep = decide next week)</t>
        </is>
      </c>
      <c r="H93" s="12" t="inlineStr"/>
      <c r="I93" s="12" t="inlineStr"/>
      <c r="J93" s="13" t="inlineStr"/>
      <c r="K93" s="12" t="inlineStr"/>
      <c r="L93" s="12" t="inlineStr"/>
      <c r="M93" s="12" t="inlineStr"/>
      <c r="N93" s="12" t="inlineStr"/>
      <c r="O93" s="13" t="inlineStr"/>
      <c r="P93" s="12" t="inlineStr"/>
      <c r="Q93" s="12" t="inlineStr"/>
      <c r="R93" s="11" t="inlineStr">
        <is>
          <t>2026-10-15</t>
        </is>
      </c>
      <c r="S93" s="11" t="inlineStr"/>
    </row>
    <row r="94">
      <c r="A94" s="11" t="inlineStr">
        <is>
          <t>L1-0259</t>
        </is>
      </c>
      <c r="B94" s="11" t="inlineStr">
        <is>
          <t>chain</t>
        </is>
      </c>
      <c r="C94" s="11" t="n">
        <v>3</v>
      </c>
      <c r="D94" s="2" t="inlineStr">
        <is>
          <t>Common Cause, A Registered Society v. Union of India (UOI) and Others (1996)</t>
        </is>
      </c>
      <c r="E94" s="2" t="inlineStr">
        <is>
          <t>Common Cause, A Registered Society v. Union of India and Others (1999)</t>
        </is>
      </c>
      <c r="F94" s="2" t="inlineStr">
        <is>
          <t>The overruling decision was itself later: overruled by P. Ramachandra Rao v. State of Karnataka (2002) [L1-0637]</t>
        </is>
      </c>
      <c r="G94" s="2" t="inlineStr">
        <is>
          <t>Does the recorded status of the earlier decision still stand? (confirm = it stands; change = give the new treatment; keep = decide next week)</t>
        </is>
      </c>
      <c r="H94" s="12" t="inlineStr"/>
      <c r="I94" s="12" t="inlineStr"/>
      <c r="J94" s="13" t="inlineStr"/>
      <c r="K94" s="12" t="inlineStr"/>
      <c r="L94" s="12" t="inlineStr"/>
      <c r="M94" s="12" t="inlineStr"/>
      <c r="N94" s="12" t="inlineStr"/>
      <c r="O94" s="13" t="inlineStr"/>
      <c r="P94" s="12" t="inlineStr"/>
      <c r="Q94" s="12" t="inlineStr"/>
      <c r="R94" s="11" t="inlineStr">
        <is>
          <t>2026-10-15</t>
        </is>
      </c>
      <c r="S94" s="11" t="inlineStr"/>
    </row>
    <row r="95">
      <c r="A95" s="11" t="inlineStr">
        <is>
          <t>L1-0265</t>
        </is>
      </c>
      <c r="B95" s="11" t="inlineStr">
        <is>
          <t>chain</t>
        </is>
      </c>
      <c r="C95" s="11" t="n">
        <v>3</v>
      </c>
      <c r="D95" s="2" t="inlineStr">
        <is>
          <t>The Burma Oil Co. (I) Trading Ltd., Calcutta v. The Commissioner of Wealth Tax (Central), Calcutta (1977)</t>
        </is>
      </c>
      <c r="E95" s="2" t="inlineStr">
        <is>
          <t>The Commissioner of Income Tax, Gujarat II, Ahmedabad v. Shri R.M. Amin, L.R. of The Late Shri. Chunnibhai J. Amin, Baroda (1977)</t>
        </is>
      </c>
      <c r="F95" s="2" t="inlineStr">
        <is>
          <t>The overruling decision was itself later: listed in our reference list as overruled by The Burma Oil Co. (I) Trading Ltd., Calcutta v. The Commissioner of Wealth Tax (Central), Calcutta (1977), but the list is inconsistent on this entry [L1-0242]</t>
        </is>
      </c>
      <c r="G95" s="2" t="inlineStr">
        <is>
          <t>Does the recorded status of the earlier decision still stand? (confirm = it stands; change = give the new treatment; keep = decide next week)</t>
        </is>
      </c>
      <c r="H95" s="12" t="inlineStr"/>
      <c r="I95" s="12" t="inlineStr"/>
      <c r="J95" s="13" t="inlineStr"/>
      <c r="K95" s="12" t="inlineStr"/>
      <c r="L95" s="12" t="inlineStr"/>
      <c r="M95" s="12" t="inlineStr"/>
      <c r="N95" s="12" t="inlineStr"/>
      <c r="O95" s="13" t="inlineStr"/>
      <c r="P95" s="12" t="inlineStr"/>
      <c r="Q95" s="12" t="inlineStr"/>
      <c r="R95" s="11" t="inlineStr">
        <is>
          <t>2026-10-15</t>
        </is>
      </c>
      <c r="S95" s="11" t="inlineStr"/>
    </row>
    <row r="96">
      <c r="A96" s="11" t="inlineStr">
        <is>
          <t>L1-0270</t>
        </is>
      </c>
      <c r="B96" s="11" t="inlineStr">
        <is>
          <t>chain</t>
        </is>
      </c>
      <c r="C96" s="11" t="n">
        <v>3</v>
      </c>
      <c r="D96" s="2" t="inlineStr">
        <is>
          <t>M/s. Faridabad Ct. Scan center v. D.G. Health Services and others (1997)</t>
        </is>
      </c>
      <c r="E96" s="2" t="inlineStr">
        <is>
          <t>Mediwell Hospital and Health Care Pvt. Ltd. v. Union of India and others (1997)</t>
        </is>
      </c>
      <c r="F96" s="2" t="inlineStr">
        <is>
          <t>The overruling decision was itself later: listed in our reference list as overruled by M/s. Faridabad Ct. Scan center v. D.G. Health Services and others (1997), but the list is inconsistent on this entry [L1-0258]</t>
        </is>
      </c>
      <c r="G96" s="2" t="inlineStr">
        <is>
          <t>Does the recorded status of the earlier decision still stand? (confirm = it stands; change = give the new treatment; keep = decide next week)</t>
        </is>
      </c>
      <c r="H96" s="12" t="inlineStr"/>
      <c r="I96" s="12" t="inlineStr"/>
      <c r="J96" s="13" t="inlineStr"/>
      <c r="K96" s="12" t="inlineStr"/>
      <c r="L96" s="12" t="inlineStr"/>
      <c r="M96" s="12" t="inlineStr"/>
      <c r="N96" s="12" t="inlineStr"/>
      <c r="O96" s="13" t="inlineStr"/>
      <c r="P96" s="12" t="inlineStr"/>
      <c r="Q96" s="12" t="inlineStr"/>
      <c r="R96" s="11" t="inlineStr">
        <is>
          <t>2026-10-15</t>
        </is>
      </c>
      <c r="S96" s="11" t="inlineStr"/>
    </row>
    <row r="97">
      <c r="A97" s="11" t="inlineStr">
        <is>
          <t>L1-0280</t>
        </is>
      </c>
      <c r="B97" s="11" t="inlineStr">
        <is>
          <t>chain</t>
        </is>
      </c>
      <c r="C97" s="11" t="n">
        <v>3</v>
      </c>
      <c r="D97" s="2" t="inlineStr">
        <is>
          <t>P.R. Nayak v. Union of India (UOI) (1972)</t>
        </is>
      </c>
      <c r="E97" s="2" t="inlineStr">
        <is>
          <t>The Government of India, Ministry of Home Affairs and Others v. Tarak Nath Ghosh (1971)</t>
        </is>
      </c>
      <c r="F97" s="2" t="inlineStr">
        <is>
          <t>The overruling decision was itself later: overruled by State of Orissa v. Bimal Kumar Mohanty (1994) [L1-0691]</t>
        </is>
      </c>
      <c r="G97" s="2" t="inlineStr">
        <is>
          <t>Does the recorded status of the earlier decision still stand? (confirm = it stands; change = give the new treatment; keep = decide next week)</t>
        </is>
      </c>
      <c r="H97" s="12" t="inlineStr"/>
      <c r="I97" s="12" t="inlineStr"/>
      <c r="J97" s="13" t="inlineStr"/>
      <c r="K97" s="12" t="inlineStr"/>
      <c r="L97" s="12" t="inlineStr"/>
      <c r="M97" s="12" t="inlineStr"/>
      <c r="N97" s="12" t="inlineStr"/>
      <c r="O97" s="13" t="inlineStr"/>
      <c r="P97" s="12" t="inlineStr"/>
      <c r="Q97" s="12" t="inlineStr"/>
      <c r="R97" s="11" t="inlineStr">
        <is>
          <t>2026-10-15</t>
        </is>
      </c>
      <c r="S97" s="11" t="inlineStr"/>
    </row>
    <row r="98">
      <c r="A98" s="11" t="inlineStr">
        <is>
          <t>L1-0285</t>
        </is>
      </c>
      <c r="B98" s="11" t="inlineStr">
        <is>
          <t>chain</t>
        </is>
      </c>
      <c r="C98" s="11" t="n">
        <v>3</v>
      </c>
      <c r="D98" s="2" t="inlineStr">
        <is>
          <t>Laxman v. State of Maharashtra (2002)</t>
        </is>
      </c>
      <c r="E98" s="2" t="inlineStr">
        <is>
          <t>Paparambaka Rosamma and Others v. State of Andhra Pradesh (1999)</t>
        </is>
      </c>
      <c r="F98" s="2" t="inlineStr">
        <is>
          <t>The overruling decision was itself later: overruled by Shanmugam @ Kulandaivelu v. State of Tamil Nadu (2003) [L1-0292]</t>
        </is>
      </c>
      <c r="G98" s="2" t="inlineStr">
        <is>
          <t>Does the recorded status of the earlier decision still stand? (confirm = it stands; change = give the new treatment; keep = decide next week)</t>
        </is>
      </c>
      <c r="H98" s="12" t="inlineStr"/>
      <c r="I98" s="12" t="inlineStr"/>
      <c r="J98" s="13" t="inlineStr"/>
      <c r="K98" s="12" t="inlineStr"/>
      <c r="L98" s="12" t="inlineStr"/>
      <c r="M98" s="12" t="inlineStr"/>
      <c r="N98" s="12" t="inlineStr"/>
      <c r="O98" s="13" t="inlineStr"/>
      <c r="P98" s="12" t="inlineStr"/>
      <c r="Q98" s="12" t="inlineStr"/>
      <c r="R98" s="11" t="inlineStr">
        <is>
          <t>2026-10-15</t>
        </is>
      </c>
      <c r="S98" s="11" t="inlineStr"/>
    </row>
    <row r="99">
      <c r="A99" s="11" t="inlineStr">
        <is>
          <t>L1-0292</t>
        </is>
      </c>
      <c r="B99" s="11" t="inlineStr">
        <is>
          <t>chain</t>
        </is>
      </c>
      <c r="C99" s="11" t="n">
        <v>3</v>
      </c>
      <c r="D99" s="2" t="inlineStr">
        <is>
          <t>Paparambaka Rosamma and Others v. State of Andhra Pradesh (1999)</t>
        </is>
      </c>
      <c r="E99" s="2" t="inlineStr">
        <is>
          <t>Shanmugam @ Kulandaivelu v. State of Tamil Nadu (2003)</t>
        </is>
      </c>
      <c r="F99" s="2" t="inlineStr">
        <is>
          <t>The overruling decision was itself later: overruled by Paparambaka Rosamma and Others v. State of Andhra Pradesh (1999) [L1-0707]</t>
        </is>
      </c>
      <c r="G99" s="2" t="inlineStr">
        <is>
          <t>Does the recorded status of the earlier decision still stand? (confirm = it stands; change = give the new treatment; keep = decide next week)</t>
        </is>
      </c>
      <c r="H99" s="12" t="inlineStr"/>
      <c r="I99" s="12" t="inlineStr"/>
      <c r="J99" s="13" t="inlineStr"/>
      <c r="K99" s="12" t="inlineStr"/>
      <c r="L99" s="12" t="inlineStr"/>
      <c r="M99" s="12" t="inlineStr"/>
      <c r="N99" s="12" t="inlineStr"/>
      <c r="O99" s="13" t="inlineStr"/>
      <c r="P99" s="12" t="inlineStr"/>
      <c r="Q99" s="12" t="inlineStr"/>
      <c r="R99" s="11" t="inlineStr">
        <is>
          <t>2026-10-15</t>
        </is>
      </c>
      <c r="S99" s="11" t="inlineStr"/>
    </row>
    <row r="100">
      <c r="A100" s="11" t="inlineStr">
        <is>
          <t>L1-0313</t>
        </is>
      </c>
      <c r="B100" s="11" t="inlineStr">
        <is>
          <t>chain</t>
        </is>
      </c>
      <c r="C100" s="11" t="n">
        <v>3</v>
      </c>
      <c r="D100" s="2" t="inlineStr">
        <is>
          <t>Punjab National Bank v. Arjun Dev Arora and Others (1987)</t>
        </is>
      </c>
      <c r="E100" s="2" t="inlineStr">
        <is>
          <t>Dr. K. Madan v. Smt. Krishnawati and another (1997)</t>
        </is>
      </c>
      <c r="F100" s="2" t="inlineStr">
        <is>
          <t>The overruling decision was itself later: overruled by Punjab National Bank v. Arjun Dev Arora and Others (1987) [L1-0429]</t>
        </is>
      </c>
      <c r="G100" s="2" t="inlineStr">
        <is>
          <t>Does the recorded status of the earlier decision still stand? (confirm = it stands; change = give the new treatment; keep = decide next week)</t>
        </is>
      </c>
      <c r="H100" s="12" t="inlineStr"/>
      <c r="I100" s="12" t="inlineStr"/>
      <c r="J100" s="13" t="inlineStr"/>
      <c r="K100" s="12" t="inlineStr"/>
      <c r="L100" s="12" t="inlineStr"/>
      <c r="M100" s="12" t="inlineStr"/>
      <c r="N100" s="12" t="inlineStr"/>
      <c r="O100" s="13" t="inlineStr"/>
      <c r="P100" s="12" t="inlineStr"/>
      <c r="Q100" s="12" t="inlineStr"/>
      <c r="R100" s="11" t="inlineStr">
        <is>
          <t>2026-10-15</t>
        </is>
      </c>
      <c r="S100" s="11" t="inlineStr"/>
    </row>
    <row r="101">
      <c r="A101" s="11" t="inlineStr">
        <is>
          <t>L1-0332</t>
        </is>
      </c>
      <c r="B101" s="11" t="inlineStr">
        <is>
          <t>chain</t>
        </is>
      </c>
      <c r="C101" s="11" t="n">
        <v>3</v>
      </c>
      <c r="D101" s="2" t="inlineStr">
        <is>
          <t>Smt. Chetana Dilip Motghare v. Bhide Girls Education Society, Nagput and others (1994)</t>
        </is>
      </c>
      <c r="E101" s="2" t="inlineStr">
        <is>
          <t>Union of India and Another v. Madhav Gajanan Chaubal and Another (1997)</t>
        </is>
      </c>
      <c r="F101" s="2" t="inlineStr">
        <is>
          <t>The overruling decision was itself later: overruled by Post Graduate Institute of Medical Education and Research, Chandigarh v. Faculty Association and Others (1998) [L1-0274]</t>
        </is>
      </c>
      <c r="G101" s="2" t="inlineStr">
        <is>
          <t>Does the recorded status of the earlier decision still stand? (confirm = it stands; change = give the new treatment; keep = decide next week)</t>
        </is>
      </c>
      <c r="H101" s="12" t="inlineStr"/>
      <c r="I101" s="12" t="inlineStr"/>
      <c r="J101" s="13" t="inlineStr"/>
      <c r="K101" s="12" t="inlineStr"/>
      <c r="L101" s="12" t="inlineStr"/>
      <c r="M101" s="12" t="inlineStr"/>
      <c r="N101" s="12" t="inlineStr"/>
      <c r="O101" s="13" t="inlineStr"/>
      <c r="P101" s="12" t="inlineStr"/>
      <c r="Q101" s="12" t="inlineStr"/>
      <c r="R101" s="11" t="inlineStr">
        <is>
          <t>2026-10-15</t>
        </is>
      </c>
      <c r="S101" s="11" t="inlineStr"/>
    </row>
    <row r="102">
      <c r="A102" s="11" t="inlineStr">
        <is>
          <t>L1-0339</t>
        </is>
      </c>
      <c r="B102" s="11" t="inlineStr">
        <is>
          <t>chain</t>
        </is>
      </c>
      <c r="C102" s="11" t="n">
        <v>3</v>
      </c>
      <c r="D102" s="2" t="inlineStr">
        <is>
          <t>Basavantappa v. Gangadhar Narayan Dharwadkar and Another (1987)</t>
        </is>
      </c>
      <c r="E102" s="2" t="inlineStr">
        <is>
          <t>P.K. Unni v. Nirmala Industries and others (1990)</t>
        </is>
      </c>
      <c r="F102" s="2" t="inlineStr">
        <is>
          <t>The overruling decision was itself later: overruled by Dadi Jagannadham v. Jammulu Ramulu and Others (2001) [L1-0424]</t>
        </is>
      </c>
      <c r="G102" s="2" t="inlineStr">
        <is>
          <t>Does the recorded status of the earlier decision still stand? (confirm = it stands; change = give the new treatment; keep = decide next week)</t>
        </is>
      </c>
      <c r="H102" s="12" t="inlineStr"/>
      <c r="I102" s="12" t="inlineStr"/>
      <c r="J102" s="13" t="inlineStr"/>
      <c r="K102" s="12" t="inlineStr"/>
      <c r="L102" s="12" t="inlineStr"/>
      <c r="M102" s="12" t="inlineStr"/>
      <c r="N102" s="12" t="inlineStr"/>
      <c r="O102" s="13" t="inlineStr"/>
      <c r="P102" s="12" t="inlineStr"/>
      <c r="Q102" s="12" t="inlineStr"/>
      <c r="R102" s="11" t="inlineStr">
        <is>
          <t>2026-10-15</t>
        </is>
      </c>
      <c r="S102" s="11" t="inlineStr"/>
    </row>
    <row r="103">
      <c r="A103" s="11" t="inlineStr">
        <is>
          <t>L1-0355</t>
        </is>
      </c>
      <c r="B103" s="11" t="inlineStr">
        <is>
          <t>chain</t>
        </is>
      </c>
      <c r="C103" s="11" t="n">
        <v>3</v>
      </c>
      <c r="D103" s="2" t="inlineStr">
        <is>
          <t>Hoechst Pharmaceuticals Ltd. and Others v. State of Bihar and Others (1983)</t>
        </is>
      </c>
      <c r="E103" s="2" t="inlineStr">
        <is>
          <t>Dr. A.K. Sabhapathy v. State of Kerala and others (1992)</t>
        </is>
      </c>
      <c r="F103" s="2" t="inlineStr">
        <is>
          <t>The overruling decision was itself later: overruled by Dr. Mukhtiar Chand and Others v. The State of Punjab and Others (1999) [L1-0403]</t>
        </is>
      </c>
      <c r="G103" s="2" t="inlineStr">
        <is>
          <t>Does the recorded status of the earlier decision still stand? (confirm = it stands; change = give the new treatment; keep = decide next week)</t>
        </is>
      </c>
      <c r="H103" s="12" t="inlineStr"/>
      <c r="I103" s="12" t="inlineStr"/>
      <c r="J103" s="13" t="inlineStr"/>
      <c r="K103" s="12" t="inlineStr"/>
      <c r="L103" s="12" t="inlineStr"/>
      <c r="M103" s="12" t="inlineStr"/>
      <c r="N103" s="12" t="inlineStr"/>
      <c r="O103" s="13" t="inlineStr"/>
      <c r="P103" s="12" t="inlineStr"/>
      <c r="Q103" s="12" t="inlineStr"/>
      <c r="R103" s="11" t="inlineStr">
        <is>
          <t>2026-10-15</t>
        </is>
      </c>
      <c r="S103" s="11" t="inlineStr"/>
    </row>
    <row r="104">
      <c r="A104" s="11" t="inlineStr">
        <is>
          <t>L1-0356</t>
        </is>
      </c>
      <c r="B104" s="11" t="inlineStr">
        <is>
          <t>chain</t>
        </is>
      </c>
      <c r="C104" s="11" t="n">
        <v>3</v>
      </c>
      <c r="D104" s="2" t="inlineStr">
        <is>
          <t>Periyar and Pareekanni Rubbers Ltd. v. State of Kerala (1990)</t>
        </is>
      </c>
      <c r="E104" s="2" t="inlineStr">
        <is>
          <t>Yadavrao P. Pathade (Dead) by Lrs. and Others v. State of Maharashtra (1996)</t>
        </is>
      </c>
      <c r="F104" s="2" t="inlineStr">
        <is>
          <t>The overruling decision was itself later: overruled by Sunder v. Union of India (2001) [L1-0710]</t>
        </is>
      </c>
      <c r="G104" s="2" t="inlineStr">
        <is>
          <t>Does the recorded status of the earlier decision still stand? (confirm = it stands; change = give the new treatment; keep = decide next week)</t>
        </is>
      </c>
      <c r="H104" s="12" t="inlineStr"/>
      <c r="I104" s="12" t="inlineStr"/>
      <c r="J104" s="13" t="inlineStr"/>
      <c r="K104" s="12" t="inlineStr"/>
      <c r="L104" s="12" t="inlineStr"/>
      <c r="M104" s="12" t="inlineStr"/>
      <c r="N104" s="12" t="inlineStr"/>
      <c r="O104" s="13" t="inlineStr"/>
      <c r="P104" s="12" t="inlineStr"/>
      <c r="Q104" s="12" t="inlineStr"/>
      <c r="R104" s="11" t="inlineStr">
        <is>
          <t>2026-10-15</t>
        </is>
      </c>
      <c r="S104" s="11" t="inlineStr"/>
    </row>
    <row r="105">
      <c r="A105" s="11" t="inlineStr">
        <is>
          <t>L1-0370</t>
        </is>
      </c>
      <c r="B105" s="11" t="inlineStr">
        <is>
          <t>chain</t>
        </is>
      </c>
      <c r="C105" s="11" t="n">
        <v>3</v>
      </c>
      <c r="D105" s="2" t="inlineStr">
        <is>
          <t>Gujarat Electricity Board, Thermal Power Station, Ukai v. Hind Mazdoor Sabha and Others (1995)</t>
        </is>
      </c>
      <c r="E105" s="2" t="inlineStr">
        <is>
          <t>Air India Statutory Corporation, etc. v. United Labour Union and others (1997)</t>
        </is>
      </c>
      <c r="F105" s="2" t="inlineStr">
        <is>
          <t>The overruling decision was itself later: overruled by Steel Authority of India Ltd. and Others etc. etc. v. National Union Water Front Workers and Others etc. (2001) [L1-0575]</t>
        </is>
      </c>
      <c r="G105" s="2" t="inlineStr">
        <is>
          <t>Does the recorded status of the earlier decision still stand? (confirm = it stands; change = give the new treatment; keep = decide next week)</t>
        </is>
      </c>
      <c r="H105" s="12" t="inlineStr"/>
      <c r="I105" s="12" t="inlineStr"/>
      <c r="J105" s="13" t="inlineStr"/>
      <c r="K105" s="12" t="inlineStr"/>
      <c r="L105" s="12" t="inlineStr"/>
      <c r="M105" s="12" t="inlineStr"/>
      <c r="N105" s="12" t="inlineStr"/>
      <c r="O105" s="13" t="inlineStr"/>
      <c r="P105" s="12" t="inlineStr"/>
      <c r="Q105" s="12" t="inlineStr"/>
      <c r="R105" s="11" t="inlineStr">
        <is>
          <t>2026-10-15</t>
        </is>
      </c>
      <c r="S105" s="11" t="inlineStr"/>
    </row>
    <row r="106">
      <c r="A106" s="11" t="inlineStr">
        <is>
          <t>L1-0374</t>
        </is>
      </c>
      <c r="B106" s="11" t="inlineStr">
        <is>
          <t>chain</t>
        </is>
      </c>
      <c r="C106" s="11" t="n">
        <v>3</v>
      </c>
      <c r="D106" s="2" t="inlineStr">
        <is>
          <t>State of Uttar Pradesh and Others v. Synthetics and Chemicals Ltd. and Others (1980)</t>
        </is>
      </c>
      <c r="E106" s="2" t="inlineStr">
        <is>
          <t>Synthetics and Chemicals Ltd. and Others v. State of U.P. and Others (1990)</t>
        </is>
      </c>
      <c r="F106" s="2" t="inlineStr">
        <is>
          <t>The overruling decision was itself later: overruled by State of U.P. v. Lalta Prasad Vaish &amp; Sons (2024) [L2-051]</t>
        </is>
      </c>
      <c r="G106" s="2" t="inlineStr">
        <is>
          <t>Does the recorded status of the earlier decision still stand? (confirm = it stands; change = give the new treatment; keep = decide next week)</t>
        </is>
      </c>
      <c r="H106" s="12" t="inlineStr"/>
      <c r="I106" s="12" t="inlineStr"/>
      <c r="J106" s="13" t="inlineStr"/>
      <c r="K106" s="12" t="inlineStr"/>
      <c r="L106" s="12" t="inlineStr"/>
      <c r="M106" s="12" t="inlineStr"/>
      <c r="N106" s="12" t="inlineStr"/>
      <c r="O106" s="13" t="inlineStr"/>
      <c r="P106" s="12" t="inlineStr"/>
      <c r="Q106" s="12" t="inlineStr"/>
      <c r="R106" s="11" t="inlineStr">
        <is>
          <t>2026-10-15</t>
        </is>
      </c>
      <c r="S106" s="11" t="inlineStr"/>
    </row>
    <row r="107">
      <c r="A107" s="11" t="inlineStr">
        <is>
          <t>L1-0385</t>
        </is>
      </c>
      <c r="B107" s="11" t="inlineStr">
        <is>
          <t>chain</t>
        </is>
      </c>
      <c r="C107" s="11" t="n">
        <v>3</v>
      </c>
      <c r="D107" s="2" t="inlineStr">
        <is>
          <t>T. Govindaraja Mudaliar v. The State of Tamil Nadu and Others (1973)</t>
        </is>
      </c>
      <c r="E107" s="2" t="inlineStr">
        <is>
          <t>Kesho Ram and Co. and Others etc. v. Union of India (UOI) and Others (1989)</t>
        </is>
      </c>
      <c r="F107" s="2" t="inlineStr">
        <is>
          <t>The overruling decision was itself later: overruled by Shri Kishan @ Krishan Kumar v. Manoj Kumar Etc. Etc. (1998) [L1-0631]</t>
        </is>
      </c>
      <c r="G107" s="2" t="inlineStr">
        <is>
          <t>Does the recorded status of the earlier decision still stand? (confirm = it stands; change = give the new treatment; keep = decide next week)</t>
        </is>
      </c>
      <c r="H107" s="12" t="inlineStr"/>
      <c r="I107" s="12" t="inlineStr"/>
      <c r="J107" s="13" t="inlineStr"/>
      <c r="K107" s="12" t="inlineStr"/>
      <c r="L107" s="12" t="inlineStr"/>
      <c r="M107" s="12" t="inlineStr"/>
      <c r="N107" s="12" t="inlineStr"/>
      <c r="O107" s="13" t="inlineStr"/>
      <c r="P107" s="12" t="inlineStr"/>
      <c r="Q107" s="12" t="inlineStr"/>
      <c r="R107" s="11" t="inlineStr">
        <is>
          <t>2026-10-15</t>
        </is>
      </c>
      <c r="S107" s="11" t="inlineStr"/>
    </row>
    <row r="108">
      <c r="A108" s="11" t="inlineStr">
        <is>
          <t>L1-0389</t>
        </is>
      </c>
      <c r="B108" s="11" t="inlineStr">
        <is>
          <t>chain</t>
        </is>
      </c>
      <c r="C108" s="11" t="n">
        <v>3</v>
      </c>
      <c r="D108" s="2" t="inlineStr">
        <is>
          <t>Commissioner of Wealth Tax, Amritsar v. Suresh Seth (1981)</t>
        </is>
      </c>
      <c r="E108" s="2" t="inlineStr">
        <is>
          <t>Maya Rani Punj v. Commissioner of Income Tax, Delhi (1986)</t>
        </is>
      </c>
      <c r="F108" s="2" t="inlineStr">
        <is>
          <t>The overruling decision was itself later: overruled by Commissioner of Wealth Tax v. Trutees of Sahebzadas of Saraf-E-Khas Trust, Hyderabad (1997) [L1-0539]</t>
        </is>
      </c>
      <c r="G108" s="2" t="inlineStr">
        <is>
          <t>Does the recorded status of the earlier decision still stand? (confirm = it stands; change = give the new treatment; keep = decide next week)</t>
        </is>
      </c>
      <c r="H108" s="12" t="inlineStr"/>
      <c r="I108" s="12" t="inlineStr"/>
      <c r="J108" s="13" t="inlineStr"/>
      <c r="K108" s="12" t="inlineStr"/>
      <c r="L108" s="12" t="inlineStr"/>
      <c r="M108" s="12" t="inlineStr"/>
      <c r="N108" s="12" t="inlineStr"/>
      <c r="O108" s="13" t="inlineStr"/>
      <c r="P108" s="12" t="inlineStr"/>
      <c r="Q108" s="12" t="inlineStr"/>
      <c r="R108" s="11" t="inlineStr">
        <is>
          <t>2026-10-15</t>
        </is>
      </c>
      <c r="S108" s="11" t="inlineStr"/>
    </row>
    <row r="109">
      <c r="A109" s="11" t="inlineStr">
        <is>
          <t>L1-0407</t>
        </is>
      </c>
      <c r="B109" s="11" t="inlineStr">
        <is>
          <t>chain</t>
        </is>
      </c>
      <c r="C109" s="11" t="n">
        <v>3</v>
      </c>
      <c r="D109" s="2" t="inlineStr">
        <is>
          <t>Ram Lal Narang v. State (Delhi Administration) (1979)</t>
        </is>
      </c>
      <c r="E109" s="2" t="inlineStr">
        <is>
          <t>Randhir Singh Rana v. The State Being the Delhi Administration (1997)</t>
        </is>
      </c>
      <c r="F109" s="2" t="inlineStr">
        <is>
          <t>The overruling decision was itself later: overruled by Vinubhai Haribhai Malaviya v. State of Gujarat (2019) [L2-018]</t>
        </is>
      </c>
      <c r="G109" s="2" t="inlineStr">
        <is>
          <t>Does the recorded status of the earlier decision still stand? (confirm = it stands; change = give the new treatment; keep = decide next week)</t>
        </is>
      </c>
      <c r="H109" s="12" t="inlineStr"/>
      <c r="I109" s="12" t="inlineStr"/>
      <c r="J109" s="13" t="inlineStr"/>
      <c r="K109" s="12" t="inlineStr"/>
      <c r="L109" s="12" t="inlineStr"/>
      <c r="M109" s="12" t="inlineStr"/>
      <c r="N109" s="12" t="inlineStr"/>
      <c r="O109" s="13" t="inlineStr"/>
      <c r="P109" s="12" t="inlineStr"/>
      <c r="Q109" s="12" t="inlineStr"/>
      <c r="R109" s="11" t="inlineStr">
        <is>
          <t>2026-10-15</t>
        </is>
      </c>
      <c r="S109" s="11" t="inlineStr"/>
    </row>
    <row r="110">
      <c r="A110" s="11" t="inlineStr">
        <is>
          <t>L1-0410</t>
        </is>
      </c>
      <c r="B110" s="11" t="inlineStr">
        <is>
          <t>chain</t>
        </is>
      </c>
      <c r="C110" s="11" t="n">
        <v>3</v>
      </c>
      <c r="D110" s="2" t="inlineStr">
        <is>
          <t>Commissioner of Income Tax, Madras v. Madurai Mills Co. Ltd. (1973)</t>
        </is>
      </c>
      <c r="E110" s="2" t="inlineStr">
        <is>
          <t>Vania Silk Mills (P) Ltd. v. Commissioner of Income Tax, Ahmedabad (1991)</t>
        </is>
      </c>
      <c r="F110" s="2" t="inlineStr">
        <is>
          <t>The overruling decision was itself later: overruled by Commissioner of Income Tax, Cochin v. Mrs. Grace Collis and Others (2001) [L1-0661]</t>
        </is>
      </c>
      <c r="G110" s="2" t="inlineStr">
        <is>
          <t>Does the recorded status of the earlier decision still stand? (confirm = it stands; change = give the new treatment; keep = decide next week)</t>
        </is>
      </c>
      <c r="H110" s="12" t="inlineStr"/>
      <c r="I110" s="12" t="inlineStr"/>
      <c r="J110" s="13" t="inlineStr"/>
      <c r="K110" s="12" t="inlineStr"/>
      <c r="L110" s="12" t="inlineStr"/>
      <c r="M110" s="12" t="inlineStr"/>
      <c r="N110" s="12" t="inlineStr"/>
      <c r="O110" s="13" t="inlineStr"/>
      <c r="P110" s="12" t="inlineStr"/>
      <c r="Q110" s="12" t="inlineStr"/>
      <c r="R110" s="11" t="inlineStr">
        <is>
          <t>2026-10-15</t>
        </is>
      </c>
      <c r="S110" s="11" t="inlineStr"/>
    </row>
    <row r="111">
      <c r="A111" s="11" t="inlineStr">
        <is>
          <t>L1-0414</t>
        </is>
      </c>
      <c r="B111" s="11" t="inlineStr">
        <is>
          <t>chain</t>
        </is>
      </c>
      <c r="C111" s="11" t="n">
        <v>3</v>
      </c>
      <c r="D111" s="2" t="inlineStr">
        <is>
          <t>The Ahmedabad Textile Industry’s Research Association v. The State of Bombay and Others (1961)</t>
        </is>
      </c>
      <c r="E111" s="2" t="inlineStr">
        <is>
          <t>University of Delhi and Another v. Ram Nath (1963)</t>
        </is>
      </c>
      <c r="F111" s="2" t="inlineStr">
        <is>
          <t>The overruling decision was itself later: overruled by General Manager, Telecom v. A. Srinivasa Rao and Others (1998) [L1-0567]</t>
        </is>
      </c>
      <c r="G111" s="2" t="inlineStr">
        <is>
          <t>Does the recorded status of the earlier decision still stand? (confirm = it stands; change = give the new treatment; keep = decide next week)</t>
        </is>
      </c>
      <c r="H111" s="12" t="inlineStr"/>
      <c r="I111" s="12" t="inlineStr"/>
      <c r="J111" s="13" t="inlineStr"/>
      <c r="K111" s="12" t="inlineStr"/>
      <c r="L111" s="12" t="inlineStr"/>
      <c r="M111" s="12" t="inlineStr"/>
      <c r="N111" s="12" t="inlineStr"/>
      <c r="O111" s="13" t="inlineStr"/>
      <c r="P111" s="12" t="inlineStr"/>
      <c r="Q111" s="12" t="inlineStr"/>
      <c r="R111" s="11" t="inlineStr">
        <is>
          <t>2026-10-15</t>
        </is>
      </c>
      <c r="S111" s="11" t="inlineStr"/>
    </row>
    <row r="112">
      <c r="A112" s="11" t="inlineStr">
        <is>
          <t>L1-0429</t>
        </is>
      </c>
      <c r="B112" s="11" t="inlineStr">
        <is>
          <t>chain</t>
        </is>
      </c>
      <c r="C112" s="11" t="n">
        <v>3</v>
      </c>
      <c r="D112" s="2" t="inlineStr">
        <is>
          <t>Dr. K. Madan v. Smt. Krishnawati and another (1997)</t>
        </is>
      </c>
      <c r="E112" s="2" t="inlineStr">
        <is>
          <t>Punjab National Bank v. Arjun Dev Arora and Others (1987)</t>
        </is>
      </c>
      <c r="F112" s="2" t="inlineStr">
        <is>
          <t>The overruling decision was itself later: overruled by Dr. K. Madan v. Smt. Krishnawati and another (1997) [L1-0313]</t>
        </is>
      </c>
      <c r="G112" s="2" t="inlineStr">
        <is>
          <t>Does the recorded status of the earlier decision still stand? (confirm = it stands; change = give the new treatment; keep = decide next week)</t>
        </is>
      </c>
      <c r="H112" s="12" t="inlineStr"/>
      <c r="I112" s="12" t="inlineStr"/>
      <c r="J112" s="13" t="inlineStr"/>
      <c r="K112" s="12" t="inlineStr"/>
      <c r="L112" s="12" t="inlineStr"/>
      <c r="M112" s="12" t="inlineStr"/>
      <c r="N112" s="12" t="inlineStr"/>
      <c r="O112" s="13" t="inlineStr"/>
      <c r="P112" s="12" t="inlineStr"/>
      <c r="Q112" s="12" t="inlineStr"/>
      <c r="R112" s="11" t="inlineStr">
        <is>
          <t>2026-10-15</t>
        </is>
      </c>
      <c r="S112" s="11" t="inlineStr"/>
    </row>
    <row r="113">
      <c r="A113" s="11" t="inlineStr">
        <is>
          <t>L1-0433</t>
        </is>
      </c>
      <c r="B113" s="11" t="inlineStr">
        <is>
          <t>chain</t>
        </is>
      </c>
      <c r="C113" s="11" t="n">
        <v>3</v>
      </c>
      <c r="D113" s="2" t="inlineStr">
        <is>
          <t>The Corporation of the City of Nagpur v. Its Employees (1960)</t>
        </is>
      </c>
      <c r="E113" s="2" t="inlineStr">
        <is>
          <t>University of Delhi and Another v. Ram Nath (1963)</t>
        </is>
      </c>
      <c r="F113" s="2" t="inlineStr">
        <is>
          <t>The overruling decision was itself later: overruled by General Manager, Telecom v. A. Srinivasa Rao and Others (1998) [L1-0567]</t>
        </is>
      </c>
      <c r="G113" s="2" t="inlineStr">
        <is>
          <t>Does the recorded status of the earlier decision still stand? (confirm = it stands; change = give the new treatment; keep = decide next week)</t>
        </is>
      </c>
      <c r="H113" s="12" t="inlineStr"/>
      <c r="I113" s="12" t="inlineStr"/>
      <c r="J113" s="13" t="inlineStr"/>
      <c r="K113" s="12" t="inlineStr"/>
      <c r="L113" s="12" t="inlineStr"/>
      <c r="M113" s="12" t="inlineStr"/>
      <c r="N113" s="12" t="inlineStr"/>
      <c r="O113" s="13" t="inlineStr"/>
      <c r="P113" s="12" t="inlineStr"/>
      <c r="Q113" s="12" t="inlineStr"/>
      <c r="R113" s="11" t="inlineStr">
        <is>
          <t>2026-10-15</t>
        </is>
      </c>
      <c r="S113" s="11" t="inlineStr"/>
    </row>
    <row r="114">
      <c r="A114" s="11" t="inlineStr">
        <is>
          <t>L1-0441</t>
        </is>
      </c>
      <c r="B114" s="11" t="inlineStr">
        <is>
          <t>chain</t>
        </is>
      </c>
      <c r="C114" s="11" t="n">
        <v>3</v>
      </c>
      <c r="D114" s="2" t="inlineStr">
        <is>
          <t>The Keshav Mills Co. Ltd. v. Commissioner of Income Tax, Bombay North (1965)</t>
        </is>
      </c>
      <c r="E114" s="2" t="inlineStr">
        <is>
          <t>The Indian Aluminium Co. Ltd. v. The Commissioner of Income Tax , West Bengal, Calcutta (1972)</t>
        </is>
      </c>
      <c r="F114" s="2" t="inlineStr">
        <is>
          <t>The overruling decision was itself later: overruled by National Thermal Power Corporation Ltd. v. M/s. Flowmore Private Ltd. and another (1996) [L1-0375]</t>
        </is>
      </c>
      <c r="G114" s="2" t="inlineStr">
        <is>
          <t>Does the recorded status of the earlier decision still stand? (confirm = it stands; change = give the new treatment; keep = decide next week)</t>
        </is>
      </c>
      <c r="H114" s="12" t="inlineStr"/>
      <c r="I114" s="12" t="inlineStr"/>
      <c r="J114" s="13" t="inlineStr"/>
      <c r="K114" s="12" t="inlineStr"/>
      <c r="L114" s="12" t="inlineStr"/>
      <c r="M114" s="12" t="inlineStr"/>
      <c r="N114" s="12" t="inlineStr"/>
      <c r="O114" s="13" t="inlineStr"/>
      <c r="P114" s="12" t="inlineStr"/>
      <c r="Q114" s="12" t="inlineStr"/>
      <c r="R114" s="11" t="inlineStr">
        <is>
          <t>2026-10-15</t>
        </is>
      </c>
      <c r="S114" s="11" t="inlineStr"/>
    </row>
    <row r="115">
      <c r="A115" s="11" t="inlineStr">
        <is>
          <t>L1-0446</t>
        </is>
      </c>
      <c r="B115" s="11" t="inlineStr">
        <is>
          <t>chain</t>
        </is>
      </c>
      <c r="C115" s="11" t="n">
        <v>3</v>
      </c>
      <c r="D115" s="2" t="inlineStr">
        <is>
          <t>Tirlok Singh and Co. v. District Magistrate, Lucknow and Others (1976)</t>
        </is>
      </c>
      <c r="E115" s="2" t="inlineStr">
        <is>
          <t>Ganpat Roy and Others v. Additional District Magistrate and Others (1985)</t>
        </is>
      </c>
      <c r="F115" s="2" t="inlineStr">
        <is>
          <t>The overruling decision was itself later: listed in our reference list as overruled by Tirlok Singh and Co. v. District Magistrate, Lucknow and Others (1976), but the list is inconsistent on this entry [L1-0645]</t>
        </is>
      </c>
      <c r="G115" s="2" t="inlineStr">
        <is>
          <t>Does the recorded status of the earlier decision still stand? (confirm = it stands; change = give the new treatment; keep = decide next week)</t>
        </is>
      </c>
      <c r="H115" s="12" t="inlineStr"/>
      <c r="I115" s="12" t="inlineStr"/>
      <c r="J115" s="13" t="inlineStr"/>
      <c r="K115" s="12" t="inlineStr"/>
      <c r="L115" s="12" t="inlineStr"/>
      <c r="M115" s="12" t="inlineStr"/>
      <c r="N115" s="12" t="inlineStr"/>
      <c r="O115" s="13" t="inlineStr"/>
      <c r="P115" s="12" t="inlineStr"/>
      <c r="Q115" s="12" t="inlineStr"/>
      <c r="R115" s="11" t="inlineStr">
        <is>
          <t>2026-10-15</t>
        </is>
      </c>
      <c r="S115" s="11" t="inlineStr"/>
    </row>
    <row r="116">
      <c r="A116" s="11" t="inlineStr">
        <is>
          <t>L1-0454</t>
        </is>
      </c>
      <c r="B116" s="11" t="inlineStr">
        <is>
          <t>chain</t>
        </is>
      </c>
      <c r="C116" s="11" t="n">
        <v>3</v>
      </c>
      <c r="D116" s="2" t="inlineStr">
        <is>
          <t>P.J. Irani v. The State of Madras (1961)</t>
        </is>
      </c>
      <c r="E116" s="2" t="inlineStr">
        <is>
          <t>Kesho Ram and Co. and Others etc. v. Union of India (UOI) and Others (1989)</t>
        </is>
      </c>
      <c r="F116" s="2" t="inlineStr">
        <is>
          <t>The overruling decision was itself later: overruled by Shri Kishan @ Krishan Kumar v. Manoj Kumar Etc. Etc. (1998) [L1-0631]</t>
        </is>
      </c>
      <c r="G116" s="2" t="inlineStr">
        <is>
          <t>Does the recorded status of the earlier decision still stand? (confirm = it stands; change = give the new treatment; keep = decide next week)</t>
        </is>
      </c>
      <c r="H116" s="12" t="inlineStr"/>
      <c r="I116" s="12" t="inlineStr"/>
      <c r="J116" s="13" t="inlineStr"/>
      <c r="K116" s="12" t="inlineStr"/>
      <c r="L116" s="12" t="inlineStr"/>
      <c r="M116" s="12" t="inlineStr"/>
      <c r="N116" s="12" t="inlineStr"/>
      <c r="O116" s="13" t="inlineStr"/>
      <c r="P116" s="12" t="inlineStr"/>
      <c r="Q116" s="12" t="inlineStr"/>
      <c r="R116" s="11" t="inlineStr">
        <is>
          <t>2026-10-15</t>
        </is>
      </c>
      <c r="S116" s="11" t="inlineStr"/>
    </row>
    <row r="117">
      <c r="A117" s="11" t="inlineStr">
        <is>
          <t>L1-0463</t>
        </is>
      </c>
      <c r="B117" s="11" t="inlineStr">
        <is>
          <t>chain</t>
        </is>
      </c>
      <c r="C117" s="11" t="n">
        <v>3</v>
      </c>
      <c r="D117" s="2" t="inlineStr">
        <is>
          <t>Bhagirath v. Delhi Administration (1985)</t>
        </is>
      </c>
      <c r="E117" s="2" t="inlineStr">
        <is>
          <t>Kartar Singh and Others v. State of Haryana (1982)</t>
        </is>
      </c>
      <c r="F117" s="2" t="inlineStr">
        <is>
          <t>The overruling decision was itself later: listed in our reference list as overruled by Bhagirath v. Delhi Administration (1985), but the list is inconsistent on this entry [L1-0535]</t>
        </is>
      </c>
      <c r="G117" s="2" t="inlineStr">
        <is>
          <t>Does the recorded status of the earlier decision still stand? (confirm = it stands; change = give the new treatment; keep = decide next week)</t>
        </is>
      </c>
      <c r="H117" s="12" t="inlineStr"/>
      <c r="I117" s="12" t="inlineStr"/>
      <c r="J117" s="13" t="inlineStr"/>
      <c r="K117" s="12" t="inlineStr"/>
      <c r="L117" s="12" t="inlineStr"/>
      <c r="M117" s="12" t="inlineStr"/>
      <c r="N117" s="12" t="inlineStr"/>
      <c r="O117" s="13" t="inlineStr"/>
      <c r="P117" s="12" t="inlineStr"/>
      <c r="Q117" s="12" t="inlineStr"/>
      <c r="R117" s="11" t="inlineStr">
        <is>
          <t>2026-10-15</t>
        </is>
      </c>
      <c r="S117" s="11" t="inlineStr"/>
    </row>
    <row r="118">
      <c r="A118" s="11" t="inlineStr">
        <is>
          <t>L1-0466</t>
        </is>
      </c>
      <c r="B118" s="11" t="inlineStr">
        <is>
          <t>chain</t>
        </is>
      </c>
      <c r="C118" s="11" t="n">
        <v>3</v>
      </c>
      <c r="D118" s="2" t="inlineStr">
        <is>
          <t>Sajjan Singh v. State of Rajasthan (1965)</t>
        </is>
      </c>
      <c r="E118" s="2" t="inlineStr">
        <is>
          <t>I.C. Golak Nath and Others v. State of Punjab and Another (1967)</t>
        </is>
      </c>
      <c r="F118" s="2" t="inlineStr">
        <is>
          <t>The overruling decision was itself later: overruled by His Holiness Kesavananda Bharati Sripadagalvaru v. State of Kerala (1973) [L1-0509]</t>
        </is>
      </c>
      <c r="G118" s="2" t="inlineStr">
        <is>
          <t>Does the recorded status of the earlier decision still stand? (confirm = it stands; change = give the new treatment; keep = decide next week)</t>
        </is>
      </c>
      <c r="H118" s="12" t="inlineStr"/>
      <c r="I118" s="12" t="inlineStr"/>
      <c r="J118" s="13" t="inlineStr"/>
      <c r="K118" s="12" t="inlineStr"/>
      <c r="L118" s="12" t="inlineStr"/>
      <c r="M118" s="12" t="inlineStr"/>
      <c r="N118" s="12" t="inlineStr"/>
      <c r="O118" s="13" t="inlineStr"/>
      <c r="P118" s="12" t="inlineStr"/>
      <c r="Q118" s="12" t="inlineStr"/>
      <c r="R118" s="11" t="inlineStr">
        <is>
          <t>2026-10-15</t>
        </is>
      </c>
      <c r="S118" s="11" t="inlineStr"/>
    </row>
    <row r="119">
      <c r="A119" s="11" t="inlineStr">
        <is>
          <t>L1-0470</t>
        </is>
      </c>
      <c r="B119" s="11" t="inlineStr">
        <is>
          <t>chain</t>
        </is>
      </c>
      <c r="C119" s="11" t="n">
        <v>3</v>
      </c>
      <c r="D119" s="2" t="inlineStr">
        <is>
          <t>Sri Sankari Prasad Singh Deo v. Union of India (UOI) and State of Bihar (1951)</t>
        </is>
      </c>
      <c r="E119" s="2" t="inlineStr">
        <is>
          <t>I.C. Golak Nath and Others v. State of Punjab and Another (1967)</t>
        </is>
      </c>
      <c r="F119" s="2" t="inlineStr">
        <is>
          <t>The overruling decision was itself later: overruled by His Holiness Kesavananda Bharati Sripadagalvaru v. State of Kerala (1973) [L1-0509]</t>
        </is>
      </c>
      <c r="G119" s="2" t="inlineStr">
        <is>
          <t>Does the recorded status of the earlier decision still stand? (confirm = it stands; change = give the new treatment; keep = decide next week)</t>
        </is>
      </c>
      <c r="H119" s="12" t="inlineStr"/>
      <c r="I119" s="12" t="inlineStr"/>
      <c r="J119" s="13" t="inlineStr"/>
      <c r="K119" s="12" t="inlineStr"/>
      <c r="L119" s="12" t="inlineStr"/>
      <c r="M119" s="12" t="inlineStr"/>
      <c r="N119" s="12" t="inlineStr"/>
      <c r="O119" s="13" t="inlineStr"/>
      <c r="P119" s="12" t="inlineStr"/>
      <c r="Q119" s="12" t="inlineStr"/>
      <c r="R119" s="11" t="inlineStr">
        <is>
          <t>2026-10-15</t>
        </is>
      </c>
      <c r="S119" s="11" t="inlineStr"/>
    </row>
    <row r="120">
      <c r="A120" s="11" t="inlineStr">
        <is>
          <t>L1-0473</t>
        </is>
      </c>
      <c r="B120" s="11" t="inlineStr">
        <is>
          <t>chain</t>
        </is>
      </c>
      <c r="C120" s="11" t="n">
        <v>3</v>
      </c>
      <c r="D120" s="2" t="inlineStr">
        <is>
          <t>Manindra Land and Building Corporation Ltd. v. Bhutnath Banerjee and Others (1964)</t>
        </is>
      </c>
      <c r="E120" s="2" t="inlineStr">
        <is>
          <t>Vora Abbasbhai Alimahomed v. Haji Gulamnabi Haji Safibhai (1964)</t>
        </is>
      </c>
      <c r="F120" s="2" t="inlineStr">
        <is>
          <t>The overruling decision was itself later: overruled by Harbanslal Jagmohandas and Another v. Prabhudas Shivlal (1976) [L1-0363]</t>
        </is>
      </c>
      <c r="G120" s="2" t="inlineStr">
        <is>
          <t>Does the recorded status of the earlier decision still stand? (confirm = it stands; change = give the new treatment; keep = decide next week)</t>
        </is>
      </c>
      <c r="H120" s="12" t="inlineStr"/>
      <c r="I120" s="12" t="inlineStr"/>
      <c r="J120" s="13" t="inlineStr"/>
      <c r="K120" s="12" t="inlineStr"/>
      <c r="L120" s="12" t="inlineStr"/>
      <c r="M120" s="12" t="inlineStr"/>
      <c r="N120" s="12" t="inlineStr"/>
      <c r="O120" s="13" t="inlineStr"/>
      <c r="P120" s="12" t="inlineStr"/>
      <c r="Q120" s="12" t="inlineStr"/>
      <c r="R120" s="11" t="inlineStr">
        <is>
          <t>2026-10-15</t>
        </is>
      </c>
      <c r="S120" s="11" t="inlineStr"/>
    </row>
    <row r="121">
      <c r="A121" s="11" t="inlineStr">
        <is>
          <t>L1-0474</t>
        </is>
      </c>
      <c r="B121" s="11" t="inlineStr">
        <is>
          <t>chain</t>
        </is>
      </c>
      <c r="C121" s="11" t="n">
        <v>3</v>
      </c>
      <c r="D121" s="2" t="inlineStr">
        <is>
          <t>The Commissioner of Income Tax, Lucknow v. Sh. Madho Pd. Jatia (1977)</t>
        </is>
      </c>
      <c r="E121" s="2" t="inlineStr">
        <is>
          <t>Commissioner of Income Tax, West Bengal-1, Calcutta v. Simon Carves Limited (1976)</t>
        </is>
      </c>
      <c r="F121" s="2" t="inlineStr">
        <is>
          <t>The overruling decision was itself later: listed in our reference list as overruled by The Commissioner of Income Tax, Lucknow v. Sh. Madho Pd. Jatia (1977), but the list is inconsistent on this entry [L1-0594]</t>
        </is>
      </c>
      <c r="G121" s="2" t="inlineStr">
        <is>
          <t>Does the recorded status of the earlier decision still stand? (confirm = it stands; change = give the new treatment; keep = decide next week)</t>
        </is>
      </c>
      <c r="H121" s="12" t="inlineStr"/>
      <c r="I121" s="12" t="inlineStr"/>
      <c r="J121" s="13" t="inlineStr"/>
      <c r="K121" s="12" t="inlineStr"/>
      <c r="L121" s="12" t="inlineStr"/>
      <c r="M121" s="12" t="inlineStr"/>
      <c r="N121" s="12" t="inlineStr"/>
      <c r="O121" s="13" t="inlineStr"/>
      <c r="P121" s="12" t="inlineStr"/>
      <c r="Q121" s="12" t="inlineStr"/>
      <c r="R121" s="11" t="inlineStr">
        <is>
          <t>2026-10-15</t>
        </is>
      </c>
      <c r="S121" s="11" t="inlineStr"/>
    </row>
    <row r="122">
      <c r="A122" s="11" t="inlineStr">
        <is>
          <t>L1-0482</t>
        </is>
      </c>
      <c r="B122" s="11" t="inlineStr">
        <is>
          <t>chain</t>
        </is>
      </c>
      <c r="C122" s="11" t="n">
        <v>3</v>
      </c>
      <c r="D122" s="2" t="inlineStr">
        <is>
          <t>Smt. Somavanti and Others v. The State of Punjab and Others (1963)</t>
        </is>
      </c>
      <c r="E122" s="2" t="inlineStr">
        <is>
          <t>Kesho Ram and Co. and Others etc. v. Union of India (UOI) and Others (1989)</t>
        </is>
      </c>
      <c r="F122" s="2" t="inlineStr">
        <is>
          <t>The overruling decision was itself later: overruled by Shri Kishan @ Krishan Kumar v. Manoj Kumar Etc. Etc. (1998) [L1-0631]</t>
        </is>
      </c>
      <c r="G122" s="2" t="inlineStr">
        <is>
          <t>Does the recorded status of the earlier decision still stand? (confirm = it stands; change = give the new treatment; keep = decide next week)</t>
        </is>
      </c>
      <c r="H122" s="12" t="inlineStr"/>
      <c r="I122" s="12" t="inlineStr"/>
      <c r="J122" s="13" t="inlineStr"/>
      <c r="K122" s="12" t="inlineStr"/>
      <c r="L122" s="12" t="inlineStr"/>
      <c r="M122" s="12" t="inlineStr"/>
      <c r="N122" s="12" t="inlineStr"/>
      <c r="O122" s="13" t="inlineStr"/>
      <c r="P122" s="12" t="inlineStr"/>
      <c r="Q122" s="12" t="inlineStr"/>
      <c r="R122" s="11" t="inlineStr">
        <is>
          <t>2026-10-15</t>
        </is>
      </c>
      <c r="S122" s="11" t="inlineStr"/>
    </row>
    <row r="123">
      <c r="A123" s="11" t="inlineStr">
        <is>
          <t>L1-0485</t>
        </is>
      </c>
      <c r="B123" s="11" t="inlineStr">
        <is>
          <t>chain</t>
        </is>
      </c>
      <c r="C123" s="11" t="n">
        <v>3</v>
      </c>
      <c r="D123" s="2" t="inlineStr">
        <is>
          <t>Anil Kumar Neotia and Others v. Union of India (UOI) and Others (1988)</t>
        </is>
      </c>
      <c r="E123" s="2" t="inlineStr">
        <is>
          <t>Kesho Ram and Co. and Others etc. v. Union of India (UOI) and Others (1989)</t>
        </is>
      </c>
      <c r="F123" s="2" t="inlineStr">
        <is>
          <t>The overruling decision was itself later: overruled by Shri Kishan @ Krishan Kumar v. Manoj Kumar Etc. Etc. (1998) [L1-0631]</t>
        </is>
      </c>
      <c r="G123" s="2" t="inlineStr">
        <is>
          <t>Does the recorded status of the earlier decision still stand? (confirm = it stands; change = give the new treatment; keep = decide next week)</t>
        </is>
      </c>
      <c r="H123" s="12" t="inlineStr"/>
      <c r="I123" s="12" t="inlineStr"/>
      <c r="J123" s="13" t="inlineStr"/>
      <c r="K123" s="12" t="inlineStr"/>
      <c r="L123" s="12" t="inlineStr"/>
      <c r="M123" s="12" t="inlineStr"/>
      <c r="N123" s="12" t="inlineStr"/>
      <c r="O123" s="13" t="inlineStr"/>
      <c r="P123" s="12" t="inlineStr"/>
      <c r="Q123" s="12" t="inlineStr"/>
      <c r="R123" s="11" t="inlineStr">
        <is>
          <t>2026-10-15</t>
        </is>
      </c>
      <c r="S123" s="11" t="inlineStr"/>
    </row>
    <row r="124">
      <c r="A124" s="11" t="inlineStr">
        <is>
          <t>L1-0490</t>
        </is>
      </c>
      <c r="B124" s="11" t="inlineStr">
        <is>
          <t>chain</t>
        </is>
      </c>
      <c r="C124" s="11" t="n">
        <v>3</v>
      </c>
      <c r="D124" s="2" t="inlineStr">
        <is>
          <t>Bhikaji Narain Dhakras and Others v. The State of Madhya Pradesh and Another (1955)</t>
        </is>
      </c>
      <c r="E124" s="2" t="inlineStr">
        <is>
          <t>Deep Chand v. The State of Uttar Pradesh and Others (1959)</t>
        </is>
      </c>
      <c r="F124" s="2" t="inlineStr">
        <is>
          <t>The overruling decision was itself later: overruled by Dr. A.K. Sabhapathy v. State of Kerala and others (1992) [L1-0248]</t>
        </is>
      </c>
      <c r="G124" s="2" t="inlineStr">
        <is>
          <t>Does the recorded status of the earlier decision still stand? (confirm = it stands; change = give the new treatment; keep = decide next week)</t>
        </is>
      </c>
      <c r="H124" s="12" t="inlineStr"/>
      <c r="I124" s="12" t="inlineStr"/>
      <c r="J124" s="13" t="inlineStr"/>
      <c r="K124" s="12" t="inlineStr"/>
      <c r="L124" s="12" t="inlineStr"/>
      <c r="M124" s="12" t="inlineStr"/>
      <c r="N124" s="12" t="inlineStr"/>
      <c r="O124" s="13" t="inlineStr"/>
      <c r="P124" s="12" t="inlineStr"/>
      <c r="Q124" s="12" t="inlineStr"/>
      <c r="R124" s="11" t="inlineStr">
        <is>
          <t>2026-10-15</t>
        </is>
      </c>
      <c r="S124" s="11" t="inlineStr"/>
    </row>
    <row r="125">
      <c r="A125" s="11" t="inlineStr">
        <is>
          <t>L1-0499</t>
        </is>
      </c>
      <c r="B125" s="11" t="inlineStr">
        <is>
          <t>chain</t>
        </is>
      </c>
      <c r="C125" s="11" t="n">
        <v>3</v>
      </c>
      <c r="D125" s="2" t="inlineStr">
        <is>
          <t>The State of Bombay and Another v. F.N. Balsara (1951)</t>
        </is>
      </c>
      <c r="E125" s="2" t="inlineStr">
        <is>
          <t>Synthetics and Chemicals Ltd. and Others v. State of U.P. and Others (1990)</t>
        </is>
      </c>
      <c r="F125" s="2" t="inlineStr">
        <is>
          <t>The overruling decision was itself later: overruled by State of U.P. v. Lalta Prasad Vaish &amp; Sons (2024) [L2-051]</t>
        </is>
      </c>
      <c r="G125" s="2" t="inlineStr">
        <is>
          <t>Does the recorded status of the earlier decision still stand? (confirm = it stands; change = give the new treatment; keep = decide next week)</t>
        </is>
      </c>
      <c r="H125" s="12" t="inlineStr"/>
      <c r="I125" s="12" t="inlineStr"/>
      <c r="J125" s="13" t="inlineStr"/>
      <c r="K125" s="12" t="inlineStr"/>
      <c r="L125" s="12" t="inlineStr"/>
      <c r="M125" s="12" t="inlineStr"/>
      <c r="N125" s="12" t="inlineStr"/>
      <c r="O125" s="13" t="inlineStr"/>
      <c r="P125" s="12" t="inlineStr"/>
      <c r="Q125" s="12" t="inlineStr"/>
      <c r="R125" s="11" t="inlineStr">
        <is>
          <t>2026-10-15</t>
        </is>
      </c>
      <c r="S125" s="11" t="inlineStr"/>
    </row>
    <row r="126">
      <c r="A126" s="11" t="inlineStr">
        <is>
          <t>L1-0506</t>
        </is>
      </c>
      <c r="B126" s="11" t="inlineStr">
        <is>
          <t>chain</t>
        </is>
      </c>
      <c r="C126" s="11" t="n">
        <v>3</v>
      </c>
      <c r="D126" s="2" t="inlineStr">
        <is>
          <t>Superintendent and Legal Remembrancer, State of West Bengal v. Corporation of Calcutta (1967)</t>
        </is>
      </c>
      <c r="E126" s="2" t="inlineStr">
        <is>
          <t>Director of Rationing and Distribution v. The Corporation of Calcutta and Others (1960)</t>
        </is>
      </c>
      <c r="F126" s="2" t="inlineStr">
        <is>
          <t>The overruling decision was itself later: listed in our reference list as overruled by Superintendent and Legal Remembrancer, State of West Bengal v. Corporation of Calcutta (1967), but the list is inconsistent on this entry [L1-0247]</t>
        </is>
      </c>
      <c r="G126" s="2" t="inlineStr">
        <is>
          <t>Does the recorded status of the earlier decision still stand? (confirm = it stands; change = give the new treatment; keep = decide next week)</t>
        </is>
      </c>
      <c r="H126" s="12" t="inlineStr"/>
      <c r="I126" s="12" t="inlineStr"/>
      <c r="J126" s="13" t="inlineStr"/>
      <c r="K126" s="12" t="inlineStr"/>
      <c r="L126" s="12" t="inlineStr"/>
      <c r="M126" s="12" t="inlineStr"/>
      <c r="N126" s="12" t="inlineStr"/>
      <c r="O126" s="13" t="inlineStr"/>
      <c r="P126" s="12" t="inlineStr"/>
      <c r="Q126" s="12" t="inlineStr"/>
      <c r="R126" s="11" t="inlineStr">
        <is>
          <t>2026-10-15</t>
        </is>
      </c>
      <c r="S126" s="11" t="inlineStr"/>
    </row>
    <row r="127">
      <c r="A127" s="11" t="inlineStr">
        <is>
          <t>L1-0510</t>
        </is>
      </c>
      <c r="B127" s="11" t="inlineStr">
        <is>
          <t>chain</t>
        </is>
      </c>
      <c r="C127" s="11" t="n">
        <v>3</v>
      </c>
      <c r="D127" s="2" t="inlineStr">
        <is>
          <t>Atma Ram Mittal v. Ishwar Singh Punia (1988)</t>
        </is>
      </c>
      <c r="E127" s="2" t="inlineStr">
        <is>
          <t>Kesho Ram and Co. and Others etc. v. Union of India (UOI) and Others (1989)</t>
        </is>
      </c>
      <c r="F127" s="2" t="inlineStr">
        <is>
          <t>The overruling decision was itself later: overruled by Shri Kishan @ Krishan Kumar v. Manoj Kumar Etc. Etc. (1998) [L1-0631]</t>
        </is>
      </c>
      <c r="G127" s="2" t="inlineStr">
        <is>
          <t>Does the recorded status of the earlier decision still stand? (confirm = it stands; change = give the new treatment; keep = decide next week)</t>
        </is>
      </c>
      <c r="H127" s="12" t="inlineStr"/>
      <c r="I127" s="12" t="inlineStr"/>
      <c r="J127" s="13" t="inlineStr"/>
      <c r="K127" s="12" t="inlineStr"/>
      <c r="L127" s="12" t="inlineStr"/>
      <c r="M127" s="12" t="inlineStr"/>
      <c r="N127" s="12" t="inlineStr"/>
      <c r="O127" s="13" t="inlineStr"/>
      <c r="P127" s="12" t="inlineStr"/>
      <c r="Q127" s="12" t="inlineStr"/>
      <c r="R127" s="11" t="inlineStr">
        <is>
          <t>2026-10-15</t>
        </is>
      </c>
      <c r="S127" s="11" t="inlineStr"/>
    </row>
    <row r="128">
      <c r="A128" s="11" t="inlineStr">
        <is>
          <t>L1-0518</t>
        </is>
      </c>
      <c r="B128" s="11" t="inlineStr">
        <is>
          <t>chain</t>
        </is>
      </c>
      <c r="C128" s="11" t="n">
        <v>3</v>
      </c>
      <c r="D128" s="2" t="inlineStr">
        <is>
          <t>Baidyanath Mahapatra v. State of Orissa and Another (1989)</t>
        </is>
      </c>
      <c r="E128" s="2" t="inlineStr">
        <is>
          <t>Brij Mohan Singh Chopra v. State of Punjab (1987)</t>
        </is>
      </c>
      <c r="F128" s="2" t="inlineStr">
        <is>
          <t>The overruling decision was itself later: overruled by Baikuntha Nath Das and another v. Chief District Medical Officer, Baripada and another (1992) [L1-0583]</t>
        </is>
      </c>
      <c r="G128" s="2" t="inlineStr">
        <is>
          <t>Does the recorded status of the earlier decision still stand? (confirm = it stands; change = give the new treatment; keep = decide next week)</t>
        </is>
      </c>
      <c r="H128" s="12" t="inlineStr"/>
      <c r="I128" s="12" t="inlineStr"/>
      <c r="J128" s="13" t="inlineStr"/>
      <c r="K128" s="12" t="inlineStr"/>
      <c r="L128" s="12" t="inlineStr"/>
      <c r="M128" s="12" t="inlineStr"/>
      <c r="N128" s="12" t="inlineStr"/>
      <c r="O128" s="13" t="inlineStr"/>
      <c r="P128" s="12" t="inlineStr"/>
      <c r="Q128" s="12" t="inlineStr"/>
      <c r="R128" s="11" t="inlineStr">
        <is>
          <t>2026-10-15</t>
        </is>
      </c>
      <c r="S128" s="11" t="inlineStr"/>
    </row>
    <row r="129">
      <c r="A129" s="11" t="inlineStr">
        <is>
          <t>L1-0530</t>
        </is>
      </c>
      <c r="B129" s="11" t="inlineStr">
        <is>
          <t>chain</t>
        </is>
      </c>
      <c r="C129" s="11" t="n">
        <v>3</v>
      </c>
      <c r="D129" s="2" t="inlineStr">
        <is>
          <t>Achal Misra v. Rama Shanker Singh and Others (2000)</t>
        </is>
      </c>
      <c r="E129" s="2" t="inlineStr">
        <is>
          <t>Tirlok Singh and Co. v. District Magistrate, Lucknow and Others (1976)</t>
        </is>
      </c>
      <c r="F129" s="2" t="inlineStr">
        <is>
          <t>The overruling decision was itself later: listed in our reference list as overruled by Ganpat Roy and Others v. Additional District Magistrate and Others (1985), but the list is inconsistent on this entry [L1-0446]</t>
        </is>
      </c>
      <c r="G129" s="2" t="inlineStr">
        <is>
          <t>Does the recorded status of the earlier decision still stand? (confirm = it stands; change = give the new treatment; keep = decide next week)</t>
        </is>
      </c>
      <c r="H129" s="12" t="inlineStr"/>
      <c r="I129" s="12" t="inlineStr"/>
      <c r="J129" s="13" t="inlineStr"/>
      <c r="K129" s="12" t="inlineStr"/>
      <c r="L129" s="12" t="inlineStr"/>
      <c r="M129" s="12" t="inlineStr"/>
      <c r="N129" s="12" t="inlineStr"/>
      <c r="O129" s="13" t="inlineStr"/>
      <c r="P129" s="12" t="inlineStr"/>
      <c r="Q129" s="12" t="inlineStr"/>
      <c r="R129" s="11" t="inlineStr">
        <is>
          <t>2026-10-15</t>
        </is>
      </c>
      <c r="S129" s="11" t="inlineStr"/>
    </row>
    <row r="130">
      <c r="A130" s="11" t="inlineStr">
        <is>
          <t>L1-0535</t>
        </is>
      </c>
      <c r="B130" s="11" t="inlineStr">
        <is>
          <t>chain</t>
        </is>
      </c>
      <c r="C130" s="11" t="n">
        <v>3</v>
      </c>
      <c r="D130" s="2" t="inlineStr">
        <is>
          <t>Kartar Singh and Others v. State of Haryana (1982)</t>
        </is>
      </c>
      <c r="E130" s="2" t="inlineStr">
        <is>
          <t>Bhagirath v. Delhi Administration (1985)</t>
        </is>
      </c>
      <c r="F130" s="2" t="inlineStr">
        <is>
          <t>The overruling decision was itself later: listed in our reference list as overruled by Kartar Singh and Others v. State of Haryana (1982), but the list is inconsistent on this entry [L1-0463]</t>
        </is>
      </c>
      <c r="G130" s="2" t="inlineStr">
        <is>
          <t>Does the recorded status of the earlier decision still stand? (confirm = it stands; change = give the new treatment; keep = decide next week)</t>
        </is>
      </c>
      <c r="H130" s="12" t="inlineStr"/>
      <c r="I130" s="12" t="inlineStr"/>
      <c r="J130" s="13" t="inlineStr"/>
      <c r="K130" s="12" t="inlineStr"/>
      <c r="L130" s="12" t="inlineStr"/>
      <c r="M130" s="12" t="inlineStr"/>
      <c r="N130" s="12" t="inlineStr"/>
      <c r="O130" s="13" t="inlineStr"/>
      <c r="P130" s="12" t="inlineStr"/>
      <c r="Q130" s="12" t="inlineStr"/>
      <c r="R130" s="11" t="inlineStr">
        <is>
          <t>2026-10-15</t>
        </is>
      </c>
      <c r="S130" s="11" t="inlineStr"/>
    </row>
    <row r="131">
      <c r="A131" s="11" t="inlineStr">
        <is>
          <t>L1-0545</t>
        </is>
      </c>
      <c r="B131" s="11" t="inlineStr">
        <is>
          <t>chain</t>
        </is>
      </c>
      <c r="C131" s="11" t="n">
        <v>3</v>
      </c>
      <c r="D131" s="2" t="inlineStr">
        <is>
          <t>Hanuman Jute Mills v. Amin Das and Another (1957)</t>
        </is>
      </c>
      <c r="E131" s="2" t="inlineStr">
        <is>
          <t>Ram Lal Narang v. State (Delhi Administration) (1979)</t>
        </is>
      </c>
      <c r="F131" s="2" t="inlineStr">
        <is>
          <t>The overruling decision was itself later: overruled by Randhir Singh Rana v. The State Being the Delhi Administration (1997) [L1-0407]</t>
        </is>
      </c>
      <c r="G131" s="2" t="inlineStr">
        <is>
          <t>Does the recorded status of the earlier decision still stand? (confirm = it stands; change = give the new treatment; keep = decide next week)</t>
        </is>
      </c>
      <c r="H131" s="12" t="inlineStr"/>
      <c r="I131" s="12" t="inlineStr"/>
      <c r="J131" s="13" t="inlineStr"/>
      <c r="K131" s="12" t="inlineStr"/>
      <c r="L131" s="12" t="inlineStr"/>
      <c r="M131" s="12" t="inlineStr"/>
      <c r="N131" s="12" t="inlineStr"/>
      <c r="O131" s="13" t="inlineStr"/>
      <c r="P131" s="12" t="inlineStr"/>
      <c r="Q131" s="12" t="inlineStr"/>
      <c r="R131" s="11" t="inlineStr">
        <is>
          <t>2026-10-15</t>
        </is>
      </c>
      <c r="S131" s="11" t="inlineStr"/>
    </row>
    <row r="132">
      <c r="A132" s="11" t="inlineStr">
        <is>
          <t>L1-0550</t>
        </is>
      </c>
      <c r="B132" s="11" t="inlineStr">
        <is>
          <t>chain</t>
        </is>
      </c>
      <c r="C132" s="11" t="n">
        <v>3</v>
      </c>
      <c r="D132" s="2" t="inlineStr">
        <is>
          <t>Travancore Titanium Products Ltd. v. Commissioner of Income Tax, Kerala (1966)</t>
        </is>
      </c>
      <c r="E132" s="2" t="inlineStr">
        <is>
          <t>The Indian Aluminium Co. Ltd. v. The Commissioner of Income Tax , West Bengal, Calcutta (1972)</t>
        </is>
      </c>
      <c r="F132" s="2" t="inlineStr">
        <is>
          <t>The overruling decision was itself later: overruled by National Thermal Power Corporation Ltd. v. M/s. Flowmore Private Ltd. and another (1996) [L1-0375]</t>
        </is>
      </c>
      <c r="G132" s="2" t="inlineStr">
        <is>
          <t>Does the recorded status of the earlier decision still stand? (confirm = it stands; change = give the new treatment; keep = decide next week)</t>
        </is>
      </c>
      <c r="H132" s="12" t="inlineStr"/>
      <c r="I132" s="12" t="inlineStr"/>
      <c r="J132" s="13" t="inlineStr"/>
      <c r="K132" s="12" t="inlineStr"/>
      <c r="L132" s="12" t="inlineStr"/>
      <c r="M132" s="12" t="inlineStr"/>
      <c r="N132" s="12" t="inlineStr"/>
      <c r="O132" s="13" t="inlineStr"/>
      <c r="P132" s="12" t="inlineStr"/>
      <c r="Q132" s="12" t="inlineStr"/>
      <c r="R132" s="11" t="inlineStr">
        <is>
          <t>2026-10-15</t>
        </is>
      </c>
      <c r="S132" s="11" t="inlineStr"/>
    </row>
    <row r="133">
      <c r="A133" s="11" t="inlineStr">
        <is>
          <t>L1-0561</t>
        </is>
      </c>
      <c r="B133" s="11" t="inlineStr">
        <is>
          <t>chain</t>
        </is>
      </c>
      <c r="C133" s="11" t="n">
        <v>3</v>
      </c>
      <c r="D133" s="2" t="inlineStr">
        <is>
          <t>Bhag Singh and Others v. Union Territory of Chandigarh through the land acquisition collector, Chandigarh (1985)</t>
        </is>
      </c>
      <c r="E133" s="2" t="inlineStr">
        <is>
          <t>Krishi Utpadan Mandi Samiti v. Kanhaiya Lal and Others (2000)</t>
        </is>
      </c>
      <c r="F133" s="2" t="inlineStr">
        <is>
          <t>The overruling decision was itself later: overruled by The Land Acquisition Officer-cum- DSWO, Andhra Pradesh v. B.V. Reddy and Sons (2002) [L1-0302]</t>
        </is>
      </c>
      <c r="G133" s="2" t="inlineStr">
        <is>
          <t>Does the recorded status of the earlier decision still stand? (confirm = it stands; change = give the new treatment; keep = decide next week)</t>
        </is>
      </c>
      <c r="H133" s="12" t="inlineStr"/>
      <c r="I133" s="12" t="inlineStr"/>
      <c r="J133" s="13" t="inlineStr"/>
      <c r="K133" s="12" t="inlineStr"/>
      <c r="L133" s="12" t="inlineStr"/>
      <c r="M133" s="12" t="inlineStr"/>
      <c r="N133" s="12" t="inlineStr"/>
      <c r="O133" s="13" t="inlineStr"/>
      <c r="P133" s="12" t="inlineStr"/>
      <c r="Q133" s="12" t="inlineStr"/>
      <c r="R133" s="11" t="inlineStr">
        <is>
          <t>2026-10-15</t>
        </is>
      </c>
      <c r="S133" s="11" t="inlineStr"/>
    </row>
    <row r="134">
      <c r="A134" s="11" t="inlineStr">
        <is>
          <t>L1-0589</t>
        </is>
      </c>
      <c r="B134" s="11" t="inlineStr">
        <is>
          <t>chain</t>
        </is>
      </c>
      <c r="C134" s="11" t="n">
        <v>3</v>
      </c>
      <c r="D134" s="2" t="inlineStr">
        <is>
          <t>Heavy Engineering Mazdoor Union v. State of Bihar and Others (1970)</t>
        </is>
      </c>
      <c r="E134" s="2" t="inlineStr">
        <is>
          <t>Air India Statutory Corporation, etc. v. United Labour Union and others (1997)</t>
        </is>
      </c>
      <c r="F134" s="2" t="inlineStr">
        <is>
          <t>The overruling decision was itself later: overruled by Steel Authority of India Ltd. and Others etc. etc. v. National Union Water Front Workers and Others etc. (2001) [L1-0575]</t>
        </is>
      </c>
      <c r="G134" s="2" t="inlineStr">
        <is>
          <t>Does the recorded status of the earlier decision still stand? (confirm = it stands; change = give the new treatment; keep = decide next week)</t>
        </is>
      </c>
      <c r="H134" s="12" t="inlineStr"/>
      <c r="I134" s="12" t="inlineStr"/>
      <c r="J134" s="13" t="inlineStr"/>
      <c r="K134" s="12" t="inlineStr"/>
      <c r="L134" s="12" t="inlineStr"/>
      <c r="M134" s="12" t="inlineStr"/>
      <c r="N134" s="12" t="inlineStr"/>
      <c r="O134" s="13" t="inlineStr"/>
      <c r="P134" s="12" t="inlineStr"/>
      <c r="Q134" s="12" t="inlineStr"/>
      <c r="R134" s="11" t="inlineStr">
        <is>
          <t>2026-10-15</t>
        </is>
      </c>
      <c r="S134" s="11" t="inlineStr"/>
    </row>
    <row r="135">
      <c r="A135" s="11" t="inlineStr">
        <is>
          <t>L1-0592</t>
        </is>
      </c>
      <c r="B135" s="11" t="inlineStr">
        <is>
          <t>chain</t>
        </is>
      </c>
      <c r="C135" s="11" t="n">
        <v>3</v>
      </c>
      <c r="D135" s="2" t="inlineStr">
        <is>
          <t>Shri Rattan Lal v. Shri Vardesh Chander and Others (1976)</t>
        </is>
      </c>
      <c r="E135" s="2" t="inlineStr">
        <is>
          <t>V. Dhanapal Chettiar v. Yesodai Ammal (1979)</t>
        </is>
      </c>
      <c r="F135" s="2" t="inlineStr">
        <is>
          <t>The overruling decision was itself later: overruled by Tara Chand and Another v. Ram Prasad (1990) [L1-0237]</t>
        </is>
      </c>
      <c r="G135" s="2" t="inlineStr">
        <is>
          <t>Does the recorded status of the earlier decision still stand? (confirm = it stands; change = give the new treatment; keep = decide next week)</t>
        </is>
      </c>
      <c r="H135" s="12" t="inlineStr"/>
      <c r="I135" s="12" t="inlineStr"/>
      <c r="J135" s="13" t="inlineStr"/>
      <c r="K135" s="12" t="inlineStr"/>
      <c r="L135" s="12" t="inlineStr"/>
      <c r="M135" s="12" t="inlineStr"/>
      <c r="N135" s="12" t="inlineStr"/>
      <c r="O135" s="13" t="inlineStr"/>
      <c r="P135" s="12" t="inlineStr"/>
      <c r="Q135" s="12" t="inlineStr"/>
      <c r="R135" s="11" t="inlineStr">
        <is>
          <t>2026-10-15</t>
        </is>
      </c>
      <c r="S135" s="11" t="inlineStr"/>
    </row>
    <row r="136">
      <c r="A136" s="11" t="inlineStr">
        <is>
          <t>L1-0594</t>
        </is>
      </c>
      <c r="B136" s="11" t="inlineStr">
        <is>
          <t>chain</t>
        </is>
      </c>
      <c r="C136" s="11" t="n">
        <v>3</v>
      </c>
      <c r="D136" s="2" t="inlineStr">
        <is>
          <t>Commissioner of Income Tax, West Bengal-1, Calcutta v. Simon Carves Limited (1976)</t>
        </is>
      </c>
      <c r="E136" s="2" t="inlineStr">
        <is>
          <t>The Commissioner of Income Tax, Lucknow v. Sh. Madho Pd. Jatia (1977)</t>
        </is>
      </c>
      <c r="F136" s="2" t="inlineStr">
        <is>
          <t>The overruling decision was itself later: listed in our reference list as overruled by Commissioner of Income Tax, West Bengal-1, Calcutta v. Simon Carves Limited (1976), but the list is inconsistent on this entry [L1-0474]</t>
        </is>
      </c>
      <c r="G136" s="2" t="inlineStr">
        <is>
          <t>Does the recorded status of the earlier decision still stand? (confirm = it stands; change = give the new treatment; keep = decide next week)</t>
        </is>
      </c>
      <c r="H136" s="12" t="inlineStr"/>
      <c r="I136" s="12" t="inlineStr"/>
      <c r="J136" s="13" t="inlineStr"/>
      <c r="K136" s="12" t="inlineStr"/>
      <c r="L136" s="12" t="inlineStr"/>
      <c r="M136" s="12" t="inlineStr"/>
      <c r="N136" s="12" t="inlineStr"/>
      <c r="O136" s="13" t="inlineStr"/>
      <c r="P136" s="12" t="inlineStr"/>
      <c r="Q136" s="12" t="inlineStr"/>
      <c r="R136" s="11" t="inlineStr">
        <is>
          <t>2026-10-15</t>
        </is>
      </c>
      <c r="S136" s="11" t="inlineStr"/>
    </row>
    <row r="137">
      <c r="A137" s="11" t="inlineStr">
        <is>
          <t>L1-0595</t>
        </is>
      </c>
      <c r="B137" s="11" t="inlineStr">
        <is>
          <t>chain</t>
        </is>
      </c>
      <c r="C137" s="11" t="n">
        <v>3</v>
      </c>
      <c r="D137" s="2" t="inlineStr">
        <is>
          <t>Mangilal v. Suganchand Rathi (1965)</t>
        </is>
      </c>
      <c r="E137" s="2" t="inlineStr">
        <is>
          <t>V. Dhanapal Chettiar v. Yesodai Ammal (1979)</t>
        </is>
      </c>
      <c r="F137" s="2" t="inlineStr">
        <is>
          <t>The overruling decision was itself later: overruled by Tara Chand and Another v. Ram Prasad (1990) [L1-0237]</t>
        </is>
      </c>
      <c r="G137" s="2" t="inlineStr">
        <is>
          <t>Does the recorded status of the earlier decision still stand? (confirm = it stands; change = give the new treatment; keep = decide next week)</t>
        </is>
      </c>
      <c r="H137" s="12" t="inlineStr"/>
      <c r="I137" s="12" t="inlineStr"/>
      <c r="J137" s="13" t="inlineStr"/>
      <c r="K137" s="12" t="inlineStr"/>
      <c r="L137" s="12" t="inlineStr"/>
      <c r="M137" s="12" t="inlineStr"/>
      <c r="N137" s="12" t="inlineStr"/>
      <c r="O137" s="13" t="inlineStr"/>
      <c r="P137" s="12" t="inlineStr"/>
      <c r="Q137" s="12" t="inlineStr"/>
      <c r="R137" s="11" t="inlineStr">
        <is>
          <t>2026-10-15</t>
        </is>
      </c>
      <c r="S137" s="11" t="inlineStr"/>
    </row>
    <row r="138">
      <c r="A138" s="11" t="inlineStr">
        <is>
          <t>L1-0598</t>
        </is>
      </c>
      <c r="B138" s="11" t="inlineStr">
        <is>
          <t>chain</t>
        </is>
      </c>
      <c r="C138" s="11" t="n">
        <v>3</v>
      </c>
      <c r="D138" s="2" t="inlineStr">
        <is>
          <t>H.R.S. Murthy v. Collector of Chittoor and Another (1965)</t>
        </is>
      </c>
      <c r="E138" s="2" t="inlineStr">
        <is>
          <t>India Cement Ltd. and Others v. State Of Tamil Nadu and Others (1990)</t>
        </is>
      </c>
      <c r="F138" s="2" t="inlineStr">
        <is>
          <t>The overruling decision was itself later: overruled in part by Mineral Area Development Authority v. Steel Authority of India (2024) (to the extent of the observations made in the present case; India Cement had held royalty to be a tax) [L2-050]</t>
        </is>
      </c>
      <c r="G138" s="2" t="inlineStr">
        <is>
          <t>Does the recorded status of the earlier decision still stand? (confirm = it stands; change = give the new treatment; keep = decide next week)</t>
        </is>
      </c>
      <c r="H138" s="12" t="inlineStr"/>
      <c r="I138" s="12" t="inlineStr"/>
      <c r="J138" s="13" t="inlineStr"/>
      <c r="K138" s="12" t="inlineStr"/>
      <c r="L138" s="12" t="inlineStr"/>
      <c r="M138" s="12" t="inlineStr"/>
      <c r="N138" s="12" t="inlineStr"/>
      <c r="O138" s="13" t="inlineStr"/>
      <c r="P138" s="12" t="inlineStr"/>
      <c r="Q138" s="12" t="inlineStr"/>
      <c r="R138" s="11" t="inlineStr">
        <is>
          <t>2026-10-15</t>
        </is>
      </c>
      <c r="S138" s="11" t="inlineStr"/>
    </row>
    <row r="139">
      <c r="A139" s="11" t="inlineStr">
        <is>
          <t>L1-0604</t>
        </is>
      </c>
      <c r="B139" s="11" t="inlineStr">
        <is>
          <t>chain</t>
        </is>
      </c>
      <c r="C139" s="11" t="n">
        <v>3</v>
      </c>
      <c r="D139" s="2" t="inlineStr">
        <is>
          <t>Manujendra Dutt v. Purendu Prosad Roy Chowdhury and Others (1967)</t>
        </is>
      </c>
      <c r="E139" s="2" t="inlineStr">
        <is>
          <t>V. Dhanapal Chettiar v. Yesodai Ammal (1979)</t>
        </is>
      </c>
      <c r="F139" s="2" t="inlineStr">
        <is>
          <t>The overruling decision was itself later: overruled by Tara Chand and Another v. Ram Prasad (1990) [L1-0237]</t>
        </is>
      </c>
      <c r="G139" s="2" t="inlineStr">
        <is>
          <t>Does the recorded status of the earlier decision still stand? (confirm = it stands; change = give the new treatment; keep = decide next week)</t>
        </is>
      </c>
      <c r="H139" s="12" t="inlineStr"/>
      <c r="I139" s="12" t="inlineStr"/>
      <c r="J139" s="13" t="inlineStr"/>
      <c r="K139" s="12" t="inlineStr"/>
      <c r="L139" s="12" t="inlineStr"/>
      <c r="M139" s="12" t="inlineStr"/>
      <c r="N139" s="12" t="inlineStr"/>
      <c r="O139" s="13" t="inlineStr"/>
      <c r="P139" s="12" t="inlineStr"/>
      <c r="Q139" s="12" t="inlineStr"/>
      <c r="R139" s="11" t="inlineStr">
        <is>
          <t>2026-10-15</t>
        </is>
      </c>
      <c r="S139" s="11" t="inlineStr"/>
    </row>
    <row r="140">
      <c r="A140" s="11" t="inlineStr">
        <is>
          <t>L1-0616</t>
        </is>
      </c>
      <c r="B140" s="11" t="inlineStr">
        <is>
          <t>chain</t>
        </is>
      </c>
      <c r="C140" s="11" t="n">
        <v>3</v>
      </c>
      <c r="D140" s="2" t="inlineStr">
        <is>
          <t>Punjab Tin Supply Co., Chandigarh and Others v. Central Government and Others (1984)</t>
        </is>
      </c>
      <c r="E140" s="2" t="inlineStr">
        <is>
          <t>Kesho Ram and Co. and Others etc. v. Union of India (UOI) and Others (1989)</t>
        </is>
      </c>
      <c r="F140" s="2" t="inlineStr">
        <is>
          <t>The overruling decision was itself later: overruled by Shri Kishan @ Krishan Kumar v. Manoj Kumar Etc. Etc. (1998) [L1-0631]</t>
        </is>
      </c>
      <c r="G140" s="2" t="inlineStr">
        <is>
          <t>Does the recorded status of the earlier decision still stand? (confirm = it stands; change = give the new treatment; keep = decide next week)</t>
        </is>
      </c>
      <c r="H140" s="12" t="inlineStr"/>
      <c r="I140" s="12" t="inlineStr"/>
      <c r="J140" s="13" t="inlineStr"/>
      <c r="K140" s="12" t="inlineStr"/>
      <c r="L140" s="12" t="inlineStr"/>
      <c r="M140" s="12" t="inlineStr"/>
      <c r="N140" s="12" t="inlineStr"/>
      <c r="O140" s="13" t="inlineStr"/>
      <c r="P140" s="12" t="inlineStr"/>
      <c r="Q140" s="12" t="inlineStr"/>
      <c r="R140" s="11" t="inlineStr">
        <is>
          <t>2026-10-15</t>
        </is>
      </c>
      <c r="S140" s="11" t="inlineStr"/>
    </row>
    <row r="141">
      <c r="A141" s="11" t="inlineStr">
        <is>
          <t>L1-0641</t>
        </is>
      </c>
      <c r="B141" s="11" t="inlineStr">
        <is>
          <t>chain</t>
        </is>
      </c>
      <c r="C141" s="11" t="n">
        <v>3</v>
      </c>
      <c r="D141" s="2" t="inlineStr">
        <is>
          <t>Bhaiya Punjalal Bhagwanddin v. Dave Bhagwatprasad Prabhuprasad (1963)</t>
        </is>
      </c>
      <c r="E141" s="2" t="inlineStr">
        <is>
          <t>V. Dhanapal Chettiar v. Yesodai Ammal (1979)</t>
        </is>
      </c>
      <c r="F141" s="2" t="inlineStr">
        <is>
          <t>The overruling decision was itself later: overruled by Tara Chand and Another v. Ram Prasad (1990) [L1-0237]</t>
        </is>
      </c>
      <c r="G141" s="2" t="inlineStr">
        <is>
          <t>Does the recorded status of the earlier decision still stand? (confirm = it stands; change = give the new treatment; keep = decide next week)</t>
        </is>
      </c>
      <c r="H141" s="12" t="inlineStr"/>
      <c r="I141" s="12" t="inlineStr"/>
      <c r="J141" s="13" t="inlineStr"/>
      <c r="K141" s="12" t="inlineStr"/>
      <c r="L141" s="12" t="inlineStr"/>
      <c r="M141" s="12" t="inlineStr"/>
      <c r="N141" s="12" t="inlineStr"/>
      <c r="O141" s="13" t="inlineStr"/>
      <c r="P141" s="12" t="inlineStr"/>
      <c r="Q141" s="12" t="inlineStr"/>
      <c r="R141" s="11" t="inlineStr">
        <is>
          <t>2026-10-15</t>
        </is>
      </c>
      <c r="S141" s="11" t="inlineStr"/>
    </row>
    <row r="142">
      <c r="A142" s="11" t="inlineStr">
        <is>
          <t>L1-0645</t>
        </is>
      </c>
      <c r="B142" s="11" t="inlineStr">
        <is>
          <t>chain</t>
        </is>
      </c>
      <c r="C142" s="11" t="n">
        <v>3</v>
      </c>
      <c r="D142" s="2" t="inlineStr">
        <is>
          <t>Ganpat Roy and Others v. Additional District Magistrate and Others (1985)</t>
        </is>
      </c>
      <c r="E142" s="2" t="inlineStr">
        <is>
          <t>Tirlok Singh and Co. v. District Magistrate, Lucknow and Others (1976)</t>
        </is>
      </c>
      <c r="F142" s="2" t="inlineStr">
        <is>
          <t>The overruling decision was itself later: listed in our reference list as overruled by Ganpat Roy and Others v. Additional District Magistrate and Others (1985), but the list is inconsistent on this entry [L1-0446]</t>
        </is>
      </c>
      <c r="G142" s="2" t="inlineStr">
        <is>
          <t>Does the recorded status of the earlier decision still stand? (confirm = it stands; change = give the new treatment; keep = decide next week)</t>
        </is>
      </c>
      <c r="H142" s="12" t="inlineStr"/>
      <c r="I142" s="12" t="inlineStr"/>
      <c r="J142" s="13" t="inlineStr"/>
      <c r="K142" s="12" t="inlineStr"/>
      <c r="L142" s="12" t="inlineStr"/>
      <c r="M142" s="12" t="inlineStr"/>
      <c r="N142" s="12" t="inlineStr"/>
      <c r="O142" s="13" t="inlineStr"/>
      <c r="P142" s="12" t="inlineStr"/>
      <c r="Q142" s="12" t="inlineStr"/>
      <c r="R142" s="11" t="inlineStr">
        <is>
          <t>2026-10-15</t>
        </is>
      </c>
      <c r="S142" s="11" t="inlineStr"/>
    </row>
    <row r="143">
      <c r="A143" s="11" t="inlineStr">
        <is>
          <t>L1-0649</t>
        </is>
      </c>
      <c r="B143" s="11" t="inlineStr">
        <is>
          <t>chain</t>
        </is>
      </c>
      <c r="C143" s="11" t="n">
        <v>3</v>
      </c>
      <c r="D143" s="2" t="inlineStr">
        <is>
          <t>Isha Valimohamed and Another v. Haji Gulam Mohamad and Haji Dada Trust (1974)</t>
        </is>
      </c>
      <c r="E143" s="2" t="inlineStr">
        <is>
          <t>V. Dhanapal Chettiar v. Yesodai Ammal (1979)</t>
        </is>
      </c>
      <c r="F143" s="2" t="inlineStr">
        <is>
          <t>The overruling decision was itself later: overruled by Tara Chand and Another v. Ram Prasad (1990) [L1-0237]</t>
        </is>
      </c>
      <c r="G143" s="2" t="inlineStr">
        <is>
          <t>Does the recorded status of the earlier decision still stand? (confirm = it stands; change = give the new treatment; keep = decide next week)</t>
        </is>
      </c>
      <c r="H143" s="12" t="inlineStr"/>
      <c r="I143" s="12" t="inlineStr"/>
      <c r="J143" s="13" t="inlineStr"/>
      <c r="K143" s="12" t="inlineStr"/>
      <c r="L143" s="12" t="inlineStr"/>
      <c r="M143" s="12" t="inlineStr"/>
      <c r="N143" s="12" t="inlineStr"/>
      <c r="O143" s="13" t="inlineStr"/>
      <c r="P143" s="12" t="inlineStr"/>
      <c r="Q143" s="12" t="inlineStr"/>
      <c r="R143" s="11" t="inlineStr">
        <is>
          <t>2026-10-15</t>
        </is>
      </c>
      <c r="S143" s="11" t="inlineStr"/>
    </row>
    <row r="144">
      <c r="A144" s="11" t="inlineStr">
        <is>
          <t>L1-0650</t>
        </is>
      </c>
      <c r="B144" s="11" t="inlineStr">
        <is>
          <t>chain</t>
        </is>
      </c>
      <c r="C144" s="11" t="n">
        <v>3</v>
      </c>
      <c r="D144" s="2" t="inlineStr">
        <is>
          <t>P.J. Gupta and Co. v. K. Venkatesan Merchant and Others (1974)</t>
        </is>
      </c>
      <c r="E144" s="2" t="inlineStr">
        <is>
          <t>V. Dhanapal Chettiar v. Yesodai Ammal (1979)</t>
        </is>
      </c>
      <c r="F144" s="2" t="inlineStr">
        <is>
          <t>The overruling decision was itself later: overruled by Tara Chand and Another v. Ram Prasad (1990) [L1-0237]</t>
        </is>
      </c>
      <c r="G144" s="2" t="inlineStr">
        <is>
          <t>Does the recorded status of the earlier decision still stand? (confirm = it stands; change = give the new treatment; keep = decide next week)</t>
        </is>
      </c>
      <c r="H144" s="12" t="inlineStr"/>
      <c r="I144" s="12" t="inlineStr"/>
      <c r="J144" s="13" t="inlineStr"/>
      <c r="K144" s="12" t="inlineStr"/>
      <c r="L144" s="12" t="inlineStr"/>
      <c r="M144" s="12" t="inlineStr"/>
      <c r="N144" s="12" t="inlineStr"/>
      <c r="O144" s="13" t="inlineStr"/>
      <c r="P144" s="12" t="inlineStr"/>
      <c r="Q144" s="12" t="inlineStr"/>
      <c r="R144" s="11" t="inlineStr">
        <is>
          <t>2026-10-15</t>
        </is>
      </c>
      <c r="S144" s="11" t="inlineStr"/>
    </row>
    <row r="145">
      <c r="A145" s="11" t="inlineStr">
        <is>
          <t>L1-0651</t>
        </is>
      </c>
      <c r="B145" s="11" t="inlineStr">
        <is>
          <t>chain</t>
        </is>
      </c>
      <c r="C145" s="11" t="n">
        <v>3</v>
      </c>
      <c r="D145" s="2" t="inlineStr">
        <is>
          <t>Dattonpant Gopalvarao Devakate v. Vithalrao Maruthirao Janagaval (1975)</t>
        </is>
      </c>
      <c r="E145" s="2" t="inlineStr">
        <is>
          <t>V. Dhanapal Chettiar v. Yesodai Ammal (1979)</t>
        </is>
      </c>
      <c r="F145" s="2" t="inlineStr">
        <is>
          <t>The overruling decision was itself later: overruled by Tara Chand and Another v. Ram Prasad (1990) [L1-0237]</t>
        </is>
      </c>
      <c r="G145" s="2" t="inlineStr">
        <is>
          <t>Does the recorded status of the earlier decision still stand? (confirm = it stands; change = give the new treatment; keep = decide next week)</t>
        </is>
      </c>
      <c r="H145" s="12" t="inlineStr"/>
      <c r="I145" s="12" t="inlineStr"/>
      <c r="J145" s="13" t="inlineStr"/>
      <c r="K145" s="12" t="inlineStr"/>
      <c r="L145" s="12" t="inlineStr"/>
      <c r="M145" s="12" t="inlineStr"/>
      <c r="N145" s="12" t="inlineStr"/>
      <c r="O145" s="13" t="inlineStr"/>
      <c r="P145" s="12" t="inlineStr"/>
      <c r="Q145" s="12" t="inlineStr"/>
      <c r="R145" s="11" t="inlineStr">
        <is>
          <t>2026-10-15</t>
        </is>
      </c>
      <c r="S145" s="11" t="inlineStr"/>
    </row>
    <row r="146">
      <c r="A146" s="11" t="inlineStr">
        <is>
          <t>L1-0702</t>
        </is>
      </c>
      <c r="B146" s="11" t="inlineStr">
        <is>
          <t>chain</t>
        </is>
      </c>
      <c r="C146" s="11" t="n">
        <v>3</v>
      </c>
      <c r="D146" s="2" t="inlineStr">
        <is>
          <t>Bilal Ahmed Kaloo v. State of Andhra Pradesh (1997)</t>
        </is>
      </c>
      <c r="E146" s="2" t="inlineStr">
        <is>
          <t>State through Superintendent of Police, CBI/SIT v. Nalini and Others (1999)</t>
        </is>
      </c>
      <c r="F146" s="2" t="inlineStr">
        <is>
          <t>The overruling decision was itself later: overruled by Bilal Ahmed Kaloo v. State of Andhra Pradesh (1997) [L1-0706]</t>
        </is>
      </c>
      <c r="G146" s="2" t="inlineStr">
        <is>
          <t>Does the recorded status of the earlier decision still stand? (confirm = it stands; change = give the new treatment; keep = decide next week)</t>
        </is>
      </c>
      <c r="H146" s="12" t="inlineStr"/>
      <c r="I146" s="12" t="inlineStr"/>
      <c r="J146" s="13" t="inlineStr"/>
      <c r="K146" s="12" t="inlineStr"/>
      <c r="L146" s="12" t="inlineStr"/>
      <c r="M146" s="12" t="inlineStr"/>
      <c r="N146" s="12" t="inlineStr"/>
      <c r="O146" s="13" t="inlineStr"/>
      <c r="P146" s="12" t="inlineStr"/>
      <c r="Q146" s="12" t="inlineStr"/>
      <c r="R146" s="11" t="inlineStr">
        <is>
          <t>2026-10-15</t>
        </is>
      </c>
      <c r="S146" s="11" t="inlineStr"/>
    </row>
    <row r="147">
      <c r="A147" s="11" t="inlineStr">
        <is>
          <t>L1-0706</t>
        </is>
      </c>
      <c r="B147" s="11" t="inlineStr">
        <is>
          <t>chain</t>
        </is>
      </c>
      <c r="C147" s="11" t="n">
        <v>3</v>
      </c>
      <c r="D147" s="2" t="inlineStr">
        <is>
          <t>State through Superintendent of Police, CBI/SIT v. Nalini and Others (1999)</t>
        </is>
      </c>
      <c r="E147" s="2" t="inlineStr">
        <is>
          <t>Bilal Ahmed Kaloo v. State of Andhra Pradesh (1997)</t>
        </is>
      </c>
      <c r="F147" s="2" t="inlineStr">
        <is>
          <t>The overruling decision was itself later: overruled by State through Superintendent of Police, CBI/SIT v. Nalini and Others (1999) [L1-0702]</t>
        </is>
      </c>
      <c r="G147" s="2" t="inlineStr">
        <is>
          <t>Does the recorded status of the earlier decision still stand? (confirm = it stands; change = give the new treatment; keep = decide next week)</t>
        </is>
      </c>
      <c r="H147" s="12" t="inlineStr"/>
      <c r="I147" s="12" t="inlineStr"/>
      <c r="J147" s="13" t="inlineStr"/>
      <c r="K147" s="12" t="inlineStr"/>
      <c r="L147" s="12" t="inlineStr"/>
      <c r="M147" s="12" t="inlineStr"/>
      <c r="N147" s="12" t="inlineStr"/>
      <c r="O147" s="13" t="inlineStr"/>
      <c r="P147" s="12" t="inlineStr"/>
      <c r="Q147" s="12" t="inlineStr"/>
      <c r="R147" s="11" t="inlineStr">
        <is>
          <t>2026-10-15</t>
        </is>
      </c>
      <c r="S147" s="11" t="inlineStr"/>
    </row>
    <row r="148">
      <c r="A148" s="11" t="inlineStr">
        <is>
          <t>L1-0707</t>
        </is>
      </c>
      <c r="B148" s="11" t="inlineStr">
        <is>
          <t>chain</t>
        </is>
      </c>
      <c r="C148" s="11" t="n">
        <v>3</v>
      </c>
      <c r="D148" s="2" t="inlineStr">
        <is>
          <t>Shanmugam @ Kulandaivelu v. State of Tamil Nadu (2003)</t>
        </is>
      </c>
      <c r="E148" s="2" t="inlineStr">
        <is>
          <t>Paparambaka Rosamma and Others v. State of Andhra Pradesh (1999)</t>
        </is>
      </c>
      <c r="F148" s="2" t="inlineStr">
        <is>
          <t>The overruling decision was itself later: overruled by Shanmugam @ Kulandaivelu v. State of Tamil Nadu (2003) [L1-0292]</t>
        </is>
      </c>
      <c r="G148" s="2" t="inlineStr">
        <is>
          <t>Does the recorded status of the earlier decision still stand? (confirm = it stands; change = give the new treatment; keep = decide next week)</t>
        </is>
      </c>
      <c r="H148" s="12" t="inlineStr"/>
      <c r="I148" s="12" t="inlineStr"/>
      <c r="J148" s="13" t="inlineStr"/>
      <c r="K148" s="12" t="inlineStr"/>
      <c r="L148" s="12" t="inlineStr"/>
      <c r="M148" s="12" t="inlineStr"/>
      <c r="N148" s="12" t="inlineStr"/>
      <c r="O148" s="13" t="inlineStr"/>
      <c r="P148" s="12" t="inlineStr"/>
      <c r="Q148" s="12" t="inlineStr"/>
      <c r="R148" s="11" t="inlineStr">
        <is>
          <t>2026-10-15</t>
        </is>
      </c>
      <c r="S148" s="11" t="inlineStr"/>
    </row>
    <row r="149">
      <c r="A149" s="11" t="inlineStr">
        <is>
          <t>L1-0713</t>
        </is>
      </c>
      <c r="B149" s="11" t="inlineStr">
        <is>
          <t>chain</t>
        </is>
      </c>
      <c r="C149" s="11" t="n">
        <v>3</v>
      </c>
      <c r="D149" s="2" t="inlineStr">
        <is>
          <t>Ashok Kumar Gupta and Another v. State of U.P. and Others (1997)</t>
        </is>
      </c>
      <c r="E149" s="2" t="inlineStr">
        <is>
          <t>Ajit Singh and Others v. The State of Punjab and Others (1999)</t>
        </is>
      </c>
      <c r="F149" s="2" t="inlineStr">
        <is>
          <t>The overruling decision was itself later: overruled by Shiv Nath Prasad v. Saran Pal Jeet Singh Tulsi and Others (2008) [L1-0312]</t>
        </is>
      </c>
      <c r="G149" s="2" t="inlineStr">
        <is>
          <t>Does the recorded status of the earlier decision still stand? (confirm = it stands; change = give the new treatment; keep = decide next week)</t>
        </is>
      </c>
      <c r="H149" s="12" t="inlineStr"/>
      <c r="I149" s="12" t="inlineStr"/>
      <c r="J149" s="13" t="inlineStr"/>
      <c r="K149" s="12" t="inlineStr"/>
      <c r="L149" s="12" t="inlineStr"/>
      <c r="M149" s="12" t="inlineStr"/>
      <c r="N149" s="12" t="inlineStr"/>
      <c r="O149" s="13" t="inlineStr"/>
      <c r="P149" s="12" t="inlineStr"/>
      <c r="Q149" s="12" t="inlineStr"/>
      <c r="R149" s="11" t="inlineStr">
        <is>
          <t>2026-10-15</t>
        </is>
      </c>
      <c r="S149" s="11" t="inlineStr"/>
    </row>
    <row r="150">
      <c r="A150" s="11" t="inlineStr">
        <is>
          <t>L1-0731</t>
        </is>
      </c>
      <c r="B150" s="11" t="inlineStr">
        <is>
          <t>chain</t>
        </is>
      </c>
      <c r="C150" s="11" t="n">
        <v>3</v>
      </c>
      <c r="D150" s="2" t="inlineStr">
        <is>
          <t>Dunlop India Limited v. Union of India (UOI) (1994)</t>
        </is>
      </c>
      <c r="E150" s="2" t="inlineStr">
        <is>
          <t>Goodyear India Ltd. v. Union of India and others (1997)</t>
        </is>
      </c>
      <c r="F150" s="2" t="inlineStr">
        <is>
          <t>The overruling decision was itself later: overruled by Dunlop India Ltd. v. Collector of Central Excise, Calcutta (1997) [L1-0323]</t>
        </is>
      </c>
      <c r="G150" s="2" t="inlineStr">
        <is>
          <t>Does the recorded status of the earlier decision still stand? (confirm = it stands; change = give the new treatment; keep = decide next week)</t>
        </is>
      </c>
      <c r="H150" s="12" t="inlineStr"/>
      <c r="I150" s="12" t="inlineStr"/>
      <c r="J150" s="13" t="inlineStr"/>
      <c r="K150" s="12" t="inlineStr"/>
      <c r="L150" s="12" t="inlineStr"/>
      <c r="M150" s="12" t="inlineStr"/>
      <c r="N150" s="12" t="inlineStr"/>
      <c r="O150" s="13" t="inlineStr"/>
      <c r="P150" s="12" t="inlineStr"/>
      <c r="Q150" s="12" t="inlineStr"/>
      <c r="R150" s="11" t="inlineStr">
        <is>
          <t>2026-10-15</t>
        </is>
      </c>
      <c r="S150" s="11" t="inlineStr"/>
    </row>
    <row r="151">
      <c r="A151" s="11" t="inlineStr">
        <is>
          <t>L1-0918</t>
        </is>
      </c>
      <c r="B151" s="11" t="inlineStr">
        <is>
          <t>chain</t>
        </is>
      </c>
      <c r="C151" s="11" t="n">
        <v>3</v>
      </c>
      <c r="D151" s="2" t="inlineStr">
        <is>
          <t>Nanoo Sheikh Ahmed v. Emperor (1927)</t>
        </is>
      </c>
      <c r="E151" s="2" t="inlineStr">
        <is>
          <t>Raj Kumar Karwal v. Union of India and others (1991)</t>
        </is>
      </c>
      <c r="F151" s="2" t="inlineStr">
        <is>
          <t>The overruling decision was itself later: overruled by Tofan Singh v. State of Tamil Nadu (2020) [D2-KARWAL]</t>
        </is>
      </c>
      <c r="G151" s="2" t="inlineStr">
        <is>
          <t>Does the recorded status of the earlier decision still stand? (confirm = it stands; change = give the new treatment; keep = decide next week)</t>
        </is>
      </c>
      <c r="H151" s="12" t="inlineStr"/>
      <c r="I151" s="12" t="inlineStr"/>
      <c r="J151" s="13" t="inlineStr"/>
      <c r="K151" s="12" t="inlineStr"/>
      <c r="L151" s="12" t="inlineStr"/>
      <c r="M151" s="12" t="inlineStr"/>
      <c r="N151" s="12" t="inlineStr"/>
      <c r="O151" s="13" t="inlineStr"/>
      <c r="P151" s="12" t="inlineStr"/>
      <c r="Q151" s="12" t="inlineStr"/>
      <c r="R151" s="11" t="inlineStr">
        <is>
          <t>2026-10-15</t>
        </is>
      </c>
      <c r="S151" s="11" t="inlineStr"/>
    </row>
    <row r="152">
      <c r="A152" s="11" t="inlineStr">
        <is>
          <t>L1-0949</t>
        </is>
      </c>
      <c r="B152" s="11" t="inlineStr">
        <is>
          <t>chain</t>
        </is>
      </c>
      <c r="C152" s="11" t="n">
        <v>3</v>
      </c>
      <c r="D152" s="2" t="inlineStr">
        <is>
          <t>United Labour Union and others v. Union of India and others (1989)</t>
        </is>
      </c>
      <c r="E152" s="2" t="inlineStr">
        <is>
          <t>Dena Nath and others v. National Fertilisers Ltd. and others (1992)</t>
        </is>
      </c>
      <c r="F152" s="2" t="inlineStr">
        <is>
          <t>The overruling decision was itself later: overruled by Steel Authority of India Ltd. and Others etc. etc. v. National Union Water Front Workers and Others etc. (2001) [L1-0534]</t>
        </is>
      </c>
      <c r="G152" s="2" t="inlineStr">
        <is>
          <t>Does the recorded status of the earlier decision still stand? (confirm = it stands; change = give the new treatment; keep = decide next week)</t>
        </is>
      </c>
      <c r="H152" s="12" t="inlineStr"/>
      <c r="I152" s="12" t="inlineStr"/>
      <c r="J152" s="13" t="inlineStr"/>
      <c r="K152" s="12" t="inlineStr"/>
      <c r="L152" s="12" t="inlineStr"/>
      <c r="M152" s="12" t="inlineStr"/>
      <c r="N152" s="12" t="inlineStr"/>
      <c r="O152" s="13" t="inlineStr"/>
      <c r="P152" s="12" t="inlineStr"/>
      <c r="Q152" s="12" t="inlineStr"/>
      <c r="R152" s="11" t="inlineStr">
        <is>
          <t>2026-10-15</t>
        </is>
      </c>
      <c r="S152" s="11" t="inlineStr"/>
    </row>
    <row r="153">
      <c r="A153" s="11" t="inlineStr">
        <is>
          <t>L1-1248</t>
        </is>
      </c>
      <c r="B153" s="11" t="inlineStr">
        <is>
          <t>chain</t>
        </is>
      </c>
      <c r="C153" s="11" t="n">
        <v>3</v>
      </c>
      <c r="D153" s="2" t="inlineStr">
        <is>
          <t>Bapuji Educational Association v. State (1986)</t>
        </is>
      </c>
      <c r="E153" s="2" t="inlineStr">
        <is>
          <t>Unni Krishnan, J.P. and others v. State of Andhra Pradesh and others etc. (1993)</t>
        </is>
      </c>
      <c r="F153" s="2" t="inlineStr">
        <is>
          <t>The overruling decision was itself later: overruled by T.M.A. Pai Foundation and Others v. State of Karnataka and Others (2003) [L1-0380]</t>
        </is>
      </c>
      <c r="G153" s="2" t="inlineStr">
        <is>
          <t>Does the recorded status of the earlier decision still stand? (confirm = it stands; change = give the new treatment; keep = decide next week)</t>
        </is>
      </c>
      <c r="H153" s="12" t="inlineStr"/>
      <c r="I153" s="12" t="inlineStr"/>
      <c r="J153" s="13" t="inlineStr"/>
      <c r="K153" s="12" t="inlineStr"/>
      <c r="L153" s="12" t="inlineStr"/>
      <c r="M153" s="12" t="inlineStr"/>
      <c r="N153" s="12" t="inlineStr"/>
      <c r="O153" s="13" t="inlineStr"/>
      <c r="P153" s="12" t="inlineStr"/>
      <c r="Q153" s="12" t="inlineStr"/>
      <c r="R153" s="11" t="inlineStr">
        <is>
          <t>2026-10-15</t>
        </is>
      </c>
      <c r="S153" s="11" t="inlineStr"/>
    </row>
    <row r="154">
      <c r="A154" s="11" t="inlineStr">
        <is>
          <t>L1-1329</t>
        </is>
      </c>
      <c r="B154" s="11" t="inlineStr">
        <is>
          <t>chain</t>
        </is>
      </c>
      <c r="C154" s="11" t="n">
        <v>3</v>
      </c>
      <c r="D154" s="2" t="inlineStr">
        <is>
          <t>Additional Commissioner of Income Tax, Gujarat v. Cloth Traders (P.) Ltd. (1974)</t>
        </is>
      </c>
      <c r="E154" s="2" t="inlineStr">
        <is>
          <t>Cloth Traders (P) Ltd. v. Additional Commissioner of Income Tax , Gujarat- I (1979)</t>
        </is>
      </c>
      <c r="F154" s="2" t="inlineStr">
        <is>
          <t>The overruling decision was itself later: overruled by Commissioner of Income Tax, Delhi v. Swaran Singh Kanwar (1999) [L1-0383]</t>
        </is>
      </c>
      <c r="G154" s="2" t="inlineStr">
        <is>
          <t>Does the recorded status of the earlier decision still stand? (confirm = it stands; change = give the new treatment; keep = decide next week)</t>
        </is>
      </c>
      <c r="H154" s="12" t="inlineStr"/>
      <c r="I154" s="12" t="inlineStr"/>
      <c r="J154" s="13" t="inlineStr"/>
      <c r="K154" s="12" t="inlineStr"/>
      <c r="L154" s="12" t="inlineStr"/>
      <c r="M154" s="12" t="inlineStr"/>
      <c r="N154" s="12" t="inlineStr"/>
      <c r="O154" s="13" t="inlineStr"/>
      <c r="P154" s="12" t="inlineStr"/>
      <c r="Q154" s="12" t="inlineStr"/>
      <c r="R154" s="11" t="inlineStr">
        <is>
          <t>2026-10-15</t>
        </is>
      </c>
      <c r="S154" s="11" t="inlineStr"/>
    </row>
    <row r="155">
      <c r="A155" s="11" t="inlineStr">
        <is>
          <t>L1-1337</t>
        </is>
      </c>
      <c r="B155" s="11" t="inlineStr">
        <is>
          <t>chain</t>
        </is>
      </c>
      <c r="C155" s="11" t="n">
        <v>3</v>
      </c>
      <c r="D155" s="2" t="inlineStr">
        <is>
          <t>Thakorbhai Dajibhiki Desai v. The State of Gujarat (1980)</t>
        </is>
      </c>
      <c r="E155" s="2" t="inlineStr">
        <is>
          <t>S. Vasudeva v. State of Karnataka and others (1994)</t>
        </is>
      </c>
      <c r="F155" s="2" t="inlineStr">
        <is>
          <t>The overruling decision was itself later: overruled by T.R. Thandur v. Union of India (UOI) and Others (1996) [L1-0417]</t>
        </is>
      </c>
      <c r="G155" s="2" t="inlineStr">
        <is>
          <t>Does the recorded status of the earlier decision still stand? (confirm = it stands; change = give the new treatment; keep = decide next week)</t>
        </is>
      </c>
      <c r="H155" s="12" t="inlineStr"/>
      <c r="I155" s="12" t="inlineStr"/>
      <c r="J155" s="13" t="inlineStr"/>
      <c r="K155" s="12" t="inlineStr"/>
      <c r="L155" s="12" t="inlineStr"/>
      <c r="M155" s="12" t="inlineStr"/>
      <c r="N155" s="12" t="inlineStr"/>
      <c r="O155" s="13" t="inlineStr"/>
      <c r="P155" s="12" t="inlineStr"/>
      <c r="Q155" s="12" t="inlineStr"/>
      <c r="R155" s="11" t="inlineStr">
        <is>
          <t>2026-10-15</t>
        </is>
      </c>
      <c r="S155" s="11" t="inlineStr"/>
    </row>
    <row r="156">
      <c r="A156" s="11" t="inlineStr">
        <is>
          <t>L1-1365</t>
        </is>
      </c>
      <c r="B156" s="11" t="inlineStr">
        <is>
          <t>chain</t>
        </is>
      </c>
      <c r="C156" s="11" t="n">
        <v>3</v>
      </c>
      <c r="D156" s="2" t="inlineStr">
        <is>
          <t>Kalidas Vanmalibhai v. State of Gujarat and Another (1980)</t>
        </is>
      </c>
      <c r="E156" s="2" t="inlineStr">
        <is>
          <t>Kartar Singh and Others v. State of Haryana (1982)</t>
        </is>
      </c>
      <c r="F156" s="2" t="inlineStr">
        <is>
          <t>The overruling decision was itself later: listed in our reference list as overruled by Bhagirath v. Delhi Administration (1985), but the list is inconsistent on this entry [L1-0535]</t>
        </is>
      </c>
      <c r="G156" s="2" t="inlineStr">
        <is>
          <t>Does the recorded status of the earlier decision still stand? (confirm = it stands; change = give the new treatment; keep = decide next week)</t>
        </is>
      </c>
      <c r="H156" s="12" t="inlineStr"/>
      <c r="I156" s="12" t="inlineStr"/>
      <c r="J156" s="13" t="inlineStr"/>
      <c r="K156" s="12" t="inlineStr"/>
      <c r="L156" s="12" t="inlineStr"/>
      <c r="M156" s="12" t="inlineStr"/>
      <c r="N156" s="12" t="inlineStr"/>
      <c r="O156" s="13" t="inlineStr"/>
      <c r="P156" s="12" t="inlineStr"/>
      <c r="Q156" s="12" t="inlineStr"/>
      <c r="R156" s="11" t="inlineStr">
        <is>
          <t>2026-10-15</t>
        </is>
      </c>
      <c r="S156" s="11" t="inlineStr"/>
    </row>
    <row r="157">
      <c r="A157" s="11" t="inlineStr">
        <is>
          <t>L1-1405</t>
        </is>
      </c>
      <c r="B157" s="11" t="inlineStr">
        <is>
          <t>chain</t>
        </is>
      </c>
      <c r="C157" s="11" t="n">
        <v>3</v>
      </c>
      <c r="D157" s="2" t="inlineStr">
        <is>
          <t>Naz Foundation v. Government of NCT and Others (2009)</t>
        </is>
      </c>
      <c r="E157" s="2" t="inlineStr">
        <is>
          <t>Suresh Kumar Koushal and Another v. NAZ Foundation and Others (2014)</t>
        </is>
      </c>
      <c r="F157" s="2" t="inlineStr">
        <is>
          <t>The overruling decision was itself later: overruled by Navtej Singh Johar v. Union of India (2018) [L2-009]</t>
        </is>
      </c>
      <c r="G157" s="2" t="inlineStr">
        <is>
          <t>Does the recorded status of the earlier decision still stand? (confirm = it stands; change = give the new treatment; keep = decide next week)</t>
        </is>
      </c>
      <c r="H157" s="12" t="inlineStr"/>
      <c r="I157" s="12" t="inlineStr"/>
      <c r="J157" s="13" t="inlineStr"/>
      <c r="K157" s="12" t="inlineStr"/>
      <c r="L157" s="12" t="inlineStr"/>
      <c r="M157" s="12" t="inlineStr"/>
      <c r="N157" s="12" t="inlineStr"/>
      <c r="O157" s="13" t="inlineStr"/>
      <c r="P157" s="12" t="inlineStr"/>
      <c r="Q157" s="12" t="inlineStr"/>
      <c r="R157" s="11" t="inlineStr">
        <is>
          <t>2026-10-15</t>
        </is>
      </c>
      <c r="S157" s="11" t="inlineStr"/>
    </row>
    <row r="158">
      <c r="A158" s="11" t="inlineStr">
        <is>
          <t>L1-1425</t>
        </is>
      </c>
      <c r="B158" s="11" t="inlineStr">
        <is>
          <t>chain</t>
        </is>
      </c>
      <c r="C158" s="11" t="n">
        <v>3</v>
      </c>
      <c r="D158" s="2" t="inlineStr">
        <is>
          <t>Mayur Syntex Ltd. (in Liquidation) and Atlantic Engineering Services Pvt. Ltd. v. Punjab and Sind Bank (1997)</t>
        </is>
      </c>
      <c r="E158" s="2" t="inlineStr">
        <is>
          <t>Allahabad Bank v. Canara Bank and Another (2000)</t>
        </is>
      </c>
      <c r="F158" s="2" t="inlineStr">
        <is>
          <t>The overruling decision was itself later: overruled by Andhra Bank v. Official Liquidator and Another (2005) [L1-0300]</t>
        </is>
      </c>
      <c r="G158" s="2" t="inlineStr">
        <is>
          <t>Does the recorded status of the earlier decision still stand? (confirm = it stands; change = give the new treatment; keep = decide next week)</t>
        </is>
      </c>
      <c r="H158" s="12" t="inlineStr"/>
      <c r="I158" s="12" t="inlineStr"/>
      <c r="J158" s="13" t="inlineStr"/>
      <c r="K158" s="12" t="inlineStr"/>
      <c r="L158" s="12" t="inlineStr"/>
      <c r="M158" s="12" t="inlineStr"/>
      <c r="N158" s="12" t="inlineStr"/>
      <c r="O158" s="13" t="inlineStr"/>
      <c r="P158" s="12" t="inlineStr"/>
      <c r="Q158" s="12" t="inlineStr"/>
      <c r="R158" s="11" t="inlineStr">
        <is>
          <t>2026-10-15</t>
        </is>
      </c>
      <c r="S158" s="11" t="inlineStr"/>
    </row>
    <row r="159">
      <c r="A159" s="11" t="inlineStr">
        <is>
          <t>L1-1429</t>
        </is>
      </c>
      <c r="B159" s="11" t="inlineStr">
        <is>
          <t>chain</t>
        </is>
      </c>
      <c r="C159" s="11" t="n">
        <v>3</v>
      </c>
      <c r="D159" s="2" t="inlineStr">
        <is>
          <t>Super Traders and another v. Union of India and others (1983)</t>
        </is>
      </c>
      <c r="E159" s="2" t="inlineStr">
        <is>
          <t>M/s. Chheda Industries v. Collector of Customs, Madras (1997)</t>
        </is>
      </c>
      <c r="F159" s="2" t="inlineStr">
        <is>
          <t>The overruling decision was itself later: overruled by Mafatlal Industries Ltd. and Others v. Union of India (UOI) and Others (1996) [L1-0229]</t>
        </is>
      </c>
      <c r="G159" s="2" t="inlineStr">
        <is>
          <t>Does the recorded status of the earlier decision still stand? (confirm = it stands; change = give the new treatment; keep = decide next week)</t>
        </is>
      </c>
      <c r="H159" s="12" t="inlineStr"/>
      <c r="I159" s="12" t="inlineStr"/>
      <c r="J159" s="13" t="inlineStr"/>
      <c r="K159" s="12" t="inlineStr"/>
      <c r="L159" s="12" t="inlineStr"/>
      <c r="M159" s="12" t="inlineStr"/>
      <c r="N159" s="12" t="inlineStr"/>
      <c r="O159" s="13" t="inlineStr"/>
      <c r="P159" s="12" t="inlineStr"/>
      <c r="Q159" s="12" t="inlineStr"/>
      <c r="R159" s="11" t="inlineStr">
        <is>
          <t>2026-10-15</t>
        </is>
      </c>
      <c r="S159" s="11" t="inlineStr"/>
    </row>
    <row r="160">
      <c r="A160" s="11" t="inlineStr">
        <is>
          <t>L1-1576</t>
        </is>
      </c>
      <c r="B160" s="11" t="inlineStr">
        <is>
          <t>chain</t>
        </is>
      </c>
      <c r="C160" s="11" t="n">
        <v>3</v>
      </c>
      <c r="D160" s="2" t="inlineStr">
        <is>
          <t>Bihar State Electricity Board v. Khalsa Brothers (1988)</t>
        </is>
      </c>
      <c r="E160" s="2" t="inlineStr">
        <is>
          <t>Superintending Engineer and Others v. B. Subba Reddy (1999)</t>
        </is>
      </c>
      <c r="F160" s="2" t="inlineStr">
        <is>
          <t>The overruling decision was itself later: overruled by Municipal Corporation of Delhi and Others v. Intnl. Security and Intelligence Agency Ltd. (2003) [L1-0564]</t>
        </is>
      </c>
      <c r="G160" s="2" t="inlineStr">
        <is>
          <t>Does the recorded status of the earlier decision still stand? (confirm = it stands; change = give the new treatment; keep = decide next week)</t>
        </is>
      </c>
      <c r="H160" s="12" t="inlineStr"/>
      <c r="I160" s="12" t="inlineStr"/>
      <c r="J160" s="13" t="inlineStr"/>
      <c r="K160" s="12" t="inlineStr"/>
      <c r="L160" s="12" t="inlineStr"/>
      <c r="M160" s="12" t="inlineStr"/>
      <c r="N160" s="12" t="inlineStr"/>
      <c r="O160" s="13" t="inlineStr"/>
      <c r="P160" s="12" t="inlineStr"/>
      <c r="Q160" s="12" t="inlineStr"/>
      <c r="R160" s="11" t="inlineStr">
        <is>
          <t>2026-10-15</t>
        </is>
      </c>
      <c r="S160" s="11" t="inlineStr"/>
    </row>
    <row r="161">
      <c r="A161" s="11" t="inlineStr">
        <is>
          <t>L1-1624</t>
        </is>
      </c>
      <c r="B161" s="11" t="inlineStr">
        <is>
          <t>chain</t>
        </is>
      </c>
      <c r="C161" s="11" t="n">
        <v>3</v>
      </c>
      <c r="D161" s="2" t="inlineStr">
        <is>
          <t>Andhra Kesari Education Society v. Government of Andhra Pradesh and Others (1984)</t>
        </is>
      </c>
      <c r="E161" s="2" t="inlineStr">
        <is>
          <t>Unni Krishnan, J.P. and others v. State of Andhra Pradesh and others etc. (1993)</t>
        </is>
      </c>
      <c r="F161" s="2" t="inlineStr">
        <is>
          <t>The overruling decision was itself later: overruled by T.M.A. Pai Foundation and Others v. State of Karnataka and Others (2003) [L1-0380]</t>
        </is>
      </c>
      <c r="G161" s="2" t="inlineStr">
        <is>
          <t>Does the recorded status of the earlier decision still stand? (confirm = it stands; change = give the new treatment; keep = decide next week)</t>
        </is>
      </c>
      <c r="H161" s="12" t="inlineStr"/>
      <c r="I161" s="12" t="inlineStr"/>
      <c r="J161" s="13" t="inlineStr"/>
      <c r="K161" s="12" t="inlineStr"/>
      <c r="L161" s="12" t="inlineStr"/>
      <c r="M161" s="12" t="inlineStr"/>
      <c r="N161" s="12" t="inlineStr"/>
      <c r="O161" s="13" t="inlineStr"/>
      <c r="P161" s="12" t="inlineStr"/>
      <c r="Q161" s="12" t="inlineStr"/>
      <c r="R161" s="11" t="inlineStr">
        <is>
          <t>2026-10-15</t>
        </is>
      </c>
      <c r="S161" s="11" t="inlineStr"/>
    </row>
    <row r="162">
      <c r="A162" s="11" t="inlineStr">
        <is>
          <t>L1-1640</t>
        </is>
      </c>
      <c r="B162" s="11" t="inlineStr">
        <is>
          <t>chain</t>
        </is>
      </c>
      <c r="C162" s="11" t="n">
        <v>3</v>
      </c>
      <c r="D162" s="2" t="inlineStr">
        <is>
          <t>Addl. Income Tax Officer, Cuddappah, and Anr v. Cuddapah STAR TRANSPORT CO. LTD. (1960)</t>
        </is>
      </c>
      <c r="E162" s="2" t="inlineStr">
        <is>
          <t>Dwarka Nath v. Income Tax Officer, Special Circle D-ward, Kanpur and Another (1966)</t>
        </is>
      </c>
      <c r="F162" s="2" t="inlineStr">
        <is>
          <t>The overruling decision was itself later: overruled by Prabodh Verma and Others v. State of Uttar Pradesh and Others (1985) [L1-0576]</t>
        </is>
      </c>
      <c r="G162" s="2" t="inlineStr">
        <is>
          <t>Does the recorded status of the earlier decision still stand? (confirm = it stands; change = give the new treatment; keep = decide next week)</t>
        </is>
      </c>
      <c r="H162" s="12" t="inlineStr"/>
      <c r="I162" s="12" t="inlineStr"/>
      <c r="J162" s="13" t="inlineStr"/>
      <c r="K162" s="12" t="inlineStr"/>
      <c r="L162" s="12" t="inlineStr"/>
      <c r="M162" s="12" t="inlineStr"/>
      <c r="N162" s="12" t="inlineStr"/>
      <c r="O162" s="13" t="inlineStr"/>
      <c r="P162" s="12" t="inlineStr"/>
      <c r="Q162" s="12" t="inlineStr"/>
      <c r="R162" s="11" t="inlineStr">
        <is>
          <t>2026-10-15</t>
        </is>
      </c>
      <c r="S162" s="11" t="inlineStr"/>
    </row>
    <row r="163">
      <c r="A163" s="11" t="inlineStr">
        <is>
          <t>L1-1679</t>
        </is>
      </c>
      <c r="B163" s="11" t="inlineStr">
        <is>
          <t>chain</t>
        </is>
      </c>
      <c r="C163" s="11" t="n">
        <v>3</v>
      </c>
      <c r="D163" s="2" t="inlineStr">
        <is>
          <t>Commissioner of Income Tax v. M.P. Jatia (1970)</t>
        </is>
      </c>
      <c r="E163" s="2" t="inlineStr">
        <is>
          <t>The Commissioner of Income Tax, Lucknow v. Sh. Madho Pd. Jatia (1977)</t>
        </is>
      </c>
      <c r="F163" s="2" t="inlineStr">
        <is>
          <t>The overruling decision was itself later: listed in our reference list as overruled by Commissioner of Income Tax, West Bengal-1, Calcutta v. Simon Carves Limited (1976), but the list is inconsistent on this entry [L1-0474]</t>
        </is>
      </c>
      <c r="G163" s="2" t="inlineStr">
        <is>
          <t>Does the recorded status of the earlier decision still stand? (confirm = it stands; change = give the new treatment; keep = decide next week)</t>
        </is>
      </c>
      <c r="H163" s="12" t="inlineStr"/>
      <c r="I163" s="12" t="inlineStr"/>
      <c r="J163" s="13" t="inlineStr"/>
      <c r="K163" s="12" t="inlineStr"/>
      <c r="L163" s="12" t="inlineStr"/>
      <c r="M163" s="12" t="inlineStr"/>
      <c r="N163" s="12" t="inlineStr"/>
      <c r="O163" s="13" t="inlineStr"/>
      <c r="P163" s="12" t="inlineStr"/>
      <c r="Q163" s="12" t="inlineStr"/>
      <c r="R163" s="11" t="inlineStr">
        <is>
          <t>2026-10-15</t>
        </is>
      </c>
      <c r="S163" s="11" t="inlineStr"/>
    </row>
    <row r="164">
      <c r="A164" s="11" t="inlineStr">
        <is>
          <t>P-0001</t>
        </is>
      </c>
      <c r="B164" s="11" t="inlineStr">
        <is>
          <t>proposal</t>
        </is>
      </c>
      <c r="C164" s="11" t="n">
        <v>4</v>
      </c>
      <c r="D164" s="2" t="inlineStr">
        <is>
          <t>(see sentence)</t>
        </is>
      </c>
      <c r="E164" s="2" t="inlineStr">
        <is>
          <t>LILAWATI AGARWAL ETC. versus THE STATE OF JHARKHAND ETC. (2016, 3 judges)</t>
        </is>
      </c>
      <c r="F164" s="2" t="inlineStr">
        <is>
          <t>sentence: To understand the dictum in Raghubir Singh (supra), it is necessary to understand what was stated in Bhag Singh (supra) and what has been overruled in Raghubir Singh (supra).</t>
        </is>
      </c>
      <c r="G164" s="2" t="inlineStr">
        <is>
          <t>add_row (give overruled_year; overruled_cites is prefilled where the report printed them), reject, or keep.</t>
        </is>
      </c>
      <c r="H164" s="12" t="inlineStr"/>
      <c r="I164" s="12" t="inlineStr"/>
      <c r="J164" s="13" t="inlineStr"/>
      <c r="K164" s="12" t="inlineStr"/>
      <c r="L164" s="12" t="inlineStr"/>
      <c r="M164" s="12" t="inlineStr"/>
      <c r="N164" s="12" t="inlineStr"/>
      <c r="O164" s="13" t="inlineStr"/>
      <c r="P164" s="12" t="inlineStr"/>
      <c r="Q164" s="12" t="inlineStr"/>
      <c r="R164" s="11" t="inlineStr">
        <is>
          <t>2026-10-15</t>
        </is>
      </c>
      <c r="S164" s="11" t="inlineStr"/>
    </row>
    <row r="165">
      <c r="A165" s="11" t="inlineStr">
        <is>
          <t>P-0002</t>
        </is>
      </c>
      <c r="B165" s="11" t="inlineStr">
        <is>
          <t>proposal</t>
        </is>
      </c>
      <c r="C165" s="11" t="n">
        <v>4</v>
      </c>
      <c r="D165" s="2" t="inlineStr">
        <is>
          <t>(see sentence)</t>
        </is>
      </c>
      <c r="E165" s="2" t="inlineStr">
        <is>
          <t>KRISHNA KUMAR SINGH &amp; ANR v. STATE OF BIHAR &amp; ORS (2017, 5 judges)</t>
        </is>
      </c>
      <c r="F165" s="2" t="inlineStr">
        <is>
          <t>sentence: I also agree with the 40 Page 41 JUDGMENT view that the Constitution Bench decision in Bhupendra Kumar Bose and T. Venkata Reddy (supra) to the extent the same extended the theory of “creation of enduring rights” to legislation by ordinance</t>
        </is>
      </c>
      <c r="G165" s="2" t="inlineStr">
        <is>
          <t>add_row (give overruled_year; overruled_cites is prefilled where the report printed them), reject, or keep.</t>
        </is>
      </c>
      <c r="H165" s="12" t="inlineStr"/>
      <c r="I165" s="12" t="inlineStr"/>
      <c r="J165" s="13" t="inlineStr"/>
      <c r="K165" s="12" t="inlineStr"/>
      <c r="L165" s="12" t="inlineStr"/>
      <c r="M165" s="12" t="inlineStr"/>
      <c r="N165" s="12" t="inlineStr"/>
      <c r="O165" s="13" t="inlineStr"/>
      <c r="P165" s="12" t="inlineStr"/>
      <c r="Q165" s="12" t="inlineStr"/>
      <c r="R165" s="11" t="inlineStr">
        <is>
          <t>2026-10-15</t>
        </is>
      </c>
      <c r="S165" s="11" t="inlineStr"/>
    </row>
    <row r="166">
      <c r="A166" s="11" t="inlineStr">
        <is>
          <t>P-0003</t>
        </is>
      </c>
      <c r="B166" s="11" t="inlineStr">
        <is>
          <t>proposal</t>
        </is>
      </c>
      <c r="C166" s="11" t="n">
        <v>4</v>
      </c>
      <c r="D166" s="2" t="inlineStr">
        <is>
          <t>(see sentence)</t>
        </is>
      </c>
      <c r="E166" s="2" t="inlineStr">
        <is>
          <t>Ram Kishan Fauji v. State of Haryana and Ors (2017, 3 judges)</t>
        </is>
      </c>
      <c r="F166" s="2" t="inlineStr">
        <is>
          <t>sentence: Contrary view in Surya Dev Rai (supra) is overruled.” 43.</t>
        </is>
      </c>
      <c r="G166" s="2" t="inlineStr">
        <is>
          <t>add_row (give overruled_year; overruled_cites is prefilled where the report printed them), reject, or keep.</t>
        </is>
      </c>
      <c r="H166" s="12" t="inlineStr"/>
      <c r="I166" s="12" t="inlineStr"/>
      <c r="J166" s="13" t="inlineStr"/>
      <c r="K166" s="12" t="inlineStr"/>
      <c r="L166" s="12" t="inlineStr"/>
      <c r="M166" s="12" t="inlineStr"/>
      <c r="N166" s="12" t="inlineStr"/>
      <c r="O166" s="13" t="inlineStr"/>
      <c r="P166" s="12" t="inlineStr"/>
      <c r="Q166" s="12" t="inlineStr"/>
      <c r="R166" s="11" t="inlineStr">
        <is>
          <t>2026-10-15</t>
        </is>
      </c>
      <c r="S166" s="11" t="inlineStr"/>
    </row>
    <row r="167">
      <c r="A167" s="11" t="inlineStr">
        <is>
          <t>P-0004</t>
        </is>
      </c>
      <c r="B167" s="11" t="inlineStr">
        <is>
          <t>proposal</t>
        </is>
      </c>
      <c r="C167" s="11" t="n">
        <v>4</v>
      </c>
      <c r="D167" s="2" t="inlineStr">
        <is>
          <t>Oriental Insurance Co. Ltd. v. Angad Kol &amp; Ors</t>
        </is>
      </c>
      <c r="E167" s="2" t="inlineStr">
        <is>
          <t>MUKUND DEWANGAN versus ORIENTAL INSURANCE COMPANY LIMITED (2017, 3 judges)</t>
        </is>
      </c>
      <c r="F167" s="2" t="inlineStr">
        <is>
          <t>tag: overruled</t>
        </is>
      </c>
      <c r="G167" s="2" t="inlineStr">
        <is>
          <t>add_row (give overruled_year; overruled_cites is prefilled where the report printed them), reject, or keep.</t>
        </is>
      </c>
      <c r="H167" s="12" t="inlineStr"/>
      <c r="I167" s="12" t="inlineStr"/>
      <c r="J167" s="13" t="inlineStr"/>
      <c r="K167" s="12" t="inlineStr"/>
      <c r="L167" s="12" t="inlineStr"/>
      <c r="M167" s="12" t="inlineStr"/>
      <c r="N167" s="12" t="inlineStr"/>
      <c r="O167" s="13" t="inlineStr"/>
      <c r="P167" s="12" t="inlineStr"/>
      <c r="Q167" s="12" t="inlineStr"/>
      <c r="R167" s="11" t="inlineStr">
        <is>
          <t>2026-10-15</t>
        </is>
      </c>
      <c r="S167" s="11" t="inlineStr"/>
    </row>
    <row r="168">
      <c r="A168" s="11" t="inlineStr">
        <is>
          <t>P-0006</t>
        </is>
      </c>
      <c r="B168" s="11" t="inlineStr">
        <is>
          <t>proposal</t>
        </is>
      </c>
      <c r="C168" s="11" t="n">
        <v>4</v>
      </c>
      <c r="D168" s="2" t="inlineStr">
        <is>
          <t>D E F Oriental Insurance Co. Ltd. v. Angad Kol &amp; Ors.</t>
        </is>
      </c>
      <c r="E168" s="2" t="inlineStr">
        <is>
          <t>MUKUND DEWANGAN versus ORIENTAL INSURANCE COMPANY LIMITED (2017, 3 judges)</t>
        </is>
      </c>
      <c r="F168" s="2" t="inlineStr">
        <is>
          <t>tag: overruled</t>
        </is>
      </c>
      <c r="G168" s="2" t="inlineStr">
        <is>
          <t>add_row (give overruled_year; overruled_cites is prefilled where the report printed them), reject, or keep.</t>
        </is>
      </c>
      <c r="H168" s="12" t="inlineStr"/>
      <c r="I168" s="12" t="inlineStr"/>
      <c r="J168" s="13" t="inlineStr"/>
      <c r="K168" s="12" t="inlineStr"/>
      <c r="L168" s="12" t="inlineStr"/>
      <c r="M168" s="12" t="inlineStr"/>
      <c r="N168" s="12" t="inlineStr"/>
      <c r="O168" s="13" t="inlineStr"/>
      <c r="P168" s="12" t="inlineStr"/>
      <c r="Q168" s="12" t="inlineStr"/>
      <c r="R168" s="11" t="inlineStr">
        <is>
          <t>2026-10-15</t>
        </is>
      </c>
      <c r="S168" s="11" t="inlineStr"/>
    </row>
    <row r="169">
      <c r="A169" s="11" t="inlineStr">
        <is>
          <t>P-0007</t>
        </is>
      </c>
      <c r="B169" s="11" t="inlineStr">
        <is>
          <t>proposal</t>
        </is>
      </c>
      <c r="C169" s="11" t="n">
        <v>4</v>
      </c>
      <c r="D169" s="2" t="inlineStr">
        <is>
          <t>National Insurance Co. Ltd. v. Annappa lrappa Nesaria alias Nesargi &amp; Ors.</t>
        </is>
      </c>
      <c r="E169" s="2" t="inlineStr">
        <is>
          <t>MUKUND DEWANGAN versus ORIENTAL INSURANCE COMPANY LIMITED (2017, 3 judges)</t>
        </is>
      </c>
      <c r="F169" s="2" t="inlineStr">
        <is>
          <t>tag: partly overruled</t>
        </is>
      </c>
      <c r="G169" s="2" t="inlineStr">
        <is>
          <t>add_row (give overruled_year; overruled_cites is prefilled where the report printed them), reject, or keep.</t>
        </is>
      </c>
      <c r="H169" s="12" t="inlineStr"/>
      <c r="I169" s="12" t="inlineStr"/>
      <c r="J169" s="13" t="inlineStr"/>
      <c r="K169" s="12" t="inlineStr"/>
      <c r="L169" s="12" t="inlineStr"/>
      <c r="M169" s="12" t="inlineStr"/>
      <c r="N169" s="12" t="inlineStr"/>
      <c r="O169" s="13" t="inlineStr"/>
      <c r="P169" s="12" t="inlineStr"/>
      <c r="Q169" s="12" t="inlineStr"/>
      <c r="R169" s="11" t="inlineStr">
        <is>
          <t>2026-10-15</t>
        </is>
      </c>
      <c r="S169" s="11" t="inlineStr"/>
    </row>
    <row r="170">
      <c r="A170" s="11" t="inlineStr">
        <is>
          <t>P-0009</t>
        </is>
      </c>
      <c r="B170" s="11" t="inlineStr">
        <is>
          <t>proposal</t>
        </is>
      </c>
      <c r="C170" s="11" t="n">
        <v>4</v>
      </c>
      <c r="D170" s="2" t="inlineStr">
        <is>
          <t>B Suresh Kumar Koushal v. NAZ foundation</t>
        </is>
      </c>
      <c r="E170" s="2" t="inlineStr">
        <is>
          <t>JUSTICE K S PUTTASWAMY (RETD.), AND ANR.  versus UNION OF INDIA AND ORS. (2017, 9 judges)</t>
        </is>
      </c>
      <c r="F170" s="2" t="inlineStr">
        <is>
          <t>tag: disapproved</t>
        </is>
      </c>
      <c r="G170" s="2" t="inlineStr">
        <is>
          <t>add_row (give overruled_year; overruled_cites is prefilled where the report printed them), reject, or keep.</t>
        </is>
      </c>
      <c r="H170" s="12" t="inlineStr"/>
      <c r="I170" s="12" t="inlineStr"/>
      <c r="J170" s="13" t="inlineStr"/>
      <c r="K170" s="12" t="inlineStr"/>
      <c r="L170" s="12" t="inlineStr"/>
      <c r="M170" s="12" t="inlineStr"/>
      <c r="N170" s="12" t="inlineStr"/>
      <c r="O170" s="13" t="inlineStr"/>
      <c r="P170" s="12" t="inlineStr"/>
      <c r="Q170" s="12" t="inlineStr"/>
      <c r="R170" s="11" t="inlineStr">
        <is>
          <t>2026-10-15</t>
        </is>
      </c>
      <c r="S170" s="11" t="inlineStr"/>
    </row>
    <row r="171">
      <c r="A171" s="11" t="inlineStr">
        <is>
          <t>P-0017</t>
        </is>
      </c>
      <c r="B171" s="11" t="inlineStr">
        <is>
          <t>proposal</t>
        </is>
      </c>
      <c r="C171" s="11" t="n">
        <v>4</v>
      </c>
      <c r="D171" s="2" t="inlineStr">
        <is>
          <t>(see sentence)</t>
        </is>
      </c>
      <c r="E171" s="2" t="inlineStr">
        <is>
          <t>SANTHINI versus VIJAYA VENKETESH (2017, 3 judges)</t>
        </is>
      </c>
      <c r="F171" s="2" t="inlineStr">
        <is>
          <t>sentence: H 614 SUPREME COURT REPORTS [2017] 12 S.C.R. A (vi) The decisionin Krishna ~ni Nagam (supra) is overruled to . the aforesaid extent. · 57.</t>
        </is>
      </c>
      <c r="G171" s="2" t="inlineStr">
        <is>
          <t>add_row (give overruled_year; overruled_cites is prefilled where the report printed them), reject, or keep.</t>
        </is>
      </c>
      <c r="H171" s="12" t="inlineStr"/>
      <c r="I171" s="12" t="inlineStr"/>
      <c r="J171" s="13" t="inlineStr"/>
      <c r="K171" s="12" t="inlineStr"/>
      <c r="L171" s="12" t="inlineStr"/>
      <c r="M171" s="12" t="inlineStr"/>
      <c r="N171" s="12" t="inlineStr"/>
      <c r="O171" s="13" t="inlineStr"/>
      <c r="P171" s="12" t="inlineStr"/>
      <c r="Q171" s="12" t="inlineStr"/>
      <c r="R171" s="11" t="inlineStr">
        <is>
          <t>2026-10-15</t>
        </is>
      </c>
      <c r="S171" s="11" t="inlineStr"/>
    </row>
    <row r="172">
      <c r="A172" s="11" t="inlineStr">
        <is>
          <t>P-0019</t>
        </is>
      </c>
      <c r="B172" s="11" t="inlineStr">
        <is>
          <t>proposal</t>
        </is>
      </c>
      <c r="C172" s="11" t="n">
        <v>4</v>
      </c>
      <c r="D172" s="2" t="inlineStr">
        <is>
          <t>Velaxan Kumar v. Union of India &amp; Ors.</t>
        </is>
      </c>
      <c r="E172" s="2" t="inlineStr">
        <is>
          <t>INDORE DEVELOPMENT AUTHORITY versus SHAILENDRA (DEAD) THROUGH LRS. &amp; ORS. (2018, 3 judges)</t>
        </is>
      </c>
      <c r="F172" s="2" t="inlineStr">
        <is>
          <t>tag: overruled</t>
        </is>
      </c>
      <c r="G172" s="2" t="inlineStr">
        <is>
          <t>add_row (give overruled_year; overruled_cites is prefilled where the report printed them), reject, or keep.</t>
        </is>
      </c>
      <c r="H172" s="12" t="inlineStr"/>
      <c r="I172" s="12" t="inlineStr"/>
      <c r="J172" s="13" t="inlineStr"/>
      <c r="K172" s="12" t="inlineStr"/>
      <c r="L172" s="12" t="inlineStr"/>
      <c r="M172" s="12" t="inlineStr"/>
      <c r="N172" s="12" t="inlineStr"/>
      <c r="O172" s="13" t="inlineStr"/>
      <c r="P172" s="12" t="inlineStr"/>
      <c r="Q172" s="12" t="inlineStr"/>
      <c r="R172" s="11" t="inlineStr">
        <is>
          <t>2026-10-15</t>
        </is>
      </c>
      <c r="S172" s="11" t="inlineStr"/>
    </row>
    <row r="173">
      <c r="A173" s="11" t="inlineStr">
        <is>
          <t>P-0020</t>
        </is>
      </c>
      <c r="B173" s="11" t="inlineStr">
        <is>
          <t>proposal</t>
        </is>
      </c>
      <c r="C173" s="11" t="n">
        <v>4</v>
      </c>
      <c r="D173" s="2" t="inlineStr">
        <is>
          <t>Union of India v. Shiv Raj</t>
        </is>
      </c>
      <c r="E173" s="2" t="inlineStr">
        <is>
          <t>INDORE DEVELOPMENT AUTHORITY versus SHAILENDRA (DEAD) THROUGH LRS. &amp; ORS. (2018, 3 judges)</t>
        </is>
      </c>
      <c r="F173" s="2" t="inlineStr">
        <is>
          <t>tag: not correct law</t>
        </is>
      </c>
      <c r="G173" s="2" t="inlineStr">
        <is>
          <t>add_row (give overruled_year; overruled_cites is prefilled where the report printed them), reject, or keep.</t>
        </is>
      </c>
      <c r="H173" s="12" t="inlineStr"/>
      <c r="I173" s="12" t="inlineStr"/>
      <c r="J173" s="13" t="inlineStr"/>
      <c r="K173" s="12" t="inlineStr"/>
      <c r="L173" s="12" t="inlineStr"/>
      <c r="M173" s="12" t="inlineStr"/>
      <c r="N173" s="12" t="inlineStr"/>
      <c r="O173" s="13" t="inlineStr"/>
      <c r="P173" s="12" t="inlineStr"/>
      <c r="Q173" s="12" t="inlineStr"/>
      <c r="R173" s="11" t="inlineStr">
        <is>
          <t>2026-10-15</t>
        </is>
      </c>
      <c r="S173" s="11" t="inlineStr"/>
    </row>
    <row r="174">
      <c r="A174" s="11" t="inlineStr">
        <is>
          <t>P-0021</t>
        </is>
      </c>
      <c r="B174" s="11" t="inlineStr">
        <is>
          <t>proposal</t>
        </is>
      </c>
      <c r="C174" s="11" t="n">
        <v>4</v>
      </c>
      <c r="D174" s="2" t="inlineStr">
        <is>
          <t>Karnail Kaur &amp; Ors. v. State of Punjab &amp; Ors.</t>
        </is>
      </c>
      <c r="E174" s="2" t="inlineStr">
        <is>
          <t>INDORE DEVELOPMENT AUTHORITY versus SHAILENDRA (DEAD) THROUGH LRS. &amp; ORS. (2018, 3 judges)</t>
        </is>
      </c>
      <c r="F174" s="2" t="inlineStr">
        <is>
          <t>tag: not correct law</t>
        </is>
      </c>
      <c r="G174" s="2" t="inlineStr">
        <is>
          <t>add_row (give overruled_year; overruled_cites is prefilled where the report printed them), reject, or keep.</t>
        </is>
      </c>
      <c r="H174" s="12" t="inlineStr"/>
      <c r="I174" s="12" t="inlineStr"/>
      <c r="J174" s="13" t="inlineStr"/>
      <c r="K174" s="12" t="inlineStr"/>
      <c r="L174" s="12" t="inlineStr"/>
      <c r="M174" s="12" t="inlineStr"/>
      <c r="N174" s="12" t="inlineStr"/>
      <c r="O174" s="13" t="inlineStr"/>
      <c r="P174" s="12" t="inlineStr"/>
      <c r="Q174" s="12" t="inlineStr"/>
      <c r="R174" s="11" t="inlineStr">
        <is>
          <t>2026-10-15</t>
        </is>
      </c>
      <c r="S174" s="11" t="inlineStr"/>
    </row>
    <row r="175">
      <c r="A175" s="11" t="inlineStr">
        <is>
          <t>P-0023</t>
        </is>
      </c>
      <c r="B175" s="11" t="inlineStr">
        <is>
          <t>proposal</t>
        </is>
      </c>
      <c r="C175" s="11" t="n">
        <v>4</v>
      </c>
      <c r="D175" s="2" t="inlineStr">
        <is>
          <t>Aruna Ramachandra Shanbaug v. Union of India</t>
        </is>
      </c>
      <c r="E175" s="2" t="inlineStr">
        <is>
          <t>COMMON CAUSE (A REGD. SOCIETY) versus UNION OF INDIA &amp; ANOTHER (2018, 5 judges)</t>
        </is>
      </c>
      <c r="F175" s="2" t="inlineStr">
        <is>
          <t>tag: not correct law</t>
        </is>
      </c>
      <c r="G175" s="2" t="inlineStr">
        <is>
          <t>add_row (give overruled_year; overruled_cites is prefilled where the report printed them), reject, or keep.</t>
        </is>
      </c>
      <c r="H175" s="12" t="inlineStr"/>
      <c r="I175" s="12" t="inlineStr"/>
      <c r="J175" s="13" t="inlineStr"/>
      <c r="K175" s="12" t="inlineStr"/>
      <c r="L175" s="12" t="inlineStr"/>
      <c r="M175" s="12" t="inlineStr"/>
      <c r="N175" s="12" t="inlineStr"/>
      <c r="O175" s="13" t="inlineStr"/>
      <c r="P175" s="12" t="inlineStr"/>
      <c r="Q175" s="12" t="inlineStr"/>
      <c r="R175" s="11" t="inlineStr">
        <is>
          <t>2026-10-15</t>
        </is>
      </c>
      <c r="S175" s="11" t="inlineStr"/>
    </row>
    <row r="176">
      <c r="A176" s="11" t="inlineStr">
        <is>
          <t>P-0024</t>
        </is>
      </c>
      <c r="B176" s="11" t="inlineStr">
        <is>
          <t>proposal</t>
        </is>
      </c>
      <c r="C176" s="11" t="n">
        <v>4</v>
      </c>
      <c r="D176" s="2" t="inlineStr">
        <is>
          <t>(see sentence)</t>
        </is>
      </c>
      <c r="E176" s="2" t="inlineStr">
        <is>
          <t>M/S LION ENGINEERING CONSULTANTS versus STATE OF M.P. &amp; ORS. (2018, 3 judges)</t>
        </is>
      </c>
      <c r="F176" s="2" t="inlineStr">
        <is>
          <t>sentence: Accordingly, we overrule the observations to the contrary in Paragraphs 16 and 17 of the judgment in MSP Infrastructures Ltd. (supra). 10.</t>
        </is>
      </c>
      <c r="G176" s="2" t="inlineStr">
        <is>
          <t>add_row (give overruled_year; overruled_cites is prefilled where the report printed them), reject, or keep.</t>
        </is>
      </c>
      <c r="H176" s="12" t="inlineStr"/>
      <c r="I176" s="12" t="inlineStr"/>
      <c r="J176" s="13" t="inlineStr"/>
      <c r="K176" s="12" t="inlineStr"/>
      <c r="L176" s="12" t="inlineStr"/>
      <c r="M176" s="12" t="inlineStr"/>
      <c r="N176" s="12" t="inlineStr"/>
      <c r="O176" s="13" t="inlineStr"/>
      <c r="P176" s="12" t="inlineStr"/>
      <c r="Q176" s="12" t="inlineStr"/>
      <c r="R176" s="11" t="inlineStr">
        <is>
          <t>2026-10-15</t>
        </is>
      </c>
      <c r="S176" s="11" t="inlineStr"/>
    </row>
    <row r="177">
      <c r="A177" s="11" t="inlineStr">
        <is>
          <t>P-0025</t>
        </is>
      </c>
      <c r="B177" s="11" t="inlineStr">
        <is>
          <t>proposal</t>
        </is>
      </c>
      <c r="C177" s="11" t="n">
        <v>4</v>
      </c>
      <c r="D177" s="2" t="inlineStr">
        <is>
          <t>Satya Narayan Sharma v. State of Rajasthan</t>
        </is>
      </c>
      <c r="E177" s="2" t="inlineStr">
        <is>
          <t>ASIAN RESURFACING OF ROAD AGENCY PVT. LTD. &amp; ANR.V. CENTRAL BUREAU OF INVESTIGATION versus CENTRAL BUREAU OF INVESTIGATION (2018, 3 judges)</t>
        </is>
      </c>
      <c r="F177" s="2" t="inlineStr">
        <is>
          <t>tag: overruled</t>
        </is>
      </c>
      <c r="G177" s="2" t="inlineStr">
        <is>
          <t>add_row (give overruled_year; overruled_cites is prefilled where the report printed them), reject, or keep.</t>
        </is>
      </c>
      <c r="H177" s="12" t="inlineStr"/>
      <c r="I177" s="12" t="inlineStr"/>
      <c r="J177" s="13" t="inlineStr"/>
      <c r="K177" s="12" t="inlineStr"/>
      <c r="L177" s="12" t="inlineStr"/>
      <c r="M177" s="12" t="inlineStr"/>
      <c r="N177" s="12" t="inlineStr"/>
      <c r="O177" s="13" t="inlineStr"/>
      <c r="P177" s="12" t="inlineStr"/>
      <c r="Q177" s="12" t="inlineStr"/>
      <c r="R177" s="11" t="inlineStr">
        <is>
          <t>2026-10-15</t>
        </is>
      </c>
      <c r="S177" s="11" t="inlineStr"/>
    </row>
    <row r="178">
      <c r="A178" s="11" t="inlineStr">
        <is>
          <t>P-0026</t>
        </is>
      </c>
      <c r="B178" s="11" t="inlineStr">
        <is>
          <t>proposal</t>
        </is>
      </c>
      <c r="C178" s="11" t="n">
        <v>4</v>
      </c>
      <c r="D178" s="2" t="inlineStr">
        <is>
          <t>Commissioner of Police v. Gurbux Anandram Bhiryani</t>
        </is>
      </c>
      <c r="E178" s="2" t="inlineStr">
        <is>
          <t>SECRETARY TO GOVERNMENT OF TAMIL NADU PUBLIC (LAW AND ORDER) REVENUE DEPARTMENT &amp; ANR. versus KAMALA &amp; ANR. (2018, 3 judges)</t>
        </is>
      </c>
      <c r="F178" s="2" t="inlineStr">
        <is>
          <t>tag: not correct law</t>
        </is>
      </c>
      <c r="G178" s="2" t="inlineStr">
        <is>
          <t>add_row (give overruled_year; overruled_cites is prefilled where the report printed them), reject, or keep.</t>
        </is>
      </c>
      <c r="H178" s="12" t="inlineStr"/>
      <c r="I178" s="12" t="inlineStr"/>
      <c r="J178" s="13" t="inlineStr"/>
      <c r="K178" s="12" t="inlineStr"/>
      <c r="L178" s="12" t="inlineStr"/>
      <c r="M178" s="12" t="inlineStr"/>
      <c r="N178" s="12" t="inlineStr"/>
      <c r="O178" s="13" t="inlineStr"/>
      <c r="P178" s="12" t="inlineStr"/>
      <c r="Q178" s="12" t="inlineStr"/>
      <c r="R178" s="11" t="inlineStr">
        <is>
          <t>2026-10-15</t>
        </is>
      </c>
      <c r="S178" s="11" t="inlineStr"/>
    </row>
    <row r="179">
      <c r="A179" s="11" t="inlineStr">
        <is>
          <t>P-0028</t>
        </is>
      </c>
      <c r="B179" s="11" t="inlineStr">
        <is>
          <t>proposal</t>
        </is>
      </c>
      <c r="C179" s="11" t="n">
        <v>4</v>
      </c>
      <c r="D179" s="2" t="inlineStr">
        <is>
          <t>(see sentence)</t>
        </is>
      </c>
      <c r="E179" s="2" t="inlineStr">
        <is>
          <t>MOHANLAL versus THE STATE OF PUNJAB (2018, 3 judges)</t>
        </is>
      </c>
      <c r="F179" s="2" t="inlineStr">
        <is>
          <t>sentence: Therefore, legal position stated in Naushad v. State of Kerala 2000 (1) KLT 785 to the contrary is overruled.” 24.</t>
        </is>
      </c>
      <c r="G179" s="2" t="inlineStr">
        <is>
          <t>add_row (give overruled_year; overruled_cites is prefilled where the report printed them), reject, or keep.</t>
        </is>
      </c>
      <c r="H179" s="12" t="inlineStr"/>
      <c r="I179" s="12" t="inlineStr"/>
      <c r="J179" s="13" t="inlineStr"/>
      <c r="K179" s="12" t="inlineStr"/>
      <c r="L179" s="12" t="inlineStr"/>
      <c r="M179" s="12" t="inlineStr"/>
      <c r="N179" s="12" t="inlineStr"/>
      <c r="O179" s="13" t="inlineStr"/>
      <c r="P179" s="12" t="inlineStr"/>
      <c r="Q179" s="12" t="inlineStr"/>
      <c r="R179" s="11" t="inlineStr">
        <is>
          <t>2026-10-15</t>
        </is>
      </c>
      <c r="S179" s="11" t="inlineStr"/>
    </row>
    <row r="180">
      <c r="A180" s="11" t="inlineStr">
        <is>
          <t>P-0029</t>
        </is>
      </c>
      <c r="B180" s="11" t="inlineStr">
        <is>
          <t>proposal</t>
        </is>
      </c>
      <c r="C180" s="11" t="n">
        <v>4</v>
      </c>
      <c r="D180" s="2" t="inlineStr">
        <is>
          <t>(see sentence)</t>
        </is>
      </c>
      <c r="E180" s="2" t="inlineStr">
        <is>
          <t>MOHANLAL versus THE STATE OF PUNJAB (2018, 3 judges)</t>
        </is>
      </c>
      <c r="F180" s="2" t="inlineStr">
        <is>
          <t>sentence: Kader (supra) is, therefore, overruled.</t>
        </is>
      </c>
      <c r="G180" s="2" t="inlineStr">
        <is>
          <t>add_row (give overruled_year; overruled_cites is prefilled where the report printed them), reject, or keep.</t>
        </is>
      </c>
      <c r="H180" s="12" t="inlineStr"/>
      <c r="I180" s="12" t="inlineStr"/>
      <c r="J180" s="13" t="inlineStr"/>
      <c r="K180" s="12" t="inlineStr"/>
      <c r="L180" s="12" t="inlineStr"/>
      <c r="M180" s="12" t="inlineStr"/>
      <c r="N180" s="12" t="inlineStr"/>
      <c r="O180" s="13" t="inlineStr"/>
      <c r="P180" s="12" t="inlineStr"/>
      <c r="Q180" s="12" t="inlineStr"/>
      <c r="R180" s="11" t="inlineStr">
        <is>
          <t>2026-10-15</t>
        </is>
      </c>
      <c r="S180" s="11" t="inlineStr"/>
    </row>
    <row r="181">
      <c r="A181" s="11" t="inlineStr">
        <is>
          <t>P-0031</t>
        </is>
      </c>
      <c r="B181" s="11" t="inlineStr">
        <is>
          <t>proposal</t>
        </is>
      </c>
      <c r="C181" s="11" t="n">
        <v>4</v>
      </c>
      <c r="D181" s="2" t="inlineStr">
        <is>
          <t>New Delhi Municipal Council v. State of Punjab and Ors.</t>
        </is>
      </c>
      <c r="E181" s="2" t="inlineStr">
        <is>
          <t>NAVTEJ SINGH JOHAR &amp; ORS. versus UNION OF INDIA THR. SECRETARY MINISTRY OF LAW AND JUSTICE (2018, 5 judges)</t>
        </is>
      </c>
      <c r="F181" s="2" t="inlineStr">
        <is>
          <t>tag: disapproved</t>
        </is>
      </c>
      <c r="G181" s="2" t="inlineStr">
        <is>
          <t>add_row (give overruled_year; overruled_cites is prefilled where the report printed them), reject, or keep.</t>
        </is>
      </c>
      <c r="H181" s="12" t="inlineStr"/>
      <c r="I181" s="12" t="inlineStr"/>
      <c r="J181" s="13" t="inlineStr"/>
      <c r="K181" s="12" t="inlineStr"/>
      <c r="L181" s="12" t="inlineStr"/>
      <c r="M181" s="12" t="inlineStr"/>
      <c r="N181" s="12" t="inlineStr"/>
      <c r="O181" s="13" t="inlineStr"/>
      <c r="P181" s="12" t="inlineStr"/>
      <c r="Q181" s="12" t="inlineStr"/>
      <c r="R181" s="11" t="inlineStr">
        <is>
          <t>2026-10-15</t>
        </is>
      </c>
      <c r="S181" s="11" t="inlineStr"/>
    </row>
    <row r="182">
      <c r="A182" s="11" t="inlineStr">
        <is>
          <t>P-0034</t>
        </is>
      </c>
      <c r="B182" s="11" t="inlineStr">
        <is>
          <t>proposal</t>
        </is>
      </c>
      <c r="C182" s="11" t="n">
        <v>4</v>
      </c>
      <c r="D182" s="2" t="inlineStr">
        <is>
          <t>Sagar Pandurang Dhundare v. Keshav Aaba Patil and others</t>
        </is>
      </c>
      <c r="E182" s="2" t="inlineStr">
        <is>
          <t>JANABAI versus ADDITIONAL COMMISSIONER AND OTHERS (2018, 3 judges)</t>
        </is>
      </c>
      <c r="F182" s="2" t="inlineStr">
        <is>
          <t>tag: overruled</t>
        </is>
      </c>
      <c r="G182" s="2" t="inlineStr">
        <is>
          <t>add_row (give overruled_year; overruled_cites is prefilled where the report printed them), reject, or keep.</t>
        </is>
      </c>
      <c r="H182" s="12" t="inlineStr"/>
      <c r="I182" s="12" t="inlineStr"/>
      <c r="J182" s="13" t="inlineStr"/>
      <c r="K182" s="12" t="inlineStr"/>
      <c r="L182" s="12" t="inlineStr"/>
      <c r="M182" s="12" t="inlineStr"/>
      <c r="N182" s="12" t="inlineStr"/>
      <c r="O182" s="13" t="inlineStr"/>
      <c r="P182" s="12" t="inlineStr"/>
      <c r="Q182" s="12" t="inlineStr"/>
      <c r="R182" s="11" t="inlineStr">
        <is>
          <t>2026-10-15</t>
        </is>
      </c>
      <c r="S182" s="11" t="inlineStr"/>
    </row>
    <row r="183">
      <c r="A183" s="11" t="inlineStr">
        <is>
          <t>P-0035</t>
        </is>
      </c>
      <c r="B183" s="11" t="inlineStr">
        <is>
          <t>proposal</t>
        </is>
      </c>
      <c r="C183" s="11" t="n">
        <v>4</v>
      </c>
      <c r="D183" s="2" t="inlineStr">
        <is>
          <t>Mohd. Saeed Siddiqui v. State of Uttar Pradesh and Another</t>
        </is>
      </c>
      <c r="E183" s="2" t="inlineStr">
        <is>
          <t>JUSTICE K. S. PUTTASWAMY (RETD.) versus UNION OF INDIA &amp; ORS. (2018, 5 judges)</t>
        </is>
      </c>
      <c r="F183" s="2" t="inlineStr">
        <is>
          <t>tag: not correct law</t>
        </is>
      </c>
      <c r="G183" s="2" t="inlineStr">
        <is>
          <t>add_row (give overruled_year; overruled_cites is prefilled where the report printed them), reject, or keep.</t>
        </is>
      </c>
      <c r="H183" s="12" t="inlineStr"/>
      <c r="I183" s="12" t="inlineStr"/>
      <c r="J183" s="13" t="inlineStr"/>
      <c r="K183" s="12" t="inlineStr"/>
      <c r="L183" s="12" t="inlineStr"/>
      <c r="M183" s="12" t="inlineStr"/>
      <c r="N183" s="12" t="inlineStr"/>
      <c r="O183" s="13" t="inlineStr"/>
      <c r="P183" s="12" t="inlineStr"/>
      <c r="Q183" s="12" t="inlineStr"/>
      <c r="R183" s="11" t="inlineStr">
        <is>
          <t>2026-10-15</t>
        </is>
      </c>
      <c r="S183" s="11" t="inlineStr"/>
    </row>
    <row r="184">
      <c r="A184" s="11" t="inlineStr">
        <is>
          <t>P-0036</t>
        </is>
      </c>
      <c r="B184" s="11" t="inlineStr">
        <is>
          <t>proposal</t>
        </is>
      </c>
      <c r="C184" s="11" t="n">
        <v>4</v>
      </c>
      <c r="D184" s="2" t="inlineStr">
        <is>
          <t>Yogendra Kumar Jaiswal and Others v. State of Bihar and Others</t>
        </is>
      </c>
      <c r="E184" s="2" t="inlineStr">
        <is>
          <t>JUSTICE K. S. PUTTASWAMY (RETD.) versus UNION OF INDIA &amp; ORS. (2018, 5 judges)</t>
        </is>
      </c>
      <c r="F184" s="2" t="inlineStr">
        <is>
          <t>tag: not correct law</t>
        </is>
      </c>
      <c r="G184" s="2" t="inlineStr">
        <is>
          <t>add_row (give overruled_year; overruled_cites is prefilled where the report printed them), reject, or keep.</t>
        </is>
      </c>
      <c r="H184" s="12" t="inlineStr"/>
      <c r="I184" s="12" t="inlineStr"/>
      <c r="J184" s="13" t="inlineStr"/>
      <c r="K184" s="12" t="inlineStr"/>
      <c r="L184" s="12" t="inlineStr"/>
      <c r="M184" s="12" t="inlineStr"/>
      <c r="N184" s="12" t="inlineStr"/>
      <c r="O184" s="13" t="inlineStr"/>
      <c r="P184" s="12" t="inlineStr"/>
      <c r="Q184" s="12" t="inlineStr"/>
      <c r="R184" s="11" t="inlineStr">
        <is>
          <t>2026-10-15</t>
        </is>
      </c>
      <c r="S184" s="11" t="inlineStr"/>
    </row>
    <row r="185">
      <c r="A185" s="11" t="inlineStr">
        <is>
          <t>P-0037</t>
        </is>
      </c>
      <c r="B185" s="11" t="inlineStr">
        <is>
          <t>proposal</t>
        </is>
      </c>
      <c r="C185" s="11" t="n">
        <v>4</v>
      </c>
      <c r="D185" s="2" t="inlineStr">
        <is>
          <t>Mohd Saeed Siddiqui v State of Uttar Pradesh</t>
        </is>
      </c>
      <c r="E185" s="2" t="inlineStr">
        <is>
          <t>JUSTICE K. S. PUTTASWAMY (RETD.) versus UNION OF INDIA &amp; ORS. (2018, 5 judges)</t>
        </is>
      </c>
      <c r="F185" s="2" t="inlineStr">
        <is>
          <t>tag: overruled</t>
        </is>
      </c>
      <c r="G185" s="2" t="inlineStr">
        <is>
          <t>add_row (give overruled_year; overruled_cites is prefilled where the report printed them), reject, or keep.</t>
        </is>
      </c>
      <c r="H185" s="12" t="inlineStr"/>
      <c r="I185" s="12" t="inlineStr"/>
      <c r="J185" s="13" t="inlineStr"/>
      <c r="K185" s="12" t="inlineStr"/>
      <c r="L185" s="12" t="inlineStr"/>
      <c r="M185" s="12" t="inlineStr"/>
      <c r="N185" s="12" t="inlineStr"/>
      <c r="O185" s="13" t="inlineStr"/>
      <c r="P185" s="12" t="inlineStr"/>
      <c r="Q185" s="12" t="inlineStr"/>
      <c r="R185" s="11" t="inlineStr">
        <is>
          <t>2026-10-15</t>
        </is>
      </c>
      <c r="S185" s="11" t="inlineStr"/>
    </row>
    <row r="186">
      <c r="A186" s="11" t="inlineStr">
        <is>
          <t>P-0038</t>
        </is>
      </c>
      <c r="B186" s="11" t="inlineStr">
        <is>
          <t>proposal</t>
        </is>
      </c>
      <c r="C186" s="11" t="n">
        <v>4</v>
      </c>
      <c r="D186" s="2" t="inlineStr">
        <is>
          <t>Yogendra Kumar Jaiswal v State of Bihar</t>
        </is>
      </c>
      <c r="E186" s="2" t="inlineStr">
        <is>
          <t>JUSTICE K. S. PUTTASWAMY (RETD.) versus UNION OF INDIA &amp; ORS. (2018, 5 judges)</t>
        </is>
      </c>
      <c r="F186" s="2" t="inlineStr">
        <is>
          <t>tag: overruled</t>
        </is>
      </c>
      <c r="G186" s="2" t="inlineStr">
        <is>
          <t>add_row (give overruled_year; overruled_cites is prefilled where the report printed them), reject, or keep.</t>
        </is>
      </c>
      <c r="H186" s="12" t="inlineStr"/>
      <c r="I186" s="12" t="inlineStr"/>
      <c r="J186" s="13" t="inlineStr"/>
      <c r="K186" s="12" t="inlineStr"/>
      <c r="L186" s="12" t="inlineStr"/>
      <c r="M186" s="12" t="inlineStr"/>
      <c r="N186" s="12" t="inlineStr"/>
      <c r="O186" s="13" t="inlineStr"/>
      <c r="P186" s="12" t="inlineStr"/>
      <c r="Q186" s="12" t="inlineStr"/>
      <c r="R186" s="11" t="inlineStr">
        <is>
          <t>2026-10-15</t>
        </is>
      </c>
      <c r="S186" s="11" t="inlineStr"/>
    </row>
    <row r="187">
      <c r="A187" s="11" t="inlineStr">
        <is>
          <t>P-0047</t>
        </is>
      </c>
      <c r="B187" s="11" t="inlineStr">
        <is>
          <t>proposal</t>
        </is>
      </c>
      <c r="C187" s="11" t="n">
        <v>4</v>
      </c>
      <c r="D187" s="2" t="inlineStr">
        <is>
          <t>The State of Bombay v Narasu Appa Mali</t>
        </is>
      </c>
      <c r="E187" s="2" t="inlineStr">
        <is>
          <t>INDIAN YOUNG LAWYERS ASSN. versus STATE OF KERALA 561 INDIAN YOUNG LAWYERS ASSOCIATION &amp; ORS.V. THE STATE OF KERALA &amp; ORS. (2018, 5 judges)</t>
        </is>
      </c>
      <c r="F187" s="2" t="inlineStr">
        <is>
          <t>tag: disapproved</t>
        </is>
      </c>
      <c r="G187" s="2" t="inlineStr">
        <is>
          <t>add_row (give overruled_year; overruled_cites is prefilled where the report printed them), reject, or keep.</t>
        </is>
      </c>
      <c r="H187" s="12" t="inlineStr"/>
      <c r="I187" s="12" t="inlineStr"/>
      <c r="J187" s="13" t="inlineStr"/>
      <c r="K187" s="12" t="inlineStr"/>
      <c r="L187" s="12" t="inlineStr"/>
      <c r="M187" s="12" t="inlineStr"/>
      <c r="N187" s="12" t="inlineStr"/>
      <c r="O187" s="13" t="inlineStr"/>
      <c r="P187" s="12" t="inlineStr"/>
      <c r="Q187" s="12" t="inlineStr"/>
      <c r="R187" s="11" t="inlineStr">
        <is>
          <t>2026-10-15</t>
        </is>
      </c>
      <c r="S187" s="11" t="inlineStr"/>
    </row>
    <row r="188">
      <c r="A188" s="11" t="inlineStr">
        <is>
          <t>P-0048</t>
        </is>
      </c>
      <c r="B188" s="11" t="inlineStr">
        <is>
          <t>proposal</t>
        </is>
      </c>
      <c r="C188" s="11" t="n">
        <v>4</v>
      </c>
      <c r="D188" s="2" t="inlineStr">
        <is>
          <t>Purbanchal Cables and Conductors Private Limited v. Assam State Electricity Board and another</t>
        </is>
      </c>
      <c r="E188" s="2" t="inlineStr">
        <is>
          <t>M/S. SHANTI CONDUCTORS (P) LTD. &amp; ANR. versus ASSAM STATE ELECTRICITY BOARD &amp; ORS. (2019, 3 judges)</t>
        </is>
      </c>
      <c r="F188" s="2" t="inlineStr">
        <is>
          <t>tag: not correct law</t>
        </is>
      </c>
      <c r="G188" s="2" t="inlineStr">
        <is>
          <t>add_row (give overruled_year; overruled_cites is prefilled where the report printed them), reject, or keep.</t>
        </is>
      </c>
      <c r="H188" s="12" t="inlineStr"/>
      <c r="I188" s="12" t="inlineStr"/>
      <c r="J188" s="13" t="inlineStr"/>
      <c r="K188" s="12" t="inlineStr"/>
      <c r="L188" s="12" t="inlineStr"/>
      <c r="M188" s="12" t="inlineStr"/>
      <c r="N188" s="12" t="inlineStr"/>
      <c r="O188" s="13" t="inlineStr"/>
      <c r="P188" s="12" t="inlineStr"/>
      <c r="Q188" s="12" t="inlineStr"/>
      <c r="R188" s="11" t="inlineStr">
        <is>
          <t>2026-10-15</t>
        </is>
      </c>
      <c r="S188" s="11" t="inlineStr"/>
    </row>
    <row r="189">
      <c r="A189" s="11" t="inlineStr">
        <is>
          <t>P-0049</t>
        </is>
      </c>
      <c r="B189" s="11" t="inlineStr">
        <is>
          <t>proposal</t>
        </is>
      </c>
      <c r="C189" s="11" t="n">
        <v>4</v>
      </c>
      <c r="D189" s="2" t="inlineStr">
        <is>
          <t>Commissioner of Income Tax v. M/s. Classic Binding Industries</t>
        </is>
      </c>
      <c r="E189" s="2" t="inlineStr">
        <is>
          <t>PR. COMMISSIONER OF INCOME TAX SHIMLA versus M/S AARHAM SOFTRONICS (2019, 3 judges)</t>
        </is>
      </c>
      <c r="F189" s="2" t="inlineStr">
        <is>
          <t>tag: held not correct law</t>
        </is>
      </c>
      <c r="G189" s="2" t="inlineStr">
        <is>
          <t>add_row (give overruled_year; overruled_cites is prefilled where the report printed them), reject, or keep.</t>
        </is>
      </c>
      <c r="H189" s="12" t="inlineStr"/>
      <c r="I189" s="12" t="inlineStr"/>
      <c r="J189" s="13" t="inlineStr"/>
      <c r="K189" s="12" t="inlineStr"/>
      <c r="L189" s="12" t="inlineStr"/>
      <c r="M189" s="12" t="inlineStr"/>
      <c r="N189" s="12" t="inlineStr"/>
      <c r="O189" s="13" t="inlineStr"/>
      <c r="P189" s="12" t="inlineStr"/>
      <c r="Q189" s="12" t="inlineStr"/>
      <c r="R189" s="11" t="inlineStr">
        <is>
          <t>2026-10-15</t>
        </is>
      </c>
      <c r="S189" s="11" t="inlineStr"/>
    </row>
    <row r="190">
      <c r="A190" s="11" t="inlineStr">
        <is>
          <t>P-0051</t>
        </is>
      </c>
      <c r="B190" s="11" t="inlineStr">
        <is>
          <t>proposal</t>
        </is>
      </c>
      <c r="C190" s="11" t="n">
        <v>4</v>
      </c>
      <c r="D190" s="2" t="inlineStr">
        <is>
          <t>(see sentence)</t>
        </is>
      </c>
      <c r="E190" s="2" t="inlineStr">
        <is>
          <t>STATE OF WEST BENGAL &amp; ORS. versus DR. TONMOY MONDAL (2019, 3 judges)</t>
        </is>
      </c>
      <c r="F190" s="2" t="inlineStr">
        <is>
          <t>sentence: So it is that relaxation on merit, by overruling STATE OF WEST BENGAL &amp; ORS. v. DR. TONMOY MONDAL SUPREME COURT REPORTS [2019] 5 S.C.R. equality and quality altogether, is a social risk where the stage is postgraduate or postdoctoral. 34.</t>
        </is>
      </c>
      <c r="G190" s="2" t="inlineStr">
        <is>
          <t>add_row (give overruled_year; overruled_cites is prefilled where the report printed them), reject, or keep.</t>
        </is>
      </c>
      <c r="H190" s="12" t="inlineStr"/>
      <c r="I190" s="12" t="inlineStr"/>
      <c r="J190" s="13" t="inlineStr"/>
      <c r="K190" s="12" t="inlineStr"/>
      <c r="L190" s="12" t="inlineStr"/>
      <c r="M190" s="12" t="inlineStr"/>
      <c r="N190" s="12" t="inlineStr"/>
      <c r="O190" s="13" t="inlineStr"/>
      <c r="P190" s="12" t="inlineStr"/>
      <c r="Q190" s="12" t="inlineStr"/>
      <c r="R190" s="11" t="inlineStr">
        <is>
          <t>2026-10-15</t>
        </is>
      </c>
      <c r="S190" s="11" t="inlineStr"/>
    </row>
    <row r="191">
      <c r="A191" s="11" t="inlineStr">
        <is>
          <t>P-0052</t>
        </is>
      </c>
      <c r="B191" s="11" t="inlineStr">
        <is>
          <t>proposal</t>
        </is>
      </c>
      <c r="C191" s="11" t="n">
        <v>4</v>
      </c>
      <c r="D191" s="2" t="inlineStr">
        <is>
          <t>Commissioner of Commercial Taxes, Ranchi and Another v. Swarm Rekha Cokes and Coals Pvt. Ltd.</t>
        </is>
      </c>
      <c r="E191" s="2" t="inlineStr">
        <is>
          <t>STATE OF MADHYA PRADESH AND OTHERS  versus LAFARGE DEALERS ASSOCIATION AND OTHERS (2019, 3 judges)</t>
        </is>
      </c>
      <c r="F191" s="2" t="inlineStr">
        <is>
          <t>tag: overruled</t>
        </is>
      </c>
      <c r="G191" s="2" t="inlineStr">
        <is>
          <t>add_row (give overruled_year; overruled_cites is prefilled where the report printed them), reject, or keep.</t>
        </is>
      </c>
      <c r="H191" s="12" t="inlineStr"/>
      <c r="I191" s="12" t="inlineStr"/>
      <c r="J191" s="13" t="inlineStr"/>
      <c r="K191" s="12" t="inlineStr"/>
      <c r="L191" s="12" t="inlineStr"/>
      <c r="M191" s="12" t="inlineStr"/>
      <c r="N191" s="12" t="inlineStr"/>
      <c r="O191" s="13" t="inlineStr"/>
      <c r="P191" s="12" t="inlineStr"/>
      <c r="Q191" s="12" t="inlineStr"/>
      <c r="R191" s="11" t="inlineStr">
        <is>
          <t>2026-10-15</t>
        </is>
      </c>
      <c r="S191" s="11" t="inlineStr"/>
    </row>
    <row r="192">
      <c r="A192" s="11" t="inlineStr">
        <is>
          <t>P-0056</t>
        </is>
      </c>
      <c r="B192" s="11" t="inlineStr">
        <is>
          <t>proposal</t>
        </is>
      </c>
      <c r="C192" s="11" t="n">
        <v>4</v>
      </c>
      <c r="D192" s="2" t="inlineStr">
        <is>
          <t>Krishi Utpadan Mandi Samiti v. Shankar Industries</t>
        </is>
      </c>
      <c r="E192" s="2" t="inlineStr">
        <is>
          <t>PIONEER URBAN LAND AND INFRASTRUCTURE LIMITED &amp; ANR. versus UNION OF INDIA &amp; ORS. (2019, 3 judges)</t>
        </is>
      </c>
      <c r="F192" s="2" t="inlineStr">
        <is>
          <t>tag: held not a good law</t>
        </is>
      </c>
      <c r="G192" s="2" t="inlineStr">
        <is>
          <t>add_row (give overruled_year; overruled_cites is prefilled where the report printed them), reject, or keep.</t>
        </is>
      </c>
      <c r="H192" s="12" t="inlineStr"/>
      <c r="I192" s="12" t="inlineStr"/>
      <c r="J192" s="13" t="inlineStr"/>
      <c r="K192" s="12" t="inlineStr"/>
      <c r="L192" s="12" t="inlineStr"/>
      <c r="M192" s="12" t="inlineStr"/>
      <c r="N192" s="12" t="inlineStr"/>
      <c r="O192" s="13" t="inlineStr"/>
      <c r="P192" s="12" t="inlineStr"/>
      <c r="Q192" s="12" t="inlineStr"/>
      <c r="R192" s="11" t="inlineStr">
        <is>
          <t>2026-10-15</t>
        </is>
      </c>
      <c r="S192" s="11" t="inlineStr"/>
    </row>
    <row r="193">
      <c r="A193" s="11" t="inlineStr">
        <is>
          <t>P-0057</t>
        </is>
      </c>
      <c r="B193" s="11" t="inlineStr">
        <is>
          <t>proposal</t>
        </is>
      </c>
      <c r="C193" s="11" t="n">
        <v>4</v>
      </c>
      <c r="D193" s="2" t="inlineStr">
        <is>
          <t>C.I.T. v. Satish Kumar Gupta (C.A. No. 6437/2012) decided on 12.09.2012</t>
        </is>
      </c>
      <c r="E193" s="2" t="inlineStr">
        <is>
          <t>COMMISSIONER OF INCOME TAX, KARNAL (HARYANA) versus M/S CARPET INDIA, PANIPAT (HARYANA) (2019, 3 judges)</t>
        </is>
      </c>
      <c r="F193" s="2" t="inlineStr">
        <is>
          <t>tag: overruled</t>
        </is>
      </c>
      <c r="G193" s="2" t="inlineStr">
        <is>
          <t>add_row (give overruled_year; overruled_cites is prefilled where the report printed them), reject, or keep.</t>
        </is>
      </c>
      <c r="H193" s="12" t="inlineStr"/>
      <c r="I193" s="12" t="inlineStr"/>
      <c r="J193" s="13" t="inlineStr"/>
      <c r="K193" s="12" t="inlineStr"/>
      <c r="L193" s="12" t="inlineStr"/>
      <c r="M193" s="12" t="inlineStr"/>
      <c r="N193" s="12" t="inlineStr"/>
      <c r="O193" s="13" t="inlineStr"/>
      <c r="P193" s="12" t="inlineStr"/>
      <c r="Q193" s="12" t="inlineStr"/>
      <c r="R193" s="11" t="inlineStr">
        <is>
          <t>2026-10-15</t>
        </is>
      </c>
      <c r="S193" s="11" t="inlineStr"/>
    </row>
    <row r="194">
      <c r="A194" s="11" t="inlineStr">
        <is>
          <t>P-0058</t>
        </is>
      </c>
      <c r="B194" s="11" t="inlineStr">
        <is>
          <t>proposal</t>
        </is>
      </c>
      <c r="C194" s="11" t="n">
        <v>4</v>
      </c>
      <c r="D194" s="2" t="inlineStr">
        <is>
          <t>(see sentence)</t>
        </is>
      </c>
      <c r="E194" s="2" t="inlineStr">
        <is>
          <t>M/S MAYAVTI TRADING PVT. LTD. versus PRADYUAT DEB BURMAN (2019, 3 judges)</t>
        </is>
      </c>
      <c r="F194" s="2" t="inlineStr">
        <is>
          <t>sentence: Ltd. v. Rani Construction (P) Ltd. [(2002) 2 SCC 388] is overruled.” 16.</t>
        </is>
      </c>
      <c r="G194" s="2" t="inlineStr">
        <is>
          <t>add_row (give overruled_year; overruled_cites is prefilled where the report printed them), reject, or keep.</t>
        </is>
      </c>
      <c r="H194" s="12" t="inlineStr"/>
      <c r="I194" s="12" t="inlineStr"/>
      <c r="J194" s="13" t="inlineStr"/>
      <c r="K194" s="12" t="inlineStr"/>
      <c r="L194" s="12" t="inlineStr"/>
      <c r="M194" s="12" t="inlineStr"/>
      <c r="N194" s="12" t="inlineStr"/>
      <c r="O194" s="13" t="inlineStr"/>
      <c r="P194" s="12" t="inlineStr"/>
      <c r="Q194" s="12" t="inlineStr"/>
      <c r="R194" s="11" t="inlineStr">
        <is>
          <t>2026-10-15</t>
        </is>
      </c>
      <c r="S194" s="11" t="inlineStr"/>
    </row>
    <row r="195">
      <c r="A195" s="11" t="inlineStr">
        <is>
          <t>P-0059</t>
        </is>
      </c>
      <c r="B195" s="11" t="inlineStr">
        <is>
          <t>proposal</t>
        </is>
      </c>
      <c r="C195" s="11" t="n">
        <v>4</v>
      </c>
      <c r="D195" s="2" t="inlineStr">
        <is>
          <t>HUDA v. Sunita</t>
        </is>
      </c>
      <c r="E195" s="2" t="inlineStr">
        <is>
          <t>HUDA versus VIDYA CHETAL (2019, 3 judges)</t>
        </is>
      </c>
      <c r="F195" s="2" t="inlineStr">
        <is>
          <t>tag: overruled</t>
        </is>
      </c>
      <c r="G195" s="2" t="inlineStr">
        <is>
          <t>add_row (give overruled_year; overruled_cites is prefilled where the report printed them), reject, or keep.</t>
        </is>
      </c>
      <c r="H195" s="12" t="inlineStr"/>
      <c r="I195" s="12" t="inlineStr"/>
      <c r="J195" s="13" t="inlineStr"/>
      <c r="K195" s="12" t="inlineStr"/>
      <c r="L195" s="12" t="inlineStr"/>
      <c r="M195" s="12" t="inlineStr"/>
      <c r="N195" s="12" t="inlineStr"/>
      <c r="O195" s="13" t="inlineStr"/>
      <c r="P195" s="12" t="inlineStr"/>
      <c r="Q195" s="12" t="inlineStr"/>
      <c r="R195" s="11" t="inlineStr">
        <is>
          <t>2026-10-15</t>
        </is>
      </c>
      <c r="S195" s="11" t="inlineStr"/>
    </row>
    <row r="196">
      <c r="A196" s="11" t="inlineStr">
        <is>
          <t>P-0060</t>
        </is>
      </c>
      <c r="B196" s="11" t="inlineStr">
        <is>
          <t>proposal</t>
        </is>
      </c>
      <c r="C196" s="11" t="n">
        <v>4</v>
      </c>
      <c r="D196" s="2" t="inlineStr">
        <is>
          <t>Appa Narsappa v. Akubai Ganapati</t>
        </is>
      </c>
      <c r="E196" s="2" t="inlineStr">
        <is>
          <t>VASANT GANPAT PADAVE (D) BY LRS. &amp; ORS . versus ANANT MAHADEV SAWANT (D) THROUGH LRS. &amp; ORS (2019, 3 judges)</t>
        </is>
      </c>
      <c r="F196" s="2" t="inlineStr">
        <is>
          <t>tag: overruled</t>
        </is>
      </c>
      <c r="G196" s="2" t="inlineStr">
        <is>
          <t>add_row (give overruled_year; overruled_cites is prefilled where the report printed them), reject, or keep.</t>
        </is>
      </c>
      <c r="H196" s="12" t="inlineStr"/>
      <c r="I196" s="12" t="inlineStr"/>
      <c r="J196" s="13" t="inlineStr"/>
      <c r="K196" s="12" t="inlineStr"/>
      <c r="L196" s="12" t="inlineStr"/>
      <c r="M196" s="12" t="inlineStr"/>
      <c r="N196" s="12" t="inlineStr"/>
      <c r="O196" s="13" t="inlineStr"/>
      <c r="P196" s="12" t="inlineStr"/>
      <c r="Q196" s="12" t="inlineStr"/>
      <c r="R196" s="11" t="inlineStr">
        <is>
          <t>2026-10-15</t>
        </is>
      </c>
      <c r="S196" s="11" t="inlineStr"/>
    </row>
    <row r="197">
      <c r="A197" s="11" t="inlineStr">
        <is>
          <t>P-0061</t>
        </is>
      </c>
      <c r="B197" s="11" t="inlineStr">
        <is>
          <t>proposal</t>
        </is>
      </c>
      <c r="C197" s="11" t="n">
        <v>4</v>
      </c>
      <c r="D197" s="2" t="inlineStr">
        <is>
          <t>Tukaram Maruti Chavan v. Maruti Narayan Chavan</t>
        </is>
      </c>
      <c r="E197" s="2" t="inlineStr">
        <is>
          <t>VASANT GANPAT PADAVE (D) BY LRS. &amp; ORS . versus ANANT MAHADEV SAWANT (D) THROUGH LRS. &amp; ORS (2019, 3 judges)</t>
        </is>
      </c>
      <c r="F197" s="2" t="inlineStr">
        <is>
          <t>tag: partly overruled</t>
        </is>
      </c>
      <c r="G197" s="2" t="inlineStr">
        <is>
          <t>add_row (give overruled_year; overruled_cites is prefilled where the report printed them), reject, or keep.</t>
        </is>
      </c>
      <c r="H197" s="12" t="inlineStr"/>
      <c r="I197" s="12" t="inlineStr"/>
      <c r="J197" s="13" t="inlineStr"/>
      <c r="K197" s="12" t="inlineStr"/>
      <c r="L197" s="12" t="inlineStr"/>
      <c r="M197" s="12" t="inlineStr"/>
      <c r="N197" s="12" t="inlineStr"/>
      <c r="O197" s="13" t="inlineStr"/>
      <c r="P197" s="12" t="inlineStr"/>
      <c r="Q197" s="12" t="inlineStr"/>
      <c r="R197" s="11" t="inlineStr">
        <is>
          <t>2026-10-15</t>
        </is>
      </c>
      <c r="S197" s="11" t="inlineStr"/>
    </row>
    <row r="198">
      <c r="A198" s="11" t="inlineStr">
        <is>
          <t>P-0062</t>
        </is>
      </c>
      <c r="B198" s="11" t="inlineStr">
        <is>
          <t>proposal</t>
        </is>
      </c>
      <c r="C198" s="11" t="n">
        <v>4</v>
      </c>
      <c r="D198" s="2" t="inlineStr">
        <is>
          <t>(see sentence)</t>
        </is>
      </c>
      <c r="E198" s="2" t="inlineStr">
        <is>
          <t>NEVADA PROPERTIES PRIVATE LIMITED THROUGH ITS DIRECTOR versus STATE OF MAHARASHTRA AND ANR. (2019, 3 judges)</t>
        </is>
      </c>
      <c r="F198" s="2" t="inlineStr">
        <is>
          <t xml:space="preserve">sentence: According to the majority judgment, earlier decision of the Division Bench of the same High Court in Kishore Shankar Signapurkar v. State of Maharashtra and Others1 lays down the correct ratio and the contrary view expressed in M/s. Bombay </t>
        </is>
      </c>
      <c r="G198" s="2" t="inlineStr">
        <is>
          <t>add_row (give overruled_year; overruled_cites is prefilled where the report printed them), reject, or keep.</t>
        </is>
      </c>
      <c r="H198" s="12" t="inlineStr"/>
      <c r="I198" s="12" t="inlineStr"/>
      <c r="J198" s="13" t="inlineStr"/>
      <c r="K198" s="12" t="inlineStr"/>
      <c r="L198" s="12" t="inlineStr"/>
      <c r="M198" s="12" t="inlineStr"/>
      <c r="N198" s="12" t="inlineStr"/>
      <c r="O198" s="13" t="inlineStr"/>
      <c r="P198" s="12" t="inlineStr"/>
      <c r="Q198" s="12" t="inlineStr"/>
      <c r="R198" s="11" t="inlineStr">
        <is>
          <t>2026-10-15</t>
        </is>
      </c>
      <c r="S198" s="11" t="inlineStr"/>
    </row>
    <row r="199">
      <c r="A199" s="11" t="inlineStr">
        <is>
          <t>P-0063</t>
        </is>
      </c>
      <c r="B199" s="11" t="inlineStr">
        <is>
          <t>proposal</t>
        </is>
      </c>
      <c r="C199" s="11" t="n">
        <v>4</v>
      </c>
      <c r="D199" s="2" t="inlineStr">
        <is>
          <t>(see sentence)</t>
        </is>
      </c>
      <c r="E199" s="2" t="inlineStr">
        <is>
          <t>NEVADA PROPERTIES PRIVATE LIMITED THROUGH ITS DIRECTOR versus STATE OF MAHARASHTRA AND ANR. (2019, 3 judges)</t>
        </is>
      </c>
      <c r="F199" s="2" t="inlineStr">
        <is>
          <t>sentence: The minority view holds that the police officer has power to seize any property, whether movable or immovable, under Section 102 of the Code and the decision of the Division Bench in M/s. Bombay Science and Research Education Institute (sup</t>
        </is>
      </c>
      <c r="G199" s="2" t="inlineStr">
        <is>
          <t>add_row (give overruled_year; overruled_cites is prefilled where the report printed them), reject, or keep.</t>
        </is>
      </c>
      <c r="H199" s="12" t="inlineStr"/>
      <c r="I199" s="12" t="inlineStr"/>
      <c r="J199" s="13" t="inlineStr"/>
      <c r="K199" s="12" t="inlineStr"/>
      <c r="L199" s="12" t="inlineStr"/>
      <c r="M199" s="12" t="inlineStr"/>
      <c r="N199" s="12" t="inlineStr"/>
      <c r="O199" s="13" t="inlineStr"/>
      <c r="P199" s="12" t="inlineStr"/>
      <c r="Q199" s="12" t="inlineStr"/>
      <c r="R199" s="11" t="inlineStr">
        <is>
          <t>2026-10-15</t>
        </is>
      </c>
      <c r="S199" s="11" t="inlineStr"/>
    </row>
    <row r="200">
      <c r="A200" s="11" t="inlineStr">
        <is>
          <t>P-0064</t>
        </is>
      </c>
      <c r="B200" s="11" t="inlineStr">
        <is>
          <t>proposal</t>
        </is>
      </c>
      <c r="C200" s="11" t="n">
        <v>4</v>
      </c>
      <c r="D200" s="2" t="inlineStr">
        <is>
          <t>(see sentence)</t>
        </is>
      </c>
      <c r="E200" s="2" t="inlineStr">
        <is>
          <t>RAVISHANKAR @ BABA VISHWAKARMA versus THE STATE OF MADHYA PRADESH (2019, 3 judges)</t>
        </is>
      </c>
      <c r="F200" s="2" t="inlineStr">
        <is>
          <t>sentence: We are, therefore, not in agreement with the opinion expressed by this Court in Sangeet v. State of Haryana [Sangeet v. State of Haryana, (2013) 2 SCC 452 : (2013) 2 SCC (Cri) 611] that the deprival of remission power of the appropriate Gov</t>
        </is>
      </c>
      <c r="G200" s="2" t="inlineStr">
        <is>
          <t>add_row (give overruled_year; overruled_cites is prefilled where the report printed them), reject, or keep.</t>
        </is>
      </c>
      <c r="H200" s="12" t="inlineStr"/>
      <c r="I200" s="12" t="inlineStr"/>
      <c r="J200" s="13" t="inlineStr"/>
      <c r="K200" s="12" t="inlineStr"/>
      <c r="L200" s="12" t="inlineStr"/>
      <c r="M200" s="12" t="inlineStr"/>
      <c r="N200" s="12" t="inlineStr"/>
      <c r="O200" s="13" t="inlineStr"/>
      <c r="P200" s="12" t="inlineStr"/>
      <c r="Q200" s="12" t="inlineStr"/>
      <c r="R200" s="11" t="inlineStr">
        <is>
          <t>2026-10-15</t>
        </is>
      </c>
      <c r="S200" s="11" t="inlineStr"/>
    </row>
    <row r="201">
      <c r="A201" s="11" t="inlineStr">
        <is>
          <t>P-0066</t>
        </is>
      </c>
      <c r="B201" s="11" t="inlineStr">
        <is>
          <t>proposal</t>
        </is>
      </c>
      <c r="C201" s="11" t="n">
        <v>4</v>
      </c>
      <c r="D201" s="2" t="inlineStr">
        <is>
          <t>Foreshore Cooperative Housing Society Limited v. Praveen D. Desai</t>
        </is>
      </c>
      <c r="E201" s="2" t="inlineStr">
        <is>
          <t>NUSLI NEVILLE WADIA versus IVORY PROPERTIES &amp; ORS. (2019, 3 judges)</t>
        </is>
      </c>
      <c r="F201" s="2" t="inlineStr">
        <is>
          <t>tag: not correct law</t>
        </is>
      </c>
      <c r="G201" s="2" t="inlineStr">
        <is>
          <t>add_row (give overruled_year; overruled_cites is prefilled where the report printed them), reject, or keep.</t>
        </is>
      </c>
      <c r="H201" s="12" t="inlineStr"/>
      <c r="I201" s="12" t="inlineStr"/>
      <c r="J201" s="13" t="inlineStr"/>
      <c r="K201" s="12" t="inlineStr"/>
      <c r="L201" s="12" t="inlineStr"/>
      <c r="M201" s="12" t="inlineStr"/>
      <c r="N201" s="12" t="inlineStr"/>
      <c r="O201" s="13" t="inlineStr"/>
      <c r="P201" s="12" t="inlineStr"/>
      <c r="Q201" s="12" t="inlineStr"/>
      <c r="R201" s="11" t="inlineStr">
        <is>
          <t>2026-10-15</t>
        </is>
      </c>
      <c r="S201" s="11" t="inlineStr"/>
    </row>
    <row r="202">
      <c r="A202" s="11" t="inlineStr">
        <is>
          <t>P-0067</t>
        </is>
      </c>
      <c r="B202" s="11" t="inlineStr">
        <is>
          <t>proposal</t>
        </is>
      </c>
      <c r="C202" s="11" t="n">
        <v>4</v>
      </c>
      <c r="D202" s="2" t="inlineStr">
        <is>
          <t>Royal Palms (India) P. Ltd. v. Bharat Shah</t>
        </is>
      </c>
      <c r="E202" s="2" t="inlineStr">
        <is>
          <t>NUSLI NEVILLE WADIA versus IVORY PROPERTIES &amp; ORS. (2019, 3 judges)</t>
        </is>
      </c>
      <c r="F202" s="2" t="inlineStr">
        <is>
          <t>tag: not correct law</t>
        </is>
      </c>
      <c r="G202" s="2" t="inlineStr">
        <is>
          <t>add_row (give overruled_year; overruled_cites is prefilled where the report printed them), reject, or keep.</t>
        </is>
      </c>
      <c r="H202" s="12" t="inlineStr"/>
      <c r="I202" s="12" t="inlineStr"/>
      <c r="J202" s="13" t="inlineStr"/>
      <c r="K202" s="12" t="inlineStr"/>
      <c r="L202" s="12" t="inlineStr"/>
      <c r="M202" s="12" t="inlineStr"/>
      <c r="N202" s="12" t="inlineStr"/>
      <c r="O202" s="13" t="inlineStr"/>
      <c r="P202" s="12" t="inlineStr"/>
      <c r="Q202" s="12" t="inlineStr"/>
      <c r="R202" s="11" t="inlineStr">
        <is>
          <t>2026-10-15</t>
        </is>
      </c>
      <c r="S202" s="11" t="inlineStr"/>
    </row>
    <row r="203">
      <c r="A203" s="11" t="inlineStr">
        <is>
          <t>P-0068</t>
        </is>
      </c>
      <c r="B203" s="11" t="inlineStr">
        <is>
          <t>proposal</t>
        </is>
      </c>
      <c r="C203" s="11" t="n">
        <v>4</v>
      </c>
      <c r="D203" s="2" t="inlineStr">
        <is>
          <t>Mukund Ltd. v. MIAL</t>
        </is>
      </c>
      <c r="E203" s="2" t="inlineStr">
        <is>
          <t>NUSLI NEVILLE WADIA versus IVORY PROPERTIES &amp; ORS. (2019, 3 judges)</t>
        </is>
      </c>
      <c r="F203" s="2" t="inlineStr">
        <is>
          <t>tag: not correct law</t>
        </is>
      </c>
      <c r="G203" s="2" t="inlineStr">
        <is>
          <t>add_row (give overruled_year; overruled_cites is prefilled where the report printed them), reject, or keep.</t>
        </is>
      </c>
      <c r="H203" s="12" t="inlineStr"/>
      <c r="I203" s="12" t="inlineStr"/>
      <c r="J203" s="13" t="inlineStr"/>
      <c r="K203" s="12" t="inlineStr"/>
      <c r="L203" s="12" t="inlineStr"/>
      <c r="M203" s="12" t="inlineStr"/>
      <c r="N203" s="12" t="inlineStr"/>
      <c r="O203" s="13" t="inlineStr"/>
      <c r="P203" s="12" t="inlineStr"/>
      <c r="Q203" s="12" t="inlineStr"/>
      <c r="R203" s="11" t="inlineStr">
        <is>
          <t>2026-10-15</t>
        </is>
      </c>
      <c r="S203" s="11" t="inlineStr"/>
    </row>
    <row r="204">
      <c r="A204" s="11" t="inlineStr">
        <is>
          <t>P-0069</t>
        </is>
      </c>
      <c r="B204" s="11" t="inlineStr">
        <is>
          <t>proposal</t>
        </is>
      </c>
      <c r="C204" s="11" t="n">
        <v>4</v>
      </c>
      <c r="D204" s="2" t="inlineStr">
        <is>
          <t>Ferani Hotels P. Ltd. and another v. Nusli Neville Wadia and others</t>
        </is>
      </c>
      <c r="E204" s="2" t="inlineStr">
        <is>
          <t>NUSLI NEVILLE WADIA versus IVORY PROPERTIES &amp; ORS. (2019, 3 judges)</t>
        </is>
      </c>
      <c r="F204" s="2" t="inlineStr">
        <is>
          <t>tag: not correct law</t>
        </is>
      </c>
      <c r="G204" s="2" t="inlineStr">
        <is>
          <t>add_row (give overruled_year; overruled_cites is prefilled where the report printed them), reject, or keep.</t>
        </is>
      </c>
      <c r="H204" s="12" t="inlineStr"/>
      <c r="I204" s="12" t="inlineStr"/>
      <c r="J204" s="13" t="inlineStr"/>
      <c r="K204" s="12" t="inlineStr"/>
      <c r="L204" s="12" t="inlineStr"/>
      <c r="M204" s="12" t="inlineStr"/>
      <c r="N204" s="12" t="inlineStr"/>
      <c r="O204" s="13" t="inlineStr"/>
      <c r="P204" s="12" t="inlineStr"/>
      <c r="Q204" s="12" t="inlineStr"/>
      <c r="R204" s="11" t="inlineStr">
        <is>
          <t>2026-10-15</t>
        </is>
      </c>
      <c r="S204" s="11" t="inlineStr"/>
    </row>
    <row r="205">
      <c r="A205" s="11" t="inlineStr">
        <is>
          <t>P-0070</t>
        </is>
      </c>
      <c r="B205" s="11" t="inlineStr">
        <is>
          <t>proposal</t>
        </is>
      </c>
      <c r="C205" s="11" t="n">
        <v>4</v>
      </c>
      <c r="D205" s="2" t="inlineStr">
        <is>
          <t>Naresh Lachnmandas Aswani v. Haridas Aswani and others</t>
        </is>
      </c>
      <c r="E205" s="2" t="inlineStr">
        <is>
          <t>NUSLI NEVILLE WADIA versus IVORY PROPERTIES &amp; ORS. (2019, 3 judges)</t>
        </is>
      </c>
      <c r="F205" s="2" t="inlineStr">
        <is>
          <t>tag: not correct law</t>
        </is>
      </c>
      <c r="G205" s="2" t="inlineStr">
        <is>
          <t>add_row (give overruled_year; overruled_cites is prefilled where the report printed them), reject, or keep.</t>
        </is>
      </c>
      <c r="H205" s="12" t="inlineStr"/>
      <c r="I205" s="12" t="inlineStr"/>
      <c r="J205" s="13" t="inlineStr"/>
      <c r="K205" s="12" t="inlineStr"/>
      <c r="L205" s="12" t="inlineStr"/>
      <c r="M205" s="12" t="inlineStr"/>
      <c r="N205" s="12" t="inlineStr"/>
      <c r="O205" s="13" t="inlineStr"/>
      <c r="P205" s="12" t="inlineStr"/>
      <c r="Q205" s="12" t="inlineStr"/>
      <c r="R205" s="11" t="inlineStr">
        <is>
          <t>2026-10-15</t>
        </is>
      </c>
      <c r="S205" s="11" t="inlineStr"/>
    </row>
    <row r="206">
      <c r="A206" s="11" t="inlineStr">
        <is>
          <t>P-0071</t>
        </is>
      </c>
      <c r="B206" s="11" t="inlineStr">
        <is>
          <t>proposal</t>
        </is>
      </c>
      <c r="C206" s="11" t="n">
        <v>4</v>
      </c>
      <c r="D206" s="2" t="inlineStr">
        <is>
          <t>Union of India and others v. N.K. Bhog and others</t>
        </is>
      </c>
      <c r="E206" s="2" t="inlineStr">
        <is>
          <t>NUSLI NEVILLE WADIA versus IVORY PROPERTIES &amp; ORS. (2019, 3 judges)</t>
        </is>
      </c>
      <c r="F206" s="2" t="inlineStr">
        <is>
          <t>tag: not correct law</t>
        </is>
      </c>
      <c r="G206" s="2" t="inlineStr">
        <is>
          <t>add_row (give overruled_year; overruled_cites is prefilled where the report printed them), reject, or keep.</t>
        </is>
      </c>
      <c r="H206" s="12" t="inlineStr"/>
      <c r="I206" s="12" t="inlineStr"/>
      <c r="J206" s="13" t="inlineStr"/>
      <c r="K206" s="12" t="inlineStr"/>
      <c r="L206" s="12" t="inlineStr"/>
      <c r="M206" s="12" t="inlineStr"/>
      <c r="N206" s="12" t="inlineStr"/>
      <c r="O206" s="13" t="inlineStr"/>
      <c r="P206" s="12" t="inlineStr"/>
      <c r="Q206" s="12" t="inlineStr"/>
      <c r="R206" s="11" t="inlineStr">
        <is>
          <t>2026-10-15</t>
        </is>
      </c>
      <c r="S206" s="11" t="inlineStr"/>
    </row>
    <row r="207">
      <c r="A207" s="11" t="inlineStr">
        <is>
          <t>P-0072</t>
        </is>
      </c>
      <c r="B207" s="11" t="inlineStr">
        <is>
          <t>proposal</t>
        </is>
      </c>
      <c r="C207" s="11" t="n">
        <v>4</v>
      </c>
      <c r="D207" s="2" t="inlineStr">
        <is>
          <t>Sudesh v. Abdul Aziz</t>
        </is>
      </c>
      <c r="E207" s="2" t="inlineStr">
        <is>
          <t>NUSLI NEVILLE WADIA versus IVORY PROPERTIES &amp; ORS. (2019, 3 judges)</t>
        </is>
      </c>
      <c r="F207" s="2" t="inlineStr">
        <is>
          <t>tag: overruled</t>
        </is>
      </c>
      <c r="G207" s="2" t="inlineStr">
        <is>
          <t>add_row (give overruled_year; overruled_cites is prefilled where the report printed them), reject, or keep.</t>
        </is>
      </c>
      <c r="H207" s="12" t="inlineStr"/>
      <c r="I207" s="12" t="inlineStr"/>
      <c r="J207" s="13" t="inlineStr"/>
      <c r="K207" s="12" t="inlineStr"/>
      <c r="L207" s="12" t="inlineStr"/>
      <c r="M207" s="12" t="inlineStr"/>
      <c r="N207" s="12" t="inlineStr"/>
      <c r="O207" s="13" t="inlineStr"/>
      <c r="P207" s="12" t="inlineStr"/>
      <c r="Q207" s="12" t="inlineStr"/>
      <c r="R207" s="11" t="inlineStr">
        <is>
          <t>2026-10-15</t>
        </is>
      </c>
      <c r="S207" s="11" t="inlineStr"/>
    </row>
    <row r="208">
      <c r="A208" s="11" t="inlineStr">
        <is>
          <t>P-0073</t>
        </is>
      </c>
      <c r="B208" s="11" t="inlineStr">
        <is>
          <t>proposal</t>
        </is>
      </c>
      <c r="C208" s="11" t="n">
        <v>4</v>
      </c>
      <c r="D208" s="2" t="inlineStr">
        <is>
          <t>Smithkline Beecham Consumer Consumer Healthcare v. Hindustan Liver Limited, 2002</t>
        </is>
      </c>
      <c r="E208" s="2" t="inlineStr">
        <is>
          <t>NUSLI NEVILLE WADIA versus IVORY PROPERTIES &amp; ORS. (2019, 3 judges)</t>
        </is>
      </c>
      <c r="F208" s="2" t="inlineStr">
        <is>
          <t>tag: disapproved</t>
        </is>
      </c>
      <c r="G208" s="2" t="inlineStr">
        <is>
          <t>add_row (give overruled_year; overruled_cites is prefilled where the report printed them), reject, or keep.</t>
        </is>
      </c>
      <c r="H208" s="12" t="inlineStr"/>
      <c r="I208" s="12" t="inlineStr"/>
      <c r="J208" s="13" t="inlineStr"/>
      <c r="K208" s="12" t="inlineStr"/>
      <c r="L208" s="12" t="inlineStr"/>
      <c r="M208" s="12" t="inlineStr"/>
      <c r="N208" s="12" t="inlineStr"/>
      <c r="O208" s="13" t="inlineStr"/>
      <c r="P208" s="12" t="inlineStr"/>
      <c r="Q208" s="12" t="inlineStr"/>
      <c r="R208" s="11" t="inlineStr">
        <is>
          <t>2026-10-15</t>
        </is>
      </c>
      <c r="S208" s="11" t="inlineStr"/>
    </row>
    <row r="209">
      <c r="A209" s="11" t="inlineStr">
        <is>
          <t>P-0074</t>
        </is>
      </c>
      <c r="B209" s="11" t="inlineStr">
        <is>
          <t>proposal</t>
        </is>
      </c>
      <c r="C209" s="11" t="n">
        <v>4</v>
      </c>
      <c r="D209" s="2" t="inlineStr">
        <is>
          <t>Shraddha Associates v. St. Patrick’s Town Co- operative Housing Society Ltd.</t>
        </is>
      </c>
      <c r="E209" s="2" t="inlineStr">
        <is>
          <t>NUSLI NEVILLE WADIA versus IVORY PROPERTIES &amp; ORS. (2019, 3 judges)</t>
        </is>
      </c>
      <c r="F209" s="2" t="inlineStr">
        <is>
          <t>tag: disapproved</t>
        </is>
      </c>
      <c r="G209" s="2" t="inlineStr">
        <is>
          <t>add_row (give overruled_year; overruled_cites is prefilled where the report printed them), reject, or keep.</t>
        </is>
      </c>
      <c r="H209" s="12" t="inlineStr"/>
      <c r="I209" s="12" t="inlineStr"/>
      <c r="J209" s="13" t="inlineStr"/>
      <c r="K209" s="12" t="inlineStr"/>
      <c r="L209" s="12" t="inlineStr"/>
      <c r="M209" s="12" t="inlineStr"/>
      <c r="N209" s="12" t="inlineStr"/>
      <c r="O209" s="13" t="inlineStr"/>
      <c r="P209" s="12" t="inlineStr"/>
      <c r="Q209" s="12" t="inlineStr"/>
      <c r="R209" s="11" t="inlineStr">
        <is>
          <t>2026-10-15</t>
        </is>
      </c>
      <c r="S209" s="11" t="inlineStr"/>
    </row>
    <row r="210">
      <c r="A210" s="11" t="inlineStr">
        <is>
          <t>P-0075</t>
        </is>
      </c>
      <c r="B210" s="11" t="inlineStr">
        <is>
          <t>proposal</t>
        </is>
      </c>
      <c r="C210" s="11" t="n">
        <v>4</v>
      </c>
      <c r="D210" s="2" t="inlineStr">
        <is>
          <t>Government (NCT of Delhi) v. Manav Dharam Trust &amp; Anr.</t>
        </is>
      </c>
      <c r="E210" s="2" t="inlineStr">
        <is>
          <t>SHIV KUMAR &amp; ANR. versus UNION OF INDIA &amp; ORS. (2019, 3 judges)</t>
        </is>
      </c>
      <c r="F210" s="2" t="inlineStr">
        <is>
          <t>tag: overruled</t>
        </is>
      </c>
      <c r="G210" s="2" t="inlineStr">
        <is>
          <t>add_row (give overruled_year; overruled_cites is prefilled where the report printed them), reject, or keep.</t>
        </is>
      </c>
      <c r="H210" s="12" t="inlineStr"/>
      <c r="I210" s="12" t="inlineStr"/>
      <c r="J210" s="13" t="inlineStr"/>
      <c r="K210" s="12" t="inlineStr"/>
      <c r="L210" s="12" t="inlineStr"/>
      <c r="M210" s="12" t="inlineStr"/>
      <c r="N210" s="12" t="inlineStr"/>
      <c r="O210" s="13" t="inlineStr"/>
      <c r="P210" s="12" t="inlineStr"/>
      <c r="Q210" s="12" t="inlineStr"/>
      <c r="R210" s="11" t="inlineStr">
        <is>
          <t>2026-10-15</t>
        </is>
      </c>
      <c r="S210" s="11" t="inlineStr"/>
    </row>
    <row r="211">
      <c r="A211" s="11" t="inlineStr">
        <is>
          <t>P-0082</t>
        </is>
      </c>
      <c r="B211" s="11" t="inlineStr">
        <is>
          <t>proposal</t>
        </is>
      </c>
      <c r="C211" s="11" t="n">
        <v>4</v>
      </c>
      <c r="D211" s="2" t="inlineStr">
        <is>
          <t>(see sentence)</t>
        </is>
      </c>
      <c r="E211" s="2" t="inlineStr">
        <is>
          <t>SHAH AND S. RAVINDRA BHAT, JJ.] versus MANOHAR LAL &amp; ORS. ETC. (2019, 5 judges)</t>
        </is>
      </c>
      <c r="F211" s="2" t="inlineStr">
        <is>
          <t>sentence: In our opinion, the view expressed by this Court in Ganapat Ladha v. Sashikant Vishnu Shinde, (1978) 2 SCC 573 and the observations made therein which we have earlier quoted, do not lay down the correct law.</t>
        </is>
      </c>
      <c r="G211" s="2" t="inlineStr">
        <is>
          <t>add_row (give overruled_year; overruled_cites is prefilled where the report printed them), reject, or keep.</t>
        </is>
      </c>
      <c r="H211" s="12" t="inlineStr"/>
      <c r="I211" s="12" t="inlineStr"/>
      <c r="J211" s="13" t="inlineStr"/>
      <c r="K211" s="12" t="inlineStr"/>
      <c r="L211" s="12" t="inlineStr"/>
      <c r="M211" s="12" t="inlineStr"/>
      <c r="N211" s="12" t="inlineStr"/>
      <c r="O211" s="13" t="inlineStr"/>
      <c r="P211" s="12" t="inlineStr"/>
      <c r="Q211" s="12" t="inlineStr"/>
      <c r="R211" s="11" t="inlineStr">
        <is>
          <t>2026-10-15</t>
        </is>
      </c>
      <c r="S211" s="11" t="inlineStr"/>
    </row>
    <row r="212">
      <c r="A212" s="11" t="inlineStr">
        <is>
          <t>P-0083</t>
        </is>
      </c>
      <c r="B212" s="11" t="inlineStr">
        <is>
          <t>proposal</t>
        </is>
      </c>
      <c r="C212" s="11" t="n">
        <v>4</v>
      </c>
      <c r="D212" s="2" t="inlineStr">
        <is>
          <t>(see sentence)</t>
        </is>
      </c>
      <c r="E212" s="2" t="inlineStr">
        <is>
          <t>ROJER MATHEW versus SOUTH INDIAN BANK LTD. &amp; ORS. (2019, 5 judges)</t>
        </is>
      </c>
      <c r="F212" s="2" t="inlineStr">
        <is>
          <t>sentence: Saeed Siddiqui v. State of U.P., (2014) 11 SCC 415] and Two Judge Bench judgment of this Court in Yogendra Kumar Jaiswal [Yogendra Kumar Jaiswal v. State of Bihar, (2016) 3 SCC 183 : (2016) 2 SCC (Cri) 1] do not lay down the correct law.</t>
        </is>
      </c>
      <c r="G212" s="2" t="inlineStr">
        <is>
          <t>add_row (give overruled_year; overruled_cites is prefilled where the report printed them), reject, or keep.</t>
        </is>
      </c>
      <c r="H212" s="12" t="inlineStr"/>
      <c r="I212" s="12" t="inlineStr"/>
      <c r="J212" s="13" t="inlineStr"/>
      <c r="K212" s="12" t="inlineStr"/>
      <c r="L212" s="12" t="inlineStr"/>
      <c r="M212" s="12" t="inlineStr"/>
      <c r="N212" s="12" t="inlineStr"/>
      <c r="O212" s="13" t="inlineStr"/>
      <c r="P212" s="12" t="inlineStr"/>
      <c r="Q212" s="12" t="inlineStr"/>
      <c r="R212" s="11" t="inlineStr">
        <is>
          <t>2026-10-15</t>
        </is>
      </c>
      <c r="S212" s="11" t="inlineStr"/>
    </row>
    <row r="213">
      <c r="A213" s="11" t="inlineStr">
        <is>
          <t>P-0084</t>
        </is>
      </c>
      <c r="B213" s="11" t="inlineStr">
        <is>
          <t>proposal</t>
        </is>
      </c>
      <c r="C213" s="11" t="n">
        <v>4</v>
      </c>
      <c r="D213" s="2" t="inlineStr">
        <is>
          <t>(see sentence)</t>
        </is>
      </c>
      <c r="E213" s="2" t="inlineStr">
        <is>
          <t>CENTRAL PUBLIC INFORMATION OFFICER, versus SUBHASH CHANDRA AGARWAL (2019, 5 judges)</t>
        </is>
      </c>
      <c r="F213" s="2" t="inlineStr">
        <is>
          <t xml:space="preserve">sentence: M.P. Sharma [M.P. Sharma v. Satish Chandra, AIR 1954 SC 300 : 1954 Cri LJ 865 : 1954 SCR 1077] and the majority in Kharak Singh [Kharak Singh v. State of U.P., AIR 1963 SC 1295 : (1963) 2 Cri LJ 329 : (1964) 1 SCR 332] , to the extent that </t>
        </is>
      </c>
      <c r="G213" s="2" t="inlineStr">
        <is>
          <t>add_row (give overruled_year; overruled_cites is prefilled where the report printed them), reject, or keep.</t>
        </is>
      </c>
      <c r="H213" s="12" t="inlineStr"/>
      <c r="I213" s="12" t="inlineStr"/>
      <c r="J213" s="13" t="inlineStr"/>
      <c r="K213" s="12" t="inlineStr"/>
      <c r="L213" s="12" t="inlineStr"/>
      <c r="M213" s="12" t="inlineStr"/>
      <c r="N213" s="12" t="inlineStr"/>
      <c r="O213" s="13" t="inlineStr"/>
      <c r="P213" s="12" t="inlineStr"/>
      <c r="Q213" s="12" t="inlineStr"/>
      <c r="R213" s="11" t="inlineStr">
        <is>
          <t>2026-10-15</t>
        </is>
      </c>
      <c r="S213" s="11" t="inlineStr"/>
    </row>
    <row r="214">
      <c r="A214" s="11" t="inlineStr">
        <is>
          <t>P-0085</t>
        </is>
      </c>
      <c r="B214" s="11" t="inlineStr">
        <is>
          <t>proposal</t>
        </is>
      </c>
      <c r="C214" s="11" t="n">
        <v>4</v>
      </c>
      <c r="D214" s="2" t="inlineStr">
        <is>
          <t>Union of India and others v. N.R. Parmar</t>
        </is>
      </c>
      <c r="E214" s="2" t="inlineStr">
        <is>
          <t>K. MEGHACHANDRA SINGH &amp; ORS. versus NINGAM SIRO &amp; ORS. (2019, 3 judges)</t>
        </is>
      </c>
      <c r="F214" s="2" t="inlineStr">
        <is>
          <t>tag: overruled</t>
        </is>
      </c>
      <c r="G214" s="2" t="inlineStr">
        <is>
          <t>add_row (give overruled_year; overruled_cites is prefilled where the report printed them), reject, or keep.</t>
        </is>
      </c>
      <c r="H214" s="12" t="inlineStr"/>
      <c r="I214" s="12" t="inlineStr"/>
      <c r="J214" s="13" t="inlineStr"/>
      <c r="K214" s="12" t="inlineStr"/>
      <c r="L214" s="12" t="inlineStr"/>
      <c r="M214" s="12" t="inlineStr"/>
      <c r="N214" s="12" t="inlineStr"/>
      <c r="O214" s="13" t="inlineStr"/>
      <c r="P214" s="12" t="inlineStr"/>
      <c r="Q214" s="12" t="inlineStr"/>
      <c r="R214" s="11" t="inlineStr">
        <is>
          <t>2026-10-15</t>
        </is>
      </c>
      <c r="S214" s="11" t="inlineStr"/>
    </row>
    <row r="215">
      <c r="A215" s="11" t="inlineStr">
        <is>
          <t>P-0086</t>
        </is>
      </c>
      <c r="B215" s="11" t="inlineStr">
        <is>
          <t>proposal</t>
        </is>
      </c>
      <c r="C215" s="11" t="n">
        <v>4</v>
      </c>
      <c r="D215" s="2" t="inlineStr">
        <is>
          <t>National Aluminum Company Ltd. (NALCO) v. Pressteel &amp; Fabrications (P) Ltd. and Anr.</t>
        </is>
      </c>
      <c r="E215" s="2" t="inlineStr">
        <is>
          <t>HINDUSTAN CONSTRUCTION COMPANY LIMITED &amp; ANR.DIA &amp; ORS. versus  UNION OF INDIA (2019, 3 judges)</t>
        </is>
      </c>
      <c r="F215" s="2" t="inlineStr">
        <is>
          <t>tag: not correct law</t>
        </is>
      </c>
      <c r="G215" s="2" t="inlineStr">
        <is>
          <t>add_row (give overruled_year; overruled_cites is prefilled where the report printed them), reject, or keep.</t>
        </is>
      </c>
      <c r="H215" s="12" t="inlineStr"/>
      <c r="I215" s="12" t="inlineStr"/>
      <c r="J215" s="13" t="inlineStr"/>
      <c r="K215" s="12" t="inlineStr"/>
      <c r="L215" s="12" t="inlineStr"/>
      <c r="M215" s="12" t="inlineStr"/>
      <c r="N215" s="12" t="inlineStr"/>
      <c r="O215" s="13" t="inlineStr"/>
      <c r="P215" s="12" t="inlineStr"/>
      <c r="Q215" s="12" t="inlineStr"/>
      <c r="R215" s="11" t="inlineStr">
        <is>
          <t>2026-10-15</t>
        </is>
      </c>
      <c r="S215" s="11" t="inlineStr"/>
    </row>
    <row r="216">
      <c r="A216" s="11" t="inlineStr">
        <is>
          <t>P-0087</t>
        </is>
      </c>
      <c r="B216" s="11" t="inlineStr">
        <is>
          <t>proposal</t>
        </is>
      </c>
      <c r="C216" s="11" t="n">
        <v>4</v>
      </c>
      <c r="D216" s="2" t="inlineStr">
        <is>
          <t>Fiza Developers and Inter-trade Pvt. Ltd. v. AMCI (India) Pvt. Ltd. and Anr.</t>
        </is>
      </c>
      <c r="E216" s="2" t="inlineStr">
        <is>
          <t>HINDUSTAN CONSTRUCTION COMPANY LIMITED &amp; ANR.DIA &amp; ORS. versus  UNION OF INDIA (2019, 3 judges)</t>
        </is>
      </c>
      <c r="F216" s="2" t="inlineStr">
        <is>
          <t>tag: not correct law</t>
        </is>
      </c>
      <c r="G216" s="2" t="inlineStr">
        <is>
          <t>add_row (give overruled_year; overruled_cites is prefilled where the report printed them), reject, or keep.</t>
        </is>
      </c>
      <c r="H216" s="12" t="inlineStr"/>
      <c r="I216" s="12" t="inlineStr"/>
      <c r="J216" s="13" t="inlineStr"/>
      <c r="K216" s="12" t="inlineStr"/>
      <c r="L216" s="12" t="inlineStr"/>
      <c r="M216" s="12" t="inlineStr"/>
      <c r="N216" s="12" t="inlineStr"/>
      <c r="O216" s="13" t="inlineStr"/>
      <c r="P216" s="12" t="inlineStr"/>
      <c r="Q216" s="12" t="inlineStr"/>
      <c r="R216" s="11" t="inlineStr">
        <is>
          <t>2026-10-15</t>
        </is>
      </c>
      <c r="S216" s="11" t="inlineStr"/>
    </row>
    <row r="217">
      <c r="A217" s="11" t="inlineStr">
        <is>
          <t>P-0089</t>
        </is>
      </c>
      <c r="B217" s="11" t="inlineStr">
        <is>
          <t>proposal</t>
        </is>
      </c>
      <c r="C217" s="11" t="n">
        <v>4</v>
      </c>
      <c r="D217" s="2" t="inlineStr">
        <is>
          <t>Bajaj Auto Limited v. Union of India &amp; others</t>
        </is>
      </c>
      <c r="E217" s="2" t="inlineStr">
        <is>
          <t>M/S. UNICORN INDUSTRIES versus UNION OF INDIA &amp; OTHERS (2019, 3 judges)</t>
        </is>
      </c>
      <c r="F217" s="2" t="inlineStr">
        <is>
          <t>tag: per incuriam</t>
        </is>
      </c>
      <c r="G217" s="2" t="inlineStr">
        <is>
          <t>add_row (give overruled_year; overruled_cites is prefilled where the report printed them), reject, or keep.</t>
        </is>
      </c>
      <c r="H217" s="12" t="inlineStr"/>
      <c r="I217" s="12" t="inlineStr"/>
      <c r="J217" s="13" t="inlineStr"/>
      <c r="K217" s="12" t="inlineStr"/>
      <c r="L217" s="12" t="inlineStr"/>
      <c r="M217" s="12" t="inlineStr"/>
      <c r="N217" s="12" t="inlineStr"/>
      <c r="O217" s="13" t="inlineStr"/>
      <c r="P217" s="12" t="inlineStr"/>
      <c r="Q217" s="12" t="inlineStr"/>
      <c r="R217" s="11" t="inlineStr">
        <is>
          <t>2026-10-15</t>
        </is>
      </c>
      <c r="S217" s="11" t="inlineStr"/>
    </row>
    <row r="218">
      <c r="A218" s="11" t="inlineStr">
        <is>
          <t>P-0090</t>
        </is>
      </c>
      <c r="B218" s="11" t="inlineStr">
        <is>
          <t>proposal</t>
        </is>
      </c>
      <c r="C218" s="11" t="n">
        <v>4</v>
      </c>
      <c r="D218" s="2" t="inlineStr">
        <is>
          <t>Union of India v. Hardy Exploration and Production (India) Inc. 2018</t>
        </is>
      </c>
      <c r="E218" s="2" t="inlineStr">
        <is>
          <t>BGS SGS SOMA JV versus NHPC LTD. (2019, 3 judges)</t>
        </is>
      </c>
      <c r="F218" s="2" t="inlineStr">
        <is>
          <t>tag: held not good law</t>
        </is>
      </c>
      <c r="G218" s="2" t="inlineStr">
        <is>
          <t>add_row (give overruled_year; overruled_cites is prefilled where the report printed them), reject, or keep.</t>
        </is>
      </c>
      <c r="H218" s="12" t="inlineStr"/>
      <c r="I218" s="12" t="inlineStr"/>
      <c r="J218" s="13" t="inlineStr"/>
      <c r="K218" s="12" t="inlineStr"/>
      <c r="L218" s="12" t="inlineStr"/>
      <c r="M218" s="12" t="inlineStr"/>
      <c r="N218" s="12" t="inlineStr"/>
      <c r="O218" s="13" t="inlineStr"/>
      <c r="P218" s="12" t="inlineStr"/>
      <c r="Q218" s="12" t="inlineStr"/>
      <c r="R218" s="11" t="inlineStr">
        <is>
          <t>2026-10-15</t>
        </is>
      </c>
      <c r="S218" s="11" t="inlineStr"/>
    </row>
    <row r="219">
      <c r="A219" s="11" t="inlineStr">
        <is>
          <t>P-0091</t>
        </is>
      </c>
      <c r="B219" s="11" t="inlineStr">
        <is>
          <t>proposal</t>
        </is>
      </c>
      <c r="C219" s="11" t="n">
        <v>4</v>
      </c>
      <c r="D219" s="2" t="inlineStr">
        <is>
          <t>Chandigarh Admn. vs. Jasmine Kaur</t>
        </is>
      </c>
      <c r="E219" s="2" t="inlineStr">
        <is>
          <t>S. KRISHNA SRADHA versus THE STATE OF ANDHRA PRADESH &amp; ORS. (2019, 3 judges)</t>
        </is>
      </c>
      <c r="F219" s="2" t="inlineStr">
        <is>
          <t>tag: overruled</t>
        </is>
      </c>
      <c r="G219" s="2" t="inlineStr">
        <is>
          <t>add_row (give overruled_year; overruled_cites is prefilled where the report printed them), reject, or keep.</t>
        </is>
      </c>
      <c r="H219" s="12" t="inlineStr"/>
      <c r="I219" s="12" t="inlineStr"/>
      <c r="J219" s="13" t="inlineStr"/>
      <c r="K219" s="12" t="inlineStr"/>
      <c r="L219" s="12" t="inlineStr"/>
      <c r="M219" s="12" t="inlineStr"/>
      <c r="N219" s="12" t="inlineStr"/>
      <c r="O219" s="13" t="inlineStr"/>
      <c r="P219" s="12" t="inlineStr"/>
      <c r="Q219" s="12" t="inlineStr"/>
      <c r="R219" s="11" t="inlineStr">
        <is>
          <t>2026-10-15</t>
        </is>
      </c>
      <c r="S219" s="11" t="inlineStr"/>
    </row>
    <row r="220">
      <c r="A220" s="11" t="inlineStr">
        <is>
          <t>P-0106</t>
        </is>
      </c>
      <c r="B220" s="11" t="inlineStr">
        <is>
          <t>proposal</t>
        </is>
      </c>
      <c r="C220" s="11" t="n">
        <v>4</v>
      </c>
      <c r="D220" s="2" t="inlineStr">
        <is>
          <t>Sunita Devi v. State of Bihar &amp; Anr</t>
        </is>
      </c>
      <c r="E220" s="2" t="inlineStr">
        <is>
          <t>SUSHILA AGGARWAL AND OTHERS versus STATE (NCT OF DELHI) AND ANOTHER (2020, 5 judges)</t>
        </is>
      </c>
      <c r="F220" s="2" t="inlineStr">
        <is>
          <t>tag: overruled</t>
        </is>
      </c>
      <c r="G220" s="2" t="inlineStr">
        <is>
          <t>add_row (give overruled_year; overruled_cites is prefilled where the report printed them), reject, or keep.</t>
        </is>
      </c>
      <c r="H220" s="12" t="inlineStr"/>
      <c r="I220" s="12" t="inlineStr"/>
      <c r="J220" s="13" t="inlineStr"/>
      <c r="K220" s="12" t="inlineStr"/>
      <c r="L220" s="12" t="inlineStr"/>
      <c r="M220" s="12" t="inlineStr"/>
      <c r="N220" s="12" t="inlineStr"/>
      <c r="O220" s="13" t="inlineStr"/>
      <c r="P220" s="12" t="inlineStr"/>
      <c r="Q220" s="12" t="inlineStr"/>
      <c r="R220" s="11" t="inlineStr">
        <is>
          <t>2026-10-15</t>
        </is>
      </c>
      <c r="S220" s="11" t="inlineStr"/>
    </row>
    <row r="221">
      <c r="A221" s="11" t="inlineStr">
        <is>
          <t>P-0107</t>
        </is>
      </c>
      <c r="B221" s="11" t="inlineStr">
        <is>
          <t>proposal</t>
        </is>
      </c>
      <c r="C221" s="11" t="n">
        <v>4</v>
      </c>
      <c r="D221" s="2" t="inlineStr">
        <is>
          <t>Adri Dharan Das v. State of West Bengal</t>
        </is>
      </c>
      <c r="E221" s="2" t="inlineStr">
        <is>
          <t>SUSHILA AGGARWAL AND OTHERS versus STATE (NCT OF DELHI) AND ANOTHER (2020, 5 judges)</t>
        </is>
      </c>
      <c r="F221" s="2" t="inlineStr">
        <is>
          <t>tag: overruled</t>
        </is>
      </c>
      <c r="G221" s="2" t="inlineStr">
        <is>
          <t>add_row (give overruled_year; overruled_cites is prefilled where the report printed them), reject, or keep.</t>
        </is>
      </c>
      <c r="H221" s="12" t="inlineStr"/>
      <c r="I221" s="12" t="inlineStr"/>
      <c r="J221" s="13" t="inlineStr"/>
      <c r="K221" s="12" t="inlineStr"/>
      <c r="L221" s="12" t="inlineStr"/>
      <c r="M221" s="12" t="inlineStr"/>
      <c r="N221" s="12" t="inlineStr"/>
      <c r="O221" s="13" t="inlineStr"/>
      <c r="P221" s="12" t="inlineStr"/>
      <c r="Q221" s="12" t="inlineStr"/>
      <c r="R221" s="11" t="inlineStr">
        <is>
          <t>2026-10-15</t>
        </is>
      </c>
      <c r="S221" s="11" t="inlineStr"/>
    </row>
    <row r="222">
      <c r="A222" s="11" t="inlineStr">
        <is>
          <t>P-0108</t>
        </is>
      </c>
      <c r="B222" s="11" t="inlineStr">
        <is>
          <t>proposal</t>
        </is>
      </c>
      <c r="C222" s="11" t="n">
        <v>4</v>
      </c>
      <c r="D222" s="2" t="inlineStr">
        <is>
          <t>Nirmal Jeet Kaur v. State of M.P. &amp; Anr</t>
        </is>
      </c>
      <c r="E222" s="2" t="inlineStr">
        <is>
          <t>SUSHILA AGGARWAL AND OTHERS versus STATE (NCT OF DELHI) AND ANOTHER (2020, 5 judges)</t>
        </is>
      </c>
      <c r="F222" s="2" t="inlineStr">
        <is>
          <t>tag: overruled</t>
        </is>
      </c>
      <c r="G222" s="2" t="inlineStr">
        <is>
          <t>add_row (give overruled_year; overruled_cites is prefilled where the report printed them), reject, or keep.</t>
        </is>
      </c>
      <c r="H222" s="12" t="inlineStr"/>
      <c r="I222" s="12" t="inlineStr"/>
      <c r="J222" s="13" t="inlineStr"/>
      <c r="K222" s="12" t="inlineStr"/>
      <c r="L222" s="12" t="inlineStr"/>
      <c r="M222" s="12" t="inlineStr"/>
      <c r="N222" s="12" t="inlineStr"/>
      <c r="O222" s="13" t="inlineStr"/>
      <c r="P222" s="12" t="inlineStr"/>
      <c r="Q222" s="12" t="inlineStr"/>
      <c r="R222" s="11" t="inlineStr">
        <is>
          <t>2026-10-15</t>
        </is>
      </c>
      <c r="S222" s="11" t="inlineStr"/>
    </row>
    <row r="223">
      <c r="A223" s="11" t="inlineStr">
        <is>
          <t>P-0109</t>
        </is>
      </c>
      <c r="B223" s="11" t="inlineStr">
        <is>
          <t>proposal</t>
        </is>
      </c>
      <c r="C223" s="11" t="n">
        <v>4</v>
      </c>
      <c r="D223" s="2" t="inlineStr">
        <is>
          <t>HDFC Bank Limited v. J.J. Mannan</t>
        </is>
      </c>
      <c r="E223" s="2" t="inlineStr">
        <is>
          <t>SUSHILA AGGARWAL AND OTHERS versus STATE (NCT OF DELHI) AND ANOTHER (2020, 5 judges)</t>
        </is>
      </c>
      <c r="F223" s="2" t="inlineStr">
        <is>
          <t>tag: overruled</t>
        </is>
      </c>
      <c r="G223" s="2" t="inlineStr">
        <is>
          <t>add_row (give overruled_year; overruled_cites is prefilled where the report printed them), reject, or keep.</t>
        </is>
      </c>
      <c r="H223" s="12" t="inlineStr"/>
      <c r="I223" s="12" t="inlineStr"/>
      <c r="J223" s="13" t="inlineStr"/>
      <c r="K223" s="12" t="inlineStr"/>
      <c r="L223" s="12" t="inlineStr"/>
      <c r="M223" s="12" t="inlineStr"/>
      <c r="N223" s="12" t="inlineStr"/>
      <c r="O223" s="13" t="inlineStr"/>
      <c r="P223" s="12" t="inlineStr"/>
      <c r="Q223" s="12" t="inlineStr"/>
      <c r="R223" s="11" t="inlineStr">
        <is>
          <t>2026-10-15</t>
        </is>
      </c>
      <c r="S223" s="11" t="inlineStr"/>
    </row>
    <row r="224">
      <c r="A224" s="11" t="inlineStr">
        <is>
          <t>P-0119</t>
        </is>
      </c>
      <c r="B224" s="11" t="inlineStr">
        <is>
          <t>proposal</t>
        </is>
      </c>
      <c r="C224" s="11" t="n">
        <v>4</v>
      </c>
      <c r="D224" s="2" t="inlineStr">
        <is>
          <t>(see sentence)</t>
        </is>
      </c>
      <c r="E224" s="2" t="inlineStr">
        <is>
          <t>COMMISSIONER OF CUSTOMS AND CENTRAL EXCISE, GOA versus M/S ADANI EXPORTS LTD. (2020, 3 judges)</t>
        </is>
      </c>
      <c r="F224" s="2" t="inlineStr">
        <is>
          <t>sentence: The judgment in Commissioner of Customs, Bangalore (supra) being incorrect is therefore overruled. 4.</t>
        </is>
      </c>
      <c r="G224" s="2" t="inlineStr">
        <is>
          <t>add_row (give overruled_year; overruled_cites is prefilled where the report printed them), reject, or keep.</t>
        </is>
      </c>
      <c r="H224" s="12" t="inlineStr"/>
      <c r="I224" s="12" t="inlineStr"/>
      <c r="J224" s="13" t="inlineStr"/>
      <c r="K224" s="12" t="inlineStr"/>
      <c r="L224" s="12" t="inlineStr"/>
      <c r="M224" s="12" t="inlineStr"/>
      <c r="N224" s="12" t="inlineStr"/>
      <c r="O224" s="13" t="inlineStr"/>
      <c r="P224" s="12" t="inlineStr"/>
      <c r="Q224" s="12" t="inlineStr"/>
      <c r="R224" s="11" t="inlineStr">
        <is>
          <t>2026-10-15</t>
        </is>
      </c>
      <c r="S224" s="11" t="inlineStr"/>
    </row>
    <row r="225">
      <c r="A225" s="11" t="inlineStr">
        <is>
          <t>P-0120</t>
        </is>
      </c>
      <c r="B225" s="11" t="inlineStr">
        <is>
          <t>proposal</t>
        </is>
      </c>
      <c r="C225" s="11" t="n">
        <v>4</v>
      </c>
      <c r="D225" s="2" t="inlineStr">
        <is>
          <t>Vijay Kumar Mishra &amp; Anr. v. High Court of Judicature at Patna &amp; Ors.</t>
        </is>
      </c>
      <c r="E225" s="2" t="inlineStr">
        <is>
          <t>DHEERAJ MOR versus HON’BLE HIGH COURT OF DELHI (2020, 3 judges)</t>
        </is>
      </c>
      <c r="F225" s="2" t="inlineStr">
        <is>
          <t>tag: overruled</t>
        </is>
      </c>
      <c r="G225" s="2" t="inlineStr">
        <is>
          <t>add_row (give overruled_year; overruled_cites is prefilled where the report printed them), reject, or keep.</t>
        </is>
      </c>
      <c r="H225" s="12" t="inlineStr"/>
      <c r="I225" s="12" t="inlineStr"/>
      <c r="J225" s="13" t="inlineStr"/>
      <c r="K225" s="12" t="inlineStr"/>
      <c r="L225" s="12" t="inlineStr"/>
      <c r="M225" s="12" t="inlineStr"/>
      <c r="N225" s="12" t="inlineStr"/>
      <c r="O225" s="13" t="inlineStr"/>
      <c r="P225" s="12" t="inlineStr"/>
      <c r="Q225" s="12" t="inlineStr"/>
      <c r="R225" s="11" t="inlineStr">
        <is>
          <t>2026-10-15</t>
        </is>
      </c>
      <c r="S225" s="11" t="inlineStr"/>
    </row>
    <row r="226">
      <c r="A226" s="11" t="inlineStr">
        <is>
          <t>P-0121</t>
        </is>
      </c>
      <c r="B226" s="11" t="inlineStr">
        <is>
          <t>proposal</t>
        </is>
      </c>
      <c r="C226" s="11" t="n">
        <v>4</v>
      </c>
      <c r="D226" s="2" t="inlineStr">
        <is>
          <t>DHEERAJ MOR v. HON’BLE HIGH COURT OF DELHI SUPREME COURT REPORTS</t>
        </is>
      </c>
      <c r="E226" s="2" t="inlineStr">
        <is>
          <t>DHEERAJ MOR versus HON’BLE HIGH COURT OF DELHI (2020, 3 judges)</t>
        </is>
      </c>
      <c r="F226" s="2" t="inlineStr">
        <is>
          <t>tag: overruled</t>
        </is>
      </c>
      <c r="G226" s="2" t="inlineStr">
        <is>
          <t>add_row (give overruled_year; overruled_cites is prefilled where the report printed them), reject, or keep.</t>
        </is>
      </c>
      <c r="H226" s="12" t="inlineStr"/>
      <c r="I226" s="12" t="inlineStr"/>
      <c r="J226" s="13" t="inlineStr"/>
      <c r="K226" s="12" t="inlineStr"/>
      <c r="L226" s="12" t="inlineStr"/>
      <c r="M226" s="12" t="inlineStr"/>
      <c r="N226" s="12" t="inlineStr"/>
      <c r="O226" s="13" t="inlineStr"/>
      <c r="P226" s="12" t="inlineStr"/>
      <c r="Q226" s="12" t="inlineStr"/>
      <c r="R226" s="11" t="inlineStr">
        <is>
          <t>2026-10-15</t>
        </is>
      </c>
      <c r="S226" s="11" t="inlineStr"/>
    </row>
    <row r="227">
      <c r="A227" s="11" t="inlineStr">
        <is>
          <t>P-0122</t>
        </is>
      </c>
      <c r="B227" s="11" t="inlineStr">
        <is>
          <t>proposal</t>
        </is>
      </c>
      <c r="C227" s="11" t="n">
        <v>4</v>
      </c>
      <c r="D227" s="2" t="inlineStr">
        <is>
          <t>Vijay Kumar Mishra &amp; Anr. v. High Court of Judicature at Patna &amp; Ors.</t>
        </is>
      </c>
      <c r="E227" s="2" t="inlineStr">
        <is>
          <t>DHEERAJ MOR versus HON’BLE HIGH COURT OF DELHI (2020, 3 judges)</t>
        </is>
      </c>
      <c r="F227" s="2" t="inlineStr">
        <is>
          <t>tag: overruled</t>
        </is>
      </c>
      <c r="G227" s="2" t="inlineStr">
        <is>
          <t>add_row (give overruled_year; overruled_cites is prefilled where the report printed them), reject, or keep.</t>
        </is>
      </c>
      <c r="H227" s="12" t="inlineStr"/>
      <c r="I227" s="12" t="inlineStr"/>
      <c r="J227" s="13" t="inlineStr"/>
      <c r="K227" s="12" t="inlineStr"/>
      <c r="L227" s="12" t="inlineStr"/>
      <c r="M227" s="12" t="inlineStr"/>
      <c r="N227" s="12" t="inlineStr"/>
      <c r="O227" s="13" t="inlineStr"/>
      <c r="P227" s="12" t="inlineStr"/>
      <c r="Q227" s="12" t="inlineStr"/>
      <c r="R227" s="11" t="inlineStr">
        <is>
          <t>2026-10-15</t>
        </is>
      </c>
      <c r="S227" s="11" t="inlineStr"/>
    </row>
    <row r="228">
      <c r="A228" s="11" t="inlineStr">
        <is>
          <t>P-0123</t>
        </is>
      </c>
      <c r="B228" s="11" t="inlineStr">
        <is>
          <t>proposal</t>
        </is>
      </c>
      <c r="C228" s="11" t="n">
        <v>4</v>
      </c>
      <c r="D228" s="2" t="inlineStr">
        <is>
          <t>(see sentence)</t>
        </is>
      </c>
      <c r="E228" s="2" t="inlineStr">
        <is>
          <t>ASSURANCE CO. LTD. versus HILLI  MULTIPURPOSE COLD STORAGE PVT. LTD. (2020, 5 judges)</t>
        </is>
      </c>
      <c r="F228" s="2" t="inlineStr">
        <is>
          <t>sentence: We are thus of the opinion that Kailash vs Nanhku (supra) has not overruled the decision in Dr. J. J. Merchant (supra) with regard to the provision of the Consumer Protection Act. 30.</t>
        </is>
      </c>
      <c r="G228" s="2" t="inlineStr">
        <is>
          <t>add_row (give overruled_year; overruled_cites is prefilled where the report printed them), reject, or keep.</t>
        </is>
      </c>
      <c r="H228" s="12" t="inlineStr"/>
      <c r="I228" s="12" t="inlineStr"/>
      <c r="J228" s="13" t="inlineStr"/>
      <c r="K228" s="12" t="inlineStr"/>
      <c r="L228" s="12" t="inlineStr"/>
      <c r="M228" s="12" t="inlineStr"/>
      <c r="N228" s="12" t="inlineStr"/>
      <c r="O228" s="13" t="inlineStr"/>
      <c r="P228" s="12" t="inlineStr"/>
      <c r="Q228" s="12" t="inlineStr"/>
      <c r="R228" s="11" t="inlineStr">
        <is>
          <t>2026-10-15</t>
        </is>
      </c>
      <c r="S228" s="11" t="inlineStr"/>
    </row>
    <row r="229">
      <c r="A229" s="11" t="inlineStr">
        <is>
          <t>P-0124</t>
        </is>
      </c>
      <c r="B229" s="11" t="inlineStr">
        <is>
          <t>proposal</t>
        </is>
      </c>
      <c r="C229" s="11" t="n">
        <v>4</v>
      </c>
      <c r="D229" s="2" t="inlineStr">
        <is>
          <t>Raghbir Singh Sehrawat v. State of Haryana</t>
        </is>
      </c>
      <c r="E229" s="2" t="inlineStr">
        <is>
          <t>INDORE DEVELOPMENT AUTHORITY versus MANOHARLAL &amp; ORS. ETC. (2020, 5 judges)</t>
        </is>
      </c>
      <c r="F229" s="2" t="inlineStr">
        <is>
          <t>tag: not correct law</t>
        </is>
      </c>
      <c r="G229" s="2" t="inlineStr">
        <is>
          <t>add_row (give overruled_year; overruled_cites is prefilled where the report printed them), reject, or keep.</t>
        </is>
      </c>
      <c r="H229" s="12" t="inlineStr"/>
      <c r="I229" s="12" t="inlineStr"/>
      <c r="J229" s="13" t="inlineStr"/>
      <c r="K229" s="12" t="inlineStr"/>
      <c r="L229" s="12" t="inlineStr"/>
      <c r="M229" s="12" t="inlineStr"/>
      <c r="N229" s="12" t="inlineStr"/>
      <c r="O229" s="13" t="inlineStr"/>
      <c r="P229" s="12" t="inlineStr"/>
      <c r="Q229" s="12" t="inlineStr"/>
      <c r="R229" s="11" t="inlineStr">
        <is>
          <t>2026-10-15</t>
        </is>
      </c>
      <c r="S229" s="11" t="inlineStr"/>
    </row>
    <row r="230">
      <c r="A230" s="11" t="inlineStr">
        <is>
          <t>P-0125</t>
        </is>
      </c>
      <c r="B230" s="11" t="inlineStr">
        <is>
          <t>proposal</t>
        </is>
      </c>
      <c r="C230" s="11" t="n">
        <v>4</v>
      </c>
      <c r="D230" s="2" t="inlineStr">
        <is>
          <t>E. Micheal Raj v. Intelligence Officer, Narcotic Control Bureau</t>
        </is>
      </c>
      <c r="E230" s="2" t="inlineStr">
        <is>
          <t>HIRA SINGH AND ANOTHER versus UNION OF INDIA AND ANOTHER (2020, 3 judges)</t>
        </is>
      </c>
      <c r="F230" s="2" t="inlineStr">
        <is>
          <t>tag: not good law</t>
        </is>
      </c>
      <c r="G230" s="2" t="inlineStr">
        <is>
          <t>add_row (give overruled_year; overruled_cites is prefilled where the report printed them), reject, or keep.</t>
        </is>
      </c>
      <c r="H230" s="12" t="inlineStr"/>
      <c r="I230" s="12" t="inlineStr"/>
      <c r="J230" s="13" t="inlineStr"/>
      <c r="K230" s="12" t="inlineStr"/>
      <c r="L230" s="12" t="inlineStr"/>
      <c r="M230" s="12" t="inlineStr"/>
      <c r="N230" s="12" t="inlineStr"/>
      <c r="O230" s="13" t="inlineStr"/>
      <c r="P230" s="12" t="inlineStr"/>
      <c r="Q230" s="12" t="inlineStr"/>
      <c r="R230" s="11" t="inlineStr">
        <is>
          <t>2026-10-15</t>
        </is>
      </c>
      <c r="S230" s="11" t="inlineStr"/>
    </row>
    <row r="231">
      <c r="A231" s="11" t="inlineStr">
        <is>
          <t>P-0126</t>
        </is>
      </c>
      <c r="B231" s="11" t="inlineStr">
        <is>
          <t>proposal</t>
        </is>
      </c>
      <c r="C231" s="11" t="n">
        <v>4</v>
      </c>
      <c r="D231" s="2" t="inlineStr">
        <is>
          <t>(see sentence)</t>
        </is>
      </c>
      <c r="E231" s="2" t="inlineStr">
        <is>
          <t>PANDURANG GANPATI CHAUGULE versus VISHWASRAO PATIL MURGUD SAHAKARI BANK LIMITED (2020, 5 judges)</t>
        </is>
      </c>
      <c r="F231" s="2" t="inlineStr">
        <is>
          <t>sentence: Bank Ltd. (supra) are incorrect and required to be overruled.</t>
        </is>
      </c>
      <c r="G231" s="2" t="inlineStr">
        <is>
          <t>add_row (give overruled_year; overruled_cites is prefilled where the report printed them), reject, or keep.</t>
        </is>
      </c>
      <c r="H231" s="12" t="inlineStr"/>
      <c r="I231" s="12" t="inlineStr"/>
      <c r="J231" s="13" t="inlineStr"/>
      <c r="K231" s="12" t="inlineStr"/>
      <c r="L231" s="12" t="inlineStr"/>
      <c r="M231" s="12" t="inlineStr"/>
      <c r="N231" s="12" t="inlineStr"/>
      <c r="O231" s="13" t="inlineStr"/>
      <c r="P231" s="12" t="inlineStr"/>
      <c r="Q231" s="12" t="inlineStr"/>
      <c r="R231" s="11" t="inlineStr">
        <is>
          <t>2026-10-15</t>
        </is>
      </c>
      <c r="S231" s="11" t="inlineStr"/>
    </row>
    <row r="232">
      <c r="A232" s="11" t="inlineStr">
        <is>
          <t>P-0127</t>
        </is>
      </c>
      <c r="B232" s="11" t="inlineStr">
        <is>
          <t>proposal</t>
        </is>
      </c>
      <c r="C232" s="11" t="n">
        <v>4</v>
      </c>
      <c r="D232" s="2" t="inlineStr">
        <is>
          <t>Jaswant Singh Gill v. Bharat Coking Coal Ltd.</t>
        </is>
      </c>
      <c r="E232" s="2" t="inlineStr">
        <is>
          <t>CHAIRMAN-CUM-MANAGING DIRECTOR, MAHANADI COALFIELDS LIMITED versus SRI RABINDRANATH CHOUBEY (2020, 3 judges)</t>
        </is>
      </c>
      <c r="F232" s="2" t="inlineStr">
        <is>
          <t>tag: overruled</t>
        </is>
      </c>
      <c r="G232" s="2" t="inlineStr">
        <is>
          <t>add_row (give overruled_year; overruled_cites is prefilled where the report printed them), reject, or keep.</t>
        </is>
      </c>
      <c r="H232" s="12" t="inlineStr"/>
      <c r="I232" s="12" t="inlineStr"/>
      <c r="J232" s="13" t="inlineStr"/>
      <c r="K232" s="12" t="inlineStr"/>
      <c r="L232" s="12" t="inlineStr"/>
      <c r="M232" s="12" t="inlineStr"/>
      <c r="N232" s="12" t="inlineStr"/>
      <c r="O232" s="13" t="inlineStr"/>
      <c r="P232" s="12" t="inlineStr"/>
      <c r="Q232" s="12" t="inlineStr"/>
      <c r="R232" s="11" t="inlineStr">
        <is>
          <t>2026-10-15</t>
        </is>
      </c>
      <c r="S232" s="11" t="inlineStr"/>
    </row>
    <row r="233">
      <c r="A233" s="11" t="inlineStr">
        <is>
          <t>P-0128</t>
        </is>
      </c>
      <c r="B233" s="11" t="inlineStr">
        <is>
          <t>proposal</t>
        </is>
      </c>
      <c r="C233" s="11" t="n">
        <v>4</v>
      </c>
      <c r="D233" s="2" t="inlineStr">
        <is>
          <t>(see sentence)</t>
        </is>
      </c>
      <c r="E233" s="2" t="inlineStr">
        <is>
          <t>S. KASI versus STATE THROUGH THE INSPECTOR OF POLICE SAMAYNALLUR POLICE STATION MADURAI DISTRICT (2020, 3 judges)</t>
        </is>
      </c>
      <c r="F233" s="2" t="inlineStr">
        <is>
          <t>sentence: We also overrule the decision in Union of India v. Bhanudas Krishna Gawde, which followed ADM Jabalpur.” 25.</t>
        </is>
      </c>
      <c r="G233" s="2" t="inlineStr">
        <is>
          <t>add_row (give overruled_year; overruled_cites is prefilled where the report printed them), reject, or keep.</t>
        </is>
      </c>
      <c r="H233" s="12" t="inlineStr"/>
      <c r="I233" s="12" t="inlineStr"/>
      <c r="J233" s="13" t="inlineStr"/>
      <c r="K233" s="12" t="inlineStr"/>
      <c r="L233" s="12" t="inlineStr"/>
      <c r="M233" s="12" t="inlineStr"/>
      <c r="N233" s="12" t="inlineStr"/>
      <c r="O233" s="13" t="inlineStr"/>
      <c r="P233" s="12" t="inlineStr"/>
      <c r="Q233" s="12" t="inlineStr"/>
      <c r="R233" s="11" t="inlineStr">
        <is>
          <t>2026-10-15</t>
        </is>
      </c>
      <c r="S233" s="11" t="inlineStr"/>
    </row>
    <row r="234">
      <c r="A234" s="11" t="inlineStr">
        <is>
          <t>P-0130</t>
        </is>
      </c>
      <c r="B234" s="11" t="inlineStr">
        <is>
          <t>proposal</t>
        </is>
      </c>
      <c r="C234" s="11" t="n">
        <v>4</v>
      </c>
      <c r="D234" s="2" t="inlineStr">
        <is>
          <t>Rajendra Kumar Meshram v. Vanshmani Prasad Verma</t>
        </is>
      </c>
      <c r="E234" s="2" t="inlineStr">
        <is>
          <t>ARJUN PANDITRAO KHOTKAR versus KAILASH KUSHANRAO GORANTYAL AND ORS. (2020, 3 judges)</t>
        </is>
      </c>
      <c r="F234" s="2" t="inlineStr">
        <is>
          <t>tag: held not correct law</t>
        </is>
      </c>
      <c r="G234" s="2" t="inlineStr">
        <is>
          <t>add_row (give overruled_year; overruled_cites is prefilled where the report printed them), reject, or keep.</t>
        </is>
      </c>
      <c r="H234" s="12" t="inlineStr"/>
      <c r="I234" s="12" t="inlineStr"/>
      <c r="J234" s="13" t="inlineStr"/>
      <c r="K234" s="12" t="inlineStr"/>
      <c r="L234" s="12" t="inlineStr"/>
      <c r="M234" s="12" t="inlineStr"/>
      <c r="N234" s="12" t="inlineStr"/>
      <c r="O234" s="13" t="inlineStr"/>
      <c r="P234" s="12" t="inlineStr"/>
      <c r="Q234" s="12" t="inlineStr"/>
      <c r="R234" s="11" t="inlineStr">
        <is>
          <t>2026-10-15</t>
        </is>
      </c>
      <c r="S234" s="11" t="inlineStr"/>
    </row>
    <row r="235">
      <c r="A235" s="11" t="inlineStr">
        <is>
          <t>P-0133</t>
        </is>
      </c>
      <c r="B235" s="11" t="inlineStr">
        <is>
          <t>proposal</t>
        </is>
      </c>
      <c r="C235" s="11" t="n">
        <v>4</v>
      </c>
      <c r="D235" s="2" t="inlineStr">
        <is>
          <t>K. Ramajyam v. Inspector of Police</t>
        </is>
      </c>
      <c r="E235" s="2" t="inlineStr">
        <is>
          <t>ARJUN PANDITRAO KHOTKAR versus KAILASH KUSHANRAO GORANTYAL AND ORS. (2020, 3 judges)</t>
        </is>
      </c>
      <c r="F235" s="2" t="inlineStr">
        <is>
          <t>tag: overruled</t>
        </is>
      </c>
      <c r="G235" s="2" t="inlineStr">
        <is>
          <t>add_row (give overruled_year; overruled_cites is prefilled where the report printed them), reject, or keep.</t>
        </is>
      </c>
      <c r="H235" s="12" t="inlineStr"/>
      <c r="I235" s="12" t="inlineStr"/>
      <c r="J235" s="13" t="inlineStr"/>
      <c r="K235" s="12" t="inlineStr"/>
      <c r="L235" s="12" t="inlineStr"/>
      <c r="M235" s="12" t="inlineStr"/>
      <c r="N235" s="12" t="inlineStr"/>
      <c r="O235" s="13" t="inlineStr"/>
      <c r="P235" s="12" t="inlineStr"/>
      <c r="Q235" s="12" t="inlineStr"/>
      <c r="R235" s="11" t="inlineStr">
        <is>
          <t>2026-10-15</t>
        </is>
      </c>
      <c r="S235" s="11" t="inlineStr"/>
    </row>
    <row r="236">
      <c r="A236" s="11" t="inlineStr">
        <is>
          <t>P-0134</t>
        </is>
      </c>
      <c r="B236" s="11" t="inlineStr">
        <is>
          <t>proposal</t>
        </is>
      </c>
      <c r="C236" s="11" t="n">
        <v>4</v>
      </c>
      <c r="D236" s="2" t="inlineStr">
        <is>
          <t>Port of Bombay v. Sriyanesh Knitters</t>
        </is>
      </c>
      <c r="E236" s="2" t="inlineStr">
        <is>
          <t>THE CHAIRMAN, BOARD OF TRUSTEES, COCHIN PORT TRUST versus M/S AREBEE STAR MARITIME AGENCIES PVT. LTD. &amp; ORS. (2020, 3 judges)</t>
        </is>
      </c>
      <c r="F236" s="2" t="inlineStr">
        <is>
          <t>tag: partly overruled</t>
        </is>
      </c>
      <c r="G236" s="2" t="inlineStr">
        <is>
          <t>add_row (give overruled_year; overruled_cites is prefilled where the report printed them), reject, or keep.</t>
        </is>
      </c>
      <c r="H236" s="12" t="inlineStr"/>
      <c r="I236" s="12" t="inlineStr"/>
      <c r="J236" s="13" t="inlineStr"/>
      <c r="K236" s="12" t="inlineStr"/>
      <c r="L236" s="12" t="inlineStr"/>
      <c r="M236" s="12" t="inlineStr"/>
      <c r="N236" s="12" t="inlineStr"/>
      <c r="O236" s="13" t="inlineStr"/>
      <c r="P236" s="12" t="inlineStr"/>
      <c r="Q236" s="12" t="inlineStr"/>
      <c r="R236" s="11" t="inlineStr">
        <is>
          <t>2026-10-15</t>
        </is>
      </c>
      <c r="S236" s="11" t="inlineStr"/>
    </row>
    <row r="237">
      <c r="A237" s="11" t="inlineStr">
        <is>
          <t>P-0135</t>
        </is>
      </c>
      <c r="B237" s="11" t="inlineStr">
        <is>
          <t>proposal</t>
        </is>
      </c>
      <c r="C237" s="11" t="n">
        <v>4</v>
      </c>
      <c r="D237" s="2" t="inlineStr">
        <is>
          <t>Forbes Forbes Campbell &amp; Co. v. Port of Bombay (Forbes-II)</t>
        </is>
      </c>
      <c r="E237" s="2" t="inlineStr">
        <is>
          <t>THE CHAIRMAN, BOARD OF TRUSTEES, COCHIN PORT TRUST versus M/S AREBEE STAR MARITIME AGENCIES PVT. LTD. &amp; ORS. (2020, 3 judges)</t>
        </is>
      </c>
      <c r="F237" s="2" t="inlineStr">
        <is>
          <t>tag: held not correct law</t>
        </is>
      </c>
      <c r="G237" s="2" t="inlineStr">
        <is>
          <t>add_row (give overruled_year; overruled_cites is prefilled where the report printed them), reject, or keep.</t>
        </is>
      </c>
      <c r="H237" s="12" t="inlineStr"/>
      <c r="I237" s="12" t="inlineStr"/>
      <c r="J237" s="13" t="inlineStr"/>
      <c r="K237" s="12" t="inlineStr"/>
      <c r="L237" s="12" t="inlineStr"/>
      <c r="M237" s="12" t="inlineStr"/>
      <c r="N237" s="12" t="inlineStr"/>
      <c r="O237" s="13" t="inlineStr"/>
      <c r="P237" s="12" t="inlineStr"/>
      <c r="Q237" s="12" t="inlineStr"/>
      <c r="R237" s="11" t="inlineStr">
        <is>
          <t>2026-10-15</t>
        </is>
      </c>
      <c r="S237" s="11" t="inlineStr"/>
    </row>
    <row r="238">
      <c r="A238" s="11" t="inlineStr">
        <is>
          <t>P-0136</t>
        </is>
      </c>
      <c r="B238" s="11" t="inlineStr">
        <is>
          <t>proposal</t>
        </is>
      </c>
      <c r="C238" s="11" t="n">
        <v>4</v>
      </c>
      <c r="D238" s="2" t="inlineStr">
        <is>
          <t>**Joginder Tuli v. S.L. Bhatia</t>
        </is>
      </c>
      <c r="E238" s="2" t="inlineStr">
        <is>
          <t>M/S EXL CAREERS AND ANOTHER versus FRANKFINN AVIATION SERVICES PRIVATE LIMITED (2020, 3 judges)</t>
        </is>
      </c>
      <c r="F238" s="2" t="inlineStr">
        <is>
          <t>tag: overruled</t>
        </is>
      </c>
      <c r="G238" s="2" t="inlineStr">
        <is>
          <t>add_row (give overruled_year; overruled_cites is prefilled where the report printed them), reject, or keep.</t>
        </is>
      </c>
      <c r="H238" s="12" t="inlineStr"/>
      <c r="I238" s="12" t="inlineStr"/>
      <c r="J238" s="13" t="inlineStr"/>
      <c r="K238" s="12" t="inlineStr"/>
      <c r="L238" s="12" t="inlineStr"/>
      <c r="M238" s="12" t="inlineStr"/>
      <c r="N238" s="12" t="inlineStr"/>
      <c r="O238" s="13" t="inlineStr"/>
      <c r="P238" s="12" t="inlineStr"/>
      <c r="Q238" s="12" t="inlineStr"/>
      <c r="R238" s="11" t="inlineStr">
        <is>
          <t>2026-10-15</t>
        </is>
      </c>
      <c r="S238" s="11" t="inlineStr"/>
    </row>
    <row r="239">
      <c r="A239" s="11" t="inlineStr">
        <is>
          <t>P-0139</t>
        </is>
      </c>
      <c r="B239" s="11" t="inlineStr">
        <is>
          <t>proposal</t>
        </is>
      </c>
      <c r="C239" s="11" t="n">
        <v>4</v>
      </c>
      <c r="D239" s="2" t="inlineStr">
        <is>
          <t>Aliens Developers Pvt. Ltd. v. M. Janardhan Reddy</t>
        </is>
      </c>
      <c r="E239" s="2" t="inlineStr">
        <is>
          <t>DECCAN PAPER MILLS CO. LTD. versus REGENCY MAHAVIR PROPERTIES &amp; ORS. (2020, 3 judges)</t>
        </is>
      </c>
      <c r="F239" s="2" t="inlineStr">
        <is>
          <t>tag: overruled</t>
        </is>
      </c>
      <c r="G239" s="2" t="inlineStr">
        <is>
          <t>add_row (give overruled_year; overruled_cites is prefilled where the report printed them), reject, or keep.</t>
        </is>
      </c>
      <c r="H239" s="12" t="inlineStr"/>
      <c r="I239" s="12" t="inlineStr"/>
      <c r="J239" s="13" t="inlineStr"/>
      <c r="K239" s="12" t="inlineStr"/>
      <c r="L239" s="12" t="inlineStr"/>
      <c r="M239" s="12" t="inlineStr"/>
      <c r="N239" s="12" t="inlineStr"/>
      <c r="O239" s="13" t="inlineStr"/>
      <c r="P239" s="12" t="inlineStr"/>
      <c r="Q239" s="12" t="inlineStr"/>
      <c r="R239" s="11" t="inlineStr">
        <is>
          <t>2026-10-15</t>
        </is>
      </c>
      <c r="S239" s="11" t="inlineStr"/>
    </row>
    <row r="240">
      <c r="A240" s="11" t="inlineStr">
        <is>
          <t>P-0140</t>
        </is>
      </c>
      <c r="B240" s="11" t="inlineStr">
        <is>
          <t>proposal</t>
        </is>
      </c>
      <c r="C240" s="11" t="n">
        <v>4</v>
      </c>
      <c r="D240" s="2" t="inlineStr">
        <is>
          <t>(see sentence)</t>
        </is>
      </c>
      <c r="E240" s="2" t="inlineStr">
        <is>
          <t>THE STATE OF PUNJAB &amp; ORS. versus DAVINDER SINGH &amp; ORS. (2020, 5 judges)</t>
        </is>
      </c>
      <c r="F240" s="2" t="inlineStr">
        <is>
          <t>sentence: (c) In David Burnet v. Colorado Oil &amp; Gas Company, 285 U.S. 393, it was observed that in cases involving the Federal Constitution, where correction through legislative action is practically impossible, this court has often overruled its ear</t>
        </is>
      </c>
      <c r="G240" s="2" t="inlineStr">
        <is>
          <t>add_row (give overruled_year; overruled_cites is prefilled where the report printed them), reject, or keep.</t>
        </is>
      </c>
      <c r="H240" s="12" t="inlineStr"/>
      <c r="I240" s="12" t="inlineStr"/>
      <c r="J240" s="13" t="inlineStr"/>
      <c r="K240" s="12" t="inlineStr"/>
      <c r="L240" s="12" t="inlineStr"/>
      <c r="M240" s="12" t="inlineStr"/>
      <c r="N240" s="12" t="inlineStr"/>
      <c r="O240" s="13" t="inlineStr"/>
      <c r="P240" s="12" t="inlineStr"/>
      <c r="Q240" s="12" t="inlineStr"/>
      <c r="R240" s="11" t="inlineStr">
        <is>
          <t>2026-10-15</t>
        </is>
      </c>
      <c r="S240" s="11" t="inlineStr"/>
    </row>
    <row r="241">
      <c r="A241" s="11" t="inlineStr">
        <is>
          <t>P-0141</t>
        </is>
      </c>
      <c r="B241" s="11" t="inlineStr">
        <is>
          <t>proposal</t>
        </is>
      </c>
      <c r="C241" s="11" t="n">
        <v>4</v>
      </c>
      <c r="D241" s="2" t="inlineStr">
        <is>
          <t>1.8 The reference is answered as under: I. The observations of this Court in the cases of Bhagwan Singh v. State of Raja</t>
        </is>
      </c>
      <c r="E241" s="2" t="inlineStr">
        <is>
          <t>MUKESH SINGH versus STATE (NARCOTIC BRANCH OF DELHI) (2020, 5 judges)</t>
        </is>
      </c>
      <c r="F241" s="2" t="inlineStr">
        <is>
          <t>tag: overruled</t>
        </is>
      </c>
      <c r="G241" s="2" t="inlineStr">
        <is>
          <t>add_row (give overruled_year; overruled_cites is prefilled where the report printed them), reject, or keep.</t>
        </is>
      </c>
      <c r="H241" s="12" t="inlineStr"/>
      <c r="I241" s="12" t="inlineStr"/>
      <c r="J241" s="13" t="inlineStr"/>
      <c r="K241" s="12" t="inlineStr"/>
      <c r="L241" s="12" t="inlineStr"/>
      <c r="M241" s="12" t="inlineStr"/>
      <c r="N241" s="12" t="inlineStr"/>
      <c r="O241" s="13" t="inlineStr"/>
      <c r="P241" s="12" t="inlineStr"/>
      <c r="Q241" s="12" t="inlineStr"/>
      <c r="R241" s="11" t="inlineStr">
        <is>
          <t>2026-10-15</t>
        </is>
      </c>
      <c r="S241" s="11" t="inlineStr"/>
    </row>
    <row r="242">
      <c r="A242" s="11" t="inlineStr">
        <is>
          <t>P-0142</t>
        </is>
      </c>
      <c r="B242" s="11" t="inlineStr">
        <is>
          <t>proposal</t>
        </is>
      </c>
      <c r="C242" s="11" t="n">
        <v>4</v>
      </c>
      <c r="D242" s="2" t="inlineStr">
        <is>
          <t xml:space="preserve">Megha Singh v. State of Haryana; and State by Inspector of Police, NIB, Tamil Nadu v. Rajangam and the acquittal of the </t>
        </is>
      </c>
      <c r="E242" s="2" t="inlineStr">
        <is>
          <t>MUKESH SINGH versus STATE (NARCOTIC BRANCH OF DELHI) (2020, 5 judges)</t>
        </is>
      </c>
      <c r="F242" s="2" t="inlineStr">
        <is>
          <t>tag: overruled</t>
        </is>
      </c>
      <c r="G242" s="2" t="inlineStr">
        <is>
          <t>add_row (give overruled_year; overruled_cites is prefilled where the report printed them), reject, or keep.</t>
        </is>
      </c>
      <c r="H242" s="12" t="inlineStr"/>
      <c r="I242" s="12" t="inlineStr"/>
      <c r="J242" s="13" t="inlineStr"/>
      <c r="K242" s="12" t="inlineStr"/>
      <c r="L242" s="12" t="inlineStr"/>
      <c r="M242" s="12" t="inlineStr"/>
      <c r="N242" s="12" t="inlineStr"/>
      <c r="O242" s="13" t="inlineStr"/>
      <c r="P242" s="12" t="inlineStr"/>
      <c r="Q242" s="12" t="inlineStr"/>
      <c r="R242" s="11" t="inlineStr">
        <is>
          <t>2026-10-15</t>
        </is>
      </c>
      <c r="S242" s="11" t="inlineStr"/>
    </row>
    <row r="243">
      <c r="A243" s="11" t="inlineStr">
        <is>
          <t>P-0144</t>
        </is>
      </c>
      <c r="B243" s="11" t="inlineStr">
        <is>
          <t>proposal</t>
        </is>
      </c>
      <c r="C243" s="11" t="n">
        <v>4</v>
      </c>
      <c r="D243" s="2" t="inlineStr">
        <is>
          <t>CWT v. ChikmagalurClub 197 ITR Karnataka 609</t>
        </is>
      </c>
      <c r="E243" s="2" t="inlineStr">
        <is>
          <t>M/S BANGALORE CLUB versus THE COMMISSIONER OF WEALTH TAX &amp; ANR. (2020, 3 judges)</t>
        </is>
      </c>
      <c r="F243" s="2" t="inlineStr">
        <is>
          <t>tag: overruled</t>
        </is>
      </c>
      <c r="G243" s="2" t="inlineStr">
        <is>
          <t>add_row (give overruled_year; overruled_cites is prefilled where the report printed them), reject, or keep.</t>
        </is>
      </c>
      <c r="H243" s="12" t="inlineStr"/>
      <c r="I243" s="12" t="inlineStr"/>
      <c r="J243" s="13" t="inlineStr"/>
      <c r="K243" s="12" t="inlineStr"/>
      <c r="L243" s="12" t="inlineStr"/>
      <c r="M243" s="12" t="inlineStr"/>
      <c r="N243" s="12" t="inlineStr"/>
      <c r="O243" s="13" t="inlineStr"/>
      <c r="P243" s="12" t="inlineStr"/>
      <c r="Q243" s="12" t="inlineStr"/>
      <c r="R243" s="11" t="inlineStr">
        <is>
          <t>2026-10-15</t>
        </is>
      </c>
      <c r="S243" s="11" t="inlineStr"/>
    </row>
    <row r="244">
      <c r="A244" s="11" t="inlineStr">
        <is>
          <t>P-0145</t>
        </is>
      </c>
      <c r="B244" s="11" t="inlineStr">
        <is>
          <t>proposal</t>
        </is>
      </c>
      <c r="C244" s="11" t="n">
        <v>4</v>
      </c>
      <c r="D244" s="2" t="inlineStr">
        <is>
          <t>Collector of Central Excise v. New Tobacco Company and others</t>
        </is>
      </c>
      <c r="E244" s="2" t="inlineStr">
        <is>
          <t>UNION OF INDIA &amp; ORS. versus M/S G S CHATHA RICE MILLS &amp; ANR. (2020, 3 judges)</t>
        </is>
      </c>
      <c r="F244" s="2" t="inlineStr">
        <is>
          <t>tag: held not good law</t>
        </is>
      </c>
      <c r="G244" s="2" t="inlineStr">
        <is>
          <t>add_row (give overruled_year; overruled_cites is prefilled where the report printed them), reject, or keep.</t>
        </is>
      </c>
      <c r="H244" s="12" t="inlineStr"/>
      <c r="I244" s="12" t="inlineStr"/>
      <c r="J244" s="13" t="inlineStr"/>
      <c r="K244" s="12" t="inlineStr"/>
      <c r="L244" s="12" t="inlineStr"/>
      <c r="M244" s="12" t="inlineStr"/>
      <c r="N244" s="12" t="inlineStr"/>
      <c r="O244" s="13" t="inlineStr"/>
      <c r="P244" s="12" t="inlineStr"/>
      <c r="Q244" s="12" t="inlineStr"/>
      <c r="R244" s="11" t="inlineStr">
        <is>
          <t>2026-10-15</t>
        </is>
      </c>
      <c r="S244" s="11" t="inlineStr"/>
    </row>
    <row r="245">
      <c r="A245" s="11" t="inlineStr">
        <is>
          <t>P-0146</t>
        </is>
      </c>
      <c r="B245" s="11" t="inlineStr">
        <is>
          <t>proposal</t>
        </is>
      </c>
      <c r="C245" s="11" t="n">
        <v>4</v>
      </c>
      <c r="D245" s="2" t="inlineStr">
        <is>
          <t>(see sentence)</t>
        </is>
      </c>
      <c r="E245" s="2" t="inlineStr">
        <is>
          <t>SATISH CHANDER AHUJA versus SNEHA AHUJA (2020, 3 judges)</t>
        </is>
      </c>
      <c r="F245" s="2" t="inlineStr">
        <is>
          <t>sentence: We, thus, are of the opinion that the interpretation of definition of shared household as put by this Court in S.R. Batra Vs. Taruna Batra (supra) is not correct interpretation and the said judgment does not lay down the correct law.</t>
        </is>
      </c>
      <c r="G245" s="2" t="inlineStr">
        <is>
          <t>add_row (give overruled_year; overruled_cites is prefilled where the report printed them), reject, or keep.</t>
        </is>
      </c>
      <c r="H245" s="12" t="inlineStr"/>
      <c r="I245" s="12" t="inlineStr"/>
      <c r="J245" s="13" t="inlineStr"/>
      <c r="K245" s="12" t="inlineStr"/>
      <c r="L245" s="12" t="inlineStr"/>
      <c r="M245" s="12" t="inlineStr"/>
      <c r="N245" s="12" t="inlineStr"/>
      <c r="O245" s="13" t="inlineStr"/>
      <c r="P245" s="12" t="inlineStr"/>
      <c r="Q245" s="12" t="inlineStr"/>
      <c r="R245" s="11" t="inlineStr">
        <is>
          <t>2026-10-15</t>
        </is>
      </c>
      <c r="S245" s="11" t="inlineStr"/>
    </row>
    <row r="246">
      <c r="A246" s="11" t="inlineStr">
        <is>
          <t>P-0147</t>
        </is>
      </c>
      <c r="B246" s="11" t="inlineStr">
        <is>
          <t>proposal</t>
        </is>
      </c>
      <c r="C246" s="11" t="n">
        <v>4</v>
      </c>
      <c r="D246" s="2" t="inlineStr">
        <is>
          <t>(see sentence)</t>
        </is>
      </c>
      <c r="E246" s="2" t="inlineStr">
        <is>
          <t>RAJESH DHIMAN versus STATE OF HIMACHAL PRADESH (2020, 3 judges)</t>
        </is>
      </c>
      <c r="F246" s="2" t="inlineStr">
        <is>
          <t>sentence: A contrary decision of this Court in the case of Mohan Lal v. State of Punjab, (2018) 17 SCC 627 and any other decision taking a contrary view that the informant cannot be the investigator and in such a case the accused is entitled to acqui</t>
        </is>
      </c>
      <c r="G246" s="2" t="inlineStr">
        <is>
          <t>add_row (give overruled_year; overruled_cites is prefilled where the report printed them), reject, or keep.</t>
        </is>
      </c>
      <c r="H246" s="12" t="inlineStr"/>
      <c r="I246" s="12" t="inlineStr"/>
      <c r="J246" s="13" t="inlineStr"/>
      <c r="K246" s="12" t="inlineStr"/>
      <c r="L246" s="12" t="inlineStr"/>
      <c r="M246" s="12" t="inlineStr"/>
      <c r="N246" s="12" t="inlineStr"/>
      <c r="O246" s="13" t="inlineStr"/>
      <c r="P246" s="12" t="inlineStr"/>
      <c r="Q246" s="12" t="inlineStr"/>
      <c r="R246" s="11" t="inlineStr">
        <is>
          <t>2026-10-15</t>
        </is>
      </c>
      <c r="S246" s="11" t="inlineStr"/>
    </row>
    <row r="247">
      <c r="A247" s="11" t="inlineStr">
        <is>
          <t>P-0150</t>
        </is>
      </c>
      <c r="B247" s="11" t="inlineStr">
        <is>
          <t>proposal</t>
        </is>
      </c>
      <c r="C247" s="11" t="n">
        <v>4</v>
      </c>
      <c r="D247" s="2" t="inlineStr">
        <is>
          <t>Rungta Engineering College, Bhilai and Another v. Chattisgarh Swami Vivekanand Technical University and Another</t>
        </is>
      </c>
      <c r="E247" s="2" t="inlineStr">
        <is>
          <t>G H APJ ABDUL KALAM TECHNOLOGICAL UNIVERSITY &amp; ANR. versus JAI BHARATH COLLEGE OF MANAGEMENT AND ENGINEERING TECHNOLOGY &amp; ORS. (2020, 3 judges)</t>
        </is>
      </c>
      <c r="F247" s="2" t="inlineStr">
        <is>
          <t>tag: not correct law</t>
        </is>
      </c>
      <c r="G247" s="2" t="inlineStr">
        <is>
          <t>add_row (give overruled_year; overruled_cites is prefilled where the report printed them), reject, or keep.</t>
        </is>
      </c>
      <c r="H247" s="12" t="inlineStr"/>
      <c r="I247" s="12" t="inlineStr"/>
      <c r="J247" s="13" t="inlineStr"/>
      <c r="K247" s="12" t="inlineStr"/>
      <c r="L247" s="12" t="inlineStr"/>
      <c r="M247" s="12" t="inlineStr"/>
      <c r="N247" s="12" t="inlineStr"/>
      <c r="O247" s="13" t="inlineStr"/>
      <c r="P247" s="12" t="inlineStr"/>
      <c r="Q247" s="12" t="inlineStr"/>
      <c r="R247" s="11" t="inlineStr">
        <is>
          <t>2026-10-15</t>
        </is>
      </c>
      <c r="S247" s="11" t="inlineStr"/>
    </row>
    <row r="248">
      <c r="A248" s="11" t="inlineStr">
        <is>
          <t>P-0151</t>
        </is>
      </c>
      <c r="B248" s="11" t="inlineStr">
        <is>
          <t>proposal</t>
        </is>
      </c>
      <c r="C248" s="11" t="n">
        <v>4</v>
      </c>
      <c r="D248" s="2" t="inlineStr">
        <is>
          <t>HDFC Bank Ltd. v. Satpal Singh Bakshi</t>
        </is>
      </c>
      <c r="E248" s="2" t="inlineStr">
        <is>
          <t>VIDYA DROLIA AND OTHERS versus DURGA TRADING CORPORATION (2020, 3 judges)</t>
        </is>
      </c>
      <c r="F248" s="2" t="inlineStr">
        <is>
          <t>tag: overruled</t>
        </is>
      </c>
      <c r="G248" s="2" t="inlineStr">
        <is>
          <t>add_row (give overruled_year; overruled_cites is prefilled where the report printed them), reject, or keep.</t>
        </is>
      </c>
      <c r="H248" s="12" t="inlineStr"/>
      <c r="I248" s="12" t="inlineStr"/>
      <c r="J248" s="13" t="inlineStr"/>
      <c r="K248" s="12" t="inlineStr"/>
      <c r="L248" s="12" t="inlineStr"/>
      <c r="M248" s="12" t="inlineStr"/>
      <c r="N248" s="12" t="inlineStr"/>
      <c r="O248" s="13" t="inlineStr"/>
      <c r="P248" s="12" t="inlineStr"/>
      <c r="Q248" s="12" t="inlineStr"/>
      <c r="R248" s="11" t="inlineStr">
        <is>
          <t>2026-10-15</t>
        </is>
      </c>
      <c r="S248" s="11" t="inlineStr"/>
    </row>
    <row r="249">
      <c r="A249" s="11" t="inlineStr">
        <is>
          <t>P-0154</t>
        </is>
      </c>
      <c r="B249" s="11" t="inlineStr">
        <is>
          <t>proposal</t>
        </is>
      </c>
      <c r="C249" s="11" t="n">
        <v>4</v>
      </c>
      <c r="D249" s="2" t="inlineStr">
        <is>
          <t>Ajay Kumar v. State of U.P. and Others</t>
        </is>
      </c>
      <c r="E249" s="2" t="inlineStr">
        <is>
          <t>SAURAV YADAV &amp; ORS. versus STATE OF UTTAR PRADESH &amp; ORS. (2020, 3 judges)</t>
        </is>
      </c>
      <c r="F249" s="2" t="inlineStr">
        <is>
          <t>tag: disapproved</t>
        </is>
      </c>
      <c r="G249" s="2" t="inlineStr">
        <is>
          <t>add_row (give overruled_year; overruled_cites is prefilled where the report printed them), reject, or keep.</t>
        </is>
      </c>
      <c r="H249" s="12" t="inlineStr"/>
      <c r="I249" s="12" t="inlineStr"/>
      <c r="J249" s="13" t="inlineStr"/>
      <c r="K249" s="12" t="inlineStr"/>
      <c r="L249" s="12" t="inlineStr"/>
      <c r="M249" s="12" t="inlineStr"/>
      <c r="N249" s="12" t="inlineStr"/>
      <c r="O249" s="13" t="inlineStr"/>
      <c r="P249" s="12" t="inlineStr"/>
      <c r="Q249" s="12" t="inlineStr"/>
      <c r="R249" s="11" t="inlineStr">
        <is>
          <t>2026-10-15</t>
        </is>
      </c>
      <c r="S249" s="11" t="inlineStr"/>
    </row>
    <row r="250">
      <c r="A250" s="11" t="inlineStr">
        <is>
          <t>P-0155</t>
        </is>
      </c>
      <c r="B250" s="11" t="inlineStr">
        <is>
          <t>proposal</t>
        </is>
      </c>
      <c r="C250" s="11" t="n">
        <v>4</v>
      </c>
      <c r="D250" s="2" t="inlineStr">
        <is>
          <t>State of Madhya Pradesh and Another v. Uday Sisode and Others</t>
        </is>
      </c>
      <c r="E250" s="2" t="inlineStr">
        <is>
          <t>SAURAV YADAV &amp; ORS. versus STATE OF UTTAR PRADESH &amp; ORS. (2020, 3 judges)</t>
        </is>
      </c>
      <c r="F250" s="2" t="inlineStr">
        <is>
          <t>tag: disapproved</t>
        </is>
      </c>
      <c r="G250" s="2" t="inlineStr">
        <is>
          <t>add_row (give overruled_year; overruled_cites is prefilled where the report printed them), reject, or keep.</t>
        </is>
      </c>
      <c r="H250" s="12" t="inlineStr"/>
      <c r="I250" s="12" t="inlineStr"/>
      <c r="J250" s="13" t="inlineStr"/>
      <c r="K250" s="12" t="inlineStr"/>
      <c r="L250" s="12" t="inlineStr"/>
      <c r="M250" s="12" t="inlineStr"/>
      <c r="N250" s="12" t="inlineStr"/>
      <c r="O250" s="13" t="inlineStr"/>
      <c r="P250" s="12" t="inlineStr"/>
      <c r="Q250" s="12" t="inlineStr"/>
      <c r="R250" s="11" t="inlineStr">
        <is>
          <t>2026-10-15</t>
        </is>
      </c>
      <c r="S250" s="11" t="inlineStr"/>
    </row>
    <row r="251">
      <c r="A251" s="11" t="inlineStr">
        <is>
          <t>P-0156</t>
        </is>
      </c>
      <c r="B251" s="11" t="inlineStr">
        <is>
          <t>proposal</t>
        </is>
      </c>
      <c r="C251" s="11" t="n">
        <v>4</v>
      </c>
      <c r="D251" s="2" t="inlineStr">
        <is>
          <t>Allahabad and Madhya Pradesh (in Ajay Kumar v. State of UP &amp; Ors.</t>
        </is>
      </c>
      <c r="E251" s="2" t="inlineStr">
        <is>
          <t>SAURAV YADAV &amp; ORS. versus STATE OF UTTAR PRADESH &amp; ORS. (2020, 3 judges)</t>
        </is>
      </c>
      <c r="F251" s="2" t="inlineStr">
        <is>
          <t>tag: disapproved</t>
        </is>
      </c>
      <c r="G251" s="2" t="inlineStr">
        <is>
          <t>add_row (give overruled_year; overruled_cites is prefilled where the report printed them), reject, or keep.</t>
        </is>
      </c>
      <c r="H251" s="12" t="inlineStr"/>
      <c r="I251" s="12" t="inlineStr"/>
      <c r="J251" s="13" t="inlineStr"/>
      <c r="K251" s="12" t="inlineStr"/>
      <c r="L251" s="12" t="inlineStr"/>
      <c r="M251" s="12" t="inlineStr"/>
      <c r="N251" s="12" t="inlineStr"/>
      <c r="O251" s="13" t="inlineStr"/>
      <c r="P251" s="12" t="inlineStr"/>
      <c r="Q251" s="12" t="inlineStr"/>
      <c r="R251" s="11" t="inlineStr">
        <is>
          <t>2026-10-15</t>
        </is>
      </c>
      <c r="S251" s="11" t="inlineStr"/>
    </row>
    <row r="252">
      <c r="A252" s="11" t="inlineStr">
        <is>
          <t>P-0157</t>
        </is>
      </c>
      <c r="B252" s="11" t="inlineStr">
        <is>
          <t>proposal</t>
        </is>
      </c>
      <c r="C252" s="11" t="n">
        <v>4</v>
      </c>
      <c r="D252" s="2" t="inlineStr">
        <is>
          <t>State of Madhya Pradesh &amp; Anr. v. Uday Sisode &amp; Ors.</t>
        </is>
      </c>
      <c r="E252" s="2" t="inlineStr">
        <is>
          <t>SAURAV YADAV &amp; ORS. versus STATE OF UTTAR PRADESH &amp; ORS. (2020, 3 judges)</t>
        </is>
      </c>
      <c r="F252" s="2" t="inlineStr">
        <is>
          <t>tag: disapproved</t>
        </is>
      </c>
      <c r="G252" s="2" t="inlineStr">
        <is>
          <t>add_row (give overruled_year; overruled_cites is prefilled where the report printed them), reject, or keep.</t>
        </is>
      </c>
      <c r="H252" s="12" t="inlineStr"/>
      <c r="I252" s="12" t="inlineStr"/>
      <c r="J252" s="13" t="inlineStr"/>
      <c r="K252" s="12" t="inlineStr"/>
      <c r="L252" s="12" t="inlineStr"/>
      <c r="M252" s="12" t="inlineStr"/>
      <c r="N252" s="12" t="inlineStr"/>
      <c r="O252" s="13" t="inlineStr"/>
      <c r="P252" s="12" t="inlineStr"/>
      <c r="Q252" s="12" t="inlineStr"/>
      <c r="R252" s="11" t="inlineStr">
        <is>
          <t>2026-10-15</t>
        </is>
      </c>
      <c r="S252" s="11" t="inlineStr"/>
    </row>
    <row r="253">
      <c r="A253" s="11" t="inlineStr">
        <is>
          <t>P-0158</t>
        </is>
      </c>
      <c r="B253" s="11" t="inlineStr">
        <is>
          <t>proposal</t>
        </is>
      </c>
      <c r="C253" s="11" t="n">
        <v>4</v>
      </c>
      <c r="D253" s="2" t="inlineStr">
        <is>
          <t>(see sentence)</t>
        </is>
      </c>
      <c r="E253" s="2" t="inlineStr">
        <is>
          <t>THE STATE OF MAHARASHTRA &amp; ANR. versus KESHAO VISHWANATH SONONE &amp; ANR. (2020, 3 judges)</t>
        </is>
      </c>
      <c r="F253" s="2" t="inlineStr">
        <is>
          <t>sentence: Whether a two-Judge Bench decision of this Court in Dina v. Narayan Singh (for the sake of brevity “Dina I”) and the decision rendered by another two-Judge Bench of this Court in Dadaji v. Sukhdeobabu (for the sake of brevity “Dina II”) are</t>
        </is>
      </c>
      <c r="G253" s="2" t="inlineStr">
        <is>
          <t>add_row (give overruled_year; overruled_cites is prefilled where the report printed them), reject, or keep.</t>
        </is>
      </c>
      <c r="H253" s="12" t="inlineStr"/>
      <c r="I253" s="12" t="inlineStr"/>
      <c r="J253" s="13" t="inlineStr"/>
      <c r="K253" s="12" t="inlineStr"/>
      <c r="L253" s="12" t="inlineStr"/>
      <c r="M253" s="12" t="inlineStr"/>
      <c r="N253" s="12" t="inlineStr"/>
      <c r="O253" s="13" t="inlineStr"/>
      <c r="P253" s="12" t="inlineStr"/>
      <c r="Q253" s="12" t="inlineStr"/>
      <c r="R253" s="11" t="inlineStr">
        <is>
          <t>2026-10-15</t>
        </is>
      </c>
      <c r="S253" s="11" t="inlineStr"/>
    </row>
    <row r="254">
      <c r="A254" s="11" t="inlineStr">
        <is>
          <t>P-0159</t>
        </is>
      </c>
      <c r="B254" s="11" t="inlineStr">
        <is>
          <t>proposal</t>
        </is>
      </c>
      <c r="C254" s="11" t="n">
        <v>4</v>
      </c>
      <c r="D254" s="2" t="inlineStr">
        <is>
          <t>SMS Tea Estates Pvt. Ltd. v. M/s. Chandmari Tea Co. Pvt. Ltd.</t>
        </is>
      </c>
      <c r="E254" s="2" t="inlineStr">
        <is>
          <t>M/S. N.N. GLOBAL MERCANTILE PVT. LTD. versus M/S. INDO UNIQUE FLAME LTD. &amp; OTHERS (2021, 3 judges)</t>
        </is>
      </c>
      <c r="F254" s="2" t="inlineStr">
        <is>
          <t>tag: partly overruled</t>
        </is>
      </c>
      <c r="G254" s="2" t="inlineStr">
        <is>
          <t>add_row (give overruled_year; overruled_cites is prefilled where the report printed them), reject, or keep.</t>
        </is>
      </c>
      <c r="H254" s="12" t="inlineStr"/>
      <c r="I254" s="12" t="inlineStr"/>
      <c r="J254" s="13" t="inlineStr"/>
      <c r="K254" s="12" t="inlineStr"/>
      <c r="L254" s="12" t="inlineStr"/>
      <c r="M254" s="12" t="inlineStr"/>
      <c r="N254" s="12" t="inlineStr"/>
      <c r="O254" s="13" t="inlineStr"/>
      <c r="P254" s="12" t="inlineStr"/>
      <c r="Q254" s="12" t="inlineStr"/>
      <c r="R254" s="11" t="inlineStr">
        <is>
          <t>2026-10-15</t>
        </is>
      </c>
      <c r="S254" s="11" t="inlineStr"/>
    </row>
    <row r="255">
      <c r="A255" s="11" t="inlineStr">
        <is>
          <t>P-0160</t>
        </is>
      </c>
      <c r="B255" s="11" t="inlineStr">
        <is>
          <t>proposal</t>
        </is>
      </c>
      <c r="C255" s="11" t="n">
        <v>4</v>
      </c>
      <c r="D255" s="2" t="inlineStr">
        <is>
          <t>State of Maharashtra and Anr. v. M/s Ramdas Construction Co. and Anr.</t>
        </is>
      </c>
      <c r="E255" s="2" t="inlineStr">
        <is>
          <t>CHINTELS INDIA LTD. versus BHAYANA BUILDERS PVT. LTD. (2021, 3 judges)</t>
        </is>
      </c>
      <c r="F255" s="2" t="inlineStr">
        <is>
          <t>tag: overruled</t>
        </is>
      </c>
      <c r="G255" s="2" t="inlineStr">
        <is>
          <t>add_row (give overruled_year; overruled_cites is prefilled where the report printed them), reject, or keep.</t>
        </is>
      </c>
      <c r="H255" s="12" t="inlineStr"/>
      <c r="I255" s="12" t="inlineStr"/>
      <c r="J255" s="13" t="inlineStr"/>
      <c r="K255" s="12" t="inlineStr"/>
      <c r="L255" s="12" t="inlineStr"/>
      <c r="M255" s="12" t="inlineStr"/>
      <c r="N255" s="12" t="inlineStr"/>
      <c r="O255" s="13" t="inlineStr"/>
      <c r="P255" s="12" t="inlineStr"/>
      <c r="Q255" s="12" t="inlineStr"/>
      <c r="R255" s="11" t="inlineStr">
        <is>
          <t>2026-10-15</t>
        </is>
      </c>
      <c r="S255" s="11" t="inlineStr"/>
    </row>
    <row r="256">
      <c r="A256" s="11" t="inlineStr">
        <is>
          <t>P-0161</t>
        </is>
      </c>
      <c r="B256" s="11" t="inlineStr">
        <is>
          <t>proposal</t>
        </is>
      </c>
      <c r="C256" s="11" t="n">
        <v>4</v>
      </c>
      <c r="D256" s="2" t="inlineStr">
        <is>
          <t>Union of India v. Radha Krishna Seth and Anr. 2005</t>
        </is>
      </c>
      <c r="E256" s="2" t="inlineStr">
        <is>
          <t>CHINTELS INDIA LTD. versus BHAYANA BUILDERS PVT. LTD. (2021, 3 judges)</t>
        </is>
      </c>
      <c r="F256" s="2" t="inlineStr">
        <is>
          <t>tag: overruled</t>
        </is>
      </c>
      <c r="G256" s="2" t="inlineStr">
        <is>
          <t>add_row (give overruled_year; overruled_cites is prefilled where the report printed them), reject, or keep.</t>
        </is>
      </c>
      <c r="H256" s="12" t="inlineStr"/>
      <c r="I256" s="12" t="inlineStr"/>
      <c r="J256" s="13" t="inlineStr"/>
      <c r="K256" s="12" t="inlineStr"/>
      <c r="L256" s="12" t="inlineStr"/>
      <c r="M256" s="12" t="inlineStr"/>
      <c r="N256" s="12" t="inlineStr"/>
      <c r="O256" s="13" t="inlineStr"/>
      <c r="P256" s="12" t="inlineStr"/>
      <c r="Q256" s="12" t="inlineStr"/>
      <c r="R256" s="11" t="inlineStr">
        <is>
          <t>2026-10-15</t>
        </is>
      </c>
      <c r="S256" s="11" t="inlineStr"/>
    </row>
    <row r="257">
      <c r="A257" s="11" t="inlineStr">
        <is>
          <t>P-0162</t>
        </is>
      </c>
      <c r="B257" s="11" t="inlineStr">
        <is>
          <t>proposal</t>
        </is>
      </c>
      <c r="C257" s="11" t="n">
        <v>4</v>
      </c>
      <c r="D257" s="2" t="inlineStr">
        <is>
          <t>Piara Singh v. Jagtar Singh and Anr.</t>
        </is>
      </c>
      <c r="E257" s="2" t="inlineStr">
        <is>
          <t>ASHA JOHN DIVIANATHAN versus VIKRAM MALHOTRA &amp; ORS. (2021, 3 judges)</t>
        </is>
      </c>
      <c r="F257" s="2" t="inlineStr">
        <is>
          <t>tag: overruled</t>
        </is>
      </c>
      <c r="G257" s="2" t="inlineStr">
        <is>
          <t>add_row (give overruled_year; overruled_cites is prefilled where the report printed them), reject, or keep.</t>
        </is>
      </c>
      <c r="H257" s="12" t="inlineStr"/>
      <c r="I257" s="12" t="inlineStr"/>
      <c r="J257" s="13" t="inlineStr"/>
      <c r="K257" s="12" t="inlineStr"/>
      <c r="L257" s="12" t="inlineStr"/>
      <c r="M257" s="12" t="inlineStr"/>
      <c r="N257" s="12" t="inlineStr"/>
      <c r="O257" s="13" t="inlineStr"/>
      <c r="P257" s="12" t="inlineStr"/>
      <c r="Q257" s="12" t="inlineStr"/>
      <c r="R257" s="11" t="inlineStr">
        <is>
          <t>2026-10-15</t>
        </is>
      </c>
      <c r="S257" s="11" t="inlineStr"/>
    </row>
    <row r="258">
      <c r="A258" s="11" t="inlineStr">
        <is>
          <t>P-0163</t>
        </is>
      </c>
      <c r="B258" s="11" t="inlineStr">
        <is>
          <t>proposal</t>
        </is>
      </c>
      <c r="C258" s="11" t="n">
        <v>4</v>
      </c>
      <c r="D258" s="2" t="inlineStr">
        <is>
          <t>R. Sambasivam v. Thangavelu ASHA JOHN DIVIANATHAN v. VIKRAM MALHOTRA &amp; ORS. SUPREME COURT REPORTS</t>
        </is>
      </c>
      <c r="E258" s="2" t="inlineStr">
        <is>
          <t>ASHA JOHN DIVIANATHAN versus VIKRAM MALHOTRA &amp; ORS. (2021, 3 judges)</t>
        </is>
      </c>
      <c r="F258" s="2" t="inlineStr">
        <is>
          <t>tag: overruled</t>
        </is>
      </c>
      <c r="G258" s="2" t="inlineStr">
        <is>
          <t>add_row (give overruled_year; overruled_cites is prefilled where the report printed them), reject, or keep.</t>
        </is>
      </c>
      <c r="H258" s="12" t="inlineStr"/>
      <c r="I258" s="12" t="inlineStr"/>
      <c r="J258" s="13" t="inlineStr"/>
      <c r="K258" s="12" t="inlineStr"/>
      <c r="L258" s="12" t="inlineStr"/>
      <c r="M258" s="12" t="inlineStr"/>
      <c r="N258" s="12" t="inlineStr"/>
      <c r="O258" s="13" t="inlineStr"/>
      <c r="P258" s="12" t="inlineStr"/>
      <c r="Q258" s="12" t="inlineStr"/>
      <c r="R258" s="11" t="inlineStr">
        <is>
          <t>2026-10-15</t>
        </is>
      </c>
      <c r="S258" s="11" t="inlineStr"/>
    </row>
    <row r="259">
      <c r="A259" s="11" t="inlineStr">
        <is>
          <t>P-0164</t>
        </is>
      </c>
      <c r="B259" s="11" t="inlineStr">
        <is>
          <t>proposal</t>
        </is>
      </c>
      <c r="C259" s="11" t="n">
        <v>4</v>
      </c>
      <c r="D259" s="2" t="inlineStr">
        <is>
          <t>Ajit Prashad Jain v. N.K. Widhani &amp; Ors.</t>
        </is>
      </c>
      <c r="E259" s="2" t="inlineStr">
        <is>
          <t>ASHA JOHN DIVIANATHAN versus VIKRAM MALHOTRA &amp; ORS. (2021, 3 judges)</t>
        </is>
      </c>
      <c r="F259" s="2" t="inlineStr">
        <is>
          <t>tag: overruled</t>
        </is>
      </c>
      <c r="G259" s="2" t="inlineStr">
        <is>
          <t>add_row (give overruled_year; overruled_cites is prefilled where the report printed them), reject, or keep.</t>
        </is>
      </c>
      <c r="H259" s="12" t="inlineStr"/>
      <c r="I259" s="12" t="inlineStr"/>
      <c r="J259" s="13" t="inlineStr"/>
      <c r="K259" s="12" t="inlineStr"/>
      <c r="L259" s="12" t="inlineStr"/>
      <c r="M259" s="12" t="inlineStr"/>
      <c r="N259" s="12" t="inlineStr"/>
      <c r="O259" s="13" t="inlineStr"/>
      <c r="P259" s="12" t="inlineStr"/>
      <c r="Q259" s="12" t="inlineStr"/>
      <c r="R259" s="11" t="inlineStr">
        <is>
          <t>2026-10-15</t>
        </is>
      </c>
      <c r="S259" s="11" t="inlineStr"/>
    </row>
    <row r="260">
      <c r="A260" s="11" t="inlineStr">
        <is>
          <t>P-0165</t>
        </is>
      </c>
      <c r="B260" s="11" t="inlineStr">
        <is>
          <t>proposal</t>
        </is>
      </c>
      <c r="C260" s="11" t="n">
        <v>4</v>
      </c>
      <c r="D260" s="2" t="inlineStr">
        <is>
          <t>Tufanu Chouhan &amp; Ors. v. Md. Abdur Rahman &amp; Ors.</t>
        </is>
      </c>
      <c r="E260" s="2" t="inlineStr">
        <is>
          <t>ASHA JOHN DIVIANATHAN versus VIKRAM MALHOTRA &amp; ORS. (2021, 3 judges)</t>
        </is>
      </c>
      <c r="F260" s="2" t="inlineStr">
        <is>
          <t>tag: overruled</t>
        </is>
      </c>
      <c r="G260" s="2" t="inlineStr">
        <is>
          <t>add_row (give overruled_year; overruled_cites is prefilled where the report printed them), reject, or keep.</t>
        </is>
      </c>
      <c r="H260" s="12" t="inlineStr"/>
      <c r="I260" s="12" t="inlineStr"/>
      <c r="J260" s="13" t="inlineStr"/>
      <c r="K260" s="12" t="inlineStr"/>
      <c r="L260" s="12" t="inlineStr"/>
      <c r="M260" s="12" t="inlineStr"/>
      <c r="N260" s="12" t="inlineStr"/>
      <c r="O260" s="13" t="inlineStr"/>
      <c r="P260" s="12" t="inlineStr"/>
      <c r="Q260" s="12" t="inlineStr"/>
      <c r="R260" s="11" t="inlineStr">
        <is>
          <t>2026-10-15</t>
        </is>
      </c>
      <c r="S260" s="11" t="inlineStr"/>
    </row>
    <row r="261">
      <c r="A261" s="11" t="inlineStr">
        <is>
          <t>P-0166</t>
        </is>
      </c>
      <c r="B261" s="11" t="inlineStr">
        <is>
          <t>proposal</t>
        </is>
      </c>
      <c r="C261" s="11" t="n">
        <v>4</v>
      </c>
      <c r="D261" s="2" t="inlineStr">
        <is>
          <t>Geeta Reinboth v. Mrs. J. Clairs Brohier through LRs. Mrs. Cheryl Brohier Gosens &amp; Ors.</t>
        </is>
      </c>
      <c r="E261" s="2" t="inlineStr">
        <is>
          <t>ASHA JOHN DIVIANATHAN versus VIKRAM MALHOTRA &amp; ORS. (2021, 3 judges)</t>
        </is>
      </c>
      <c r="F261" s="2" t="inlineStr">
        <is>
          <t>tag: overruled</t>
        </is>
      </c>
      <c r="G261" s="2" t="inlineStr">
        <is>
          <t>add_row (give overruled_year; overruled_cites is prefilled where the report printed them), reject, or keep.</t>
        </is>
      </c>
      <c r="H261" s="12" t="inlineStr"/>
      <c r="I261" s="12" t="inlineStr"/>
      <c r="J261" s="13" t="inlineStr"/>
      <c r="K261" s="12" t="inlineStr"/>
      <c r="L261" s="12" t="inlineStr"/>
      <c r="M261" s="12" t="inlineStr"/>
      <c r="N261" s="12" t="inlineStr"/>
      <c r="O261" s="13" t="inlineStr"/>
      <c r="P261" s="12" t="inlineStr"/>
      <c r="Q261" s="12" t="inlineStr"/>
      <c r="R261" s="11" t="inlineStr">
        <is>
          <t>2026-10-15</t>
        </is>
      </c>
      <c r="S261" s="11" t="inlineStr"/>
    </row>
    <row r="262">
      <c r="A262" s="11" t="inlineStr">
        <is>
          <t>P-0167</t>
        </is>
      </c>
      <c r="B262" s="11" t="inlineStr">
        <is>
          <t>proposal</t>
        </is>
      </c>
      <c r="C262" s="11" t="n">
        <v>4</v>
      </c>
      <c r="D262" s="2" t="inlineStr">
        <is>
          <t>Sivaprakasam v. Ilangovan &amp; Ors.</t>
        </is>
      </c>
      <c r="E262" s="2" t="inlineStr">
        <is>
          <t>ASHA JOHN DIVIANATHAN versus VIKRAM MALHOTRA &amp; ORS. (2021, 3 judges)</t>
        </is>
      </c>
      <c r="F262" s="2" t="inlineStr">
        <is>
          <t>tag: overruled</t>
        </is>
      </c>
      <c r="G262" s="2" t="inlineStr">
        <is>
          <t>add_row (give overruled_year; overruled_cites is prefilled where the report printed them), reject, or keep.</t>
        </is>
      </c>
      <c r="H262" s="12" t="inlineStr"/>
      <c r="I262" s="12" t="inlineStr"/>
      <c r="J262" s="13" t="inlineStr"/>
      <c r="K262" s="12" t="inlineStr"/>
      <c r="L262" s="12" t="inlineStr"/>
      <c r="M262" s="12" t="inlineStr"/>
      <c r="N262" s="12" t="inlineStr"/>
      <c r="O262" s="13" t="inlineStr"/>
      <c r="P262" s="12" t="inlineStr"/>
      <c r="Q262" s="12" t="inlineStr"/>
      <c r="R262" s="11" t="inlineStr">
        <is>
          <t>2026-10-15</t>
        </is>
      </c>
      <c r="S262" s="11" t="inlineStr"/>
    </row>
    <row r="263">
      <c r="A263" s="11" t="inlineStr">
        <is>
          <t>P-0168</t>
        </is>
      </c>
      <c r="B263" s="11" t="inlineStr">
        <is>
          <t>proposal</t>
        </is>
      </c>
      <c r="C263" s="11" t="n">
        <v>4</v>
      </c>
      <c r="D263" s="2" t="inlineStr">
        <is>
          <t>Mathu Sree Akkabai Ammani Charitable Trust &amp; Ors. v. Samikannu</t>
        </is>
      </c>
      <c r="E263" s="2" t="inlineStr">
        <is>
          <t>ASHA JOHN DIVIANATHAN versus VIKRAM MALHOTRA &amp; ORS. (2021, 3 judges)</t>
        </is>
      </c>
      <c r="F263" s="2" t="inlineStr">
        <is>
          <t>tag: overruled</t>
        </is>
      </c>
      <c r="G263" s="2" t="inlineStr">
        <is>
          <t>add_row (give overruled_year; overruled_cites is prefilled where the report printed them), reject, or keep.</t>
        </is>
      </c>
      <c r="H263" s="12" t="inlineStr"/>
      <c r="I263" s="12" t="inlineStr"/>
      <c r="J263" s="13" t="inlineStr"/>
      <c r="K263" s="12" t="inlineStr"/>
      <c r="L263" s="12" t="inlineStr"/>
      <c r="M263" s="12" t="inlineStr"/>
      <c r="N263" s="12" t="inlineStr"/>
      <c r="O263" s="13" t="inlineStr"/>
      <c r="P263" s="12" t="inlineStr"/>
      <c r="Q263" s="12" t="inlineStr"/>
      <c r="R263" s="11" t="inlineStr">
        <is>
          <t>2026-10-15</t>
        </is>
      </c>
      <c r="S263" s="11" t="inlineStr"/>
    </row>
    <row r="264">
      <c r="A264" s="11" t="inlineStr">
        <is>
          <t>P-0169</t>
        </is>
      </c>
      <c r="B264" s="11" t="inlineStr">
        <is>
          <t>proposal</t>
        </is>
      </c>
      <c r="C264" s="11" t="n">
        <v>4</v>
      </c>
      <c r="D264" s="2" t="inlineStr">
        <is>
          <t>Power Grid Corporation of India Ltd. v. Jyoti Structures Ltd., 2017</t>
        </is>
      </c>
      <c r="E264" s="2" t="inlineStr">
        <is>
          <t>P. MOHANRAJ &amp; ORS. versus M/S. SHAH BROTHERS ISPAT PVT. LTD. (2021, 3 judges)</t>
        </is>
      </c>
      <c r="F264" s="2" t="inlineStr">
        <is>
          <t>tag: held not correct law</t>
        </is>
      </c>
      <c r="G264" s="2" t="inlineStr">
        <is>
          <t>add_row (give overruled_year; overruled_cites is prefilled where the report printed them), reject, or keep.</t>
        </is>
      </c>
      <c r="H264" s="12" t="inlineStr"/>
      <c r="I264" s="12" t="inlineStr"/>
      <c r="J264" s="13" t="inlineStr"/>
      <c r="K264" s="12" t="inlineStr"/>
      <c r="L264" s="12" t="inlineStr"/>
      <c r="M264" s="12" t="inlineStr"/>
      <c r="N264" s="12" t="inlineStr"/>
      <c r="O264" s="13" t="inlineStr"/>
      <c r="P264" s="12" t="inlineStr"/>
      <c r="Q264" s="12" t="inlineStr"/>
      <c r="R264" s="11" t="inlineStr">
        <is>
          <t>2026-10-15</t>
        </is>
      </c>
      <c r="S264" s="11" t="inlineStr"/>
    </row>
    <row r="265">
      <c r="A265" s="11" t="inlineStr">
        <is>
          <t>P-0170</t>
        </is>
      </c>
      <c r="B265" s="11" t="inlineStr">
        <is>
          <t>proposal</t>
        </is>
      </c>
      <c r="C265" s="11" t="n">
        <v>4</v>
      </c>
      <c r="D265" s="2" t="inlineStr">
        <is>
          <t>Tayal Cotton Pvt. Ltd. v. State of Maharashtra, 2018</t>
        </is>
      </c>
      <c r="E265" s="2" t="inlineStr">
        <is>
          <t>P. MOHANRAJ &amp; ORS. versus M/S. SHAH BROTHERS ISPAT PVT. LTD. (2021, 3 judges)</t>
        </is>
      </c>
      <c r="F265" s="2" t="inlineStr">
        <is>
          <t>tag: disapproved</t>
        </is>
      </c>
      <c r="G265" s="2" t="inlineStr">
        <is>
          <t>add_row (give overruled_year; overruled_cites is prefilled where the report printed them), reject, or keep.</t>
        </is>
      </c>
      <c r="H265" s="12" t="inlineStr"/>
      <c r="I265" s="12" t="inlineStr"/>
      <c r="J265" s="13" t="inlineStr"/>
      <c r="K265" s="12" t="inlineStr"/>
      <c r="L265" s="12" t="inlineStr"/>
      <c r="M265" s="12" t="inlineStr"/>
      <c r="N265" s="12" t="inlineStr"/>
      <c r="O265" s="13" t="inlineStr"/>
      <c r="P265" s="12" t="inlineStr"/>
      <c r="Q265" s="12" t="inlineStr"/>
      <c r="R265" s="11" t="inlineStr">
        <is>
          <t>2026-10-15</t>
        </is>
      </c>
      <c r="S265" s="11" t="inlineStr"/>
    </row>
    <row r="266">
      <c r="A266" s="11" t="inlineStr">
        <is>
          <t>P-0171</t>
        </is>
      </c>
      <c r="B266" s="11" t="inlineStr">
        <is>
          <t>proposal</t>
        </is>
      </c>
      <c r="C266" s="11" t="n">
        <v>4</v>
      </c>
      <c r="D266" s="2" t="inlineStr">
        <is>
          <t>M/s MBL Infrastructure Ltd. v. Manik Chand Somani, CRR 3456/2018</t>
        </is>
      </c>
      <c r="E266" s="2" t="inlineStr">
        <is>
          <t>P. MOHANRAJ &amp; ORS. versus M/S. SHAH BROTHERS ISPAT PVT. LTD. (2021, 3 judges)</t>
        </is>
      </c>
      <c r="F266" s="2" t="inlineStr">
        <is>
          <t>tag: disapproved</t>
        </is>
      </c>
      <c r="G266" s="2" t="inlineStr">
        <is>
          <t>add_row (give overruled_year; overruled_cites is prefilled where the report printed them), reject, or keep.</t>
        </is>
      </c>
      <c r="H266" s="12" t="inlineStr"/>
      <c r="I266" s="12" t="inlineStr"/>
      <c r="J266" s="13" t="inlineStr"/>
      <c r="K266" s="12" t="inlineStr"/>
      <c r="L266" s="12" t="inlineStr"/>
      <c r="M266" s="12" t="inlineStr"/>
      <c r="N266" s="12" t="inlineStr"/>
      <c r="O266" s="13" t="inlineStr"/>
      <c r="P266" s="12" t="inlineStr"/>
      <c r="Q266" s="12" t="inlineStr"/>
      <c r="R266" s="11" t="inlineStr">
        <is>
          <t>2026-10-15</t>
        </is>
      </c>
      <c r="S266" s="11" t="inlineStr"/>
    </row>
    <row r="267">
      <c r="A267" s="11" t="inlineStr">
        <is>
          <t>P-0172</t>
        </is>
      </c>
      <c r="B267" s="11" t="inlineStr">
        <is>
          <t>proposal</t>
        </is>
      </c>
      <c r="C267" s="11" t="n">
        <v>4</v>
      </c>
      <c r="D267" s="2" t="inlineStr">
        <is>
          <t>CIT v. Samsung Electronics Co. Ltd.</t>
        </is>
      </c>
      <c r="E267" s="2" t="inlineStr">
        <is>
          <t>ENGINEERING ANALYSIS CENTRE OF EXCELLENCE PRIVATE LIMITED versus THE COMMISSIONER OF INCOME TAX &amp; ANR. (2021, 3 judges)</t>
        </is>
      </c>
      <c r="F267" s="2" t="inlineStr">
        <is>
          <t>tag: not correct law</t>
        </is>
      </c>
      <c r="G267" s="2" t="inlineStr">
        <is>
          <t>add_row (give overruled_year; overruled_cites is prefilled where the report printed them), reject, or keep.</t>
        </is>
      </c>
      <c r="H267" s="12" t="inlineStr"/>
      <c r="I267" s="12" t="inlineStr"/>
      <c r="J267" s="13" t="inlineStr"/>
      <c r="K267" s="12" t="inlineStr"/>
      <c r="L267" s="12" t="inlineStr"/>
      <c r="M267" s="12" t="inlineStr"/>
      <c r="N267" s="12" t="inlineStr"/>
      <c r="O267" s="13" t="inlineStr"/>
      <c r="P267" s="12" t="inlineStr"/>
      <c r="Q267" s="12" t="inlineStr"/>
      <c r="R267" s="11" t="inlineStr">
        <is>
          <t>2026-10-15</t>
        </is>
      </c>
      <c r="S267" s="11" t="inlineStr"/>
    </row>
    <row r="268">
      <c r="A268" s="11" t="inlineStr">
        <is>
          <t>P-0173</t>
        </is>
      </c>
      <c r="B268" s="11" t="inlineStr">
        <is>
          <t>proposal</t>
        </is>
      </c>
      <c r="C268" s="11" t="n">
        <v>4</v>
      </c>
      <c r="D268" s="2" t="inlineStr">
        <is>
          <t>(see sentence)</t>
        </is>
      </c>
      <c r="E268" s="2" t="inlineStr">
        <is>
          <t>PRAVIN ELECTRICALS PVT. LTD. versus GALAXY INFRA AND ENGINEERING PVT. LTD. (2021, 3 judges)</t>
        </is>
      </c>
      <c r="F268" s="2" t="inlineStr">
        <is>
          <t>sentence: Ltd. v. Rani Construction (P) Ltd., (2002) 2 SCC 388 is overruled.’ 11.</t>
        </is>
      </c>
      <c r="G268" s="2" t="inlineStr">
        <is>
          <t>add_row (give overruled_year; overruled_cites is prefilled where the report printed them), reject, or keep.</t>
        </is>
      </c>
      <c r="H268" s="12" t="inlineStr"/>
      <c r="I268" s="12" t="inlineStr"/>
      <c r="J268" s="13" t="inlineStr"/>
      <c r="K268" s="12" t="inlineStr"/>
      <c r="L268" s="12" t="inlineStr"/>
      <c r="M268" s="12" t="inlineStr"/>
      <c r="N268" s="12" t="inlineStr"/>
      <c r="O268" s="13" t="inlineStr"/>
      <c r="P268" s="12" t="inlineStr"/>
      <c r="Q268" s="12" t="inlineStr"/>
      <c r="R268" s="11" t="inlineStr">
        <is>
          <t>2026-10-15</t>
        </is>
      </c>
      <c r="S268" s="11" t="inlineStr"/>
    </row>
    <row r="269">
      <c r="A269" s="11" t="inlineStr">
        <is>
          <t>P-0174</t>
        </is>
      </c>
      <c r="B269" s="11" t="inlineStr">
        <is>
          <t>proposal</t>
        </is>
      </c>
      <c r="C269" s="11" t="n">
        <v>4</v>
      </c>
      <c r="D269" s="2" t="inlineStr">
        <is>
          <t>Commissioner of Sales Tax, U.P. vs. Madan Lal Das &amp; Sons, Bareilly</t>
        </is>
      </c>
      <c r="E269" s="2" t="inlineStr">
        <is>
          <t>KALPRAJ DHARAMSHI &amp; ANR. versus KOTAK INVESTMENT ADVISORS LTD. &amp; ANR. (2021, 3 judges)</t>
        </is>
      </c>
      <c r="F269" s="2" t="inlineStr">
        <is>
          <t>tag: per incuriam</t>
        </is>
      </c>
      <c r="G269" s="2" t="inlineStr">
        <is>
          <t>add_row (give overruled_year; overruled_cites is prefilled where the report printed them), reject, or keep.</t>
        </is>
      </c>
      <c r="H269" s="12" t="inlineStr"/>
      <c r="I269" s="12" t="inlineStr"/>
      <c r="J269" s="13" t="inlineStr"/>
      <c r="K269" s="12" t="inlineStr"/>
      <c r="L269" s="12" t="inlineStr"/>
      <c r="M269" s="12" t="inlineStr"/>
      <c r="N269" s="12" t="inlineStr"/>
      <c r="O269" s="13" t="inlineStr"/>
      <c r="P269" s="12" t="inlineStr"/>
      <c r="Q269" s="12" t="inlineStr"/>
      <c r="R269" s="11" t="inlineStr">
        <is>
          <t>2026-10-15</t>
        </is>
      </c>
      <c r="S269" s="11" t="inlineStr"/>
    </row>
    <row r="270">
      <c r="A270" s="11" t="inlineStr">
        <is>
          <t>P-0176</t>
        </is>
      </c>
      <c r="B270" s="11" t="inlineStr">
        <is>
          <t>proposal</t>
        </is>
      </c>
      <c r="C270" s="11" t="n">
        <v>4</v>
      </c>
      <c r="D270" s="2" t="inlineStr">
        <is>
          <t>(see sentence)</t>
        </is>
      </c>
      <c r="E270" s="2" t="inlineStr">
        <is>
          <t>KIRAN DEVI versus THE BIHAR STATE SUNNI WAKF BOARD &amp; ORS. (2021, 3 judges)</t>
        </is>
      </c>
      <c r="F270" s="2" t="inlineStr">
        <is>
          <t>sentence: Contrary view in Surya Dev Rai [Surya Dev Rai v. Ram Chander Rai, (2003) 6 SCC 675] is overruled.” 20.</t>
        </is>
      </c>
      <c r="G270" s="2" t="inlineStr">
        <is>
          <t>add_row (give overruled_year; overruled_cites is prefilled where the report printed them), reject, or keep.</t>
        </is>
      </c>
      <c r="H270" s="12" t="inlineStr"/>
      <c r="I270" s="12" t="inlineStr"/>
      <c r="J270" s="13" t="inlineStr"/>
      <c r="K270" s="12" t="inlineStr"/>
      <c r="L270" s="12" t="inlineStr"/>
      <c r="M270" s="12" t="inlineStr"/>
      <c r="N270" s="12" t="inlineStr"/>
      <c r="O270" s="13" t="inlineStr"/>
      <c r="P270" s="12" t="inlineStr"/>
      <c r="Q270" s="12" t="inlineStr"/>
      <c r="R270" s="11" t="inlineStr">
        <is>
          <t>2026-10-15</t>
        </is>
      </c>
      <c r="S270" s="11" t="inlineStr"/>
    </row>
    <row r="271">
      <c r="A271" s="11" t="inlineStr">
        <is>
          <t>P-0177</t>
        </is>
      </c>
      <c r="B271" s="11" t="inlineStr">
        <is>
          <t>proposal</t>
        </is>
      </c>
      <c r="C271" s="11" t="n">
        <v>4</v>
      </c>
      <c r="D271" s="2" t="inlineStr">
        <is>
          <t>V. Padmakumar v. Stressed Assets Stabilisation Fund, Company Appeal (AT) (Insolvency) No. 57 of</t>
        </is>
      </c>
      <c r="E271" s="2" t="inlineStr">
        <is>
          <t>ASSET RECONSTRUCTION COMPANY (INDIA) LIMITED versus BISHAL JAISWAL &amp; ANR. (2021, 3 judges)</t>
        </is>
      </c>
      <c r="F271" s="2" t="inlineStr">
        <is>
          <t>tag: overruled</t>
        </is>
      </c>
      <c r="G271" s="2" t="inlineStr">
        <is>
          <t>add_row (give overruled_year; overruled_cites is prefilled where the report printed them), reject, or keep.</t>
        </is>
      </c>
      <c r="H271" s="12" t="inlineStr"/>
      <c r="I271" s="12" t="inlineStr"/>
      <c r="J271" s="13" t="inlineStr"/>
      <c r="K271" s="12" t="inlineStr"/>
      <c r="L271" s="12" t="inlineStr"/>
      <c r="M271" s="12" t="inlineStr"/>
      <c r="N271" s="12" t="inlineStr"/>
      <c r="O271" s="13" t="inlineStr"/>
      <c r="P271" s="12" t="inlineStr"/>
      <c r="Q271" s="12" t="inlineStr"/>
      <c r="R271" s="11" t="inlineStr">
        <is>
          <t>2026-10-15</t>
        </is>
      </c>
      <c r="S271" s="11" t="inlineStr"/>
    </row>
    <row r="272">
      <c r="A272" s="11" t="inlineStr">
        <is>
          <t>P-0178</t>
        </is>
      </c>
      <c r="B272" s="11" t="inlineStr">
        <is>
          <t>proposal</t>
        </is>
      </c>
      <c r="C272" s="11" t="n">
        <v>4</v>
      </c>
      <c r="D272" s="2" t="inlineStr">
        <is>
          <t>Meters and Instruments Private Limited and Another v. Kanchan Mehta</t>
        </is>
      </c>
      <c r="E272" s="2" t="inlineStr">
        <is>
          <t>IN RE: EXPEDITIOUS TRIAL OF CASES UNDER SECTION 138 OF N.I. ACT 1881 versus . (2021, 5 judges)</t>
        </is>
      </c>
      <c r="F272" s="2" t="inlineStr">
        <is>
          <t>tag: held not correct law</t>
        </is>
      </c>
      <c r="G272" s="2" t="inlineStr">
        <is>
          <t>add_row (give overruled_year; overruled_cites is prefilled where the report printed them), reject, or keep.</t>
        </is>
      </c>
      <c r="H272" s="12" t="inlineStr"/>
      <c r="I272" s="12" t="inlineStr"/>
      <c r="J272" s="13" t="inlineStr"/>
      <c r="K272" s="12" t="inlineStr"/>
      <c r="L272" s="12" t="inlineStr"/>
      <c r="M272" s="12" t="inlineStr"/>
      <c r="N272" s="12" t="inlineStr"/>
      <c r="O272" s="13" t="inlineStr"/>
      <c r="P272" s="12" t="inlineStr"/>
      <c r="Q272" s="12" t="inlineStr"/>
      <c r="R272" s="11" t="inlineStr">
        <is>
          <t>2026-10-15</t>
        </is>
      </c>
      <c r="S272" s="11" t="inlineStr"/>
    </row>
    <row r="273">
      <c r="A273" s="11" t="inlineStr">
        <is>
          <t>P-0179</t>
        </is>
      </c>
      <c r="B273" s="11" t="inlineStr">
        <is>
          <t>proposal</t>
        </is>
      </c>
      <c r="C273" s="11" t="n">
        <v>4</v>
      </c>
      <c r="D273" s="2" t="inlineStr">
        <is>
          <t>TDM Infrastructure (P) Ltd. v. UE Development India (P) Ltd.</t>
        </is>
      </c>
      <c r="E273" s="2" t="inlineStr">
        <is>
          <t>PASL WIND SOLUTIONS PRIVATE LIMITED versus GE POWER CONVERSION INDIA PRIVATE LIMITED (2021, 3 judges)</t>
        </is>
      </c>
      <c r="F273" s="2" t="inlineStr">
        <is>
          <t>tag: overruled</t>
        </is>
      </c>
      <c r="G273" s="2" t="inlineStr">
        <is>
          <t>add_row (give overruled_year; overruled_cites is prefilled where the report printed them), reject, or keep.</t>
        </is>
      </c>
      <c r="H273" s="12" t="inlineStr"/>
      <c r="I273" s="12" t="inlineStr"/>
      <c r="J273" s="13" t="inlineStr"/>
      <c r="K273" s="12" t="inlineStr"/>
      <c r="L273" s="12" t="inlineStr"/>
      <c r="M273" s="12" t="inlineStr"/>
      <c r="N273" s="12" t="inlineStr"/>
      <c r="O273" s="13" t="inlineStr"/>
      <c r="P273" s="12" t="inlineStr"/>
      <c r="Q273" s="12" t="inlineStr"/>
      <c r="R273" s="11" t="inlineStr">
        <is>
          <t>2026-10-15</t>
        </is>
      </c>
      <c r="S273" s="11" t="inlineStr"/>
    </row>
    <row r="274">
      <c r="A274" s="11" t="inlineStr">
        <is>
          <t>P-0180</t>
        </is>
      </c>
      <c r="B274" s="11" t="inlineStr">
        <is>
          <t>proposal</t>
        </is>
      </c>
      <c r="C274" s="11" t="n">
        <v>4</v>
      </c>
      <c r="D274" s="2" t="inlineStr">
        <is>
          <t>Seven Islands Shipping Ltd. v. Sah Petroleums Ltd.</t>
        </is>
      </c>
      <c r="E274" s="2" t="inlineStr">
        <is>
          <t>PASL WIND SOLUTIONS PRIVATE LIMITED versus GE POWER CONVERSION INDIA PRIVATE LIMITED (2021, 3 judges)</t>
        </is>
      </c>
      <c r="F274" s="2" t="inlineStr">
        <is>
          <t>tag: disapproved</t>
        </is>
      </c>
      <c r="G274" s="2" t="inlineStr">
        <is>
          <t>add_row (give overruled_year; overruled_cites is prefilled where the report printed them), reject, or keep.</t>
        </is>
      </c>
      <c r="H274" s="12" t="inlineStr"/>
      <c r="I274" s="12" t="inlineStr"/>
      <c r="J274" s="13" t="inlineStr"/>
      <c r="K274" s="12" t="inlineStr"/>
      <c r="L274" s="12" t="inlineStr"/>
      <c r="M274" s="12" t="inlineStr"/>
      <c r="N274" s="12" t="inlineStr"/>
      <c r="O274" s="13" t="inlineStr"/>
      <c r="P274" s="12" t="inlineStr"/>
      <c r="Q274" s="12" t="inlineStr"/>
      <c r="R274" s="11" t="inlineStr">
        <is>
          <t>2026-10-15</t>
        </is>
      </c>
      <c r="S274" s="11" t="inlineStr"/>
    </row>
    <row r="275">
      <c r="A275" s="11" t="inlineStr">
        <is>
          <t>P-0181</t>
        </is>
      </c>
      <c r="B275" s="11" t="inlineStr">
        <is>
          <t>proposal</t>
        </is>
      </c>
      <c r="C275" s="11" t="n">
        <v>4</v>
      </c>
      <c r="D275" s="2" t="inlineStr">
        <is>
          <t>M/s. Addhar Mercantile Pvt. Ltd. v. Shree Jagadamba Agrico Exports Pvt. Ltd. Arbitration Application No. 197 of</t>
        </is>
      </c>
      <c r="E275" s="2" t="inlineStr">
        <is>
          <t>PASL WIND SOLUTIONS PRIVATE LIMITED versus GE POWER CONVERSION INDIA PRIVATE LIMITED (2021, 3 judges)</t>
        </is>
      </c>
      <c r="F275" s="2" t="inlineStr">
        <is>
          <t>tag: disapproved</t>
        </is>
      </c>
      <c r="G275" s="2" t="inlineStr">
        <is>
          <t>add_row (give overruled_year; overruled_cites is prefilled where the report printed them), reject, or keep.</t>
        </is>
      </c>
      <c r="H275" s="12" t="inlineStr"/>
      <c r="I275" s="12" t="inlineStr"/>
      <c r="J275" s="13" t="inlineStr"/>
      <c r="K275" s="12" t="inlineStr"/>
      <c r="L275" s="12" t="inlineStr"/>
      <c r="M275" s="12" t="inlineStr"/>
      <c r="N275" s="12" t="inlineStr"/>
      <c r="O275" s="13" t="inlineStr"/>
      <c r="P275" s="12" t="inlineStr"/>
      <c r="Q275" s="12" t="inlineStr"/>
      <c r="R275" s="11" t="inlineStr">
        <is>
          <t>2026-10-15</t>
        </is>
      </c>
      <c r="S275" s="11" t="inlineStr"/>
    </row>
    <row r="276">
      <c r="A276" s="11" t="inlineStr">
        <is>
          <t>P-0182</t>
        </is>
      </c>
      <c r="B276" s="11" t="inlineStr">
        <is>
          <t>proposal</t>
        </is>
      </c>
      <c r="C276" s="11" t="n">
        <v>4</v>
      </c>
      <c r="D276" s="2" t="inlineStr">
        <is>
          <t>HUDA v. Raje Ram</t>
        </is>
      </c>
      <c r="E276" s="2" t="inlineStr">
        <is>
          <t>M/S LAUREATE BUILDWELL PVT. LTD. versus CHARANJEET SINGH (2021, 3 judges)</t>
        </is>
      </c>
      <c r="F276" s="2" t="inlineStr">
        <is>
          <t>tag: held not good law</t>
        </is>
      </c>
      <c r="G276" s="2" t="inlineStr">
        <is>
          <t>add_row (give overruled_year; overruled_cites is prefilled where the report printed them), reject, or keep.</t>
        </is>
      </c>
      <c r="H276" s="12" t="inlineStr"/>
      <c r="I276" s="12" t="inlineStr"/>
      <c r="J276" s="13" t="inlineStr"/>
      <c r="K276" s="12" t="inlineStr"/>
      <c r="L276" s="12" t="inlineStr"/>
      <c r="M276" s="12" t="inlineStr"/>
      <c r="N276" s="12" t="inlineStr"/>
      <c r="O276" s="13" t="inlineStr"/>
      <c r="P276" s="12" t="inlineStr"/>
      <c r="Q276" s="12" t="inlineStr"/>
      <c r="R276" s="11" t="inlineStr">
        <is>
          <t>2026-10-15</t>
        </is>
      </c>
      <c r="S276" s="11" t="inlineStr"/>
    </row>
    <row r="277">
      <c r="A277" s="11" t="inlineStr">
        <is>
          <t>P-0183</t>
        </is>
      </c>
      <c r="B277" s="11" t="inlineStr">
        <is>
          <t>proposal</t>
        </is>
      </c>
      <c r="C277" s="11" t="n">
        <v>4</v>
      </c>
      <c r="D277" s="2" t="inlineStr">
        <is>
          <t>Wing Commander Arifur Rahman Khan and Anr. v. DLF Southern Homes Pvt. Ltd., 2020</t>
        </is>
      </c>
      <c r="E277" s="2" t="inlineStr">
        <is>
          <t>M/S LAUREATE BUILDWELL PVT. LTD. versus CHARANJEET SINGH (2021, 3 judges)</t>
        </is>
      </c>
      <c r="F277" s="2" t="inlineStr">
        <is>
          <t>tag: held not good law</t>
        </is>
      </c>
      <c r="G277" s="2" t="inlineStr">
        <is>
          <t>add_row (give overruled_year; overruled_cites is prefilled where the report printed them), reject, or keep.</t>
        </is>
      </c>
      <c r="H277" s="12" t="inlineStr"/>
      <c r="I277" s="12" t="inlineStr"/>
      <c r="J277" s="13" t="inlineStr"/>
      <c r="K277" s="12" t="inlineStr"/>
      <c r="L277" s="12" t="inlineStr"/>
      <c r="M277" s="12" t="inlineStr"/>
      <c r="N277" s="12" t="inlineStr"/>
      <c r="O277" s="13" t="inlineStr"/>
      <c r="P277" s="12" t="inlineStr"/>
      <c r="Q277" s="12" t="inlineStr"/>
      <c r="R277" s="11" t="inlineStr">
        <is>
          <t>2026-10-15</t>
        </is>
      </c>
      <c r="S277" s="11" t="inlineStr"/>
    </row>
    <row r="278">
      <c r="A278" s="11" t="inlineStr">
        <is>
          <t>P-0184</t>
        </is>
      </c>
      <c r="B278" s="11" t="inlineStr">
        <is>
          <t>proposal</t>
        </is>
      </c>
      <c r="C278" s="11" t="n">
        <v>4</v>
      </c>
      <c r="D278" s="2" t="inlineStr">
        <is>
          <t>(see sentence)</t>
        </is>
      </c>
      <c r="E278" s="2" t="inlineStr">
        <is>
          <t>ADANI GAS LIMITED versus UNION OF INDIA &amp; ORS. (2021, 3 judges)</t>
        </is>
      </c>
      <c r="F278" s="2" t="inlineStr">
        <is>
          <t>sentence: To sum up, the points of consideration raised are answered as follows: a. On the scope of the “deemed authorisation” clause under the proviso to Section 16 of the PNGRB Act, the decision in Adani Gas (supra) is held to have laid down the la</t>
        </is>
      </c>
      <c r="G278" s="2" t="inlineStr">
        <is>
          <t>add_row (give overruled_year; overruled_cites is prefilled where the report printed them), reject, or keep.</t>
        </is>
      </c>
      <c r="H278" s="12" t="inlineStr"/>
      <c r="I278" s="12" t="inlineStr"/>
      <c r="J278" s="13" t="inlineStr"/>
      <c r="K278" s="12" t="inlineStr"/>
      <c r="L278" s="12" t="inlineStr"/>
      <c r="M278" s="12" t="inlineStr"/>
      <c r="N278" s="12" t="inlineStr"/>
      <c r="O278" s="13" t="inlineStr"/>
      <c r="P278" s="12" t="inlineStr"/>
      <c r="Q278" s="12" t="inlineStr"/>
      <c r="R278" s="11" t="inlineStr">
        <is>
          <t>2026-10-15</t>
        </is>
      </c>
      <c r="S278" s="11" t="inlineStr"/>
    </row>
    <row r="279">
      <c r="A279" s="11" t="inlineStr">
        <is>
          <t>P-0185</t>
        </is>
      </c>
      <c r="B279" s="11" t="inlineStr">
        <is>
          <t>proposal</t>
        </is>
      </c>
      <c r="C279" s="11" t="n">
        <v>4</v>
      </c>
      <c r="D279" s="2" t="inlineStr">
        <is>
          <t>JALKAL VIBHAG NAGAR NIGAM v. PRADESHIYA INDUSTRIAL AND INVESTMENT CORP. SUPREME COURT REPORTS</t>
        </is>
      </c>
      <c r="E279" s="2" t="inlineStr">
        <is>
          <t>JALKAL VIBHAG NAGAR NIGAM &amp; ORS. versus PRADESHIYA INDUSTRIAL AND INVESTMENT CORPORATION &amp; ANR. (2021, 3 judges)</t>
        </is>
      </c>
      <c r="F279" s="2" t="inlineStr">
        <is>
          <t>tag: overruled</t>
        </is>
      </c>
      <c r="G279" s="2" t="inlineStr">
        <is>
          <t>add_row (give overruled_year; overruled_cites is prefilled where the report printed them), reject, or keep.</t>
        </is>
      </c>
      <c r="H279" s="12" t="inlineStr"/>
      <c r="I279" s="12" t="inlineStr"/>
      <c r="J279" s="13" t="inlineStr"/>
      <c r="K279" s="12" t="inlineStr"/>
      <c r="L279" s="12" t="inlineStr"/>
      <c r="M279" s="12" t="inlineStr"/>
      <c r="N279" s="12" t="inlineStr"/>
      <c r="O279" s="13" t="inlineStr"/>
      <c r="P279" s="12" t="inlineStr"/>
      <c r="Q279" s="12" t="inlineStr"/>
      <c r="R279" s="11" t="inlineStr">
        <is>
          <t>2026-10-15</t>
        </is>
      </c>
      <c r="S279" s="11" t="inlineStr"/>
    </row>
    <row r="280">
      <c r="A280" s="11" t="inlineStr">
        <is>
          <t>P-0186</t>
        </is>
      </c>
      <c r="B280" s="11" t="inlineStr">
        <is>
          <t>proposal</t>
        </is>
      </c>
      <c r="C280" s="11" t="n">
        <v>4</v>
      </c>
      <c r="D280" s="2" t="inlineStr">
        <is>
          <t>General Manager, Telecom v. M Krishnan and Another</t>
        </is>
      </c>
      <c r="E280" s="2" t="inlineStr">
        <is>
          <t>VODAFONE IDEA CELLULAR LTD. versus AJAY KUMAR AGARWAL (2022, 3 judges)</t>
        </is>
      </c>
      <c r="F280" s="2" t="inlineStr">
        <is>
          <t>tag: not correct law</t>
        </is>
      </c>
      <c r="G280" s="2" t="inlineStr">
        <is>
          <t>add_row (give overruled_year; overruled_cites is prefilled where the report printed them), reject, or keep.</t>
        </is>
      </c>
      <c r="H280" s="12" t="inlineStr"/>
      <c r="I280" s="12" t="inlineStr"/>
      <c r="J280" s="13" t="inlineStr"/>
      <c r="K280" s="12" t="inlineStr"/>
      <c r="L280" s="12" t="inlineStr"/>
      <c r="M280" s="12" t="inlineStr"/>
      <c r="N280" s="12" t="inlineStr"/>
      <c r="O280" s="13" t="inlineStr"/>
      <c r="P280" s="12" t="inlineStr"/>
      <c r="Q280" s="12" t="inlineStr"/>
      <c r="R280" s="11" t="inlineStr">
        <is>
          <t>2026-10-15</t>
        </is>
      </c>
      <c r="S280" s="11" t="inlineStr"/>
    </row>
    <row r="281">
      <c r="A281" s="11" t="inlineStr">
        <is>
          <t>P-0187</t>
        </is>
      </c>
      <c r="B281" s="11" t="inlineStr">
        <is>
          <t>proposal</t>
        </is>
      </c>
      <c r="C281" s="11" t="n">
        <v>4</v>
      </c>
      <c r="D281" s="2" t="inlineStr">
        <is>
          <t>Tamil Nadu Terminated Full Time Temporary LIC Employees Association v. Life Insurance Corporation of India</t>
        </is>
      </c>
      <c r="E281" s="2" t="inlineStr">
        <is>
          <t>RANBIR SINGH versus SK ROY, CHAIRMAN, LIFE INSURANCE CORP. OF INDIA &amp; ANR. (2022, 3 judges)</t>
        </is>
      </c>
      <c r="F281" s="2" t="inlineStr">
        <is>
          <t>tag: held per incuriam</t>
        </is>
      </c>
      <c r="G281" s="2" t="inlineStr">
        <is>
          <t>add_row (give overruled_year; overruled_cites is prefilled where the report printed them), reject, or keep.</t>
        </is>
      </c>
      <c r="H281" s="12" t="inlineStr"/>
      <c r="I281" s="12" t="inlineStr"/>
      <c r="J281" s="13" t="inlineStr"/>
      <c r="K281" s="12" t="inlineStr"/>
      <c r="L281" s="12" t="inlineStr"/>
      <c r="M281" s="12" t="inlineStr"/>
      <c r="N281" s="12" t="inlineStr"/>
      <c r="O281" s="13" t="inlineStr"/>
      <c r="P281" s="12" t="inlineStr"/>
      <c r="Q281" s="12" t="inlineStr"/>
      <c r="R281" s="11" t="inlineStr">
        <is>
          <t>2026-10-15</t>
        </is>
      </c>
      <c r="S281" s="11" t="inlineStr"/>
    </row>
    <row r="282">
      <c r="A282" s="11" t="inlineStr">
        <is>
          <t>P-0188</t>
        </is>
      </c>
      <c r="B282" s="11" t="inlineStr">
        <is>
          <t>proposal</t>
        </is>
      </c>
      <c r="C282" s="11" t="n">
        <v>4</v>
      </c>
      <c r="D282" s="2" t="inlineStr">
        <is>
          <t>(see sentence)</t>
        </is>
      </c>
      <c r="E282" s="2" t="inlineStr">
        <is>
          <t>OIL AND NATURAL GAS CORPORATION LTD. versus M/S DISCOVERY ENTERPRISES PVT. LTD. &amp; ANR. (2022, 3 judges)</t>
        </is>
      </c>
      <c r="F282" s="2" t="inlineStr">
        <is>
          <t>sentence: These decisions are: a. Chloro Controls India Pvt. Ltd. v. Severn Trent Water Purification Inc. &amp; Ors;14 b. Cheran Properties Ltd. v. Kasturi &amp; Sons Ltd. &amp; Ors;15 and c. MTNL v. Canara Bank &amp; Ors.16. and (ix) The decision in Indowind (supra</t>
        </is>
      </c>
      <c r="G282" s="2" t="inlineStr">
        <is>
          <t>add_row (give overruled_year; overruled_cites is prefilled where the report printed them), reject, or keep.</t>
        </is>
      </c>
      <c r="H282" s="12" t="inlineStr"/>
      <c r="I282" s="12" t="inlineStr"/>
      <c r="J282" s="13" t="inlineStr"/>
      <c r="K282" s="12" t="inlineStr"/>
      <c r="L282" s="12" t="inlineStr"/>
      <c r="M282" s="12" t="inlineStr"/>
      <c r="N282" s="12" t="inlineStr"/>
      <c r="O282" s="13" t="inlineStr"/>
      <c r="P282" s="12" t="inlineStr"/>
      <c r="Q282" s="12" t="inlineStr"/>
      <c r="R282" s="11" t="inlineStr">
        <is>
          <t>2026-10-15</t>
        </is>
      </c>
      <c r="S282" s="11" t="inlineStr"/>
    </row>
    <row r="283">
      <c r="A283" s="11" t="inlineStr">
        <is>
          <t>P-0189</t>
        </is>
      </c>
      <c r="B283" s="11" t="inlineStr">
        <is>
          <t>proposal</t>
        </is>
      </c>
      <c r="C283" s="11" t="n">
        <v>4</v>
      </c>
      <c r="D283" s="2" t="inlineStr">
        <is>
          <t>Gananath Pattnaik v. State of Orissa</t>
        </is>
      </c>
      <c r="E283" s="2" t="inlineStr">
        <is>
          <t>SURENDRAN versus STATE OF KERELA (2022, 3 judges)</t>
        </is>
      </c>
      <c r="F283" s="2" t="inlineStr">
        <is>
          <t>tag: partly overruled</t>
        </is>
      </c>
      <c r="G283" s="2" t="inlineStr">
        <is>
          <t>add_row (give overruled_year; overruled_cites is prefilled where the report printed them), reject, or keep.</t>
        </is>
      </c>
      <c r="H283" s="12" t="inlineStr"/>
      <c r="I283" s="12" t="inlineStr"/>
      <c r="J283" s="13" t="inlineStr"/>
      <c r="K283" s="12" t="inlineStr"/>
      <c r="L283" s="12" t="inlineStr"/>
      <c r="M283" s="12" t="inlineStr"/>
      <c r="N283" s="12" t="inlineStr"/>
      <c r="O283" s="13" t="inlineStr"/>
      <c r="P283" s="12" t="inlineStr"/>
      <c r="Q283" s="12" t="inlineStr"/>
      <c r="R283" s="11" t="inlineStr">
        <is>
          <t>2026-10-15</t>
        </is>
      </c>
      <c r="S283" s="11" t="inlineStr"/>
    </row>
    <row r="284">
      <c r="A284" s="11" t="inlineStr">
        <is>
          <t>P-0190</t>
        </is>
      </c>
      <c r="B284" s="11" t="inlineStr">
        <is>
          <t>proposal</t>
        </is>
      </c>
      <c r="C284" s="11" t="n">
        <v>4</v>
      </c>
      <c r="D284" s="2" t="inlineStr">
        <is>
          <t>Inderpal v. State of MP</t>
        </is>
      </c>
      <c r="E284" s="2" t="inlineStr">
        <is>
          <t>SURENDRAN versus STATE OF KERELA (2022, 3 judges)</t>
        </is>
      </c>
      <c r="F284" s="2" t="inlineStr">
        <is>
          <t>tag: partly overruled</t>
        </is>
      </c>
      <c r="G284" s="2" t="inlineStr">
        <is>
          <t>add_row (give overruled_year; overruled_cites is prefilled where the report printed them), reject, or keep.</t>
        </is>
      </c>
      <c r="H284" s="12" t="inlineStr"/>
      <c r="I284" s="12" t="inlineStr"/>
      <c r="J284" s="13" t="inlineStr"/>
      <c r="K284" s="12" t="inlineStr"/>
      <c r="L284" s="12" t="inlineStr"/>
      <c r="M284" s="12" t="inlineStr"/>
      <c r="N284" s="12" t="inlineStr"/>
      <c r="O284" s="13" t="inlineStr"/>
      <c r="P284" s="12" t="inlineStr"/>
      <c r="Q284" s="12" t="inlineStr"/>
      <c r="R284" s="11" t="inlineStr">
        <is>
          <t>2026-10-15</t>
        </is>
      </c>
      <c r="S284" s="11" t="inlineStr"/>
    </row>
    <row r="285">
      <c r="A285" s="11" t="inlineStr">
        <is>
          <t>P-0191</t>
        </is>
      </c>
      <c r="B285" s="11" t="inlineStr">
        <is>
          <t>proposal</t>
        </is>
      </c>
      <c r="C285" s="11" t="n">
        <v>4</v>
      </c>
      <c r="D285" s="2" t="inlineStr">
        <is>
          <t>Bhairon Singh v. State of Madhya Pradesh</t>
        </is>
      </c>
      <c r="E285" s="2" t="inlineStr">
        <is>
          <t>SURENDRAN versus STATE OF KERELA (2022, 3 judges)</t>
        </is>
      </c>
      <c r="F285" s="2" t="inlineStr">
        <is>
          <t>tag: partly overruled</t>
        </is>
      </c>
      <c r="G285" s="2" t="inlineStr">
        <is>
          <t>add_row (give overruled_year; overruled_cites is prefilled where the report printed them), reject, or keep.</t>
        </is>
      </c>
      <c r="H285" s="12" t="inlineStr"/>
      <c r="I285" s="12" t="inlineStr"/>
      <c r="J285" s="13" t="inlineStr"/>
      <c r="K285" s="12" t="inlineStr"/>
      <c r="L285" s="12" t="inlineStr"/>
      <c r="M285" s="12" t="inlineStr"/>
      <c r="N285" s="12" t="inlineStr"/>
      <c r="O285" s="13" t="inlineStr"/>
      <c r="P285" s="12" t="inlineStr"/>
      <c r="Q285" s="12" t="inlineStr"/>
      <c r="R285" s="11" t="inlineStr">
        <is>
          <t>2026-10-15</t>
        </is>
      </c>
      <c r="S285" s="11" t="inlineStr"/>
    </row>
    <row r="286">
      <c r="A286" s="11" t="inlineStr">
        <is>
          <t>P-0192</t>
        </is>
      </c>
      <c r="B286" s="11" t="inlineStr">
        <is>
          <t>proposal</t>
        </is>
      </c>
      <c r="C286" s="11" t="n">
        <v>4</v>
      </c>
      <c r="D286" s="2" t="inlineStr">
        <is>
          <t>Kantilal Martaji Pandor v. State of Gujarat</t>
        </is>
      </c>
      <c r="E286" s="2" t="inlineStr">
        <is>
          <t>SURENDRAN versus STATE OF KERELA (2022, 3 judges)</t>
        </is>
      </c>
      <c r="F286" s="2" t="inlineStr">
        <is>
          <t>tag: partly overruled</t>
        </is>
      </c>
      <c r="G286" s="2" t="inlineStr">
        <is>
          <t>add_row (give overruled_year; overruled_cites is prefilled where the report printed them), reject, or keep.</t>
        </is>
      </c>
      <c r="H286" s="12" t="inlineStr"/>
      <c r="I286" s="12" t="inlineStr"/>
      <c r="J286" s="13" t="inlineStr"/>
      <c r="K286" s="12" t="inlineStr"/>
      <c r="L286" s="12" t="inlineStr"/>
      <c r="M286" s="12" t="inlineStr"/>
      <c r="N286" s="12" t="inlineStr"/>
      <c r="O286" s="13" t="inlineStr"/>
      <c r="P286" s="12" t="inlineStr"/>
      <c r="Q286" s="12" t="inlineStr"/>
      <c r="R286" s="11" t="inlineStr">
        <is>
          <t>2026-10-15</t>
        </is>
      </c>
      <c r="S286" s="11" t="inlineStr"/>
    </row>
    <row r="287">
      <c r="A287" s="11" t="inlineStr">
        <is>
          <t>P-0193</t>
        </is>
      </c>
      <c r="B287" s="11" t="inlineStr">
        <is>
          <t>proposal</t>
        </is>
      </c>
      <c r="C287" s="11" t="n">
        <v>4</v>
      </c>
      <c r="D287" s="2" t="inlineStr">
        <is>
          <t>Y. V. Rangaiah v. J. Sreenivasa Rao</t>
        </is>
      </c>
      <c r="E287" s="2" t="inlineStr">
        <is>
          <t>STATE OF HIMACHAL PRADESH &amp; ORS. versus RAJ KUMAR &amp; ORS. (2022, 3 judges)</t>
        </is>
      </c>
      <c r="F287" s="2" t="inlineStr">
        <is>
          <t>tag: overruled</t>
        </is>
      </c>
      <c r="G287" s="2" t="inlineStr">
        <is>
          <t>add_row (give overruled_year; overruled_cites is prefilled where the report printed them), reject, or keep.</t>
        </is>
      </c>
      <c r="H287" s="12" t="inlineStr"/>
      <c r="I287" s="12" t="inlineStr"/>
      <c r="J287" s="13" t="inlineStr"/>
      <c r="K287" s="12" t="inlineStr"/>
      <c r="L287" s="12" t="inlineStr"/>
      <c r="M287" s="12" t="inlineStr"/>
      <c r="N287" s="12" t="inlineStr"/>
      <c r="O287" s="13" t="inlineStr"/>
      <c r="P287" s="12" t="inlineStr"/>
      <c r="Q287" s="12" t="inlineStr"/>
      <c r="R287" s="11" t="inlineStr">
        <is>
          <t>2026-10-15</t>
        </is>
      </c>
      <c r="S287" s="11" t="inlineStr"/>
    </row>
    <row r="288">
      <c r="A288" s="11" t="inlineStr">
        <is>
          <t>P-0194</t>
        </is>
      </c>
      <c r="B288" s="11" t="inlineStr">
        <is>
          <t>proposal</t>
        </is>
      </c>
      <c r="C288" s="11" t="n">
        <v>4</v>
      </c>
      <c r="D288" s="2" t="inlineStr">
        <is>
          <t>(see sentence)</t>
        </is>
      </c>
      <c r="E288" s="2" t="inlineStr">
        <is>
          <t>ALL INDIA HAJ UMRAH TOUR ORGANIZER ASSOCIATION MUMBAI versus UNION OF INDIA &amp; ORS (2022, 3 judges)</t>
        </is>
      </c>
      <c r="F288" s="2" t="inlineStr">
        <is>
          <t>sentence: The ratio in Sun Export case [Sun Export Corpn. v. Collector of Customs, (1997) 6 SCC 564] is not correct and all the decisions which took similar view as in Sun Export case [Sun Export Corpn. v. Collector of Customs, (1997) 6 SCC 564] stan</t>
        </is>
      </c>
      <c r="G288" s="2" t="inlineStr">
        <is>
          <t>add_row (give overruled_year; overruled_cites is prefilled where the report printed them), reject, or keep.</t>
        </is>
      </c>
      <c r="H288" s="12" t="inlineStr"/>
      <c r="I288" s="12" t="inlineStr"/>
      <c r="J288" s="13" t="inlineStr"/>
      <c r="K288" s="12" t="inlineStr"/>
      <c r="L288" s="12" t="inlineStr"/>
      <c r="M288" s="12" t="inlineStr"/>
      <c r="N288" s="12" t="inlineStr"/>
      <c r="O288" s="13" t="inlineStr"/>
      <c r="P288" s="12" t="inlineStr"/>
      <c r="Q288" s="12" t="inlineStr"/>
      <c r="R288" s="11" t="inlineStr">
        <is>
          <t>2026-10-15</t>
        </is>
      </c>
      <c r="S288" s="11" t="inlineStr"/>
    </row>
    <row r="289">
      <c r="A289" s="11" t="inlineStr">
        <is>
          <t>P-0195</t>
        </is>
      </c>
      <c r="B289" s="11" t="inlineStr">
        <is>
          <t>proposal</t>
        </is>
      </c>
      <c r="C289" s="11" t="n">
        <v>4</v>
      </c>
      <c r="D289" s="2" t="inlineStr">
        <is>
          <t>CIT v. Aar Bee Industries Ltd.</t>
        </is>
      </c>
      <c r="E289" s="2" t="inlineStr">
        <is>
          <t>PR. COMMISSIONER OF INCOME TAX – I, CHANDIGARH versus M/S. ABC PAPERS LIMITED (2022, 3 judges)</t>
        </is>
      </c>
      <c r="F289" s="2" t="inlineStr">
        <is>
          <t>tag: overruled</t>
        </is>
      </c>
      <c r="G289" s="2" t="inlineStr">
        <is>
          <t>add_row (give overruled_year; overruled_cites is prefilled where the report printed them), reject, or keep.</t>
        </is>
      </c>
      <c r="H289" s="12" t="inlineStr"/>
      <c r="I289" s="12" t="inlineStr"/>
      <c r="J289" s="13" t="inlineStr"/>
      <c r="K289" s="12" t="inlineStr"/>
      <c r="L289" s="12" t="inlineStr"/>
      <c r="M289" s="12" t="inlineStr"/>
      <c r="N289" s="12" t="inlineStr"/>
      <c r="O289" s="13" t="inlineStr"/>
      <c r="P289" s="12" t="inlineStr"/>
      <c r="Q289" s="12" t="inlineStr"/>
      <c r="R289" s="11" t="inlineStr">
        <is>
          <t>2026-10-15</t>
        </is>
      </c>
      <c r="S289" s="11" t="inlineStr"/>
    </row>
    <row r="290">
      <c r="A290" s="11" t="inlineStr">
        <is>
          <t>P-0196</t>
        </is>
      </c>
      <c r="B290" s="11" t="inlineStr">
        <is>
          <t>proposal</t>
        </is>
      </c>
      <c r="C290" s="11" t="n">
        <v>4</v>
      </c>
      <c r="D290" s="2" t="inlineStr">
        <is>
          <t>(see sentence)</t>
        </is>
      </c>
      <c r="E290" s="2" t="inlineStr">
        <is>
          <t>M/S TRIMURTHI FRAGRANCES (P) LTD. THROUGH ITS DIRECTOR SHRI PRADEEP KUMAR AGRAWAL versus GOVERNMENT OF N.C.T. OF DELHI THROUGH ITS PRINCIPAL SECRETARY (FINANCE) &amp; ORS. (2022, 5 judges)</t>
        </is>
      </c>
      <c r="F290" s="2" t="inlineStr">
        <is>
          <t xml:space="preserve">sentence: The question of numerical strength gains poignancy when one judgment is overruled by another, as has been pointed by Beaumont, C.J. in Ningappa Ramappa Kurbar [Ningappa Ramappa Kurbar v. Emperor, 1941 SCC OnLine Bom 41 : AIR 1941 Bom 408], </t>
        </is>
      </c>
      <c r="G290" s="2" t="inlineStr">
        <is>
          <t>add_row (give overruled_year; overruled_cites is prefilled where the report printed them), reject, or keep.</t>
        </is>
      </c>
      <c r="H290" s="12" t="inlineStr"/>
      <c r="I290" s="12" t="inlineStr"/>
      <c r="J290" s="13" t="inlineStr"/>
      <c r="K290" s="12" t="inlineStr"/>
      <c r="L290" s="12" t="inlineStr"/>
      <c r="M290" s="12" t="inlineStr"/>
      <c r="N290" s="12" t="inlineStr"/>
      <c r="O290" s="13" t="inlineStr"/>
      <c r="P290" s="12" t="inlineStr"/>
      <c r="Q290" s="12" t="inlineStr"/>
      <c r="R290" s="11" t="inlineStr">
        <is>
          <t>2026-10-15</t>
        </is>
      </c>
      <c r="S290" s="11" t="inlineStr"/>
    </row>
    <row r="291">
      <c r="A291" s="11" t="inlineStr">
        <is>
          <t>P-0197</t>
        </is>
      </c>
      <c r="B291" s="11" t="inlineStr">
        <is>
          <t>proposal</t>
        </is>
      </c>
      <c r="C291" s="11" t="n">
        <v>4</v>
      </c>
      <c r="D291" s="2" t="inlineStr">
        <is>
          <t>American Hotel and Lodging Association v. Central Board of Direct Taxes</t>
        </is>
      </c>
      <c r="E291" s="2" t="inlineStr">
        <is>
          <t>M/S NEW NOBLE EDUCATIONAL SOCIETY versus THE CHIEF COMMISSIONER OF INCOME TAX 1 AND ANR. (2022, 3 judges)</t>
        </is>
      </c>
      <c r="F291" s="2" t="inlineStr">
        <is>
          <t>tag: partly overruled</t>
        </is>
      </c>
      <c r="G291" s="2" t="inlineStr">
        <is>
          <t>add_row (give overruled_year; overruled_cites is prefilled where the report printed them), reject, or keep.</t>
        </is>
      </c>
      <c r="H291" s="12" t="inlineStr"/>
      <c r="I291" s="12" t="inlineStr"/>
      <c r="J291" s="13" t="inlineStr"/>
      <c r="K291" s="12" t="inlineStr"/>
      <c r="L291" s="12" t="inlineStr"/>
      <c r="M291" s="12" t="inlineStr"/>
      <c r="N291" s="12" t="inlineStr"/>
      <c r="O291" s="13" t="inlineStr"/>
      <c r="P291" s="12" t="inlineStr"/>
      <c r="Q291" s="12" t="inlineStr"/>
      <c r="R291" s="11" t="inlineStr">
        <is>
          <t>2026-10-15</t>
        </is>
      </c>
      <c r="S291" s="11" t="inlineStr"/>
    </row>
    <row r="292">
      <c r="A292" s="11" t="inlineStr">
        <is>
          <t>P-0198</t>
        </is>
      </c>
      <c r="B292" s="11" t="inlineStr">
        <is>
          <t>proposal</t>
        </is>
      </c>
      <c r="C292" s="11" t="n">
        <v>4</v>
      </c>
      <c r="D292" s="2" t="inlineStr">
        <is>
          <t>Queen’s Education Society v Commissioner of Income Tax</t>
        </is>
      </c>
      <c r="E292" s="2" t="inlineStr">
        <is>
          <t>M/S NEW NOBLE EDUCATIONAL SOCIETY versus THE CHIEF COMMISSIONER OF INCOME TAX 1 AND ANR. (2022, 3 judges)</t>
        </is>
      </c>
      <c r="F292" s="2" t="inlineStr">
        <is>
          <t>tag: partly overruled</t>
        </is>
      </c>
      <c r="G292" s="2" t="inlineStr">
        <is>
          <t>add_row (give overruled_year; overruled_cites is prefilled where the report printed them), reject, or keep.</t>
        </is>
      </c>
      <c r="H292" s="12" t="inlineStr"/>
      <c r="I292" s="12" t="inlineStr"/>
      <c r="J292" s="13" t="inlineStr"/>
      <c r="K292" s="12" t="inlineStr"/>
      <c r="L292" s="12" t="inlineStr"/>
      <c r="M292" s="12" t="inlineStr"/>
      <c r="N292" s="12" t="inlineStr"/>
      <c r="O292" s="13" t="inlineStr"/>
      <c r="P292" s="12" t="inlineStr"/>
      <c r="Q292" s="12" t="inlineStr"/>
      <c r="R292" s="11" t="inlineStr">
        <is>
          <t>2026-10-15</t>
        </is>
      </c>
      <c r="S292" s="11" t="inlineStr"/>
    </row>
    <row r="293">
      <c r="A293" s="11" t="inlineStr">
        <is>
          <t>P-0199</t>
        </is>
      </c>
      <c r="B293" s="11" t="inlineStr">
        <is>
          <t>proposal</t>
        </is>
      </c>
      <c r="C293" s="11" t="n">
        <v>4</v>
      </c>
      <c r="D293" s="2" t="inlineStr">
        <is>
          <t>(see sentence)</t>
        </is>
      </c>
      <c r="E293" s="2" t="inlineStr">
        <is>
          <t>MOHD. ARIF @ ASHFAQ versus STATE (NCT OF DELHI) (2022, 3 judges)</t>
        </is>
      </c>
      <c r="F293" s="2" t="inlineStr">
        <is>
          <t>sentence: Also, the judgment in Shafhi Mohammad v. State of H.P., (2018) 2 SCC 801 and the judgment dated 3-4- 2018 reported as Shafhi Mohd. v. State of H.P., (2018) 5 SCC 311s, do not lay down the law correctly and are therefore overruled. 73.2.</t>
        </is>
      </c>
      <c r="G293" s="2" t="inlineStr">
        <is>
          <t>add_row (give overruled_year; overruled_cites is prefilled where the report printed them), reject, or keep.</t>
        </is>
      </c>
      <c r="H293" s="12" t="inlineStr"/>
      <c r="I293" s="12" t="inlineStr"/>
      <c r="J293" s="13" t="inlineStr"/>
      <c r="K293" s="12" t="inlineStr"/>
      <c r="L293" s="12" t="inlineStr"/>
      <c r="M293" s="12" t="inlineStr"/>
      <c r="N293" s="12" t="inlineStr"/>
      <c r="O293" s="13" t="inlineStr"/>
      <c r="P293" s="12" t="inlineStr"/>
      <c r="Q293" s="12" t="inlineStr"/>
      <c r="R293" s="11" t="inlineStr">
        <is>
          <t>2026-10-15</t>
        </is>
      </c>
      <c r="S293" s="11" t="inlineStr"/>
    </row>
    <row r="294">
      <c r="A294" s="11" t="inlineStr">
        <is>
          <t>P-0200</t>
        </is>
      </c>
      <c r="B294" s="11" t="inlineStr">
        <is>
          <t>proposal</t>
        </is>
      </c>
      <c r="C294" s="11" t="n">
        <v>4</v>
      </c>
      <c r="D294" s="2" t="inlineStr">
        <is>
          <t>United Bank of India, Calcutta v. Abhijit Tea Co. Pvt. Ltd. And Others</t>
        </is>
      </c>
      <c r="E294" s="2" t="inlineStr">
        <is>
          <t>BANK OF RAJASTHAN LTD. versus VCK SHARES &amp; STOCK BROKING SERVICES LTD. (2022, 3 judges)</t>
        </is>
      </c>
      <c r="F294" s="2" t="inlineStr">
        <is>
          <t>tag: held not correct law</t>
        </is>
      </c>
      <c r="G294" s="2" t="inlineStr">
        <is>
          <t>add_row (give overruled_year; overruled_cites is prefilled where the report printed them), reject, or keep.</t>
        </is>
      </c>
      <c r="H294" s="12" t="inlineStr"/>
      <c r="I294" s="12" t="inlineStr"/>
      <c r="J294" s="13" t="inlineStr"/>
      <c r="K294" s="12" t="inlineStr"/>
      <c r="L294" s="12" t="inlineStr"/>
      <c r="M294" s="12" t="inlineStr"/>
      <c r="N294" s="12" t="inlineStr"/>
      <c r="O294" s="13" t="inlineStr"/>
      <c r="P294" s="12" t="inlineStr"/>
      <c r="Q294" s="12" t="inlineStr"/>
      <c r="R294" s="11" t="inlineStr">
        <is>
          <t>2026-10-15</t>
        </is>
      </c>
      <c r="S294" s="11" t="inlineStr"/>
    </row>
    <row r="295">
      <c r="A295" s="11" t="inlineStr">
        <is>
          <t>P-0201</t>
        </is>
      </c>
      <c r="B295" s="11" t="inlineStr">
        <is>
          <t>proposal</t>
        </is>
      </c>
      <c r="C295" s="11" t="n">
        <v>4</v>
      </c>
      <c r="D295" s="2" t="inlineStr">
        <is>
          <t>State Bank of India v. Ranjan Chemicals Ltd. and Another</t>
        </is>
      </c>
      <c r="E295" s="2" t="inlineStr">
        <is>
          <t>BANK OF RAJASTHAN LTD. versus VCK SHARES &amp; STOCK BROKING SERVICES LTD. (2022, 3 judges)</t>
        </is>
      </c>
      <c r="F295" s="2" t="inlineStr">
        <is>
          <t>tag: held not correct law</t>
        </is>
      </c>
      <c r="G295" s="2" t="inlineStr">
        <is>
          <t>add_row (give overruled_year; overruled_cites is prefilled where the report printed them), reject, or keep.</t>
        </is>
      </c>
      <c r="H295" s="12" t="inlineStr"/>
      <c r="I295" s="12" t="inlineStr"/>
      <c r="J295" s="13" t="inlineStr"/>
      <c r="K295" s="12" t="inlineStr"/>
      <c r="L295" s="12" t="inlineStr"/>
      <c r="M295" s="12" t="inlineStr"/>
      <c r="N295" s="12" t="inlineStr"/>
      <c r="O295" s="13" t="inlineStr"/>
      <c r="P295" s="12" t="inlineStr"/>
      <c r="Q295" s="12" t="inlineStr"/>
      <c r="R295" s="11" t="inlineStr">
        <is>
          <t>2026-10-15</t>
        </is>
      </c>
      <c r="S295" s="11" t="inlineStr"/>
    </row>
    <row r="296">
      <c r="A296" s="11" t="inlineStr">
        <is>
          <t>P-0202</t>
        </is>
      </c>
      <c r="B296" s="11" t="inlineStr">
        <is>
          <t>proposal</t>
        </is>
      </c>
      <c r="C296" s="11" t="n">
        <v>4</v>
      </c>
      <c r="D296" s="2" t="inlineStr">
        <is>
          <t>V. Sudeer v. Bar Council of India</t>
        </is>
      </c>
      <c r="E296" s="2" t="inlineStr">
        <is>
          <t>BAR COUNCIL OF INDIA versus BONNIE FOI LAW COLLEGE &amp; ORS. (2023, 5 judges)</t>
        </is>
      </c>
      <c r="F296" s="2" t="inlineStr">
        <is>
          <t>tag: held not correct law</t>
        </is>
      </c>
      <c r="G296" s="2" t="inlineStr">
        <is>
          <t>add_row (give overruled_year; overruled_cites is prefilled where the report printed them), reject, or keep.</t>
        </is>
      </c>
      <c r="H296" s="12" t="inlineStr"/>
      <c r="I296" s="12" t="inlineStr"/>
      <c r="J296" s="13" t="inlineStr"/>
      <c r="K296" s="12" t="inlineStr"/>
      <c r="L296" s="12" t="inlineStr"/>
      <c r="M296" s="12" t="inlineStr"/>
      <c r="N296" s="12" t="inlineStr"/>
      <c r="O296" s="13" t="inlineStr"/>
      <c r="P296" s="12" t="inlineStr"/>
      <c r="Q296" s="12" t="inlineStr"/>
      <c r="R296" s="11" t="inlineStr">
        <is>
          <t>2026-10-15</t>
        </is>
      </c>
      <c r="S296" s="11" t="inlineStr"/>
    </row>
    <row r="297">
      <c r="A297" s="11" t="inlineStr">
        <is>
          <t>P-0203</t>
        </is>
      </c>
      <c r="B297" s="11" t="inlineStr">
        <is>
          <t>proposal</t>
        </is>
      </c>
      <c r="C297" s="11" t="n">
        <v>4</v>
      </c>
      <c r="D297" s="2" t="inlineStr">
        <is>
          <t>(see sentence)</t>
        </is>
      </c>
      <c r="E297" s="2" t="inlineStr">
        <is>
          <t>LAND &amp; BUILDING DEPARTMENT &amp; ANR. versus MANISH SETHI AND ORS. (2023, 3 judges)</t>
        </is>
      </c>
      <c r="F297" s="2" t="inlineStr">
        <is>
          <t>sentence: [Pune Municipal Corpn. v. Harakchand Misirimal Solanki, (2014) 3 SCC 183] is hereby overruled and all other decisions in which Pune Municipal Corpn.</t>
        </is>
      </c>
      <c r="G297" s="2" t="inlineStr">
        <is>
          <t>add_row (give overruled_year; overruled_cites is prefilled where the report printed them), reject, or keep.</t>
        </is>
      </c>
      <c r="H297" s="12" t="inlineStr"/>
      <c r="I297" s="12" t="inlineStr"/>
      <c r="J297" s="13" t="inlineStr"/>
      <c r="K297" s="12" t="inlineStr"/>
      <c r="L297" s="12" t="inlineStr"/>
      <c r="M297" s="12" t="inlineStr"/>
      <c r="N297" s="12" t="inlineStr"/>
      <c r="O297" s="13" t="inlineStr"/>
      <c r="P297" s="12" t="inlineStr"/>
      <c r="Q297" s="12" t="inlineStr"/>
      <c r="R297" s="11" t="inlineStr">
        <is>
          <t>2026-10-15</t>
        </is>
      </c>
      <c r="S297" s="11" t="inlineStr"/>
    </row>
    <row r="298">
      <c r="A298" s="11" t="inlineStr">
        <is>
          <t>P-0204</t>
        </is>
      </c>
      <c r="B298" s="11" t="inlineStr">
        <is>
          <t>proposal</t>
        </is>
      </c>
      <c r="C298" s="11" t="n">
        <v>4</v>
      </c>
      <c r="D298" s="2" t="inlineStr">
        <is>
          <t>(see sentence)</t>
        </is>
      </c>
      <c r="E298" s="2" t="inlineStr">
        <is>
          <t>LAND &amp; BUILDING DEPARTMENT &amp; ANR. versus MANISH SETHI AND ORS. (2023, 3 judges)</t>
        </is>
      </c>
      <c r="F298" s="2" t="inlineStr">
        <is>
          <t>sentence: [Pune Municipal Corpn. v. Harakchand Misirimal Solanki, (2014) 3 SCC 183] has been followed, are also overruled.</t>
        </is>
      </c>
      <c r="G298" s="2" t="inlineStr">
        <is>
          <t>add_row (give overruled_year; overruled_cites is prefilled where the report printed them), reject, or keep.</t>
        </is>
      </c>
      <c r="H298" s="12" t="inlineStr"/>
      <c r="I298" s="12" t="inlineStr"/>
      <c r="J298" s="13" t="inlineStr"/>
      <c r="K298" s="12" t="inlineStr"/>
      <c r="L298" s="12" t="inlineStr"/>
      <c r="M298" s="12" t="inlineStr"/>
      <c r="N298" s="12" t="inlineStr"/>
      <c r="O298" s="13" t="inlineStr"/>
      <c r="P298" s="12" t="inlineStr"/>
      <c r="Q298" s="12" t="inlineStr"/>
      <c r="R298" s="11" t="inlineStr">
        <is>
          <t>2026-10-15</t>
        </is>
      </c>
      <c r="S298" s="11" t="inlineStr"/>
    </row>
    <row r="299">
      <c r="A299" s="11" t="inlineStr">
        <is>
          <t>P-0205</t>
        </is>
      </c>
      <c r="B299" s="11" t="inlineStr">
        <is>
          <t>proposal</t>
        </is>
      </c>
      <c r="C299" s="11" t="n">
        <v>4</v>
      </c>
      <c r="D299" s="2" t="inlineStr">
        <is>
          <t>(see sentence)</t>
        </is>
      </c>
      <c r="E299" s="2" t="inlineStr">
        <is>
          <t>LAND &amp; BUILDING DEPARTMENT &amp; ANR. versus MANISH SETHI AND ORS. (2023, 3 judges)</t>
        </is>
      </c>
      <c r="F299" s="2" t="inlineStr">
        <is>
          <t xml:space="preserve">sentence: The decision in Sree Balaji Nagar LAND &amp; BUILDING DEPARTMENT &amp; ANR. v. MANISH SETHI AND ORS. SUPREME COURT REPORTS [2023] 2 S.C.R. Residential Assn. [Sree Balaji Nagar Residential Assn. v. State of T.N., (2015) 3 SCC 353] cannot be said to </t>
        </is>
      </c>
      <c r="G299" s="2" t="inlineStr">
        <is>
          <t>add_row (give overruled_year; overruled_cites is prefilled where the report printed them), reject, or keep.</t>
        </is>
      </c>
      <c r="H299" s="12" t="inlineStr"/>
      <c r="I299" s="12" t="inlineStr"/>
      <c r="J299" s="13" t="inlineStr"/>
      <c r="K299" s="12" t="inlineStr"/>
      <c r="L299" s="12" t="inlineStr"/>
      <c r="M299" s="12" t="inlineStr"/>
      <c r="N299" s="12" t="inlineStr"/>
      <c r="O299" s="13" t="inlineStr"/>
      <c r="P299" s="12" t="inlineStr"/>
      <c r="Q299" s="12" t="inlineStr"/>
      <c r="R299" s="11" t="inlineStr">
        <is>
          <t>2026-10-15</t>
        </is>
      </c>
      <c r="S299" s="11" t="inlineStr"/>
    </row>
    <row r="300">
      <c r="A300" s="11" t="inlineStr">
        <is>
          <t>P-0206</t>
        </is>
      </c>
      <c r="B300" s="11" t="inlineStr">
        <is>
          <t>proposal</t>
        </is>
      </c>
      <c r="C300" s="11" t="n">
        <v>4</v>
      </c>
      <c r="D300" s="2" t="inlineStr">
        <is>
          <t>(see sentence)</t>
        </is>
      </c>
      <c r="E300" s="2" t="inlineStr">
        <is>
          <t>GOVT. OF NCT DELHI &amp; ORS. versus DHANNU &amp; ANR (2023, 3 judges)</t>
        </is>
      </c>
      <c r="F300" s="2" t="inlineStr">
        <is>
          <t>sentence: [Pune Municipal Corpn. v. Harakchand Misirimal Solanki, (2014) 3 SCC 183] is hereby overruled and all other decisions in which Pune Municipal Corpn.</t>
        </is>
      </c>
      <c r="G300" s="2" t="inlineStr">
        <is>
          <t>add_row (give overruled_year; overruled_cites is prefilled where the report printed them), reject, or keep.</t>
        </is>
      </c>
      <c r="H300" s="12" t="inlineStr"/>
      <c r="I300" s="12" t="inlineStr"/>
      <c r="J300" s="13" t="inlineStr"/>
      <c r="K300" s="12" t="inlineStr"/>
      <c r="L300" s="12" t="inlineStr"/>
      <c r="M300" s="12" t="inlineStr"/>
      <c r="N300" s="12" t="inlineStr"/>
      <c r="O300" s="13" t="inlineStr"/>
      <c r="P300" s="12" t="inlineStr"/>
      <c r="Q300" s="12" t="inlineStr"/>
      <c r="R300" s="11" t="inlineStr">
        <is>
          <t>2026-10-15</t>
        </is>
      </c>
      <c r="S300" s="11" t="inlineStr"/>
    </row>
    <row r="301">
      <c r="A301" s="11" t="inlineStr">
        <is>
          <t>P-0207</t>
        </is>
      </c>
      <c r="B301" s="11" t="inlineStr">
        <is>
          <t>proposal</t>
        </is>
      </c>
      <c r="C301" s="11" t="n">
        <v>4</v>
      </c>
      <c r="D301" s="2" t="inlineStr">
        <is>
          <t>(see sentence)</t>
        </is>
      </c>
      <c r="E301" s="2" t="inlineStr">
        <is>
          <t>GOVT. OF NCT DELHI &amp; ORS. versus DHANNU &amp; ANR (2023, 3 judges)</t>
        </is>
      </c>
      <c r="F301" s="2" t="inlineStr">
        <is>
          <t>sentence: [Pune Municipal Corpn. v. Harakchand Misirimal Solanki, (2014) 3 SCC 183] has been followed, are also overruled.</t>
        </is>
      </c>
      <c r="G301" s="2" t="inlineStr">
        <is>
          <t>add_row (give overruled_year; overruled_cites is prefilled where the report printed them), reject, or keep.</t>
        </is>
      </c>
      <c r="H301" s="12" t="inlineStr"/>
      <c r="I301" s="12" t="inlineStr"/>
      <c r="J301" s="13" t="inlineStr"/>
      <c r="K301" s="12" t="inlineStr"/>
      <c r="L301" s="12" t="inlineStr"/>
      <c r="M301" s="12" t="inlineStr"/>
      <c r="N301" s="12" t="inlineStr"/>
      <c r="O301" s="13" t="inlineStr"/>
      <c r="P301" s="12" t="inlineStr"/>
      <c r="Q301" s="12" t="inlineStr"/>
      <c r="R301" s="11" t="inlineStr">
        <is>
          <t>2026-10-15</t>
        </is>
      </c>
      <c r="S301" s="11" t="inlineStr"/>
    </row>
    <row r="302">
      <c r="A302" s="11" t="inlineStr">
        <is>
          <t>P-0208</t>
        </is>
      </c>
      <c r="B302" s="11" t="inlineStr">
        <is>
          <t>proposal</t>
        </is>
      </c>
      <c r="C302" s="11" t="n">
        <v>4</v>
      </c>
      <c r="D302" s="2" t="inlineStr">
        <is>
          <t>(see sentence)</t>
        </is>
      </c>
      <c r="E302" s="2" t="inlineStr">
        <is>
          <t>GOVT. OF NCT DELHI &amp; ORS. versus DHANNU &amp; ANR (2023, 3 judges)</t>
        </is>
      </c>
      <c r="F302" s="2" t="inlineStr">
        <is>
          <t>sentence: The decision in Sree Balaji Nagar Residential Assn. [Sree Balaji Nagar Residential Assn. v. State of T.N., (2015) 3 SCC 353] cannot be said to be laying down good law, is overruled and other decisions following the same are also overruled.</t>
        </is>
      </c>
      <c r="G302" s="2" t="inlineStr">
        <is>
          <t>add_row (give overruled_year; overruled_cites is prefilled where the report printed them), reject, or keep.</t>
        </is>
      </c>
      <c r="H302" s="12" t="inlineStr"/>
      <c r="I302" s="12" t="inlineStr"/>
      <c r="J302" s="13" t="inlineStr"/>
      <c r="K302" s="12" t="inlineStr"/>
      <c r="L302" s="12" t="inlineStr"/>
      <c r="M302" s="12" t="inlineStr"/>
      <c r="N302" s="12" t="inlineStr"/>
      <c r="O302" s="13" t="inlineStr"/>
      <c r="P302" s="12" t="inlineStr"/>
      <c r="Q302" s="12" t="inlineStr"/>
      <c r="R302" s="11" t="inlineStr">
        <is>
          <t>2026-10-15</t>
        </is>
      </c>
      <c r="S302" s="11" t="inlineStr"/>
    </row>
    <row r="303">
      <c r="A303" s="11" t="inlineStr">
        <is>
          <t>P-0209</t>
        </is>
      </c>
      <c r="B303" s="11" t="inlineStr">
        <is>
          <t>proposal</t>
        </is>
      </c>
      <c r="C303" s="11" t="n">
        <v>4</v>
      </c>
      <c r="D303" s="2" t="inlineStr">
        <is>
          <t>(see sentence)</t>
        </is>
      </c>
      <c r="E303" s="2" t="inlineStr">
        <is>
          <t>DELHI DEVELOPMENT AUTHORITY versus JAGAN SINGH &amp; ORS. (2023, 3 judges)</t>
        </is>
      </c>
      <c r="F303" s="2" t="inlineStr">
        <is>
          <t>sentence: [Pune Municipal Corpn. v. Harakchand Misirimal Solanki, (2014) 3 SCC 183] is hereby overruled and all other decisions in which Pune Municipal Corpn.</t>
        </is>
      </c>
      <c r="G303" s="2" t="inlineStr">
        <is>
          <t>add_row (give overruled_year; overruled_cites is prefilled where the report printed them), reject, or keep.</t>
        </is>
      </c>
      <c r="H303" s="12" t="inlineStr"/>
      <c r="I303" s="12" t="inlineStr"/>
      <c r="J303" s="13" t="inlineStr"/>
      <c r="K303" s="12" t="inlineStr"/>
      <c r="L303" s="12" t="inlineStr"/>
      <c r="M303" s="12" t="inlineStr"/>
      <c r="N303" s="12" t="inlineStr"/>
      <c r="O303" s="13" t="inlineStr"/>
      <c r="P303" s="12" t="inlineStr"/>
      <c r="Q303" s="12" t="inlineStr"/>
      <c r="R303" s="11" t="inlineStr">
        <is>
          <t>2026-10-15</t>
        </is>
      </c>
      <c r="S303" s="11" t="inlineStr"/>
    </row>
    <row r="304">
      <c r="A304" s="11" t="inlineStr">
        <is>
          <t>P-0210</t>
        </is>
      </c>
      <c r="B304" s="11" t="inlineStr">
        <is>
          <t>proposal</t>
        </is>
      </c>
      <c r="C304" s="11" t="n">
        <v>4</v>
      </c>
      <c r="D304" s="2" t="inlineStr">
        <is>
          <t>(see sentence)</t>
        </is>
      </c>
      <c r="E304" s="2" t="inlineStr">
        <is>
          <t>DELHI DEVELOPMENT AUTHORITY versus JAGAN SINGH &amp; ORS. (2023, 3 judges)</t>
        </is>
      </c>
      <c r="F304" s="2" t="inlineStr">
        <is>
          <t>sentence: [Pune Municipal Corpn. v. Harakchand Misirimal Solanki, (2014) 3 SCC 183] has been followed, are also overruled.</t>
        </is>
      </c>
      <c r="G304" s="2" t="inlineStr">
        <is>
          <t>add_row (give overruled_year; overruled_cites is prefilled where the report printed them), reject, or keep.</t>
        </is>
      </c>
      <c r="H304" s="12" t="inlineStr"/>
      <c r="I304" s="12" t="inlineStr"/>
      <c r="J304" s="13" t="inlineStr"/>
      <c r="K304" s="12" t="inlineStr"/>
      <c r="L304" s="12" t="inlineStr"/>
      <c r="M304" s="12" t="inlineStr"/>
      <c r="N304" s="12" t="inlineStr"/>
      <c r="O304" s="13" t="inlineStr"/>
      <c r="P304" s="12" t="inlineStr"/>
      <c r="Q304" s="12" t="inlineStr"/>
      <c r="R304" s="11" t="inlineStr">
        <is>
          <t>2026-10-15</t>
        </is>
      </c>
      <c r="S304" s="11" t="inlineStr"/>
    </row>
    <row r="305">
      <c r="A305" s="11" t="inlineStr">
        <is>
          <t>P-0211</t>
        </is>
      </c>
      <c r="B305" s="11" t="inlineStr">
        <is>
          <t>proposal</t>
        </is>
      </c>
      <c r="C305" s="11" t="n">
        <v>4</v>
      </c>
      <c r="D305" s="2" t="inlineStr">
        <is>
          <t>(see sentence)</t>
        </is>
      </c>
      <c r="E305" s="2" t="inlineStr">
        <is>
          <t>DELHI DEVELOPMENT AUTHORITY versus JAGAN SINGH &amp; ORS. (2023, 3 judges)</t>
        </is>
      </c>
      <c r="F305" s="2" t="inlineStr">
        <is>
          <t>sentence: The decision in Sree Balaji Nagar Residential Assn. [Sree Balaji Nagar Residential Assn. v. State of T.N., (2015) 3 SCC 353] cannot be said to be laying down good law, is overruled and other decisions following the same are also overruled.</t>
        </is>
      </c>
      <c r="G305" s="2" t="inlineStr">
        <is>
          <t>add_row (give overruled_year; overruled_cites is prefilled where the report printed them), reject, or keep.</t>
        </is>
      </c>
      <c r="H305" s="12" t="inlineStr"/>
      <c r="I305" s="12" t="inlineStr"/>
      <c r="J305" s="13" t="inlineStr"/>
      <c r="K305" s="12" t="inlineStr"/>
      <c r="L305" s="12" t="inlineStr"/>
      <c r="M305" s="12" t="inlineStr"/>
      <c r="N305" s="12" t="inlineStr"/>
      <c r="O305" s="13" t="inlineStr"/>
      <c r="P305" s="12" t="inlineStr"/>
      <c r="Q305" s="12" t="inlineStr"/>
      <c r="R305" s="11" t="inlineStr">
        <is>
          <t>2026-10-15</t>
        </is>
      </c>
      <c r="S305" s="11" t="inlineStr"/>
    </row>
    <row r="306">
      <c r="A306" s="11" t="inlineStr">
        <is>
          <t>P-0212</t>
        </is>
      </c>
      <c r="B306" s="11" t="inlineStr">
        <is>
          <t>proposal</t>
        </is>
      </c>
      <c r="C306" s="11" t="n">
        <v>4</v>
      </c>
      <c r="D306" s="2" t="inlineStr">
        <is>
          <t>(see sentence)</t>
        </is>
      </c>
      <c r="E306" s="2" t="inlineStr">
        <is>
          <t>GOVERNMENT OF NCT DELHI &amp; ORS. versus KRISHAN KUMAR &amp; ORS. (2023, 3 judges)</t>
        </is>
      </c>
      <c r="F306" s="2" t="inlineStr">
        <is>
          <t>sentence: [Pune Municipal Corpn. v. Harakchand Misirimal Solanki, (2014) 3 SCC 183] is hereby overruled and all other decisions in which Pune Municipal Corpn.</t>
        </is>
      </c>
      <c r="G306" s="2" t="inlineStr">
        <is>
          <t>add_row (give overruled_year; overruled_cites is prefilled where the report printed them), reject, or keep.</t>
        </is>
      </c>
      <c r="H306" s="12" t="inlineStr"/>
      <c r="I306" s="12" t="inlineStr"/>
      <c r="J306" s="13" t="inlineStr"/>
      <c r="K306" s="12" t="inlineStr"/>
      <c r="L306" s="12" t="inlineStr"/>
      <c r="M306" s="12" t="inlineStr"/>
      <c r="N306" s="12" t="inlineStr"/>
      <c r="O306" s="13" t="inlineStr"/>
      <c r="P306" s="12" t="inlineStr"/>
      <c r="Q306" s="12" t="inlineStr"/>
      <c r="R306" s="11" t="inlineStr">
        <is>
          <t>2026-10-15</t>
        </is>
      </c>
      <c r="S306" s="11" t="inlineStr"/>
    </row>
    <row r="307">
      <c r="A307" s="11" t="inlineStr">
        <is>
          <t>P-0213</t>
        </is>
      </c>
      <c r="B307" s="11" t="inlineStr">
        <is>
          <t>proposal</t>
        </is>
      </c>
      <c r="C307" s="11" t="n">
        <v>4</v>
      </c>
      <c r="D307" s="2" t="inlineStr">
        <is>
          <t>(see sentence)</t>
        </is>
      </c>
      <c r="E307" s="2" t="inlineStr">
        <is>
          <t>GOVERNMENT OF NCT DELHI &amp; ORS. versus KRISHAN KUMAR &amp; ORS. (2023, 3 judges)</t>
        </is>
      </c>
      <c r="F307" s="2" t="inlineStr">
        <is>
          <t>sentence: [Pune Municipal Corpn. v. Harakchand Misirimal Solanki, (2014) 3 SCC 183] has been followed, are also overruled.</t>
        </is>
      </c>
      <c r="G307" s="2" t="inlineStr">
        <is>
          <t>add_row (give overruled_year; overruled_cites is prefilled where the report printed them), reject, or keep.</t>
        </is>
      </c>
      <c r="H307" s="12" t="inlineStr"/>
      <c r="I307" s="12" t="inlineStr"/>
      <c r="J307" s="13" t="inlineStr"/>
      <c r="K307" s="12" t="inlineStr"/>
      <c r="L307" s="12" t="inlineStr"/>
      <c r="M307" s="12" t="inlineStr"/>
      <c r="N307" s="12" t="inlineStr"/>
      <c r="O307" s="13" t="inlineStr"/>
      <c r="P307" s="12" t="inlineStr"/>
      <c r="Q307" s="12" t="inlineStr"/>
      <c r="R307" s="11" t="inlineStr">
        <is>
          <t>2026-10-15</t>
        </is>
      </c>
      <c r="S307" s="11" t="inlineStr"/>
    </row>
    <row r="308">
      <c r="A308" s="11" t="inlineStr">
        <is>
          <t>P-0214</t>
        </is>
      </c>
      <c r="B308" s="11" t="inlineStr">
        <is>
          <t>proposal</t>
        </is>
      </c>
      <c r="C308" s="11" t="n">
        <v>4</v>
      </c>
      <c r="D308" s="2" t="inlineStr">
        <is>
          <t>(see sentence)</t>
        </is>
      </c>
      <c r="E308" s="2" t="inlineStr">
        <is>
          <t>GOVERNMENT OF NCT DELHI &amp; ORS. versus KRISHAN KUMAR &amp; ORS. (2023, 3 judges)</t>
        </is>
      </c>
      <c r="F308" s="2" t="inlineStr">
        <is>
          <t>sentence: The decision in Sree Balaji Nagar Residential Assn. [Sree Balaji Nagar Residential Assn. v. State of T.N., (2015) 3 SCC 353] cannot be said to be laying down good law, is overruled and other decisions following the same are also overruled.</t>
        </is>
      </c>
      <c r="G308" s="2" t="inlineStr">
        <is>
          <t>add_row (give overruled_year; overruled_cites is prefilled where the report printed them), reject, or keep.</t>
        </is>
      </c>
      <c r="H308" s="12" t="inlineStr"/>
      <c r="I308" s="12" t="inlineStr"/>
      <c r="J308" s="13" t="inlineStr"/>
      <c r="K308" s="12" t="inlineStr"/>
      <c r="L308" s="12" t="inlineStr"/>
      <c r="M308" s="12" t="inlineStr"/>
      <c r="N308" s="12" t="inlineStr"/>
      <c r="O308" s="13" t="inlineStr"/>
      <c r="P308" s="12" t="inlineStr"/>
      <c r="Q308" s="12" t="inlineStr"/>
      <c r="R308" s="11" t="inlineStr">
        <is>
          <t>2026-10-15</t>
        </is>
      </c>
      <c r="S308" s="11" t="inlineStr"/>
    </row>
    <row r="309">
      <c r="A309" s="11" t="inlineStr">
        <is>
          <t>P-0215</t>
        </is>
      </c>
      <c r="B309" s="11" t="inlineStr">
        <is>
          <t>proposal</t>
        </is>
      </c>
      <c r="C309" s="11" t="n">
        <v>4</v>
      </c>
      <c r="D309" s="2" t="inlineStr">
        <is>
          <t>(see sentence)</t>
        </is>
      </c>
      <c r="E309" s="2" t="inlineStr">
        <is>
          <t>ANOOP BARANWAL versus UNION OF INDIA (2023, 5 judges)</t>
        </is>
      </c>
      <c r="F309" s="2" t="inlineStr">
        <is>
          <t>sentence: With the above observation, we hold that there is no doubt or confusion persisting in the Constitution Bench judgment of this Court in Kuldip Nayar [(2006) 7 SCC 1] and the decisions in Assn. for Democratic Reforms [(2002) 5 SCC 294] and Pe</t>
        </is>
      </c>
      <c r="G309" s="2" t="inlineStr">
        <is>
          <t>add_row (give overruled_year; overruled_cites is prefilled where the report printed them), reject, or keep.</t>
        </is>
      </c>
      <c r="H309" s="12" t="inlineStr"/>
      <c r="I309" s="12" t="inlineStr"/>
      <c r="J309" s="13" t="inlineStr"/>
      <c r="K309" s="12" t="inlineStr"/>
      <c r="L309" s="12" t="inlineStr"/>
      <c r="M309" s="12" t="inlineStr"/>
      <c r="N309" s="12" t="inlineStr"/>
      <c r="O309" s="13" t="inlineStr"/>
      <c r="P309" s="12" t="inlineStr"/>
      <c r="Q309" s="12" t="inlineStr"/>
      <c r="R309" s="11" t="inlineStr">
        <is>
          <t>2026-10-15</t>
        </is>
      </c>
      <c r="S309" s="11" t="inlineStr"/>
    </row>
    <row r="310">
      <c r="A310" s="11" t="inlineStr">
        <is>
          <t>P-0216</t>
        </is>
      </c>
      <c r="B310" s="11" t="inlineStr">
        <is>
          <t>proposal</t>
        </is>
      </c>
      <c r="C310" s="11" t="n">
        <v>4</v>
      </c>
      <c r="D310" s="2" t="inlineStr">
        <is>
          <t>Umed Singh v. Govt. of NCT of Delhi and Others 1997</t>
        </is>
      </c>
      <c r="E310" s="2" t="inlineStr">
        <is>
          <t>MOHINDER SINGH(DEAD) THROUGH LRS AND ANOTHER versus NARAIN SINGH AND OTHERS (2023, 3 judges)</t>
        </is>
      </c>
      <c r="F310" s="2" t="inlineStr">
        <is>
          <t>tag: disapproved</t>
        </is>
      </c>
      <c r="G310" s="2" t="inlineStr">
        <is>
          <t>add_row (give overruled_year; overruled_cites is prefilled where the report printed them), reject, or keep.</t>
        </is>
      </c>
      <c r="H310" s="12" t="inlineStr"/>
      <c r="I310" s="12" t="inlineStr"/>
      <c r="J310" s="13" t="inlineStr"/>
      <c r="K310" s="12" t="inlineStr"/>
      <c r="L310" s="12" t="inlineStr"/>
      <c r="M310" s="12" t="inlineStr"/>
      <c r="N310" s="12" t="inlineStr"/>
      <c r="O310" s="13" t="inlineStr"/>
      <c r="P310" s="12" t="inlineStr"/>
      <c r="Q310" s="12" t="inlineStr"/>
      <c r="R310" s="11" t="inlineStr">
        <is>
          <t>2026-10-15</t>
        </is>
      </c>
      <c r="S310" s="11" t="inlineStr"/>
    </row>
    <row r="311">
      <c r="A311" s="11" t="inlineStr">
        <is>
          <t>P-0217</t>
        </is>
      </c>
      <c r="B311" s="11" t="inlineStr">
        <is>
          <t>proposal</t>
        </is>
      </c>
      <c r="C311" s="11" t="n">
        <v>4</v>
      </c>
      <c r="D311" s="2" t="inlineStr">
        <is>
          <t>(see sentence)</t>
        </is>
      </c>
      <c r="E311" s="2" t="inlineStr">
        <is>
          <t>AJAY KUMAR RADHEYSHYAM GOENKA versus TOURISM FINANCE CORPORATION OF INDIA LTD. (2023, 3 judges)</t>
        </is>
      </c>
      <c r="F311" s="2" t="inlineStr">
        <is>
          <t>sentence: It was specifically observed that the decision in Anil Hada (supra) is overruled with the qualifier as stated in para 51.</t>
        </is>
      </c>
      <c r="G311" s="2" t="inlineStr">
        <is>
          <t>add_row (give overruled_year; overruled_cites is prefilled where the report printed them), reject, or keep.</t>
        </is>
      </c>
      <c r="H311" s="12" t="inlineStr"/>
      <c r="I311" s="12" t="inlineStr"/>
      <c r="J311" s="13" t="inlineStr"/>
      <c r="K311" s="12" t="inlineStr"/>
      <c r="L311" s="12" t="inlineStr"/>
      <c r="M311" s="12" t="inlineStr"/>
      <c r="N311" s="12" t="inlineStr"/>
      <c r="O311" s="13" t="inlineStr"/>
      <c r="P311" s="12" t="inlineStr"/>
      <c r="Q311" s="12" t="inlineStr"/>
      <c r="R311" s="11" t="inlineStr">
        <is>
          <t>2026-10-15</t>
        </is>
      </c>
      <c r="S311" s="11" t="inlineStr"/>
    </row>
    <row r="312">
      <c r="A312" s="11" t="inlineStr">
        <is>
          <t>P-0218</t>
        </is>
      </c>
      <c r="B312" s="11" t="inlineStr">
        <is>
          <t>proposal</t>
        </is>
      </c>
      <c r="C312" s="11" t="n">
        <v>4</v>
      </c>
      <c r="D312" s="2" t="inlineStr">
        <is>
          <t>Union of India Ors. v. Major General Shri Kant Sharma &amp; Anr.</t>
        </is>
      </c>
      <c r="E312" s="2" t="inlineStr">
        <is>
          <t>UNION OF INDIA &amp; ORS. versus PARASHOTAM DASS (2023, 3 judges)</t>
        </is>
      </c>
      <c r="F312" s="2" t="inlineStr">
        <is>
          <t>tag: held not correct law</t>
        </is>
      </c>
      <c r="G312" s="2" t="inlineStr">
        <is>
          <t>add_row (give overruled_year; overruled_cites is prefilled where the report printed them), reject, or keep.</t>
        </is>
      </c>
      <c r="H312" s="12" t="inlineStr"/>
      <c r="I312" s="12" t="inlineStr"/>
      <c r="J312" s="13" t="inlineStr"/>
      <c r="K312" s="12" t="inlineStr"/>
      <c r="L312" s="12" t="inlineStr"/>
      <c r="M312" s="12" t="inlineStr"/>
      <c r="N312" s="12" t="inlineStr"/>
      <c r="O312" s="13" t="inlineStr"/>
      <c r="P312" s="12" t="inlineStr"/>
      <c r="Q312" s="12" t="inlineStr"/>
      <c r="R312" s="11" t="inlineStr">
        <is>
          <t>2026-10-15</t>
        </is>
      </c>
      <c r="S312" s="11" t="inlineStr"/>
    </row>
    <row r="313">
      <c r="A313" s="11" t="inlineStr">
        <is>
          <t>P-0219</t>
        </is>
      </c>
      <c r="B313" s="11" t="inlineStr">
        <is>
          <t>proposal</t>
        </is>
      </c>
      <c r="C313" s="11" t="n">
        <v>4</v>
      </c>
      <c r="D313" s="2" t="inlineStr">
        <is>
          <t>(see sentence)</t>
        </is>
      </c>
      <c r="E313" s="2" t="inlineStr">
        <is>
          <t>SUNDAR @ SUNDARRAJAN versus STATE BY INSPECTOR OF POLICE (2023, 3 judges)</t>
        </is>
      </c>
      <c r="F313" s="2" t="inlineStr">
        <is>
          <t>sentence: Also, the judgment in Shafhi Mohammad and the judgment dated 3-4-2018 reported as Shafhi Mohd. v. State of H.P., do not lay down the law correctly and are therefore overruled. 73.2.</t>
        </is>
      </c>
      <c r="G313" s="2" t="inlineStr">
        <is>
          <t>add_row (give overruled_year; overruled_cites is prefilled where the report printed them), reject, or keep.</t>
        </is>
      </c>
      <c r="H313" s="12" t="inlineStr"/>
      <c r="I313" s="12" t="inlineStr"/>
      <c r="J313" s="13" t="inlineStr"/>
      <c r="K313" s="12" t="inlineStr"/>
      <c r="L313" s="12" t="inlineStr"/>
      <c r="M313" s="12" t="inlineStr"/>
      <c r="N313" s="12" t="inlineStr"/>
      <c r="O313" s="13" t="inlineStr"/>
      <c r="P313" s="12" t="inlineStr"/>
      <c r="Q313" s="12" t="inlineStr"/>
      <c r="R313" s="11" t="inlineStr">
        <is>
          <t>2026-10-15</t>
        </is>
      </c>
      <c r="S313" s="11" t="inlineStr"/>
    </row>
    <row r="314">
      <c r="A314" s="11" t="inlineStr">
        <is>
          <t>P-0223</t>
        </is>
      </c>
      <c r="B314" s="11" t="inlineStr">
        <is>
          <t>proposal</t>
        </is>
      </c>
      <c r="C314" s="11" t="n">
        <v>4</v>
      </c>
      <c r="D314" s="2" t="inlineStr">
        <is>
          <t>State of M.P. Vs. Rustam &amp; Ors.</t>
        </is>
      </c>
      <c r="E314" s="2" t="inlineStr">
        <is>
          <t>ENFORCEMENT DIRECTORATE, GOVERNMENT OF INDIA versus KAPIL WADHAWAN &amp; ANR. ETC (2023, 3 judges)</t>
        </is>
      </c>
      <c r="F314" s="2" t="inlineStr">
        <is>
          <t>tag: per incuriam</t>
        </is>
      </c>
      <c r="G314" s="2" t="inlineStr">
        <is>
          <t>add_row (give overruled_year; overruled_cites is prefilled where the report printed them), reject, or keep.</t>
        </is>
      </c>
      <c r="H314" s="12" t="inlineStr"/>
      <c r="I314" s="12" t="inlineStr"/>
      <c r="J314" s="13" t="inlineStr"/>
      <c r="K314" s="12" t="inlineStr"/>
      <c r="L314" s="12" t="inlineStr"/>
      <c r="M314" s="12" t="inlineStr"/>
      <c r="N314" s="12" t="inlineStr"/>
      <c r="O314" s="13" t="inlineStr"/>
      <c r="P314" s="12" t="inlineStr"/>
      <c r="Q314" s="12" t="inlineStr"/>
      <c r="R314" s="11" t="inlineStr">
        <is>
          <t>2026-10-15</t>
        </is>
      </c>
      <c r="S314" s="11" t="inlineStr"/>
    </row>
    <row r="315">
      <c r="A315" s="11" t="inlineStr">
        <is>
          <t>P-0224</t>
        </is>
      </c>
      <c r="B315" s="11" t="inlineStr">
        <is>
          <t>proposal</t>
        </is>
      </c>
      <c r="C315" s="11" t="n">
        <v>4</v>
      </c>
      <c r="D315" s="2" t="inlineStr">
        <is>
          <t>Murari Thakur &amp; Another v. State of Bihar</t>
        </is>
      </c>
      <c r="E315" s="2" t="inlineStr">
        <is>
          <t>NARAYAN CHETANRAM CHAUDHARY versus THE STATE OF MAHARASHTRA (2023, 3 judges)</t>
        </is>
      </c>
      <c r="F315" s="2" t="inlineStr">
        <is>
          <t>tag: held not good law</t>
        </is>
      </c>
      <c r="G315" s="2" t="inlineStr">
        <is>
          <t>add_row (give overruled_year; overruled_cites is prefilled where the report printed them), reject, or keep.</t>
        </is>
      </c>
      <c r="H315" s="12" t="inlineStr"/>
      <c r="I315" s="12" t="inlineStr"/>
      <c r="J315" s="13" t="inlineStr"/>
      <c r="K315" s="12" t="inlineStr"/>
      <c r="L315" s="12" t="inlineStr"/>
      <c r="M315" s="12" t="inlineStr"/>
      <c r="N315" s="12" t="inlineStr"/>
      <c r="O315" s="13" t="inlineStr"/>
      <c r="P315" s="12" t="inlineStr"/>
      <c r="Q315" s="12" t="inlineStr"/>
      <c r="R315" s="11" t="inlineStr">
        <is>
          <t>2026-10-15</t>
        </is>
      </c>
      <c r="S315" s="11" t="inlineStr"/>
    </row>
    <row r="316">
      <c r="A316" s="11" t="inlineStr">
        <is>
          <t>P-0226</t>
        </is>
      </c>
      <c r="B316" s="11" t="inlineStr">
        <is>
          <t>proposal</t>
        </is>
      </c>
      <c r="C316" s="11" t="n">
        <v>4</v>
      </c>
      <c r="D316" s="2" t="inlineStr">
        <is>
          <t>Vidya Drolia and others v. Durga Trading Corporation</t>
        </is>
      </c>
      <c r="E316" s="2" t="inlineStr">
        <is>
          <t>M/S N. N. GLOBAL MERCANTILE PRIVATE LIMITED versus M/S INDO UNIQUE FLAME LTD. &amp; ORS. (2023, 5 judges)</t>
        </is>
      </c>
      <c r="F316" s="2" t="inlineStr">
        <is>
          <t>tag: overruled</t>
        </is>
      </c>
      <c r="G316" s="2" t="inlineStr">
        <is>
          <t>add_row (give overruled_year; overruled_cites is prefilled where the report printed them), reject, or keep.</t>
        </is>
      </c>
      <c r="H316" s="12" t="inlineStr"/>
      <c r="I316" s="12" t="inlineStr"/>
      <c r="J316" s="13" t="inlineStr"/>
      <c r="K316" s="12" t="inlineStr"/>
      <c r="L316" s="12" t="inlineStr"/>
      <c r="M316" s="12" t="inlineStr"/>
      <c r="N316" s="12" t="inlineStr"/>
      <c r="O316" s="13" t="inlineStr"/>
      <c r="P316" s="12" t="inlineStr"/>
      <c r="Q316" s="12" t="inlineStr"/>
      <c r="R316" s="11" t="inlineStr">
        <is>
          <t>2026-10-15</t>
        </is>
      </c>
      <c r="S316" s="11" t="inlineStr"/>
    </row>
    <row r="317">
      <c r="A317" s="11" t="inlineStr">
        <is>
          <t>P-0227</t>
        </is>
      </c>
      <c r="B317" s="11" t="inlineStr">
        <is>
          <t>proposal</t>
        </is>
      </c>
      <c r="C317" s="11" t="n">
        <v>4</v>
      </c>
      <c r="D317" s="2" t="inlineStr">
        <is>
          <t>SMS Tea Estates Private Limited v. Chandmari Tea Company Private Limited</t>
        </is>
      </c>
      <c r="E317" s="2" t="inlineStr">
        <is>
          <t>M/S N. N. GLOBAL MERCANTILE PRIVATE LIMITED versus M/S INDO UNIQUE FLAME LTD. &amp; ORS. (2023, 5 judges)</t>
        </is>
      </c>
      <c r="F317" s="2" t="inlineStr">
        <is>
          <t>tag: overruled</t>
        </is>
      </c>
      <c r="G317" s="2" t="inlineStr">
        <is>
          <t>add_row (give overruled_year; overruled_cites is prefilled where the report printed them), reject, or keep.</t>
        </is>
      </c>
      <c r="H317" s="12" t="inlineStr"/>
      <c r="I317" s="12" t="inlineStr"/>
      <c r="J317" s="13" t="inlineStr"/>
      <c r="K317" s="12" t="inlineStr"/>
      <c r="L317" s="12" t="inlineStr"/>
      <c r="M317" s="12" t="inlineStr"/>
      <c r="N317" s="12" t="inlineStr"/>
      <c r="O317" s="13" t="inlineStr"/>
      <c r="P317" s="12" t="inlineStr"/>
      <c r="Q317" s="12" t="inlineStr"/>
      <c r="R317" s="11" t="inlineStr">
        <is>
          <t>2026-10-15</t>
        </is>
      </c>
      <c r="S317" s="11" t="inlineStr"/>
    </row>
    <row r="318">
      <c r="A318" s="11" t="inlineStr">
        <is>
          <t>P-0228</t>
        </is>
      </c>
      <c r="B318" s="11" t="inlineStr">
        <is>
          <t>proposal</t>
        </is>
      </c>
      <c r="C318" s="11" t="n">
        <v>4</v>
      </c>
      <c r="D318" s="2" t="inlineStr">
        <is>
          <t>Vidya Drolia and others v. Durga Trading Corporation</t>
        </is>
      </c>
      <c r="E318" s="2" t="inlineStr">
        <is>
          <t>M/S N. N. GLOBAL MERCANTILE PRIVATE LIMITED versus M/S INDO UNIQUE FLAME LTD. &amp; ORS. (2023, 5 judges)</t>
        </is>
      </c>
      <c r="F318" s="2" t="inlineStr">
        <is>
          <t>tag: overruled</t>
        </is>
      </c>
      <c r="G318" s="2" t="inlineStr">
        <is>
          <t>add_row (give overruled_year; overruled_cites is prefilled where the report printed them), reject, or keep.</t>
        </is>
      </c>
      <c r="H318" s="12" t="inlineStr"/>
      <c r="I318" s="12" t="inlineStr"/>
      <c r="J318" s="13" t="inlineStr"/>
      <c r="K318" s="12" t="inlineStr"/>
      <c r="L318" s="12" t="inlineStr"/>
      <c r="M318" s="12" t="inlineStr"/>
      <c r="N318" s="12" t="inlineStr"/>
      <c r="O318" s="13" t="inlineStr"/>
      <c r="P318" s="12" t="inlineStr"/>
      <c r="Q318" s="12" t="inlineStr"/>
      <c r="R318" s="11" t="inlineStr">
        <is>
          <t>2026-10-15</t>
        </is>
      </c>
      <c r="S318" s="11" t="inlineStr"/>
    </row>
    <row r="319">
      <c r="A319" s="11" t="inlineStr">
        <is>
          <t>P-0229</t>
        </is>
      </c>
      <c r="B319" s="11" t="inlineStr">
        <is>
          <t>proposal</t>
        </is>
      </c>
      <c r="C319" s="11" t="n">
        <v>4</v>
      </c>
      <c r="D319" s="2" t="inlineStr">
        <is>
          <t>Garware Wall Ropes Limited v. Coastal Marine Constructions &amp; Engineering Limited</t>
        </is>
      </c>
      <c r="E319" s="2" t="inlineStr">
        <is>
          <t>M/S N. N. GLOBAL MERCANTILE PRIVATE LIMITED versus M/S INDO UNIQUE FLAME LTD. &amp; ORS. (2023, 5 judges)</t>
        </is>
      </c>
      <c r="F319" s="2" t="inlineStr">
        <is>
          <t>tag: overruled</t>
        </is>
      </c>
      <c r="G319" s="2" t="inlineStr">
        <is>
          <t>add_row (give overruled_year; overruled_cites is prefilled where the report printed them), reject, or keep.</t>
        </is>
      </c>
      <c r="H319" s="12" t="inlineStr"/>
      <c r="I319" s="12" t="inlineStr"/>
      <c r="J319" s="13" t="inlineStr"/>
      <c r="K319" s="12" t="inlineStr"/>
      <c r="L319" s="12" t="inlineStr"/>
      <c r="M319" s="12" t="inlineStr"/>
      <c r="N319" s="12" t="inlineStr"/>
      <c r="O319" s="13" t="inlineStr"/>
      <c r="P319" s="12" t="inlineStr"/>
      <c r="Q319" s="12" t="inlineStr"/>
      <c r="R319" s="11" t="inlineStr">
        <is>
          <t>2026-10-15</t>
        </is>
      </c>
      <c r="S319" s="11" t="inlineStr"/>
    </row>
    <row r="320">
      <c r="A320" s="11" t="inlineStr">
        <is>
          <t>P-0230</t>
        </is>
      </c>
      <c r="B320" s="11" t="inlineStr">
        <is>
          <t>proposal</t>
        </is>
      </c>
      <c r="C320" s="11" t="n">
        <v>4</v>
      </c>
      <c r="D320" s="2" t="inlineStr">
        <is>
          <t>SMS Tea Estates Private Limited v. Chandmari Tea Company Private Limited</t>
        </is>
      </c>
      <c r="E320" s="2" t="inlineStr">
        <is>
          <t>M/S N. N. GLOBAL MERCANTILE PRIVATE LIMITED versus M/S INDO UNIQUE FLAME LTD. &amp; ORS. (2023, 5 judges)</t>
        </is>
      </c>
      <c r="F320" s="2" t="inlineStr">
        <is>
          <t>tag: overruled</t>
        </is>
      </c>
      <c r="G320" s="2" t="inlineStr">
        <is>
          <t>add_row (give overruled_year; overruled_cites is prefilled where the report printed them), reject, or keep.</t>
        </is>
      </c>
      <c r="H320" s="12" t="inlineStr"/>
      <c r="I320" s="12" t="inlineStr"/>
      <c r="J320" s="13" t="inlineStr"/>
      <c r="K320" s="12" t="inlineStr"/>
      <c r="L320" s="12" t="inlineStr"/>
      <c r="M320" s="12" t="inlineStr"/>
      <c r="N320" s="12" t="inlineStr"/>
      <c r="O320" s="13" t="inlineStr"/>
      <c r="P320" s="12" t="inlineStr"/>
      <c r="Q320" s="12" t="inlineStr"/>
      <c r="R320" s="11" t="inlineStr">
        <is>
          <t>2026-10-15</t>
        </is>
      </c>
      <c r="S320" s="11" t="inlineStr"/>
    </row>
    <row r="321">
      <c r="A321" s="11" t="inlineStr">
        <is>
          <t>P-0231</t>
        </is>
      </c>
      <c r="B321" s="11" t="inlineStr">
        <is>
          <t>proposal</t>
        </is>
      </c>
      <c r="C321" s="11" t="n">
        <v>4</v>
      </c>
      <c r="D321" s="2" t="inlineStr">
        <is>
          <t>United India Insurance Company Limited v. Hyundai Engineering and Construction Company Limited</t>
        </is>
      </c>
      <c r="E321" s="2" t="inlineStr">
        <is>
          <t>M/S N. N. GLOBAL MERCANTILE PRIVATE LIMITED versus M/S INDO UNIQUE FLAME LTD. &amp; ORS. (2023, 5 judges)</t>
        </is>
      </c>
      <c r="F321" s="2" t="inlineStr">
        <is>
          <t>tag: overruled</t>
        </is>
      </c>
      <c r="G321" s="2" t="inlineStr">
        <is>
          <t>add_row (give overruled_year; overruled_cites is prefilled where the report printed them), reject, or keep.</t>
        </is>
      </c>
      <c r="H321" s="12" t="inlineStr"/>
      <c r="I321" s="12" t="inlineStr"/>
      <c r="J321" s="13" t="inlineStr"/>
      <c r="K321" s="12" t="inlineStr"/>
      <c r="L321" s="12" t="inlineStr"/>
      <c r="M321" s="12" t="inlineStr"/>
      <c r="N321" s="12" t="inlineStr"/>
      <c r="O321" s="13" t="inlineStr"/>
      <c r="P321" s="12" t="inlineStr"/>
      <c r="Q321" s="12" t="inlineStr"/>
      <c r="R321" s="11" t="inlineStr">
        <is>
          <t>2026-10-15</t>
        </is>
      </c>
      <c r="S321" s="11" t="inlineStr"/>
    </row>
    <row r="322">
      <c r="A322" s="11" t="inlineStr">
        <is>
          <t>P-0232</t>
        </is>
      </c>
      <c r="B322" s="11" t="inlineStr">
        <is>
          <t>proposal</t>
        </is>
      </c>
      <c r="C322" s="11" t="n">
        <v>4</v>
      </c>
      <c r="D322" s="2" t="inlineStr">
        <is>
          <t>Shiv Kirpal Singh v. VV Giri</t>
        </is>
      </c>
      <c r="E322" s="2" t="inlineStr">
        <is>
          <t>GOVERNMENT OF NCT OF DELHI versus UNION OF INDIA (2023, 5 judges)</t>
        </is>
      </c>
      <c r="F322" s="2" t="inlineStr">
        <is>
          <t>tag: held per incuriam</t>
        </is>
      </c>
      <c r="G322" s="2" t="inlineStr">
        <is>
          <t>add_row (give overruled_year; overruled_cites is prefilled where the report printed them), reject, or keep.</t>
        </is>
      </c>
      <c r="H322" s="12" t="inlineStr"/>
      <c r="I322" s="12" t="inlineStr"/>
      <c r="J322" s="13" t="inlineStr"/>
      <c r="K322" s="12" t="inlineStr"/>
      <c r="L322" s="12" t="inlineStr"/>
      <c r="M322" s="12" t="inlineStr"/>
      <c r="N322" s="12" t="inlineStr"/>
      <c r="O322" s="13" t="inlineStr"/>
      <c r="P322" s="12" t="inlineStr"/>
      <c r="Q322" s="12" t="inlineStr"/>
      <c r="R322" s="11" t="inlineStr">
        <is>
          <t>2026-10-15</t>
        </is>
      </c>
      <c r="S322" s="11" t="inlineStr"/>
    </row>
    <row r="323">
      <c r="A323" s="11" t="inlineStr">
        <is>
          <t>P-0233</t>
        </is>
      </c>
      <c r="B323" s="11" t="inlineStr">
        <is>
          <t>proposal</t>
        </is>
      </c>
      <c r="C323" s="11" t="n">
        <v>4</v>
      </c>
      <c r="D323" s="2" t="inlineStr">
        <is>
          <t>LIST OF CITATIONS AND OTHER REFERENCES Cherukuri Mani v. Chief Secretary, Government of Andhra Pradesh</t>
        </is>
      </c>
      <c r="E323" s="2" t="inlineStr">
        <is>
          <t>PESALA NOOKARAJU versus THE GOVERNMENT OF ANDHRA PRADESH &amp; ORS (2023, 3 judges)</t>
        </is>
      </c>
      <c r="F323" s="2" t="inlineStr">
        <is>
          <t>tag: held not correct law</t>
        </is>
      </c>
      <c r="G323" s="2" t="inlineStr">
        <is>
          <t>add_row (give overruled_year; overruled_cites is prefilled where the report printed them), reject, or keep.</t>
        </is>
      </c>
      <c r="H323" s="12" t="inlineStr"/>
      <c r="I323" s="12" t="inlineStr"/>
      <c r="J323" s="13" t="inlineStr"/>
      <c r="K323" s="12" t="inlineStr"/>
      <c r="L323" s="12" t="inlineStr"/>
      <c r="M323" s="12" t="inlineStr"/>
      <c r="N323" s="12" t="inlineStr"/>
      <c r="O323" s="13" t="inlineStr"/>
      <c r="P323" s="12" t="inlineStr"/>
      <c r="Q323" s="12" t="inlineStr"/>
      <c r="R323" s="11" t="inlineStr">
        <is>
          <t>2026-10-15</t>
        </is>
      </c>
      <c r="S323" s="11" t="inlineStr"/>
    </row>
    <row r="324">
      <c r="A324" s="11" t="inlineStr">
        <is>
          <t>P-0234</t>
        </is>
      </c>
      <c r="B324" s="11" t="inlineStr">
        <is>
          <t>proposal</t>
        </is>
      </c>
      <c r="C324" s="11" t="n">
        <v>4</v>
      </c>
      <c r="D324" s="2" t="inlineStr">
        <is>
          <t>(see sentence)</t>
        </is>
      </c>
      <c r="E324" s="2" t="inlineStr">
        <is>
          <t>EXPERION DEVELOPERS PRIVATE LIMITED versus HIMANSHU DEWAN AND SONALI DEWAN AND OTHERS (2023, 3 judges)</t>
        </is>
      </c>
      <c r="F324" s="2" t="inlineStr">
        <is>
          <t>sentence: However, this view in re. the subsequent purchasers stands overruled by a bench of three judges’ in Laureate Buildwell Private Limited v. Charanjeet Singh10.</t>
        </is>
      </c>
      <c r="G324" s="2" t="inlineStr">
        <is>
          <t>add_row (give overruled_year; overruled_cites is prefilled where the report printed them), reject, or keep.</t>
        </is>
      </c>
      <c r="H324" s="12" t="inlineStr"/>
      <c r="I324" s="12" t="inlineStr"/>
      <c r="J324" s="13" t="inlineStr"/>
      <c r="K324" s="12" t="inlineStr"/>
      <c r="L324" s="12" t="inlineStr"/>
      <c r="M324" s="12" t="inlineStr"/>
      <c r="N324" s="12" t="inlineStr"/>
      <c r="O324" s="13" t="inlineStr"/>
      <c r="P324" s="12" t="inlineStr"/>
      <c r="Q324" s="12" t="inlineStr"/>
      <c r="R324" s="11" t="inlineStr">
        <is>
          <t>2026-10-15</t>
        </is>
      </c>
      <c r="S324" s="11" t="inlineStr"/>
    </row>
    <row r="325">
      <c r="A325" s="11" t="inlineStr">
        <is>
          <t>P-0235</t>
        </is>
      </c>
      <c r="B325" s="11" t="inlineStr">
        <is>
          <t>proposal</t>
        </is>
      </c>
      <c r="C325" s="11" t="n">
        <v>4</v>
      </c>
      <c r="D325" s="2" t="inlineStr">
        <is>
          <t>(see sentence)</t>
        </is>
      </c>
      <c r="E325" s="2" t="inlineStr">
        <is>
          <t>BALWINDER SINGH (BINDA) versus THE NARCOTICS CONTROL BUREAU (2023, 3 judges)</t>
        </is>
      </c>
      <c r="F325" s="2" t="inlineStr">
        <is>
          <t xml:space="preserve">sentence: Now that it has been declared in Tofan Singh’s case36 (supra) that the judgements in the case of Kanhaiyalal33 (supra) and Raj Kumar Karwal35 (supra) did not state the correct legal position and they stand overruled, the entire case set up </t>
        </is>
      </c>
      <c r="G325" s="2" t="inlineStr">
        <is>
          <t>add_row (give overruled_year; overruled_cites is prefilled where the report printed them), reject, or keep.</t>
        </is>
      </c>
      <c r="H325" s="12" t="inlineStr"/>
      <c r="I325" s="12" t="inlineStr"/>
      <c r="J325" s="13" t="inlineStr"/>
      <c r="K325" s="12" t="inlineStr"/>
      <c r="L325" s="12" t="inlineStr"/>
      <c r="M325" s="12" t="inlineStr"/>
      <c r="N325" s="12" t="inlineStr"/>
      <c r="O325" s="13" t="inlineStr"/>
      <c r="P325" s="12" t="inlineStr"/>
      <c r="Q325" s="12" t="inlineStr"/>
      <c r="R325" s="11" t="inlineStr">
        <is>
          <t>2026-10-15</t>
        </is>
      </c>
      <c r="S325" s="11" t="inlineStr"/>
    </row>
    <row r="326">
      <c r="A326" s="11" t="inlineStr">
        <is>
          <t>P-0236</t>
        </is>
      </c>
      <c r="B326" s="11" t="inlineStr">
        <is>
          <t>proposal</t>
        </is>
      </c>
      <c r="C326" s="11" t="n">
        <v>4</v>
      </c>
      <c r="D326" s="2" t="inlineStr">
        <is>
          <t>(see sentence)</t>
        </is>
      </c>
      <c r="E326" s="2" t="inlineStr">
        <is>
          <t>COX AND KINGS LTD. versus SAP INDIA PVT. LTD. &amp; ANR. (2023, 5 judges)</t>
        </is>
      </c>
      <c r="F326" s="2" t="inlineStr">
        <is>
          <t>sentence: However, Roussel-Uclaf (supra) was expressly overruled by the Court of Appeal in Sancheti (supra) on the ground that a mere legal or commercial connection is not suﬃ cient for a person to claim through or under a party to an arbitration agr</t>
        </is>
      </c>
      <c r="G326" s="2" t="inlineStr">
        <is>
          <t>add_row (give overruled_year; overruled_cites is prefilled where the report printed them), reject, or keep.</t>
        </is>
      </c>
      <c r="H326" s="12" t="inlineStr"/>
      <c r="I326" s="12" t="inlineStr"/>
      <c r="J326" s="13" t="inlineStr"/>
      <c r="K326" s="12" t="inlineStr"/>
      <c r="L326" s="12" t="inlineStr"/>
      <c r="M326" s="12" t="inlineStr"/>
      <c r="N326" s="12" t="inlineStr"/>
      <c r="O326" s="13" t="inlineStr"/>
      <c r="P326" s="12" t="inlineStr"/>
      <c r="Q326" s="12" t="inlineStr"/>
      <c r="R326" s="11" t="inlineStr">
        <is>
          <t>2026-10-15</t>
        </is>
      </c>
      <c r="S326" s="11" t="inlineStr"/>
    </row>
    <row r="327">
      <c r="A327" s="11" t="inlineStr">
        <is>
          <t>P-0240</t>
        </is>
      </c>
      <c r="B327" s="11" t="inlineStr">
        <is>
          <t>proposal</t>
        </is>
      </c>
      <c r="C327" s="11" t="n">
        <v>4</v>
      </c>
      <c r="D327" s="2" t="inlineStr">
        <is>
          <t>*PV Narasimha Rao v. State (CBI/SPE)</t>
        </is>
      </c>
      <c r="E327" s="2" t="inlineStr">
        <is>
          <t>SITA SOREN versus UNION OF INDIA (2024, 7 judges)</t>
        </is>
      </c>
      <c r="F327" s="2" t="inlineStr">
        <is>
          <t>tag: overruled</t>
        </is>
      </c>
      <c r="G327" s="2" t="inlineStr">
        <is>
          <t>add_row (give overruled_year; overruled_cites is prefilled where the report printed them), reject, or keep.</t>
        </is>
      </c>
      <c r="H327" s="12" t="inlineStr"/>
      <c r="I327" s="12" t="inlineStr"/>
      <c r="J327" s="13" t="inlineStr"/>
      <c r="K327" s="12" t="inlineStr"/>
      <c r="L327" s="12" t="inlineStr"/>
      <c r="M327" s="12" t="inlineStr"/>
      <c r="N327" s="12" t="inlineStr"/>
      <c r="O327" s="13" t="inlineStr"/>
      <c r="P327" s="12" t="inlineStr"/>
      <c r="Q327" s="12" t="inlineStr"/>
      <c r="R327" s="11" t="inlineStr">
        <is>
          <t>2026-10-15</t>
        </is>
      </c>
      <c r="S327" s="11" t="inlineStr"/>
    </row>
    <row r="328">
      <c r="A328" s="11" t="inlineStr">
        <is>
          <t>P-0241</t>
        </is>
      </c>
      <c r="B328" s="11" t="inlineStr">
        <is>
          <t>proposal</t>
        </is>
      </c>
      <c r="C328" s="11" t="n">
        <v>4</v>
      </c>
      <c r="D328" s="2" t="inlineStr">
        <is>
          <t>(see sentence)</t>
        </is>
      </c>
      <c r="E328" s="2" t="inlineStr">
        <is>
          <t>GOVERNMENT OF NCT OF DELHI &amp; ANR. versus M/S BSK REALTORS LLP &amp; ANR. (2024, 3 judges)</t>
        </is>
      </c>
      <c r="F328" s="2" t="inlineStr">
        <is>
          <t>sentence: [2024] 5 S.C.R. 1179 Government of NCT of Delhi &amp; Anr. v. M/s BSK Realtors LLP &amp; Anr. i) Although the Bench of two Hon’ble Judges in Govt (NCT) of Delhi v. Manav Dharam Trust and another10 had recognised the right of the subsequent purchase</t>
        </is>
      </c>
      <c r="G328" s="2" t="inlineStr">
        <is>
          <t>add_row (give overruled_year; overruled_cites is prefilled where the report printed them), reject, or keep.</t>
        </is>
      </c>
      <c r="H328" s="12" t="inlineStr"/>
      <c r="I328" s="12" t="inlineStr"/>
      <c r="J328" s="13" t="inlineStr"/>
      <c r="K328" s="12" t="inlineStr"/>
      <c r="L328" s="12" t="inlineStr"/>
      <c r="M328" s="12" t="inlineStr"/>
      <c r="N328" s="12" t="inlineStr"/>
      <c r="O328" s="13" t="inlineStr"/>
      <c r="P328" s="12" t="inlineStr"/>
      <c r="Q328" s="12" t="inlineStr"/>
      <c r="R328" s="11" t="inlineStr">
        <is>
          <t>2026-10-15</t>
        </is>
      </c>
      <c r="S328" s="11" t="inlineStr"/>
    </row>
    <row r="329">
      <c r="A329" s="11" t="inlineStr">
        <is>
          <t>P-0242</t>
        </is>
      </c>
      <c r="B329" s="11" t="inlineStr">
        <is>
          <t>proposal</t>
        </is>
      </c>
      <c r="C329" s="11" t="n">
        <v>4</v>
      </c>
      <c r="D329" s="2" t="inlineStr">
        <is>
          <t>(see sentence)</t>
        </is>
      </c>
      <c r="E329" s="2" t="inlineStr">
        <is>
          <t>GOVERNMENT OF NCT OF DELHI &amp; ANR. versus M/S BSK REALTORS LLP &amp; ANR. (2024, 3 judges)</t>
        </is>
      </c>
      <c r="F329" s="2" t="inlineStr">
        <is>
          <t xml:space="preserve">sentence: Therefore, the change in law occasioned by its overruling in Shiv Kumar (supra) cannot be utilised as a crutch to claim that subsequent purchasers cannot seek a declaration of lapsing. g) In any event, the decision in Shiv Kumar (supra) is </t>
        </is>
      </c>
      <c r="G329" s="2" t="inlineStr">
        <is>
          <t>add_row (give overruled_year; overruled_cites is prefilled where the report printed them), reject, or keep.</t>
        </is>
      </c>
      <c r="H329" s="12" t="inlineStr"/>
      <c r="I329" s="12" t="inlineStr"/>
      <c r="J329" s="13" t="inlineStr"/>
      <c r="K329" s="12" t="inlineStr"/>
      <c r="L329" s="12" t="inlineStr"/>
      <c r="M329" s="12" t="inlineStr"/>
      <c r="N329" s="12" t="inlineStr"/>
      <c r="O329" s="13" t="inlineStr"/>
      <c r="P329" s="12" t="inlineStr"/>
      <c r="Q329" s="12" t="inlineStr"/>
      <c r="R329" s="11" t="inlineStr">
        <is>
          <t>2026-10-15</t>
        </is>
      </c>
      <c r="S329" s="11" t="inlineStr"/>
    </row>
    <row r="330">
      <c r="A330" s="11" t="inlineStr">
        <is>
          <t>P-0243</t>
        </is>
      </c>
      <c r="B330" s="11" t="inlineStr">
        <is>
          <t>proposal</t>
        </is>
      </c>
      <c r="C330" s="11" t="n">
        <v>4</v>
      </c>
      <c r="D330" s="2" t="inlineStr">
        <is>
          <t>(see sentence)</t>
        </is>
      </c>
      <c r="E330" s="2" t="inlineStr">
        <is>
          <t>GOVERNMENT OF NCT OF DELHI &amp; ANR. versus M/S BSK REALTORS LLP &amp; ANR. (2024, 3 judges)</t>
        </is>
      </c>
      <c r="F330" s="2" t="inlineStr">
        <is>
          <t>sentence: Is hereby overruled and all other decisions in which Pune Municipal Corpn.1 has been followed, are also 19 [2000] Supp. 1 SCR 538 : (2000) 6 SCC 359 [2024] 5 S.C.R. 1189 Government of NCT of Delhi &amp; Anr. v. M/s BSK Realtors LLP &amp; Anr. overr</t>
        </is>
      </c>
      <c r="G330" s="2" t="inlineStr">
        <is>
          <t>add_row (give overruled_year; overruled_cites is prefilled where the report printed them), reject, or keep.</t>
        </is>
      </c>
      <c r="H330" s="12" t="inlineStr"/>
      <c r="I330" s="12" t="inlineStr"/>
      <c r="J330" s="13" t="inlineStr"/>
      <c r="K330" s="12" t="inlineStr"/>
      <c r="L330" s="12" t="inlineStr"/>
      <c r="M330" s="12" t="inlineStr"/>
      <c r="N330" s="12" t="inlineStr"/>
      <c r="O330" s="13" t="inlineStr"/>
      <c r="P330" s="12" t="inlineStr"/>
      <c r="Q330" s="12" t="inlineStr"/>
      <c r="R330" s="11" t="inlineStr">
        <is>
          <t>2026-10-15</t>
        </is>
      </c>
      <c r="S330" s="11" t="inlineStr"/>
    </row>
    <row r="331">
      <c r="A331" s="11" t="inlineStr">
        <is>
          <t>P-0244</t>
        </is>
      </c>
      <c r="B331" s="11" t="inlineStr">
        <is>
          <t>proposal</t>
        </is>
      </c>
      <c r="C331" s="11" t="n">
        <v>4</v>
      </c>
      <c r="D331" s="2" t="inlineStr">
        <is>
          <t>(see sentence)</t>
        </is>
      </c>
      <c r="E331" s="2" t="inlineStr">
        <is>
          <t>DELHI DEVELOPMENT AUTHORITY versus TEJPAL &amp; ORS. (2024, 3 judges)</t>
        </is>
      </c>
      <c r="F331" s="2" t="inlineStr">
        <is>
          <t>sentence: Sree Balaji Nagar Residential Association (supra) was also overruled in so far as it allowed landowners to unduly benefit from orders of stay. 5 (2016) 6 SCC 387, para 6-7. 6 (2018) 1 SCC 733, para 23. 7 [2018] 2 SCR 1 : (2018) 3 SCC 412, p</t>
        </is>
      </c>
      <c r="G331" s="2" t="inlineStr">
        <is>
          <t>add_row (give overruled_year; overruled_cites is prefilled where the report printed them), reject, or keep.</t>
        </is>
      </c>
      <c r="H331" s="12" t="inlineStr"/>
      <c r="I331" s="12" t="inlineStr"/>
      <c r="J331" s="13" t="inlineStr"/>
      <c r="K331" s="12" t="inlineStr"/>
      <c r="L331" s="12" t="inlineStr"/>
      <c r="M331" s="12" t="inlineStr"/>
      <c r="N331" s="12" t="inlineStr"/>
      <c r="O331" s="13" t="inlineStr"/>
      <c r="P331" s="12" t="inlineStr"/>
      <c r="Q331" s="12" t="inlineStr"/>
      <c r="R331" s="11" t="inlineStr">
        <is>
          <t>2026-10-15</t>
        </is>
      </c>
      <c r="S331" s="11" t="inlineStr"/>
    </row>
    <row r="332">
      <c r="A332" s="11" t="inlineStr">
        <is>
          <t>P-0245</t>
        </is>
      </c>
      <c r="B332" s="11" t="inlineStr">
        <is>
          <t>proposal</t>
        </is>
      </c>
      <c r="C332" s="11" t="n">
        <v>4</v>
      </c>
      <c r="D332" s="2" t="inlineStr">
        <is>
          <t>(see sentence)</t>
        </is>
      </c>
      <c r="E332" s="2" t="inlineStr">
        <is>
          <t>DELHI DEVELOPMENT AUTHORITY versus TEJPAL &amp; ORS. (2024, 3 judges)</t>
        </is>
      </c>
      <c r="F332" s="2" t="inlineStr">
        <is>
          <t>sentence: This Court also overruled Shailendra (supra), since the question of reading the conditions under Section 24(2) conjunctively (i.e., reading “or” as ‘and’) was not considered by that case.</t>
        </is>
      </c>
      <c r="G332" s="2" t="inlineStr">
        <is>
          <t>add_row (give overruled_year; overruled_cites is prefilled where the report printed them), reject, or keep.</t>
        </is>
      </c>
      <c r="H332" s="12" t="inlineStr"/>
      <c r="I332" s="12" t="inlineStr"/>
      <c r="J332" s="13" t="inlineStr"/>
      <c r="K332" s="12" t="inlineStr"/>
      <c r="L332" s="12" t="inlineStr"/>
      <c r="M332" s="12" t="inlineStr"/>
      <c r="N332" s="12" t="inlineStr"/>
      <c r="O332" s="13" t="inlineStr"/>
      <c r="P332" s="12" t="inlineStr"/>
      <c r="Q332" s="12" t="inlineStr"/>
      <c r="R332" s="11" t="inlineStr">
        <is>
          <t>2026-10-15</t>
        </is>
      </c>
      <c r="S332" s="11" t="inlineStr"/>
    </row>
    <row r="333">
      <c r="A333" s="11" t="inlineStr">
        <is>
          <t>P-0246</t>
        </is>
      </c>
      <c r="B333" s="11" t="inlineStr">
        <is>
          <t>proposal</t>
        </is>
      </c>
      <c r="C333" s="11" t="n">
        <v>4</v>
      </c>
      <c r="D333" s="2" t="inlineStr">
        <is>
          <t>(see sentence)</t>
        </is>
      </c>
      <c r="E333" s="2" t="inlineStr">
        <is>
          <t>DELHI DEVELOPMENT AUTHORITY versus TEJPAL &amp; ORS. (2024, 3 judges)</t>
        </is>
      </c>
      <c r="F333" s="2" t="inlineStr">
        <is>
          <t>sentence: Housing Society Ltd. (supra) was overruled in the case of Nusli Neville Wadia v. Ivory Properties.39 This Court while deciding the issue in Shyam Mohan Ruia (supra), held that since the precedent forming the very basis of the High Court’s d</t>
        </is>
      </c>
      <c r="G333" s="2" t="inlineStr">
        <is>
          <t>add_row (give overruled_year; overruled_cites is prefilled where the report printed them), reject, or keep.</t>
        </is>
      </c>
      <c r="H333" s="12" t="inlineStr"/>
      <c r="I333" s="12" t="inlineStr"/>
      <c r="J333" s="13" t="inlineStr"/>
      <c r="K333" s="12" t="inlineStr"/>
      <c r="L333" s="12" t="inlineStr"/>
      <c r="M333" s="12" t="inlineStr"/>
      <c r="N333" s="12" t="inlineStr"/>
      <c r="O333" s="13" t="inlineStr"/>
      <c r="P333" s="12" t="inlineStr"/>
      <c r="Q333" s="12" t="inlineStr"/>
      <c r="R333" s="11" t="inlineStr">
        <is>
          <t>2026-10-15</t>
        </is>
      </c>
      <c r="S333" s="11" t="inlineStr"/>
    </row>
    <row r="334">
      <c r="A334" s="11" t="inlineStr">
        <is>
          <t>P-0247</t>
        </is>
      </c>
      <c r="B334" s="11" t="inlineStr">
        <is>
          <t>proposal</t>
        </is>
      </c>
      <c r="C334" s="11" t="n">
        <v>4</v>
      </c>
      <c r="D334" s="2" t="inlineStr">
        <is>
          <t>(see sentence)</t>
        </is>
      </c>
      <c r="E334" s="2" t="inlineStr">
        <is>
          <t>GOVT. OF NCT OF DELHI THROUGH ITS SECRETARY, LAND AND BUILDING DEPARTMENT &amp; ANOTHER versus M/S K.L. RATHI STEELS LIMITED AND OTHERS (2024, 3 judges)</t>
        </is>
      </c>
      <c r="F334" s="2" t="inlineStr">
        <is>
          <t>sentence: Although it is true that Shailendra [3-Judge] (supra) was not expressly overruled by Manoharlal [5-Judge, lapse] (supra), what stands out as a direct impact of paragraph 365 thereof is that Shailendra [3-Judge] (supra), not having considere</t>
        </is>
      </c>
      <c r="G334" s="2" t="inlineStr">
        <is>
          <t>add_row (give overruled_year; overruled_cites is prefilled where the report printed them), reject, or keep.</t>
        </is>
      </c>
      <c r="H334" s="12" t="inlineStr"/>
      <c r="I334" s="12" t="inlineStr"/>
      <c r="J334" s="13" t="inlineStr"/>
      <c r="K334" s="12" t="inlineStr"/>
      <c r="L334" s="12" t="inlineStr"/>
      <c r="M334" s="12" t="inlineStr"/>
      <c r="N334" s="12" t="inlineStr"/>
      <c r="O334" s="13" t="inlineStr"/>
      <c r="P334" s="12" t="inlineStr"/>
      <c r="Q334" s="12" t="inlineStr"/>
      <c r="R334" s="11" t="inlineStr">
        <is>
          <t>2026-10-15</t>
        </is>
      </c>
      <c r="S334" s="11" t="inlineStr"/>
    </row>
    <row r="335">
      <c r="A335" s="11" t="inlineStr">
        <is>
          <t>P-0248</t>
        </is>
      </c>
      <c r="B335" s="11" t="inlineStr">
        <is>
          <t>proposal</t>
        </is>
      </c>
      <c r="C335" s="11" t="n">
        <v>4</v>
      </c>
      <c r="D335" s="2" t="inlineStr">
        <is>
          <t>(see sentence)</t>
        </is>
      </c>
      <c r="E335" s="2" t="inlineStr">
        <is>
          <t>SBI GENERAL INSURANCE CO. LTD. versus KRISH SPINNING (2024, 3 judges)</t>
        </is>
      </c>
      <c r="F335" s="2" t="inlineStr">
        <is>
          <t>sentence: This pre-2015 position, as was also pointed in Mayavati Trading (supra), was legislatively overruled by the 2015 amendment to the Act, 1996 and the introduction of Section 11(6-A).</t>
        </is>
      </c>
      <c r="G335" s="2" t="inlineStr">
        <is>
          <t>add_row (give overruled_year; overruled_cites is prefilled where the report printed them), reject, or keep.</t>
        </is>
      </c>
      <c r="H335" s="12" t="inlineStr"/>
      <c r="I335" s="12" t="inlineStr"/>
      <c r="J335" s="13" t="inlineStr"/>
      <c r="K335" s="12" t="inlineStr"/>
      <c r="L335" s="12" t="inlineStr"/>
      <c r="M335" s="12" t="inlineStr"/>
      <c r="N335" s="12" t="inlineStr"/>
      <c r="O335" s="13" t="inlineStr"/>
      <c r="P335" s="12" t="inlineStr"/>
      <c r="Q335" s="12" t="inlineStr"/>
      <c r="R335" s="11" t="inlineStr">
        <is>
          <t>2026-10-15</t>
        </is>
      </c>
      <c r="S335" s="11" t="inlineStr"/>
    </row>
    <row r="336">
      <c r="A336" s="11" t="inlineStr">
        <is>
          <t>P-0249</t>
        </is>
      </c>
      <c r="B336" s="11" t="inlineStr">
        <is>
          <t>proposal</t>
        </is>
      </c>
      <c r="C336" s="11" t="n">
        <v>4</v>
      </c>
      <c r="D336" s="2" t="inlineStr">
        <is>
          <t>(see sentence)</t>
        </is>
      </c>
      <c r="E336" s="2" t="inlineStr">
        <is>
          <t>SBI GENERAL INSURANCE CO. LTD. versus KRISH SPINNING (2024, 3 judges)</t>
        </is>
      </c>
      <c r="F336" s="2" t="inlineStr">
        <is>
          <t>sentence: The view taken in SBP &amp; Co. (supra) and affirmed in Vidya Drolia (supra) that Sections 8 and 11 respectively of the Act, 1996 are complementary in nature was legislatively overruled by the introduction of Section 11(6-A) in 2015.</t>
        </is>
      </c>
      <c r="G336" s="2" t="inlineStr">
        <is>
          <t>add_row (give overruled_year; overruled_cites is prefilled where the report printed them), reject, or keep.</t>
        </is>
      </c>
      <c r="H336" s="12" t="inlineStr"/>
      <c r="I336" s="12" t="inlineStr"/>
      <c r="J336" s="13" t="inlineStr"/>
      <c r="K336" s="12" t="inlineStr"/>
      <c r="L336" s="12" t="inlineStr"/>
      <c r="M336" s="12" t="inlineStr"/>
      <c r="N336" s="12" t="inlineStr"/>
      <c r="O336" s="13" t="inlineStr"/>
      <c r="P336" s="12" t="inlineStr"/>
      <c r="Q336" s="12" t="inlineStr"/>
      <c r="R336" s="11" t="inlineStr">
        <is>
          <t>2026-10-15</t>
        </is>
      </c>
      <c r="S336" s="11" t="inlineStr"/>
    </row>
    <row r="337">
      <c r="A337" s="11" t="inlineStr">
        <is>
          <t>P-0263</t>
        </is>
      </c>
      <c r="B337" s="11" t="inlineStr">
        <is>
          <t>proposal</t>
        </is>
      </c>
      <c r="C337" s="11" t="n">
        <v>4</v>
      </c>
      <c r="D337" s="2" t="inlineStr">
        <is>
          <t>Sunil Kallani v. State of Rajasthan</t>
        </is>
      </c>
      <c r="E337" s="2" t="inlineStr">
        <is>
          <t>DHANRAJ ASWANI versus AMAR S. MULCHANDANI &amp; ANR. (2024, 3 judges)</t>
        </is>
      </c>
      <c r="F337" s="2" t="inlineStr">
        <is>
          <t>tag: disapproved</t>
        </is>
      </c>
      <c r="G337" s="2" t="inlineStr">
        <is>
          <t>add_row (give overruled_year; overruled_cites is prefilled where the report printed them), reject, or keep.</t>
        </is>
      </c>
      <c r="H337" s="12" t="inlineStr"/>
      <c r="I337" s="12" t="inlineStr"/>
      <c r="J337" s="13" t="inlineStr"/>
      <c r="K337" s="12" t="inlineStr"/>
      <c r="L337" s="12" t="inlineStr"/>
      <c r="M337" s="12" t="inlineStr"/>
      <c r="N337" s="12" t="inlineStr"/>
      <c r="O337" s="13" t="inlineStr"/>
      <c r="P337" s="12" t="inlineStr"/>
      <c r="Q337" s="12" t="inlineStr"/>
      <c r="R337" s="11" t="inlineStr">
        <is>
          <t>2026-10-15</t>
        </is>
      </c>
      <c r="S337" s="11" t="inlineStr"/>
    </row>
    <row r="338">
      <c r="A338" s="11" t="inlineStr">
        <is>
          <t>P-0264</t>
        </is>
      </c>
      <c r="B338" s="11" t="inlineStr">
        <is>
          <t>proposal</t>
        </is>
      </c>
      <c r="C338" s="11" t="n">
        <v>4</v>
      </c>
      <c r="D338" s="2" t="inlineStr">
        <is>
          <t>Rajesh Kumar Sharma v. CBI</t>
        </is>
      </c>
      <c r="E338" s="2" t="inlineStr">
        <is>
          <t>DHANRAJ ASWANI versus AMAR S. MULCHANDANI &amp; ANR. (2024, 3 judges)</t>
        </is>
      </c>
      <c r="F338" s="2" t="inlineStr">
        <is>
          <t>tag: disapproved</t>
        </is>
      </c>
      <c r="G338" s="2" t="inlineStr">
        <is>
          <t>add_row (give overruled_year; overruled_cites is prefilled where the report printed them), reject, or keep.</t>
        </is>
      </c>
      <c r="H338" s="12" t="inlineStr"/>
      <c r="I338" s="12" t="inlineStr"/>
      <c r="J338" s="13" t="inlineStr"/>
      <c r="K338" s="12" t="inlineStr"/>
      <c r="L338" s="12" t="inlineStr"/>
      <c r="M338" s="12" t="inlineStr"/>
      <c r="N338" s="12" t="inlineStr"/>
      <c r="O338" s="13" t="inlineStr"/>
      <c r="P338" s="12" t="inlineStr"/>
      <c r="Q338" s="12" t="inlineStr"/>
      <c r="R338" s="11" t="inlineStr">
        <is>
          <t>2026-10-15</t>
        </is>
      </c>
      <c r="S338" s="11" t="inlineStr"/>
    </row>
    <row r="339">
      <c r="A339" s="11" t="inlineStr">
        <is>
          <t>P-0265</t>
        </is>
      </c>
      <c r="B339" s="11" t="inlineStr">
        <is>
          <t>proposal</t>
        </is>
      </c>
      <c r="C339" s="11" t="n">
        <v>4</v>
      </c>
      <c r="D339" s="2" t="inlineStr">
        <is>
          <t>Bashir Hasan Siddiqui v. State (GNCTD)</t>
        </is>
      </c>
      <c r="E339" s="2" t="inlineStr">
        <is>
          <t>DHANRAJ ASWANI versus AMAR S. MULCHANDANI &amp; ANR. (2024, 3 judges)</t>
        </is>
      </c>
      <c r="F339" s="2" t="inlineStr">
        <is>
          <t>tag: disapproved</t>
        </is>
      </c>
      <c r="G339" s="2" t="inlineStr">
        <is>
          <t>add_row (give overruled_year; overruled_cites is prefilled where the report printed them), reject, or keep.</t>
        </is>
      </c>
      <c r="H339" s="12" t="inlineStr"/>
      <c r="I339" s="12" t="inlineStr"/>
      <c r="J339" s="13" t="inlineStr"/>
      <c r="K339" s="12" t="inlineStr"/>
      <c r="L339" s="12" t="inlineStr"/>
      <c r="M339" s="12" t="inlineStr"/>
      <c r="N339" s="12" t="inlineStr"/>
      <c r="O339" s="13" t="inlineStr"/>
      <c r="P339" s="12" t="inlineStr"/>
      <c r="Q339" s="12" t="inlineStr"/>
      <c r="R339" s="11" t="inlineStr">
        <is>
          <t>2026-10-15</t>
        </is>
      </c>
      <c r="S339" s="11" t="inlineStr"/>
    </row>
    <row r="340">
      <c r="A340" s="11" t="inlineStr">
        <is>
          <t>P-0266</t>
        </is>
      </c>
      <c r="B340" s="11" t="inlineStr">
        <is>
          <t>proposal</t>
        </is>
      </c>
      <c r="C340" s="11" t="n">
        <v>4</v>
      </c>
      <c r="D340" s="2" t="inlineStr">
        <is>
          <t>(see sentence)</t>
        </is>
      </c>
      <c r="E340" s="2" t="inlineStr">
        <is>
          <t>AJAY MADHUSUDAN PATEL &amp; ORS.  versus JYOTRINDRA S. PATEL &amp; ORS. (2024, 3 judges)</t>
        </is>
      </c>
      <c r="F340" s="2" t="inlineStr">
        <is>
          <t>sentence: Ltd. v. Rani Construction (P) Ltd. [(2002) 2 SCC 388] is overruled.</t>
        </is>
      </c>
      <c r="G340" s="2" t="inlineStr">
        <is>
          <t>add_row (give overruled_year; overruled_cites is prefilled where the report printed them), reject, or keep.</t>
        </is>
      </c>
      <c r="H340" s="12" t="inlineStr"/>
      <c r="I340" s="12" t="inlineStr"/>
      <c r="J340" s="13" t="inlineStr"/>
      <c r="K340" s="12" t="inlineStr"/>
      <c r="L340" s="12" t="inlineStr"/>
      <c r="M340" s="12" t="inlineStr"/>
      <c r="N340" s="12" t="inlineStr"/>
      <c r="O340" s="13" t="inlineStr"/>
      <c r="P340" s="12" t="inlineStr"/>
      <c r="Q340" s="12" t="inlineStr"/>
      <c r="R340" s="11" t="inlineStr">
        <is>
          <t>2026-10-15</t>
        </is>
      </c>
      <c r="S340" s="11" t="inlineStr"/>
    </row>
    <row r="341">
      <c r="A341" s="11" t="inlineStr">
        <is>
          <t>P-0267</t>
        </is>
      </c>
      <c r="B341" s="11" t="inlineStr">
        <is>
          <t>proposal</t>
        </is>
      </c>
      <c r="C341" s="11" t="n">
        <v>4</v>
      </c>
      <c r="D341" s="2" t="inlineStr">
        <is>
          <t>Kamal K. Singh v. Dinesh Gupta</t>
        </is>
      </c>
      <c r="E341" s="2" t="inlineStr">
        <is>
          <t>GLAS TRUST COMPANY LLC  versus BYJU RAVEENDRAN &amp; ORS. (2024, 3 judges)</t>
        </is>
      </c>
      <c r="F341" s="2" t="inlineStr">
        <is>
          <t>tag: held per incuriam</t>
        </is>
      </c>
      <c r="G341" s="2" t="inlineStr">
        <is>
          <t>add_row (give overruled_year; overruled_cites is prefilled where the report printed them), reject, or keep.</t>
        </is>
      </c>
      <c r="H341" s="12" t="inlineStr"/>
      <c r="I341" s="12" t="inlineStr"/>
      <c r="J341" s="13" t="inlineStr"/>
      <c r="K341" s="12" t="inlineStr"/>
      <c r="L341" s="12" t="inlineStr"/>
      <c r="M341" s="12" t="inlineStr"/>
      <c r="N341" s="12" t="inlineStr"/>
      <c r="O341" s="13" t="inlineStr"/>
      <c r="P341" s="12" t="inlineStr"/>
      <c r="Q341" s="12" t="inlineStr"/>
      <c r="R341" s="11" t="inlineStr">
        <is>
          <t>2026-10-15</t>
        </is>
      </c>
      <c r="S341" s="11" t="inlineStr"/>
    </row>
    <row r="342">
      <c r="A342" s="11" t="inlineStr">
        <is>
          <t>P-0268</t>
        </is>
      </c>
      <c r="B342" s="11" t="inlineStr">
        <is>
          <t>proposal</t>
        </is>
      </c>
      <c r="C342" s="11" t="n">
        <v>4</v>
      </c>
      <c r="D342" s="2" t="inlineStr">
        <is>
          <t>Ashok G. Rajani v. Beacon Trusteeship Ltd</t>
        </is>
      </c>
      <c r="E342" s="2" t="inlineStr">
        <is>
          <t>GLAS TRUST COMPANY LLC  versus BYJU RAVEENDRAN &amp; ORS. (2024, 3 judges)</t>
        </is>
      </c>
      <c r="F342" s="2" t="inlineStr">
        <is>
          <t>tag: held per incuriam</t>
        </is>
      </c>
      <c r="G342" s="2" t="inlineStr">
        <is>
          <t>add_row (give overruled_year; overruled_cites is prefilled where the report printed them), reject, or keep.</t>
        </is>
      </c>
      <c r="H342" s="12" t="inlineStr"/>
      <c r="I342" s="12" t="inlineStr"/>
      <c r="J342" s="13" t="inlineStr"/>
      <c r="K342" s="12" t="inlineStr"/>
      <c r="L342" s="12" t="inlineStr"/>
      <c r="M342" s="12" t="inlineStr"/>
      <c r="N342" s="12" t="inlineStr"/>
      <c r="O342" s="13" t="inlineStr"/>
      <c r="P342" s="12" t="inlineStr"/>
      <c r="Q342" s="12" t="inlineStr"/>
      <c r="R342" s="11" t="inlineStr">
        <is>
          <t>2026-10-15</t>
        </is>
      </c>
      <c r="S342" s="11" t="inlineStr"/>
    </row>
    <row r="343">
      <c r="A343" s="11" t="inlineStr">
        <is>
          <t>P-0270</t>
        </is>
      </c>
      <c r="B343" s="11" t="inlineStr">
        <is>
          <t>proposal</t>
        </is>
      </c>
      <c r="C343" s="11" t="n">
        <v>4</v>
      </c>
      <c r="D343" s="2" t="inlineStr">
        <is>
          <t>Tika Ramji v. State of Uttar Pradesh</t>
        </is>
      </c>
      <c r="E343" s="2" t="inlineStr">
        <is>
          <t>STATE OF U.P. &amp; ORS versus M/S LALTA PRASAD VAISH AND SONS (2024, 9 judges)</t>
        </is>
      </c>
      <c r="F343" s="2" t="inlineStr">
        <is>
          <t>tag: held not good law</t>
        </is>
      </c>
      <c r="G343" s="2" t="inlineStr">
        <is>
          <t>add_row (give overruled_year; overruled_cites is prefilled where the report printed them), reject, or keep.</t>
        </is>
      </c>
      <c r="H343" s="12" t="inlineStr"/>
      <c r="I343" s="12" t="inlineStr"/>
      <c r="J343" s="13" t="inlineStr"/>
      <c r="K343" s="12" t="inlineStr"/>
      <c r="L343" s="12" t="inlineStr"/>
      <c r="M343" s="12" t="inlineStr"/>
      <c r="N343" s="12" t="inlineStr"/>
      <c r="O343" s="13" t="inlineStr"/>
      <c r="P343" s="12" t="inlineStr"/>
      <c r="Q343" s="12" t="inlineStr"/>
      <c r="R343" s="11" t="inlineStr">
        <is>
          <t>2026-10-15</t>
        </is>
      </c>
      <c r="S343" s="11" t="inlineStr"/>
    </row>
    <row r="344">
      <c r="A344" s="11" t="inlineStr">
        <is>
          <t>P-0275</t>
        </is>
      </c>
      <c r="B344" s="11" t="inlineStr">
        <is>
          <t>proposal</t>
        </is>
      </c>
      <c r="C344" s="11" t="n">
        <v>4</v>
      </c>
      <c r="D344" s="2" t="inlineStr">
        <is>
          <t>Mangali Impex Ltd. v. Union of India</t>
        </is>
      </c>
      <c r="E344" s="2" t="inlineStr">
        <is>
          <t>COMMISSIONER OF CUSTOMS versus M/S CANON INDIA PVT. LTD. (2024, 3 judges)</t>
        </is>
      </c>
      <c r="F344" s="2" t="inlineStr">
        <is>
          <t>tag: disapproved</t>
        </is>
      </c>
      <c r="G344" s="2" t="inlineStr">
        <is>
          <t>add_row (give overruled_year; overruled_cites is prefilled where the report printed them), reject, or keep.</t>
        </is>
      </c>
      <c r="H344" s="12" t="inlineStr"/>
      <c r="I344" s="12" t="inlineStr"/>
      <c r="J344" s="13" t="inlineStr"/>
      <c r="K344" s="12" t="inlineStr"/>
      <c r="L344" s="12" t="inlineStr"/>
      <c r="M344" s="12" t="inlineStr"/>
      <c r="N344" s="12" t="inlineStr"/>
      <c r="O344" s="13" t="inlineStr"/>
      <c r="P344" s="12" t="inlineStr"/>
      <c r="Q344" s="12" t="inlineStr"/>
      <c r="R344" s="11" t="inlineStr">
        <is>
          <t>2026-10-15</t>
        </is>
      </c>
      <c r="S344" s="11" t="inlineStr"/>
    </row>
    <row r="345">
      <c r="A345" s="11" t="inlineStr">
        <is>
          <t>P-0277</t>
        </is>
      </c>
      <c r="B345" s="11" t="inlineStr">
        <is>
          <t>proposal</t>
        </is>
      </c>
      <c r="C345" s="11" t="n">
        <v>4</v>
      </c>
      <c r="D345" s="2" t="inlineStr">
        <is>
          <t>(see sentence)</t>
        </is>
      </c>
      <c r="E345" s="2" t="inlineStr">
        <is>
          <t>STATE OF MAHARASHTRA &amp; ORS. versus PRADEEP YASHWANT KOKADE &amp; ANR. (2024, 3 judges)</t>
        </is>
      </c>
      <c r="F345" s="2" t="inlineStr">
        <is>
          <t xml:space="preserve">sentence: No fixed period of delay could be held to make the sentence of death inexecutable and to this extent the decision in Vatheeswaran case [(1983) 2 SCC 68 : 1983 SCC (Cri) 342 : (1983) 2 SCR 348] cannot be said to lay down the correct law and </t>
        </is>
      </c>
      <c r="G345" s="2" t="inlineStr">
        <is>
          <t>add_row (give overruled_year; overruled_cites is prefilled where the report printed them), reject, or keep.</t>
        </is>
      </c>
      <c r="H345" s="12" t="inlineStr"/>
      <c r="I345" s="12" t="inlineStr"/>
      <c r="J345" s="13" t="inlineStr"/>
      <c r="K345" s="12" t="inlineStr"/>
      <c r="L345" s="12" t="inlineStr"/>
      <c r="M345" s="12" t="inlineStr"/>
      <c r="N345" s="12" t="inlineStr"/>
      <c r="O345" s="13" t="inlineStr"/>
      <c r="P345" s="12" t="inlineStr"/>
      <c r="Q345" s="12" t="inlineStr"/>
      <c r="R345" s="11" t="inlineStr">
        <is>
          <t>2026-10-15</t>
        </is>
      </c>
      <c r="S345" s="11" t="inlineStr"/>
    </row>
    <row r="346">
      <c r="A346" s="11" t="inlineStr">
        <is>
          <t>P-0278</t>
        </is>
      </c>
      <c r="B346" s="11" t="inlineStr">
        <is>
          <t>proposal</t>
        </is>
      </c>
      <c r="C346" s="11" t="n">
        <v>4</v>
      </c>
      <c r="D346" s="2" t="inlineStr">
        <is>
          <t>(see sentence)</t>
        </is>
      </c>
      <c r="E346" s="2" t="inlineStr">
        <is>
          <t>CHANDRABHAN SUDAM SANAP versus THE STATE OF MAHARASHTRA (2025, 3 judges)</t>
        </is>
      </c>
      <c r="F346" s="2" t="inlineStr">
        <is>
          <t>sentence: Resultantly, the judgment dated 3-4-2018 of a Division Bench of this Court reported as Shafhi Mohd. v. State of H.P. [Shafhi Mohd. v. State of H.P., (2018) 5 SCC 311 : (2018) 2 SCC (Cri) 704], in following the law incorrectly laid down in S</t>
        </is>
      </c>
      <c r="G346" s="2" t="inlineStr">
        <is>
          <t>add_row (give overruled_year; overruled_cites is prefilled where the report printed them), reject, or keep.</t>
        </is>
      </c>
      <c r="H346" s="12" t="inlineStr"/>
      <c r="I346" s="12" t="inlineStr"/>
      <c r="J346" s="13" t="inlineStr"/>
      <c r="K346" s="12" t="inlineStr"/>
      <c r="L346" s="12" t="inlineStr"/>
      <c r="M346" s="12" t="inlineStr"/>
      <c r="N346" s="12" t="inlineStr"/>
      <c r="O346" s="13" t="inlineStr"/>
      <c r="P346" s="12" t="inlineStr"/>
      <c r="Q346" s="12" t="inlineStr"/>
      <c r="R346" s="11" t="inlineStr">
        <is>
          <t>2026-10-15</t>
        </is>
      </c>
      <c r="S346" s="11" t="inlineStr"/>
    </row>
    <row r="347">
      <c r="A347" s="11" t="inlineStr">
        <is>
          <t>P-0279</t>
        </is>
      </c>
      <c r="B347" s="11" t="inlineStr">
        <is>
          <t>proposal</t>
        </is>
      </c>
      <c r="C347" s="11" t="n">
        <v>4</v>
      </c>
      <c r="D347" s="2" t="inlineStr">
        <is>
          <t>(see sentence)</t>
        </is>
      </c>
      <c r="E347" s="2" t="inlineStr">
        <is>
          <t>CHANDRABHAN SUDAM SANAP versus THE STATE OF MAHARASHTRA (2025, 3 judges)</t>
        </is>
      </c>
      <c r="F347" s="2" t="inlineStr">
        <is>
          <t>sentence: Also, the judgment in Shafhi Mohammad [Shafhi Mohammad v. State of H.P., (2018) 2 SCC 801 : (2018) 2 SCC 807 : (2018) 2 SCC (Civ) 346 : (2018) 2 SCC (Civ) 351 : (2018) 1 SCC (Cri) 860 : (2018) 1 SCC (Cri) 865] and the judgment dated 3-4-201</t>
        </is>
      </c>
      <c r="G347" s="2" t="inlineStr">
        <is>
          <t>add_row (give overruled_year; overruled_cites is prefilled where the report printed them), reject, or keep.</t>
        </is>
      </c>
      <c r="H347" s="12" t="inlineStr"/>
      <c r="I347" s="12" t="inlineStr"/>
      <c r="J347" s="13" t="inlineStr"/>
      <c r="K347" s="12" t="inlineStr"/>
      <c r="L347" s="12" t="inlineStr"/>
      <c r="M347" s="12" t="inlineStr"/>
      <c r="N347" s="12" t="inlineStr"/>
      <c r="O347" s="13" t="inlineStr"/>
      <c r="P347" s="12" t="inlineStr"/>
      <c r="Q347" s="12" t="inlineStr"/>
      <c r="R347" s="11" t="inlineStr">
        <is>
          <t>2026-10-15</t>
        </is>
      </c>
      <c r="S347" s="11" t="inlineStr"/>
    </row>
    <row r="348">
      <c r="A348" s="11" t="inlineStr">
        <is>
          <t>P-0280</t>
        </is>
      </c>
      <c r="B348" s="11" t="inlineStr">
        <is>
          <t>proposal</t>
        </is>
      </c>
      <c r="C348" s="11" t="n">
        <v>4</v>
      </c>
      <c r="D348" s="2" t="inlineStr">
        <is>
          <t>Navdeep Kaur v. Dilraj Singh</t>
        </is>
      </c>
      <c r="E348" s="2" t="inlineStr">
        <is>
          <t>SUKHDEV SINGH versus SUKHBIR KAUR (2025, 3 judges)</t>
        </is>
      </c>
      <c r="F348" s="2" t="inlineStr">
        <is>
          <t>tag: overruled</t>
        </is>
      </c>
      <c r="G348" s="2" t="inlineStr">
        <is>
          <t>add_row (give overruled_year; overruled_cites is prefilled where the report printed them), reject, or keep.</t>
        </is>
      </c>
      <c r="H348" s="12" t="inlineStr"/>
      <c r="I348" s="12" t="inlineStr"/>
      <c r="J348" s="13" t="inlineStr"/>
      <c r="K348" s="12" t="inlineStr"/>
      <c r="L348" s="12" t="inlineStr"/>
      <c r="M348" s="12" t="inlineStr"/>
      <c r="N348" s="12" t="inlineStr"/>
      <c r="O348" s="13" t="inlineStr"/>
      <c r="P348" s="12" t="inlineStr"/>
      <c r="Q348" s="12" t="inlineStr"/>
      <c r="R348" s="11" t="inlineStr">
        <is>
          <t>2026-10-15</t>
        </is>
      </c>
      <c r="S348" s="11" t="inlineStr"/>
    </row>
    <row r="349">
      <c r="A349" s="11" t="inlineStr">
        <is>
          <t>P-0281</t>
        </is>
      </c>
      <c r="B349" s="11" t="inlineStr">
        <is>
          <t>proposal</t>
        </is>
      </c>
      <c r="C349" s="11" t="n">
        <v>4</v>
      </c>
      <c r="D349" s="2" t="inlineStr">
        <is>
          <t>Bhausaheb @ Sandhu v. Leelabai</t>
        </is>
      </c>
      <c r="E349" s="2" t="inlineStr">
        <is>
          <t>SUKHDEV SINGH versus SUKHBIR KAUR (2025, 3 judges)</t>
        </is>
      </c>
      <c r="F349" s="2" t="inlineStr">
        <is>
          <t>tag: overruled</t>
        </is>
      </c>
      <c r="G349" s="2" t="inlineStr">
        <is>
          <t>add_row (give overruled_year; overruled_cites is prefilled where the report printed them), reject, or keep.</t>
        </is>
      </c>
      <c r="H349" s="12" t="inlineStr"/>
      <c r="I349" s="12" t="inlineStr"/>
      <c r="J349" s="13" t="inlineStr"/>
      <c r="K349" s="12" t="inlineStr"/>
      <c r="L349" s="12" t="inlineStr"/>
      <c r="M349" s="12" t="inlineStr"/>
      <c r="N349" s="12" t="inlineStr"/>
      <c r="O349" s="13" t="inlineStr"/>
      <c r="P349" s="12" t="inlineStr"/>
      <c r="Q349" s="12" t="inlineStr"/>
      <c r="R349" s="11" t="inlineStr">
        <is>
          <t>2026-10-15</t>
        </is>
      </c>
      <c r="S349" s="11" t="inlineStr"/>
    </row>
    <row r="350">
      <c r="A350" s="11" t="inlineStr">
        <is>
          <t>P-0284</t>
        </is>
      </c>
      <c r="B350" s="11" t="inlineStr">
        <is>
          <t>proposal</t>
        </is>
      </c>
      <c r="C350" s="11" t="n">
        <v>4</v>
      </c>
      <c r="D350" s="2" t="inlineStr">
        <is>
          <t>(see sentence)</t>
        </is>
      </c>
      <c r="E350" s="2" t="inlineStr">
        <is>
          <t>DISORTHO S.A.S.  versus MERIL LIFE SCIENCES PRIVATE LIMITED (2025, 3 judges)</t>
        </is>
      </c>
      <c r="F350" s="2" t="inlineStr">
        <is>
          <t>sentence: The notional doctrine of concurrent [2025] 3 S.C.R. 1573 Disortho S.A.S. v. Meril Life Sciences Private Limited jurisdiction has been expressly rejected and overruled by this Court in its subsequent decisions.</t>
        </is>
      </c>
      <c r="G350" s="2" t="inlineStr">
        <is>
          <t>add_row (give overruled_year; overruled_cites is prefilled where the report printed them), reject, or keep.</t>
        </is>
      </c>
      <c r="H350" s="12" t="inlineStr"/>
      <c r="I350" s="12" t="inlineStr"/>
      <c r="J350" s="13" t="inlineStr"/>
      <c r="K350" s="12" t="inlineStr"/>
      <c r="L350" s="12" t="inlineStr"/>
      <c r="M350" s="12" t="inlineStr"/>
      <c r="N350" s="12" t="inlineStr"/>
      <c r="O350" s="13" t="inlineStr"/>
      <c r="P350" s="12" t="inlineStr"/>
      <c r="Q350" s="12" t="inlineStr"/>
      <c r="R350" s="11" t="inlineStr">
        <is>
          <t>2026-10-15</t>
        </is>
      </c>
      <c r="S350" s="11" t="inlineStr"/>
    </row>
    <row r="351">
      <c r="A351" s="11" t="inlineStr">
        <is>
          <t>P-0285</t>
        </is>
      </c>
      <c r="B351" s="11" t="inlineStr">
        <is>
          <t>proposal</t>
        </is>
      </c>
      <c r="C351" s="11" t="n">
        <v>4</v>
      </c>
      <c r="D351" s="2" t="inlineStr">
        <is>
          <t>Kinnari Mullick and Another v. Ghanshyam Das Damani</t>
        </is>
      </c>
      <c r="E351" s="2" t="inlineStr">
        <is>
          <t>GAYATRI BALASAMY versus M/S ISG NOVASOFT TECHNOLOGIES LIMITED (2025, 5 judges)</t>
        </is>
      </c>
      <c r="F351" s="2" t="inlineStr">
        <is>
          <t>tag: held not correct law</t>
        </is>
      </c>
      <c r="G351" s="2" t="inlineStr">
        <is>
          <t>add_row (give overruled_year; overruled_cites is prefilled where the report printed them), reject, or keep.</t>
        </is>
      </c>
      <c r="H351" s="12" t="inlineStr"/>
      <c r="I351" s="12" t="inlineStr"/>
      <c r="J351" s="13" t="inlineStr"/>
      <c r="K351" s="12" t="inlineStr"/>
      <c r="L351" s="12" t="inlineStr"/>
      <c r="M351" s="12" t="inlineStr"/>
      <c r="N351" s="12" t="inlineStr"/>
      <c r="O351" s="13" t="inlineStr"/>
      <c r="P351" s="12" t="inlineStr"/>
      <c r="Q351" s="12" t="inlineStr"/>
      <c r="R351" s="11" t="inlineStr">
        <is>
          <t>2026-10-15</t>
        </is>
      </c>
      <c r="S351" s="11" t="inlineStr"/>
    </row>
    <row r="352">
      <c r="A352" s="11" t="inlineStr">
        <is>
          <t>P-0286</t>
        </is>
      </c>
      <c r="B352" s="11" t="inlineStr">
        <is>
          <t>proposal</t>
        </is>
      </c>
      <c r="C352" s="11" t="n">
        <v>4</v>
      </c>
      <c r="D352" s="2" t="inlineStr">
        <is>
          <t>Kinnari Mullick and Another v. Ghanshyam Das Damani</t>
        </is>
      </c>
      <c r="E352" s="2" t="inlineStr">
        <is>
          <t>GAYATRI BALASAMY versus M/S ISG NOVASOFT TECHNOLOGIES LIMITED (2025, 5 judges)</t>
        </is>
      </c>
      <c r="F352" s="2" t="inlineStr">
        <is>
          <t>tag: held not correct law</t>
        </is>
      </c>
      <c r="G352" s="2" t="inlineStr">
        <is>
          <t>add_row (give overruled_year; overruled_cites is prefilled where the report printed them), reject, or keep.</t>
        </is>
      </c>
      <c r="H352" s="12" t="inlineStr"/>
      <c r="I352" s="12" t="inlineStr"/>
      <c r="J352" s="13" t="inlineStr"/>
      <c r="K352" s="12" t="inlineStr"/>
      <c r="L352" s="12" t="inlineStr"/>
      <c r="M352" s="12" t="inlineStr"/>
      <c r="N352" s="12" t="inlineStr"/>
      <c r="O352" s="13" t="inlineStr"/>
      <c r="P352" s="12" t="inlineStr"/>
      <c r="Q352" s="12" t="inlineStr"/>
      <c r="R352" s="11" t="inlineStr">
        <is>
          <t>2026-10-15</t>
        </is>
      </c>
      <c r="S352" s="11" t="inlineStr"/>
    </row>
    <row r="353">
      <c r="A353" s="11" t="inlineStr">
        <is>
          <t>P-0287</t>
        </is>
      </c>
      <c r="B353" s="11" t="inlineStr">
        <is>
          <t>proposal</t>
        </is>
      </c>
      <c r="C353" s="11" t="n">
        <v>4</v>
      </c>
      <c r="D353" s="2" t="inlineStr">
        <is>
          <t>(see sentence)</t>
        </is>
      </c>
      <c r="E353" s="2" t="inlineStr">
        <is>
          <t>C.T. KOCHOUSEPH versus STATE OF KERALA AND ANOTHER ETC. (2025, 3 judges)</t>
        </is>
      </c>
      <c r="F353" s="2" t="inlineStr">
        <is>
          <t xml:space="preserve">sentence: I am inclined now to think that this is an approach that basically alters the parameters and removes the provision from the area of vulnerability.” (emphasis supplied)” This Court in Devi Dass (supra) affirmed the reasoning in Hotel Balaji </t>
        </is>
      </c>
      <c r="G353" s="2" t="inlineStr">
        <is>
          <t>add_row (give overruled_year; overruled_cites is prefilled where the report printed them), reject, or keep.</t>
        </is>
      </c>
      <c r="H353" s="12" t="inlineStr"/>
      <c r="I353" s="12" t="inlineStr"/>
      <c r="J353" s="13" t="inlineStr"/>
      <c r="K353" s="12" t="inlineStr"/>
      <c r="L353" s="12" t="inlineStr"/>
      <c r="M353" s="12" t="inlineStr"/>
      <c r="N353" s="12" t="inlineStr"/>
      <c r="O353" s="13" t="inlineStr"/>
      <c r="P353" s="12" t="inlineStr"/>
      <c r="Q353" s="12" t="inlineStr"/>
      <c r="R353" s="11" t="inlineStr">
        <is>
          <t>2026-10-15</t>
        </is>
      </c>
      <c r="S353" s="11" t="inlineStr"/>
    </row>
    <row r="354">
      <c r="A354" s="11" t="inlineStr">
        <is>
          <t>P-0288</t>
        </is>
      </c>
      <c r="B354" s="11" t="inlineStr">
        <is>
          <t>proposal</t>
        </is>
      </c>
      <c r="C354" s="11" t="n">
        <v>4</v>
      </c>
      <c r="D354" s="2" t="inlineStr">
        <is>
          <t>(see sentence)</t>
        </is>
      </c>
      <c r="E354" s="2" t="inlineStr">
        <is>
          <t>A.C. Narayanan v. State of Maharashtra &amp; Anr (, 3 judges)</t>
        </is>
      </c>
      <c r="F354" s="2" t="inlineStr">
        <is>
          <t>sentence: The view taken in the case of Floriano Armando Luis cannot be said to have laid down a correct law and is accordingly overruled.” 19) As noticed hereinabove, though Janki Vashdeo Bhojwani (supra), relates to powers of Power of Attorney hold</t>
        </is>
      </c>
      <c r="G354" s="2" t="inlineStr">
        <is>
          <t>add_row (give overruled_year; overruled_cites is prefilled where the report printed them), reject, or keep.</t>
        </is>
      </c>
      <c r="H354" s="12" t="inlineStr"/>
      <c r="I354" s="12" t="inlineStr"/>
      <c r="J354" s="13" t="inlineStr"/>
      <c r="K354" s="12" t="inlineStr"/>
      <c r="L354" s="12" t="inlineStr"/>
      <c r="M354" s="12" t="inlineStr"/>
      <c r="N354" s="12" t="inlineStr"/>
      <c r="O354" s="13" t="inlineStr"/>
      <c r="P354" s="12" t="inlineStr"/>
      <c r="Q354" s="12" t="inlineStr"/>
      <c r="R354" s="11" t="inlineStr">
        <is>
          <t>2026-10-15</t>
        </is>
      </c>
      <c r="S354" s="11" t="inlineStr"/>
    </row>
    <row r="355">
      <c r="A355" s="11" t="inlineStr">
        <is>
          <t>P-0289</t>
        </is>
      </c>
      <c r="B355" s="11" t="inlineStr">
        <is>
          <t>proposal</t>
        </is>
      </c>
      <c r="C355" s="11" t="n">
        <v>4</v>
      </c>
      <c r="D355" s="2" t="inlineStr">
        <is>
          <t>(see sentence)</t>
        </is>
      </c>
      <c r="E355" s="2" t="inlineStr">
        <is>
          <t>People’s Union for Civil Liberties &amp; Anr v. Union of India &amp; Anr (, 3 judges)</t>
        </is>
      </c>
      <c r="F355" s="2" t="inlineStr">
        <is>
          <t>sentence: With the above observation, we hold that there is no doubt or confusion persisting in the Constitution Bench judgment of this Court in Kuldip Nayar (supra) and the decisions in Association for Democratic Reforms (supra) and People’s Union f</t>
        </is>
      </c>
      <c r="G355" s="2" t="inlineStr">
        <is>
          <t>add_row (give overruled_year; overruled_cites is prefilled where the report printed them), reject, or keep.</t>
        </is>
      </c>
      <c r="H355" s="12" t="inlineStr"/>
      <c r="I355" s="12" t="inlineStr"/>
      <c r="J355" s="13" t="inlineStr"/>
      <c r="K355" s="12" t="inlineStr"/>
      <c r="L355" s="12" t="inlineStr"/>
      <c r="M355" s="12" t="inlineStr"/>
      <c r="N355" s="12" t="inlineStr"/>
      <c r="O355" s="13" t="inlineStr"/>
      <c r="P355" s="12" t="inlineStr"/>
      <c r="Q355" s="12" t="inlineStr"/>
      <c r="R355" s="11" t="inlineStr">
        <is>
          <t>2026-10-15</t>
        </is>
      </c>
      <c r="S355" s="11" t="inlineStr"/>
    </row>
    <row r="356">
      <c r="A356" s="11" t="inlineStr">
        <is>
          <t>P-0290</t>
        </is>
      </c>
      <c r="B356" s="11" t="inlineStr">
        <is>
          <t>proposal</t>
        </is>
      </c>
      <c r="C356" s="11" t="n">
        <v>4</v>
      </c>
      <c r="D356" s="2" t="inlineStr">
        <is>
          <t>(see sentence)</t>
        </is>
      </c>
      <c r="E356" s="2" t="inlineStr">
        <is>
          <t>Shatrughan Chauhan &amp; Anr v. Union of India &amp; Ors (, 3 judges)</t>
        </is>
      </c>
      <c r="F356" s="2" t="inlineStr">
        <is>
          <t>sentence: No fixed period of delay could be held to make the sentence of death inexecutable and to this extent the decision in Vatheeswaran case cannot be said to lay down the correct law and therefore to that extent stands overruled.” 35) While givi</t>
        </is>
      </c>
      <c r="G356" s="2" t="inlineStr">
        <is>
          <t>add_row (give overruled_year; overruled_cites is prefilled where the report printed them), reject, or keep.</t>
        </is>
      </c>
      <c r="H356" s="12" t="inlineStr"/>
      <c r="I356" s="12" t="inlineStr"/>
      <c r="J356" s="13" t="inlineStr"/>
      <c r="K356" s="12" t="inlineStr"/>
      <c r="L356" s="12" t="inlineStr"/>
      <c r="M356" s="12" t="inlineStr"/>
      <c r="N356" s="12" t="inlineStr"/>
      <c r="O356" s="13" t="inlineStr"/>
      <c r="P356" s="12" t="inlineStr"/>
      <c r="Q356" s="12" t="inlineStr"/>
      <c r="R356" s="11" t="inlineStr">
        <is>
          <t>2026-10-15</t>
        </is>
      </c>
      <c r="S356" s="11" t="inlineStr"/>
    </row>
    <row r="357">
      <c r="A357" s="11" t="inlineStr">
        <is>
          <t>P-0291</t>
        </is>
      </c>
      <c r="B357" s="11" t="inlineStr">
        <is>
          <t>proposal</t>
        </is>
      </c>
      <c r="C357" s="11" t="n">
        <v>4</v>
      </c>
      <c r="D357" s="2" t="inlineStr">
        <is>
          <t>(see sentence)</t>
        </is>
      </c>
      <c r="E357" s="2" t="inlineStr">
        <is>
          <t>STATE OF PUNJAB v. N.C. BUDHARAJ (DEAD) BY L.RS., ETC. ETC (2001, 3 judges)</t>
        </is>
      </c>
      <c r="F357" s="2" t="inlineStr">
        <is>
          <t>sentence: The decision in Jenas case [1988 (1) SCC 418] taking a contra view does not lay down the correct position and stands overruled, prospectively, which means that this decision shall not entitle any party nor shall it empower any Court to reop</t>
        </is>
      </c>
      <c r="G357" s="2" t="inlineStr">
        <is>
          <t>add_row (give overruled_year; overruled_cites is prefilled where the report printed them), reject, or keep.</t>
        </is>
      </c>
      <c r="H357" s="12" t="inlineStr"/>
      <c r="I357" s="12" t="inlineStr"/>
      <c r="J357" s="13" t="inlineStr"/>
      <c r="K357" s="12" t="inlineStr"/>
      <c r="L357" s="12" t="inlineStr"/>
      <c r="M357" s="12" t="inlineStr"/>
      <c r="N357" s="12" t="inlineStr"/>
      <c r="O357" s="13" t="inlineStr"/>
      <c r="P357" s="12" t="inlineStr"/>
      <c r="Q357" s="12" t="inlineStr"/>
      <c r="R357" s="11" t="inlineStr">
        <is>
          <t>2026-10-15</t>
        </is>
      </c>
      <c r="S357" s="11" t="inlineStr"/>
    </row>
    <row r="358">
      <c r="A358" s="11" t="inlineStr">
        <is>
          <t>P-0292</t>
        </is>
      </c>
      <c r="B358" s="11" t="inlineStr">
        <is>
          <t>proposal</t>
        </is>
      </c>
      <c r="C358" s="11" t="n">
        <v>4</v>
      </c>
      <c r="D358" s="2" t="inlineStr">
        <is>
          <t>(see sentence)</t>
        </is>
      </c>
      <c r="E358" s="2" t="inlineStr">
        <is>
          <t>EXECUTIVE ENGINEER, DHENKANAL MINOR IRRIGATION DIVISION,ETC.ETC v. N.C.BUDHARAJ (DEAD) BY L.RS.ETC.ETC (2001, 5 judges)</t>
        </is>
      </c>
      <c r="F358" s="2" t="inlineStr">
        <is>
          <t>sentence: The decision in Jenas case [1988 (1) SCC 418] taking a contra view does not lay down the correct position and stands overruled, prospectively, which means that this decision shall not entitle any party nor shall it empower any Court to reop</t>
        </is>
      </c>
      <c r="G358" s="2" t="inlineStr">
        <is>
          <t>add_row (give overruled_year; overruled_cites is prefilled where the report printed them), reject, or keep.</t>
        </is>
      </c>
      <c r="H358" s="12" t="inlineStr"/>
      <c r="I358" s="12" t="inlineStr"/>
      <c r="J358" s="13" t="inlineStr"/>
      <c r="K358" s="12" t="inlineStr"/>
      <c r="L358" s="12" t="inlineStr"/>
      <c r="M358" s="12" t="inlineStr"/>
      <c r="N358" s="12" t="inlineStr"/>
      <c r="O358" s="13" t="inlineStr"/>
      <c r="P358" s="12" t="inlineStr"/>
      <c r="Q358" s="12" t="inlineStr"/>
      <c r="R358" s="11" t="inlineStr">
        <is>
          <t>2026-10-15</t>
        </is>
      </c>
      <c r="S358" s="11" t="inlineStr"/>
    </row>
    <row r="359">
      <c r="A359" s="11" t="inlineStr">
        <is>
          <t>P-0293</t>
        </is>
      </c>
      <c r="B359" s="11" t="inlineStr">
        <is>
          <t>proposal</t>
        </is>
      </c>
      <c r="C359" s="11" t="n">
        <v>4</v>
      </c>
      <c r="D359" s="2" t="inlineStr">
        <is>
          <t>(see sentence)</t>
        </is>
      </c>
      <c r="E359" s="2" t="inlineStr">
        <is>
          <t>SYNDICATE BANK v. PRABHA D. NAIK AND ANR. ETC (2001, 3 judges)</t>
        </is>
      </c>
      <c r="F359" s="2" t="inlineStr">
        <is>
          <t>sentence: At the cost of repitition we say that while implied repeal is not to be readily inferred but in the contextual facts, upon scrutiny, we cannot but hold that on the wake of the factum of the Limitation Act coming into existence from 1.1.1964</t>
        </is>
      </c>
      <c r="G359" s="2" t="inlineStr">
        <is>
          <t>add_row (give overruled_year; overruled_cites is prefilled where the report printed them), reject, or keep.</t>
        </is>
      </c>
      <c r="H359" s="12" t="inlineStr"/>
      <c r="I359" s="12" t="inlineStr"/>
      <c r="J359" s="13" t="inlineStr"/>
      <c r="K359" s="12" t="inlineStr"/>
      <c r="L359" s="12" t="inlineStr"/>
      <c r="M359" s="12" t="inlineStr"/>
      <c r="N359" s="12" t="inlineStr"/>
      <c r="O359" s="13" t="inlineStr"/>
      <c r="P359" s="12" t="inlineStr"/>
      <c r="Q359" s="12" t="inlineStr"/>
      <c r="R359" s="11" t="inlineStr">
        <is>
          <t>2026-10-15</t>
        </is>
      </c>
      <c r="S359" s="11" t="inlineStr"/>
    </row>
    <row r="360">
      <c r="A360" s="11" t="inlineStr">
        <is>
          <t>P-0294</t>
        </is>
      </c>
      <c r="B360" s="11" t="inlineStr">
        <is>
          <t>proposal</t>
        </is>
      </c>
      <c r="C360" s="11" t="n">
        <v>4</v>
      </c>
      <c r="D360" s="2" t="inlineStr">
        <is>
          <t>(see sentence)</t>
        </is>
      </c>
      <c r="E360" s="2" t="inlineStr">
        <is>
          <t>KARNATAKA STATE ROAD TRANSPORT CORPN v. LAKSHMIDEVAMMA &amp; ANOTHER (2001, 5 judges)</t>
        </is>
      </c>
      <c r="F360" s="2" t="inlineStr">
        <is>
          <t>sentence: In view of above, I am of the opinion that the Shambu Nath Goyal’s case (supra) does not lay down correct law.</t>
        </is>
      </c>
      <c r="G360" s="2" t="inlineStr">
        <is>
          <t>add_row (give overruled_year; overruled_cites is prefilled where the report printed them), reject, or keep.</t>
        </is>
      </c>
      <c r="H360" s="12" t="inlineStr"/>
      <c r="I360" s="12" t="inlineStr"/>
      <c r="J360" s="13" t="inlineStr"/>
      <c r="K360" s="12" t="inlineStr"/>
      <c r="L360" s="12" t="inlineStr"/>
      <c r="M360" s="12" t="inlineStr"/>
      <c r="N360" s="12" t="inlineStr"/>
      <c r="O360" s="13" t="inlineStr"/>
      <c r="P360" s="12" t="inlineStr"/>
      <c r="Q360" s="12" t="inlineStr"/>
      <c r="R360" s="11" t="inlineStr">
        <is>
          <t>2026-10-15</t>
        </is>
      </c>
      <c r="S360" s="11" t="inlineStr"/>
    </row>
    <row r="361">
      <c r="A361" s="11" t="inlineStr">
        <is>
          <t>P-0295</t>
        </is>
      </c>
      <c r="B361" s="11" t="inlineStr">
        <is>
          <t>proposal</t>
        </is>
      </c>
      <c r="C361" s="11" t="n">
        <v>4</v>
      </c>
      <c r="D361" s="2" t="inlineStr">
        <is>
          <t>(see sentence)</t>
        </is>
      </c>
      <c r="E361" s="2" t="inlineStr">
        <is>
          <t>PRADEEP KUMAR BISWAS v. IBNIDOILAONGYIN&amp;STOIRTSU.TE OF CHEMICAL (2002, 5 judges)</t>
        </is>
      </c>
      <c r="F361" s="2" t="inlineStr">
        <is>
          <t>sentence: Yet another judicial blow was dealt to the decision in Sabhajit Tewary when it was said: "Much water has flown down the Jamuna since the dicta in Sabhajit Tewary case and conceding that it is not specifically overruled in later decision, it</t>
        </is>
      </c>
      <c r="G361" s="2" t="inlineStr">
        <is>
          <t>add_row (give overruled_year; overruled_cites is prefilled where the report printed them), reject, or keep.</t>
        </is>
      </c>
      <c r="H361" s="12" t="inlineStr"/>
      <c r="I361" s="12" t="inlineStr"/>
      <c r="J361" s="13" t="inlineStr"/>
      <c r="K361" s="12" t="inlineStr"/>
      <c r="L361" s="12" t="inlineStr"/>
      <c r="M361" s="12" t="inlineStr"/>
      <c r="N361" s="12" t="inlineStr"/>
      <c r="O361" s="13" t="inlineStr"/>
      <c r="P361" s="12" t="inlineStr"/>
      <c r="Q361" s="12" t="inlineStr"/>
      <c r="R361" s="11" t="inlineStr">
        <is>
          <t>2026-10-15</t>
        </is>
      </c>
      <c r="S361" s="11" t="inlineStr"/>
    </row>
    <row r="362">
      <c r="A362" s="11" t="inlineStr">
        <is>
          <t>P-0296</t>
        </is>
      </c>
      <c r="B362" s="11" t="inlineStr">
        <is>
          <t>proposal</t>
        </is>
      </c>
      <c r="C362" s="11" t="n">
        <v>4</v>
      </c>
      <c r="D362" s="2" t="inlineStr">
        <is>
          <t>(see sentence)</t>
        </is>
      </c>
      <c r="E362" s="2" t="inlineStr">
        <is>
          <t>K.M. CHINNAPPA, T.N. Godavarman Thirumalpad v. Union of India and Ors (2002, 3 judges)</t>
        </is>
      </c>
      <c r="F362" s="2" t="inlineStr">
        <is>
          <t>sentence: Banshi Ram’s case on which emphasis was laid by the company is not good law in view of the subsequent decisions of this Court in Ambica Quarry Works v. State of Gujarat and Ors. (1987 (1) SCC 213).</t>
        </is>
      </c>
      <c r="G362" s="2" t="inlineStr">
        <is>
          <t>add_row (give overruled_year; overruled_cites is prefilled where the report printed them), reject, or keep.</t>
        </is>
      </c>
      <c r="H362" s="12" t="inlineStr"/>
      <c r="I362" s="12" t="inlineStr"/>
      <c r="J362" s="13" t="inlineStr"/>
      <c r="K362" s="12" t="inlineStr"/>
      <c r="L362" s="12" t="inlineStr"/>
      <c r="M362" s="12" t="inlineStr"/>
      <c r="N362" s="12" t="inlineStr"/>
      <c r="O362" s="13" t="inlineStr"/>
      <c r="P362" s="12" t="inlineStr"/>
      <c r="Q362" s="12" t="inlineStr"/>
      <c r="R362" s="11" t="inlineStr">
        <is>
          <t>2026-10-15</t>
        </is>
      </c>
      <c r="S362" s="11" t="inlineStr"/>
    </row>
    <row r="363">
      <c r="A363" s="11" t="inlineStr">
        <is>
          <t>P-0297</t>
        </is>
      </c>
      <c r="B363" s="11" t="inlineStr">
        <is>
          <t>proposal</t>
        </is>
      </c>
      <c r="C363" s="11" t="n">
        <v>4</v>
      </c>
      <c r="D363" s="2" t="inlineStr">
        <is>
          <t>(see sentence)</t>
        </is>
      </c>
      <c r="E363" s="2" t="inlineStr">
        <is>
          <t>Maan Singh v. Union of India &amp; Ors (2003, 3 judges)</t>
        </is>
      </c>
      <c r="F363" s="2" t="inlineStr">
        <is>
          <t>sentence: It was also contended that the decision of this Court in State of Madhya Pradeshb vs. Harihar Gopal, 1969 SLR 274, is deemed to have been overruled.</t>
        </is>
      </c>
      <c r="G363" s="2" t="inlineStr">
        <is>
          <t>add_row (give overruled_year; overruled_cites is prefilled where the report printed them), reject, or keep.</t>
        </is>
      </c>
      <c r="H363" s="12" t="inlineStr"/>
      <c r="I363" s="12" t="inlineStr"/>
      <c r="J363" s="13" t="inlineStr"/>
      <c r="K363" s="12" t="inlineStr"/>
      <c r="L363" s="12" t="inlineStr"/>
      <c r="M363" s="12" t="inlineStr"/>
      <c r="N363" s="12" t="inlineStr"/>
      <c r="O363" s="13" t="inlineStr"/>
      <c r="P363" s="12" t="inlineStr"/>
      <c r="Q363" s="12" t="inlineStr"/>
      <c r="R363" s="11" t="inlineStr">
        <is>
          <t>2026-10-15</t>
        </is>
      </c>
      <c r="S363" s="11" t="inlineStr"/>
    </row>
    <row r="364">
      <c r="A364" s="11" t="inlineStr">
        <is>
          <t>P-0298</t>
        </is>
      </c>
      <c r="B364" s="11" t="inlineStr">
        <is>
          <t>proposal</t>
        </is>
      </c>
      <c r="C364" s="11" t="n">
        <v>4</v>
      </c>
      <c r="D364" s="2" t="inlineStr">
        <is>
          <t>(see sentence)</t>
        </is>
      </c>
      <c r="E364" s="2" t="inlineStr">
        <is>
          <t>Shri Kirshna Gyanoday Sugar Ltd. &amp; Anr v. Vs. State of Bihar (2003, 3 judges)</t>
        </is>
      </c>
      <c r="F364" s="2" t="inlineStr">
        <is>
          <t>sentence: That the decision in Ishwari Khetan Sugar Mills (P) Ltd. &amp; Ors. vs. State of U.P. &amp; Ors., 1980 (4) SCC 136, stands overruled by the decision in Synthetics &amp; Chemicals Ltd. &amp; Ors. vs. State of U.P. &amp; Ors., 1990 (1) SCC 109; 3.</t>
        </is>
      </c>
      <c r="G364" s="2" t="inlineStr">
        <is>
          <t>add_row (give overruled_year; overruled_cites is prefilled where the report printed them), reject, or keep.</t>
        </is>
      </c>
      <c r="H364" s="12" t="inlineStr"/>
      <c r="I364" s="12" t="inlineStr"/>
      <c r="J364" s="13" t="inlineStr"/>
      <c r="K364" s="12" t="inlineStr"/>
      <c r="L364" s="12" t="inlineStr"/>
      <c r="M364" s="12" t="inlineStr"/>
      <c r="N364" s="12" t="inlineStr"/>
      <c r="O364" s="13" t="inlineStr"/>
      <c r="P364" s="12" t="inlineStr"/>
      <c r="Q364" s="12" t="inlineStr"/>
      <c r="R364" s="11" t="inlineStr">
        <is>
          <t>2026-10-15</t>
        </is>
      </c>
      <c r="S364" s="11" t="inlineStr"/>
    </row>
    <row r="365">
      <c r="A365" s="11" t="inlineStr">
        <is>
          <t>P-0299</t>
        </is>
      </c>
      <c r="B365" s="11" t="inlineStr">
        <is>
          <t>proposal</t>
        </is>
      </c>
      <c r="C365" s="11" t="n">
        <v>4</v>
      </c>
      <c r="D365" s="2" t="inlineStr">
        <is>
          <t>(see sentence)</t>
        </is>
      </c>
      <c r="E365" s="2" t="inlineStr">
        <is>
          <t>IMDAD ALI v. KESHAV CHAND AND ORS (2003, 3 judges)</t>
        </is>
      </c>
      <c r="F365" s="2" t="inlineStr">
        <is>
          <t>sentence: We, however, do not subscribe to the general observations made in A.S. Sulachana’s case (supra) and to the said extent, it cannot be held to have laid down a good law’and is overruled accordingly.</t>
        </is>
      </c>
      <c r="G365" s="2" t="inlineStr">
        <is>
          <t>add_row (give overruled_year; overruled_cites is prefilled where the report printed them), reject, or keep.</t>
        </is>
      </c>
      <c r="H365" s="12" t="inlineStr"/>
      <c r="I365" s="12" t="inlineStr"/>
      <c r="J365" s="13" t="inlineStr"/>
      <c r="K365" s="12" t="inlineStr"/>
      <c r="L365" s="12" t="inlineStr"/>
      <c r="M365" s="12" t="inlineStr"/>
      <c r="N365" s="12" t="inlineStr"/>
      <c r="O365" s="13" t="inlineStr"/>
      <c r="P365" s="12" t="inlineStr"/>
      <c r="Q365" s="12" t="inlineStr"/>
      <c r="R365" s="11" t="inlineStr">
        <is>
          <t>2026-10-15</t>
        </is>
      </c>
      <c r="S365" s="11" t="inlineStr"/>
    </row>
    <row r="366">
      <c r="A366" s="11" t="inlineStr">
        <is>
          <t>P-0300</t>
        </is>
      </c>
      <c r="B366" s="11" t="inlineStr">
        <is>
          <t>proposal</t>
        </is>
      </c>
      <c r="C366" s="11" t="n">
        <v>4</v>
      </c>
      <c r="D366" s="2" t="inlineStr">
        <is>
          <t>(see sentence)</t>
        </is>
      </c>
      <c r="E366" s="2" t="inlineStr">
        <is>
          <t>Saurabh Chaudri &amp; Ors v. Union of India &amp; Ors (2003, 5 judges)</t>
        </is>
      </c>
      <c r="F366" s="2" t="inlineStr">
        <is>
          <t>sentence: According to Shri Salve, Magan Mehrotra (supra), does not lay down the correct law and it is required to be overruled.</t>
        </is>
      </c>
      <c r="G366" s="2" t="inlineStr">
        <is>
          <t>add_row (give overruled_year; overruled_cites is prefilled where the report printed them), reject, or keep.</t>
        </is>
      </c>
      <c r="H366" s="12" t="inlineStr"/>
      <c r="I366" s="12" t="inlineStr"/>
      <c r="J366" s="13" t="inlineStr"/>
      <c r="K366" s="12" t="inlineStr"/>
      <c r="L366" s="12" t="inlineStr"/>
      <c r="M366" s="12" t="inlineStr"/>
      <c r="N366" s="12" t="inlineStr"/>
      <c r="O366" s="13" t="inlineStr"/>
      <c r="P366" s="12" t="inlineStr"/>
      <c r="Q366" s="12" t="inlineStr"/>
      <c r="R366" s="11" t="inlineStr">
        <is>
          <t>2026-10-15</t>
        </is>
      </c>
      <c r="S366" s="11" t="inlineStr"/>
    </row>
    <row r="367">
      <c r="A367" s="11" t="inlineStr">
        <is>
          <t>P-0301</t>
        </is>
      </c>
      <c r="B367" s="11" t="inlineStr">
        <is>
          <t>proposal</t>
        </is>
      </c>
      <c r="C367" s="11" t="n">
        <v>4</v>
      </c>
      <c r="D367" s="2" t="inlineStr">
        <is>
          <t>(see sentence)</t>
        </is>
      </c>
      <c r="E367" s="2" t="inlineStr">
        <is>
          <t>National Insurance Co. Ltd v. Swaran Singh &amp; Ors (2004, 4 judges)</t>
        </is>
      </c>
      <c r="F367" s="2" t="inlineStr">
        <is>
          <t xml:space="preserve">sentence: The decisions of this Court in New India Assurance Co., Shimla vs. Kamla and Others etc. [(2001) 4 SCC 342] and United India Insurance Company Ltd. vs. Lehru and Others [(2003) 3 SCC 338] wherein it has been held that the court is entitled </t>
        </is>
      </c>
      <c r="G367" s="2" t="inlineStr">
        <is>
          <t>add_row (give overruled_year; overruled_cites is prefilled where the report printed them), reject, or keep.</t>
        </is>
      </c>
      <c r="H367" s="12" t="inlineStr"/>
      <c r="I367" s="12" t="inlineStr"/>
      <c r="J367" s="13" t="inlineStr"/>
      <c r="K367" s="12" t="inlineStr"/>
      <c r="L367" s="12" t="inlineStr"/>
      <c r="M367" s="12" t="inlineStr"/>
      <c r="N367" s="12" t="inlineStr"/>
      <c r="O367" s="13" t="inlineStr"/>
      <c r="P367" s="12" t="inlineStr"/>
      <c r="Q367" s="12" t="inlineStr"/>
      <c r="R367" s="11" t="inlineStr">
        <is>
          <t>2026-10-15</t>
        </is>
      </c>
      <c r="S367" s="11" t="inlineStr"/>
    </row>
    <row r="368">
      <c r="A368" s="11" t="inlineStr">
        <is>
          <t>P-0302</t>
        </is>
      </c>
      <c r="B368" s="11" t="inlineStr">
        <is>
          <t>proposal</t>
        </is>
      </c>
      <c r="C368" s="11" t="n">
        <v>4</v>
      </c>
      <c r="D368" s="2" t="inlineStr">
        <is>
          <t>(see sentence)</t>
        </is>
      </c>
      <c r="E368" s="2" t="inlineStr">
        <is>
          <t>State of West Bengal v. Kesoram Industries Ltd. and Ors (2004, 5 judges)</t>
        </is>
      </c>
      <c r="F368" s="2" t="inlineStr">
        <is>
          <t>sentence: (2) SCC 686, is overruled.</t>
        </is>
      </c>
      <c r="G368" s="2" t="inlineStr">
        <is>
          <t>add_row (give overruled_year; overruled_cites is prefilled where the report printed them), reject, or keep.</t>
        </is>
      </c>
      <c r="H368" s="12" t="inlineStr"/>
      <c r="I368" s="12" t="inlineStr"/>
      <c r="J368" s="13" t="inlineStr"/>
      <c r="K368" s="12" t="inlineStr"/>
      <c r="L368" s="12" t="inlineStr"/>
      <c r="M368" s="12" t="inlineStr"/>
      <c r="N368" s="12" t="inlineStr"/>
      <c r="O368" s="13" t="inlineStr"/>
      <c r="P368" s="12" t="inlineStr"/>
      <c r="Q368" s="12" t="inlineStr"/>
      <c r="R368" s="11" t="inlineStr">
        <is>
          <t>2026-10-15</t>
        </is>
      </c>
      <c r="S368" s="11" t="inlineStr"/>
    </row>
    <row r="369">
      <c r="A369" s="11" t="inlineStr">
        <is>
          <t>P-0303</t>
        </is>
      </c>
      <c r="B369" s="11" t="inlineStr">
        <is>
          <t>proposal</t>
        </is>
      </c>
      <c r="C369" s="11" t="n">
        <v>4</v>
      </c>
      <c r="D369" s="2" t="inlineStr">
        <is>
          <t>(see sentence)</t>
        </is>
      </c>
      <c r="E369" s="2" t="inlineStr">
        <is>
          <t>Union of India and Ors v. West Coast Paper Mills Ltd. &amp; Anr (2004, 3 judges)</t>
        </is>
      </c>
      <c r="F369" s="2" t="inlineStr">
        <is>
          <t>sentence: We, therefore, are of the opinion that P.K. Kutty (supra) does not lay down the law correctly and is overruled accordingly.</t>
        </is>
      </c>
      <c r="G369" s="2" t="inlineStr">
        <is>
          <t>add_row (give overruled_year; overruled_cites is prefilled where the report printed them), reject, or keep.</t>
        </is>
      </c>
      <c r="H369" s="12" t="inlineStr"/>
      <c r="I369" s="12" t="inlineStr"/>
      <c r="J369" s="13" t="inlineStr"/>
      <c r="K369" s="12" t="inlineStr"/>
      <c r="L369" s="12" t="inlineStr"/>
      <c r="M369" s="12" t="inlineStr"/>
      <c r="N369" s="12" t="inlineStr"/>
      <c r="O369" s="13" t="inlineStr"/>
      <c r="P369" s="12" t="inlineStr"/>
      <c r="Q369" s="12" t="inlineStr"/>
      <c r="R369" s="11" t="inlineStr">
        <is>
          <t>2026-10-15</t>
        </is>
      </c>
      <c r="S369" s="11" t="inlineStr"/>
    </row>
    <row r="370">
      <c r="A370" s="11" t="inlineStr">
        <is>
          <t>P-0304</t>
        </is>
      </c>
      <c r="B370" s="11" t="inlineStr">
        <is>
          <t>proposal</t>
        </is>
      </c>
      <c r="C370" s="11" t="n">
        <v>4</v>
      </c>
      <c r="D370" s="2" t="inlineStr">
        <is>
          <t>(see sentence)</t>
        </is>
      </c>
      <c r="E370" s="2" t="inlineStr">
        <is>
          <t>R.L. Jain (D) by LRs v. DDA &amp; Ors (2004, 3 judges)</t>
        </is>
      </c>
      <c r="F370" s="2" t="inlineStr">
        <is>
          <t>sentence: For the reasons already indicated, we are of the opinion that the view taken in Special Tehsildar is legally correct and the view to the contrary taken in Assistant Commissioner, Gadag (supra), is not in accordance with law and is hereby ov</t>
        </is>
      </c>
      <c r="G370" s="2" t="inlineStr">
        <is>
          <t>add_row (give overruled_year; overruled_cites is prefilled where the report printed them), reject, or keep.</t>
        </is>
      </c>
      <c r="H370" s="12" t="inlineStr"/>
      <c r="I370" s="12" t="inlineStr"/>
      <c r="J370" s="13" t="inlineStr"/>
      <c r="K370" s="12" t="inlineStr"/>
      <c r="L370" s="12" t="inlineStr"/>
      <c r="M370" s="12" t="inlineStr"/>
      <c r="N370" s="12" t="inlineStr"/>
      <c r="O370" s="13" t="inlineStr"/>
      <c r="P370" s="12" t="inlineStr"/>
      <c r="Q370" s="12" t="inlineStr"/>
      <c r="R370" s="11" t="inlineStr">
        <is>
          <t>2026-10-15</t>
        </is>
      </c>
      <c r="S370" s="11" t="inlineStr"/>
    </row>
    <row r="371">
      <c r="A371" s="11" t="inlineStr">
        <is>
          <t>P-0305</t>
        </is>
      </c>
      <c r="B371" s="11" t="inlineStr">
        <is>
          <t>proposal</t>
        </is>
      </c>
      <c r="C371" s="11" t="n">
        <v>4</v>
      </c>
      <c r="D371" s="2" t="inlineStr">
        <is>
          <t>(see sentence)</t>
        </is>
      </c>
      <c r="E371" s="2" t="inlineStr">
        <is>
          <t>Adalat Prasad v. Rooplal Jindal &amp; Ors (2004, 3 judges)</t>
        </is>
      </c>
      <c r="F371" s="2" t="inlineStr">
        <is>
          <t>sentence: Therefore, we are of the opinion, that the view of this Court in Mathew’s case (supra) that no specific provision is required for recalling an erroneous order, amounting to one without jurisdiction, does not lay down the correct law.</t>
        </is>
      </c>
      <c r="G371" s="2" t="inlineStr">
        <is>
          <t>add_row (give overruled_year; overruled_cites is prefilled where the report printed them), reject, or keep.</t>
        </is>
      </c>
      <c r="H371" s="12" t="inlineStr"/>
      <c r="I371" s="12" t="inlineStr"/>
      <c r="J371" s="13" t="inlineStr"/>
      <c r="K371" s="12" t="inlineStr"/>
      <c r="L371" s="12" t="inlineStr"/>
      <c r="M371" s="12" t="inlineStr"/>
      <c r="N371" s="12" t="inlineStr"/>
      <c r="O371" s="13" t="inlineStr"/>
      <c r="P371" s="12" t="inlineStr"/>
      <c r="Q371" s="12" t="inlineStr"/>
      <c r="R371" s="11" t="inlineStr">
        <is>
          <t>2026-10-15</t>
        </is>
      </c>
      <c r="S371" s="11" t="inlineStr"/>
    </row>
    <row r="372">
      <c r="A372" s="11" t="inlineStr">
        <is>
          <t>P-0306</t>
        </is>
      </c>
      <c r="B372" s="11" t="inlineStr">
        <is>
          <t>proposal</t>
        </is>
      </c>
      <c r="C372" s="11" t="n">
        <v>4</v>
      </c>
      <c r="D372" s="2" t="inlineStr">
        <is>
          <t>(see sentence)</t>
        </is>
      </c>
      <c r="E372" s="2" t="inlineStr">
        <is>
          <t>Mukesh K. Tripathi v. Sr. Divn. Manager, L.I.C. &amp; Ors (2004, 3 judges)</t>
        </is>
      </c>
      <c r="F372" s="2" t="inlineStr">
        <is>
          <t>sentence: It may be true, as has been submitted by Ms. Jaisingh, that S.K. Verma (supra) has not been expressly overruled in H.R. Adyanthaya (supra) but once the said decision has been held to have been rendered per incuriam, it cannot be said to hav</t>
        </is>
      </c>
      <c r="G372" s="2" t="inlineStr">
        <is>
          <t>add_row (give overruled_year; overruled_cites is prefilled where the report printed them), reject, or keep.</t>
        </is>
      </c>
      <c r="H372" s="12" t="inlineStr"/>
      <c r="I372" s="12" t="inlineStr"/>
      <c r="J372" s="13" t="inlineStr"/>
      <c r="K372" s="12" t="inlineStr"/>
      <c r="L372" s="12" t="inlineStr"/>
      <c r="M372" s="12" t="inlineStr"/>
      <c r="N372" s="12" t="inlineStr"/>
      <c r="O372" s="13" t="inlineStr"/>
      <c r="P372" s="12" t="inlineStr"/>
      <c r="Q372" s="12" t="inlineStr"/>
      <c r="R372" s="11" t="inlineStr">
        <is>
          <t>2026-10-15</t>
        </is>
      </c>
      <c r="S372" s="11" t="inlineStr"/>
    </row>
    <row r="373">
      <c r="A373" s="11" t="inlineStr">
        <is>
          <t>P-0307</t>
        </is>
      </c>
      <c r="B373" s="11" t="inlineStr">
        <is>
          <t>proposal</t>
        </is>
      </c>
      <c r="C373" s="11" t="n">
        <v>4</v>
      </c>
      <c r="D373" s="2" t="inlineStr">
        <is>
          <t>(see sentence)</t>
        </is>
      </c>
      <c r="E373" s="2" t="inlineStr">
        <is>
          <t>P.S. Sathappan (Dead) by LRs v. Andhra Bank Ltd. &amp; Ors (2004, 3 judges)</t>
        </is>
      </c>
      <c r="F373" s="2" t="inlineStr">
        <is>
          <t>sentence: At this stage it must be mentioned that the abovementioned authority of the Allahabad High Court has been overruled by this Court in Shah Babulal Khimji vs. Jayaben D. Kania reported in (1981) 4 SCC 8.</t>
        </is>
      </c>
      <c r="G373" s="2" t="inlineStr">
        <is>
          <t>add_row (give overruled_year; overruled_cites is prefilled where the report printed them), reject, or keep.</t>
        </is>
      </c>
      <c r="H373" s="12" t="inlineStr"/>
      <c r="I373" s="12" t="inlineStr"/>
      <c r="J373" s="13" t="inlineStr"/>
      <c r="K373" s="12" t="inlineStr"/>
      <c r="L373" s="12" t="inlineStr"/>
      <c r="M373" s="12" t="inlineStr"/>
      <c r="N373" s="12" t="inlineStr"/>
      <c r="O373" s="13" t="inlineStr"/>
      <c r="P373" s="12" t="inlineStr"/>
      <c r="Q373" s="12" t="inlineStr"/>
      <c r="R373" s="11" t="inlineStr">
        <is>
          <t>2026-10-15</t>
        </is>
      </c>
      <c r="S373" s="11" t="inlineStr"/>
    </row>
    <row r="374">
      <c r="A374" s="11" t="inlineStr">
        <is>
          <t>P-0308</t>
        </is>
      </c>
      <c r="B374" s="11" t="inlineStr">
        <is>
          <t>proposal</t>
        </is>
      </c>
      <c r="C374" s="11" t="n">
        <v>4</v>
      </c>
      <c r="D374" s="2" t="inlineStr">
        <is>
          <t>(see sentence)</t>
        </is>
      </c>
      <c r="E374" s="2" t="inlineStr">
        <is>
          <t>P.S. Sathappan (Dead) by Lrs v. Andhra Bank Ltd. &amp; Ors (2004, 5 judges)</t>
        </is>
      </c>
      <c r="F374" s="2" t="inlineStr">
        <is>
          <t>sentence: At this stage it must be mentioned that the abovementioned authority of the Allahabad High Court has been overruled by this Court in Shah Babulal Khimji vs. Jayaben D. Kania reported in (1981) 4 SCC 8.</t>
        </is>
      </c>
      <c r="G374" s="2" t="inlineStr">
        <is>
          <t>add_row (give overruled_year; overruled_cites is prefilled where the report printed them), reject, or keep.</t>
        </is>
      </c>
      <c r="H374" s="12" t="inlineStr"/>
      <c r="I374" s="12" t="inlineStr"/>
      <c r="J374" s="13" t="inlineStr"/>
      <c r="K374" s="12" t="inlineStr"/>
      <c r="L374" s="12" t="inlineStr"/>
      <c r="M374" s="12" t="inlineStr"/>
      <c r="N374" s="12" t="inlineStr"/>
      <c r="O374" s="13" t="inlineStr"/>
      <c r="P374" s="12" t="inlineStr"/>
      <c r="Q374" s="12" t="inlineStr"/>
      <c r="R374" s="11" t="inlineStr">
        <is>
          <t>2026-10-15</t>
        </is>
      </c>
      <c r="S374" s="11" t="inlineStr"/>
    </row>
    <row r="375">
      <c r="A375" s="11" t="inlineStr">
        <is>
          <t>P-0309</t>
        </is>
      </c>
      <c r="B375" s="11" t="inlineStr">
        <is>
          <t>proposal</t>
        </is>
      </c>
      <c r="C375" s="11" t="n">
        <v>4</v>
      </c>
      <c r="D375" s="2" t="inlineStr">
        <is>
          <t>(see sentence)</t>
        </is>
      </c>
      <c r="E375" s="2" t="inlineStr">
        <is>
          <t>Andhra Bank v. Official Liquidator and Anr (2005, 3 judges)</t>
        </is>
      </c>
      <c r="F375" s="2" t="inlineStr">
        <is>
          <t>sentence: We have, therefore, no hesitation in holding that finding of this Court in Allahabad Bank (supra) to the aforementioned extent does not lay down the correct law.</t>
        </is>
      </c>
      <c r="G375" s="2" t="inlineStr">
        <is>
          <t>add_row (give overruled_year; overruled_cites is prefilled where the report printed them), reject, or keep.</t>
        </is>
      </c>
      <c r="H375" s="12" t="inlineStr"/>
      <c r="I375" s="12" t="inlineStr"/>
      <c r="J375" s="13" t="inlineStr"/>
      <c r="K375" s="12" t="inlineStr"/>
      <c r="L375" s="12" t="inlineStr"/>
      <c r="M375" s="12" t="inlineStr"/>
      <c r="N375" s="12" t="inlineStr"/>
      <c r="O375" s="13" t="inlineStr"/>
      <c r="P375" s="12" t="inlineStr"/>
      <c r="Q375" s="12" t="inlineStr"/>
      <c r="R375" s="11" t="inlineStr">
        <is>
          <t>2026-10-15</t>
        </is>
      </c>
      <c r="S375" s="11" t="inlineStr"/>
    </row>
    <row r="376">
      <c r="A376" s="11" t="inlineStr">
        <is>
          <t>P-0310</t>
        </is>
      </c>
      <c r="B376" s="11" t="inlineStr">
        <is>
          <t>proposal</t>
        </is>
      </c>
      <c r="C376" s="11" t="n">
        <v>4</v>
      </c>
      <c r="D376" s="2" t="inlineStr">
        <is>
          <t>(see sentence)</t>
        </is>
      </c>
      <c r="E376" s="2" t="inlineStr">
        <is>
          <t>STATE OF H.P. and ORS v. GUJARAT AMBUJA CEMENT LTD. and ANR (2005, 3 judges)</t>
        </is>
      </c>
      <c r="F376" s="2" t="inlineStr">
        <is>
          <t>sentence: (17) The case of Firm Chhotabhai Jethabai Patel &amp; Co. v. State of M. P., [1953] SCR 476 is not good law and has been overruled by decisions of larger benches of this Court as pointed out by this Court is State of M. P. v. Yakinuddin, AIR (1</t>
        </is>
      </c>
      <c r="G376" s="2" t="inlineStr">
        <is>
          <t>add_row (give overruled_year; overruled_cites is prefilled where the report printed them), reject, or keep.</t>
        </is>
      </c>
      <c r="H376" s="12" t="inlineStr"/>
      <c r="I376" s="12" t="inlineStr"/>
      <c r="J376" s="13" t="inlineStr"/>
      <c r="K376" s="12" t="inlineStr"/>
      <c r="L376" s="12" t="inlineStr"/>
      <c r="M376" s="12" t="inlineStr"/>
      <c r="N376" s="12" t="inlineStr"/>
      <c r="O376" s="13" t="inlineStr"/>
      <c r="P376" s="12" t="inlineStr"/>
      <c r="Q376" s="12" t="inlineStr"/>
      <c r="R376" s="11" t="inlineStr">
        <is>
          <t>2026-10-15</t>
        </is>
      </c>
      <c r="S376" s="11" t="inlineStr"/>
    </row>
    <row r="377">
      <c r="A377" s="11" t="inlineStr">
        <is>
          <t>P-0311</t>
        </is>
      </c>
      <c r="B377" s="11" t="inlineStr">
        <is>
          <t>proposal</t>
        </is>
      </c>
      <c r="C377" s="11" t="n">
        <v>4</v>
      </c>
      <c r="D377" s="2" t="inlineStr">
        <is>
          <t>(see sentence)</t>
        </is>
      </c>
      <c r="E377" s="2" t="inlineStr">
        <is>
          <t>Commissioner of Customs (General), N. Delhi v. M/s. Gujarat Perstorp Electronics Ltd (2005, 3 judges)</t>
        </is>
      </c>
      <c r="F377" s="2" t="inlineStr">
        <is>
          <t>sentence: It, therefore, could not have been interfered with by this Court as has been done in an appeal against the decision and the decision of this Court in Commissioner of Customs, New Delhi vs. Parasrampuria Synthetics Ltd. does not lay down cor</t>
        </is>
      </c>
      <c r="G377" s="2" t="inlineStr">
        <is>
          <t>add_row (give overruled_year; overruled_cites is prefilled where the report printed them), reject, or keep.</t>
        </is>
      </c>
      <c r="H377" s="12" t="inlineStr"/>
      <c r="I377" s="12" t="inlineStr"/>
      <c r="J377" s="13" t="inlineStr"/>
      <c r="K377" s="12" t="inlineStr"/>
      <c r="L377" s="12" t="inlineStr"/>
      <c r="M377" s="12" t="inlineStr"/>
      <c r="N377" s="12" t="inlineStr"/>
      <c r="O377" s="13" t="inlineStr"/>
      <c r="P377" s="12" t="inlineStr"/>
      <c r="Q377" s="12" t="inlineStr"/>
      <c r="R377" s="11" t="inlineStr">
        <is>
          <t>2026-10-15</t>
        </is>
      </c>
      <c r="S377" s="11" t="inlineStr"/>
    </row>
    <row r="378">
      <c r="A378" s="11" t="inlineStr">
        <is>
          <t>P-0312</t>
        </is>
      </c>
      <c r="B378" s="11" t="inlineStr">
        <is>
          <t>proposal</t>
        </is>
      </c>
      <c r="C378" s="11" t="n">
        <v>4</v>
      </c>
      <c r="D378" s="2" t="inlineStr">
        <is>
          <t>(see sentence)</t>
        </is>
      </c>
      <c r="E378" s="2" t="inlineStr">
        <is>
          <t>STATE OF KARNATAKA v. LAXUMAN (2005, 3 judges)</t>
        </is>
      </c>
      <c r="F378" s="2" t="inlineStr">
        <is>
          <t>sentence: Since, the High Court relied upon the case in Municipal Corporation of Athani (AIR 1969 SC 1335), which has stood overruled, the order of the High Court is unsustainable." This position is also supported by the reasoning in Kerala State Ele</t>
        </is>
      </c>
      <c r="G378" s="2" t="inlineStr">
        <is>
          <t>add_row (give overruled_year; overruled_cites is prefilled where the report printed them), reject, or keep.</t>
        </is>
      </c>
      <c r="H378" s="12" t="inlineStr"/>
      <c r="I378" s="12" t="inlineStr"/>
      <c r="J378" s="13" t="inlineStr"/>
      <c r="K378" s="12" t="inlineStr"/>
      <c r="L378" s="12" t="inlineStr"/>
      <c r="M378" s="12" t="inlineStr"/>
      <c r="N378" s="12" t="inlineStr"/>
      <c r="O378" s="13" t="inlineStr"/>
      <c r="P378" s="12" t="inlineStr"/>
      <c r="Q378" s="12" t="inlineStr"/>
      <c r="R378" s="11" t="inlineStr">
        <is>
          <t>2026-10-15</t>
        </is>
      </c>
      <c r="S378" s="11" t="inlineStr"/>
    </row>
    <row r="379">
      <c r="A379" s="11" t="inlineStr">
        <is>
          <t>P-0313</t>
        </is>
      </c>
      <c r="B379" s="11" t="inlineStr">
        <is>
          <t>proposal</t>
        </is>
      </c>
      <c r="C379" s="11" t="n">
        <v>4</v>
      </c>
      <c r="D379" s="2" t="inlineStr">
        <is>
          <t>(see sentence)</t>
        </is>
      </c>
      <c r="E379" s="2" t="inlineStr">
        <is>
          <t>M/S S.B.P. &amp; CO v. M/S PATEL ENGINEERING LTD. &amp; ANR (2005, 4 judges)</t>
        </is>
      </c>
      <c r="F379" s="2" t="inlineStr">
        <is>
          <t>sentence: Ltd. &amp; anr. Vs. Rani Construction Pvt. Ltd. [(2000) 8 SCC 159] is overruled. 44.</t>
        </is>
      </c>
      <c r="G379" s="2" t="inlineStr">
        <is>
          <t>add_row (give overruled_year; overruled_cites is prefilled where the report printed them), reject, or keep.</t>
        </is>
      </c>
      <c r="H379" s="12" t="inlineStr"/>
      <c r="I379" s="12" t="inlineStr"/>
      <c r="J379" s="13" t="inlineStr"/>
      <c r="K379" s="12" t="inlineStr"/>
      <c r="L379" s="12" t="inlineStr"/>
      <c r="M379" s="12" t="inlineStr"/>
      <c r="N379" s="12" t="inlineStr"/>
      <c r="O379" s="13" t="inlineStr"/>
      <c r="P379" s="12" t="inlineStr"/>
      <c r="Q379" s="12" t="inlineStr"/>
      <c r="R379" s="11" t="inlineStr">
        <is>
          <t>2026-10-15</t>
        </is>
      </c>
      <c r="S379" s="11" t="inlineStr"/>
    </row>
    <row r="380">
      <c r="A380" s="11" t="inlineStr">
        <is>
          <t>P-0314</t>
        </is>
      </c>
      <c r="B380" s="11" t="inlineStr">
        <is>
          <t>proposal</t>
        </is>
      </c>
      <c r="C380" s="11" t="n">
        <v>4</v>
      </c>
      <c r="D380" s="2" t="inlineStr">
        <is>
          <t>(see sentence)</t>
        </is>
      </c>
      <c r="E380" s="2" t="inlineStr">
        <is>
          <t>Jindal Stainless Ltd. &amp; Anr v. State of Haryana &amp; Ors (2006, 5 judges)</t>
        </is>
      </c>
      <c r="F380" s="2" t="inlineStr">
        <is>
          <t>sentence: As stated above, we are confining this judgment only to the question as to whether the observations of this court in the case of Bhagatram1 (supra) followed by the judgment of this court in the case of Bihar Chamber of Commerce2 needs to be</t>
        </is>
      </c>
      <c r="G380" s="2" t="inlineStr">
        <is>
          <t>add_row (give overruled_year; overruled_cites is prefilled where the report printed them), reject, or keep.</t>
        </is>
      </c>
      <c r="H380" s="12" t="inlineStr"/>
      <c r="I380" s="12" t="inlineStr"/>
      <c r="J380" s="13" t="inlineStr"/>
      <c r="K380" s="12" t="inlineStr"/>
      <c r="L380" s="12" t="inlineStr"/>
      <c r="M380" s="12" t="inlineStr"/>
      <c r="N380" s="12" t="inlineStr"/>
      <c r="O380" s="13" t="inlineStr"/>
      <c r="P380" s="12" t="inlineStr"/>
      <c r="Q380" s="12" t="inlineStr"/>
      <c r="R380" s="11" t="inlineStr">
        <is>
          <t>2026-10-15</t>
        </is>
      </c>
      <c r="S380" s="11" t="inlineStr"/>
    </row>
    <row r="381">
      <c r="A381" s="11" t="inlineStr">
        <is>
          <t>P-0315</t>
        </is>
      </c>
      <c r="B381" s="11" t="inlineStr">
        <is>
          <t>proposal</t>
        </is>
      </c>
      <c r="C381" s="11" t="n">
        <v>4</v>
      </c>
      <c r="D381" s="2" t="inlineStr">
        <is>
          <t>(see sentence)</t>
        </is>
      </c>
      <c r="E381" s="2" t="inlineStr">
        <is>
          <t>Jindal Stainless Ltd. &amp; Anr v. State of Haryana &amp; Ors (2006, 5 judges)</t>
        </is>
      </c>
      <c r="F381" s="2" t="inlineStr">
        <is>
          <t>sentence: Therefore, in our view, the test of "some connection" as propounded in Bhagatram’s case1 is not applicable to the concept of compensatory tax and accordingly to that extent, the judgments of this Court in Bhagatram Rajeevkumar v. Commission</t>
        </is>
      </c>
      <c r="G381" s="2" t="inlineStr">
        <is>
          <t>add_row (give overruled_year; overruled_cites is prefilled where the report printed them), reject, or keep.</t>
        </is>
      </c>
      <c r="H381" s="12" t="inlineStr"/>
      <c r="I381" s="12" t="inlineStr"/>
      <c r="J381" s="13" t="inlineStr"/>
      <c r="K381" s="12" t="inlineStr"/>
      <c r="L381" s="12" t="inlineStr"/>
      <c r="M381" s="12" t="inlineStr"/>
      <c r="N381" s="12" t="inlineStr"/>
      <c r="O381" s="13" t="inlineStr"/>
      <c r="P381" s="12" t="inlineStr"/>
      <c r="Q381" s="12" t="inlineStr"/>
      <c r="R381" s="11" t="inlineStr">
        <is>
          <t>2026-10-15</t>
        </is>
      </c>
      <c r="S381" s="11" t="inlineStr"/>
    </row>
    <row r="382">
      <c r="A382" s="11" t="inlineStr">
        <is>
          <t>P-0316</t>
        </is>
      </c>
      <c r="B382" s="11" t="inlineStr">
        <is>
          <t>proposal</t>
        </is>
      </c>
      <c r="C382" s="11" t="n">
        <v>4</v>
      </c>
      <c r="D382" s="2" t="inlineStr">
        <is>
          <t>(see sentence)</t>
        </is>
      </c>
      <c r="E382" s="2" t="inlineStr">
        <is>
          <t>Gurpreet Singh v. Union of India (2006, 3 judges)</t>
        </is>
      </c>
      <c r="F382" s="2" t="inlineStr">
        <is>
          <t>sentence: Thus, one part of the decision in Prem Nath Kapur (supra) stood overruled, though the Constitution Bench did not say anything about the other aspect dealt with therein, namely, the mode of appropriation of the amount due under an award decr</t>
        </is>
      </c>
      <c r="G382" s="2" t="inlineStr">
        <is>
          <t>add_row (give overruled_year; overruled_cites is prefilled where the report printed them), reject, or keep.</t>
        </is>
      </c>
      <c r="H382" s="12" t="inlineStr"/>
      <c r="I382" s="12" t="inlineStr"/>
      <c r="J382" s="13" t="inlineStr"/>
      <c r="K382" s="12" t="inlineStr"/>
      <c r="L382" s="12" t="inlineStr"/>
      <c r="M382" s="12" t="inlineStr"/>
      <c r="N382" s="12" t="inlineStr"/>
      <c r="O382" s="13" t="inlineStr"/>
      <c r="P382" s="12" t="inlineStr"/>
      <c r="Q382" s="12" t="inlineStr"/>
      <c r="R382" s="11" t="inlineStr">
        <is>
          <t>2026-10-15</t>
        </is>
      </c>
      <c r="S382" s="11" t="inlineStr"/>
    </row>
    <row r="383">
      <c r="A383" s="11" t="inlineStr">
        <is>
          <t>P-0317</t>
        </is>
      </c>
      <c r="B383" s="11" t="inlineStr">
        <is>
          <t>proposal</t>
        </is>
      </c>
      <c r="C383" s="11" t="n">
        <v>4</v>
      </c>
      <c r="D383" s="2" t="inlineStr">
        <is>
          <t>(see sentence)</t>
        </is>
      </c>
      <c r="E383" s="2" t="inlineStr">
        <is>
          <t>I.R.Coelho (Dead) By LRs v. State of Tamil Nadu &amp; Ors (2007, 3 judges)</t>
        </is>
      </c>
      <c r="F383" s="2" t="inlineStr">
        <is>
          <t>sentence: It is trite knowledge that Golaknath was overruled in Kesavananda Bharati (supra) in which it was held unanimously that the power to amend the Constitution was to be found in Article 368 of the Constitution.</t>
        </is>
      </c>
      <c r="G383" s="2" t="inlineStr">
        <is>
          <t>add_row (give overruled_year; overruled_cites is prefilled where the report printed them), reject, or keep.</t>
        </is>
      </c>
      <c r="H383" s="12" t="inlineStr"/>
      <c r="I383" s="12" t="inlineStr"/>
      <c r="J383" s="13" t="inlineStr"/>
      <c r="K383" s="12" t="inlineStr"/>
      <c r="L383" s="12" t="inlineStr"/>
      <c r="M383" s="12" t="inlineStr"/>
      <c r="N383" s="12" t="inlineStr"/>
      <c r="O383" s="13" t="inlineStr"/>
      <c r="P383" s="12" t="inlineStr"/>
      <c r="Q383" s="12" t="inlineStr"/>
      <c r="R383" s="11" t="inlineStr">
        <is>
          <t>2026-10-15</t>
        </is>
      </c>
      <c r="S383" s="11" t="inlineStr"/>
    </row>
    <row r="384">
      <c r="A384" s="11" t="inlineStr">
        <is>
          <t>P-0318</t>
        </is>
      </c>
      <c r="B384" s="11" t="inlineStr">
        <is>
          <t>proposal</t>
        </is>
      </c>
      <c r="C384" s="11" t="n">
        <v>4</v>
      </c>
      <c r="D384" s="2" t="inlineStr">
        <is>
          <t>(see sentence)</t>
        </is>
      </c>
      <c r="E384" s="2" t="inlineStr">
        <is>
          <t>Asian Thermal Insulation (I) P. Ltd v. Bridge &amp; Roof Co. (I) Ltd (2007, 3 judges)</t>
        </is>
      </c>
      <c r="F384" s="2" t="inlineStr">
        <is>
          <t>sentence: Ltd. v. Rani construction (P) Ltd. is overruled\024. 5.</t>
        </is>
      </c>
      <c r="G384" s="2" t="inlineStr">
        <is>
          <t>add_row (give overruled_year; overruled_cites is prefilled where the report printed them), reject, or keep.</t>
        </is>
      </c>
      <c r="H384" s="12" t="inlineStr"/>
      <c r="I384" s="12" t="inlineStr"/>
      <c r="J384" s="13" t="inlineStr"/>
      <c r="K384" s="12" t="inlineStr"/>
      <c r="L384" s="12" t="inlineStr"/>
      <c r="M384" s="12" t="inlineStr"/>
      <c r="N384" s="12" t="inlineStr"/>
      <c r="O384" s="13" t="inlineStr"/>
      <c r="P384" s="12" t="inlineStr"/>
      <c r="Q384" s="12" t="inlineStr"/>
      <c r="R384" s="11" t="inlineStr">
        <is>
          <t>2026-10-15</t>
        </is>
      </c>
      <c r="S384" s="11" t="inlineStr"/>
    </row>
    <row r="385">
      <c r="A385" s="11" t="inlineStr">
        <is>
          <t>P-0319</t>
        </is>
      </c>
      <c r="B385" s="11" t="inlineStr">
        <is>
          <t>proposal</t>
        </is>
      </c>
      <c r="C385" s="11" t="n">
        <v>4</v>
      </c>
      <c r="D385" s="2" t="inlineStr">
        <is>
          <t>(see sentence)</t>
        </is>
      </c>
      <c r="E385" s="2" t="inlineStr">
        <is>
          <t>Official Liquidator v. Dayanand and Others (2008, 3 judges)</t>
        </is>
      </c>
      <c r="F385" s="2" t="inlineStr">
        <is>
          <t>sentence: By virtue of Article 141 of the Constitution, the judgment of the Constitution Bench in Secretary, State of Karnataka vs. Uma Devi (supra) is binding on all the courts including this Court till the same is overruled by a larger Bench.</t>
        </is>
      </c>
      <c r="G385" s="2" t="inlineStr">
        <is>
          <t>add_row (give overruled_year; overruled_cites is prefilled where the report printed them), reject, or keep.</t>
        </is>
      </c>
      <c r="H385" s="12" t="inlineStr"/>
      <c r="I385" s="12" t="inlineStr"/>
      <c r="J385" s="13" t="inlineStr"/>
      <c r="K385" s="12" t="inlineStr"/>
      <c r="L385" s="12" t="inlineStr"/>
      <c r="M385" s="12" t="inlineStr"/>
      <c r="N385" s="12" t="inlineStr"/>
      <c r="O385" s="13" t="inlineStr"/>
      <c r="P385" s="12" t="inlineStr"/>
      <c r="Q385" s="12" t="inlineStr"/>
      <c r="R385" s="11" t="inlineStr">
        <is>
          <t>2026-10-15</t>
        </is>
      </c>
      <c r="S385" s="11" t="inlineStr"/>
    </row>
    <row r="386">
      <c r="A386" s="11" t="inlineStr">
        <is>
          <t>P-0320</t>
        </is>
      </c>
      <c r="B386" s="11" t="inlineStr">
        <is>
          <t>proposal</t>
        </is>
      </c>
      <c r="C386" s="11" t="n">
        <v>4</v>
      </c>
      <c r="D386" s="2" t="inlineStr">
        <is>
          <t>(see sentence)</t>
        </is>
      </c>
      <c r="E386" s="2" t="inlineStr">
        <is>
          <t>The State of Maharashtra &amp; Anr v. M/s. Super Max International Pvt. Ltd. &amp; Ors (2009, 3 judges)</t>
        </is>
      </c>
      <c r="F386" s="2" t="inlineStr">
        <is>
          <t>sentence: The observations of this Court in the decision of the seven-Judge Bench in the case of V. Dhanapal Chettiar vs. Yesodai Ammal which we have earlier quoted appear to conclude the question.” In paragraph 33 of the decision the Court expressed</t>
        </is>
      </c>
      <c r="G386" s="2" t="inlineStr">
        <is>
          <t>add_row (give overruled_year; overruled_cites is prefilled where the report printed them), reject, or keep.</t>
        </is>
      </c>
      <c r="H386" s="12" t="inlineStr"/>
      <c r="I386" s="12" t="inlineStr"/>
      <c r="J386" s="13" t="inlineStr"/>
      <c r="K386" s="12" t="inlineStr"/>
      <c r="L386" s="12" t="inlineStr"/>
      <c r="M386" s="12" t="inlineStr"/>
      <c r="N386" s="12" t="inlineStr"/>
      <c r="O386" s="13" t="inlineStr"/>
      <c r="P386" s="12" t="inlineStr"/>
      <c r="Q386" s="12" t="inlineStr"/>
      <c r="R386" s="11" t="inlineStr">
        <is>
          <t>2026-10-15</t>
        </is>
      </c>
      <c r="S386" s="11" t="inlineStr"/>
    </row>
    <row r="387">
      <c r="A387" s="11" t="inlineStr">
        <is>
          <t>P-0321</t>
        </is>
      </c>
      <c r="B387" s="11" t="inlineStr">
        <is>
          <t>proposal</t>
        </is>
      </c>
      <c r="C387" s="11" t="n">
        <v>4</v>
      </c>
      <c r="D387" s="2" t="inlineStr">
        <is>
          <t>(see sentence)</t>
        </is>
      </c>
      <c r="E387" s="2" t="inlineStr">
        <is>
          <t>Dr. Gulshan Prakash &amp; Ors v. State of Haryana &amp; Ors (2009, 3 judges)</t>
        </is>
      </c>
      <c r="F387" s="2" t="inlineStr">
        <is>
          <t>sentence: We need to examine only whether any special provision in the form of lower qualifying marks in PGMEE can be prescribed for the reserved category” After discussing relevant aspects and earlier decisions this Court concluded:- “In the premise</t>
        </is>
      </c>
      <c r="G387" s="2" t="inlineStr">
        <is>
          <t>add_row (give overruled_year; overruled_cites is prefilled where the report printed them), reject, or keep.</t>
        </is>
      </c>
      <c r="H387" s="12" t="inlineStr"/>
      <c r="I387" s="12" t="inlineStr"/>
      <c r="J387" s="13" t="inlineStr"/>
      <c r="K387" s="12" t="inlineStr"/>
      <c r="L387" s="12" t="inlineStr"/>
      <c r="M387" s="12" t="inlineStr"/>
      <c r="N387" s="12" t="inlineStr"/>
      <c r="O387" s="13" t="inlineStr"/>
      <c r="P387" s="12" t="inlineStr"/>
      <c r="Q387" s="12" t="inlineStr"/>
      <c r="R387" s="11" t="inlineStr">
        <is>
          <t>2026-10-15</t>
        </is>
      </c>
      <c r="S387" s="11" t="inlineStr"/>
    </row>
    <row r="388">
      <c r="A388" s="11" t="inlineStr">
        <is>
          <t>P-0322</t>
        </is>
      </c>
      <c r="B388" s="11" t="inlineStr">
        <is>
          <t>proposal</t>
        </is>
      </c>
      <c r="C388" s="11" t="n">
        <v>4</v>
      </c>
      <c r="D388" s="2" t="inlineStr">
        <is>
          <t>(see sentence)</t>
        </is>
      </c>
      <c r="E388" s="2" t="inlineStr">
        <is>
          <t>Rattiram &amp; Ors v. State of M. P. Through Inspector of Police (2012, 3 judges)</t>
        </is>
      </c>
      <c r="F388" s="2" t="inlineStr">
        <is>
          <t>sentence: The decisions rendered in 45 Moly (supra) and Vidyadharan (supra) have not noted the decision in Bhooraji (supra), a binding precedent, and hence they are per incuriam and further, the law laid down therein, whereby the conviction is set as</t>
        </is>
      </c>
      <c r="G388" s="2" t="inlineStr">
        <is>
          <t>add_row (give overruled_year; overruled_cites is prefilled where the report printed them), reject, or keep.</t>
        </is>
      </c>
      <c r="H388" s="12" t="inlineStr"/>
      <c r="I388" s="12" t="inlineStr"/>
      <c r="J388" s="13" t="inlineStr"/>
      <c r="K388" s="12" t="inlineStr"/>
      <c r="L388" s="12" t="inlineStr"/>
      <c r="M388" s="12" t="inlineStr"/>
      <c r="N388" s="12" t="inlineStr"/>
      <c r="O388" s="13" t="inlineStr"/>
      <c r="P388" s="12" t="inlineStr"/>
      <c r="Q388" s="12" t="inlineStr"/>
      <c r="R388" s="11" t="inlineStr">
        <is>
          <t>2026-10-15</t>
        </is>
      </c>
      <c r="S388" s="11" t="inlineStr"/>
    </row>
    <row r="389">
      <c r="A389" s="11" t="inlineStr">
        <is>
          <t>P-0323</t>
        </is>
      </c>
      <c r="B389" s="11" t="inlineStr">
        <is>
          <t>proposal</t>
        </is>
      </c>
      <c r="C389" s="11" t="n">
        <v>4</v>
      </c>
      <c r="D389" s="2" t="inlineStr">
        <is>
          <t>(see sentence)</t>
        </is>
      </c>
      <c r="E389" s="2" t="inlineStr">
        <is>
          <t>Aneeta Hada v. M/s. Godfather Travels &amp; Tours Pvt. Ltd (2012, 3 judges)</t>
        </is>
      </c>
      <c r="F389" s="2" t="inlineStr">
        <is>
          <t>sentence: Thus, the view expressed in Sheoratan Agarwal (supra) does not correctly lay down the law and, accordingly, is hereby overruled.</t>
        </is>
      </c>
      <c r="G389" s="2" t="inlineStr">
        <is>
          <t>add_row (give overruled_year; overruled_cites is prefilled where the report printed them), reject, or keep.</t>
        </is>
      </c>
      <c r="H389" s="12" t="inlineStr"/>
      <c r="I389" s="12" t="inlineStr"/>
      <c r="J389" s="13" t="inlineStr"/>
      <c r="K389" s="12" t="inlineStr"/>
      <c r="L389" s="12" t="inlineStr"/>
      <c r="M389" s="12" t="inlineStr"/>
      <c r="N389" s="12" t="inlineStr"/>
      <c r="O389" s="13" t="inlineStr"/>
      <c r="P389" s="12" t="inlineStr"/>
      <c r="Q389" s="12" t="inlineStr"/>
      <c r="R389" s="11" t="inlineStr">
        <is>
          <t>2026-10-15</t>
        </is>
      </c>
      <c r="S389" s="11" t="inlineStr"/>
    </row>
    <row r="390">
      <c r="A390" s="11" t="inlineStr">
        <is>
          <t>P-0324</t>
        </is>
      </c>
      <c r="B390" s="11" t="inlineStr">
        <is>
          <t>proposal</t>
        </is>
      </c>
      <c r="C390" s="11" t="n">
        <v>4</v>
      </c>
      <c r="D390" s="2" t="inlineStr">
        <is>
          <t>(see sentence)</t>
        </is>
      </c>
      <c r="E390" s="2" t="inlineStr">
        <is>
          <t>Aneeta Hada v. M/s. Godfather Travels &amp; Tours Pvt. Ltd (2012, 3 judges)</t>
        </is>
      </c>
      <c r="F390" s="2" t="inlineStr">
        <is>
          <t>sentence: The decision in Anil Hada (supra) is overruled with the qualifier as stated in paragraph 37.</t>
        </is>
      </c>
      <c r="G390" s="2" t="inlineStr">
        <is>
          <t>add_row (give overruled_year; overruled_cites is prefilled where the report printed them), reject, or keep.</t>
        </is>
      </c>
      <c r="H390" s="12" t="inlineStr"/>
      <c r="I390" s="12" t="inlineStr"/>
      <c r="J390" s="13" t="inlineStr"/>
      <c r="K390" s="12" t="inlineStr"/>
      <c r="L390" s="12" t="inlineStr"/>
      <c r="M390" s="12" t="inlineStr"/>
      <c r="N390" s="12" t="inlineStr"/>
      <c r="O390" s="13" t="inlineStr"/>
      <c r="P390" s="12" t="inlineStr"/>
      <c r="Q390" s="12" t="inlineStr"/>
      <c r="R390" s="11" t="inlineStr">
        <is>
          <t>2026-10-15</t>
        </is>
      </c>
      <c r="S390" s="11" t="inlineStr"/>
    </row>
    <row r="391">
      <c r="A391" s="11" t="inlineStr">
        <is>
          <t>P-0325</t>
        </is>
      </c>
      <c r="B391" s="11" t="inlineStr">
        <is>
          <t>proposal</t>
        </is>
      </c>
      <c r="C391" s="11" t="n">
        <v>4</v>
      </c>
      <c r="D391" s="2" t="inlineStr">
        <is>
          <t>(see sentence)</t>
        </is>
      </c>
      <c r="E391" s="2" t="inlineStr">
        <is>
          <t>MSR Leathers v. S. Palaniappan &amp; Anr (2012, 3 judges)</t>
        </is>
      </c>
      <c r="F391" s="2" t="inlineStr">
        <is>
          <t xml:space="preserve">sentence: In the result, we overrule the decision in Sadanandan Bhadran’s case (supra) and hold that prosecution based upon second or successive dishonour of the cheque is also permissible so long as the same satisfies the requirements stipulated in </t>
        </is>
      </c>
      <c r="G391" s="2" t="inlineStr">
        <is>
          <t>add_row (give overruled_year; overruled_cites is prefilled where the report printed them), reject, or keep.</t>
        </is>
      </c>
      <c r="H391" s="12" t="inlineStr"/>
      <c r="I391" s="12" t="inlineStr"/>
      <c r="J391" s="13" t="inlineStr"/>
      <c r="K391" s="12" t="inlineStr"/>
      <c r="L391" s="12" t="inlineStr"/>
      <c r="M391" s="12" t="inlineStr"/>
      <c r="N391" s="12" t="inlineStr"/>
      <c r="O391" s="13" t="inlineStr"/>
      <c r="P391" s="12" t="inlineStr"/>
      <c r="Q391" s="12" t="inlineStr"/>
      <c r="R391" s="11" t="inlineStr">
        <is>
          <t>2026-10-15</t>
        </is>
      </c>
      <c r="S391" s="11" t="inlineStr"/>
    </row>
    <row r="392">
      <c r="A392" s="11" t="inlineStr">
        <is>
          <t>P-0326</t>
        </is>
      </c>
      <c r="B392" s="11" t="inlineStr">
        <is>
          <t>proposal</t>
        </is>
      </c>
      <c r="C392" s="11" t="n">
        <v>4</v>
      </c>
      <c r="D392" s="2" t="inlineStr">
        <is>
          <t>*B.K. Prabha v. Secretary Kendriya Upadyarasanga</t>
        </is>
      </c>
      <c r="E392" s="2" t="inlineStr">
        <is>
          <t>VIRENDER JAIN versus ALAKNANDA COOPERATIVE GROUP HOUSING  SOCIETY LIMITED AND OTHERS (2013, 3 judges)</t>
        </is>
      </c>
      <c r="F392" s="2" t="inlineStr">
        <is>
          <t>tag: overruled</t>
        </is>
      </c>
      <c r="G392" s="2" t="inlineStr">
        <is>
          <t>add_row (give overruled_year; overruled_cites is prefilled where the report printed them), reject, or keep.</t>
        </is>
      </c>
      <c r="H392" s="12" t="inlineStr"/>
      <c r="I392" s="12" t="inlineStr"/>
      <c r="J392" s="13" t="inlineStr"/>
      <c r="K392" s="12" t="inlineStr"/>
      <c r="L392" s="12" t="inlineStr"/>
      <c r="M392" s="12" t="inlineStr"/>
      <c r="N392" s="12" t="inlineStr"/>
      <c r="O392" s="13" t="inlineStr"/>
      <c r="P392" s="12" t="inlineStr"/>
      <c r="Q392" s="12" t="inlineStr"/>
      <c r="R392" s="11" t="inlineStr">
        <is>
          <t>2026-10-15</t>
        </is>
      </c>
      <c r="S392" s="11" t="inlineStr"/>
    </row>
    <row r="393">
      <c r="A393" s="11" t="inlineStr">
        <is>
          <t>P-0327</t>
        </is>
      </c>
      <c r="B393" s="11" t="inlineStr">
        <is>
          <t>proposal</t>
        </is>
      </c>
      <c r="C393" s="11" t="n">
        <v>4</v>
      </c>
      <c r="D393" s="2" t="inlineStr">
        <is>
          <t>(see sentence)</t>
        </is>
      </c>
      <c r="E393" s="2" t="inlineStr">
        <is>
          <t>M/S. Kone Elevator India Pvt. Ltd v. State of Tamil Nadu and Ors (2014, 5 judges)</t>
        </is>
      </c>
      <c r="F393" s="2" t="inlineStr">
        <is>
          <t>sentence: Thus analysed, we conclude and hold that the decision rendered in Kone Elevators (supra) does not correctly lay down the law and it is, accordingly, overruled. 65.</t>
        </is>
      </c>
      <c r="G393" s="2" t="inlineStr">
        <is>
          <t>add_row (give overruled_year; overruled_cites is prefilled where the report printed them), reject, or keep.</t>
        </is>
      </c>
      <c r="H393" s="12" t="inlineStr"/>
      <c r="I393" s="12" t="inlineStr"/>
      <c r="J393" s="13" t="inlineStr"/>
      <c r="K393" s="12" t="inlineStr"/>
      <c r="L393" s="12" t="inlineStr"/>
      <c r="M393" s="12" t="inlineStr"/>
      <c r="N393" s="12" t="inlineStr"/>
      <c r="O393" s="13" t="inlineStr"/>
      <c r="P393" s="12" t="inlineStr"/>
      <c r="Q393" s="12" t="inlineStr"/>
      <c r="R393" s="11" t="inlineStr">
        <is>
          <t>2026-10-15</t>
        </is>
      </c>
      <c r="S393" s="11" t="inlineStr"/>
    </row>
    <row r="394">
      <c r="A394" s="11" t="inlineStr">
        <is>
          <t>P-0328</t>
        </is>
      </c>
      <c r="B394" s="11" t="inlineStr">
        <is>
          <t>proposal</t>
        </is>
      </c>
      <c r="C394" s="11" t="n">
        <v>4</v>
      </c>
      <c r="D394" s="2" t="inlineStr">
        <is>
          <t>(see sentence)</t>
        </is>
      </c>
      <c r="E394" s="2" t="inlineStr">
        <is>
          <t>Nos. 31423-31424 /2010) Ram Niranjan Kajaria v. Sheo Prakash Kajaria and others (2015, 3 judges)</t>
        </is>
      </c>
      <c r="F394" s="2" t="inlineStr">
        <is>
          <t>sentence: To that extent, the proposition of law that even an admission can be 16 Page 17 JUDGMENT withdrawn, as held in Panchdeo Narain Srivastava (supra), does not reflect the correct legal position and it is overruled. 25.</t>
        </is>
      </c>
      <c r="G394" s="2" t="inlineStr">
        <is>
          <t>add_row (give overruled_year; overruled_cites is prefilled where the report printed them), reject, or keep.</t>
        </is>
      </c>
      <c r="H394" s="12" t="inlineStr"/>
      <c r="I394" s="12" t="inlineStr"/>
      <c r="J394" s="13" t="inlineStr"/>
      <c r="K394" s="12" t="inlineStr"/>
      <c r="L394" s="12" t="inlineStr"/>
      <c r="M394" s="12" t="inlineStr"/>
      <c r="N394" s="12" t="inlineStr"/>
      <c r="O394" s="13" t="inlineStr"/>
      <c r="P394" s="12" t="inlineStr"/>
      <c r="Q394" s="12" t="inlineStr"/>
      <c r="R394" s="11" t="inlineStr">
        <is>
          <t>2026-10-15</t>
        </is>
      </c>
      <c r="S394" s="11" t="inlineStr"/>
    </row>
    <row r="395">
      <c r="A395" s="11" t="inlineStr">
        <is>
          <t>P-0329</t>
        </is>
      </c>
      <c r="B395" s="11" t="inlineStr">
        <is>
          <t>proposal</t>
        </is>
      </c>
      <c r="C395" s="11" t="n">
        <v>4</v>
      </c>
      <c r="D395" s="2" t="inlineStr">
        <is>
          <t>(see sentence)</t>
        </is>
      </c>
      <c r="E395" s="2" t="inlineStr">
        <is>
          <t>Union of India v. V. Sriharan @ Murugan &amp; Ors (2015, 6 judges)</t>
        </is>
      </c>
      <c r="F395" s="2" t="inlineStr">
        <is>
          <t>sentence: We are, therefore, not in agreement with the opinion expressed by this Court in Sangeet and Anr. v. Page 106 JUDGMENT State of Haryana – 2013 (2) SCC 452 that the deprival of remission power of the Appropriate Government by awarding sentenc</t>
        </is>
      </c>
      <c r="G395" s="2" t="inlineStr">
        <is>
          <t>add_row (give overruled_year; overruled_cites is prefilled where the report printed them), reject, or keep.</t>
        </is>
      </c>
      <c r="H395" s="12" t="inlineStr"/>
      <c r="I395" s="12" t="inlineStr"/>
      <c r="J395" s="13" t="inlineStr"/>
      <c r="K395" s="12" t="inlineStr"/>
      <c r="L395" s="12" t="inlineStr"/>
      <c r="M395" s="12" t="inlineStr"/>
      <c r="N395" s="12" t="inlineStr"/>
      <c r="O395" s="13" t="inlineStr"/>
      <c r="P395" s="12" t="inlineStr"/>
      <c r="Q395" s="12" t="inlineStr"/>
      <c r="R395" s="11" t="inlineStr">
        <is>
          <t>2026-10-15</t>
        </is>
      </c>
      <c r="S395" s="11" t="inlineStr"/>
    </row>
    <row r="396">
      <c r="A396" s="11" t="inlineStr">
        <is>
          <t>L1-0075</t>
        </is>
      </c>
      <c r="B396" s="11" t="inlineStr">
        <is>
          <t>listing</t>
        </is>
      </c>
      <c r="C396" s="11" t="n">
        <v>5</v>
      </c>
      <c r="D396" s="2" t="inlineStr">
        <is>
          <t>G.P. Ceramics Pvt. Ltd. v. Commissioner, Trade Tax, U.P. (2008)</t>
        </is>
      </c>
      <c r="E396" s="2" t="inlineStr">
        <is>
          <t xml:space="preserve"> (None)</t>
        </is>
      </c>
      <c r="F396" s="2" t="inlineStr">
        <is>
          <t>the list names no overruling decision</t>
        </is>
      </c>
      <c r="G396" s="2" t="inlineStr">
        <is>
          <t>Is the entry right as listed? (confirm = yes, give new_treatment 'overruled' or 'reversed_on_appeal'; change = give the correct treatment or overruling case; keep)</t>
        </is>
      </c>
      <c r="H396" s="12" t="inlineStr"/>
      <c r="I396" s="12" t="inlineStr"/>
      <c r="J396" s="13" t="inlineStr"/>
      <c r="K396" s="12" t="inlineStr"/>
      <c r="L396" s="12" t="inlineStr"/>
      <c r="M396" s="12" t="inlineStr"/>
      <c r="N396" s="12" t="inlineStr"/>
      <c r="O396" s="13" t="inlineStr"/>
      <c r="P396" s="12" t="inlineStr"/>
      <c r="Q396" s="12" t="inlineStr"/>
      <c r="R396" s="11" t="inlineStr">
        <is>
          <t>2026-10-15</t>
        </is>
      </c>
      <c r="S396" s="11" t="inlineStr"/>
    </row>
    <row r="397">
      <c r="A397" s="11" t="inlineStr">
        <is>
          <t>L1-0900</t>
        </is>
      </c>
      <c r="B397" s="11" t="inlineStr">
        <is>
          <t>listing</t>
        </is>
      </c>
      <c r="C397" s="11" t="n">
        <v>5</v>
      </c>
      <c r="D397" s="2" t="inlineStr">
        <is>
          <t>Rourkela Mazdoor Sabha and Others v. Rourkela Steel Plant and Others (1992)</t>
        </is>
      </c>
      <c r="E397" s="2" t="inlineStr">
        <is>
          <t>General Secretary, Rourkela Sramik Sangh v. Rourkela Mazdoor Sabha and others (1991)</t>
        </is>
      </c>
      <c r="F397" s="2" t="inlineStr">
        <is>
          <t>the overruling decision's years are earlier than the overruled decision's</t>
        </is>
      </c>
      <c r="G397" s="2" t="inlineStr">
        <is>
          <t>Is the entry right as listed? (confirm = yes, give new_treatment 'overruled' or 'reversed_on_appeal'; change = give the correct treatment or overruling case; keep)</t>
        </is>
      </c>
      <c r="H397" s="12" t="inlineStr"/>
      <c r="I397" s="12" t="inlineStr"/>
      <c r="J397" s="13" t="inlineStr"/>
      <c r="K397" s="12" t="inlineStr"/>
      <c r="L397" s="12" t="inlineStr"/>
      <c r="M397" s="12" t="inlineStr"/>
      <c r="N397" s="12" t="inlineStr"/>
      <c r="O397" s="13" t="inlineStr"/>
      <c r="P397" s="12" t="inlineStr"/>
      <c r="Q397" s="12" t="inlineStr"/>
      <c r="R397" s="11" t="inlineStr">
        <is>
          <t>2026-10-15</t>
        </is>
      </c>
      <c r="S397" s="11" t="inlineStr"/>
    </row>
    <row r="398">
      <c r="A398" s="11" t="inlineStr">
        <is>
          <t>L1-0017</t>
        </is>
      </c>
      <c r="B398" s="11" t="inlineStr">
        <is>
          <t>match</t>
        </is>
      </c>
      <c r="C398" s="11" t="n">
        <v>6</v>
      </c>
      <c r="D398" s="2" t="inlineStr">
        <is>
          <t>Agarwal and Co. v. Commissioner of Income Tax (1968)</t>
        </is>
      </c>
      <c r="E398" s="2" t="inlineStr">
        <is>
          <t>Agarwal and Co. v. Commissioner of Income Tax, Uttar Pradesh (1970)</t>
        </is>
      </c>
      <c r="F398" s="2" t="inlineStr">
        <is>
          <t>cannot be recognised in an answer without a citation or a year</t>
        </is>
      </c>
      <c r="G398" s="2" t="inlineStr">
        <is>
          <t>Supply overruled_cites and/or overruled_year.</t>
        </is>
      </c>
      <c r="H398" s="12" t="inlineStr"/>
      <c r="I398" s="12" t="inlineStr"/>
      <c r="J398" s="13" t="inlineStr"/>
      <c r="K398" s="12" t="inlineStr"/>
      <c r="L398" s="12" t="inlineStr"/>
      <c r="M398" s="12" t="inlineStr"/>
      <c r="N398" s="12" t="inlineStr"/>
      <c r="O398" s="13" t="inlineStr"/>
      <c r="P398" s="12" t="inlineStr"/>
      <c r="Q398" s="12" t="inlineStr"/>
      <c r="R398" s="11" t="inlineStr">
        <is>
          <t>2026-10-15</t>
        </is>
      </c>
      <c r="S398" s="11" t="inlineStr"/>
    </row>
    <row r="399">
      <c r="A399" s="11" t="inlineStr">
        <is>
          <t>L1-0024</t>
        </is>
      </c>
      <c r="B399" s="11" t="inlineStr">
        <is>
          <t>match</t>
        </is>
      </c>
      <c r="C399" s="11" t="n">
        <v>6</v>
      </c>
      <c r="D399" s="2" t="inlineStr">
        <is>
          <t>Hiraman v. State of U.P. and Others (1994)</t>
        </is>
      </c>
      <c r="E399" s="2" t="inlineStr">
        <is>
          <t>Hira Man v. State of U.P. and others (1997)</t>
        </is>
      </c>
      <c r="F399" s="2" t="inlineStr">
        <is>
          <t>cannot be recognised in an answer without a citation or a year</t>
        </is>
      </c>
      <c r="G399" s="2" t="inlineStr">
        <is>
          <t>Supply overruled_cites and/or overruled_year.</t>
        </is>
      </c>
      <c r="H399" s="12" t="inlineStr"/>
      <c r="I399" s="12" t="inlineStr"/>
      <c r="J399" s="13" t="inlineStr"/>
      <c r="K399" s="12" t="inlineStr"/>
      <c r="L399" s="12" t="inlineStr"/>
      <c r="M399" s="12" t="inlineStr"/>
      <c r="N399" s="12" t="inlineStr"/>
      <c r="O399" s="13" t="inlineStr"/>
      <c r="P399" s="12" t="inlineStr"/>
      <c r="Q399" s="12" t="inlineStr"/>
      <c r="R399" s="11" t="inlineStr">
        <is>
          <t>2026-10-15</t>
        </is>
      </c>
      <c r="S399" s="11" t="inlineStr"/>
    </row>
    <row r="400">
      <c r="A400" s="11" t="inlineStr">
        <is>
          <t>L1-0059</t>
        </is>
      </c>
      <c r="B400" s="11" t="inlineStr">
        <is>
          <t>match</t>
        </is>
      </c>
      <c r="C400" s="11" t="n">
        <v>6</v>
      </c>
      <c r="D400" s="2" t="inlineStr">
        <is>
          <t>State of U.P. v. Mahtab Singh and Jaipal Singh (None)</t>
        </is>
      </c>
      <c r="E400" s="2" t="inlineStr">
        <is>
          <t>Mahtab Singh and Another v. State of U.P. (2009)</t>
        </is>
      </c>
      <c r="F400" s="2" t="inlineStr">
        <is>
          <t>cannot be recognised in an answer without a citation or a year</t>
        </is>
      </c>
      <c r="G400" s="2" t="inlineStr">
        <is>
          <t>Supply overruled_cites and/or overruled_year.</t>
        </is>
      </c>
      <c r="H400" s="12" t="inlineStr"/>
      <c r="I400" s="12" t="inlineStr"/>
      <c r="J400" s="13" t="inlineStr"/>
      <c r="K400" s="12" t="inlineStr"/>
      <c r="L400" s="12" t="inlineStr"/>
      <c r="M400" s="12" t="inlineStr"/>
      <c r="N400" s="12" t="inlineStr"/>
      <c r="O400" s="13" t="inlineStr"/>
      <c r="P400" s="12" t="inlineStr"/>
      <c r="Q400" s="12" t="inlineStr"/>
      <c r="R400" s="11" t="inlineStr">
        <is>
          <t>2026-10-15</t>
        </is>
      </c>
      <c r="S400" s="11" t="inlineStr"/>
    </row>
    <row r="401">
      <c r="A401" s="11" t="inlineStr">
        <is>
          <t>L1-0063</t>
        </is>
      </c>
      <c r="B401" s="11" t="inlineStr">
        <is>
          <t>match</t>
        </is>
      </c>
      <c r="C401" s="11" t="n">
        <v>6</v>
      </c>
      <c r="D401" s="2" t="inlineStr">
        <is>
          <t>The State of U.P. v. Ghurey Lal (None)</t>
        </is>
      </c>
      <c r="E401" s="2" t="inlineStr">
        <is>
          <t>Ghurey Lal v. State of U.P. (2008)</t>
        </is>
      </c>
      <c r="F401" s="2" t="inlineStr">
        <is>
          <t>cannot be recognised in an answer without a citation or a year</t>
        </is>
      </c>
      <c r="G401" s="2" t="inlineStr">
        <is>
          <t>Supply overruled_cites and/or overruled_year.</t>
        </is>
      </c>
      <c r="H401" s="12" t="inlineStr"/>
      <c r="I401" s="12" t="inlineStr"/>
      <c r="J401" s="13" t="inlineStr"/>
      <c r="K401" s="12" t="inlineStr"/>
      <c r="L401" s="12" t="inlineStr"/>
      <c r="M401" s="12" t="inlineStr"/>
      <c r="N401" s="12" t="inlineStr"/>
      <c r="O401" s="13" t="inlineStr"/>
      <c r="P401" s="12" t="inlineStr"/>
      <c r="Q401" s="12" t="inlineStr"/>
      <c r="R401" s="11" t="inlineStr">
        <is>
          <t>2026-10-15</t>
        </is>
      </c>
      <c r="S401" s="11" t="inlineStr"/>
    </row>
    <row r="402">
      <c r="A402" s="11" t="inlineStr">
        <is>
          <t>L1-0068</t>
        </is>
      </c>
      <c r="B402" s="11" t="inlineStr">
        <is>
          <t>match</t>
        </is>
      </c>
      <c r="C402" s="11" t="n">
        <v>6</v>
      </c>
      <c r="D402" s="2" t="inlineStr">
        <is>
          <t>State of U.P. v. Jagdish Murav, Ganga Murav, Udaibhan Pandey and Ram Sahai Pandey (None)</t>
        </is>
      </c>
      <c r="E402" s="2" t="inlineStr">
        <is>
          <t>Jagdish Murav v. State of U.P. and Others (2006)</t>
        </is>
      </c>
      <c r="F402" s="2" t="inlineStr">
        <is>
          <t>cannot be recognised in an answer without a citation or a year</t>
        </is>
      </c>
      <c r="G402" s="2" t="inlineStr">
        <is>
          <t>Supply overruled_cites and/or overruled_year.</t>
        </is>
      </c>
      <c r="H402" s="12" t="inlineStr"/>
      <c r="I402" s="12" t="inlineStr"/>
      <c r="J402" s="13" t="inlineStr"/>
      <c r="K402" s="12" t="inlineStr"/>
      <c r="L402" s="12" t="inlineStr"/>
      <c r="M402" s="12" t="inlineStr"/>
      <c r="N402" s="12" t="inlineStr"/>
      <c r="O402" s="13" t="inlineStr"/>
      <c r="P402" s="12" t="inlineStr"/>
      <c r="Q402" s="12" t="inlineStr"/>
      <c r="R402" s="11" t="inlineStr">
        <is>
          <t>2026-10-15</t>
        </is>
      </c>
      <c r="S402" s="11" t="inlineStr"/>
    </row>
    <row r="403">
      <c r="A403" s="11" t="inlineStr">
        <is>
          <t>L1-0070</t>
        </is>
      </c>
      <c r="B403" s="11" t="inlineStr">
        <is>
          <t>match</t>
        </is>
      </c>
      <c r="C403" s="11" t="n">
        <v>6</v>
      </c>
      <c r="D403" s="2" t="inlineStr">
        <is>
          <t>Naresh, Jagpal, Shyam Singh and Bharat (In Jail) v. State of U.P. (None)</t>
        </is>
      </c>
      <c r="E403" s="2" t="inlineStr">
        <is>
          <t>State of U.P. v. Naresh and Others (2011)</t>
        </is>
      </c>
      <c r="F403" s="2" t="inlineStr">
        <is>
          <t>cannot be recognised in an answer without a citation or a year</t>
        </is>
      </c>
      <c r="G403" s="2" t="inlineStr">
        <is>
          <t>Supply overruled_cites and/or overruled_year.</t>
        </is>
      </c>
      <c r="H403" s="12" t="inlineStr"/>
      <c r="I403" s="12" t="inlineStr"/>
      <c r="J403" s="13" t="inlineStr"/>
      <c r="K403" s="12" t="inlineStr"/>
      <c r="L403" s="12" t="inlineStr"/>
      <c r="M403" s="12" t="inlineStr"/>
      <c r="N403" s="12" t="inlineStr"/>
      <c r="O403" s="13" t="inlineStr"/>
      <c r="P403" s="12" t="inlineStr"/>
      <c r="Q403" s="12" t="inlineStr"/>
      <c r="R403" s="11" t="inlineStr">
        <is>
          <t>2026-10-15</t>
        </is>
      </c>
      <c r="S403" s="11" t="inlineStr"/>
    </row>
    <row r="404">
      <c r="A404" s="11" t="inlineStr">
        <is>
          <t>L1-0071</t>
        </is>
      </c>
      <c r="B404" s="11" t="inlineStr">
        <is>
          <t>match</t>
        </is>
      </c>
      <c r="C404" s="11" t="n">
        <v>6</v>
      </c>
      <c r="D404" s="2" t="inlineStr">
        <is>
          <t>Munesh, (In Jail) v. State of U.P. (2004)</t>
        </is>
      </c>
      <c r="E404" s="2" t="inlineStr">
        <is>
          <t>State of U.P. v. Munesh (2013)</t>
        </is>
      </c>
      <c r="F404" s="2" t="inlineStr">
        <is>
          <t>cannot be recognised in an answer without a citation or a year</t>
        </is>
      </c>
      <c r="G404" s="2" t="inlineStr">
        <is>
          <t>Supply overruled_cites and/or overruled_year.</t>
        </is>
      </c>
      <c r="H404" s="12" t="inlineStr"/>
      <c r="I404" s="12" t="inlineStr"/>
      <c r="J404" s="13" t="inlineStr"/>
      <c r="K404" s="12" t="inlineStr"/>
      <c r="L404" s="12" t="inlineStr"/>
      <c r="M404" s="12" t="inlineStr"/>
      <c r="N404" s="12" t="inlineStr"/>
      <c r="O404" s="13" t="inlineStr"/>
      <c r="P404" s="12" t="inlineStr"/>
      <c r="Q404" s="12" t="inlineStr"/>
      <c r="R404" s="11" t="inlineStr">
        <is>
          <t>2026-10-15</t>
        </is>
      </c>
      <c r="S404" s="11" t="inlineStr"/>
    </row>
    <row r="405">
      <c r="A405" s="11" t="inlineStr">
        <is>
          <t>L1-0086</t>
        </is>
      </c>
      <c r="B405" s="11" t="inlineStr">
        <is>
          <t>match</t>
        </is>
      </c>
      <c r="C405" s="11" t="n">
        <v>6</v>
      </c>
      <c r="D405" s="2" t="inlineStr">
        <is>
          <t>Kumari Geeta Mehrotra and Another v. State of U.P. and Another (None)</t>
        </is>
      </c>
      <c r="E405" s="2" t="inlineStr">
        <is>
          <t>Geeta Mehrotra and Another v. State of U.P. and Another (2013)</t>
        </is>
      </c>
      <c r="F405" s="2" t="inlineStr">
        <is>
          <t>cannot be recognised in an answer without a citation or a year</t>
        </is>
      </c>
      <c r="G405" s="2" t="inlineStr">
        <is>
          <t>Supply overruled_cites and/or overruled_year.</t>
        </is>
      </c>
      <c r="H405" s="12" t="inlineStr"/>
      <c r="I405" s="12" t="inlineStr"/>
      <c r="J405" s="13" t="inlineStr"/>
      <c r="K405" s="12" t="inlineStr"/>
      <c r="L405" s="12" t="inlineStr"/>
      <c r="M405" s="12" t="inlineStr"/>
      <c r="N405" s="12" t="inlineStr"/>
      <c r="O405" s="13" t="inlineStr"/>
      <c r="P405" s="12" t="inlineStr"/>
      <c r="Q405" s="12" t="inlineStr"/>
      <c r="R405" s="11" t="inlineStr">
        <is>
          <t>2026-10-15</t>
        </is>
      </c>
      <c r="S405" s="11" t="inlineStr"/>
    </row>
    <row r="406">
      <c r="A406" s="11" t="inlineStr">
        <is>
          <t>L1-0087</t>
        </is>
      </c>
      <c r="B406" s="11" t="inlineStr">
        <is>
          <t>match</t>
        </is>
      </c>
      <c r="C406" s="11" t="n">
        <v>6</v>
      </c>
      <c r="D406" s="2" t="inlineStr">
        <is>
          <t>The Tamil Nadu State Housing Board v. T.R. Sheshachalam (died) and Others (None)</t>
        </is>
      </c>
      <c r="E406" s="2" t="inlineStr">
        <is>
          <t>T.R. Boopalan and Others v. Tamil Nadu Housing Board and Others (2008)</t>
        </is>
      </c>
      <c r="F406" s="2" t="inlineStr">
        <is>
          <t>cannot be recognised in an answer without a citation or a year</t>
        </is>
      </c>
      <c r="G406" s="2" t="inlineStr">
        <is>
          <t>Supply overruled_cites and/or overruled_year.</t>
        </is>
      </c>
      <c r="H406" s="12" t="inlineStr"/>
      <c r="I406" s="12" t="inlineStr"/>
      <c r="J406" s="13" t="inlineStr"/>
      <c r="K406" s="12" t="inlineStr"/>
      <c r="L406" s="12" t="inlineStr"/>
      <c r="M406" s="12" t="inlineStr"/>
      <c r="N406" s="12" t="inlineStr"/>
      <c r="O406" s="13" t="inlineStr"/>
      <c r="P406" s="12" t="inlineStr"/>
      <c r="Q406" s="12" t="inlineStr"/>
      <c r="R406" s="11" t="inlineStr">
        <is>
          <t>2026-10-15</t>
        </is>
      </c>
      <c r="S406" s="11" t="inlineStr"/>
    </row>
    <row r="407">
      <c r="A407" s="11" t="inlineStr">
        <is>
          <t>L1-0089</t>
        </is>
      </c>
      <c r="B407" s="11" t="inlineStr">
        <is>
          <t>match</t>
        </is>
      </c>
      <c r="C407" s="11" t="n">
        <v>6</v>
      </c>
      <c r="D407" s="2" t="inlineStr">
        <is>
          <t>The Government of Tamil Nadu and The State of Tamil Nadu v. Tvl. Ponni Sugars and Chemicals Ltd. and Bannari Amman Sugars Ltd. (None)</t>
        </is>
      </c>
      <c r="E407" s="2" t="inlineStr">
        <is>
          <t>Bannari Amman Sugars Ltd. v. Commercial Tax Officer and Others (2004)</t>
        </is>
      </c>
      <c r="F407" s="2" t="inlineStr">
        <is>
          <t>cannot be recognised in an answer without a citation or a year</t>
        </is>
      </c>
      <c r="G407" s="2" t="inlineStr">
        <is>
          <t>Supply overruled_cites and/or overruled_year.</t>
        </is>
      </c>
      <c r="H407" s="12" t="inlineStr"/>
      <c r="I407" s="12" t="inlineStr"/>
      <c r="J407" s="13" t="inlineStr"/>
      <c r="K407" s="12" t="inlineStr"/>
      <c r="L407" s="12" t="inlineStr"/>
      <c r="M407" s="12" t="inlineStr"/>
      <c r="N407" s="12" t="inlineStr"/>
      <c r="O407" s="13" t="inlineStr"/>
      <c r="P407" s="12" t="inlineStr"/>
      <c r="Q407" s="12" t="inlineStr"/>
      <c r="R407" s="11" t="inlineStr">
        <is>
          <t>2026-10-15</t>
        </is>
      </c>
      <c r="S407" s="11" t="inlineStr"/>
    </row>
    <row r="408">
      <c r="A408" s="11" t="inlineStr">
        <is>
          <t>L1-0091</t>
        </is>
      </c>
      <c r="B408" s="11" t="inlineStr">
        <is>
          <t>match</t>
        </is>
      </c>
      <c r="C408" s="11" t="n">
        <v>6</v>
      </c>
      <c r="D408" s="2" t="inlineStr">
        <is>
          <t>Tamil Nadu Electricity Board v. Tamil Nadu Electricity Board, Thozhilalar Aykkiya Sangam (None)</t>
        </is>
      </c>
      <c r="E408" s="2" t="inlineStr">
        <is>
          <t>T.N. Electricity Board and Another v. T.N. Electricity Board Thozhilalar Aykkiya Sangam (2008)</t>
        </is>
      </c>
      <c r="F408" s="2" t="inlineStr">
        <is>
          <t>cannot be recognised in an answer without a citation or a year</t>
        </is>
      </c>
      <c r="G408" s="2" t="inlineStr">
        <is>
          <t>Supply overruled_cites and/or overruled_year.</t>
        </is>
      </c>
      <c r="H408" s="12" t="inlineStr"/>
      <c r="I408" s="12" t="inlineStr"/>
      <c r="J408" s="13" t="inlineStr"/>
      <c r="K408" s="12" t="inlineStr"/>
      <c r="L408" s="12" t="inlineStr"/>
      <c r="M408" s="12" t="inlineStr"/>
      <c r="N408" s="12" t="inlineStr"/>
      <c r="O408" s="13" t="inlineStr"/>
      <c r="P408" s="12" t="inlineStr"/>
      <c r="Q408" s="12" t="inlineStr"/>
      <c r="R408" s="11" t="inlineStr">
        <is>
          <t>2026-10-15</t>
        </is>
      </c>
      <c r="S408" s="11" t="inlineStr"/>
    </row>
    <row r="409">
      <c r="A409" s="11" t="inlineStr">
        <is>
          <t>L1-0094</t>
        </is>
      </c>
      <c r="B409" s="11" t="inlineStr">
        <is>
          <t>match</t>
        </is>
      </c>
      <c r="C409" s="11" t="n">
        <v>6</v>
      </c>
      <c r="D409" s="2" t="inlineStr">
        <is>
          <t>Dr. S. Rajavelu v. Chairman, Union Public Service Commission, Secretary, Union Public Service Commission, Director General of Archaeological Survey of India and The Registrar, Central Administrative Tribunal (None)</t>
        </is>
      </c>
      <c r="E409" s="2" t="inlineStr">
        <is>
          <t>Sanjay Kumar Manjul v. The Chairman, UPSC and Others (2007)</t>
        </is>
      </c>
      <c r="F409" s="2" t="inlineStr">
        <is>
          <t>cannot be recognised in an answer without a citation or a year</t>
        </is>
      </c>
      <c r="G409" s="2" t="inlineStr">
        <is>
          <t>Supply overruled_cites and/or overruled_year.</t>
        </is>
      </c>
      <c r="H409" s="12" t="inlineStr"/>
      <c r="I409" s="12" t="inlineStr"/>
      <c r="J409" s="13" t="inlineStr"/>
      <c r="K409" s="12" t="inlineStr"/>
      <c r="L409" s="12" t="inlineStr"/>
      <c r="M409" s="12" t="inlineStr"/>
      <c r="N409" s="12" t="inlineStr"/>
      <c r="O409" s="13" t="inlineStr"/>
      <c r="P409" s="12" t="inlineStr"/>
      <c r="Q409" s="12" t="inlineStr"/>
      <c r="R409" s="11" t="inlineStr">
        <is>
          <t>2026-10-15</t>
        </is>
      </c>
      <c r="S409" s="11" t="inlineStr"/>
    </row>
    <row r="410">
      <c r="A410" s="11" t="inlineStr">
        <is>
          <t>L1-0095</t>
        </is>
      </c>
      <c r="B410" s="11" t="inlineStr">
        <is>
          <t>match</t>
        </is>
      </c>
      <c r="C410" s="11" t="n">
        <v>6</v>
      </c>
      <c r="D410" s="2" t="inlineStr">
        <is>
          <t>P.H. Paul Manoj Pandian v. Mr. P. Veldurai (None)</t>
        </is>
      </c>
      <c r="E410" s="2" t="inlineStr">
        <is>
          <t>P.H. Paul Manoj Pandian v. Mr. P. Veldurai (2011)</t>
        </is>
      </c>
      <c r="F410" s="2" t="inlineStr">
        <is>
          <t>cannot be recognised in an answer without a citation or a year</t>
        </is>
      </c>
      <c r="G410" s="2" t="inlineStr">
        <is>
          <t>Supply overruled_cites and/or overruled_year.</t>
        </is>
      </c>
      <c r="H410" s="12" t="inlineStr"/>
      <c r="I410" s="12" t="inlineStr"/>
      <c r="J410" s="13" t="inlineStr"/>
      <c r="K410" s="12" t="inlineStr"/>
      <c r="L410" s="12" t="inlineStr"/>
      <c r="M410" s="12" t="inlineStr"/>
      <c r="N410" s="12" t="inlineStr"/>
      <c r="O410" s="13" t="inlineStr"/>
      <c r="P410" s="12" t="inlineStr"/>
      <c r="Q410" s="12" t="inlineStr"/>
      <c r="R410" s="11" t="inlineStr">
        <is>
          <t>2026-10-15</t>
        </is>
      </c>
      <c r="S410" s="11" t="inlineStr"/>
    </row>
    <row r="411">
      <c r="A411" s="11" t="inlineStr">
        <is>
          <t>L1-0118</t>
        </is>
      </c>
      <c r="B411" s="11" t="inlineStr">
        <is>
          <t>match</t>
        </is>
      </c>
      <c r="C411" s="11" t="n">
        <v>6</v>
      </c>
      <c r="D411" s="2" t="inlineStr">
        <is>
          <t>Sekar and Others v. State (None)</t>
        </is>
      </c>
      <c r="E411" s="2" t="inlineStr">
        <is>
          <t>Alamelu and Another v. State represented by Inspector of Police (2011)</t>
        </is>
      </c>
      <c r="F411" s="2" t="inlineStr">
        <is>
          <t>cannot be recognised in an answer without a citation or a year</t>
        </is>
      </c>
      <c r="G411" s="2" t="inlineStr">
        <is>
          <t>Supply overruled_cites and/or overruled_year.</t>
        </is>
      </c>
      <c r="H411" s="12" t="inlineStr"/>
      <c r="I411" s="12" t="inlineStr"/>
      <c r="J411" s="13" t="inlineStr"/>
      <c r="K411" s="12" t="inlineStr"/>
      <c r="L411" s="12" t="inlineStr"/>
      <c r="M411" s="12" t="inlineStr"/>
      <c r="N411" s="12" t="inlineStr"/>
      <c r="O411" s="13" t="inlineStr"/>
      <c r="P411" s="12" t="inlineStr"/>
      <c r="Q411" s="12" t="inlineStr"/>
      <c r="R411" s="11" t="inlineStr">
        <is>
          <t>2026-10-15</t>
        </is>
      </c>
      <c r="S411" s="11" t="inlineStr"/>
    </row>
    <row r="412">
      <c r="A412" s="11" t="inlineStr">
        <is>
          <t>L1-0129</t>
        </is>
      </c>
      <c r="B412" s="11" t="inlineStr">
        <is>
          <t>match</t>
        </is>
      </c>
      <c r="C412" s="11" t="n">
        <v>6</v>
      </c>
      <c r="D412" s="2" t="inlineStr">
        <is>
          <t>M. Janakiraman and another v. State (None)</t>
        </is>
      </c>
      <c r="E412" s="2" t="inlineStr">
        <is>
          <t>State rep. by Tahsildar-Cum-Sales Officer v. M. Janakiraman and Another (2009)</t>
        </is>
      </c>
      <c r="F412" s="2" t="inlineStr">
        <is>
          <t>cannot be recognised in an answer without a citation or a year</t>
        </is>
      </c>
      <c r="G412" s="2" t="inlineStr">
        <is>
          <t>Supply overruled_cites and/or overruled_year.</t>
        </is>
      </c>
      <c r="H412" s="12" t="inlineStr"/>
      <c r="I412" s="12" t="inlineStr"/>
      <c r="J412" s="13" t="inlineStr"/>
      <c r="K412" s="12" t="inlineStr"/>
      <c r="L412" s="12" t="inlineStr"/>
      <c r="M412" s="12" t="inlineStr"/>
      <c r="N412" s="12" t="inlineStr"/>
      <c r="O412" s="13" t="inlineStr"/>
      <c r="P412" s="12" t="inlineStr"/>
      <c r="Q412" s="12" t="inlineStr"/>
      <c r="R412" s="11" t="inlineStr">
        <is>
          <t>2026-10-15</t>
        </is>
      </c>
      <c r="S412" s="11" t="inlineStr"/>
    </row>
    <row r="413">
      <c r="A413" s="11" t="inlineStr">
        <is>
          <t>L1-0136</t>
        </is>
      </c>
      <c r="B413" s="11" t="inlineStr">
        <is>
          <t>match</t>
        </is>
      </c>
      <c r="C413" s="11" t="n">
        <v>6</v>
      </c>
      <c r="D413" s="2" t="inlineStr">
        <is>
          <t>Mrs. Sashi Balasubramanian v. State (None)</t>
        </is>
      </c>
      <c r="E413" s="2" t="inlineStr">
        <is>
          <t>State, CBI v. Sashi Balasubramanian and Another (2006)</t>
        </is>
      </c>
      <c r="F413" s="2" t="inlineStr">
        <is>
          <t>cannot be recognised in an answer without a citation or a year</t>
        </is>
      </c>
      <c r="G413" s="2" t="inlineStr">
        <is>
          <t>Supply overruled_cites and/or overruled_year.</t>
        </is>
      </c>
      <c r="H413" s="12" t="inlineStr"/>
      <c r="I413" s="12" t="inlineStr"/>
      <c r="J413" s="13" t="inlineStr"/>
      <c r="K413" s="12" t="inlineStr"/>
      <c r="L413" s="12" t="inlineStr"/>
      <c r="M413" s="12" t="inlineStr"/>
      <c r="N413" s="12" t="inlineStr"/>
      <c r="O413" s="13" t="inlineStr"/>
      <c r="P413" s="12" t="inlineStr"/>
      <c r="Q413" s="12" t="inlineStr"/>
      <c r="R413" s="11" t="inlineStr">
        <is>
          <t>2026-10-15</t>
        </is>
      </c>
      <c r="S413" s="11" t="inlineStr"/>
    </row>
    <row r="414">
      <c r="A414" s="11" t="inlineStr">
        <is>
          <t>L1-0138</t>
        </is>
      </c>
      <c r="B414" s="11" t="inlineStr">
        <is>
          <t>match</t>
        </is>
      </c>
      <c r="C414" s="11" t="n">
        <v>6</v>
      </c>
      <c r="D414" s="2" t="inlineStr">
        <is>
          <t>Gopal Naidu (deceased) and 9 others v. Thirunavukkarasu Mudaliar (1998)</t>
        </is>
      </c>
      <c r="E414" s="2" t="inlineStr">
        <is>
          <t>Thirunavukkarasu Mudaliar (Dead) by L.Rs. v. Gopal Naidu (Dead) by L.Rs. (2007)</t>
        </is>
      </c>
      <c r="F414" s="2" t="inlineStr">
        <is>
          <t>cannot be recognised in an answer without a citation or a year</t>
        </is>
      </c>
      <c r="G414" s="2" t="inlineStr">
        <is>
          <t>Supply overruled_cites and/or overruled_year.</t>
        </is>
      </c>
      <c r="H414" s="12" t="inlineStr"/>
      <c r="I414" s="12" t="inlineStr"/>
      <c r="J414" s="13" t="inlineStr"/>
      <c r="K414" s="12" t="inlineStr"/>
      <c r="L414" s="12" t="inlineStr"/>
      <c r="M414" s="12" t="inlineStr"/>
      <c r="N414" s="12" t="inlineStr"/>
      <c r="O414" s="13" t="inlineStr"/>
      <c r="P414" s="12" t="inlineStr"/>
      <c r="Q414" s="12" t="inlineStr"/>
      <c r="R414" s="11" t="inlineStr">
        <is>
          <t>2026-10-15</t>
        </is>
      </c>
      <c r="S414" s="11" t="inlineStr"/>
    </row>
    <row r="415">
      <c r="A415" s="11" t="inlineStr">
        <is>
          <t>L1-0139</t>
        </is>
      </c>
      <c r="B415" s="11" t="inlineStr">
        <is>
          <t>match</t>
        </is>
      </c>
      <c r="C415" s="11" t="n">
        <v>6</v>
      </c>
      <c r="D415" s="2" t="inlineStr">
        <is>
          <t>East Asiatic Company (India) P. Ltd. v. Commissioner of Income Tax (1986)</t>
        </is>
      </c>
      <c r="E415" s="2" t="inlineStr">
        <is>
          <t>Commissioner of Income Tax, Meerut and Others v. Virmani Industries Pvt. Ltd. and Others (1995)</t>
        </is>
      </c>
      <c r="F415" s="2" t="inlineStr">
        <is>
          <t>cannot be recognised in an answer without a citation or a year</t>
        </is>
      </c>
      <c r="G415" s="2" t="inlineStr">
        <is>
          <t>Supply overruled_cites and/or overruled_year.</t>
        </is>
      </c>
      <c r="H415" s="12" t="inlineStr"/>
      <c r="I415" s="12" t="inlineStr"/>
      <c r="J415" s="13" t="inlineStr"/>
      <c r="K415" s="12" t="inlineStr"/>
      <c r="L415" s="12" t="inlineStr"/>
      <c r="M415" s="12" t="inlineStr"/>
      <c r="N415" s="12" t="inlineStr"/>
      <c r="O415" s="13" t="inlineStr"/>
      <c r="P415" s="12" t="inlineStr"/>
      <c r="Q415" s="12" t="inlineStr"/>
      <c r="R415" s="11" t="inlineStr">
        <is>
          <t>2026-10-15</t>
        </is>
      </c>
      <c r="S415" s="11" t="inlineStr"/>
    </row>
    <row r="416">
      <c r="A416" s="11" t="inlineStr">
        <is>
          <t>L1-0141</t>
        </is>
      </c>
      <c r="B416" s="11" t="inlineStr">
        <is>
          <t>match</t>
        </is>
      </c>
      <c r="C416" s="11" t="n">
        <v>6</v>
      </c>
      <c r="D416" s="2" t="inlineStr">
        <is>
          <t>T. Jayakumar v. A. Gopu, The Union of India (UOI) and The Registrar, Central Administrative Tribunal (None)</t>
        </is>
      </c>
      <c r="E416" s="2" t="inlineStr">
        <is>
          <t>T. Jayakumar v. A. Gopu and Another (2008)</t>
        </is>
      </c>
      <c r="F416" s="2" t="inlineStr">
        <is>
          <t>cannot be recognised in an answer without a citation or a year</t>
        </is>
      </c>
      <c r="G416" s="2" t="inlineStr">
        <is>
          <t>Supply overruled_cites and/or overruled_year.</t>
        </is>
      </c>
      <c r="H416" s="12" t="inlineStr"/>
      <c r="I416" s="12" t="inlineStr"/>
      <c r="J416" s="13" t="inlineStr"/>
      <c r="K416" s="12" t="inlineStr"/>
      <c r="L416" s="12" t="inlineStr"/>
      <c r="M416" s="12" t="inlineStr"/>
      <c r="N416" s="12" t="inlineStr"/>
      <c r="O416" s="13" t="inlineStr"/>
      <c r="P416" s="12" t="inlineStr"/>
      <c r="Q416" s="12" t="inlineStr"/>
      <c r="R416" s="11" t="inlineStr">
        <is>
          <t>2026-10-15</t>
        </is>
      </c>
      <c r="S416" s="11" t="inlineStr"/>
    </row>
    <row r="417">
      <c r="A417" s="11" t="inlineStr">
        <is>
          <t>L1-0145</t>
        </is>
      </c>
      <c r="B417" s="11" t="inlineStr">
        <is>
          <t>match</t>
        </is>
      </c>
      <c r="C417" s="11" t="n">
        <v>6</v>
      </c>
      <c r="D417" s="2" t="inlineStr">
        <is>
          <t>R. Venkataraman v. S. Sethuraman, Joint Director of School Education, (Higher Secondary), Directorate of School Education, The District Educational Officer and The Secretary and Correspondent, National Higher Secondary School (2006)</t>
        </is>
      </c>
      <c r="E417" s="2" t="inlineStr">
        <is>
          <t>S. Sethuraman v. R. Venkataraman and Others (2007)</t>
        </is>
      </c>
      <c r="F417" s="2" t="inlineStr">
        <is>
          <t>cannot be recognised in an answer without a citation or a year</t>
        </is>
      </c>
      <c r="G417" s="2" t="inlineStr">
        <is>
          <t>Supply overruled_cites and/or overruled_year.</t>
        </is>
      </c>
      <c r="H417" s="12" t="inlineStr"/>
      <c r="I417" s="12" t="inlineStr"/>
      <c r="J417" s="13" t="inlineStr"/>
      <c r="K417" s="12" t="inlineStr"/>
      <c r="L417" s="12" t="inlineStr"/>
      <c r="M417" s="12" t="inlineStr"/>
      <c r="N417" s="12" t="inlineStr"/>
      <c r="O417" s="13" t="inlineStr"/>
      <c r="P417" s="12" t="inlineStr"/>
      <c r="Q417" s="12" t="inlineStr"/>
      <c r="R417" s="11" t="inlineStr">
        <is>
          <t>2026-10-15</t>
        </is>
      </c>
      <c r="S417" s="11" t="inlineStr"/>
    </row>
    <row r="418">
      <c r="A418" s="11" t="inlineStr">
        <is>
          <t>L1-0159</t>
        </is>
      </c>
      <c r="B418" s="11" t="inlineStr">
        <is>
          <t>match</t>
        </is>
      </c>
      <c r="C418" s="11" t="n">
        <v>6</v>
      </c>
      <c r="D418" s="2" t="inlineStr">
        <is>
          <t>In Re: Ganapati (None)</t>
        </is>
      </c>
      <c r="E418" s="2" t="inlineStr">
        <is>
          <t>State of Andhra Pradesh v. Vallabhapuram Ravi (1985)</t>
        </is>
      </c>
      <c r="F418" s="2" t="inlineStr">
        <is>
          <t>cannot be recognised in an answer without a citation or a year</t>
        </is>
      </c>
      <c r="G418" s="2" t="inlineStr">
        <is>
          <t>Supply overruled_cites and/or overruled_year.</t>
        </is>
      </c>
      <c r="H418" s="12" t="inlineStr"/>
      <c r="I418" s="12" t="inlineStr"/>
      <c r="J418" s="13" t="inlineStr"/>
      <c r="K418" s="12" t="inlineStr"/>
      <c r="L418" s="12" t="inlineStr"/>
      <c r="M418" s="12" t="inlineStr"/>
      <c r="N418" s="12" t="inlineStr"/>
      <c r="O418" s="13" t="inlineStr"/>
      <c r="P418" s="12" t="inlineStr"/>
      <c r="Q418" s="12" t="inlineStr"/>
      <c r="R418" s="11" t="inlineStr">
        <is>
          <t>2026-10-15</t>
        </is>
      </c>
      <c r="S418" s="11" t="inlineStr"/>
    </row>
    <row r="419">
      <c r="A419" s="11" t="inlineStr">
        <is>
          <t>L1-0162</t>
        </is>
      </c>
      <c r="B419" s="11" t="inlineStr">
        <is>
          <t>match</t>
        </is>
      </c>
      <c r="C419" s="11" t="n">
        <v>6</v>
      </c>
      <c r="D419" s="2" t="inlineStr">
        <is>
          <t>The Chief Commissioner of Central Excise and The Additional Commissioner (P and V), Chennai Zone v. Arulmozhi Iniarasu and Others (None)</t>
        </is>
      </c>
      <c r="E419" s="2" t="inlineStr">
        <is>
          <t>Union of India (UOI) and Another v. Arulmozhi Iniarasu and Others (2011)</t>
        </is>
      </c>
      <c r="F419" s="2" t="inlineStr">
        <is>
          <t>cannot be recognised in an answer without a citation or a year</t>
        </is>
      </c>
      <c r="G419" s="2" t="inlineStr">
        <is>
          <t>Supply overruled_cites and/or overruled_year.</t>
        </is>
      </c>
      <c r="H419" s="12" t="inlineStr"/>
      <c r="I419" s="12" t="inlineStr"/>
      <c r="J419" s="13" t="inlineStr"/>
      <c r="K419" s="12" t="inlineStr"/>
      <c r="L419" s="12" t="inlineStr"/>
      <c r="M419" s="12" t="inlineStr"/>
      <c r="N419" s="12" t="inlineStr"/>
      <c r="O419" s="13" t="inlineStr"/>
      <c r="P419" s="12" t="inlineStr"/>
      <c r="Q419" s="12" t="inlineStr"/>
      <c r="R419" s="11" t="inlineStr">
        <is>
          <t>2026-10-15</t>
        </is>
      </c>
      <c r="S419" s="11" t="inlineStr"/>
    </row>
    <row r="420">
      <c r="A420" s="11" t="inlineStr">
        <is>
          <t>L1-0166</t>
        </is>
      </c>
      <c r="B420" s="11" t="inlineStr">
        <is>
          <t>match</t>
        </is>
      </c>
      <c r="C420" s="11" t="n">
        <v>6</v>
      </c>
      <c r="D420" s="2" t="inlineStr">
        <is>
          <t>D. Kausalya v. S. Sankaran, 16, Manicka Naicken Street, Purasavakkam (None)</t>
        </is>
      </c>
      <c r="E420" s="2" t="inlineStr">
        <is>
          <t>S. Sankaran v. D. Kausalya (2007)</t>
        </is>
      </c>
      <c r="F420" s="2" t="inlineStr">
        <is>
          <t>cannot be recognised in an answer without a citation or a year</t>
        </is>
      </c>
      <c r="G420" s="2" t="inlineStr">
        <is>
          <t>Supply overruled_cites and/or overruled_year.</t>
        </is>
      </c>
      <c r="H420" s="12" t="inlineStr"/>
      <c r="I420" s="12" t="inlineStr"/>
      <c r="J420" s="13" t="inlineStr"/>
      <c r="K420" s="12" t="inlineStr"/>
      <c r="L420" s="12" t="inlineStr"/>
      <c r="M420" s="12" t="inlineStr"/>
      <c r="N420" s="12" t="inlineStr"/>
      <c r="O420" s="13" t="inlineStr"/>
      <c r="P420" s="12" t="inlineStr"/>
      <c r="Q420" s="12" t="inlineStr"/>
      <c r="R420" s="11" t="inlineStr">
        <is>
          <t>2026-10-15</t>
        </is>
      </c>
      <c r="S420" s="11" t="inlineStr"/>
    </row>
    <row r="421">
      <c r="A421" s="11" t="inlineStr">
        <is>
          <t>L1-0194</t>
        </is>
      </c>
      <c r="B421" s="11" t="inlineStr">
        <is>
          <t>match</t>
        </is>
      </c>
      <c r="C421" s="11" t="n">
        <v>6</v>
      </c>
      <c r="D421" s="2" t="inlineStr">
        <is>
          <t>Subbarayan v. The Union of India (UOI) and Another (1975)</t>
        </is>
      </c>
      <c r="E421" s="2" t="inlineStr">
        <is>
          <t>Union of India and another v. The Century Manufacturing Company Ltd. (1992)</t>
        </is>
      </c>
      <c r="F421" s="2" t="inlineStr">
        <is>
          <t>cannot be recognised in an answer without a citation or a year</t>
        </is>
      </c>
      <c r="G421" s="2" t="inlineStr">
        <is>
          <t>Supply overruled_cites and/or overruled_year.</t>
        </is>
      </c>
      <c r="H421" s="12" t="inlineStr"/>
      <c r="I421" s="12" t="inlineStr"/>
      <c r="J421" s="13" t="inlineStr"/>
      <c r="K421" s="12" t="inlineStr"/>
      <c r="L421" s="12" t="inlineStr"/>
      <c r="M421" s="12" t="inlineStr"/>
      <c r="N421" s="12" t="inlineStr"/>
      <c r="O421" s="13" t="inlineStr"/>
      <c r="P421" s="12" t="inlineStr"/>
      <c r="Q421" s="12" t="inlineStr"/>
      <c r="R421" s="11" t="inlineStr">
        <is>
          <t>2026-10-15</t>
        </is>
      </c>
      <c r="S421" s="11" t="inlineStr"/>
    </row>
    <row r="422">
      <c r="A422" s="11" t="inlineStr">
        <is>
          <t>L1-0204</t>
        </is>
      </c>
      <c r="B422" s="11" t="inlineStr">
        <is>
          <t>match</t>
        </is>
      </c>
      <c r="C422" s="11" t="n">
        <v>6</v>
      </c>
      <c r="D422" s="2" t="inlineStr">
        <is>
          <t>Commissioner of Income Tax v. Salem Bank Ltd. (1979)</t>
        </is>
      </c>
      <c r="E422" s="2" t="inlineStr">
        <is>
          <t>M/S. W.T. Suren and Co. Ltd. v. The Commissioner of Income Tax, Bombay (1998)</t>
        </is>
      </c>
      <c r="F422" s="2" t="inlineStr">
        <is>
          <t>cannot be recognised in an answer without a citation or a year</t>
        </is>
      </c>
      <c r="G422" s="2" t="inlineStr">
        <is>
          <t>Supply overruled_cites and/or overruled_year.</t>
        </is>
      </c>
      <c r="H422" s="12" t="inlineStr"/>
      <c r="I422" s="12" t="inlineStr"/>
      <c r="J422" s="13" t="inlineStr"/>
      <c r="K422" s="12" t="inlineStr"/>
      <c r="L422" s="12" t="inlineStr"/>
      <c r="M422" s="12" t="inlineStr"/>
      <c r="N422" s="12" t="inlineStr"/>
      <c r="O422" s="13" t="inlineStr"/>
      <c r="P422" s="12" t="inlineStr"/>
      <c r="Q422" s="12" t="inlineStr"/>
      <c r="R422" s="11" t="inlineStr">
        <is>
          <t>2026-10-15</t>
        </is>
      </c>
      <c r="S422" s="11" t="inlineStr"/>
    </row>
    <row r="423">
      <c r="A423" s="11" t="inlineStr">
        <is>
          <t>L1-0207</t>
        </is>
      </c>
      <c r="B423" s="11" t="inlineStr">
        <is>
          <t>match</t>
        </is>
      </c>
      <c r="C423" s="11" t="n">
        <v>6</v>
      </c>
      <c r="D423" s="2" t="inlineStr">
        <is>
          <t>Rakiappan, Subramanian, Somaraj and Aarusamy v. State by: Inspector of Police, Uthiyur Police Station, Erode (None)</t>
        </is>
      </c>
      <c r="E423" s="2" t="inlineStr">
        <is>
          <t>State by Inspector of Police, Tamil Nadu v. Rakiappan and Others (2008)</t>
        </is>
      </c>
      <c r="F423" s="2" t="inlineStr">
        <is>
          <t>cannot be recognised in an answer without a citation or a year</t>
        </is>
      </c>
      <c r="G423" s="2" t="inlineStr">
        <is>
          <t>Supply overruled_cites and/or overruled_year.</t>
        </is>
      </c>
      <c r="H423" s="12" t="inlineStr"/>
      <c r="I423" s="12" t="inlineStr"/>
      <c r="J423" s="13" t="inlineStr"/>
      <c r="K423" s="12" t="inlineStr"/>
      <c r="L423" s="12" t="inlineStr"/>
      <c r="M423" s="12" t="inlineStr"/>
      <c r="N423" s="12" t="inlineStr"/>
      <c r="O423" s="13" t="inlineStr"/>
      <c r="P423" s="12" t="inlineStr"/>
      <c r="Q423" s="12" t="inlineStr"/>
      <c r="R423" s="11" t="inlineStr">
        <is>
          <t>2026-10-15</t>
        </is>
      </c>
      <c r="S423" s="11" t="inlineStr"/>
    </row>
    <row r="424">
      <c r="A424" s="11" t="inlineStr">
        <is>
          <t>L1-0209</t>
        </is>
      </c>
      <c r="B424" s="11" t="inlineStr">
        <is>
          <t>match</t>
        </is>
      </c>
      <c r="C424" s="11" t="n">
        <v>6</v>
      </c>
      <c r="D424" s="2" t="inlineStr">
        <is>
          <t>N.M.T. Joy Immaculate v. State (None)</t>
        </is>
      </c>
      <c r="E424" s="2" t="inlineStr">
        <is>
          <t>State Rep. by Inspector of Police and Others v. N.M.T. Joy Immaculate (2004)</t>
        </is>
      </c>
      <c r="F424" s="2" t="inlineStr">
        <is>
          <t>cannot be recognised in an answer without a citation or a year</t>
        </is>
      </c>
      <c r="G424" s="2" t="inlineStr">
        <is>
          <t>Supply overruled_cites and/or overruled_year.</t>
        </is>
      </c>
      <c r="H424" s="12" t="inlineStr"/>
      <c r="I424" s="12" t="inlineStr"/>
      <c r="J424" s="13" t="inlineStr"/>
      <c r="K424" s="12" t="inlineStr"/>
      <c r="L424" s="12" t="inlineStr"/>
      <c r="M424" s="12" t="inlineStr"/>
      <c r="N424" s="12" t="inlineStr"/>
      <c r="O424" s="13" t="inlineStr"/>
      <c r="P424" s="12" t="inlineStr"/>
      <c r="Q424" s="12" t="inlineStr"/>
      <c r="R424" s="11" t="inlineStr">
        <is>
          <t>2026-10-15</t>
        </is>
      </c>
      <c r="S424" s="11" t="inlineStr"/>
    </row>
    <row r="425">
      <c r="A425" s="11" t="inlineStr">
        <is>
          <t>L1-0222</t>
        </is>
      </c>
      <c r="B425" s="11" t="inlineStr">
        <is>
          <t>match</t>
        </is>
      </c>
      <c r="C425" s="11" t="n">
        <v>6</v>
      </c>
      <c r="D425" s="2" t="inlineStr">
        <is>
          <t>Brigadier Chaitanya Prakash and Hindustan Photo Films Manufacturing Co. Ltd. v. Sri. H. Omkarappa (None)</t>
        </is>
      </c>
      <c r="E425" s="2" t="inlineStr">
        <is>
          <t>Chaitanya Prakash and Another v. H. Omkarappa (2010)</t>
        </is>
      </c>
      <c r="F425" s="2" t="inlineStr">
        <is>
          <t>cannot be recognised in an answer without a citation or a year</t>
        </is>
      </c>
      <c r="G425" s="2" t="inlineStr">
        <is>
          <t>Supply overruled_cites and/or overruled_year.</t>
        </is>
      </c>
      <c r="H425" s="12" t="inlineStr"/>
      <c r="I425" s="12" t="inlineStr"/>
      <c r="J425" s="13" t="inlineStr"/>
      <c r="K425" s="12" t="inlineStr"/>
      <c r="L425" s="12" t="inlineStr"/>
      <c r="M425" s="12" t="inlineStr"/>
      <c r="N425" s="12" t="inlineStr"/>
      <c r="O425" s="13" t="inlineStr"/>
      <c r="P425" s="12" t="inlineStr"/>
      <c r="Q425" s="12" t="inlineStr"/>
      <c r="R425" s="11" t="inlineStr">
        <is>
          <t>2026-10-15</t>
        </is>
      </c>
      <c r="S425" s="11" t="inlineStr"/>
    </row>
    <row r="426">
      <c r="A426" s="11" t="inlineStr">
        <is>
          <t>L1-0223</t>
        </is>
      </c>
      <c r="B426" s="11" t="inlineStr">
        <is>
          <t>match</t>
        </is>
      </c>
      <c r="C426" s="11" t="n">
        <v>6</v>
      </c>
      <c r="D426" s="2" t="inlineStr">
        <is>
          <t>V.N. Devadoss v. The Chief Revenue Control Officer CUM Inspector General of Registration, The District Revenue Officer (Stamps) and The Sub Registrar (None)</t>
        </is>
      </c>
      <c r="E426" s="2" t="inlineStr">
        <is>
          <t>V.N. Devadoss v. Chief Revenue Control Officer-cum-Ins. and Others (2009)</t>
        </is>
      </c>
      <c r="F426" s="2" t="inlineStr">
        <is>
          <t>cannot be recognised in an answer without a citation or a year</t>
        </is>
      </c>
      <c r="G426" s="2" t="inlineStr">
        <is>
          <t>Supply overruled_cites and/or overruled_year.</t>
        </is>
      </c>
      <c r="H426" s="12" t="inlineStr"/>
      <c r="I426" s="12" t="inlineStr"/>
      <c r="J426" s="13" t="inlineStr"/>
      <c r="K426" s="12" t="inlineStr"/>
      <c r="L426" s="12" t="inlineStr"/>
      <c r="M426" s="12" t="inlineStr"/>
      <c r="N426" s="12" t="inlineStr"/>
      <c r="O426" s="13" t="inlineStr"/>
      <c r="P426" s="12" t="inlineStr"/>
      <c r="Q426" s="12" t="inlineStr"/>
      <c r="R426" s="11" t="inlineStr">
        <is>
          <t>2026-10-15</t>
        </is>
      </c>
      <c r="S426" s="11" t="inlineStr"/>
    </row>
    <row r="427">
      <c r="A427" s="11" t="inlineStr">
        <is>
          <t>L1-0748</t>
        </is>
      </c>
      <c r="B427" s="11" t="inlineStr">
        <is>
          <t>match</t>
        </is>
      </c>
      <c r="C427" s="11" t="n">
        <v>6</v>
      </c>
      <c r="D427" s="2" t="inlineStr">
        <is>
          <t>Rajasthan State Warehousing Corporation v. Commissioner of Income Tax (1994)</t>
        </is>
      </c>
      <c r="E427" s="2" t="inlineStr">
        <is>
          <t>Rajasthan State Warehousing Corporation v. Commissioner of Income Tax (2000)</t>
        </is>
      </c>
      <c r="F427" s="2" t="inlineStr">
        <is>
          <t>cannot be recognised in an answer without a citation or a year</t>
        </is>
      </c>
      <c r="G427" s="2" t="inlineStr">
        <is>
          <t>Supply overruled_cites and/or overruled_year.</t>
        </is>
      </c>
      <c r="H427" s="12" t="inlineStr"/>
      <c r="I427" s="12" t="inlineStr"/>
      <c r="J427" s="13" t="inlineStr"/>
      <c r="K427" s="12" t="inlineStr"/>
      <c r="L427" s="12" t="inlineStr"/>
      <c r="M427" s="12" t="inlineStr"/>
      <c r="N427" s="12" t="inlineStr"/>
      <c r="O427" s="13" t="inlineStr"/>
      <c r="P427" s="12" t="inlineStr"/>
      <c r="Q427" s="12" t="inlineStr"/>
      <c r="R427" s="11" t="inlineStr">
        <is>
          <t>2026-10-15</t>
        </is>
      </c>
      <c r="S427" s="11" t="inlineStr"/>
    </row>
    <row r="428">
      <c r="A428" s="11" t="inlineStr">
        <is>
          <t>L1-0750</t>
        </is>
      </c>
      <c r="B428" s="11" t="inlineStr">
        <is>
          <t>match</t>
        </is>
      </c>
      <c r="C428" s="11" t="n">
        <v>6</v>
      </c>
      <c r="D428" s="2" t="inlineStr">
        <is>
          <t>Sadhuram and Another v. State of Rajasthan (2001)</t>
        </is>
      </c>
      <c r="E428" s="2" t="inlineStr">
        <is>
          <t>Sadhu Ram and Another v. The State of Rajasthan (2003)</t>
        </is>
      </c>
      <c r="F428" s="2" t="inlineStr">
        <is>
          <t>cannot be recognised in an answer without a citation or a year</t>
        </is>
      </c>
      <c r="G428" s="2" t="inlineStr">
        <is>
          <t>Supply overruled_cites and/or overruled_year.</t>
        </is>
      </c>
      <c r="H428" s="12" t="inlineStr"/>
      <c r="I428" s="12" t="inlineStr"/>
      <c r="J428" s="13" t="inlineStr"/>
      <c r="K428" s="12" t="inlineStr"/>
      <c r="L428" s="12" t="inlineStr"/>
      <c r="M428" s="12" t="inlineStr"/>
      <c r="N428" s="12" t="inlineStr"/>
      <c r="O428" s="13" t="inlineStr"/>
      <c r="P428" s="12" t="inlineStr"/>
      <c r="Q428" s="12" t="inlineStr"/>
      <c r="R428" s="11" t="inlineStr">
        <is>
          <t>2026-10-15</t>
        </is>
      </c>
      <c r="S428" s="11" t="inlineStr"/>
    </row>
    <row r="429">
      <c r="A429" s="11" t="inlineStr">
        <is>
          <t>L1-0761</t>
        </is>
      </c>
      <c r="B429" s="11" t="inlineStr">
        <is>
          <t>match</t>
        </is>
      </c>
      <c r="C429" s="11" t="n">
        <v>6</v>
      </c>
      <c r="D429" s="2" t="inlineStr">
        <is>
          <t>State v. Gopal (2001)</t>
        </is>
      </c>
      <c r="E429" s="2" t="inlineStr">
        <is>
          <t>Gopal v. State of Rajasthan (2009)</t>
        </is>
      </c>
      <c r="F429" s="2" t="inlineStr">
        <is>
          <t>cannot be recognised in an answer without a citation or a year</t>
        </is>
      </c>
      <c r="G429" s="2" t="inlineStr">
        <is>
          <t>Supply overruled_cites and/or overruled_year.</t>
        </is>
      </c>
      <c r="H429" s="12" t="inlineStr"/>
      <c r="I429" s="12" t="inlineStr"/>
      <c r="J429" s="13" t="inlineStr"/>
      <c r="K429" s="12" t="inlineStr"/>
      <c r="L429" s="12" t="inlineStr"/>
      <c r="M429" s="12" t="inlineStr"/>
      <c r="N429" s="12" t="inlineStr"/>
      <c r="O429" s="13" t="inlineStr"/>
      <c r="P429" s="12" t="inlineStr"/>
      <c r="Q429" s="12" t="inlineStr"/>
      <c r="R429" s="11" t="inlineStr">
        <is>
          <t>2026-10-15</t>
        </is>
      </c>
      <c r="S429" s="11" t="inlineStr"/>
    </row>
    <row r="430">
      <c r="A430" s="11" t="inlineStr">
        <is>
          <t>L1-0764</t>
        </is>
      </c>
      <c r="B430" s="11" t="inlineStr">
        <is>
          <t>match</t>
        </is>
      </c>
      <c r="C430" s="11" t="n">
        <v>6</v>
      </c>
      <c r="D430" s="2" t="inlineStr">
        <is>
          <t>K.J. Khosla v. Smt. Rajlakshmi N. Khosla v. Rajlakshmi (dead) and (None)</t>
        </is>
      </c>
      <c r="E430" s="2" t="inlineStr">
        <is>
          <t>Others (2006)</t>
        </is>
      </c>
      <c r="F430" s="2" t="inlineStr">
        <is>
          <t>cannot be recognised in an answer without a citation or a year</t>
        </is>
      </c>
      <c r="G430" s="2" t="inlineStr">
        <is>
          <t>Supply overruled_cites and/or overruled_year.</t>
        </is>
      </c>
      <c r="H430" s="12" t="inlineStr"/>
      <c r="I430" s="12" t="inlineStr"/>
      <c r="J430" s="13" t="inlineStr"/>
      <c r="K430" s="12" t="inlineStr"/>
      <c r="L430" s="12" t="inlineStr"/>
      <c r="M430" s="12" t="inlineStr"/>
      <c r="N430" s="12" t="inlineStr"/>
      <c r="O430" s="13" t="inlineStr"/>
      <c r="P430" s="12" t="inlineStr"/>
      <c r="Q430" s="12" t="inlineStr"/>
      <c r="R430" s="11" t="inlineStr">
        <is>
          <t>2026-10-15</t>
        </is>
      </c>
      <c r="S430" s="11" t="inlineStr"/>
    </row>
    <row r="431">
      <c r="A431" s="11" t="inlineStr">
        <is>
          <t>L1-0778</t>
        </is>
      </c>
      <c r="B431" s="11" t="inlineStr">
        <is>
          <t>match</t>
        </is>
      </c>
      <c r="C431" s="11" t="n">
        <v>6</v>
      </c>
      <c r="D431" s="2" t="inlineStr">
        <is>
          <t>State of Punjab v. Sukhwinder Singh (None)</t>
        </is>
      </c>
      <c r="E431" s="2" t="inlineStr">
        <is>
          <t>State of Punjab and Others v. Sukhwinder Singh (2005)</t>
        </is>
      </c>
      <c r="F431" s="2" t="inlineStr">
        <is>
          <t>cannot be recognised in an answer without a citation or a year</t>
        </is>
      </c>
      <c r="G431" s="2" t="inlineStr">
        <is>
          <t>Supply overruled_cites and/or overruled_year.</t>
        </is>
      </c>
      <c r="H431" s="12" t="inlineStr"/>
      <c r="I431" s="12" t="inlineStr"/>
      <c r="J431" s="13" t="inlineStr"/>
      <c r="K431" s="12" t="inlineStr"/>
      <c r="L431" s="12" t="inlineStr"/>
      <c r="M431" s="12" t="inlineStr"/>
      <c r="N431" s="12" t="inlineStr"/>
      <c r="O431" s="13" t="inlineStr"/>
      <c r="P431" s="12" t="inlineStr"/>
      <c r="Q431" s="12" t="inlineStr"/>
      <c r="R431" s="11" t="inlineStr">
        <is>
          <t>2026-10-15</t>
        </is>
      </c>
      <c r="S431" s="11" t="inlineStr"/>
    </row>
    <row r="432">
      <c r="A432" s="11" t="inlineStr">
        <is>
          <t>L1-0780</t>
        </is>
      </c>
      <c r="B432" s="11" t="inlineStr">
        <is>
          <t>match</t>
        </is>
      </c>
      <c r="C432" s="11" t="n">
        <v>6</v>
      </c>
      <c r="D432" s="2" t="inlineStr">
        <is>
          <t>Manisha Tyagi v. Capt. Deepak Kumar (None)</t>
        </is>
      </c>
      <c r="E432" s="2" t="inlineStr">
        <is>
          <t>Manisha Tyagi v. Deepak Kumar (2010)</t>
        </is>
      </c>
      <c r="F432" s="2" t="inlineStr">
        <is>
          <t>cannot be recognised in an answer without a citation or a year</t>
        </is>
      </c>
      <c r="G432" s="2" t="inlineStr">
        <is>
          <t>Supply overruled_cites and/or overruled_year.</t>
        </is>
      </c>
      <c r="H432" s="12" t="inlineStr"/>
      <c r="I432" s="12" t="inlineStr"/>
      <c r="J432" s="13" t="inlineStr"/>
      <c r="K432" s="12" t="inlineStr"/>
      <c r="L432" s="12" t="inlineStr"/>
      <c r="M432" s="12" t="inlineStr"/>
      <c r="N432" s="12" t="inlineStr"/>
      <c r="O432" s="13" t="inlineStr"/>
      <c r="P432" s="12" t="inlineStr"/>
      <c r="Q432" s="12" t="inlineStr"/>
      <c r="R432" s="11" t="inlineStr">
        <is>
          <t>2026-10-15</t>
        </is>
      </c>
      <c r="S432" s="11" t="inlineStr"/>
    </row>
    <row r="433">
      <c r="A433" s="11" t="inlineStr">
        <is>
          <t>L1-0781</t>
        </is>
      </c>
      <c r="B433" s="11" t="inlineStr">
        <is>
          <t>match</t>
        </is>
      </c>
      <c r="C433" s="11" t="n">
        <v>6</v>
      </c>
      <c r="D433" s="2" t="inlineStr">
        <is>
          <t>Daya Nand (Through Jail) v. State of Haryana (None)</t>
        </is>
      </c>
      <c r="E433" s="2" t="inlineStr">
        <is>
          <t>Daya Nand v. State of Haryana (2008)</t>
        </is>
      </c>
      <c r="F433" s="2" t="inlineStr">
        <is>
          <t>cannot be recognised in an answer without a citation or a year</t>
        </is>
      </c>
      <c r="G433" s="2" t="inlineStr">
        <is>
          <t>Supply overruled_cites and/or overruled_year.</t>
        </is>
      </c>
      <c r="H433" s="12" t="inlineStr"/>
      <c r="I433" s="12" t="inlineStr"/>
      <c r="J433" s="13" t="inlineStr"/>
      <c r="K433" s="12" t="inlineStr"/>
      <c r="L433" s="12" t="inlineStr"/>
      <c r="M433" s="12" t="inlineStr"/>
      <c r="N433" s="12" t="inlineStr"/>
      <c r="O433" s="13" t="inlineStr"/>
      <c r="P433" s="12" t="inlineStr"/>
      <c r="Q433" s="12" t="inlineStr"/>
      <c r="R433" s="11" t="inlineStr">
        <is>
          <t>2026-10-15</t>
        </is>
      </c>
      <c r="S433" s="11" t="inlineStr"/>
    </row>
    <row r="434">
      <c r="A434" s="11" t="inlineStr">
        <is>
          <t>L1-0795</t>
        </is>
      </c>
      <c r="B434" s="11" t="inlineStr">
        <is>
          <t>match</t>
        </is>
      </c>
      <c r="C434" s="11" t="n">
        <v>6</v>
      </c>
      <c r="D434" s="2" t="inlineStr">
        <is>
          <t>Hindsons (P.) Ltd. v. The State of Punjab (1982)</t>
        </is>
      </c>
      <c r="E434" s="2" t="inlineStr">
        <is>
          <t>State of Punjab v. Hindsons (P) Ltd. (1984)</t>
        </is>
      </c>
      <c r="F434" s="2" t="inlineStr">
        <is>
          <t>cannot be recognised in an answer without a citation or a year</t>
        </is>
      </c>
      <c r="G434" s="2" t="inlineStr">
        <is>
          <t>Supply overruled_cites and/or overruled_year.</t>
        </is>
      </c>
      <c r="H434" s="12" t="inlineStr"/>
      <c r="I434" s="12" t="inlineStr"/>
      <c r="J434" s="13" t="inlineStr"/>
      <c r="K434" s="12" t="inlineStr"/>
      <c r="L434" s="12" t="inlineStr"/>
      <c r="M434" s="12" t="inlineStr"/>
      <c r="N434" s="12" t="inlineStr"/>
      <c r="O434" s="13" t="inlineStr"/>
      <c r="P434" s="12" t="inlineStr"/>
      <c r="Q434" s="12" t="inlineStr"/>
      <c r="R434" s="11" t="inlineStr">
        <is>
          <t>2026-10-15</t>
        </is>
      </c>
      <c r="S434" s="11" t="inlineStr"/>
    </row>
    <row r="435">
      <c r="A435" s="11" t="inlineStr">
        <is>
          <t>L1-0803</t>
        </is>
      </c>
      <c r="B435" s="11" t="inlineStr">
        <is>
          <t>match</t>
        </is>
      </c>
      <c r="C435" s="11" t="n">
        <v>6</v>
      </c>
      <c r="D435" s="2" t="inlineStr">
        <is>
          <t>Union of India (UOI) and Another v. State of Haryana and Another (2001)</t>
        </is>
      </c>
      <c r="E435" s="2" t="inlineStr">
        <is>
          <t>State of Uttar Pradesh and Another v. Union of India (UOI) and Another (2003)</t>
        </is>
      </c>
      <c r="F435" s="2" t="inlineStr">
        <is>
          <t>cannot be recognised in an answer without a citation or a year</t>
        </is>
      </c>
      <c r="G435" s="2" t="inlineStr">
        <is>
          <t>Supply overruled_cites and/or overruled_year.</t>
        </is>
      </c>
      <c r="H435" s="12" t="inlineStr"/>
      <c r="I435" s="12" t="inlineStr"/>
      <c r="J435" s="13" t="inlineStr"/>
      <c r="K435" s="12" t="inlineStr"/>
      <c r="L435" s="12" t="inlineStr"/>
      <c r="M435" s="12" t="inlineStr"/>
      <c r="N435" s="12" t="inlineStr"/>
      <c r="O435" s="13" t="inlineStr"/>
      <c r="P435" s="12" t="inlineStr"/>
      <c r="Q435" s="12" t="inlineStr"/>
      <c r="R435" s="11" t="inlineStr">
        <is>
          <t>2026-10-15</t>
        </is>
      </c>
      <c r="S435" s="11" t="inlineStr"/>
    </row>
    <row r="436">
      <c r="A436" s="11" t="inlineStr">
        <is>
          <t>L1-0845</t>
        </is>
      </c>
      <c r="B436" s="11" t="inlineStr">
        <is>
          <t>match</t>
        </is>
      </c>
      <c r="C436" s="11" t="n">
        <v>6</v>
      </c>
      <c r="D436" s="2" t="inlineStr">
        <is>
          <t>Commissioner of Income Tax v. State Bank of Patiala (1992)</t>
        </is>
      </c>
      <c r="E436" s="2" t="inlineStr">
        <is>
          <t>State Bank of Patiala, Patiala v. Commissioner of Income Tax, Patiala (1996)</t>
        </is>
      </c>
      <c r="F436" s="2" t="inlineStr">
        <is>
          <t>cannot be recognised in an answer without a citation or a year</t>
        </is>
      </c>
      <c r="G436" s="2" t="inlineStr">
        <is>
          <t>Supply overruled_cites and/or overruled_year.</t>
        </is>
      </c>
      <c r="H436" s="12" t="inlineStr"/>
      <c r="I436" s="12" t="inlineStr"/>
      <c r="J436" s="13" t="inlineStr"/>
      <c r="K436" s="12" t="inlineStr"/>
      <c r="L436" s="12" t="inlineStr"/>
      <c r="M436" s="12" t="inlineStr"/>
      <c r="N436" s="12" t="inlineStr"/>
      <c r="O436" s="13" t="inlineStr"/>
      <c r="P436" s="12" t="inlineStr"/>
      <c r="Q436" s="12" t="inlineStr"/>
      <c r="R436" s="11" t="inlineStr">
        <is>
          <t>2026-10-15</t>
        </is>
      </c>
      <c r="S436" s="11" t="inlineStr"/>
    </row>
    <row r="437">
      <c r="A437" s="11" t="inlineStr">
        <is>
          <t>L1-0855</t>
        </is>
      </c>
      <c r="B437" s="11" t="inlineStr">
        <is>
          <t>match</t>
        </is>
      </c>
      <c r="C437" s="11" t="n">
        <v>6</v>
      </c>
      <c r="D437" s="2" t="inlineStr">
        <is>
          <t>State of Punjab and others v. Punjab Fibres Limited and others (1998)</t>
        </is>
      </c>
      <c r="E437" s="2" t="inlineStr">
        <is>
          <t>State of Punjab and Others v. Punjab Fibres Ltd. and Others (2005)</t>
        </is>
      </c>
      <c r="F437" s="2" t="inlineStr">
        <is>
          <t>cannot be recognised in an answer without a citation or a year</t>
        </is>
      </c>
      <c r="G437" s="2" t="inlineStr">
        <is>
          <t>Supply overruled_cites and/or overruled_year.</t>
        </is>
      </c>
      <c r="H437" s="12" t="inlineStr"/>
      <c r="I437" s="12" t="inlineStr"/>
      <c r="J437" s="13" t="inlineStr"/>
      <c r="K437" s="12" t="inlineStr"/>
      <c r="L437" s="12" t="inlineStr"/>
      <c r="M437" s="12" t="inlineStr"/>
      <c r="N437" s="12" t="inlineStr"/>
      <c r="O437" s="13" t="inlineStr"/>
      <c r="P437" s="12" t="inlineStr"/>
      <c r="Q437" s="12" t="inlineStr"/>
      <c r="R437" s="11" t="inlineStr">
        <is>
          <t>2026-10-15</t>
        </is>
      </c>
      <c r="S437" s="11" t="inlineStr"/>
    </row>
    <row r="438">
      <c r="A438" s="11" t="inlineStr">
        <is>
          <t>L1-0874</t>
        </is>
      </c>
      <c r="B438" s="11" t="inlineStr">
        <is>
          <t>match</t>
        </is>
      </c>
      <c r="C438" s="11" t="n">
        <v>6</v>
      </c>
      <c r="D438" s="2" t="inlineStr">
        <is>
          <t>Prahlad Singh and Others v. Union of India (UOI) and Others (None)</t>
        </is>
      </c>
      <c r="E438" s="2" t="inlineStr">
        <is>
          <t>Prahlad Singh and Others v. Union of India (UOI) and Others (2011)</t>
        </is>
      </c>
      <c r="F438" s="2" t="inlineStr">
        <is>
          <t>cannot be recognised in an answer without a citation or a year</t>
        </is>
      </c>
      <c r="G438" s="2" t="inlineStr">
        <is>
          <t>Supply overruled_cites and/or overruled_year.</t>
        </is>
      </c>
      <c r="H438" s="12" t="inlineStr"/>
      <c r="I438" s="12" t="inlineStr"/>
      <c r="J438" s="13" t="inlineStr"/>
      <c r="K438" s="12" t="inlineStr"/>
      <c r="L438" s="12" t="inlineStr"/>
      <c r="M438" s="12" t="inlineStr"/>
      <c r="N438" s="12" t="inlineStr"/>
      <c r="O438" s="13" t="inlineStr"/>
      <c r="P438" s="12" t="inlineStr"/>
      <c r="Q438" s="12" t="inlineStr"/>
      <c r="R438" s="11" t="inlineStr">
        <is>
          <t>2026-10-15</t>
        </is>
      </c>
      <c r="S438" s="11" t="inlineStr"/>
    </row>
    <row r="439">
      <c r="A439" s="11" t="inlineStr">
        <is>
          <t>L1-0879</t>
        </is>
      </c>
      <c r="B439" s="11" t="inlineStr">
        <is>
          <t>match</t>
        </is>
      </c>
      <c r="C439" s="11" t="n">
        <v>6</v>
      </c>
      <c r="D439" s="2" t="inlineStr">
        <is>
          <t>Swaika Oil Mills v. Member, Board of Revenue, 76 CWN 711 : (1971) 27 STC 218 (None)</t>
        </is>
      </c>
      <c r="E439" s="2" t="inlineStr">
        <is>
          <t>Member Board of Revenue, West Bengal v. Swaika Oil Mills (1977)</t>
        </is>
      </c>
      <c r="F439" s="2" t="inlineStr">
        <is>
          <t>cannot be recognised in an answer without a citation or a year</t>
        </is>
      </c>
      <c r="G439" s="2" t="inlineStr">
        <is>
          <t>Supply overruled_cites and/or overruled_year.</t>
        </is>
      </c>
      <c r="H439" s="12" t="inlineStr"/>
      <c r="I439" s="12" t="inlineStr"/>
      <c r="J439" s="13" t="inlineStr"/>
      <c r="K439" s="12" t="inlineStr"/>
      <c r="L439" s="12" t="inlineStr"/>
      <c r="M439" s="12" t="inlineStr"/>
      <c r="N439" s="12" t="inlineStr"/>
      <c r="O439" s="13" t="inlineStr"/>
      <c r="P439" s="12" t="inlineStr"/>
      <c r="Q439" s="12" t="inlineStr"/>
      <c r="R439" s="11" t="inlineStr">
        <is>
          <t>2026-10-15</t>
        </is>
      </c>
      <c r="S439" s="11" t="inlineStr"/>
    </row>
    <row r="440">
      <c r="A440" s="11" t="inlineStr">
        <is>
          <t>L1-0881</t>
        </is>
      </c>
      <c r="B440" s="11" t="inlineStr">
        <is>
          <t>match</t>
        </is>
      </c>
      <c r="C440" s="11" t="n">
        <v>6</v>
      </c>
      <c r="D440" s="2" t="inlineStr">
        <is>
          <t>State of Punjab v. Hari Singh ASI Punjab Police (None)</t>
        </is>
      </c>
      <c r="E440" s="2" t="inlineStr">
        <is>
          <t>State of Punjab and Another v. Hari Singh (2008)</t>
        </is>
      </c>
      <c r="F440" s="2" t="inlineStr">
        <is>
          <t>cannot be recognised in an answer without a citation or a year</t>
        </is>
      </c>
      <c r="G440" s="2" t="inlineStr">
        <is>
          <t>Supply overruled_cites and/or overruled_year.</t>
        </is>
      </c>
      <c r="H440" s="12" t="inlineStr"/>
      <c r="I440" s="12" t="inlineStr"/>
      <c r="J440" s="13" t="inlineStr"/>
      <c r="K440" s="12" t="inlineStr"/>
      <c r="L440" s="12" t="inlineStr"/>
      <c r="M440" s="12" t="inlineStr"/>
      <c r="N440" s="12" t="inlineStr"/>
      <c r="O440" s="13" t="inlineStr"/>
      <c r="P440" s="12" t="inlineStr"/>
      <c r="Q440" s="12" t="inlineStr"/>
      <c r="R440" s="11" t="inlineStr">
        <is>
          <t>2026-10-15</t>
        </is>
      </c>
      <c r="S440" s="11" t="inlineStr"/>
    </row>
    <row r="441">
      <c r="A441" s="11" t="inlineStr">
        <is>
          <t>L1-0883</t>
        </is>
      </c>
      <c r="B441" s="11" t="inlineStr">
        <is>
          <t>match</t>
        </is>
      </c>
      <c r="C441" s="11" t="n">
        <v>6</v>
      </c>
      <c r="D441" s="2" t="inlineStr">
        <is>
          <t>Jodhbir Singh v. State of Punjab (None)</t>
        </is>
      </c>
      <c r="E441" s="2" t="inlineStr">
        <is>
          <t>Jodhbir Singh v. State of Punjab (2013)</t>
        </is>
      </c>
      <c r="F441" s="2" t="inlineStr">
        <is>
          <t>cannot be recognised in an answer without a citation or a year</t>
        </is>
      </c>
      <c r="G441" s="2" t="inlineStr">
        <is>
          <t>Supply overruled_cites and/or overruled_year.</t>
        </is>
      </c>
      <c r="H441" s="12" t="inlineStr"/>
      <c r="I441" s="12" t="inlineStr"/>
      <c r="J441" s="13" t="inlineStr"/>
      <c r="K441" s="12" t="inlineStr"/>
      <c r="L441" s="12" t="inlineStr"/>
      <c r="M441" s="12" t="inlineStr"/>
      <c r="N441" s="12" t="inlineStr"/>
      <c r="O441" s="13" t="inlineStr"/>
      <c r="P441" s="12" t="inlineStr"/>
      <c r="Q441" s="12" t="inlineStr"/>
      <c r="R441" s="11" t="inlineStr">
        <is>
          <t>2026-10-15</t>
        </is>
      </c>
      <c r="S441" s="11" t="inlineStr"/>
    </row>
    <row r="442">
      <c r="A442" s="11" t="inlineStr">
        <is>
          <t>L1-0909</t>
        </is>
      </c>
      <c r="B442" s="11" t="inlineStr">
        <is>
          <t>match</t>
        </is>
      </c>
      <c r="C442" s="11" t="n">
        <v>6</v>
      </c>
      <c r="D442" s="2" t="inlineStr">
        <is>
          <t>In Re: Sanjay Kumar Kedia @ Sanjay Kedia (2009)</t>
        </is>
      </c>
      <c r="E442" s="2" t="inlineStr">
        <is>
          <t>Sanjay Kumar Kedia @ Sanjay Kedia v. Intelligence Officer, Narcotic Control Bureau and Another (2009)</t>
        </is>
      </c>
      <c r="F442" s="2" t="inlineStr">
        <is>
          <t>cannot be recognised in an answer without a citation or a year</t>
        </is>
      </c>
      <c r="G442" s="2" t="inlineStr">
        <is>
          <t>Supply overruled_cites and/or overruled_year.</t>
        </is>
      </c>
      <c r="H442" s="12" t="inlineStr"/>
      <c r="I442" s="12" t="inlineStr"/>
      <c r="J442" s="13" t="inlineStr"/>
      <c r="K442" s="12" t="inlineStr"/>
      <c r="L442" s="12" t="inlineStr"/>
      <c r="M442" s="12" t="inlineStr"/>
      <c r="N442" s="12" t="inlineStr"/>
      <c r="O442" s="13" t="inlineStr"/>
      <c r="P442" s="12" t="inlineStr"/>
      <c r="Q442" s="12" t="inlineStr"/>
      <c r="R442" s="11" t="inlineStr">
        <is>
          <t>2026-10-15</t>
        </is>
      </c>
      <c r="S442" s="11" t="inlineStr"/>
    </row>
    <row r="443">
      <c r="A443" s="11" t="inlineStr">
        <is>
          <t>L1-0917</t>
        </is>
      </c>
      <c r="B443" s="11" t="inlineStr">
        <is>
          <t>match</t>
        </is>
      </c>
      <c r="C443" s="11" t="n">
        <v>6</v>
      </c>
      <c r="D443" s="2" t="inlineStr">
        <is>
          <t>Sayed Ismail v. Imambee and Others (None)</t>
        </is>
      </c>
      <c r="E443" s="2" t="inlineStr">
        <is>
          <t>Ahmedsaheb (D) by L.Rs. and Others v. Sayed Ismail (2012)</t>
        </is>
      </c>
      <c r="F443" s="2" t="inlineStr">
        <is>
          <t>cannot be recognised in an answer without a citation or a year</t>
        </is>
      </c>
      <c r="G443" s="2" t="inlineStr">
        <is>
          <t>Supply overruled_cites and/or overruled_year.</t>
        </is>
      </c>
      <c r="H443" s="12" t="inlineStr"/>
      <c r="I443" s="12" t="inlineStr"/>
      <c r="J443" s="13" t="inlineStr"/>
      <c r="K443" s="12" t="inlineStr"/>
      <c r="L443" s="12" t="inlineStr"/>
      <c r="M443" s="12" t="inlineStr"/>
      <c r="N443" s="12" t="inlineStr"/>
      <c r="O443" s="13" t="inlineStr"/>
      <c r="P443" s="12" t="inlineStr"/>
      <c r="Q443" s="12" t="inlineStr"/>
      <c r="R443" s="11" t="inlineStr">
        <is>
          <t>2026-10-15</t>
        </is>
      </c>
      <c r="S443" s="11" t="inlineStr"/>
    </row>
    <row r="444">
      <c r="A444" s="11" t="inlineStr">
        <is>
          <t>L1-0919</t>
        </is>
      </c>
      <c r="B444" s="11" t="inlineStr">
        <is>
          <t>match</t>
        </is>
      </c>
      <c r="C444" s="11" t="n">
        <v>6</v>
      </c>
      <c r="D444" s="2" t="inlineStr">
        <is>
          <t>Ajay Pandit @ Jagdish Dayabhai Patel v. The State of Maharashtra (None)</t>
        </is>
      </c>
      <c r="E444" s="2" t="inlineStr">
        <is>
          <t>Ajay Pandit @ Jagdish Dayabhai Patel and Another v. State of Maharashtra (2012)</t>
        </is>
      </c>
      <c r="F444" s="2" t="inlineStr">
        <is>
          <t>cannot be recognised in an answer without a citation or a year</t>
        </is>
      </c>
      <c r="G444" s="2" t="inlineStr">
        <is>
          <t>Supply overruled_cites and/or overruled_year.</t>
        </is>
      </c>
      <c r="H444" s="12" t="inlineStr"/>
      <c r="I444" s="12" t="inlineStr"/>
      <c r="J444" s="13" t="inlineStr"/>
      <c r="K444" s="12" t="inlineStr"/>
      <c r="L444" s="12" t="inlineStr"/>
      <c r="M444" s="12" t="inlineStr"/>
      <c r="N444" s="12" t="inlineStr"/>
      <c r="O444" s="13" t="inlineStr"/>
      <c r="P444" s="12" t="inlineStr"/>
      <c r="Q444" s="12" t="inlineStr"/>
      <c r="R444" s="11" t="inlineStr">
        <is>
          <t>2026-10-15</t>
        </is>
      </c>
      <c r="S444" s="11" t="inlineStr"/>
    </row>
    <row r="445">
      <c r="A445" s="11" t="inlineStr">
        <is>
          <t>L1-0920</t>
        </is>
      </c>
      <c r="B445" s="11" t="inlineStr">
        <is>
          <t>match</t>
        </is>
      </c>
      <c r="C445" s="11" t="n">
        <v>6</v>
      </c>
      <c r="D445" s="2" t="inlineStr">
        <is>
          <t>The Administrator v. Mr. Gulabhia M. Lad. (None)</t>
        </is>
      </c>
      <c r="E445" s="2" t="inlineStr">
        <is>
          <t>The Administrator, Union Territory of Dadra and Nagar Haveli v. Gulabhia M. Lad (2010)</t>
        </is>
      </c>
      <c r="F445" s="2" t="inlineStr">
        <is>
          <t>cannot be recognised in an answer without a citation or a year</t>
        </is>
      </c>
      <c r="G445" s="2" t="inlineStr">
        <is>
          <t>Supply overruled_cites and/or overruled_year.</t>
        </is>
      </c>
      <c r="H445" s="12" t="inlineStr"/>
      <c r="I445" s="12" t="inlineStr"/>
      <c r="J445" s="13" t="inlineStr"/>
      <c r="K445" s="12" t="inlineStr"/>
      <c r="L445" s="12" t="inlineStr"/>
      <c r="M445" s="12" t="inlineStr"/>
      <c r="N445" s="12" t="inlineStr"/>
      <c r="O445" s="13" t="inlineStr"/>
      <c r="P445" s="12" t="inlineStr"/>
      <c r="Q445" s="12" t="inlineStr"/>
      <c r="R445" s="11" t="inlineStr">
        <is>
          <t>2026-10-15</t>
        </is>
      </c>
      <c r="S445" s="11" t="inlineStr"/>
    </row>
    <row r="446">
      <c r="A446" s="11" t="inlineStr">
        <is>
          <t>L1-0943</t>
        </is>
      </c>
      <c r="B446" s="11" t="inlineStr">
        <is>
          <t>match</t>
        </is>
      </c>
      <c r="C446" s="11" t="n">
        <v>6</v>
      </c>
      <c r="D446" s="2" t="inlineStr">
        <is>
          <t>Commissioner of Income Tax v. Chemiequip Ltd. (2003)</t>
        </is>
      </c>
      <c r="E446" s="2" t="inlineStr">
        <is>
          <t>Commissioner of Income Tax, Bhopal v. Ralson Industries Ltd. (2007)</t>
        </is>
      </c>
      <c r="F446" s="2" t="inlineStr">
        <is>
          <t>cannot be recognised in an answer without a citation or a year</t>
        </is>
      </c>
      <c r="G446" s="2" t="inlineStr">
        <is>
          <t>Supply overruled_cites and/or overruled_year.</t>
        </is>
      </c>
      <c r="H446" s="12" t="inlineStr"/>
      <c r="I446" s="12" t="inlineStr"/>
      <c r="J446" s="13" t="inlineStr"/>
      <c r="K446" s="12" t="inlineStr"/>
      <c r="L446" s="12" t="inlineStr"/>
      <c r="M446" s="12" t="inlineStr"/>
      <c r="N446" s="12" t="inlineStr"/>
      <c r="O446" s="13" t="inlineStr"/>
      <c r="P446" s="12" t="inlineStr"/>
      <c r="Q446" s="12" t="inlineStr"/>
      <c r="R446" s="11" t="inlineStr">
        <is>
          <t>2026-10-15</t>
        </is>
      </c>
      <c r="S446" s="11" t="inlineStr"/>
    </row>
    <row r="447">
      <c r="A447" s="11" t="inlineStr">
        <is>
          <t>L1-0985</t>
        </is>
      </c>
      <c r="B447" s="11" t="inlineStr">
        <is>
          <t>match</t>
        </is>
      </c>
      <c r="C447" s="11" t="n">
        <v>6</v>
      </c>
      <c r="D447" s="2" t="inlineStr">
        <is>
          <t>Apar Private Ltd. and others v. Union of India and others (1985)</t>
        </is>
      </c>
      <c r="E447" s="2" t="inlineStr">
        <is>
          <t>Union of India and others v. Apar Private Ltd. and Others (1999)</t>
        </is>
      </c>
      <c r="F447" s="2" t="inlineStr">
        <is>
          <t>cannot be recognised in an answer without a citation or a year</t>
        </is>
      </c>
      <c r="G447" s="2" t="inlineStr">
        <is>
          <t>Supply overruled_cites and/or overruled_year.</t>
        </is>
      </c>
      <c r="H447" s="12" t="inlineStr"/>
      <c r="I447" s="12" t="inlineStr"/>
      <c r="J447" s="13" t="inlineStr"/>
      <c r="K447" s="12" t="inlineStr"/>
      <c r="L447" s="12" t="inlineStr"/>
      <c r="M447" s="12" t="inlineStr"/>
      <c r="N447" s="12" t="inlineStr"/>
      <c r="O447" s="13" t="inlineStr"/>
      <c r="P447" s="12" t="inlineStr"/>
      <c r="Q447" s="12" t="inlineStr"/>
      <c r="R447" s="11" t="inlineStr">
        <is>
          <t>2026-10-15</t>
        </is>
      </c>
      <c r="S447" s="11" t="inlineStr"/>
    </row>
    <row r="448">
      <c r="A448" s="11" t="inlineStr">
        <is>
          <t>L1-0988</t>
        </is>
      </c>
      <c r="B448" s="11" t="inlineStr">
        <is>
          <t>match</t>
        </is>
      </c>
      <c r="C448" s="11" t="n">
        <v>6</v>
      </c>
      <c r="D448" s="2" t="inlineStr">
        <is>
          <t>State of Maharashtra v. Sadashio Mundaji Bhalerao and Others (None)</t>
        </is>
      </c>
      <c r="E448" s="2" t="inlineStr">
        <is>
          <t>Sadashio Mundaji Bhalerao v. State of Maharashtra (2007)</t>
        </is>
      </c>
      <c r="F448" s="2" t="inlineStr">
        <is>
          <t>cannot be recognised in an answer without a citation or a year</t>
        </is>
      </c>
      <c r="G448" s="2" t="inlineStr">
        <is>
          <t>Supply overruled_cites and/or overruled_year.</t>
        </is>
      </c>
      <c r="H448" s="12" t="inlineStr"/>
      <c r="I448" s="12" t="inlineStr"/>
      <c r="J448" s="13" t="inlineStr"/>
      <c r="K448" s="12" t="inlineStr"/>
      <c r="L448" s="12" t="inlineStr"/>
      <c r="M448" s="12" t="inlineStr"/>
      <c r="N448" s="12" t="inlineStr"/>
      <c r="O448" s="13" t="inlineStr"/>
      <c r="P448" s="12" t="inlineStr"/>
      <c r="Q448" s="12" t="inlineStr"/>
      <c r="R448" s="11" t="inlineStr">
        <is>
          <t>2026-10-15</t>
        </is>
      </c>
      <c r="S448" s="11" t="inlineStr"/>
    </row>
    <row r="449">
      <c r="A449" s="11" t="inlineStr">
        <is>
          <t>L1-0993</t>
        </is>
      </c>
      <c r="B449" s="11" t="inlineStr">
        <is>
          <t>match</t>
        </is>
      </c>
      <c r="C449" s="11" t="n">
        <v>6</v>
      </c>
      <c r="D449" s="2" t="inlineStr">
        <is>
          <t>Britannia Biscuit Co. Ltd. v. Third Industrial Tribunal and Another, 80 CWN 676 : (1977) 1 LLJ 197 (None)</t>
        </is>
      </c>
      <c r="E449" s="2" t="inlineStr">
        <is>
          <t>Shankar Chakravarti v. Britannia Biscuit Co. Ltd. and Another (1979)</t>
        </is>
      </c>
      <c r="F449" s="2" t="inlineStr">
        <is>
          <t>cannot be recognised in an answer without a citation or a year</t>
        </is>
      </c>
      <c r="G449" s="2" t="inlineStr">
        <is>
          <t>Supply overruled_cites and/or overruled_year.</t>
        </is>
      </c>
      <c r="H449" s="12" t="inlineStr"/>
      <c r="I449" s="12" t="inlineStr"/>
      <c r="J449" s="13" t="inlineStr"/>
      <c r="K449" s="12" t="inlineStr"/>
      <c r="L449" s="12" t="inlineStr"/>
      <c r="M449" s="12" t="inlineStr"/>
      <c r="N449" s="12" t="inlineStr"/>
      <c r="O449" s="13" t="inlineStr"/>
      <c r="P449" s="12" t="inlineStr"/>
      <c r="Q449" s="12" t="inlineStr"/>
      <c r="R449" s="11" t="inlineStr">
        <is>
          <t>2026-10-15</t>
        </is>
      </c>
      <c r="S449" s="11" t="inlineStr"/>
    </row>
    <row r="450">
      <c r="A450" s="11" t="inlineStr">
        <is>
          <t>L1-0995</t>
        </is>
      </c>
      <c r="B450" s="11" t="inlineStr">
        <is>
          <t>match</t>
        </is>
      </c>
      <c r="C450" s="11" t="n">
        <v>6</v>
      </c>
      <c r="D450" s="2" t="inlineStr">
        <is>
          <t>Bradma of India Limited v. State of Maharashtra (None)</t>
        </is>
      </c>
      <c r="E450" s="2" t="inlineStr">
        <is>
          <t>State of Maharashtra v. Bradma of India Ltd. (2005)</t>
        </is>
      </c>
      <c r="F450" s="2" t="inlineStr">
        <is>
          <t>cannot be recognised in an answer without a citation or a year</t>
        </is>
      </c>
      <c r="G450" s="2" t="inlineStr">
        <is>
          <t>Supply overruled_cites and/or overruled_year.</t>
        </is>
      </c>
      <c r="H450" s="12" t="inlineStr"/>
      <c r="I450" s="12" t="inlineStr"/>
      <c r="J450" s="13" t="inlineStr"/>
      <c r="K450" s="12" t="inlineStr"/>
      <c r="L450" s="12" t="inlineStr"/>
      <c r="M450" s="12" t="inlineStr"/>
      <c r="N450" s="12" t="inlineStr"/>
      <c r="O450" s="13" t="inlineStr"/>
      <c r="P450" s="12" t="inlineStr"/>
      <c r="Q450" s="12" t="inlineStr"/>
      <c r="R450" s="11" t="inlineStr">
        <is>
          <t>2026-10-15</t>
        </is>
      </c>
      <c r="S450" s="11" t="inlineStr"/>
    </row>
    <row r="451">
      <c r="A451" s="11" t="inlineStr">
        <is>
          <t>L1-0999</t>
        </is>
      </c>
      <c r="B451" s="11" t="inlineStr">
        <is>
          <t>match</t>
        </is>
      </c>
      <c r="C451" s="11" t="n">
        <v>6</v>
      </c>
      <c r="D451" s="2" t="inlineStr">
        <is>
          <t>Union of India (UOI) and Divisional Railway Manager, Mumbai Division, Central Railway v. Shri Moni Shankar, Booking Supervisor, Mumbai Division, Central Railway (2006)</t>
        </is>
      </c>
      <c r="E451" s="2" t="inlineStr">
        <is>
          <t>Moni Shankar v. Union of India (UOI) and Another (2008)</t>
        </is>
      </c>
      <c r="F451" s="2" t="inlineStr">
        <is>
          <t>cannot be recognised in an answer without a citation or a year</t>
        </is>
      </c>
      <c r="G451" s="2" t="inlineStr">
        <is>
          <t>Supply overruled_cites and/or overruled_year.</t>
        </is>
      </c>
      <c r="H451" s="12" t="inlineStr"/>
      <c r="I451" s="12" t="inlineStr"/>
      <c r="J451" s="13" t="inlineStr"/>
      <c r="K451" s="12" t="inlineStr"/>
      <c r="L451" s="12" t="inlineStr"/>
      <c r="M451" s="12" t="inlineStr"/>
      <c r="N451" s="12" t="inlineStr"/>
      <c r="O451" s="13" t="inlineStr"/>
      <c r="P451" s="12" t="inlineStr"/>
      <c r="Q451" s="12" t="inlineStr"/>
      <c r="R451" s="11" t="inlineStr">
        <is>
          <t>2026-10-15</t>
        </is>
      </c>
      <c r="S451" s="11" t="inlineStr"/>
    </row>
    <row r="452">
      <c r="A452" s="11" t="inlineStr">
        <is>
          <t>L1-1009</t>
        </is>
      </c>
      <c r="B452" s="11" t="inlineStr">
        <is>
          <t>match</t>
        </is>
      </c>
      <c r="C452" s="11" t="n">
        <v>6</v>
      </c>
      <c r="D452" s="2" t="inlineStr">
        <is>
          <t>State of Maharashtra v. Deepchand Khushalchand Jain and others (None)</t>
        </is>
      </c>
      <c r="E452" s="2" t="inlineStr">
        <is>
          <t>T.V. Usman v. Food Inspector, Tellicherry Municipality, Tellicherry (1994)</t>
        </is>
      </c>
      <c r="F452" s="2" t="inlineStr">
        <is>
          <t>cannot be recognised in an answer without a citation or a year</t>
        </is>
      </c>
      <c r="G452" s="2" t="inlineStr">
        <is>
          <t>Supply overruled_cites and/or overruled_year.</t>
        </is>
      </c>
      <c r="H452" s="12" t="inlineStr"/>
      <c r="I452" s="12" t="inlineStr"/>
      <c r="J452" s="13" t="inlineStr"/>
      <c r="K452" s="12" t="inlineStr"/>
      <c r="L452" s="12" t="inlineStr"/>
      <c r="M452" s="12" t="inlineStr"/>
      <c r="N452" s="12" t="inlineStr"/>
      <c r="O452" s="13" t="inlineStr"/>
      <c r="P452" s="12" t="inlineStr"/>
      <c r="Q452" s="12" t="inlineStr"/>
      <c r="R452" s="11" t="inlineStr">
        <is>
          <t>2026-10-15</t>
        </is>
      </c>
      <c r="S452" s="11" t="inlineStr"/>
    </row>
    <row r="453">
      <c r="A453" s="11" t="inlineStr">
        <is>
          <t>L1-1015</t>
        </is>
      </c>
      <c r="B453" s="11" t="inlineStr">
        <is>
          <t>match</t>
        </is>
      </c>
      <c r="C453" s="11" t="n">
        <v>6</v>
      </c>
      <c r="D453" s="2" t="inlineStr">
        <is>
          <t>The Sakharkherda Education Society, Sakharkheda and Others v. The State of Maharashtra and Others (None)</t>
        </is>
      </c>
      <c r="E453" s="2" t="inlineStr">
        <is>
          <t>The State of Maharashtra and Another v. Lok Shikshan Sansatha and Others (1973)</t>
        </is>
      </c>
      <c r="F453" s="2" t="inlineStr">
        <is>
          <t>cannot be recognised in an answer without a citation or a year</t>
        </is>
      </c>
      <c r="G453" s="2" t="inlineStr">
        <is>
          <t>Supply overruled_cites and/or overruled_year.</t>
        </is>
      </c>
      <c r="H453" s="12" t="inlineStr"/>
      <c r="I453" s="12" t="inlineStr"/>
      <c r="J453" s="13" t="inlineStr"/>
      <c r="K453" s="12" t="inlineStr"/>
      <c r="L453" s="12" t="inlineStr"/>
      <c r="M453" s="12" t="inlineStr"/>
      <c r="N453" s="12" t="inlineStr"/>
      <c r="O453" s="13" t="inlineStr"/>
      <c r="P453" s="12" t="inlineStr"/>
      <c r="Q453" s="12" t="inlineStr"/>
      <c r="R453" s="11" t="inlineStr">
        <is>
          <t>2026-10-15</t>
        </is>
      </c>
      <c r="S453" s="11" t="inlineStr"/>
    </row>
    <row r="454">
      <c r="A454" s="11" t="inlineStr">
        <is>
          <t>L1-1036</t>
        </is>
      </c>
      <c r="B454" s="11" t="inlineStr">
        <is>
          <t>match</t>
        </is>
      </c>
      <c r="C454" s="11" t="n">
        <v>6</v>
      </c>
      <c r="D454" s="2" t="inlineStr">
        <is>
          <t>Swam Mills Ltd. v. The Union of India (UOI), Ministry of Finance, Law and Justice, The Commissioner of Central Excise and The Superintendent of Central Excise, Range-05 (None)</t>
        </is>
      </c>
      <c r="E454" s="2" t="inlineStr">
        <is>
          <t>Swan Mills Ltd. v. Union of India (UOI) and Others (2007)</t>
        </is>
      </c>
      <c r="F454" s="2" t="inlineStr">
        <is>
          <t>cannot be recognised in an answer without a citation or a year</t>
        </is>
      </c>
      <c r="G454" s="2" t="inlineStr">
        <is>
          <t>Supply overruled_cites and/or overruled_year.</t>
        </is>
      </c>
      <c r="H454" s="12" t="inlineStr"/>
      <c r="I454" s="12" t="inlineStr"/>
      <c r="J454" s="13" t="inlineStr"/>
      <c r="K454" s="12" t="inlineStr"/>
      <c r="L454" s="12" t="inlineStr"/>
      <c r="M454" s="12" t="inlineStr"/>
      <c r="N454" s="12" t="inlineStr"/>
      <c r="O454" s="13" t="inlineStr"/>
      <c r="P454" s="12" t="inlineStr"/>
      <c r="Q454" s="12" t="inlineStr"/>
      <c r="R454" s="11" t="inlineStr">
        <is>
          <t>2026-10-15</t>
        </is>
      </c>
      <c r="S454" s="11" t="inlineStr"/>
    </row>
    <row r="455">
      <c r="A455" s="11" t="inlineStr">
        <is>
          <t>L1-1047</t>
        </is>
      </c>
      <c r="B455" s="11" t="inlineStr">
        <is>
          <t>match</t>
        </is>
      </c>
      <c r="C455" s="11" t="n">
        <v>6</v>
      </c>
      <c r="D455" s="2" t="inlineStr">
        <is>
          <t>Public Concern for Governance Trust Charitable v. The State of Maharashtra and Others (None)</t>
        </is>
      </c>
      <c r="E455" s="2" t="inlineStr">
        <is>
          <t>State of Maharashtra v. Public Concern for Governance Trust and Others (2007)</t>
        </is>
      </c>
      <c r="F455" s="2" t="inlineStr">
        <is>
          <t>cannot be recognised in an answer without a citation or a year</t>
        </is>
      </c>
      <c r="G455" s="2" t="inlineStr">
        <is>
          <t>Supply overruled_cites and/or overruled_year.</t>
        </is>
      </c>
      <c r="H455" s="12" t="inlineStr"/>
      <c r="I455" s="12" t="inlineStr"/>
      <c r="J455" s="13" t="inlineStr"/>
      <c r="K455" s="12" t="inlineStr"/>
      <c r="L455" s="12" t="inlineStr"/>
      <c r="M455" s="12" t="inlineStr"/>
      <c r="N455" s="12" t="inlineStr"/>
      <c r="O455" s="13" t="inlineStr"/>
      <c r="P455" s="12" t="inlineStr"/>
      <c r="Q455" s="12" t="inlineStr"/>
      <c r="R455" s="11" t="inlineStr">
        <is>
          <t>2026-10-15</t>
        </is>
      </c>
      <c r="S455" s="11" t="inlineStr"/>
    </row>
    <row r="456">
      <c r="A456" s="11" t="inlineStr">
        <is>
          <t>L1-1054</t>
        </is>
      </c>
      <c r="B456" s="11" t="inlineStr">
        <is>
          <t>match</t>
        </is>
      </c>
      <c r="C456" s="11" t="n">
        <v>6</v>
      </c>
      <c r="D456" s="2" t="inlineStr">
        <is>
          <t>Allan John Waters and Duncan Alexander Grant v. State of Maharashtra and Maharukh Adenwalla (None)</t>
        </is>
      </c>
      <c r="E456" s="2" t="inlineStr">
        <is>
          <t>Childline India Foundation and Another v. Allan John Waters and Others (2011)</t>
        </is>
      </c>
      <c r="F456" s="2" t="inlineStr">
        <is>
          <t>cannot be recognised in an answer without a citation or a year</t>
        </is>
      </c>
      <c r="G456" s="2" t="inlineStr">
        <is>
          <t>Supply overruled_cites and/or overruled_year.</t>
        </is>
      </c>
      <c r="H456" s="12" t="inlineStr"/>
      <c r="I456" s="12" t="inlineStr"/>
      <c r="J456" s="13" t="inlineStr"/>
      <c r="K456" s="12" t="inlineStr"/>
      <c r="L456" s="12" t="inlineStr"/>
      <c r="M456" s="12" t="inlineStr"/>
      <c r="N456" s="12" t="inlineStr"/>
      <c r="O456" s="13" t="inlineStr"/>
      <c r="P456" s="12" t="inlineStr"/>
      <c r="Q456" s="12" t="inlineStr"/>
      <c r="R456" s="11" t="inlineStr">
        <is>
          <t>2026-10-15</t>
        </is>
      </c>
      <c r="S456" s="11" t="inlineStr"/>
    </row>
    <row r="457">
      <c r="A457" s="11" t="inlineStr">
        <is>
          <t>L1-1056</t>
        </is>
      </c>
      <c r="B457" s="11" t="inlineStr">
        <is>
          <t>match</t>
        </is>
      </c>
      <c r="C457" s="11" t="n">
        <v>6</v>
      </c>
      <c r="D457" s="2" t="inlineStr">
        <is>
          <t>Dr. P.B. Desai and Others v. The State of Maharashtra (None)</t>
        </is>
      </c>
      <c r="E457" s="2" t="inlineStr">
        <is>
          <t>The State of Maharashtra and P.C. Singh v. Dr. Praful B. Desai and Another (2003)</t>
        </is>
      </c>
      <c r="F457" s="2" t="inlineStr">
        <is>
          <t>cannot be recognised in an answer without a citation or a year</t>
        </is>
      </c>
      <c r="G457" s="2" t="inlineStr">
        <is>
          <t>Supply overruled_cites and/or overruled_year.</t>
        </is>
      </c>
      <c r="H457" s="12" t="inlineStr"/>
      <c r="I457" s="12" t="inlineStr"/>
      <c r="J457" s="13" t="inlineStr"/>
      <c r="K457" s="12" t="inlineStr"/>
      <c r="L457" s="12" t="inlineStr"/>
      <c r="M457" s="12" t="inlineStr"/>
      <c r="N457" s="12" t="inlineStr"/>
      <c r="O457" s="13" t="inlineStr"/>
      <c r="P457" s="12" t="inlineStr"/>
      <c r="Q457" s="12" t="inlineStr"/>
      <c r="R457" s="11" t="inlineStr">
        <is>
          <t>2026-10-15</t>
        </is>
      </c>
      <c r="S457" s="11" t="inlineStr"/>
    </row>
    <row r="458">
      <c r="A458" s="11" t="inlineStr">
        <is>
          <t>L1-1062</t>
        </is>
      </c>
      <c r="B458" s="11" t="inlineStr">
        <is>
          <t>match</t>
        </is>
      </c>
      <c r="C458" s="11" t="n">
        <v>6</v>
      </c>
      <c r="D458" s="2" t="inlineStr">
        <is>
          <t>Nivrutti Gangaram Pawar, since deceased, through his heirs and LRs Prakash Nivrutti Pawar and Others v. Dinkar Maruti Jadhav (2004)</t>
        </is>
      </c>
      <c r="E458" s="2" t="inlineStr">
        <is>
          <t>Dinkar Maruti Jadhav v. Nivrutti Gangaram Pawar (dead) by Lrs. and Others (2008)</t>
        </is>
      </c>
      <c r="F458" s="2" t="inlineStr">
        <is>
          <t>cannot be recognised in an answer without a citation or a year</t>
        </is>
      </c>
      <c r="G458" s="2" t="inlineStr">
        <is>
          <t>Supply overruled_cites and/or overruled_year.</t>
        </is>
      </c>
      <c r="H458" s="12" t="inlineStr"/>
      <c r="I458" s="12" t="inlineStr"/>
      <c r="J458" s="13" t="inlineStr"/>
      <c r="K458" s="12" t="inlineStr"/>
      <c r="L458" s="12" t="inlineStr"/>
      <c r="M458" s="12" t="inlineStr"/>
      <c r="N458" s="12" t="inlineStr"/>
      <c r="O458" s="13" t="inlineStr"/>
      <c r="P458" s="12" t="inlineStr"/>
      <c r="Q458" s="12" t="inlineStr"/>
      <c r="R458" s="11" t="inlineStr">
        <is>
          <t>2026-10-15</t>
        </is>
      </c>
      <c r="S458" s="11" t="inlineStr"/>
    </row>
    <row r="459">
      <c r="A459" s="11" t="inlineStr">
        <is>
          <t>L1-1066</t>
        </is>
      </c>
      <c r="B459" s="11" t="inlineStr">
        <is>
          <t>match</t>
        </is>
      </c>
      <c r="C459" s="11" t="n">
        <v>6</v>
      </c>
      <c r="D459" s="2" t="inlineStr">
        <is>
          <t>Kashiram and Others v. State of Madhya Pradesh (None)</t>
        </is>
      </c>
      <c r="E459" s="2" t="inlineStr">
        <is>
          <t>State of M.P. v. Kashiram and Others (2009)</t>
        </is>
      </c>
      <c r="F459" s="2" t="inlineStr">
        <is>
          <t>cannot be recognised in an answer without a citation or a year</t>
        </is>
      </c>
      <c r="G459" s="2" t="inlineStr">
        <is>
          <t>Supply overruled_cites and/or overruled_year.</t>
        </is>
      </c>
      <c r="H459" s="12" t="inlineStr"/>
      <c r="I459" s="12" t="inlineStr"/>
      <c r="J459" s="13" t="inlineStr"/>
      <c r="K459" s="12" t="inlineStr"/>
      <c r="L459" s="12" t="inlineStr"/>
      <c r="M459" s="12" t="inlineStr"/>
      <c r="N459" s="12" t="inlineStr"/>
      <c r="O459" s="13" t="inlineStr"/>
      <c r="P459" s="12" t="inlineStr"/>
      <c r="Q459" s="12" t="inlineStr"/>
      <c r="R459" s="11" t="inlineStr">
        <is>
          <t>2026-10-15</t>
        </is>
      </c>
      <c r="S459" s="11" t="inlineStr"/>
    </row>
    <row r="460">
      <c r="A460" s="11" t="inlineStr">
        <is>
          <t>L1-1075</t>
        </is>
      </c>
      <c r="B460" s="11" t="inlineStr">
        <is>
          <t>match</t>
        </is>
      </c>
      <c r="C460" s="11" t="n">
        <v>6</v>
      </c>
      <c r="D460" s="2" t="inlineStr">
        <is>
          <t>Commissioner of Income Tax v. Shri Manakram (1990)</t>
        </is>
      </c>
      <c r="E460" s="2" t="inlineStr">
        <is>
          <t>Commissioner of Income Tax, Ludhiana, etc.etc. v. Shri Om Prakash, etc. (1996)</t>
        </is>
      </c>
      <c r="F460" s="2" t="inlineStr">
        <is>
          <t>cannot be recognised in an answer without a citation or a year</t>
        </is>
      </c>
      <c r="G460" s="2" t="inlineStr">
        <is>
          <t>Supply overruled_cites and/or overruled_year.</t>
        </is>
      </c>
      <c r="H460" s="12" t="inlineStr"/>
      <c r="I460" s="12" t="inlineStr"/>
      <c r="J460" s="13" t="inlineStr"/>
      <c r="K460" s="12" t="inlineStr"/>
      <c r="L460" s="12" t="inlineStr"/>
      <c r="M460" s="12" t="inlineStr"/>
      <c r="N460" s="12" t="inlineStr"/>
      <c r="O460" s="13" t="inlineStr"/>
      <c r="P460" s="12" t="inlineStr"/>
      <c r="Q460" s="12" t="inlineStr"/>
      <c r="R460" s="11" t="inlineStr">
        <is>
          <t>2026-10-15</t>
        </is>
      </c>
      <c r="S460" s="11" t="inlineStr"/>
    </row>
    <row r="461">
      <c r="A461" s="11" t="inlineStr">
        <is>
          <t>L1-1095</t>
        </is>
      </c>
      <c r="B461" s="11" t="inlineStr">
        <is>
          <t>match</t>
        </is>
      </c>
      <c r="C461" s="11" t="n">
        <v>6</v>
      </c>
      <c r="D461" s="2" t="inlineStr">
        <is>
          <t>Owners and Parties Interested in the Vessel M.V. “Fortune Express” Another v. Maavar (HK) Ltd. and Others (2005)</t>
        </is>
      </c>
      <c r="E461" s="2" t="inlineStr">
        <is>
          <t>Mayar (H.K.) Ltd. and Others v. Owners and Parties, Vessel M.V. Fortune Express and Others (2006)</t>
        </is>
      </c>
      <c r="F461" s="2" t="inlineStr">
        <is>
          <t>cannot be recognised in an answer without a citation or a year</t>
        </is>
      </c>
      <c r="G461" s="2" t="inlineStr">
        <is>
          <t>Supply overruled_cites and/or overruled_year.</t>
        </is>
      </c>
      <c r="H461" s="12" t="inlineStr"/>
      <c r="I461" s="12" t="inlineStr"/>
      <c r="J461" s="13" t="inlineStr"/>
      <c r="K461" s="12" t="inlineStr"/>
      <c r="L461" s="12" t="inlineStr"/>
      <c r="M461" s="12" t="inlineStr"/>
      <c r="N461" s="12" t="inlineStr"/>
      <c r="O461" s="13" t="inlineStr"/>
      <c r="P461" s="12" t="inlineStr"/>
      <c r="Q461" s="12" t="inlineStr"/>
      <c r="R461" s="11" t="inlineStr">
        <is>
          <t>2026-10-15</t>
        </is>
      </c>
      <c r="S461" s="11" t="inlineStr"/>
    </row>
    <row r="462">
      <c r="A462" s="11" t="inlineStr">
        <is>
          <t>L1-1117</t>
        </is>
      </c>
      <c r="B462" s="11" t="inlineStr">
        <is>
          <t>match</t>
        </is>
      </c>
      <c r="C462" s="11" t="n">
        <v>6</v>
      </c>
      <c r="D462" s="2" t="inlineStr">
        <is>
          <t>Jikku Paul, Student v. The M.G. University (None)</t>
        </is>
      </c>
      <c r="E462" s="2" t="inlineStr">
        <is>
          <t>Mahatma Gandhi University and Another v. Jikku Paul and Others etc. (2011)</t>
        </is>
      </c>
      <c r="F462" s="2" t="inlineStr">
        <is>
          <t>cannot be recognised in an answer without a citation or a year</t>
        </is>
      </c>
      <c r="G462" s="2" t="inlineStr">
        <is>
          <t>Supply overruled_cites and/or overruled_year.</t>
        </is>
      </c>
      <c r="H462" s="12" t="inlineStr"/>
      <c r="I462" s="12" t="inlineStr"/>
      <c r="J462" s="13" t="inlineStr"/>
      <c r="K462" s="12" t="inlineStr"/>
      <c r="L462" s="12" t="inlineStr"/>
      <c r="M462" s="12" t="inlineStr"/>
      <c r="N462" s="12" t="inlineStr"/>
      <c r="O462" s="13" t="inlineStr"/>
      <c r="P462" s="12" t="inlineStr"/>
      <c r="Q462" s="12" t="inlineStr"/>
      <c r="R462" s="11" t="inlineStr">
        <is>
          <t>2026-10-15</t>
        </is>
      </c>
      <c r="S462" s="11" t="inlineStr"/>
    </row>
    <row r="463">
      <c r="A463" s="11" t="inlineStr">
        <is>
          <t>L1-1122</t>
        </is>
      </c>
      <c r="B463" s="11" t="inlineStr">
        <is>
          <t>match</t>
        </is>
      </c>
      <c r="C463" s="11" t="n">
        <v>6</v>
      </c>
      <c r="D463" s="2" t="inlineStr">
        <is>
          <t>Sajeesh Babu v. N.K. Santhosh (None)</t>
        </is>
      </c>
      <c r="E463" s="2" t="inlineStr">
        <is>
          <t>Sajeesh Babu K. v. N.K. Santhosh and Others (2013)</t>
        </is>
      </c>
      <c r="F463" s="2" t="inlineStr">
        <is>
          <t>cannot be recognised in an answer without a citation or a year</t>
        </is>
      </c>
      <c r="G463" s="2" t="inlineStr">
        <is>
          <t>Supply overruled_cites and/or overruled_year.</t>
        </is>
      </c>
      <c r="H463" s="12" t="inlineStr"/>
      <c r="I463" s="12" t="inlineStr"/>
      <c r="J463" s="13" t="inlineStr"/>
      <c r="K463" s="12" t="inlineStr"/>
      <c r="L463" s="12" t="inlineStr"/>
      <c r="M463" s="12" t="inlineStr"/>
      <c r="N463" s="12" t="inlineStr"/>
      <c r="O463" s="13" t="inlineStr"/>
      <c r="P463" s="12" t="inlineStr"/>
      <c r="Q463" s="12" t="inlineStr"/>
      <c r="R463" s="11" t="inlineStr">
        <is>
          <t>2026-10-15</t>
        </is>
      </c>
      <c r="S463" s="11" t="inlineStr"/>
    </row>
    <row r="464">
      <c r="A464" s="11" t="inlineStr">
        <is>
          <t>L1-1128</t>
        </is>
      </c>
      <c r="B464" s="11" t="inlineStr">
        <is>
          <t>match</t>
        </is>
      </c>
      <c r="C464" s="11" t="n">
        <v>6</v>
      </c>
      <c r="D464" s="2" t="inlineStr">
        <is>
          <t>Premkumar v. State of Kerala (2008)</t>
        </is>
      </c>
      <c r="E464" s="2" t="inlineStr">
        <is>
          <t>Premkumar and Others v. State of Kerala (2008)</t>
        </is>
      </c>
      <c r="F464" s="2" t="inlineStr">
        <is>
          <t>cannot be recognised in an answer without a citation or a year</t>
        </is>
      </c>
      <c r="G464" s="2" t="inlineStr">
        <is>
          <t>Supply overruled_cites and/or overruled_year.</t>
        </is>
      </c>
      <c r="H464" s="12" t="inlineStr"/>
      <c r="I464" s="12" t="inlineStr"/>
      <c r="J464" s="13" t="inlineStr"/>
      <c r="K464" s="12" t="inlineStr"/>
      <c r="L464" s="12" t="inlineStr"/>
      <c r="M464" s="12" t="inlineStr"/>
      <c r="N464" s="12" t="inlineStr"/>
      <c r="O464" s="13" t="inlineStr"/>
      <c r="P464" s="12" t="inlineStr"/>
      <c r="Q464" s="12" t="inlineStr"/>
      <c r="R464" s="11" t="inlineStr">
        <is>
          <t>2026-10-15</t>
        </is>
      </c>
      <c r="S464" s="11" t="inlineStr"/>
    </row>
    <row r="465">
      <c r="A465" s="11" t="inlineStr">
        <is>
          <t>L1-1129</t>
        </is>
      </c>
      <c r="B465" s="11" t="inlineStr">
        <is>
          <t>match</t>
        </is>
      </c>
      <c r="C465" s="11" t="n">
        <v>6</v>
      </c>
      <c r="D465" s="2" t="inlineStr">
        <is>
          <t>State of Kerala v. Sudhakaran (2001)</t>
        </is>
      </c>
      <c r="E465" s="2" t="inlineStr">
        <is>
          <t>K. Sudhakaran v. State of Kerala (2009)</t>
        </is>
      </c>
      <c r="F465" s="2" t="inlineStr">
        <is>
          <t>cannot be recognised in an answer without a citation or a year</t>
        </is>
      </c>
      <c r="G465" s="2" t="inlineStr">
        <is>
          <t>Supply overruled_cites and/or overruled_year.</t>
        </is>
      </c>
      <c r="H465" s="12" t="inlineStr"/>
      <c r="I465" s="12" t="inlineStr"/>
      <c r="J465" s="13" t="inlineStr"/>
      <c r="K465" s="12" t="inlineStr"/>
      <c r="L465" s="12" t="inlineStr"/>
      <c r="M465" s="12" t="inlineStr"/>
      <c r="N465" s="12" t="inlineStr"/>
      <c r="O465" s="13" t="inlineStr"/>
      <c r="P465" s="12" t="inlineStr"/>
      <c r="Q465" s="12" t="inlineStr"/>
      <c r="R465" s="11" t="inlineStr">
        <is>
          <t>2026-10-15</t>
        </is>
      </c>
      <c r="S465" s="11" t="inlineStr"/>
    </row>
    <row r="466">
      <c r="A466" s="11" t="inlineStr">
        <is>
          <t>L1-1161</t>
        </is>
      </c>
      <c r="B466" s="11" t="inlineStr">
        <is>
          <t>match</t>
        </is>
      </c>
      <c r="C466" s="11" t="n">
        <v>6</v>
      </c>
      <c r="D466" s="2" t="inlineStr">
        <is>
          <t>Thomas v. State of Kerala and Others (1975)</t>
        </is>
      </c>
      <c r="E466" s="2" t="inlineStr">
        <is>
          <t>State of Kerala and Another v. N.M. Thomas and Others (1976)</t>
        </is>
      </c>
      <c r="F466" s="2" t="inlineStr">
        <is>
          <t>cannot be recognised in an answer without a citation or a year</t>
        </is>
      </c>
      <c r="G466" s="2" t="inlineStr">
        <is>
          <t>Supply overruled_cites and/or overruled_year.</t>
        </is>
      </c>
      <c r="H466" s="12" t="inlineStr"/>
      <c r="I466" s="12" t="inlineStr"/>
      <c r="J466" s="13" t="inlineStr"/>
      <c r="K466" s="12" t="inlineStr"/>
      <c r="L466" s="12" t="inlineStr"/>
      <c r="M466" s="12" t="inlineStr"/>
      <c r="N466" s="12" t="inlineStr"/>
      <c r="O466" s="13" t="inlineStr"/>
      <c r="P466" s="12" t="inlineStr"/>
      <c r="Q466" s="12" t="inlineStr"/>
      <c r="R466" s="11" t="inlineStr">
        <is>
          <t>2026-10-15</t>
        </is>
      </c>
      <c r="S466" s="11" t="inlineStr"/>
    </row>
    <row r="467">
      <c r="A467" s="11" t="inlineStr">
        <is>
          <t>L1-1197</t>
        </is>
      </c>
      <c r="B467" s="11" t="inlineStr">
        <is>
          <t>match</t>
        </is>
      </c>
      <c r="C467" s="11" t="n">
        <v>6</v>
      </c>
      <c r="D467" s="2" t="inlineStr">
        <is>
          <t>The Managing Director Hassan Co-operative Milk Producer’s Society Union Limited v. The Assistant Regional Director Employees State Insurance Corporation (None)</t>
        </is>
      </c>
      <c r="E467" s="2" t="inlineStr">
        <is>
          <t>The Managing Director, Hassan Co- operative Milk Producer’s Society Union Limited v. The Assistant Regional Director Employees State Insurance Corporation (2010)</t>
        </is>
      </c>
      <c r="F467" s="2" t="inlineStr">
        <is>
          <t>cannot be recognised in an answer without a citation or a year</t>
        </is>
      </c>
      <c r="G467" s="2" t="inlineStr">
        <is>
          <t>Supply overruled_cites and/or overruled_year.</t>
        </is>
      </c>
      <c r="H467" s="12" t="inlineStr"/>
      <c r="I467" s="12" t="inlineStr"/>
      <c r="J467" s="13" t="inlineStr"/>
      <c r="K467" s="12" t="inlineStr"/>
      <c r="L467" s="12" t="inlineStr"/>
      <c r="M467" s="12" t="inlineStr"/>
      <c r="N467" s="12" t="inlineStr"/>
      <c r="O467" s="13" t="inlineStr"/>
      <c r="P467" s="12" t="inlineStr"/>
      <c r="Q467" s="12" t="inlineStr"/>
      <c r="R467" s="11" t="inlineStr">
        <is>
          <t>2026-10-15</t>
        </is>
      </c>
      <c r="S467" s="11" t="inlineStr"/>
    </row>
    <row r="468">
      <c r="A468" s="11" t="inlineStr">
        <is>
          <t>L1-1208</t>
        </is>
      </c>
      <c r="B468" s="11" t="inlineStr">
        <is>
          <t>match</t>
        </is>
      </c>
      <c r="C468" s="11" t="n">
        <v>6</v>
      </c>
      <c r="D468" s="2" t="inlineStr">
        <is>
          <t>Uday v. State (1996)</t>
        </is>
      </c>
      <c r="E468" s="2" t="inlineStr">
        <is>
          <t>Uday v. State of Karnataka (2003)</t>
        </is>
      </c>
      <c r="F468" s="2" t="inlineStr">
        <is>
          <t>cannot be recognised in an answer without a citation or a year</t>
        </is>
      </c>
      <c r="G468" s="2" t="inlineStr">
        <is>
          <t>Supply overruled_cites and/or overruled_year.</t>
        </is>
      </c>
      <c r="H468" s="12" t="inlineStr"/>
      <c r="I468" s="12" t="inlineStr"/>
      <c r="J468" s="13" t="inlineStr"/>
      <c r="K468" s="12" t="inlineStr"/>
      <c r="L468" s="12" t="inlineStr"/>
      <c r="M468" s="12" t="inlineStr"/>
      <c r="N468" s="12" t="inlineStr"/>
      <c r="O468" s="13" t="inlineStr"/>
      <c r="P468" s="12" t="inlineStr"/>
      <c r="Q468" s="12" t="inlineStr"/>
      <c r="R468" s="11" t="inlineStr">
        <is>
          <t>2026-10-15</t>
        </is>
      </c>
      <c r="S468" s="11" t="inlineStr"/>
    </row>
    <row r="469">
      <c r="A469" s="11" t="inlineStr">
        <is>
          <t>L1-1241</t>
        </is>
      </c>
      <c r="B469" s="11" t="inlineStr">
        <is>
          <t>match</t>
        </is>
      </c>
      <c r="C469" s="11" t="n">
        <v>6</v>
      </c>
      <c r="D469" s="2" t="inlineStr">
        <is>
          <t>Karnataka State Financial Corporation v. Commissioner of Income Tax (1988)</t>
        </is>
      </c>
      <c r="E469" s="2" t="inlineStr">
        <is>
          <t>The Commissioner of Income Tax, Trivandrum v. The Kerala State Industrial Development Corporation Ltd., Trivandrum (1998)</t>
        </is>
      </c>
      <c r="F469" s="2" t="inlineStr">
        <is>
          <t>cannot be recognised in an answer without a citation or a year</t>
        </is>
      </c>
      <c r="G469" s="2" t="inlineStr">
        <is>
          <t>Supply overruled_cites and/or overruled_year.</t>
        </is>
      </c>
      <c r="H469" s="12" t="inlineStr"/>
      <c r="I469" s="12" t="inlineStr"/>
      <c r="J469" s="13" t="inlineStr"/>
      <c r="K469" s="12" t="inlineStr"/>
      <c r="L469" s="12" t="inlineStr"/>
      <c r="M469" s="12" t="inlineStr"/>
      <c r="N469" s="12" t="inlineStr"/>
      <c r="O469" s="13" t="inlineStr"/>
      <c r="P469" s="12" t="inlineStr"/>
      <c r="Q469" s="12" t="inlineStr"/>
      <c r="R469" s="11" t="inlineStr">
        <is>
          <t>2026-10-15</t>
        </is>
      </c>
      <c r="S469" s="11" t="inlineStr"/>
    </row>
    <row r="470">
      <c r="A470" s="11" t="inlineStr">
        <is>
          <t>L1-1245</t>
        </is>
      </c>
      <c r="B470" s="11" t="inlineStr">
        <is>
          <t>match</t>
        </is>
      </c>
      <c r="C470" s="11" t="n">
        <v>6</v>
      </c>
      <c r="D470" s="2" t="inlineStr">
        <is>
          <t>The State of Karnataka v. Krishnappa (2004)</t>
        </is>
      </c>
      <c r="E470" s="2" t="inlineStr">
        <is>
          <t>Krishnappa v. State of Karnataka (2004)</t>
        </is>
      </c>
      <c r="F470" s="2" t="inlineStr">
        <is>
          <t>cannot be recognised in an answer without a citation or a year</t>
        </is>
      </c>
      <c r="G470" s="2" t="inlineStr">
        <is>
          <t>Supply overruled_cites and/or overruled_year.</t>
        </is>
      </c>
      <c r="H470" s="12" t="inlineStr"/>
      <c r="I470" s="12" t="inlineStr"/>
      <c r="J470" s="13" t="inlineStr"/>
      <c r="K470" s="12" t="inlineStr"/>
      <c r="L470" s="12" t="inlineStr"/>
      <c r="M470" s="12" t="inlineStr"/>
      <c r="N470" s="12" t="inlineStr"/>
      <c r="O470" s="13" t="inlineStr"/>
      <c r="P470" s="12" t="inlineStr"/>
      <c r="Q470" s="12" t="inlineStr"/>
      <c r="R470" s="11" t="inlineStr">
        <is>
          <t>2026-10-15</t>
        </is>
      </c>
      <c r="S470" s="11" t="inlineStr"/>
    </row>
    <row r="471">
      <c r="A471" s="11" t="inlineStr">
        <is>
          <t>L1-1262</t>
        </is>
      </c>
      <c r="B471" s="11" t="inlineStr">
        <is>
          <t>match</t>
        </is>
      </c>
      <c r="C471" s="11" t="n">
        <v>6</v>
      </c>
      <c r="D471" s="2" t="inlineStr">
        <is>
          <t>Harishchandra Prasad Mani, Monika Mani, Abhishek Mani and Sharda Sinha v. The State of Jharkhand and Suresh Chandra Sinha (None)</t>
        </is>
      </c>
      <c r="E471" s="2" t="inlineStr">
        <is>
          <t>Harishchandra Prasad Mani and Others v. State of Jharkhand and Another (2007)</t>
        </is>
      </c>
      <c r="F471" s="2" t="inlineStr">
        <is>
          <t>cannot be recognised in an answer without a citation or a year</t>
        </is>
      </c>
      <c r="G471" s="2" t="inlineStr">
        <is>
          <t>Supply overruled_cites and/or overruled_year.</t>
        </is>
      </c>
      <c r="H471" s="12" t="inlineStr"/>
      <c r="I471" s="12" t="inlineStr"/>
      <c r="J471" s="13" t="inlineStr"/>
      <c r="K471" s="12" t="inlineStr"/>
      <c r="L471" s="12" t="inlineStr"/>
      <c r="M471" s="12" t="inlineStr"/>
      <c r="N471" s="12" t="inlineStr"/>
      <c r="O471" s="13" t="inlineStr"/>
      <c r="P471" s="12" t="inlineStr"/>
      <c r="Q471" s="12" t="inlineStr"/>
      <c r="R471" s="11" t="inlineStr">
        <is>
          <t>2026-10-15</t>
        </is>
      </c>
      <c r="S471" s="11" t="inlineStr"/>
    </row>
    <row r="472">
      <c r="A472" s="11" t="inlineStr">
        <is>
          <t>L1-1264</t>
        </is>
      </c>
      <c r="B472" s="11" t="inlineStr">
        <is>
          <t>match</t>
        </is>
      </c>
      <c r="C472" s="11" t="n">
        <v>6</v>
      </c>
      <c r="D472" s="2" t="inlineStr">
        <is>
          <t>Ashok Kumar Dangi and Others, Ashok Kumar Sahani and Others, Mahendra Kumar Gupta and Others and Jainuel Ansari v. State of Jharkhand and Others (2006)</t>
        </is>
      </c>
      <c r="E472" s="2" t="inlineStr">
        <is>
          <t>State of Jharkhand and Others v. Ashok Kumar Dangi and Others (2011)</t>
        </is>
      </c>
      <c r="F472" s="2" t="inlineStr">
        <is>
          <t>cannot be recognised in an answer without a citation or a year</t>
        </is>
      </c>
      <c r="G472" s="2" t="inlineStr">
        <is>
          <t>Supply overruled_cites and/or overruled_year.</t>
        </is>
      </c>
      <c r="H472" s="12" t="inlineStr"/>
      <c r="I472" s="12" t="inlineStr"/>
      <c r="J472" s="13" t="inlineStr"/>
      <c r="K472" s="12" t="inlineStr"/>
      <c r="L472" s="12" t="inlineStr"/>
      <c r="M472" s="12" t="inlineStr"/>
      <c r="N472" s="12" t="inlineStr"/>
      <c r="O472" s="13" t="inlineStr"/>
      <c r="P472" s="12" t="inlineStr"/>
      <c r="Q472" s="12" t="inlineStr"/>
      <c r="R472" s="11" t="inlineStr">
        <is>
          <t>2026-10-15</t>
        </is>
      </c>
      <c r="S472" s="11" t="inlineStr"/>
    </row>
    <row r="473">
      <c r="A473" s="11" t="inlineStr">
        <is>
          <t>L1-1324</t>
        </is>
      </c>
      <c r="B473" s="11" t="inlineStr">
        <is>
          <t>match</t>
        </is>
      </c>
      <c r="C473" s="11" t="n">
        <v>6</v>
      </c>
      <c r="D473" s="2" t="inlineStr">
        <is>
          <t>State of Gujarat and 3 v. Arvindkumar T Tiwari (None)</t>
        </is>
      </c>
      <c r="E473" s="2" t="inlineStr">
        <is>
          <t>State of Gujarat and Others v. Arvindkumar T. Tiwari and Another (2012)</t>
        </is>
      </c>
      <c r="F473" s="2" t="inlineStr">
        <is>
          <t>cannot be recognised in an answer without a citation or a year</t>
        </is>
      </c>
      <c r="G473" s="2" t="inlineStr">
        <is>
          <t>Supply overruled_cites and/or overruled_year.</t>
        </is>
      </c>
      <c r="H473" s="12" t="inlineStr"/>
      <c r="I473" s="12" t="inlineStr"/>
      <c r="J473" s="13" t="inlineStr"/>
      <c r="K473" s="12" t="inlineStr"/>
      <c r="L473" s="12" t="inlineStr"/>
      <c r="M473" s="12" t="inlineStr"/>
      <c r="N473" s="12" t="inlineStr"/>
      <c r="O473" s="13" t="inlineStr"/>
      <c r="P473" s="12" t="inlineStr"/>
      <c r="Q473" s="12" t="inlineStr"/>
      <c r="R473" s="11" t="inlineStr">
        <is>
          <t>2026-10-15</t>
        </is>
      </c>
      <c r="S473" s="11" t="inlineStr"/>
    </row>
    <row r="474">
      <c r="A474" s="11" t="inlineStr">
        <is>
          <t>L1-1353</t>
        </is>
      </c>
      <c r="B474" s="11" t="inlineStr">
        <is>
          <t>match</t>
        </is>
      </c>
      <c r="C474" s="11" t="n">
        <v>6</v>
      </c>
      <c r="D474" s="2" t="inlineStr">
        <is>
          <t>Commissioner of Income Tax, Gujarat I v. Gujarat State Warehousing Corporation (1976)</t>
        </is>
      </c>
      <c r="E474" s="2" t="inlineStr">
        <is>
          <t>Commissioner of Income Tax v. Mahendra Mills (2000)</t>
        </is>
      </c>
      <c r="F474" s="2" t="inlineStr">
        <is>
          <t>cannot be recognised in an answer without a citation or a year</t>
        </is>
      </c>
      <c r="G474" s="2" t="inlineStr">
        <is>
          <t>Supply overruled_cites and/or overruled_year.</t>
        </is>
      </c>
      <c r="H474" s="12" t="inlineStr"/>
      <c r="I474" s="12" t="inlineStr"/>
      <c r="J474" s="13" t="inlineStr"/>
      <c r="K474" s="12" t="inlineStr"/>
      <c r="L474" s="12" t="inlineStr"/>
      <c r="M474" s="12" t="inlineStr"/>
      <c r="N474" s="12" t="inlineStr"/>
      <c r="O474" s="13" t="inlineStr"/>
      <c r="P474" s="12" t="inlineStr"/>
      <c r="Q474" s="12" t="inlineStr"/>
      <c r="R474" s="11" t="inlineStr">
        <is>
          <t>2026-10-15</t>
        </is>
      </c>
      <c r="S474" s="11" t="inlineStr"/>
    </row>
    <row r="475">
      <c r="A475" s="11" t="inlineStr">
        <is>
          <t>L1-1361</t>
        </is>
      </c>
      <c r="B475" s="11" t="inlineStr">
        <is>
          <t>match</t>
        </is>
      </c>
      <c r="C475" s="11" t="n">
        <v>6</v>
      </c>
      <c r="D475" s="2" t="inlineStr">
        <is>
          <t>Valji Khimji and Company v. O.L. of Hindustan Nitroproduct (Gujarat) Ltd. and Others (None)</t>
        </is>
      </c>
      <c r="E475" s="2" t="inlineStr">
        <is>
          <t>Valji Khimji and Company v. Official Liquidator of Hindustan Nitro Product (Gujarat) Ltd. and Others (2008)</t>
        </is>
      </c>
      <c r="F475" s="2" t="inlineStr">
        <is>
          <t>cannot be recognised in an answer without a citation or a year</t>
        </is>
      </c>
      <c r="G475" s="2" t="inlineStr">
        <is>
          <t>Supply overruled_cites and/or overruled_year.</t>
        </is>
      </c>
      <c r="H475" s="12" t="inlineStr"/>
      <c r="I475" s="12" t="inlineStr"/>
      <c r="J475" s="13" t="inlineStr"/>
      <c r="K475" s="12" t="inlineStr"/>
      <c r="L475" s="12" t="inlineStr"/>
      <c r="M475" s="12" t="inlineStr"/>
      <c r="N475" s="12" t="inlineStr"/>
      <c r="O475" s="13" t="inlineStr"/>
      <c r="P475" s="12" t="inlineStr"/>
      <c r="Q475" s="12" t="inlineStr"/>
      <c r="R475" s="11" t="inlineStr">
        <is>
          <t>2026-10-15</t>
        </is>
      </c>
      <c r="S475" s="11" t="inlineStr"/>
    </row>
    <row r="476">
      <c r="A476" s="11" t="inlineStr">
        <is>
          <t>L1-1362</t>
        </is>
      </c>
      <c r="B476" s="11" t="inlineStr">
        <is>
          <t>match</t>
        </is>
      </c>
      <c r="C476" s="11" t="n">
        <v>6</v>
      </c>
      <c r="D476" s="2" t="inlineStr">
        <is>
          <t>Central Bureau of Investigation v. The State of Gujarat (None)</t>
        </is>
      </c>
      <c r="E476" s="2" t="inlineStr">
        <is>
          <t>Central Bureau of Investigation v. State of Gujarat (2007)</t>
        </is>
      </c>
      <c r="F476" s="2" t="inlineStr">
        <is>
          <t>cannot be recognised in an answer without a citation or a year</t>
        </is>
      </c>
      <c r="G476" s="2" t="inlineStr">
        <is>
          <t>Supply overruled_cites and/or overruled_year.</t>
        </is>
      </c>
      <c r="H476" s="12" t="inlineStr"/>
      <c r="I476" s="12" t="inlineStr"/>
      <c r="J476" s="13" t="inlineStr"/>
      <c r="K476" s="12" t="inlineStr"/>
      <c r="L476" s="12" t="inlineStr"/>
      <c r="M476" s="12" t="inlineStr"/>
      <c r="N476" s="12" t="inlineStr"/>
      <c r="O476" s="13" t="inlineStr"/>
      <c r="P476" s="12" t="inlineStr"/>
      <c r="Q476" s="12" t="inlineStr"/>
      <c r="R476" s="11" t="inlineStr">
        <is>
          <t>2026-10-15</t>
        </is>
      </c>
      <c r="S476" s="11" t="inlineStr"/>
    </row>
    <row r="477">
      <c r="A477" s="11" t="inlineStr">
        <is>
          <t>L1-1370</t>
        </is>
      </c>
      <c r="B477" s="11" t="inlineStr">
        <is>
          <t>match</t>
        </is>
      </c>
      <c r="C477" s="11" t="n">
        <v>6</v>
      </c>
      <c r="D477" s="2" t="inlineStr">
        <is>
          <t>Suresh B. Kella v. State of Gujarat (None)</t>
        </is>
      </c>
      <c r="E477" s="2" t="inlineStr">
        <is>
          <t>Mulchand Khanumal Khatri v. State of Gujarat and Others (2012)</t>
        </is>
      </c>
      <c r="F477" s="2" t="inlineStr">
        <is>
          <t>cannot be recognised in an answer without a citation or a year</t>
        </is>
      </c>
      <c r="G477" s="2" t="inlineStr">
        <is>
          <t>Supply overruled_cites and/or overruled_year.</t>
        </is>
      </c>
      <c r="H477" s="12" t="inlineStr"/>
      <c r="I477" s="12" t="inlineStr"/>
      <c r="J477" s="13" t="inlineStr"/>
      <c r="K477" s="12" t="inlineStr"/>
      <c r="L477" s="12" t="inlineStr"/>
      <c r="M477" s="12" t="inlineStr"/>
      <c r="N477" s="12" t="inlineStr"/>
      <c r="O477" s="13" t="inlineStr"/>
      <c r="P477" s="12" t="inlineStr"/>
      <c r="Q477" s="12" t="inlineStr"/>
      <c r="R477" s="11" t="inlineStr">
        <is>
          <t>2026-10-15</t>
        </is>
      </c>
      <c r="S477" s="11" t="inlineStr"/>
    </row>
    <row r="478">
      <c r="A478" s="11" t="inlineStr">
        <is>
          <t>L1-1371</t>
        </is>
      </c>
      <c r="B478" s="11" t="inlineStr">
        <is>
          <t>match</t>
        </is>
      </c>
      <c r="C478" s="11" t="n">
        <v>6</v>
      </c>
      <c r="D478" s="2" t="inlineStr">
        <is>
          <t>Abdulwahab Abdulmajid Baloch v. State of Gujarat (None)</t>
        </is>
      </c>
      <c r="E478" s="2" t="inlineStr">
        <is>
          <t>Abdulwahab Abdulmajid Baloch v. State of Gujarat (2009)</t>
        </is>
      </c>
      <c r="F478" s="2" t="inlineStr">
        <is>
          <t>cannot be recognised in an answer without a citation or a year</t>
        </is>
      </c>
      <c r="G478" s="2" t="inlineStr">
        <is>
          <t>Supply overruled_cites and/or overruled_year.</t>
        </is>
      </c>
      <c r="H478" s="12" t="inlineStr"/>
      <c r="I478" s="12" t="inlineStr"/>
      <c r="J478" s="13" t="inlineStr"/>
      <c r="K478" s="12" t="inlineStr"/>
      <c r="L478" s="12" t="inlineStr"/>
      <c r="M478" s="12" t="inlineStr"/>
      <c r="N478" s="12" t="inlineStr"/>
      <c r="O478" s="13" t="inlineStr"/>
      <c r="P478" s="12" t="inlineStr"/>
      <c r="Q478" s="12" t="inlineStr"/>
      <c r="R478" s="11" t="inlineStr">
        <is>
          <t>2026-10-15</t>
        </is>
      </c>
      <c r="S478" s="11" t="inlineStr"/>
    </row>
    <row r="479">
      <c r="A479" s="11" t="inlineStr">
        <is>
          <t>L1-1375</t>
        </is>
      </c>
      <c r="B479" s="11" t="inlineStr">
        <is>
          <t>match</t>
        </is>
      </c>
      <c r="C479" s="11" t="n">
        <v>6</v>
      </c>
      <c r="D479" s="2" t="inlineStr">
        <is>
          <t>Shah Nawaz v. State of U.P. and Another (None)</t>
        </is>
      </c>
      <c r="E479" s="2" t="inlineStr">
        <is>
          <t>Shah Nawaz v. State of U.P. and Another (2011)</t>
        </is>
      </c>
      <c r="F479" s="2" t="inlineStr">
        <is>
          <t>cannot be recognised in an answer without a citation or a year</t>
        </is>
      </c>
      <c r="G479" s="2" t="inlineStr">
        <is>
          <t>Supply overruled_cites and/or overruled_year.</t>
        </is>
      </c>
      <c r="H479" s="12" t="inlineStr"/>
      <c r="I479" s="12" t="inlineStr"/>
      <c r="J479" s="13" t="inlineStr"/>
      <c r="K479" s="12" t="inlineStr"/>
      <c r="L479" s="12" t="inlineStr"/>
      <c r="M479" s="12" t="inlineStr"/>
      <c r="N479" s="12" t="inlineStr"/>
      <c r="O479" s="13" t="inlineStr"/>
      <c r="P479" s="12" t="inlineStr"/>
      <c r="Q479" s="12" t="inlineStr"/>
      <c r="R479" s="11" t="inlineStr">
        <is>
          <t>2026-10-15</t>
        </is>
      </c>
      <c r="S479" s="11" t="inlineStr"/>
    </row>
    <row r="480">
      <c r="A480" s="11" t="inlineStr">
        <is>
          <t>L1-1378</t>
        </is>
      </c>
      <c r="B480" s="11" t="inlineStr">
        <is>
          <t>match</t>
        </is>
      </c>
      <c r="C480" s="11" t="n">
        <v>6</v>
      </c>
      <c r="D480" s="2" t="inlineStr">
        <is>
          <t>Ghaziabad Development Authority, Ghaziabad v. Ashok Kumar, Amin and State of U.P. (None)</t>
        </is>
      </c>
      <c r="E480" s="2" t="inlineStr">
        <is>
          <t>Ghaziabad Development Authority and Another v. Ashok Kumar and Another (2008)</t>
        </is>
      </c>
      <c r="F480" s="2" t="inlineStr">
        <is>
          <t>cannot be recognised in an answer without a citation or a year</t>
        </is>
      </c>
      <c r="G480" s="2" t="inlineStr">
        <is>
          <t>Supply overruled_cites and/or overruled_year.</t>
        </is>
      </c>
      <c r="H480" s="12" t="inlineStr"/>
      <c r="I480" s="12" t="inlineStr"/>
      <c r="J480" s="13" t="inlineStr"/>
      <c r="K480" s="12" t="inlineStr"/>
      <c r="L480" s="12" t="inlineStr"/>
      <c r="M480" s="12" t="inlineStr"/>
      <c r="N480" s="12" t="inlineStr"/>
      <c r="O480" s="13" t="inlineStr"/>
      <c r="P480" s="12" t="inlineStr"/>
      <c r="Q480" s="12" t="inlineStr"/>
      <c r="R480" s="11" t="inlineStr">
        <is>
          <t>2026-10-15</t>
        </is>
      </c>
      <c r="S480" s="11" t="inlineStr"/>
    </row>
    <row r="481">
      <c r="A481" s="11" t="inlineStr">
        <is>
          <t>L1-1382</t>
        </is>
      </c>
      <c r="B481" s="11" t="inlineStr">
        <is>
          <t>match</t>
        </is>
      </c>
      <c r="C481" s="11" t="n">
        <v>6</v>
      </c>
      <c r="D481" s="2" t="inlineStr">
        <is>
          <t>Dr. Monica Kumar and Mrs. Savitri Srivastava and Dr. Manish Kumar and Mrs. Savitri Srivastava v. State of Uttar Pradesh, Indra Mohini Sharma, Dr. P. Mahalingam (None)</t>
        </is>
      </c>
      <c r="E481" s="2" t="inlineStr">
        <is>
          <t>Dr. Monica Kumar and Another v. State of U.P. and Others (2008)</t>
        </is>
      </c>
      <c r="F481" s="2" t="inlineStr">
        <is>
          <t>cannot be recognised in an answer without a citation or a year</t>
        </is>
      </c>
      <c r="G481" s="2" t="inlineStr">
        <is>
          <t>Supply overruled_cites and/or overruled_year.</t>
        </is>
      </c>
      <c r="H481" s="12" t="inlineStr"/>
      <c r="I481" s="12" t="inlineStr"/>
      <c r="J481" s="13" t="inlineStr"/>
      <c r="K481" s="12" t="inlineStr"/>
      <c r="L481" s="12" t="inlineStr"/>
      <c r="M481" s="12" t="inlineStr"/>
      <c r="N481" s="12" t="inlineStr"/>
      <c r="O481" s="13" t="inlineStr"/>
      <c r="P481" s="12" t="inlineStr"/>
      <c r="Q481" s="12" t="inlineStr"/>
      <c r="R481" s="11" t="inlineStr">
        <is>
          <t>2026-10-15</t>
        </is>
      </c>
      <c r="S481" s="11" t="inlineStr"/>
    </row>
    <row r="482">
      <c r="A482" s="11" t="inlineStr">
        <is>
          <t>L1-1389</t>
        </is>
      </c>
      <c r="B482" s="11" t="inlineStr">
        <is>
          <t>match</t>
        </is>
      </c>
      <c r="C482" s="11" t="n">
        <v>6</v>
      </c>
      <c r="D482" s="2" t="inlineStr">
        <is>
          <t>Narender Kumar v. The State (NCT of Delhi) (None)</t>
        </is>
      </c>
      <c r="E482" s="2" t="inlineStr">
        <is>
          <t>Narender Kumar v. State (NCT of Delhi) (2012)</t>
        </is>
      </c>
      <c r="F482" s="2" t="inlineStr">
        <is>
          <t>cannot be recognised in an answer without a citation or a year</t>
        </is>
      </c>
      <c r="G482" s="2" t="inlineStr">
        <is>
          <t>Supply overruled_cites and/or overruled_year.</t>
        </is>
      </c>
      <c r="H482" s="12" t="inlineStr"/>
      <c r="I482" s="12" t="inlineStr"/>
      <c r="J482" s="13" t="inlineStr"/>
      <c r="K482" s="12" t="inlineStr"/>
      <c r="L482" s="12" t="inlineStr"/>
      <c r="M482" s="12" t="inlineStr"/>
      <c r="N482" s="12" t="inlineStr"/>
      <c r="O482" s="13" t="inlineStr"/>
      <c r="P482" s="12" t="inlineStr"/>
      <c r="Q482" s="12" t="inlineStr"/>
      <c r="R482" s="11" t="inlineStr">
        <is>
          <t>2026-10-15</t>
        </is>
      </c>
      <c r="S482" s="11" t="inlineStr"/>
    </row>
    <row r="483">
      <c r="A483" s="11" t="inlineStr">
        <is>
          <t>L1-1390</t>
        </is>
      </c>
      <c r="B483" s="11" t="inlineStr">
        <is>
          <t>match</t>
        </is>
      </c>
      <c r="C483" s="11" t="n">
        <v>6</v>
      </c>
      <c r="D483" s="2" t="inlineStr">
        <is>
          <t>Union of India (UOI) v. Pradip Kumar Kedia (None)</t>
        </is>
      </c>
      <c r="E483" s="2" t="inlineStr">
        <is>
          <t>Union of India (UOI) and Another v. Pradip Kumar Kedia (2011)</t>
        </is>
      </c>
      <c r="F483" s="2" t="inlineStr">
        <is>
          <t>cannot be recognised in an answer without a citation or a year</t>
        </is>
      </c>
      <c r="G483" s="2" t="inlineStr">
        <is>
          <t>Supply overruled_cites and/or overruled_year.</t>
        </is>
      </c>
      <c r="H483" s="12" t="inlineStr"/>
      <c r="I483" s="12" t="inlineStr"/>
      <c r="J483" s="13" t="inlineStr"/>
      <c r="K483" s="12" t="inlineStr"/>
      <c r="L483" s="12" t="inlineStr"/>
      <c r="M483" s="12" t="inlineStr"/>
      <c r="N483" s="12" t="inlineStr"/>
      <c r="O483" s="13" t="inlineStr"/>
      <c r="P483" s="12" t="inlineStr"/>
      <c r="Q483" s="12" t="inlineStr"/>
      <c r="R483" s="11" t="inlineStr">
        <is>
          <t>2026-10-15</t>
        </is>
      </c>
      <c r="S483" s="11" t="inlineStr"/>
    </row>
    <row r="484">
      <c r="A484" s="11" t="inlineStr">
        <is>
          <t>L1-1398</t>
        </is>
      </c>
      <c r="B484" s="11" t="inlineStr">
        <is>
          <t>match</t>
        </is>
      </c>
      <c r="C484" s="11" t="n">
        <v>6</v>
      </c>
      <c r="D484" s="2" t="inlineStr">
        <is>
          <t>Pritpal Singh, Ram Babu Choudhary, Surender Kumar, Satya Prakash Sharma, Gulam Ali and Another and Jagram Singh v. Union of India (UOI) and Others (None)</t>
        </is>
      </c>
      <c r="E484" s="2" t="inlineStr">
        <is>
          <t>Badri Prasad and Others v. Union of India (UOI) and Others (2005)</t>
        </is>
      </c>
      <c r="F484" s="2" t="inlineStr">
        <is>
          <t>cannot be recognised in an answer without a citation or a year</t>
        </is>
      </c>
      <c r="G484" s="2" t="inlineStr">
        <is>
          <t>Supply overruled_cites and/or overruled_year.</t>
        </is>
      </c>
      <c r="H484" s="12" t="inlineStr"/>
      <c r="I484" s="12" t="inlineStr"/>
      <c r="J484" s="13" t="inlineStr"/>
      <c r="K484" s="12" t="inlineStr"/>
      <c r="L484" s="12" t="inlineStr"/>
      <c r="M484" s="12" t="inlineStr"/>
      <c r="N484" s="12" t="inlineStr"/>
      <c r="O484" s="13" t="inlineStr"/>
      <c r="P484" s="12" t="inlineStr"/>
      <c r="Q484" s="12" t="inlineStr"/>
      <c r="R484" s="11" t="inlineStr">
        <is>
          <t>2026-10-15</t>
        </is>
      </c>
      <c r="S484" s="11" t="inlineStr"/>
    </row>
    <row r="485">
      <c r="A485" s="11" t="inlineStr">
        <is>
          <t>L1-1399</t>
        </is>
      </c>
      <c r="B485" s="11" t="inlineStr">
        <is>
          <t>match</t>
        </is>
      </c>
      <c r="C485" s="11" t="n">
        <v>6</v>
      </c>
      <c r="D485" s="2" t="inlineStr">
        <is>
          <t>Mehta Brothers and Others v. Bank of India and Another (None)</t>
        </is>
      </c>
      <c r="E485" s="2" t="inlineStr">
        <is>
          <t>Bank of India v. Mehta Brothers and Others (2008)</t>
        </is>
      </c>
      <c r="F485" s="2" t="inlineStr">
        <is>
          <t>cannot be recognised in an answer without a citation or a year</t>
        </is>
      </c>
      <c r="G485" s="2" t="inlineStr">
        <is>
          <t>Supply overruled_cites and/or overruled_year.</t>
        </is>
      </c>
      <c r="H485" s="12" t="inlineStr"/>
      <c r="I485" s="12" t="inlineStr"/>
      <c r="J485" s="13" t="inlineStr"/>
      <c r="K485" s="12" t="inlineStr"/>
      <c r="L485" s="12" t="inlineStr"/>
      <c r="M485" s="12" t="inlineStr"/>
      <c r="N485" s="12" t="inlineStr"/>
      <c r="O485" s="13" t="inlineStr"/>
      <c r="P485" s="12" t="inlineStr"/>
      <c r="Q485" s="12" t="inlineStr"/>
      <c r="R485" s="11" t="inlineStr">
        <is>
          <t>2026-10-15</t>
        </is>
      </c>
      <c r="S485" s="11" t="inlineStr"/>
    </row>
    <row r="486">
      <c r="A486" s="11" t="inlineStr">
        <is>
          <t>L1-1499</t>
        </is>
      </c>
      <c r="B486" s="11" t="inlineStr">
        <is>
          <t>match</t>
        </is>
      </c>
      <c r="C486" s="11" t="n">
        <v>6</v>
      </c>
      <c r="D486" s="2" t="inlineStr">
        <is>
          <t>Chiranji Lal (Since Decd.) through L.Rs. v. Hari Das Sood (Since Decd.) through L.Rs. (None)</t>
        </is>
      </c>
      <c r="E486" s="2" t="inlineStr">
        <is>
          <t>Dr. Chiranji Lal (D) by LRs. v. Hari Das (D) by LRs. (2005)</t>
        </is>
      </c>
      <c r="F486" s="2" t="inlineStr">
        <is>
          <t>cannot be recognised in an answer without a citation or a year</t>
        </is>
      </c>
      <c r="G486" s="2" t="inlineStr">
        <is>
          <t>Supply overruled_cites and/or overruled_year.</t>
        </is>
      </c>
      <c r="H486" s="12" t="inlineStr"/>
      <c r="I486" s="12" t="inlineStr"/>
      <c r="J486" s="13" t="inlineStr"/>
      <c r="K486" s="12" t="inlineStr"/>
      <c r="L486" s="12" t="inlineStr"/>
      <c r="M486" s="12" t="inlineStr"/>
      <c r="N486" s="12" t="inlineStr"/>
      <c r="O486" s="13" t="inlineStr"/>
      <c r="P486" s="12" t="inlineStr"/>
      <c r="Q486" s="12" t="inlineStr"/>
      <c r="R486" s="11" t="inlineStr">
        <is>
          <t>2026-10-15</t>
        </is>
      </c>
      <c r="S486" s="11" t="inlineStr"/>
    </row>
    <row r="487">
      <c r="A487" s="11" t="inlineStr">
        <is>
          <t>L1-1506</t>
        </is>
      </c>
      <c r="B487" s="11" t="inlineStr">
        <is>
          <t>match</t>
        </is>
      </c>
      <c r="C487" s="11" t="n">
        <v>6</v>
      </c>
      <c r="D487" s="2" t="inlineStr">
        <is>
          <t>V.K. Sodhi and Others v. Lt. Governor and Others (None)</t>
        </is>
      </c>
      <c r="E487" s="2" t="inlineStr">
        <is>
          <t>Lt. Governor of Delhi and Others v. V.K. Sodhi and Others (2007)</t>
        </is>
      </c>
      <c r="F487" s="2" t="inlineStr">
        <is>
          <t>cannot be recognised in an answer without a citation or a year</t>
        </is>
      </c>
      <c r="G487" s="2" t="inlineStr">
        <is>
          <t>Supply overruled_cites and/or overruled_year.</t>
        </is>
      </c>
      <c r="H487" s="12" t="inlineStr"/>
      <c r="I487" s="12" t="inlineStr"/>
      <c r="J487" s="13" t="inlineStr"/>
      <c r="K487" s="12" t="inlineStr"/>
      <c r="L487" s="12" t="inlineStr"/>
      <c r="M487" s="12" t="inlineStr"/>
      <c r="N487" s="12" t="inlineStr"/>
      <c r="O487" s="13" t="inlineStr"/>
      <c r="P487" s="12" t="inlineStr"/>
      <c r="Q487" s="12" t="inlineStr"/>
      <c r="R487" s="11" t="inlineStr">
        <is>
          <t>2026-10-15</t>
        </is>
      </c>
      <c r="S487" s="11" t="inlineStr"/>
    </row>
    <row r="488">
      <c r="A488" s="11" t="inlineStr">
        <is>
          <t>L1-1513</t>
        </is>
      </c>
      <c r="B488" s="11" t="inlineStr">
        <is>
          <t>match</t>
        </is>
      </c>
      <c r="C488" s="11" t="n">
        <v>6</v>
      </c>
      <c r="D488" s="2" t="inlineStr">
        <is>
          <t>1. Mrs. Kailash Suneja (C.W. NO. 5220 of 1993 AND C.M. No. 1988 of 1994) 2. Shatabdi Trading and Investments Pvt. Ltd. and others. (C.W. NO. 4153 of 1993 and C.M. No. 3199 of 1994) 3. Chauhan Builders and Constructions Pvt. Ltd. (C.W. NO. 4589 of 1994) 4. Shashi Sehgal (C.W. No. 3726 of 1994) 5. R. C. Chawla and Another (C.W. No. 3884 of 1994) v. Appropriate Authority and Others. DR. A. K. Garg and Another (C.W. No. 3139 of 1993) v. Kailash Nath and Associates and Others. Chiranji Estates Pvt. Ltd. (C.W. No. 5613 of 1993) v. Union of India and Others. Express Towers Pvt. Ltd. and Another (C.W. No. 4357 and C.M.S. Nos. 7857 of 1993, 2043 of 1994 and 1811 of 1995) v. Deputy Commissioner of Income Tax and Others. Mahesh Chandra Agarwal and Another (C.W. No. 3594 of 1990 and C.M. No. 6632 of 1993) v. Union of India and Others. (1998)</t>
        </is>
      </c>
      <c r="E488" s="2" t="inlineStr">
        <is>
          <t>Union of India and Others v. M/s. Shatabadi Trading and Investment Pvt. Ltd. and Others (2001)</t>
        </is>
      </c>
      <c r="F488" s="2" t="inlineStr">
        <is>
          <t>cannot be recognised in an answer without a citation or a year</t>
        </is>
      </c>
      <c r="G488" s="2" t="inlineStr">
        <is>
          <t>Supply overruled_cites and/or overruled_year.</t>
        </is>
      </c>
      <c r="H488" s="12" t="inlineStr"/>
      <c r="I488" s="12" t="inlineStr"/>
      <c r="J488" s="13" t="inlineStr"/>
      <c r="K488" s="12" t="inlineStr"/>
      <c r="L488" s="12" t="inlineStr"/>
      <c r="M488" s="12" t="inlineStr"/>
      <c r="N488" s="12" t="inlineStr"/>
      <c r="O488" s="13" t="inlineStr"/>
      <c r="P488" s="12" t="inlineStr"/>
      <c r="Q488" s="12" t="inlineStr"/>
      <c r="R488" s="11" t="inlineStr">
        <is>
          <t>2026-10-15</t>
        </is>
      </c>
      <c r="S488" s="11" t="inlineStr"/>
    </row>
    <row r="489">
      <c r="A489" s="11" t="inlineStr">
        <is>
          <t>L1-1519</t>
        </is>
      </c>
      <c r="B489" s="11" t="inlineStr">
        <is>
          <t>match</t>
        </is>
      </c>
      <c r="C489" s="11" t="n">
        <v>6</v>
      </c>
      <c r="D489" s="2" t="inlineStr">
        <is>
          <t>Indian Oil Corporation Limited v. SPS Engineering Limited (None)</t>
        </is>
      </c>
      <c r="E489" s="2" t="inlineStr">
        <is>
          <t>Indian Oil Corporation Ltd. v. SPS Engineering Ltd. (2011)</t>
        </is>
      </c>
      <c r="F489" s="2" t="inlineStr">
        <is>
          <t>cannot be recognised in an answer without a citation or a year</t>
        </is>
      </c>
      <c r="G489" s="2" t="inlineStr">
        <is>
          <t>Supply overruled_cites and/or overruled_year.</t>
        </is>
      </c>
      <c r="H489" s="12" t="inlineStr"/>
      <c r="I489" s="12" t="inlineStr"/>
      <c r="J489" s="13" t="inlineStr"/>
      <c r="K489" s="12" t="inlineStr"/>
      <c r="L489" s="12" t="inlineStr"/>
      <c r="M489" s="12" t="inlineStr"/>
      <c r="N489" s="12" t="inlineStr"/>
      <c r="O489" s="13" t="inlineStr"/>
      <c r="P489" s="12" t="inlineStr"/>
      <c r="Q489" s="12" t="inlineStr"/>
      <c r="R489" s="11" t="inlineStr">
        <is>
          <t>2026-10-15</t>
        </is>
      </c>
      <c r="S489" s="11" t="inlineStr"/>
    </row>
    <row r="490">
      <c r="A490" s="11" t="inlineStr">
        <is>
          <t>L1-1522</t>
        </is>
      </c>
      <c r="B490" s="11" t="inlineStr">
        <is>
          <t>match</t>
        </is>
      </c>
      <c r="C490" s="11" t="n">
        <v>6</v>
      </c>
      <c r="D490" s="2" t="inlineStr">
        <is>
          <t>State v. Sayed Mohd. Ahmad Kazmi (None)</t>
        </is>
      </c>
      <c r="E490" s="2" t="inlineStr">
        <is>
          <t>Sayed Mohd. Ahmed Kazmi v. State, GNCTD and Others (2013)</t>
        </is>
      </c>
      <c r="F490" s="2" t="inlineStr">
        <is>
          <t>cannot be recognised in an answer without a citation or a year</t>
        </is>
      </c>
      <c r="G490" s="2" t="inlineStr">
        <is>
          <t>Supply overruled_cites and/or overruled_year.</t>
        </is>
      </c>
      <c r="H490" s="12" t="inlineStr"/>
      <c r="I490" s="12" t="inlineStr"/>
      <c r="J490" s="13" t="inlineStr"/>
      <c r="K490" s="12" t="inlineStr"/>
      <c r="L490" s="12" t="inlineStr"/>
      <c r="M490" s="12" t="inlineStr"/>
      <c r="N490" s="12" t="inlineStr"/>
      <c r="O490" s="13" t="inlineStr"/>
      <c r="P490" s="12" t="inlineStr"/>
      <c r="Q490" s="12" t="inlineStr"/>
      <c r="R490" s="11" t="inlineStr">
        <is>
          <t>2026-10-15</t>
        </is>
      </c>
      <c r="S490" s="11" t="inlineStr"/>
    </row>
    <row r="491">
      <c r="A491" s="11" t="inlineStr">
        <is>
          <t>L1-1529</t>
        </is>
      </c>
      <c r="B491" s="11" t="inlineStr">
        <is>
          <t>match</t>
        </is>
      </c>
      <c r="C491" s="11" t="n">
        <v>6</v>
      </c>
      <c r="D491" s="2" t="inlineStr">
        <is>
          <t>AFHQ Civil Service (Direct Recruit Gazetted) Officers’ Association v. Union of India (UOI) and Others (None)</t>
        </is>
      </c>
      <c r="E491" s="2" t="inlineStr">
        <is>
          <t>AFHQ/ISOs SOs (DP) Association and Others v. Union of India (UOI) and Others (2008)</t>
        </is>
      </c>
      <c r="F491" s="2" t="inlineStr">
        <is>
          <t>cannot be recognised in an answer without a citation or a year</t>
        </is>
      </c>
      <c r="G491" s="2" t="inlineStr">
        <is>
          <t>Supply overruled_cites and/or overruled_year.</t>
        </is>
      </c>
      <c r="H491" s="12" t="inlineStr"/>
      <c r="I491" s="12" t="inlineStr"/>
      <c r="J491" s="13" t="inlineStr"/>
      <c r="K491" s="12" t="inlineStr"/>
      <c r="L491" s="12" t="inlineStr"/>
      <c r="M491" s="12" t="inlineStr"/>
      <c r="N491" s="12" t="inlineStr"/>
      <c r="O491" s="13" t="inlineStr"/>
      <c r="P491" s="12" t="inlineStr"/>
      <c r="Q491" s="12" t="inlineStr"/>
      <c r="R491" s="11" t="inlineStr">
        <is>
          <t>2026-10-15</t>
        </is>
      </c>
      <c r="S491" s="11" t="inlineStr"/>
    </row>
    <row r="492">
      <c r="A492" s="11" t="inlineStr">
        <is>
          <t>L1-1538</t>
        </is>
      </c>
      <c r="B492" s="11" t="inlineStr">
        <is>
          <t>match</t>
        </is>
      </c>
      <c r="C492" s="11" t="n">
        <v>6</v>
      </c>
      <c r="D492" s="2" t="inlineStr">
        <is>
          <t>The Divisional Manager, New India assurance Company Ltd. v. Ranjana Prakash and Others (None)</t>
        </is>
      </c>
      <c r="E492" s="2" t="inlineStr">
        <is>
          <t>Ranjana Prakash and Others v. Divisional Manager and Another (2011)</t>
        </is>
      </c>
      <c r="F492" s="2" t="inlineStr">
        <is>
          <t>cannot be recognised in an answer without a citation or a year</t>
        </is>
      </c>
      <c r="G492" s="2" t="inlineStr">
        <is>
          <t>Supply overruled_cites and/or overruled_year.</t>
        </is>
      </c>
      <c r="H492" s="12" t="inlineStr"/>
      <c r="I492" s="12" t="inlineStr"/>
      <c r="J492" s="13" t="inlineStr"/>
      <c r="K492" s="12" t="inlineStr"/>
      <c r="L492" s="12" t="inlineStr"/>
      <c r="M492" s="12" t="inlineStr"/>
      <c r="N492" s="12" t="inlineStr"/>
      <c r="O492" s="13" t="inlineStr"/>
      <c r="P492" s="12" t="inlineStr"/>
      <c r="Q492" s="12" t="inlineStr"/>
      <c r="R492" s="11" t="inlineStr">
        <is>
          <t>2026-10-15</t>
        </is>
      </c>
      <c r="S492" s="11" t="inlineStr"/>
    </row>
    <row r="493">
      <c r="A493" s="11" t="inlineStr">
        <is>
          <t>L1-1543</t>
        </is>
      </c>
      <c r="B493" s="11" t="inlineStr">
        <is>
          <t>match</t>
        </is>
      </c>
      <c r="C493" s="11" t="n">
        <v>6</v>
      </c>
      <c r="D493" s="2" t="inlineStr">
        <is>
          <t>Bhagwan Singh and Others v. State of Bihar and Others (None)</t>
        </is>
      </c>
      <c r="E493" s="2" t="inlineStr">
        <is>
          <t>Arun Singh @ Arun Kumar Singh v. State of Bihar and Others (2006)</t>
        </is>
      </c>
      <c r="F493" s="2" t="inlineStr">
        <is>
          <t>cannot be recognised in an answer without a citation or a year</t>
        </is>
      </c>
      <c r="G493" s="2" t="inlineStr">
        <is>
          <t>Supply overruled_cites and/or overruled_year.</t>
        </is>
      </c>
      <c r="H493" s="12" t="inlineStr"/>
      <c r="I493" s="12" t="inlineStr"/>
      <c r="J493" s="13" t="inlineStr"/>
      <c r="K493" s="12" t="inlineStr"/>
      <c r="L493" s="12" t="inlineStr"/>
      <c r="M493" s="12" t="inlineStr"/>
      <c r="N493" s="12" t="inlineStr"/>
      <c r="O493" s="13" t="inlineStr"/>
      <c r="P493" s="12" t="inlineStr"/>
      <c r="Q493" s="12" t="inlineStr"/>
      <c r="R493" s="11" t="inlineStr">
        <is>
          <t>2026-10-15</t>
        </is>
      </c>
      <c r="S493" s="11" t="inlineStr"/>
    </row>
    <row r="494">
      <c r="A494" s="11" t="inlineStr">
        <is>
          <t>L1-1549</t>
        </is>
      </c>
      <c r="B494" s="11" t="inlineStr">
        <is>
          <t>match</t>
        </is>
      </c>
      <c r="C494" s="11" t="n">
        <v>6</v>
      </c>
      <c r="D494" s="2" t="inlineStr">
        <is>
          <t>Puspa Devi and Others v. Most. Anand Moyi Devi and Others (None)</t>
        </is>
      </c>
      <c r="E494" s="2" t="inlineStr">
        <is>
          <t>Deb Ratan Biswas and Others v. Most. Anand Moyi Devi and Others (2011)</t>
        </is>
      </c>
      <c r="F494" s="2" t="inlineStr">
        <is>
          <t>cannot be recognised in an answer without a citation or a year</t>
        </is>
      </c>
      <c r="G494" s="2" t="inlineStr">
        <is>
          <t>Supply overruled_cites and/or overruled_year.</t>
        </is>
      </c>
      <c r="H494" s="12" t="inlineStr"/>
      <c r="I494" s="12" t="inlineStr"/>
      <c r="J494" s="13" t="inlineStr"/>
      <c r="K494" s="12" t="inlineStr"/>
      <c r="L494" s="12" t="inlineStr"/>
      <c r="M494" s="12" t="inlineStr"/>
      <c r="N494" s="12" t="inlineStr"/>
      <c r="O494" s="13" t="inlineStr"/>
      <c r="P494" s="12" t="inlineStr"/>
      <c r="Q494" s="12" t="inlineStr"/>
      <c r="R494" s="11" t="inlineStr">
        <is>
          <t>2026-10-15</t>
        </is>
      </c>
      <c r="S494" s="11" t="inlineStr"/>
    </row>
    <row r="495">
      <c r="A495" s="11" t="inlineStr">
        <is>
          <t>L1-1558</t>
        </is>
      </c>
      <c r="B495" s="11" t="inlineStr">
        <is>
          <t>match</t>
        </is>
      </c>
      <c r="C495" s="11" t="n">
        <v>6</v>
      </c>
      <c r="D495" s="2" t="inlineStr">
        <is>
          <t>Bihar Pensioners Samaj v. The State of Bihar and Others (None)</t>
        </is>
      </c>
      <c r="E495" s="2" t="inlineStr">
        <is>
          <t>State of Bihar and Others v. Bihar Pensioners Samaj (2006)</t>
        </is>
      </c>
      <c r="F495" s="2" t="inlineStr">
        <is>
          <t>cannot be recognised in an answer without a citation or a year</t>
        </is>
      </c>
      <c r="G495" s="2" t="inlineStr">
        <is>
          <t>Supply overruled_cites and/or overruled_year.</t>
        </is>
      </c>
      <c r="H495" s="12" t="inlineStr"/>
      <c r="I495" s="12" t="inlineStr"/>
      <c r="J495" s="13" t="inlineStr"/>
      <c r="K495" s="12" t="inlineStr"/>
      <c r="L495" s="12" t="inlineStr"/>
      <c r="M495" s="12" t="inlineStr"/>
      <c r="N495" s="12" t="inlineStr"/>
      <c r="O495" s="13" t="inlineStr"/>
      <c r="P495" s="12" t="inlineStr"/>
      <c r="Q495" s="12" t="inlineStr"/>
      <c r="R495" s="11" t="inlineStr">
        <is>
          <t>2026-10-15</t>
        </is>
      </c>
      <c r="S495" s="11" t="inlineStr"/>
    </row>
    <row r="496">
      <c r="A496" s="11" t="inlineStr">
        <is>
          <t>L1-1572</t>
        </is>
      </c>
      <c r="B496" s="11" t="inlineStr">
        <is>
          <t>match</t>
        </is>
      </c>
      <c r="C496" s="11" t="n">
        <v>6</v>
      </c>
      <c r="D496" s="2" t="inlineStr">
        <is>
          <t>Sunil Kumar Parimal and Another v. The State of Bihar and Others (None)</t>
        </is>
      </c>
      <c r="E496" s="2" t="inlineStr">
        <is>
          <t>Sunil Kumar Parimal and Another v. The State of Bihar and Others (2008)</t>
        </is>
      </c>
      <c r="F496" s="2" t="inlineStr">
        <is>
          <t>cannot be recognised in an answer without a citation or a year</t>
        </is>
      </c>
      <c r="G496" s="2" t="inlineStr">
        <is>
          <t>Supply overruled_cites and/or overruled_year.</t>
        </is>
      </c>
      <c r="H496" s="12" t="inlineStr"/>
      <c r="I496" s="12" t="inlineStr"/>
      <c r="J496" s="13" t="inlineStr"/>
      <c r="K496" s="12" t="inlineStr"/>
      <c r="L496" s="12" t="inlineStr"/>
      <c r="M496" s="12" t="inlineStr"/>
      <c r="N496" s="12" t="inlineStr"/>
      <c r="O496" s="13" t="inlineStr"/>
      <c r="P496" s="12" t="inlineStr"/>
      <c r="Q496" s="12" t="inlineStr"/>
      <c r="R496" s="11" t="inlineStr">
        <is>
          <t>2026-10-15</t>
        </is>
      </c>
      <c r="S496" s="11" t="inlineStr"/>
    </row>
    <row r="497">
      <c r="A497" s="11" t="inlineStr">
        <is>
          <t>L1-1581</t>
        </is>
      </c>
      <c r="B497" s="11" t="inlineStr">
        <is>
          <t>match</t>
        </is>
      </c>
      <c r="C497" s="11" t="n">
        <v>6</v>
      </c>
      <c r="D497" s="2" t="inlineStr">
        <is>
          <t>Sunil Kumar Singh v. Smt. Prabha and Others (None)</t>
        </is>
      </c>
      <c r="E497" s="2" t="inlineStr">
        <is>
          <t>Atul Singh and Others v. Sunil Kumar Singh and Others (2008)</t>
        </is>
      </c>
      <c r="F497" s="2" t="inlineStr">
        <is>
          <t>cannot be recognised in an answer without a citation or a year</t>
        </is>
      </c>
      <c r="G497" s="2" t="inlineStr">
        <is>
          <t>Supply overruled_cites and/or overruled_year.</t>
        </is>
      </c>
      <c r="H497" s="12" t="inlineStr"/>
      <c r="I497" s="12" t="inlineStr"/>
      <c r="J497" s="13" t="inlineStr"/>
      <c r="K497" s="12" t="inlineStr"/>
      <c r="L497" s="12" t="inlineStr"/>
      <c r="M497" s="12" t="inlineStr"/>
      <c r="N497" s="12" t="inlineStr"/>
      <c r="O497" s="13" t="inlineStr"/>
      <c r="P497" s="12" t="inlineStr"/>
      <c r="Q497" s="12" t="inlineStr"/>
      <c r="R497" s="11" t="inlineStr">
        <is>
          <t>2026-10-15</t>
        </is>
      </c>
      <c r="S497" s="11" t="inlineStr"/>
    </row>
    <row r="498">
      <c r="A498" s="11" t="inlineStr">
        <is>
          <t>L1-1585</t>
        </is>
      </c>
      <c r="B498" s="11" t="inlineStr">
        <is>
          <t>match</t>
        </is>
      </c>
      <c r="C498" s="11" t="n">
        <v>6</v>
      </c>
      <c r="D498" s="2" t="inlineStr">
        <is>
          <t>Arun Kumar Sharma v. State of Bihar (None)</t>
        </is>
      </c>
      <c r="E498" s="2" t="inlineStr">
        <is>
          <t>Arun Kumar Sharma v. State of Bihar (2009)</t>
        </is>
      </c>
      <c r="F498" s="2" t="inlineStr">
        <is>
          <t>cannot be recognised in an answer without a citation or a year</t>
        </is>
      </c>
      <c r="G498" s="2" t="inlineStr">
        <is>
          <t>Supply overruled_cites and/or overruled_year.</t>
        </is>
      </c>
      <c r="H498" s="12" t="inlineStr"/>
      <c r="I498" s="12" t="inlineStr"/>
      <c r="J498" s="13" t="inlineStr"/>
      <c r="K498" s="12" t="inlineStr"/>
      <c r="L498" s="12" t="inlineStr"/>
      <c r="M498" s="12" t="inlineStr"/>
      <c r="N498" s="12" t="inlineStr"/>
      <c r="O498" s="13" t="inlineStr"/>
      <c r="P498" s="12" t="inlineStr"/>
      <c r="Q498" s="12" t="inlineStr"/>
      <c r="R498" s="11" t="inlineStr">
        <is>
          <t>2026-10-15</t>
        </is>
      </c>
      <c r="S498" s="11" t="inlineStr"/>
    </row>
    <row r="499">
      <c r="A499" s="11" t="inlineStr">
        <is>
          <t>L1-1589</t>
        </is>
      </c>
      <c r="B499" s="11" t="inlineStr">
        <is>
          <t>match</t>
        </is>
      </c>
      <c r="C499" s="11" t="n">
        <v>6</v>
      </c>
      <c r="D499" s="2" t="inlineStr">
        <is>
          <t>State Bank of India v. Ranjan Chemicals Ltd. and Another (None)</t>
        </is>
      </c>
      <c r="E499" s="2" t="inlineStr">
        <is>
          <t>State Bank of India v. Ranjan Chemicals Ltd. and Another (2006)</t>
        </is>
      </c>
      <c r="F499" s="2" t="inlineStr">
        <is>
          <t>cannot be recognised in an answer without a citation or a year</t>
        </is>
      </c>
      <c r="G499" s="2" t="inlineStr">
        <is>
          <t>Supply overruled_cites and/or overruled_year.</t>
        </is>
      </c>
      <c r="H499" s="12" t="inlineStr"/>
      <c r="I499" s="12" t="inlineStr"/>
      <c r="J499" s="13" t="inlineStr"/>
      <c r="K499" s="12" t="inlineStr"/>
      <c r="L499" s="12" t="inlineStr"/>
      <c r="M499" s="12" t="inlineStr"/>
      <c r="N499" s="12" t="inlineStr"/>
      <c r="O499" s="13" t="inlineStr"/>
      <c r="P499" s="12" t="inlineStr"/>
      <c r="Q499" s="12" t="inlineStr"/>
      <c r="R499" s="11" t="inlineStr">
        <is>
          <t>2026-10-15</t>
        </is>
      </c>
      <c r="S499" s="11" t="inlineStr"/>
    </row>
    <row r="500">
      <c r="A500" s="11" t="inlineStr">
        <is>
          <t>L1-1592</t>
        </is>
      </c>
      <c r="B500" s="11" t="inlineStr">
        <is>
          <t>match</t>
        </is>
      </c>
      <c r="C500" s="11" t="n">
        <v>6</v>
      </c>
      <c r="D500" s="2" t="inlineStr">
        <is>
          <t>Bihar State Electricity Board and Another v. Ram Deo Prasad Singh and Others (None)</t>
        </is>
      </c>
      <c r="E500" s="2" t="inlineStr">
        <is>
          <t>Bihar State Electricity Board and Another v. Ram Deo Prasad Singh and Others (2011)</t>
        </is>
      </c>
      <c r="F500" s="2" t="inlineStr">
        <is>
          <t>cannot be recognised in an answer without a citation or a year</t>
        </is>
      </c>
      <c r="G500" s="2" t="inlineStr">
        <is>
          <t>Supply overruled_cites and/or overruled_year.</t>
        </is>
      </c>
      <c r="H500" s="12" t="inlineStr"/>
      <c r="I500" s="12" t="inlineStr"/>
      <c r="J500" s="13" t="inlineStr"/>
      <c r="K500" s="12" t="inlineStr"/>
      <c r="L500" s="12" t="inlineStr"/>
      <c r="M500" s="12" t="inlineStr"/>
      <c r="N500" s="12" t="inlineStr"/>
      <c r="O500" s="13" t="inlineStr"/>
      <c r="P500" s="12" t="inlineStr"/>
      <c r="Q500" s="12" t="inlineStr"/>
      <c r="R500" s="11" t="inlineStr">
        <is>
          <t>2026-10-15</t>
        </is>
      </c>
      <c r="S500" s="11" t="inlineStr"/>
    </row>
    <row r="501">
      <c r="A501" s="11" t="inlineStr">
        <is>
          <t>L1-1623</t>
        </is>
      </c>
      <c r="B501" s="11" t="inlineStr">
        <is>
          <t>match</t>
        </is>
      </c>
      <c r="C501" s="11" t="n">
        <v>6</v>
      </c>
      <c r="D501" s="2" t="inlineStr">
        <is>
          <t>Government of Andhra Pradesh and Another v. Bactchala BalaiahAIR 1985 AP 52 (None)</t>
        </is>
      </c>
      <c r="E501" s="2" t="inlineStr">
        <is>
          <t>Union of India and Others v. Manager, M/s. Jain and Associates (2001)</t>
        </is>
      </c>
      <c r="F501" s="2" t="inlineStr">
        <is>
          <t>cannot be recognised in an answer without a citation or a year</t>
        </is>
      </c>
      <c r="G501" s="2" t="inlineStr">
        <is>
          <t>Supply overruled_cites and/or overruled_year.</t>
        </is>
      </c>
      <c r="H501" s="12" t="inlineStr"/>
      <c r="I501" s="12" t="inlineStr"/>
      <c r="J501" s="13" t="inlineStr"/>
      <c r="K501" s="12" t="inlineStr"/>
      <c r="L501" s="12" t="inlineStr"/>
      <c r="M501" s="12" t="inlineStr"/>
      <c r="N501" s="12" t="inlineStr"/>
      <c r="O501" s="13" t="inlineStr"/>
      <c r="P501" s="12" t="inlineStr"/>
      <c r="Q501" s="12" t="inlineStr"/>
      <c r="R501" s="11" t="inlineStr">
        <is>
          <t>2026-10-15</t>
        </is>
      </c>
      <c r="S501" s="11" t="inlineStr"/>
    </row>
    <row r="502">
      <c r="A502" s="11" t="inlineStr">
        <is>
          <t>L1-1631</t>
        </is>
      </c>
      <c r="B502" s="11" t="inlineStr">
        <is>
          <t>match</t>
        </is>
      </c>
      <c r="C502" s="11" t="n">
        <v>6</v>
      </c>
      <c r="D502" s="2" t="inlineStr">
        <is>
          <t>The Commissioner, Trade Tax v. S/s The Cooperative Company Limited (None)</t>
        </is>
      </c>
      <c r="E502" s="2" t="inlineStr">
        <is>
          <t>Co-operative Company Ltd. v. Commissioner of Trade Tax, U.P. (2007)</t>
        </is>
      </c>
      <c r="F502" s="2" t="inlineStr">
        <is>
          <t>cannot be recognised in an answer without a citation or a year</t>
        </is>
      </c>
      <c r="G502" s="2" t="inlineStr">
        <is>
          <t>Supply overruled_cites and/or overruled_year.</t>
        </is>
      </c>
      <c r="H502" s="12" t="inlineStr"/>
      <c r="I502" s="12" t="inlineStr"/>
      <c r="J502" s="13" t="inlineStr"/>
      <c r="K502" s="12" t="inlineStr"/>
      <c r="L502" s="12" t="inlineStr"/>
      <c r="M502" s="12" t="inlineStr"/>
      <c r="N502" s="12" t="inlineStr"/>
      <c r="O502" s="13" t="inlineStr"/>
      <c r="P502" s="12" t="inlineStr"/>
      <c r="Q502" s="12" t="inlineStr"/>
      <c r="R502" s="11" t="inlineStr">
        <is>
          <t>2026-10-15</t>
        </is>
      </c>
      <c r="S502" s="11" t="inlineStr"/>
    </row>
    <row r="503">
      <c r="A503" s="11" t="inlineStr">
        <is>
          <t>L1-1647</t>
        </is>
      </c>
      <c r="B503" s="11" t="inlineStr">
        <is>
          <t>match</t>
        </is>
      </c>
      <c r="C503" s="11" t="n">
        <v>6</v>
      </c>
      <c r="D503" s="2" t="inlineStr">
        <is>
          <t>The Food Inspector, Kovur, Hyderabad v. Jaladanki Fajamma and Others (None)</t>
        </is>
      </c>
      <c r="E503" s="2" t="inlineStr">
        <is>
          <t>T.V. Usman v. Food Inspector, Tellicherry Municipality, Tellicherry (1994)</t>
        </is>
      </c>
      <c r="F503" s="2" t="inlineStr">
        <is>
          <t>cannot be recognised in an answer without a citation or a year</t>
        </is>
      </c>
      <c r="G503" s="2" t="inlineStr">
        <is>
          <t>Supply overruled_cites and/or overruled_year.</t>
        </is>
      </c>
      <c r="H503" s="12" t="inlineStr"/>
      <c r="I503" s="12" t="inlineStr"/>
      <c r="J503" s="13" t="inlineStr"/>
      <c r="K503" s="12" t="inlineStr"/>
      <c r="L503" s="12" t="inlineStr"/>
      <c r="M503" s="12" t="inlineStr"/>
      <c r="N503" s="12" t="inlineStr"/>
      <c r="O503" s="13" t="inlineStr"/>
      <c r="P503" s="12" t="inlineStr"/>
      <c r="Q503" s="12" t="inlineStr"/>
      <c r="R503" s="11" t="inlineStr">
        <is>
          <t>2026-10-15</t>
        </is>
      </c>
      <c r="S503" s="11" t="inlineStr"/>
    </row>
    <row r="504">
      <c r="A504" s="11" t="inlineStr">
        <is>
          <t>L1-1668</t>
        </is>
      </c>
      <c r="B504" s="11" t="inlineStr">
        <is>
          <t>match</t>
        </is>
      </c>
      <c r="C504" s="11" t="n">
        <v>6</v>
      </c>
      <c r="D504" s="2" t="inlineStr">
        <is>
          <t>Dr. D. Renuka v. Commissioner of Wealth-tax (None)</t>
        </is>
      </c>
      <c r="E504" s="2" t="inlineStr">
        <is>
          <t>Bharat Hari Singhania and others v. Commissioner of Wealth Tax (Central) and others (1994)</t>
        </is>
      </c>
      <c r="F504" s="2" t="inlineStr">
        <is>
          <t>cannot be recognised in an answer without a citation or a year</t>
        </is>
      </c>
      <c r="G504" s="2" t="inlineStr">
        <is>
          <t>Supply overruled_cites and/or overruled_year.</t>
        </is>
      </c>
      <c r="H504" s="12" t="inlineStr"/>
      <c r="I504" s="12" t="inlineStr"/>
      <c r="J504" s="13" t="inlineStr"/>
      <c r="K504" s="12" t="inlineStr"/>
      <c r="L504" s="12" t="inlineStr"/>
      <c r="M504" s="12" t="inlineStr"/>
      <c r="N504" s="12" t="inlineStr"/>
      <c r="O504" s="13" t="inlineStr"/>
      <c r="P504" s="12" t="inlineStr"/>
      <c r="Q504" s="12" t="inlineStr"/>
      <c r="R504" s="11" t="inlineStr">
        <is>
          <t>2026-10-15</t>
        </is>
      </c>
      <c r="S504" s="11" t="inlineStr"/>
    </row>
    <row r="505">
      <c r="A505" s="11" t="inlineStr">
        <is>
          <t>L1-1676</t>
        </is>
      </c>
      <c r="B505" s="11" t="inlineStr">
        <is>
          <t>match</t>
        </is>
      </c>
      <c r="C505" s="11" t="n">
        <v>6</v>
      </c>
      <c r="D505" s="2" t="inlineStr">
        <is>
          <t>M. Srinivasulu and Another v. The State of A.P. (2001)</t>
        </is>
      </c>
      <c r="E505" s="2" t="inlineStr">
        <is>
          <t>M. Srinivasulu v. State of A.P. (2007)</t>
        </is>
      </c>
      <c r="F505" s="2" t="inlineStr">
        <is>
          <t>cannot be recognised in an answer without a citation or a year</t>
        </is>
      </c>
      <c r="G505" s="2" t="inlineStr">
        <is>
          <t>Supply overruled_cites and/or overruled_year.</t>
        </is>
      </c>
      <c r="H505" s="12" t="inlineStr"/>
      <c r="I505" s="12" t="inlineStr"/>
      <c r="J505" s="13" t="inlineStr"/>
      <c r="K505" s="12" t="inlineStr"/>
      <c r="L505" s="12" t="inlineStr"/>
      <c r="M505" s="12" t="inlineStr"/>
      <c r="N505" s="12" t="inlineStr"/>
      <c r="O505" s="13" t="inlineStr"/>
      <c r="P505" s="12" t="inlineStr"/>
      <c r="Q505" s="12" t="inlineStr"/>
      <c r="R505" s="11" t="inlineStr">
        <is>
          <t>2026-10-15</t>
        </is>
      </c>
      <c r="S505" s="11" t="inlineStr"/>
    </row>
  </sheetData>
  <autoFilter ref="A1:S505"/>
  <dataValidations count="2">
    <dataValidation sqref="H2:H505" showDropDown="0" showInputMessage="0" showErrorMessage="0" allowBlank="1" type="list">
      <formula1>"keep,confirm,change,reject,supply,add_row,keep_open,clear,confirm_overruled,confirm_partial,confirm_not_good_law,confirm_per_incuriam,confirm_not_binding"</formula1>
    </dataValidation>
    <dataValidation sqref="I2:I505" showDropDown="0" showInputMessage="0" showErrorMessage="0" allowBlank="1" type="list">
      <formula1>"overruled,overruled_in_part,not_good_law,per_incuriam,not_binding,not_approved,reversed_on_appeal,disputed_listing"</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44" customWidth="1" min="4" max="4"/>
    <col width="16" customWidth="1" min="5" max="5"/>
    <col width="44" customWidth="1" min="6" max="6"/>
    <col width="16" customWidth="1" min="7" max="7"/>
    <col width="16" customWidth="1" min="8" max="8"/>
    <col width="44" customWidth="1" min="9" max="9"/>
    <col width="80" customWidth="1" min="10" max="10"/>
  </cols>
  <sheetData>
    <row r="1" ht="44" customHeight="1">
      <c r="A1" s="9" t="inlineStr">
        <is>
          <t>Rows whose overruling case was itself later overruled or disapproved. The recorded status of the earlier case cannot be copied forward without a re-read; each is a 'chain' item for the reviewer.</t>
        </is>
      </c>
    </row>
    <row r="3">
      <c r="A3" s="10" t="inlineStr">
        <is>
          <t>Row</t>
        </is>
      </c>
      <c r="B3" s="10" t="inlineStr">
        <is>
          <t>List</t>
        </is>
      </c>
      <c r="C3" s="10" t="inlineStr">
        <is>
          <t>Trust</t>
        </is>
      </c>
      <c r="D3" s="10" t="inlineStr">
        <is>
          <t>Overruled case</t>
        </is>
      </c>
      <c r="E3" s="10" t="inlineStr">
        <is>
          <t>Treatment</t>
        </is>
      </c>
      <c r="F3" s="10" t="inlineStr">
        <is>
          <t>Overruling case</t>
        </is>
      </c>
      <c r="G3" s="10" t="inlineStr">
        <is>
          <t>Later row</t>
        </is>
      </c>
      <c r="H3" s="10" t="inlineStr">
        <is>
          <t>Later treatment</t>
        </is>
      </c>
      <c r="I3" s="10" t="inlineStr">
        <is>
          <t>Overruling case of the later row</t>
        </is>
      </c>
      <c r="J3" s="10" t="inlineStr">
        <is>
          <t>Wording the site would use</t>
        </is>
      </c>
    </row>
    <row r="4">
      <c r="A4" s="11" t="inlineStr">
        <is>
          <t>L1-0057</t>
        </is>
      </c>
      <c r="B4" s="11" t="inlineStr">
        <is>
          <t>List 1 (to ~2015)</t>
        </is>
      </c>
      <c r="C4" s="11" t="inlineStr">
        <is>
          <t>verified</t>
        </is>
      </c>
      <c r="D4" s="2" t="inlineStr">
        <is>
          <t>Deoki Nandan Agarwala v. Union of India (UOI)</t>
        </is>
      </c>
      <c r="E4" s="11" t="inlineStr">
        <is>
          <t>reversed_on_appeal</t>
        </is>
      </c>
      <c r="F4" s="2" t="inlineStr">
        <is>
          <t>Union of India and another v. Deoki Nandan Aggarwal</t>
        </is>
      </c>
      <c r="G4" s="11" t="inlineStr">
        <is>
          <t>L1-0469</t>
        </is>
      </c>
      <c r="H4" s="11" t="inlineStr">
        <is>
          <t>overruled</t>
        </is>
      </c>
      <c r="I4" s="2" t="inlineStr">
        <is>
          <t>Union of India (UOI) and Another v. M.C. Desai and Others</t>
        </is>
      </c>
      <c r="J4" s="2" t="inlineStr">
        <is>
          <t>Deoki Nandan Agarwala v. Union of India (UOI) (1988) was reversed on appeal by the Supreme Court in Union of India and another v. Deoki Nandan Aggarwal (1992). Note: Union of India and another v. Deoki Nandan Aggarwal was itself later overruled by Union of India (UOI) and Another v. M.C. Desai and Others (1995); the current position should be checked.</t>
        </is>
      </c>
    </row>
    <row r="5">
      <c r="A5" s="11" t="inlineStr">
        <is>
          <t>L1-0083</t>
        </is>
      </c>
      <c r="B5" s="11" t="inlineStr">
        <is>
          <t>List 1 (to ~2015)</t>
        </is>
      </c>
      <c r="C5" s="11" t="inlineStr">
        <is>
          <t>verified</t>
        </is>
      </c>
      <c r="D5" s="2" t="inlineStr">
        <is>
          <t>Sitalpore Colliery Concern Ltd. v. Union of India (UOI) and Others</t>
        </is>
      </c>
      <c r="E5" s="11" t="inlineStr">
        <is>
          <t>overruled</t>
        </is>
      </c>
      <c r="F5" s="2" t="inlineStr">
        <is>
          <t>Dwarka Nath v. Income Tax Officer, Special Circle D-ward, Kanpur and Another</t>
        </is>
      </c>
      <c r="G5" s="11" t="inlineStr">
        <is>
          <t>L1-0576</t>
        </is>
      </c>
      <c r="H5" s="11" t="inlineStr">
        <is>
          <t>overruled</t>
        </is>
      </c>
      <c r="I5" s="2" t="inlineStr">
        <is>
          <t>Prabodh Verma and Others v. State of Uttar Pradesh and Others</t>
        </is>
      </c>
      <c r="J5" s="2" t="inlineStr">
        <is>
          <t>Sitalpore Colliery Concern Ltd. v. Union of India (UOI) and Others (1957) was overruled by Dwarka Nath v. Income Tax Officer, Special Circle D-ward, Kanpur and Another (1966). Note: Dwarka Nath v. Income Tax Officer, Special Circle D-ward, Kanpur and Another was itself later overruled by Prabodh Verma and Others v. State of Uttar Pradesh and Others (1985); the current position should be checked.</t>
        </is>
      </c>
    </row>
    <row r="6">
      <c r="A6" s="11" t="inlineStr">
        <is>
          <t>L1-0137</t>
        </is>
      </c>
      <c r="B6" s="11" t="inlineStr">
        <is>
          <t>List 1 (to ~2015)</t>
        </is>
      </c>
      <c r="C6" s="11" t="inlineStr">
        <is>
          <t>verified</t>
        </is>
      </c>
      <c r="D6" s="2" t="inlineStr">
        <is>
          <t>The Workmen of Best and Crompton Industries Ltd. v. The Management of Best and Crompton Engineering Ltd., Madras-55</t>
        </is>
      </c>
      <c r="E6" s="11" t="inlineStr">
        <is>
          <t>overruled</t>
        </is>
      </c>
      <c r="F6" s="2" t="inlineStr">
        <is>
          <t>Dena Nath and others v. National Fertilisers Ltd. and others</t>
        </is>
      </c>
      <c r="G6" s="11" t="inlineStr">
        <is>
          <t>L1-0534</t>
        </is>
      </c>
      <c r="H6" s="11" t="inlineStr">
        <is>
          <t>overruled</t>
        </is>
      </c>
      <c r="I6" s="2" t="inlineStr">
        <is>
          <t>Steel Authority of India Ltd. and Others etc. etc. v. National Union Water Front Workers and Others etc.</t>
        </is>
      </c>
      <c r="J6" s="2" t="inlineStr">
        <is>
          <t>The Workmen of Best and Crompton Industries Ltd. v. The Management of Best and Crompton Engineering Ltd., Madras-55 (1985) was overruled by Dena Nath and others v. National Fertilisers Ltd. and others (1992). Note: Dena Nath and others v. National Fertilisers Ltd. and others was itself later overruled by Steel Authority of India Ltd. and Others etc. etc. v. National Union Water Front Workers and Others etc. (2001); the current position should be checked.</t>
        </is>
      </c>
    </row>
    <row r="7">
      <c r="A7" s="11" t="inlineStr">
        <is>
          <t>L1-0150</t>
        </is>
      </c>
      <c r="B7" s="11" t="inlineStr">
        <is>
          <t>List 1 (to ~2015)</t>
        </is>
      </c>
      <c r="C7" s="11" t="inlineStr">
        <is>
          <t>verified</t>
        </is>
      </c>
      <c r="D7" s="2" t="inlineStr">
        <is>
          <t>Sailesh Chandra Chakraborty v. The State</t>
        </is>
      </c>
      <c r="E7" s="11" t="inlineStr">
        <is>
          <t>overruled</t>
        </is>
      </c>
      <c r="F7" s="2" t="inlineStr">
        <is>
          <t>Ram Lal v. State of Uttar Pradesh</t>
        </is>
      </c>
      <c r="G7" s="11" t="inlineStr">
        <is>
          <t>L1-0407</t>
        </is>
      </c>
      <c r="H7" s="11" t="inlineStr">
        <is>
          <t>overruled</t>
        </is>
      </c>
      <c r="I7" s="2" t="inlineStr">
        <is>
          <t>Randhir Singh Rana v. The State Being the Delhi Administration</t>
        </is>
      </c>
      <c r="J7" s="2" t="inlineStr">
        <is>
          <t>Sailesh Chandra Chakraborty v. The State (1963) was overruled by Ram Lal v. State of Uttar Pradesh (1979). Note: Ram Lal v. State of Uttar Pradesh was itself later overruled by Randhir Singh Rana v. The State Being the Delhi Administration (1997); the current position should be checked.</t>
        </is>
      </c>
    </row>
    <row r="8">
      <c r="A8" s="11" t="inlineStr">
        <is>
          <t>L1-0177</t>
        </is>
      </c>
      <c r="B8" s="11" t="inlineStr">
        <is>
          <t>List 1 (to ~2015)</t>
        </is>
      </c>
      <c r="C8" s="11" t="inlineStr">
        <is>
          <t>verified</t>
        </is>
      </c>
      <c r="D8" s="2" t="inlineStr">
        <is>
          <t>A.S. Shaik Fathima and Others v. Omer Cloth Store and Others</t>
        </is>
      </c>
      <c r="E8" s="11" t="inlineStr">
        <is>
          <t>overruled</t>
        </is>
      </c>
      <c r="F8" s="2" t="inlineStr">
        <is>
          <t>P.ORR and Sons (P) Ltd. v. Associated Publishers (Madras) Limited</t>
        </is>
      </c>
      <c r="G8" s="11" t="inlineStr">
        <is>
          <t>L1-0236</t>
        </is>
      </c>
      <c r="H8" s="11" t="inlineStr">
        <is>
          <t>overruled</t>
        </is>
      </c>
      <c r="I8" s="2" t="inlineStr">
        <is>
          <t>Laxmi Bai Patel v. Shyam Kumar Patel</t>
        </is>
      </c>
      <c r="J8" s="2" t="inlineStr">
        <is>
          <t>A.S. Shaik Fathima and Others v. Omer Cloth Store and Others (1986) was overruled by P.ORR and Sons (P) Ltd. v. Associated Publishers (Madras) Limited (1990). Note: P.ORR and Sons (P) Ltd. v. Associated Publishers (Madras) Limited was itself later overruled by Laxmi Bai Patel v. Shyam Kumar Patel (2002); the current position should be checked.</t>
        </is>
      </c>
    </row>
    <row r="9">
      <c r="A9" s="11" t="inlineStr">
        <is>
          <t>L1-0187</t>
        </is>
      </c>
      <c r="B9" s="11" t="inlineStr">
        <is>
          <t>List 1 (to ~2015)</t>
        </is>
      </c>
      <c r="C9" s="11" t="inlineStr">
        <is>
          <t>verified</t>
        </is>
      </c>
      <c r="D9" s="2" t="inlineStr">
        <is>
          <t>Kanakavali Ammal and Others v. V.S. Sundaram and Others</t>
        </is>
      </c>
      <c r="E9" s="11" t="inlineStr">
        <is>
          <t>overruled</t>
        </is>
      </c>
      <c r="F9" s="2" t="inlineStr">
        <is>
          <t>P.ORR and Sons (P) Ltd. v. Associated Publishers (Madras) Limited</t>
        </is>
      </c>
      <c r="G9" s="11" t="inlineStr">
        <is>
          <t>L1-0236</t>
        </is>
      </c>
      <c r="H9" s="11" t="inlineStr">
        <is>
          <t>overruled</t>
        </is>
      </c>
      <c r="I9" s="2" t="inlineStr">
        <is>
          <t>Laxmi Bai Patel v. Shyam Kumar Patel</t>
        </is>
      </c>
      <c r="J9" s="2" t="inlineStr">
        <is>
          <t>Kanakavali Ammal and Others v. V.S. Sundaram and Others (1984) was overruled by P.ORR and Sons (P) Ltd. v. Associated Publishers (Madras) Limited (1990). Note: P.ORR and Sons (P) Ltd. v. Associated Publishers (Madras) Limited was itself later overruled by Laxmi Bai Patel v. Shyam Kumar Patel (2002); the current position should be checked.</t>
        </is>
      </c>
    </row>
    <row r="10">
      <c r="A10" s="11" t="inlineStr">
        <is>
          <t>L1-0215</t>
        </is>
      </c>
      <c r="B10" s="11" t="inlineStr">
        <is>
          <t>List 1 (to ~2015)</t>
        </is>
      </c>
      <c r="C10" s="11" t="inlineStr">
        <is>
          <t>verified</t>
        </is>
      </c>
      <c r="D10" s="2" t="inlineStr">
        <is>
          <t>Sugan Chand Suraogi v. The Commissioner of Income Tax, Calcutta and Another</t>
        </is>
      </c>
      <c r="E10" s="11" t="inlineStr">
        <is>
          <t>overruled</t>
        </is>
      </c>
      <c r="F10" s="2" t="inlineStr">
        <is>
          <t>Dwarka Nath v. Income Tax Officer, Special Circle D-ward, Kanpur and Another</t>
        </is>
      </c>
      <c r="G10" s="11" t="inlineStr">
        <is>
          <t>L1-0576</t>
        </is>
      </c>
      <c r="H10" s="11" t="inlineStr">
        <is>
          <t>overruled</t>
        </is>
      </c>
      <c r="I10" s="2" t="inlineStr">
        <is>
          <t>Prabodh Verma and Others v. State of Uttar Pradesh and Others</t>
        </is>
      </c>
      <c r="J10" s="2" t="inlineStr">
        <is>
          <t>Sugan Chand Suraogi v. The Commissioner of Income Tax, Calcutta and Another (1964) was overruled by Dwarka Nath v. Income Tax Officer, Special Circle D-ward, Kanpur and Another (1966). Note: Dwarka Nath v. Income Tax Officer, Special Circle D-ward, Kanpur and Another was itself later overruled by Prabodh Verma and Others v. State of Uttar Pradesh and Others (1985); the current position should be checked.</t>
        </is>
      </c>
    </row>
    <row r="11">
      <c r="A11" s="11" t="inlineStr">
        <is>
          <t>L1-0242</t>
        </is>
      </c>
      <c r="B11" s="11" t="inlineStr">
        <is>
          <t>List 1 (to ~2015)</t>
        </is>
      </c>
      <c r="C11" s="11" t="inlineStr">
        <is>
          <t>verified</t>
        </is>
      </c>
      <c r="D11" s="2" t="inlineStr">
        <is>
          <t>The Commissioner of Income Tax, Gujarat II, Ahmedabad v. Shri R.M. Amin, L.R. of The Late Shri. Chunnibhai J. Amin, Baroda</t>
        </is>
      </c>
      <c r="E11" s="11" t="inlineStr">
        <is>
          <t>disputed_listing</t>
        </is>
      </c>
      <c r="F11" s="2" t="inlineStr">
        <is>
          <t>The Burma Oil Co. (I) Trading Ltd., Calcutta v. The Commissioner of Wealth Tax (Central), Calcutta</t>
        </is>
      </c>
      <c r="G11" s="11" t="inlineStr">
        <is>
          <t>L1-0265</t>
        </is>
      </c>
      <c r="H11" s="11" t="inlineStr">
        <is>
          <t>disputed_listing</t>
        </is>
      </c>
      <c r="I11" s="2" t="inlineStr">
        <is>
          <t>The Commissioner of Income Tax, Gujarat II, Ahmedabad v. Shri R.M. Amin, L.R. of The Late Shri. Chunnibhai J. Amin, Baroda</t>
        </is>
      </c>
      <c r="J11" s="2" t="inlineStr">
        <is>
          <t>The Commissioner of Income Tax, Gujarat II, Ahmedabad v. Shri R.M. Amin, L.R. of The Late Shri. Chunnibhai J. Amin, Baroda (1977) is listed in our reference list as overruled by The Burma Oil Co. (I) Trading Ltd., Calcutta v. The Commissioner of Wealth Tax (Central), Calcutta (1977), but the list is inconsistent on this entry. Note: The Burma Oil Co. (I) Trading Ltd., Calcutta v. The Commissioner of Wealth Tax (Central), Calcutta was itself later listed in our reference list as overruled by The Commissioner of Income Tax, Gujarat II, Ahmedabad v. Shri R.M. Amin, L.R. of The Late Shri. Chunnibhai J. Amin, Baroda (1977), but the list is inconsistent on this entry; the current position should be checked.</t>
        </is>
      </c>
    </row>
    <row r="12">
      <c r="A12" s="11" t="inlineStr">
        <is>
          <t>L1-0247</t>
        </is>
      </c>
      <c r="B12" s="11" t="inlineStr">
        <is>
          <t>List 1 (to ~2015)</t>
        </is>
      </c>
      <c r="C12" s="11" t="inlineStr">
        <is>
          <t>verified</t>
        </is>
      </c>
      <c r="D12" s="2" t="inlineStr">
        <is>
          <t>Director of Rationing and Distribution v. The Corporation of Calcutta and Others</t>
        </is>
      </c>
      <c r="E12" s="11" t="inlineStr">
        <is>
          <t>disputed_listing</t>
        </is>
      </c>
      <c r="F12" s="2" t="inlineStr">
        <is>
          <t>Superintendent and Legal Remembrancer, State of West Bengal v. Corporation of Calcutta</t>
        </is>
      </c>
      <c r="G12" s="11" t="inlineStr">
        <is>
          <t>L1-0506</t>
        </is>
      </c>
      <c r="H12" s="11" t="inlineStr">
        <is>
          <t>disputed_listing</t>
        </is>
      </c>
      <c r="I12" s="2" t="inlineStr">
        <is>
          <t>Director of Rationing and Distribution v. The Corporation of Calcutta and Others</t>
        </is>
      </c>
      <c r="J12" s="2" t="inlineStr">
        <is>
          <t>Director of Rationing and Distribution v. The Corporation of Calcutta and Others (1960) is listed in our reference list as overruled by Superintendent and Legal Remembrancer, State of West Bengal v. Corporation of Calcutta (1967), but the list is inconsistent on this entry. Note: Superintendent and Legal Remembrancer, State of West Bengal v. Corporation of Calcutta was itself later listed in our reference list as overruled by Director of Rationing and Distribution v. The Corporation of Calcutta and Others (1960), but the list is inconsistent on this entry; the current position should be checked.</t>
        </is>
      </c>
    </row>
    <row r="13">
      <c r="A13" s="11" t="inlineStr">
        <is>
          <t>L1-0248</t>
        </is>
      </c>
      <c r="B13" s="11" t="inlineStr">
        <is>
          <t>List 1 (to ~2015)</t>
        </is>
      </c>
      <c r="C13" s="11" t="inlineStr">
        <is>
          <t>verified</t>
        </is>
      </c>
      <c r="D13" s="2" t="inlineStr">
        <is>
          <t>Deep Chand v. The State of Uttar Pradesh and Others</t>
        </is>
      </c>
      <c r="E13" s="11" t="inlineStr">
        <is>
          <t>overruled</t>
        </is>
      </c>
      <c r="F13" s="2" t="inlineStr">
        <is>
          <t>Dr. A.K. Sabhapathy v. State of Kerala and others</t>
        </is>
      </c>
      <c r="G13" s="11" t="inlineStr">
        <is>
          <t>L1-0403</t>
        </is>
      </c>
      <c r="H13" s="11" t="inlineStr">
        <is>
          <t>overruled</t>
        </is>
      </c>
      <c r="I13" s="2" t="inlineStr">
        <is>
          <t>Dr. Mukhtiar Chand and Others v. The State of Punjab and Others</t>
        </is>
      </c>
      <c r="J13" s="2" t="inlineStr">
        <is>
          <t>Deep Chand v. The State of Uttar Pradesh and Others (1959) was overruled by Dr. A.K. Sabhapathy v. State of Kerala and others (1992). Note: Dr. A.K. Sabhapathy v. State of Kerala and others was itself later overruled by Dr. Mukhtiar Chand and Others v. The State of Punjab and Others (1999); the current position should be checked.</t>
        </is>
      </c>
    </row>
    <row r="14">
      <c r="A14" s="11" t="inlineStr">
        <is>
          <t>L1-0252</t>
        </is>
      </c>
      <c r="B14" s="11" t="inlineStr">
        <is>
          <t>List 1 (to ~2015)</t>
        </is>
      </c>
      <c r="C14" s="11" t="inlineStr">
        <is>
          <t>verified</t>
        </is>
      </c>
      <c r="D14" s="2" t="inlineStr">
        <is>
          <t>Kailash Chand Joshi v. Rajasthan High Court and Others</t>
        </is>
      </c>
      <c r="E14" s="11" t="inlineStr">
        <is>
          <t>overruled</t>
        </is>
      </c>
      <c r="F14" s="2" t="inlineStr">
        <is>
          <t>Ajit Singh and Others v. The State of Punjab and Others</t>
        </is>
      </c>
      <c r="G14" s="11" t="inlineStr">
        <is>
          <t>L1-0312</t>
        </is>
      </c>
      <c r="H14" s="11" t="inlineStr">
        <is>
          <t>overruled</t>
        </is>
      </c>
      <c r="I14" s="2" t="inlineStr">
        <is>
          <t>Shiv Nath Prasad v. Saran Pal Jeet Singh Tulsi and Others</t>
        </is>
      </c>
      <c r="J14" s="2" t="inlineStr">
        <is>
          <t>Kailash Chand Joshi v. Rajasthan High Court and Others (1996) was overruled by Ajit Singh and Others v. The State of Punjab and Others (1999). Note: Ajit Singh and Others v. The State of Punjab and Others was itself later overruled by Shiv Nath Prasad v. Saran Pal Jeet Singh Tulsi and Others (2008); the current position should be checked.</t>
        </is>
      </c>
    </row>
    <row r="15">
      <c r="A15" s="11" t="inlineStr">
        <is>
          <t>L1-0256</t>
        </is>
      </c>
      <c r="B15" s="11" t="inlineStr">
        <is>
          <t>List 1 (to ~2015)</t>
        </is>
      </c>
      <c r="C15" s="11" t="inlineStr">
        <is>
          <t>verified</t>
        </is>
      </c>
      <c r="D15" s="2" t="inlineStr">
        <is>
          <t>K.L. Verma v. State and Another</t>
        </is>
      </c>
      <c r="E15" s="11" t="inlineStr">
        <is>
          <t>overruled</t>
        </is>
      </c>
      <c r="F15" s="2" t="inlineStr">
        <is>
          <t>Adri Dharan Das v. State of West Bengal</t>
        </is>
      </c>
      <c r="G15" s="11" t="inlineStr">
        <is>
          <t>L2-026</t>
        </is>
      </c>
      <c r="H15" s="11" t="inlineStr">
        <is>
          <t>overruled</t>
        </is>
      </c>
      <c r="I15" s="2" t="inlineStr">
        <is>
          <t>Sushila Aggarwal v. State (NCT of Delhi)</t>
        </is>
      </c>
      <c r="J15" s="2" t="inlineStr">
        <is>
          <t>K.L. Verma v. State and Another (1998) was overruled by Adri Dharan Das v. State of West Bengal (2005). Note: Adri Dharan Das v. State of West Bengal was itself later overruled by Sushila Aggarwal v. State (NCT of Delhi) (2020); the current position should be checked.</t>
        </is>
      </c>
    </row>
    <row r="16">
      <c r="A16" s="11" t="inlineStr">
        <is>
          <t>L1-0258</t>
        </is>
      </c>
      <c r="B16" s="11" t="inlineStr">
        <is>
          <t>List 1 (to ~2015)</t>
        </is>
      </c>
      <c r="C16" s="11" t="inlineStr">
        <is>
          <t>verified</t>
        </is>
      </c>
      <c r="D16" s="2" t="inlineStr">
        <is>
          <t>Mediwell Hospital and Health Care Pvt. Ltd. v. Union of India and others</t>
        </is>
      </c>
      <c r="E16" s="11" t="inlineStr">
        <is>
          <t>disputed_listing</t>
        </is>
      </c>
      <c r="F16" s="2" t="inlineStr">
        <is>
          <t>M/s. Faridabad Ct. Scan center v. D.G. Health Services and others</t>
        </is>
      </c>
      <c r="G16" s="11" t="inlineStr">
        <is>
          <t>L1-0270</t>
        </is>
      </c>
      <c r="H16" s="11" t="inlineStr">
        <is>
          <t>disputed_listing</t>
        </is>
      </c>
      <c r="I16" s="2" t="inlineStr">
        <is>
          <t>Mediwell Hospital and Health Care Pvt. Ltd. v. Union of India and others</t>
        </is>
      </c>
      <c r="J16" s="2" t="inlineStr">
        <is>
          <t>Mediwell Hospital and Health Care Pvt. Ltd. v. Union of India and others (1997) is listed in our reference list as overruled by M/s. Faridabad Ct. Scan center v. D.G. Health Services and others (1997), but the list is inconsistent on this entry. Note: M/s. Faridabad Ct. Scan center v. D.G. Health Services and others was itself later listed in our reference list as overruled by Mediwell Hospital and Health Care Pvt. Ltd. v. Union of India and others (1997), but the list is inconsistent on this entry; the current position should be checked.</t>
        </is>
      </c>
    </row>
    <row r="17">
      <c r="A17" s="11" t="inlineStr">
        <is>
          <t>L1-0259</t>
        </is>
      </c>
      <c r="B17" s="11" t="inlineStr">
        <is>
          <t>List 1 (to ~2015)</t>
        </is>
      </c>
      <c r="C17" s="11" t="inlineStr">
        <is>
          <t>verified</t>
        </is>
      </c>
      <c r="D17" s="2" t="inlineStr">
        <is>
          <t>Common Cause, A Registered Society v. Union of India (UOI) and Others</t>
        </is>
      </c>
      <c r="E17" s="11" t="inlineStr">
        <is>
          <t>overruled</t>
        </is>
      </c>
      <c r="F17" s="2" t="inlineStr">
        <is>
          <t>Common Cause, A Registered Society v. Union of India and Others</t>
        </is>
      </c>
      <c r="G17" s="11" t="inlineStr">
        <is>
          <t>L1-0637</t>
        </is>
      </c>
      <c r="H17" s="11" t="inlineStr">
        <is>
          <t>overruled</t>
        </is>
      </c>
      <c r="I17" s="2" t="inlineStr">
        <is>
          <t>P. Ramachandra Rao v. State of Karnataka</t>
        </is>
      </c>
      <c r="J17" s="2" t="inlineStr">
        <is>
          <t>Common Cause, A Registered Society v. Union of India (UOI) and Others (1996) was overruled by Common Cause, A Registered Society v. Union of India and Others (1999). Note: Common Cause, A Registered Society v. Union of India and Others was itself later overruled by P. Ramachandra Rao v. State of Karnataka (2002); the current position should be checked.</t>
        </is>
      </c>
    </row>
    <row r="18">
      <c r="A18" s="11" t="inlineStr">
        <is>
          <t>L1-0265</t>
        </is>
      </c>
      <c r="B18" s="11" t="inlineStr">
        <is>
          <t>List 1 (to ~2015)</t>
        </is>
      </c>
      <c r="C18" s="11" t="inlineStr">
        <is>
          <t>verified</t>
        </is>
      </c>
      <c r="D18" s="2" t="inlineStr">
        <is>
          <t>The Burma Oil Co. (I) Trading Ltd., Calcutta v. The Commissioner of Wealth Tax (Central), Calcutta</t>
        </is>
      </c>
      <c r="E18" s="11" t="inlineStr">
        <is>
          <t>disputed_listing</t>
        </is>
      </c>
      <c r="F18" s="2" t="inlineStr">
        <is>
          <t>The Commissioner of Income Tax, Gujarat II, Ahmedabad v. Shri R.M. Amin, L.R. of The Late Shri. Chunnibhai J. Amin, Baroda</t>
        </is>
      </c>
      <c r="G18" s="11" t="inlineStr">
        <is>
          <t>L1-0242</t>
        </is>
      </c>
      <c r="H18" s="11" t="inlineStr">
        <is>
          <t>disputed_listing</t>
        </is>
      </c>
      <c r="I18" s="2" t="inlineStr">
        <is>
          <t>The Burma Oil Co. (I) Trading Ltd., Calcutta v. The Commissioner of Wealth Tax (Central), Calcutta</t>
        </is>
      </c>
      <c r="J18" s="2" t="inlineStr">
        <is>
          <t>The Burma Oil Co. (I) Trading Ltd., Calcutta v. The Commissioner of Wealth Tax (Central), Calcutta (1977) is listed in our reference list as overruled by The Commissioner of Income Tax, Gujarat II, Ahmedabad v. Shri R.M. Amin, L.R. of The Late Shri. Chunnibhai J. Amin, Baroda (1977), but the list is inconsistent on this entry. Note: The Commissioner of Income Tax, Gujarat II, Ahmedabad v. Shri R.M. Amin, L.R. of The Late Shri. Chunnibhai J. Amin, Baroda was itself later listed in our reference list as overruled by The Burma Oil Co. (I) Trading Ltd., Calcutta v. The Commissioner of Wealth Tax (Central), Calcutta (1977), but the list is inconsistent on this entry; the current position should be checked.</t>
        </is>
      </c>
    </row>
    <row r="19">
      <c r="A19" s="11" t="inlineStr">
        <is>
          <t>L1-0270</t>
        </is>
      </c>
      <c r="B19" s="11" t="inlineStr">
        <is>
          <t>List 1 (to ~2015)</t>
        </is>
      </c>
      <c r="C19" s="11" t="inlineStr">
        <is>
          <t>verified</t>
        </is>
      </c>
      <c r="D19" s="2" t="inlineStr">
        <is>
          <t>M/s. Faridabad Ct. Scan center v. D.G. Health Services and others</t>
        </is>
      </c>
      <c r="E19" s="11" t="inlineStr">
        <is>
          <t>disputed_listing</t>
        </is>
      </c>
      <c r="F19" s="2" t="inlineStr">
        <is>
          <t>Mediwell Hospital and Health Care Pvt. Ltd. v. Union of India and others</t>
        </is>
      </c>
      <c r="G19" s="11" t="inlineStr">
        <is>
          <t>L1-0258</t>
        </is>
      </c>
      <c r="H19" s="11" t="inlineStr">
        <is>
          <t>disputed_listing</t>
        </is>
      </c>
      <c r="I19" s="2" t="inlineStr">
        <is>
          <t>M/s. Faridabad Ct. Scan center v. D.G. Health Services and others</t>
        </is>
      </c>
      <c r="J19" s="2" t="inlineStr">
        <is>
          <t>M/s. Faridabad Ct. Scan center v. D.G. Health Services and others (1997) is listed in our reference list as overruled by Mediwell Hospital and Health Care Pvt. Ltd. v. Union of India and others (1997), but the list is inconsistent on this entry. Note: Mediwell Hospital and Health Care Pvt. Ltd. v. Union of India and others was itself later listed in our reference list as overruled by M/s. Faridabad Ct. Scan center v. D.G. Health Services and others (1997), but the list is inconsistent on this entry; the current position should be checked.</t>
        </is>
      </c>
    </row>
    <row r="20">
      <c r="A20" s="11" t="inlineStr">
        <is>
          <t>L1-0280</t>
        </is>
      </c>
      <c r="B20" s="11" t="inlineStr">
        <is>
          <t>List 1 (to ~2015)</t>
        </is>
      </c>
      <c r="C20" s="11" t="inlineStr">
        <is>
          <t>verified</t>
        </is>
      </c>
      <c r="D20" s="2" t="inlineStr">
        <is>
          <t>P.R. Nayak v. Union of India (UOI)</t>
        </is>
      </c>
      <c r="E20" s="11" t="inlineStr">
        <is>
          <t>overruled</t>
        </is>
      </c>
      <c r="F20" s="2" t="inlineStr">
        <is>
          <t>The Government of India, Ministry of Home Affairs and Others v. Tarak Nath Ghosh</t>
        </is>
      </c>
      <c r="G20" s="11" t="inlineStr">
        <is>
          <t>L1-0691</t>
        </is>
      </c>
      <c r="H20" s="11" t="inlineStr">
        <is>
          <t>overruled</t>
        </is>
      </c>
      <c r="I20" s="2" t="inlineStr">
        <is>
          <t>State of Orissa v. Bimal Kumar Mohanty</t>
        </is>
      </c>
      <c r="J20" s="2" t="inlineStr">
        <is>
          <t>P.R. Nayak v. Union of India (UOI) (1972) was overruled by The Government of India, Ministry of Home Affairs and Others v. Tarak Nath Ghosh (1971). Note: The Government of India, Ministry of Home Affairs and Others v. Tarak Nath Ghosh was itself later overruled by State of Orissa v. Bimal Kumar Mohanty (1994); the current position should be checked.</t>
        </is>
      </c>
    </row>
    <row r="21">
      <c r="A21" s="11" t="inlineStr">
        <is>
          <t>L1-0285</t>
        </is>
      </c>
      <c r="B21" s="11" t="inlineStr">
        <is>
          <t>List 1 (to ~2015)</t>
        </is>
      </c>
      <c r="C21" s="11" t="inlineStr">
        <is>
          <t>verified</t>
        </is>
      </c>
      <c r="D21" s="2" t="inlineStr">
        <is>
          <t>Laxman v. State of Maharashtra</t>
        </is>
      </c>
      <c r="E21" s="11" t="inlineStr">
        <is>
          <t>overruled</t>
        </is>
      </c>
      <c r="F21" s="2" t="inlineStr">
        <is>
          <t>Paparambaka Rosamma and Others v. State of Andhra Pradesh</t>
        </is>
      </c>
      <c r="G21" s="11" t="inlineStr">
        <is>
          <t>L1-0292</t>
        </is>
      </c>
      <c r="H21" s="11" t="inlineStr">
        <is>
          <t>overruled</t>
        </is>
      </c>
      <c r="I21" s="2" t="inlineStr">
        <is>
          <t>Shanmugam @ Kulandaivelu v. State of Tamil Nadu</t>
        </is>
      </c>
      <c r="J21" s="2" t="inlineStr">
        <is>
          <t>Laxman v. State of Maharashtra (2002) was overruled by Paparambaka Rosamma and Others v. State of Andhra Pradesh (1999). Note: Paparambaka Rosamma and Others v. State of Andhra Pradesh was itself later overruled by Shanmugam @ Kulandaivelu v. State of Tamil Nadu (2003); the current position should be checked.</t>
        </is>
      </c>
    </row>
    <row r="22">
      <c r="A22" s="11" t="inlineStr">
        <is>
          <t>L1-0292</t>
        </is>
      </c>
      <c r="B22" s="11" t="inlineStr">
        <is>
          <t>List 1 (to ~2015)</t>
        </is>
      </c>
      <c r="C22" s="11" t="inlineStr">
        <is>
          <t>verified</t>
        </is>
      </c>
      <c r="D22" s="2" t="inlineStr">
        <is>
          <t>Paparambaka Rosamma and Others v. State of Andhra Pradesh</t>
        </is>
      </c>
      <c r="E22" s="11" t="inlineStr">
        <is>
          <t>overruled</t>
        </is>
      </c>
      <c r="F22" s="2" t="inlineStr">
        <is>
          <t>Shanmugam @ Kulandaivelu v. State of Tamil Nadu</t>
        </is>
      </c>
      <c r="G22" s="11" t="inlineStr">
        <is>
          <t>L1-0707</t>
        </is>
      </c>
      <c r="H22" s="11" t="inlineStr">
        <is>
          <t>overruled</t>
        </is>
      </c>
      <c r="I22" s="2" t="inlineStr">
        <is>
          <t>Paparambaka Rosamma and Others v. State of Andhra Pradesh</t>
        </is>
      </c>
      <c r="J22" s="2" t="inlineStr">
        <is>
          <t>Paparambaka Rosamma and Others v. State of Andhra Pradesh (1999) was overruled by Shanmugam @ Kulandaivelu v. State of Tamil Nadu (2003). Note: Shanmugam @ Kulandaivelu v. State of Tamil Nadu was itself later overruled by Paparambaka Rosamma and Others v. State of Andhra Pradesh (1999); the current position should be checked.</t>
        </is>
      </c>
    </row>
    <row r="23">
      <c r="A23" s="11" t="inlineStr">
        <is>
          <t>L1-0313</t>
        </is>
      </c>
      <c r="B23" s="11" t="inlineStr">
        <is>
          <t>List 1 (to ~2015)</t>
        </is>
      </c>
      <c r="C23" s="11" t="inlineStr">
        <is>
          <t>verified</t>
        </is>
      </c>
      <c r="D23" s="2" t="inlineStr">
        <is>
          <t>Punjab National Bank v. Arjun Dev Arora and Others</t>
        </is>
      </c>
      <c r="E23" s="11" t="inlineStr">
        <is>
          <t>overruled</t>
        </is>
      </c>
      <c r="F23" s="2" t="inlineStr">
        <is>
          <t>Dr. K. Madan v. Smt. Krishnawati and another</t>
        </is>
      </c>
      <c r="G23" s="11" t="inlineStr">
        <is>
          <t>L1-0429</t>
        </is>
      </c>
      <c r="H23" s="11" t="inlineStr">
        <is>
          <t>overruled</t>
        </is>
      </c>
      <c r="I23" s="2" t="inlineStr">
        <is>
          <t>Punjab National Bank v. Arjun Dev Arora and Others</t>
        </is>
      </c>
      <c r="J23" s="2" t="inlineStr">
        <is>
          <t>Punjab National Bank v. Arjun Dev Arora and Others (1987) was overruled by Dr. K. Madan v. Smt. Krishnawati and another (1997). Note: Dr. K. Madan v. Smt. Krishnawati and another was itself later overruled by Punjab National Bank v. Arjun Dev Arora and Others (1987); the current position should be checked.</t>
        </is>
      </c>
    </row>
    <row r="24">
      <c r="A24" s="11" t="inlineStr">
        <is>
          <t>L1-0332</t>
        </is>
      </c>
      <c r="B24" s="11" t="inlineStr">
        <is>
          <t>List 1 (to ~2015)</t>
        </is>
      </c>
      <c r="C24" s="11" t="inlineStr">
        <is>
          <t>verified</t>
        </is>
      </c>
      <c r="D24" s="2" t="inlineStr">
        <is>
          <t>Smt. Chetana Dilip Motghare v. Bhide Girls Education Society, Nagput and others</t>
        </is>
      </c>
      <c r="E24" s="11" t="inlineStr">
        <is>
          <t>overruled</t>
        </is>
      </c>
      <c r="F24" s="2" t="inlineStr">
        <is>
          <t>Union of India and Another v. Madhav Gajanan Chaubal and Another</t>
        </is>
      </c>
      <c r="G24" s="11" t="inlineStr">
        <is>
          <t>L1-0274</t>
        </is>
      </c>
      <c r="H24" s="11" t="inlineStr">
        <is>
          <t>overruled</t>
        </is>
      </c>
      <c r="I24" s="2" t="inlineStr">
        <is>
          <t>Post Graduate Institute of Medical Education and Research, Chandigarh v. Faculty Association and Others</t>
        </is>
      </c>
      <c r="J24" s="2" t="inlineStr">
        <is>
          <t>Smt. Chetana Dilip Motghare v. Bhide Girls Education Society, Nagput and others (1994) was overruled by Union of India and Another v. Madhav Gajanan Chaubal and Another (1997). Note: Union of India and Another v. Madhav Gajanan Chaubal and Another was itself later overruled by Post Graduate Institute of Medical Education and Research, Chandigarh v. Faculty Association and Others (1998); the current position should be checked.</t>
        </is>
      </c>
    </row>
    <row r="25">
      <c r="A25" s="11" t="inlineStr">
        <is>
          <t>L1-0339</t>
        </is>
      </c>
      <c r="B25" s="11" t="inlineStr">
        <is>
          <t>List 1 (to ~2015)</t>
        </is>
      </c>
      <c r="C25" s="11" t="inlineStr">
        <is>
          <t>verified</t>
        </is>
      </c>
      <c r="D25" s="2" t="inlineStr">
        <is>
          <t>Basavantappa v. Gangadhar Narayan Dharwadkar and Another</t>
        </is>
      </c>
      <c r="E25" s="11" t="inlineStr">
        <is>
          <t>overruled</t>
        </is>
      </c>
      <c r="F25" s="2" t="inlineStr">
        <is>
          <t>P.K. Unni v. Nirmala Industries and others</t>
        </is>
      </c>
      <c r="G25" s="11" t="inlineStr">
        <is>
          <t>L1-0424</t>
        </is>
      </c>
      <c r="H25" s="11" t="inlineStr">
        <is>
          <t>overruled</t>
        </is>
      </c>
      <c r="I25" s="2" t="inlineStr">
        <is>
          <t>Dadi Jagannadham v. Jammulu Ramulu and Others</t>
        </is>
      </c>
      <c r="J25" s="2" t="inlineStr">
        <is>
          <t>Basavantappa v. Gangadhar Narayan Dharwadkar and Another (1987) was overruled by P.K. Unni v. Nirmala Industries and others (1990). Note: P.K. Unni v. Nirmala Industries and others was itself later overruled by Dadi Jagannadham v. Jammulu Ramulu and Others (2001); the current position should be checked.</t>
        </is>
      </c>
    </row>
    <row r="26">
      <c r="A26" s="11" t="inlineStr">
        <is>
          <t>L1-0355</t>
        </is>
      </c>
      <c r="B26" s="11" t="inlineStr">
        <is>
          <t>List 1 (to ~2015)</t>
        </is>
      </c>
      <c r="C26" s="11" t="inlineStr">
        <is>
          <t>verified</t>
        </is>
      </c>
      <c r="D26" s="2" t="inlineStr">
        <is>
          <t>Hoechst Pharmaceuticals Ltd. and Others v. State of Bihar and Others</t>
        </is>
      </c>
      <c r="E26" s="11" t="inlineStr">
        <is>
          <t>overruled</t>
        </is>
      </c>
      <c r="F26" s="2" t="inlineStr">
        <is>
          <t>Dr. A.K. Sabhapathy v. State of Kerala and others</t>
        </is>
      </c>
      <c r="G26" s="11" t="inlineStr">
        <is>
          <t>L1-0403</t>
        </is>
      </c>
      <c r="H26" s="11" t="inlineStr">
        <is>
          <t>overruled</t>
        </is>
      </c>
      <c r="I26" s="2" t="inlineStr">
        <is>
          <t>Dr. Mukhtiar Chand and Others v. The State of Punjab and Others</t>
        </is>
      </c>
      <c r="J26" s="2" t="inlineStr">
        <is>
          <t>Hoechst Pharmaceuticals Ltd. and Others v. State of Bihar and Others (1983) was overruled by Dr. A.K. Sabhapathy v. State of Kerala and others (1992). Note: Dr. A.K. Sabhapathy v. State of Kerala and others was itself later overruled by Dr. Mukhtiar Chand and Others v. The State of Punjab and Others (1999); the current position should be checked.</t>
        </is>
      </c>
    </row>
    <row r="27">
      <c r="A27" s="11" t="inlineStr">
        <is>
          <t>L1-0356</t>
        </is>
      </c>
      <c r="B27" s="11" t="inlineStr">
        <is>
          <t>List 1 (to ~2015)</t>
        </is>
      </c>
      <c r="C27" s="11" t="inlineStr">
        <is>
          <t>verified</t>
        </is>
      </c>
      <c r="D27" s="2" t="inlineStr">
        <is>
          <t>Periyar and Pareekanni Rubbers Ltd. v. State of Kerala</t>
        </is>
      </c>
      <c r="E27" s="11" t="inlineStr">
        <is>
          <t>overruled</t>
        </is>
      </c>
      <c r="F27" s="2" t="inlineStr">
        <is>
          <t>Yadavrao P. Pathade (Dead) by Lrs. and Others v. State of Maharashtra</t>
        </is>
      </c>
      <c r="G27" s="11" t="inlineStr">
        <is>
          <t>L1-0710</t>
        </is>
      </c>
      <c r="H27" s="11" t="inlineStr">
        <is>
          <t>overruled</t>
        </is>
      </c>
      <c r="I27" s="2" t="inlineStr">
        <is>
          <t>Sunder v. Union of India</t>
        </is>
      </c>
      <c r="J27" s="2" t="inlineStr">
        <is>
          <t>Periyar and Pareekanni Rubbers Ltd. v. State of Kerala (1990) was overruled by Yadavrao P. Pathade (Dead) by Lrs. and Others v. State of Maharashtra (1996). Note: Yadavrao P. Pathade (Dead) by Lrs. and Others v. State of Maharashtra was itself later overruled by Sunder v. Union of India (2001); the current position should be checked.</t>
        </is>
      </c>
    </row>
    <row r="28">
      <c r="A28" s="11" t="inlineStr">
        <is>
          <t>L1-0370</t>
        </is>
      </c>
      <c r="B28" s="11" t="inlineStr">
        <is>
          <t>List 1 (to ~2015)</t>
        </is>
      </c>
      <c r="C28" s="11" t="inlineStr">
        <is>
          <t>verified</t>
        </is>
      </c>
      <c r="D28" s="2" t="inlineStr">
        <is>
          <t>Gujarat Electricity Board, Thermal Power Station, Ukai v. Hind Mazdoor Sabha and Others</t>
        </is>
      </c>
      <c r="E28" s="11" t="inlineStr">
        <is>
          <t>overruled</t>
        </is>
      </c>
      <c r="F28" s="2" t="inlineStr">
        <is>
          <t>Air India Statutory Corporation, etc. v. United Labour Union and others</t>
        </is>
      </c>
      <c r="G28" s="11" t="inlineStr">
        <is>
          <t>L1-0575</t>
        </is>
      </c>
      <c r="H28" s="11" t="inlineStr">
        <is>
          <t>overruled</t>
        </is>
      </c>
      <c r="I28" s="2" t="inlineStr">
        <is>
          <t>Steel Authority of India Ltd. and Others etc. etc. v. National Union Water Front Workers and Others etc.</t>
        </is>
      </c>
      <c r="J28" s="2" t="inlineStr">
        <is>
          <t>Gujarat Electricity Board, Thermal Power Station, Ukai v. Hind Mazdoor Sabha and Others (1995) was overruled by Air India Statutory Corporation, etc. v. United Labour Union and others (1997). Note: Air India Statutory Corporation, etc. v. United Labour Union and others was itself later overruled by Steel Authority of India Ltd. and Others etc. etc. v. National Union Water Front Workers and Others etc. (2001); the current position should be checked.</t>
        </is>
      </c>
    </row>
    <row r="29">
      <c r="A29" s="11" t="inlineStr">
        <is>
          <t>L1-0374</t>
        </is>
      </c>
      <c r="B29" s="11" t="inlineStr">
        <is>
          <t>List 1 (to ~2015)</t>
        </is>
      </c>
      <c r="C29" s="11" t="inlineStr">
        <is>
          <t>verified</t>
        </is>
      </c>
      <c r="D29" s="2" t="inlineStr">
        <is>
          <t>State of Uttar Pradesh and Others v. Synthetics and Chemicals Ltd. and Others</t>
        </is>
      </c>
      <c r="E29" s="11" t="inlineStr">
        <is>
          <t>overruled</t>
        </is>
      </c>
      <c r="F29" s="2" t="inlineStr">
        <is>
          <t>Synthetics and Chemicals Ltd. and Others v. State of U.P. and Others</t>
        </is>
      </c>
      <c r="G29" s="11" t="inlineStr">
        <is>
          <t>L2-051</t>
        </is>
      </c>
      <c r="H29" s="11" t="inlineStr">
        <is>
          <t>overruled</t>
        </is>
      </c>
      <c r="I29" s="2" t="inlineStr">
        <is>
          <t>State of U.P. v. Lalta Prasad Vaish &amp; Sons</t>
        </is>
      </c>
      <c r="J29" s="2" t="inlineStr">
        <is>
          <t>State of Uttar Pradesh and Others v. Synthetics and Chemicals Ltd. and Others (1980) was overruled by Synthetics and Chemicals Ltd. and Others v. State of U.P. and Others (1990). Note: Synthetics and Chemicals Ltd. and Others v. State of U.P. and Others was itself later overruled by State of U.P. v. Lalta Prasad Vaish &amp; Sons (2024); the current position should be checked.</t>
        </is>
      </c>
    </row>
    <row r="30">
      <c r="A30" s="11" t="inlineStr">
        <is>
          <t>L1-0385</t>
        </is>
      </c>
      <c r="B30" s="11" t="inlineStr">
        <is>
          <t>List 1 (to ~2015)</t>
        </is>
      </c>
      <c r="C30" s="11" t="inlineStr">
        <is>
          <t>verified</t>
        </is>
      </c>
      <c r="D30" s="2" t="inlineStr">
        <is>
          <t>T. Govindaraja Mudaliar v. The State of Tamil Nadu and Others</t>
        </is>
      </c>
      <c r="E30" s="11" t="inlineStr">
        <is>
          <t>overruled</t>
        </is>
      </c>
      <c r="F30" s="2" t="inlineStr">
        <is>
          <t>Kesho Ram and Co. and Others etc. v. Union of India (UOI) and Others</t>
        </is>
      </c>
      <c r="G30" s="11" t="inlineStr">
        <is>
          <t>L1-0631</t>
        </is>
      </c>
      <c r="H30" s="11" t="inlineStr">
        <is>
          <t>overruled</t>
        </is>
      </c>
      <c r="I30" s="2" t="inlineStr">
        <is>
          <t>Shri Kishan @ Krishan Kumar v. Manoj Kumar Etc. Etc.</t>
        </is>
      </c>
      <c r="J30" s="2" t="inlineStr">
        <is>
          <t>T. Govindaraja Mudaliar v. The State of Tamil Nadu and Others (1973)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row>
    <row r="31">
      <c r="A31" s="11" t="inlineStr">
        <is>
          <t>L1-0389</t>
        </is>
      </c>
      <c r="B31" s="11" t="inlineStr">
        <is>
          <t>List 1 (to ~2015)</t>
        </is>
      </c>
      <c r="C31" s="11" t="inlineStr">
        <is>
          <t>verified</t>
        </is>
      </c>
      <c r="D31" s="2" t="inlineStr">
        <is>
          <t>Commissioner of Wealth Tax, Amritsar v. Suresh Seth</t>
        </is>
      </c>
      <c r="E31" s="11" t="inlineStr">
        <is>
          <t>overruled</t>
        </is>
      </c>
      <c r="F31" s="2" t="inlineStr">
        <is>
          <t>Maya Rani Punj v. Commissioner of Income Tax, Delhi</t>
        </is>
      </c>
      <c r="G31" s="11" t="inlineStr">
        <is>
          <t>L1-0539</t>
        </is>
      </c>
      <c r="H31" s="11" t="inlineStr">
        <is>
          <t>overruled</t>
        </is>
      </c>
      <c r="I31" s="2" t="inlineStr">
        <is>
          <t>Commissioner of Wealth Tax v. Trutees of Sahebzadas of Saraf-E-Khas Trust, Hyderabad</t>
        </is>
      </c>
      <c r="J31" s="2" t="inlineStr">
        <is>
          <t>Commissioner of Wealth Tax, Amritsar v. Suresh Seth (1981) was overruled by Maya Rani Punj v. Commissioner of Income Tax, Delhi (1986). Note: Maya Rani Punj v. Commissioner of Income Tax, Delhi was itself later overruled by Commissioner of Wealth Tax v. Trutees of Sahebzadas of Saraf-E-Khas Trust, Hyderabad (1997); the current position should be checked.</t>
        </is>
      </c>
    </row>
    <row r="32">
      <c r="A32" s="11" t="inlineStr">
        <is>
          <t>L1-0407</t>
        </is>
      </c>
      <c r="B32" s="11" t="inlineStr">
        <is>
          <t>List 1 (to ~2015)</t>
        </is>
      </c>
      <c r="C32" s="11" t="inlineStr">
        <is>
          <t>verified</t>
        </is>
      </c>
      <c r="D32" s="2" t="inlineStr">
        <is>
          <t>Ram Lal Narang v. State (Delhi Administration)</t>
        </is>
      </c>
      <c r="E32" s="11" t="inlineStr">
        <is>
          <t>overruled</t>
        </is>
      </c>
      <c r="F32" s="2" t="inlineStr">
        <is>
          <t>Randhir Singh Rana v. The State Being the Delhi Administration</t>
        </is>
      </c>
      <c r="G32" s="11" t="inlineStr">
        <is>
          <t>L2-018</t>
        </is>
      </c>
      <c r="H32" s="11" t="inlineStr">
        <is>
          <t>overruled</t>
        </is>
      </c>
      <c r="I32" s="2" t="inlineStr">
        <is>
          <t>Vinubhai Haribhai Malaviya v. State of Gujarat</t>
        </is>
      </c>
      <c r="J32" s="2" t="inlineStr">
        <is>
          <t>Ram Lal Narang v. State (Delhi Administration) (1979) was overruled by Randhir Singh Rana v. The State Being the Delhi Administration (1997). Note: Randhir Singh Rana v. The State Being the Delhi Administration was itself later overruled by Vinubhai Haribhai Malaviya v. State of Gujarat (2019); the current position should be checked.</t>
        </is>
      </c>
    </row>
    <row r="33">
      <c r="A33" s="11" t="inlineStr">
        <is>
          <t>L1-0410</t>
        </is>
      </c>
      <c r="B33" s="11" t="inlineStr">
        <is>
          <t>List 1 (to ~2015)</t>
        </is>
      </c>
      <c r="C33" s="11" t="inlineStr">
        <is>
          <t>verified</t>
        </is>
      </c>
      <c r="D33" s="2" t="inlineStr">
        <is>
          <t>Commissioner of Income Tax, Madras v. Madurai Mills Co. Ltd.</t>
        </is>
      </c>
      <c r="E33" s="11" t="inlineStr">
        <is>
          <t>overruled</t>
        </is>
      </c>
      <c r="F33" s="2" t="inlineStr">
        <is>
          <t>Vania Silk Mills (P) Ltd. v. Commissioner of Income Tax, Ahmedabad</t>
        </is>
      </c>
      <c r="G33" s="11" t="inlineStr">
        <is>
          <t>L1-0661</t>
        </is>
      </c>
      <c r="H33" s="11" t="inlineStr">
        <is>
          <t>overruled</t>
        </is>
      </c>
      <c r="I33" s="2" t="inlineStr">
        <is>
          <t>Commissioner of Income Tax, Cochin v. Mrs. Grace Collis and Others</t>
        </is>
      </c>
      <c r="J33" s="2" t="inlineStr">
        <is>
          <t>Commissioner of Income Tax, Madras v. Madurai Mills Co. Ltd. (1973) was overruled by Vania Silk Mills (P) Ltd. v. Commissioner of Income Tax, Ahmedabad (1991). Note: Vania Silk Mills (P) Ltd. v. Commissioner of Income Tax, Ahmedabad was itself later overruled by Commissioner of Income Tax, Cochin v. Mrs. Grace Collis and Others (2001); the current position should be checked.</t>
        </is>
      </c>
    </row>
    <row r="34">
      <c r="A34" s="11" t="inlineStr">
        <is>
          <t>L1-0414</t>
        </is>
      </c>
      <c r="B34" s="11" t="inlineStr">
        <is>
          <t>List 1 (to ~2015)</t>
        </is>
      </c>
      <c r="C34" s="11" t="inlineStr">
        <is>
          <t>verified</t>
        </is>
      </c>
      <c r="D34" s="2" t="inlineStr">
        <is>
          <t>The Ahmedabad Textile Industry’s Research Association v. The State of Bombay and Others</t>
        </is>
      </c>
      <c r="E34" s="11" t="inlineStr">
        <is>
          <t>overruled</t>
        </is>
      </c>
      <c r="F34" s="2" t="inlineStr">
        <is>
          <t>University of Delhi and Another v. Ram Nath</t>
        </is>
      </c>
      <c r="G34" s="11" t="inlineStr">
        <is>
          <t>L1-0567</t>
        </is>
      </c>
      <c r="H34" s="11" t="inlineStr">
        <is>
          <t>overruled</t>
        </is>
      </c>
      <c r="I34" s="2" t="inlineStr">
        <is>
          <t>General Manager, Telecom v. A. Srinivasa Rao and Others</t>
        </is>
      </c>
      <c r="J34" s="2" t="inlineStr">
        <is>
          <t>The Ahmedabad Textile Industry’s Research Association v. The State of Bombay and Others (1961) was overruled by University of Delhi and Another v. Ram Nath (1963). Note: University of Delhi and Another v. Ram Nath was itself later overruled by General Manager, Telecom v. A. Srinivasa Rao and Others (1998); the current position should be checked.</t>
        </is>
      </c>
    </row>
    <row r="35">
      <c r="A35" s="11" t="inlineStr">
        <is>
          <t>L1-0429</t>
        </is>
      </c>
      <c r="B35" s="11" t="inlineStr">
        <is>
          <t>List 1 (to ~2015)</t>
        </is>
      </c>
      <c r="C35" s="11" t="inlineStr">
        <is>
          <t>verified</t>
        </is>
      </c>
      <c r="D35" s="2" t="inlineStr">
        <is>
          <t>Dr. K. Madan v. Smt. Krishnawati and another</t>
        </is>
      </c>
      <c r="E35" s="11" t="inlineStr">
        <is>
          <t>overruled</t>
        </is>
      </c>
      <c r="F35" s="2" t="inlineStr">
        <is>
          <t>Punjab National Bank v. Arjun Dev Arora and Others</t>
        </is>
      </c>
      <c r="G35" s="11" t="inlineStr">
        <is>
          <t>L1-0313</t>
        </is>
      </c>
      <c r="H35" s="11" t="inlineStr">
        <is>
          <t>overruled</t>
        </is>
      </c>
      <c r="I35" s="2" t="inlineStr">
        <is>
          <t>Dr. K. Madan v. Smt. Krishnawati and another</t>
        </is>
      </c>
      <c r="J35" s="2" t="inlineStr">
        <is>
          <t>Dr. K. Madan v. Smt. Krishnawati and another (1997) was overruled by Punjab National Bank v. Arjun Dev Arora and Others (1987). Note: Punjab National Bank v. Arjun Dev Arora and Others was itself later overruled by Dr. K. Madan v. Smt. Krishnawati and another (1997); the current position should be checked.</t>
        </is>
      </c>
    </row>
    <row r="36">
      <c r="A36" s="11" t="inlineStr">
        <is>
          <t>L1-0433</t>
        </is>
      </c>
      <c r="B36" s="11" t="inlineStr">
        <is>
          <t>List 1 (to ~2015)</t>
        </is>
      </c>
      <c r="C36" s="11" t="inlineStr">
        <is>
          <t>verified</t>
        </is>
      </c>
      <c r="D36" s="2" t="inlineStr">
        <is>
          <t>The Corporation of the City of Nagpur v. Its Employees</t>
        </is>
      </c>
      <c r="E36" s="11" t="inlineStr">
        <is>
          <t>overruled</t>
        </is>
      </c>
      <c r="F36" s="2" t="inlineStr">
        <is>
          <t>University of Delhi and Another v. Ram Nath</t>
        </is>
      </c>
      <c r="G36" s="11" t="inlineStr">
        <is>
          <t>L1-0567</t>
        </is>
      </c>
      <c r="H36" s="11" t="inlineStr">
        <is>
          <t>overruled</t>
        </is>
      </c>
      <c r="I36" s="2" t="inlineStr">
        <is>
          <t>General Manager, Telecom v. A. Srinivasa Rao and Others</t>
        </is>
      </c>
      <c r="J36" s="2" t="inlineStr">
        <is>
          <t>The Corporation of the City of Nagpur v. Its Employees (1960) was overruled by University of Delhi and Another v. Ram Nath (1963). Note: University of Delhi and Another v. Ram Nath was itself later overruled by General Manager, Telecom v. A. Srinivasa Rao and Others (1998); the current position should be checked.</t>
        </is>
      </c>
    </row>
    <row r="37">
      <c r="A37" s="11" t="inlineStr">
        <is>
          <t>L1-0441</t>
        </is>
      </c>
      <c r="B37" s="11" t="inlineStr">
        <is>
          <t>List 1 (to ~2015)</t>
        </is>
      </c>
      <c r="C37" s="11" t="inlineStr">
        <is>
          <t>verified</t>
        </is>
      </c>
      <c r="D37" s="2" t="inlineStr">
        <is>
          <t>The Keshav Mills Co. Ltd. v. Commissioner of Income Tax, Bombay North</t>
        </is>
      </c>
      <c r="E37" s="11" t="inlineStr">
        <is>
          <t>overruled</t>
        </is>
      </c>
      <c r="F37" s="2" t="inlineStr">
        <is>
          <t>The Indian Aluminium Co. Ltd. v. The Commissioner of Income Tax , West Bengal, Calcutta</t>
        </is>
      </c>
      <c r="G37" s="11" t="inlineStr">
        <is>
          <t>L1-0375</t>
        </is>
      </c>
      <c r="H37" s="11" t="inlineStr">
        <is>
          <t>overruled</t>
        </is>
      </c>
      <c r="I37" s="2" t="inlineStr">
        <is>
          <t>National Thermal Power Corporation Ltd. v. M/s. Flowmore Private Ltd. and another</t>
        </is>
      </c>
      <c r="J37" s="2" t="inlineStr">
        <is>
          <t>The Keshav Mills Co. Ltd. v. Commissioner of Income Tax, Bombay North (1965) was overruled by The Indian Aluminium Co. Ltd. v. The Commissioner of Income Tax , West Bengal, Calcutta (1972). Note: The Indian Aluminium Co. Ltd. v. The Commissioner of Income Tax , West Bengal, Calcutta was itself later overruled by National Thermal Power Corporation Ltd. v. M/s. Flowmore Private Ltd. and another (1996); the current position should be checked.</t>
        </is>
      </c>
    </row>
    <row r="38">
      <c r="A38" s="11" t="inlineStr">
        <is>
          <t>L1-0446</t>
        </is>
      </c>
      <c r="B38" s="11" t="inlineStr">
        <is>
          <t>List 1 (to ~2015)</t>
        </is>
      </c>
      <c r="C38" s="11" t="inlineStr">
        <is>
          <t>verified</t>
        </is>
      </c>
      <c r="D38" s="2" t="inlineStr">
        <is>
          <t>Tirlok Singh and Co. v. District Magistrate, Lucknow and Others</t>
        </is>
      </c>
      <c r="E38" s="11" t="inlineStr">
        <is>
          <t>disputed_listing</t>
        </is>
      </c>
      <c r="F38" s="2" t="inlineStr">
        <is>
          <t>Ganpat Roy and Others v. Additional District Magistrate and Others</t>
        </is>
      </c>
      <c r="G38" s="11" t="inlineStr">
        <is>
          <t>L1-0645</t>
        </is>
      </c>
      <c r="H38" s="11" t="inlineStr">
        <is>
          <t>disputed_listing</t>
        </is>
      </c>
      <c r="I38" s="2" t="inlineStr">
        <is>
          <t>Tirlok Singh and Co. v. District Magistrate, Lucknow and Others</t>
        </is>
      </c>
      <c r="J38" s="2" t="inlineStr">
        <is>
          <t>Tirlok Singh and Co. v. District Magistrate, Lucknow and Others (1976) is listed in our reference list as overruled by Ganpat Roy and Others v. Additional District Magistrate and Others (1985), but the list is inconsistent on this entry. Note: Ganpat Roy and Others v. Additional District Magistrate and Others was itself later listed in our reference list as overruled by Tirlok Singh and Co. v. District Magistrate, Lucknow and Others (1976), but the list is inconsistent on this entry; the current position should be checked.</t>
        </is>
      </c>
    </row>
    <row r="39">
      <c r="A39" s="11" t="inlineStr">
        <is>
          <t>L1-0454</t>
        </is>
      </c>
      <c r="B39" s="11" t="inlineStr">
        <is>
          <t>List 1 (to ~2015)</t>
        </is>
      </c>
      <c r="C39" s="11" t="inlineStr">
        <is>
          <t>verified</t>
        </is>
      </c>
      <c r="D39" s="2" t="inlineStr">
        <is>
          <t>P.J. Irani v. The State of Madras</t>
        </is>
      </c>
      <c r="E39" s="11" t="inlineStr">
        <is>
          <t>overruled</t>
        </is>
      </c>
      <c r="F39" s="2" t="inlineStr">
        <is>
          <t>Kesho Ram and Co. and Others etc. v. Union of India (UOI) and Others</t>
        </is>
      </c>
      <c r="G39" s="11" t="inlineStr">
        <is>
          <t>L1-0631</t>
        </is>
      </c>
      <c r="H39" s="11" t="inlineStr">
        <is>
          <t>overruled</t>
        </is>
      </c>
      <c r="I39" s="2" t="inlineStr">
        <is>
          <t>Shri Kishan @ Krishan Kumar v. Manoj Kumar Etc. Etc.</t>
        </is>
      </c>
      <c r="J39" s="2" t="inlineStr">
        <is>
          <t>P.J. Irani v. The State of Madras (1961)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row>
    <row r="40">
      <c r="A40" s="11" t="inlineStr">
        <is>
          <t>L1-0463</t>
        </is>
      </c>
      <c r="B40" s="11" t="inlineStr">
        <is>
          <t>List 1 (to ~2015)</t>
        </is>
      </c>
      <c r="C40" s="11" t="inlineStr">
        <is>
          <t>verified</t>
        </is>
      </c>
      <c r="D40" s="2" t="inlineStr">
        <is>
          <t>Bhagirath v. Delhi Administration</t>
        </is>
      </c>
      <c r="E40" s="11" t="inlineStr">
        <is>
          <t>disputed_listing</t>
        </is>
      </c>
      <c r="F40" s="2" t="inlineStr">
        <is>
          <t>Kartar Singh and Others v. State of Haryana</t>
        </is>
      </c>
      <c r="G40" s="11" t="inlineStr">
        <is>
          <t>L1-0535</t>
        </is>
      </c>
      <c r="H40" s="11" t="inlineStr">
        <is>
          <t>disputed_listing</t>
        </is>
      </c>
      <c r="I40" s="2" t="inlineStr">
        <is>
          <t>Bhagirath v. Delhi Administration</t>
        </is>
      </c>
      <c r="J40" s="2" t="inlineStr">
        <is>
          <t>Bhagirath v. Delhi Administration (1985) is listed in our reference list as overruled by Kartar Singh and Others v. State of Haryana (1982), but the list is inconsistent on this entry. Note: Kartar Singh and Others v. State of Haryana was itself later listed in our reference list as overruled by Bhagirath v. Delhi Administration (1985), but the list is inconsistent on this entry; the current position should be checked.</t>
        </is>
      </c>
    </row>
    <row r="41">
      <c r="A41" s="11" t="inlineStr">
        <is>
          <t>L1-0466</t>
        </is>
      </c>
      <c r="B41" s="11" t="inlineStr">
        <is>
          <t>List 1 (to ~2015)</t>
        </is>
      </c>
      <c r="C41" s="11" t="inlineStr">
        <is>
          <t>verified</t>
        </is>
      </c>
      <c r="D41" s="2" t="inlineStr">
        <is>
          <t>Sajjan Singh v. State of Rajasthan</t>
        </is>
      </c>
      <c r="E41" s="11" t="inlineStr">
        <is>
          <t>overruled</t>
        </is>
      </c>
      <c r="F41" s="2" t="inlineStr">
        <is>
          <t>I.C. Golak Nath and Others v. State of Punjab and Another</t>
        </is>
      </c>
      <c r="G41" s="11" t="inlineStr">
        <is>
          <t>L1-0509</t>
        </is>
      </c>
      <c r="H41" s="11" t="inlineStr">
        <is>
          <t>overruled</t>
        </is>
      </c>
      <c r="I41" s="2" t="inlineStr">
        <is>
          <t>His Holiness Kesavananda Bharati Sripadagalvaru v. State of Kerala</t>
        </is>
      </c>
      <c r="J41" s="2" t="inlineStr">
        <is>
          <t>Sajjan Singh v. State of Rajasthan (1965) was overruled by I.C. Golak Nath and Others v. State of Punjab and Another (1967). Note: I.C. Golak Nath and Others v. State of Punjab and Another was itself later overruled by His Holiness Kesavananda Bharati Sripadagalvaru v. State of Kerala (1973); the current position should be checked.</t>
        </is>
      </c>
    </row>
    <row r="42">
      <c r="A42" s="11" t="inlineStr">
        <is>
          <t>L1-0470</t>
        </is>
      </c>
      <c r="B42" s="11" t="inlineStr">
        <is>
          <t>List 1 (to ~2015)</t>
        </is>
      </c>
      <c r="C42" s="11" t="inlineStr">
        <is>
          <t>verified</t>
        </is>
      </c>
      <c r="D42" s="2" t="inlineStr">
        <is>
          <t>Sri Sankari Prasad Singh Deo v. Union of India (UOI) and State of Bihar</t>
        </is>
      </c>
      <c r="E42" s="11" t="inlineStr">
        <is>
          <t>overruled</t>
        </is>
      </c>
      <c r="F42" s="2" t="inlineStr">
        <is>
          <t>I.C. Golak Nath and Others v. State of Punjab and Another</t>
        </is>
      </c>
      <c r="G42" s="11" t="inlineStr">
        <is>
          <t>L1-0509</t>
        </is>
      </c>
      <c r="H42" s="11" t="inlineStr">
        <is>
          <t>overruled</t>
        </is>
      </c>
      <c r="I42" s="2" t="inlineStr">
        <is>
          <t>His Holiness Kesavananda Bharati Sripadagalvaru v. State of Kerala</t>
        </is>
      </c>
      <c r="J42" s="2" t="inlineStr">
        <is>
          <t>Sri Sankari Prasad Singh Deo v. Union of India (UOI) and State of Bihar (1951) was overruled by I.C. Golak Nath and Others v. State of Punjab and Another (1967). Note: I.C. Golak Nath and Others v. State of Punjab and Another was itself later overruled by His Holiness Kesavananda Bharati Sripadagalvaru v. State of Kerala (1973); the current position should be checked.</t>
        </is>
      </c>
    </row>
    <row r="43">
      <c r="A43" s="11" t="inlineStr">
        <is>
          <t>L1-0473</t>
        </is>
      </c>
      <c r="B43" s="11" t="inlineStr">
        <is>
          <t>List 1 (to ~2015)</t>
        </is>
      </c>
      <c r="C43" s="11" t="inlineStr">
        <is>
          <t>verified</t>
        </is>
      </c>
      <c r="D43" s="2" t="inlineStr">
        <is>
          <t>Manindra Land and Building Corporation Ltd. v. Bhutnath Banerjee and Others</t>
        </is>
      </c>
      <c r="E43" s="11" t="inlineStr">
        <is>
          <t>overruled</t>
        </is>
      </c>
      <c r="F43" s="2" t="inlineStr">
        <is>
          <t>Vora Abbasbhai Alimahomed v. Haji Gulamnabi Haji Safibhai</t>
        </is>
      </c>
      <c r="G43" s="11" t="inlineStr">
        <is>
          <t>L1-0363</t>
        </is>
      </c>
      <c r="H43" s="11" t="inlineStr">
        <is>
          <t>overruled</t>
        </is>
      </c>
      <c r="I43" s="2" t="inlineStr">
        <is>
          <t>Harbanslal Jagmohandas and Another v. Prabhudas Shivlal</t>
        </is>
      </c>
      <c r="J43" s="2" t="inlineStr">
        <is>
          <t>Manindra Land and Building Corporation Ltd. v. Bhutnath Banerjee and Others (1964) was overruled by Vora Abbasbhai Alimahomed v. Haji Gulamnabi Haji Safibhai (1964). Note: Vora Abbasbhai Alimahomed v. Haji Gulamnabi Haji Safibhai was itself later overruled by Harbanslal Jagmohandas and Another v. Prabhudas Shivlal (1976); the current position should be checked.</t>
        </is>
      </c>
    </row>
    <row r="44">
      <c r="A44" s="11" t="inlineStr">
        <is>
          <t>L1-0474</t>
        </is>
      </c>
      <c r="B44" s="11" t="inlineStr">
        <is>
          <t>List 1 (to ~2015)</t>
        </is>
      </c>
      <c r="C44" s="11" t="inlineStr">
        <is>
          <t>verified</t>
        </is>
      </c>
      <c r="D44" s="2" t="inlineStr">
        <is>
          <t>The Commissioner of Income Tax, Lucknow v. Sh. Madho Pd. Jatia</t>
        </is>
      </c>
      <c r="E44" s="11" t="inlineStr">
        <is>
          <t>disputed_listing</t>
        </is>
      </c>
      <c r="F44" s="2" t="inlineStr">
        <is>
          <t>Commissioner of Income Tax, West Bengal-1, Calcutta v. Simon Carves Limited</t>
        </is>
      </c>
      <c r="G44" s="11" t="inlineStr">
        <is>
          <t>L1-0594</t>
        </is>
      </c>
      <c r="H44" s="11" t="inlineStr">
        <is>
          <t>disputed_listing</t>
        </is>
      </c>
      <c r="I44" s="2" t="inlineStr">
        <is>
          <t>The Commissioner of Income Tax, Lucknow v. Sh. Madho Pd. Jatia</t>
        </is>
      </c>
      <c r="J44" s="2" t="inlineStr">
        <is>
          <t>The Commissioner of Income Tax, Lucknow v. Sh. Madho Pd. Jatia (1977) is listed in our reference list as overruled by Commissioner of Income Tax, West Bengal-1, Calcutta v. Simon Carves Limited (1976), but the list is inconsistent on this entry. Note: Commissioner of Income Tax, West Bengal-1, Calcutta v. Simon Carves Limited was itself later listed in our reference list as overruled by The Commissioner of Income Tax, Lucknow v. Sh. Madho Pd. Jatia (1977), but the list is inconsistent on this entry; the current position should be checked.</t>
        </is>
      </c>
    </row>
    <row r="45">
      <c r="A45" s="11" t="inlineStr">
        <is>
          <t>L1-0482</t>
        </is>
      </c>
      <c r="B45" s="11" t="inlineStr">
        <is>
          <t>List 1 (to ~2015)</t>
        </is>
      </c>
      <c r="C45" s="11" t="inlineStr">
        <is>
          <t>verified</t>
        </is>
      </c>
      <c r="D45" s="2" t="inlineStr">
        <is>
          <t>Smt. Somavanti and Others v. The State of Punjab and Others</t>
        </is>
      </c>
      <c r="E45" s="11" t="inlineStr">
        <is>
          <t>overruled</t>
        </is>
      </c>
      <c r="F45" s="2" t="inlineStr">
        <is>
          <t>Kesho Ram and Co. and Others etc. v. Union of India (UOI) and Others</t>
        </is>
      </c>
      <c r="G45" s="11" t="inlineStr">
        <is>
          <t>L1-0631</t>
        </is>
      </c>
      <c r="H45" s="11" t="inlineStr">
        <is>
          <t>overruled</t>
        </is>
      </c>
      <c r="I45" s="2" t="inlineStr">
        <is>
          <t>Shri Kishan @ Krishan Kumar v. Manoj Kumar Etc. Etc.</t>
        </is>
      </c>
      <c r="J45" s="2" t="inlineStr">
        <is>
          <t>Smt. Somavanti and Others v. The State of Punjab and Others (1963)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row>
    <row r="46">
      <c r="A46" s="11" t="inlineStr">
        <is>
          <t>L1-0485</t>
        </is>
      </c>
      <c r="B46" s="11" t="inlineStr">
        <is>
          <t>List 1 (to ~2015)</t>
        </is>
      </c>
      <c r="C46" s="11" t="inlineStr">
        <is>
          <t>verified</t>
        </is>
      </c>
      <c r="D46" s="2" t="inlineStr">
        <is>
          <t>Anil Kumar Neotia and Others v. Union of India (UOI) and Others</t>
        </is>
      </c>
      <c r="E46" s="11" t="inlineStr">
        <is>
          <t>overruled</t>
        </is>
      </c>
      <c r="F46" s="2" t="inlineStr">
        <is>
          <t>Kesho Ram and Co. and Others etc. v. Union of India (UOI) and Others</t>
        </is>
      </c>
      <c r="G46" s="11" t="inlineStr">
        <is>
          <t>L1-0631</t>
        </is>
      </c>
      <c r="H46" s="11" t="inlineStr">
        <is>
          <t>overruled</t>
        </is>
      </c>
      <c r="I46" s="2" t="inlineStr">
        <is>
          <t>Shri Kishan @ Krishan Kumar v. Manoj Kumar Etc. Etc.</t>
        </is>
      </c>
      <c r="J46" s="2" t="inlineStr">
        <is>
          <t>Anil Kumar Neotia and Others v. Union of India (UOI) and Others (1988)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row>
    <row r="47">
      <c r="A47" s="11" t="inlineStr">
        <is>
          <t>L1-0490</t>
        </is>
      </c>
      <c r="B47" s="11" t="inlineStr">
        <is>
          <t>List 1 (to ~2015)</t>
        </is>
      </c>
      <c r="C47" s="11" t="inlineStr">
        <is>
          <t>verified</t>
        </is>
      </c>
      <c r="D47" s="2" t="inlineStr">
        <is>
          <t>Bhikaji Narain Dhakras and Others v. The State of Madhya Pradesh and Another</t>
        </is>
      </c>
      <c r="E47" s="11" t="inlineStr">
        <is>
          <t>overruled</t>
        </is>
      </c>
      <c r="F47" s="2" t="inlineStr">
        <is>
          <t>Deep Chand v. The State of Uttar Pradesh and Others</t>
        </is>
      </c>
      <c r="G47" s="11" t="inlineStr">
        <is>
          <t>L1-0248</t>
        </is>
      </c>
      <c r="H47" s="11" t="inlineStr">
        <is>
          <t>overruled</t>
        </is>
      </c>
      <c r="I47" s="2" t="inlineStr">
        <is>
          <t>Dr. A.K. Sabhapathy v. State of Kerala and others</t>
        </is>
      </c>
      <c r="J47" s="2" t="inlineStr">
        <is>
          <t>Bhikaji Narain Dhakras and Others v. The State of Madhya Pradesh and Another (1955) was overruled by Deep Chand v. The State of Uttar Pradesh and Others (1959). Note: Deep Chand v. The State of Uttar Pradesh and Others was itself later overruled by Dr. A.K. Sabhapathy v. State of Kerala and others (1992); the current position should be checked.</t>
        </is>
      </c>
    </row>
    <row r="48">
      <c r="A48" s="11" t="inlineStr">
        <is>
          <t>L1-0499</t>
        </is>
      </c>
      <c r="B48" s="11" t="inlineStr">
        <is>
          <t>List 1 (to ~2015)</t>
        </is>
      </c>
      <c r="C48" s="11" t="inlineStr">
        <is>
          <t>verified</t>
        </is>
      </c>
      <c r="D48" s="2" t="inlineStr">
        <is>
          <t>The State of Bombay and Another v. F.N. Balsara</t>
        </is>
      </c>
      <c r="E48" s="11" t="inlineStr">
        <is>
          <t>overruled</t>
        </is>
      </c>
      <c r="F48" s="2" t="inlineStr">
        <is>
          <t>Synthetics and Chemicals Ltd. and Others v. State of U.P. and Others</t>
        </is>
      </c>
      <c r="G48" s="11" t="inlineStr">
        <is>
          <t>L2-051</t>
        </is>
      </c>
      <c r="H48" s="11" t="inlineStr">
        <is>
          <t>overruled</t>
        </is>
      </c>
      <c r="I48" s="2" t="inlineStr">
        <is>
          <t>State of U.P. v. Lalta Prasad Vaish &amp; Sons</t>
        </is>
      </c>
      <c r="J48" s="2" t="inlineStr">
        <is>
          <t>The State of Bombay and Another v. F.N. Balsara (1951) was overruled by Synthetics and Chemicals Ltd. and Others v. State of U.P. and Others (1990). Note: Synthetics and Chemicals Ltd. and Others v. State of U.P. and Others was itself later overruled by State of U.P. v. Lalta Prasad Vaish &amp; Sons (2024); the current position should be checked.</t>
        </is>
      </c>
    </row>
    <row r="49">
      <c r="A49" s="11" t="inlineStr">
        <is>
          <t>L1-0506</t>
        </is>
      </c>
      <c r="B49" s="11" t="inlineStr">
        <is>
          <t>List 1 (to ~2015)</t>
        </is>
      </c>
      <c r="C49" s="11" t="inlineStr">
        <is>
          <t>verified</t>
        </is>
      </c>
      <c r="D49" s="2" t="inlineStr">
        <is>
          <t>Superintendent and Legal Remembrancer, State of West Bengal v. Corporation of Calcutta</t>
        </is>
      </c>
      <c r="E49" s="11" t="inlineStr">
        <is>
          <t>disputed_listing</t>
        </is>
      </c>
      <c r="F49" s="2" t="inlineStr">
        <is>
          <t>Director of Rationing and Distribution v. The Corporation of Calcutta and Others</t>
        </is>
      </c>
      <c r="G49" s="11" t="inlineStr">
        <is>
          <t>L1-0247</t>
        </is>
      </c>
      <c r="H49" s="11" t="inlineStr">
        <is>
          <t>disputed_listing</t>
        </is>
      </c>
      <c r="I49" s="2" t="inlineStr">
        <is>
          <t>Superintendent and Legal Remembrancer, State of West Bengal v. Corporation of Calcutta</t>
        </is>
      </c>
      <c r="J49" s="2" t="inlineStr">
        <is>
          <t>Superintendent and Legal Remembrancer, State of West Bengal v. Corporation of Calcutta (1967) is listed in our reference list as overruled by Director of Rationing and Distribution v. The Corporation of Calcutta and Others (1960), but the list is inconsistent on this entry. Note: Director of Rationing and Distribution v. The Corporation of Calcutta and Others was itself later listed in our reference list as overruled by Superintendent and Legal Remembrancer, State of West Bengal v. Corporation of Calcutta (1967), but the list is inconsistent on this entry; the current position should be checked.</t>
        </is>
      </c>
    </row>
    <row r="50">
      <c r="A50" s="11" t="inlineStr">
        <is>
          <t>L1-0510</t>
        </is>
      </c>
      <c r="B50" s="11" t="inlineStr">
        <is>
          <t>List 1 (to ~2015)</t>
        </is>
      </c>
      <c r="C50" s="11" t="inlineStr">
        <is>
          <t>verified</t>
        </is>
      </c>
      <c r="D50" s="2" t="inlineStr">
        <is>
          <t>Atma Ram Mittal v. Ishwar Singh Punia</t>
        </is>
      </c>
      <c r="E50" s="11" t="inlineStr">
        <is>
          <t>overruled</t>
        </is>
      </c>
      <c r="F50" s="2" t="inlineStr">
        <is>
          <t>Kesho Ram and Co. and Others etc. v. Union of India (UOI) and Others</t>
        </is>
      </c>
      <c r="G50" s="11" t="inlineStr">
        <is>
          <t>L1-0631</t>
        </is>
      </c>
      <c r="H50" s="11" t="inlineStr">
        <is>
          <t>overruled</t>
        </is>
      </c>
      <c r="I50" s="2" t="inlineStr">
        <is>
          <t>Shri Kishan @ Krishan Kumar v. Manoj Kumar Etc. Etc.</t>
        </is>
      </c>
      <c r="J50" s="2" t="inlineStr">
        <is>
          <t>Atma Ram Mittal v. Ishwar Singh Punia (1988)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row>
    <row r="51">
      <c r="A51" s="11" t="inlineStr">
        <is>
          <t>L1-0518</t>
        </is>
      </c>
      <c r="B51" s="11" t="inlineStr">
        <is>
          <t>List 1 (to ~2015)</t>
        </is>
      </c>
      <c r="C51" s="11" t="inlineStr">
        <is>
          <t>verified</t>
        </is>
      </c>
      <c r="D51" s="2" t="inlineStr">
        <is>
          <t>Baidyanath Mahapatra v. State of Orissa and Another</t>
        </is>
      </c>
      <c r="E51" s="11" t="inlineStr">
        <is>
          <t>overruled</t>
        </is>
      </c>
      <c r="F51" s="2" t="inlineStr">
        <is>
          <t>Brij Mohan Singh Chopra v. State of Punjab</t>
        </is>
      </c>
      <c r="G51" s="11" t="inlineStr">
        <is>
          <t>L1-0583</t>
        </is>
      </c>
      <c r="H51" s="11" t="inlineStr">
        <is>
          <t>overruled</t>
        </is>
      </c>
      <c r="I51" s="2" t="inlineStr">
        <is>
          <t>Baikuntha Nath Das and another v. Chief District Medical Officer, Baripada and another</t>
        </is>
      </c>
      <c r="J51" s="2" t="inlineStr">
        <is>
          <t>Baidyanath Mahapatra v. State of Orissa and Another (1989) was overruled by Brij Mohan Singh Chopra v. State of Punjab (1987). Note: Brij Mohan Singh Chopra v. State of Punjab was itself later overruled by Baikuntha Nath Das and another v. Chief District Medical Officer, Baripada and another (1992); the current position should be checked.</t>
        </is>
      </c>
    </row>
    <row r="52">
      <c r="A52" s="11" t="inlineStr">
        <is>
          <t>L1-0530</t>
        </is>
      </c>
      <c r="B52" s="11" t="inlineStr">
        <is>
          <t>List 1 (to ~2015)</t>
        </is>
      </c>
      <c r="C52" s="11" t="inlineStr">
        <is>
          <t>verified</t>
        </is>
      </c>
      <c r="D52" s="2" t="inlineStr">
        <is>
          <t>Achal Misra v. Rama Shanker Singh and Others</t>
        </is>
      </c>
      <c r="E52" s="11" t="inlineStr">
        <is>
          <t>overruled</t>
        </is>
      </c>
      <c r="F52" s="2" t="inlineStr">
        <is>
          <t>Tirlok Singh and Co. v. District Magistrate, Lucknow and Others</t>
        </is>
      </c>
      <c r="G52" s="11" t="inlineStr">
        <is>
          <t>L1-0446</t>
        </is>
      </c>
      <c r="H52" s="11" t="inlineStr">
        <is>
          <t>disputed_listing</t>
        </is>
      </c>
      <c r="I52" s="2" t="inlineStr">
        <is>
          <t>Ganpat Roy and Others v. Additional District Magistrate and Others</t>
        </is>
      </c>
      <c r="J52" s="2" t="inlineStr">
        <is>
          <t>Achal Misra v. Rama Shanker Singh and Others (2000) was overruled by Tirlok Singh and Co. v. District Magistrate, Lucknow and Others (1976). Note: Tirlok Singh and Co. v. District Magistrate, Lucknow and Others was itself later listed in our reference list as overruled by Ganpat Roy and Others v. Additional District Magistrate and Others (1985), but the list is inconsistent on this entry; the current position should be checked.</t>
        </is>
      </c>
    </row>
    <row r="53">
      <c r="A53" s="11" t="inlineStr">
        <is>
          <t>L1-0535</t>
        </is>
      </c>
      <c r="B53" s="11" t="inlineStr">
        <is>
          <t>List 1 (to ~2015)</t>
        </is>
      </c>
      <c r="C53" s="11" t="inlineStr">
        <is>
          <t>verified</t>
        </is>
      </c>
      <c r="D53" s="2" t="inlineStr">
        <is>
          <t>Kartar Singh and Others v. State of Haryana</t>
        </is>
      </c>
      <c r="E53" s="11" t="inlineStr">
        <is>
          <t>disputed_listing</t>
        </is>
      </c>
      <c r="F53" s="2" t="inlineStr">
        <is>
          <t>Bhagirath v. Delhi Administration</t>
        </is>
      </c>
      <c r="G53" s="11" t="inlineStr">
        <is>
          <t>L1-0463</t>
        </is>
      </c>
      <c r="H53" s="11" t="inlineStr">
        <is>
          <t>disputed_listing</t>
        </is>
      </c>
      <c r="I53" s="2" t="inlineStr">
        <is>
          <t>Kartar Singh and Others v. State of Haryana</t>
        </is>
      </c>
      <c r="J53" s="2" t="inlineStr">
        <is>
          <t>Kartar Singh and Others v. State of Haryana (1982) is listed in our reference list as overruled by Bhagirath v. Delhi Administration (1985), but the list is inconsistent on this entry. Note: Bhagirath v. Delhi Administration was itself later listed in our reference list as overruled by Kartar Singh and Others v. State of Haryana (1982), but the list is inconsistent on this entry; the current position should be checked.</t>
        </is>
      </c>
    </row>
    <row r="54">
      <c r="A54" s="11" t="inlineStr">
        <is>
          <t>L1-0545</t>
        </is>
      </c>
      <c r="B54" s="11" t="inlineStr">
        <is>
          <t>List 1 (to ~2015)</t>
        </is>
      </c>
      <c r="C54" s="11" t="inlineStr">
        <is>
          <t>verified</t>
        </is>
      </c>
      <c r="D54" s="2" t="inlineStr">
        <is>
          <t>Hanuman Jute Mills v. Amin Das and Another</t>
        </is>
      </c>
      <c r="E54" s="11" t="inlineStr">
        <is>
          <t>overruled</t>
        </is>
      </c>
      <c r="F54" s="2" t="inlineStr">
        <is>
          <t>Ram Lal Narang v. State (Delhi Administration)</t>
        </is>
      </c>
      <c r="G54" s="11" t="inlineStr">
        <is>
          <t>L1-0407</t>
        </is>
      </c>
      <c r="H54" s="11" t="inlineStr">
        <is>
          <t>overruled</t>
        </is>
      </c>
      <c r="I54" s="2" t="inlineStr">
        <is>
          <t>Randhir Singh Rana v. The State Being the Delhi Administration</t>
        </is>
      </c>
      <c r="J54" s="2" t="inlineStr">
        <is>
          <t>Hanuman Jute Mills v. Amin Das and Another (1957) was overruled by Ram Lal Narang v. State (Delhi Administration) (1979). Note: Ram Lal Narang v. State (Delhi Administration) was itself later overruled by Randhir Singh Rana v. The State Being the Delhi Administration (1997); the current position should be checked.</t>
        </is>
      </c>
    </row>
    <row r="55">
      <c r="A55" s="11" t="inlineStr">
        <is>
          <t>L1-0550</t>
        </is>
      </c>
      <c r="B55" s="11" t="inlineStr">
        <is>
          <t>List 1 (to ~2015)</t>
        </is>
      </c>
      <c r="C55" s="11" t="inlineStr">
        <is>
          <t>verified</t>
        </is>
      </c>
      <c r="D55" s="2" t="inlineStr">
        <is>
          <t>Travancore Titanium Products Ltd. v. Commissioner of Income Tax, Kerala</t>
        </is>
      </c>
      <c r="E55" s="11" t="inlineStr">
        <is>
          <t>overruled</t>
        </is>
      </c>
      <c r="F55" s="2" t="inlineStr">
        <is>
          <t>The Indian Aluminium Co. Ltd. v. The Commissioner of Income Tax , West Bengal, Calcutta</t>
        </is>
      </c>
      <c r="G55" s="11" t="inlineStr">
        <is>
          <t>L1-0375</t>
        </is>
      </c>
      <c r="H55" s="11" t="inlineStr">
        <is>
          <t>overruled</t>
        </is>
      </c>
      <c r="I55" s="2" t="inlineStr">
        <is>
          <t>National Thermal Power Corporation Ltd. v. M/s. Flowmore Private Ltd. and another</t>
        </is>
      </c>
      <c r="J55" s="2" t="inlineStr">
        <is>
          <t>Travancore Titanium Products Ltd. v. Commissioner of Income Tax, Kerala (1966) was overruled by The Indian Aluminium Co. Ltd. v. The Commissioner of Income Tax , West Bengal, Calcutta (1972). Note: The Indian Aluminium Co. Ltd. v. The Commissioner of Income Tax , West Bengal, Calcutta was itself later overruled by National Thermal Power Corporation Ltd. v. M/s. Flowmore Private Ltd. and another (1996); the current position should be checked.</t>
        </is>
      </c>
    </row>
    <row r="56">
      <c r="A56" s="11" t="inlineStr">
        <is>
          <t>L1-0561</t>
        </is>
      </c>
      <c r="B56" s="11" t="inlineStr">
        <is>
          <t>List 1 (to ~2015)</t>
        </is>
      </c>
      <c r="C56" s="11" t="inlineStr">
        <is>
          <t>verified</t>
        </is>
      </c>
      <c r="D56" s="2" t="inlineStr">
        <is>
          <t>Bhag Singh and Others v. Union Territory of Chandigarh through the land acquisition collector, Chandigarh</t>
        </is>
      </c>
      <c r="E56" s="11" t="inlineStr">
        <is>
          <t>overruled</t>
        </is>
      </c>
      <c r="F56" s="2" t="inlineStr">
        <is>
          <t>Krishi Utpadan Mandi Samiti v. Kanhaiya Lal and Others</t>
        </is>
      </c>
      <c r="G56" s="11" t="inlineStr">
        <is>
          <t>L1-0302</t>
        </is>
      </c>
      <c r="H56" s="11" t="inlineStr">
        <is>
          <t>overruled</t>
        </is>
      </c>
      <c r="I56" s="2" t="inlineStr">
        <is>
          <t>The Land Acquisition Officer-cum- DSWO, Andhra Pradesh v. B.V. Reddy and Sons</t>
        </is>
      </c>
      <c r="J56" s="2" t="inlineStr">
        <is>
          <t>Bhag Singh and Others v. Union Territory of Chandigarh through the land acquisition collector, Chandigarh (1985) was overruled by Krishi Utpadan Mandi Samiti v. Kanhaiya Lal and Others (2000). Note: Krishi Utpadan Mandi Samiti v. Kanhaiya Lal and Others was itself later overruled by The Land Acquisition Officer-cum- DSWO, Andhra Pradesh v. B.V. Reddy and Sons (2002); the current position should be checked.</t>
        </is>
      </c>
    </row>
    <row r="57">
      <c r="A57" s="11" t="inlineStr">
        <is>
          <t>L1-0589</t>
        </is>
      </c>
      <c r="B57" s="11" t="inlineStr">
        <is>
          <t>List 1 (to ~2015)</t>
        </is>
      </c>
      <c r="C57" s="11" t="inlineStr">
        <is>
          <t>verified</t>
        </is>
      </c>
      <c r="D57" s="2" t="inlineStr">
        <is>
          <t>Heavy Engineering Mazdoor Union v. State of Bihar and Others</t>
        </is>
      </c>
      <c r="E57" s="11" t="inlineStr">
        <is>
          <t>overruled</t>
        </is>
      </c>
      <c r="F57" s="2" t="inlineStr">
        <is>
          <t>Air India Statutory Corporation, etc. v. United Labour Union and others</t>
        </is>
      </c>
      <c r="G57" s="11" t="inlineStr">
        <is>
          <t>L1-0575</t>
        </is>
      </c>
      <c r="H57" s="11" t="inlineStr">
        <is>
          <t>overruled</t>
        </is>
      </c>
      <c r="I57" s="2" t="inlineStr">
        <is>
          <t>Steel Authority of India Ltd. and Others etc. etc. v. National Union Water Front Workers and Others etc.</t>
        </is>
      </c>
      <c r="J57" s="2" t="inlineStr">
        <is>
          <t>Heavy Engineering Mazdoor Union v. State of Bihar and Others (1970) was overruled by Air India Statutory Corporation, etc. v. United Labour Union and others (1997). Note: Air India Statutory Corporation, etc. v. United Labour Union and others was itself later overruled by Steel Authority of India Ltd. and Others etc. etc. v. National Union Water Front Workers and Others etc. (2001); the current position should be checked.</t>
        </is>
      </c>
    </row>
    <row r="58">
      <c r="A58" s="11" t="inlineStr">
        <is>
          <t>L1-0592</t>
        </is>
      </c>
      <c r="B58" s="11" t="inlineStr">
        <is>
          <t>List 1 (to ~2015)</t>
        </is>
      </c>
      <c r="C58" s="11" t="inlineStr">
        <is>
          <t>verified</t>
        </is>
      </c>
      <c r="D58" s="2" t="inlineStr">
        <is>
          <t>Shri Rattan Lal v. Shri Vardesh Chander and Others</t>
        </is>
      </c>
      <c r="E58" s="11" t="inlineStr">
        <is>
          <t>overruled</t>
        </is>
      </c>
      <c r="F58" s="2" t="inlineStr">
        <is>
          <t>V. Dhanapal Chettiar v. Yesodai Ammal</t>
        </is>
      </c>
      <c r="G58" s="11" t="inlineStr">
        <is>
          <t>L1-0237</t>
        </is>
      </c>
      <c r="H58" s="11" t="inlineStr">
        <is>
          <t>overruled</t>
        </is>
      </c>
      <c r="I58" s="2" t="inlineStr">
        <is>
          <t>Tara Chand and Another v. Ram Prasad</t>
        </is>
      </c>
      <c r="J58" s="2" t="inlineStr">
        <is>
          <t>Shri Rattan Lal v. Shri Vardesh Chander and Others (1976) was overruled by V. Dhanapal Chettiar v. Yesodai Ammal (1979). Note: V. Dhanapal Chettiar v. Yesodai Ammal was itself later overruled by Tara Chand and Another v. Ram Prasad (1990); the current position should be checked.</t>
        </is>
      </c>
    </row>
    <row r="59">
      <c r="A59" s="11" t="inlineStr">
        <is>
          <t>L1-0594</t>
        </is>
      </c>
      <c r="B59" s="11" t="inlineStr">
        <is>
          <t>List 1 (to ~2015)</t>
        </is>
      </c>
      <c r="C59" s="11" t="inlineStr">
        <is>
          <t>verified</t>
        </is>
      </c>
      <c r="D59" s="2" t="inlineStr">
        <is>
          <t>Commissioner of Income Tax, West Bengal-1, Calcutta v. Simon Carves Limited</t>
        </is>
      </c>
      <c r="E59" s="11" t="inlineStr">
        <is>
          <t>disputed_listing</t>
        </is>
      </c>
      <c r="F59" s="2" t="inlineStr">
        <is>
          <t>The Commissioner of Income Tax, Lucknow v. Sh. Madho Pd. Jatia</t>
        </is>
      </c>
      <c r="G59" s="11" t="inlineStr">
        <is>
          <t>L1-0474</t>
        </is>
      </c>
      <c r="H59" s="11" t="inlineStr">
        <is>
          <t>disputed_listing</t>
        </is>
      </c>
      <c r="I59" s="2" t="inlineStr">
        <is>
          <t>Commissioner of Income Tax, West Bengal-1, Calcutta v. Simon Carves Limited</t>
        </is>
      </c>
      <c r="J59" s="2" t="inlineStr">
        <is>
          <t>Commissioner of Income Tax, West Bengal-1, Calcutta v. Simon Carves Limited (1976) is listed in our reference list as overruled by The Commissioner of Income Tax, Lucknow v. Sh. Madho Pd. Jatia (1977), but the list is inconsistent on this entry. Note: The Commissioner of Income Tax, Lucknow v. Sh. Madho Pd. Jatia was itself later listed in our reference list as overruled by Commissioner of Income Tax, West Bengal-1, Calcutta v. Simon Carves Limited (1976), but the list is inconsistent on this entry; the current position should be checked.</t>
        </is>
      </c>
    </row>
    <row r="60">
      <c r="A60" s="11" t="inlineStr">
        <is>
          <t>L1-0595</t>
        </is>
      </c>
      <c r="B60" s="11" t="inlineStr">
        <is>
          <t>List 1 (to ~2015)</t>
        </is>
      </c>
      <c r="C60" s="11" t="inlineStr">
        <is>
          <t>verified</t>
        </is>
      </c>
      <c r="D60" s="2" t="inlineStr">
        <is>
          <t>Mangilal v. Suganchand Rathi</t>
        </is>
      </c>
      <c r="E60" s="11" t="inlineStr">
        <is>
          <t>overruled</t>
        </is>
      </c>
      <c r="F60" s="2" t="inlineStr">
        <is>
          <t>V. Dhanapal Chettiar v. Yesodai Ammal</t>
        </is>
      </c>
      <c r="G60" s="11" t="inlineStr">
        <is>
          <t>L1-0237</t>
        </is>
      </c>
      <c r="H60" s="11" t="inlineStr">
        <is>
          <t>overruled</t>
        </is>
      </c>
      <c r="I60" s="2" t="inlineStr">
        <is>
          <t>Tara Chand and Another v. Ram Prasad</t>
        </is>
      </c>
      <c r="J60" s="2" t="inlineStr">
        <is>
          <t>Mangilal v. Suganchand Rathi (1965) was overruled by V. Dhanapal Chettiar v. Yesodai Ammal (1979). Note: V. Dhanapal Chettiar v. Yesodai Ammal was itself later overruled by Tara Chand and Another v. Ram Prasad (1990); the current position should be checked.</t>
        </is>
      </c>
    </row>
    <row r="61">
      <c r="A61" s="11" t="inlineStr">
        <is>
          <t>L1-0598</t>
        </is>
      </c>
      <c r="B61" s="11" t="inlineStr">
        <is>
          <t>List 1 (to ~2015)</t>
        </is>
      </c>
      <c r="C61" s="11" t="inlineStr">
        <is>
          <t>verified</t>
        </is>
      </c>
      <c r="D61" s="2" t="inlineStr">
        <is>
          <t>H.R.S. Murthy v. Collector of Chittoor and Another</t>
        </is>
      </c>
      <c r="E61" s="11" t="inlineStr">
        <is>
          <t>overruled</t>
        </is>
      </c>
      <c r="F61" s="2" t="inlineStr">
        <is>
          <t>India Cement Ltd. and Others v. State Of Tamil Nadu and Others</t>
        </is>
      </c>
      <c r="G61" s="11" t="inlineStr">
        <is>
          <t>L2-050</t>
        </is>
      </c>
      <c r="H61" s="11" t="inlineStr">
        <is>
          <t>overruled_in_part</t>
        </is>
      </c>
      <c r="I61" s="2" t="inlineStr">
        <is>
          <t>Mineral Area Development Authority v. Steel Authority of India</t>
        </is>
      </c>
      <c r="J61" s="2" t="inlineStr">
        <is>
          <t>H.R.S. Murthy v. Collector of Chittoor and Another (1965) was overruled by India Cement Ltd. and Others v. State Of Tamil Nadu and Others (1990). Note: India Cement Ltd. and Others v. State Of Tamil Nadu and Others was itself later overruled in part by Mineral Area Development Authority v. Steel Authority of India (2024) (to the extent of the observations made in the present case; India Cement had held royalty to be a tax); the current position should be checked.</t>
        </is>
      </c>
    </row>
    <row r="62">
      <c r="A62" s="11" t="inlineStr">
        <is>
          <t>L1-0604</t>
        </is>
      </c>
      <c r="B62" s="11" t="inlineStr">
        <is>
          <t>List 1 (to ~2015)</t>
        </is>
      </c>
      <c r="C62" s="11" t="inlineStr">
        <is>
          <t>verified</t>
        </is>
      </c>
      <c r="D62" s="2" t="inlineStr">
        <is>
          <t>Manujendra Dutt v. Purendu Prosad Roy Chowdhury and Others</t>
        </is>
      </c>
      <c r="E62" s="11" t="inlineStr">
        <is>
          <t>overruled</t>
        </is>
      </c>
      <c r="F62" s="2" t="inlineStr">
        <is>
          <t>V. Dhanapal Chettiar v. Yesodai Ammal</t>
        </is>
      </c>
      <c r="G62" s="11" t="inlineStr">
        <is>
          <t>L1-0237</t>
        </is>
      </c>
      <c r="H62" s="11" t="inlineStr">
        <is>
          <t>overruled</t>
        </is>
      </c>
      <c r="I62" s="2" t="inlineStr">
        <is>
          <t>Tara Chand and Another v. Ram Prasad</t>
        </is>
      </c>
      <c r="J62" s="2" t="inlineStr">
        <is>
          <t>Manujendra Dutt v. Purendu Prosad Roy Chowdhury and Others (1967) was overruled by V. Dhanapal Chettiar v. Yesodai Ammal (1979). Note: V. Dhanapal Chettiar v. Yesodai Ammal was itself later overruled by Tara Chand and Another v. Ram Prasad (1990); the current position should be checked.</t>
        </is>
      </c>
    </row>
    <row r="63">
      <c r="A63" s="11" t="inlineStr">
        <is>
          <t>L1-0616</t>
        </is>
      </c>
      <c r="B63" s="11" t="inlineStr">
        <is>
          <t>List 1 (to ~2015)</t>
        </is>
      </c>
      <c r="C63" s="11" t="inlineStr">
        <is>
          <t>verified</t>
        </is>
      </c>
      <c r="D63" s="2" t="inlineStr">
        <is>
          <t>Punjab Tin Supply Co., Chandigarh and Others v. Central Government and Others</t>
        </is>
      </c>
      <c r="E63" s="11" t="inlineStr">
        <is>
          <t>overruled</t>
        </is>
      </c>
      <c r="F63" s="2" t="inlineStr">
        <is>
          <t>Kesho Ram and Co. and Others etc. v. Union of India (UOI) and Others</t>
        </is>
      </c>
      <c r="G63" s="11" t="inlineStr">
        <is>
          <t>L1-0631</t>
        </is>
      </c>
      <c r="H63" s="11" t="inlineStr">
        <is>
          <t>overruled</t>
        </is>
      </c>
      <c r="I63" s="2" t="inlineStr">
        <is>
          <t>Shri Kishan @ Krishan Kumar v. Manoj Kumar Etc. Etc.</t>
        </is>
      </c>
      <c r="J63" s="2" t="inlineStr">
        <is>
          <t>Punjab Tin Supply Co., Chandigarh and Others v. Central Government and Others (1984) was overruled by Kesho Ram and Co. and Others etc. v. Union of India (UOI) and Others (1989). Note: Kesho Ram and Co. and Others etc. v. Union of India (UOI) and Others was itself later overruled by Shri Kishan @ Krishan Kumar v. Manoj Kumar Etc. Etc. (1998); the current position should be checked.</t>
        </is>
      </c>
    </row>
    <row r="64">
      <c r="A64" s="11" t="inlineStr">
        <is>
          <t>L1-0641</t>
        </is>
      </c>
      <c r="B64" s="11" t="inlineStr">
        <is>
          <t>List 1 (to ~2015)</t>
        </is>
      </c>
      <c r="C64" s="11" t="inlineStr">
        <is>
          <t>verified</t>
        </is>
      </c>
      <c r="D64" s="2" t="inlineStr">
        <is>
          <t>Bhaiya Punjalal Bhagwanddin v. Dave Bhagwatprasad Prabhuprasad</t>
        </is>
      </c>
      <c r="E64" s="11" t="inlineStr">
        <is>
          <t>overruled</t>
        </is>
      </c>
      <c r="F64" s="2" t="inlineStr">
        <is>
          <t>V. Dhanapal Chettiar v. Yesodai Ammal</t>
        </is>
      </c>
      <c r="G64" s="11" t="inlineStr">
        <is>
          <t>L1-0237</t>
        </is>
      </c>
      <c r="H64" s="11" t="inlineStr">
        <is>
          <t>overruled</t>
        </is>
      </c>
      <c r="I64" s="2" t="inlineStr">
        <is>
          <t>Tara Chand and Another v. Ram Prasad</t>
        </is>
      </c>
      <c r="J64" s="2" t="inlineStr">
        <is>
          <t>Bhaiya Punjalal Bhagwanddin v. Dave Bhagwatprasad Prabhuprasad (1963) was overruled by V. Dhanapal Chettiar v. Yesodai Ammal (1979). Note: V. Dhanapal Chettiar v. Yesodai Ammal was itself later overruled by Tara Chand and Another v. Ram Prasad (1990); the current position should be checked.</t>
        </is>
      </c>
    </row>
    <row r="65">
      <c r="A65" s="11" t="inlineStr">
        <is>
          <t>L1-0645</t>
        </is>
      </c>
      <c r="B65" s="11" t="inlineStr">
        <is>
          <t>List 1 (to ~2015)</t>
        </is>
      </c>
      <c r="C65" s="11" t="inlineStr">
        <is>
          <t>verified</t>
        </is>
      </c>
      <c r="D65" s="2" t="inlineStr">
        <is>
          <t>Ganpat Roy and Others v. Additional District Magistrate and Others</t>
        </is>
      </c>
      <c r="E65" s="11" t="inlineStr">
        <is>
          <t>disputed_listing</t>
        </is>
      </c>
      <c r="F65" s="2" t="inlineStr">
        <is>
          <t>Tirlok Singh and Co. v. District Magistrate, Lucknow and Others</t>
        </is>
      </c>
      <c r="G65" s="11" t="inlineStr">
        <is>
          <t>L1-0446</t>
        </is>
      </c>
      <c r="H65" s="11" t="inlineStr">
        <is>
          <t>disputed_listing</t>
        </is>
      </c>
      <c r="I65" s="2" t="inlineStr">
        <is>
          <t>Ganpat Roy and Others v. Additional District Magistrate and Others</t>
        </is>
      </c>
      <c r="J65" s="2" t="inlineStr">
        <is>
          <t>Ganpat Roy and Others v. Additional District Magistrate and Others (1985) is listed in our reference list as overruled by Tirlok Singh and Co. v. District Magistrate, Lucknow and Others (1976), but the list is inconsistent on this entry. Note: Tirlok Singh and Co. v. District Magistrate, Lucknow and Others was itself later listed in our reference list as overruled by Ganpat Roy and Others v. Additional District Magistrate and Others (1985), but the list is inconsistent on this entry; the current position should be checked.</t>
        </is>
      </c>
    </row>
    <row r="66">
      <c r="A66" s="11" t="inlineStr">
        <is>
          <t>L1-0649</t>
        </is>
      </c>
      <c r="B66" s="11" t="inlineStr">
        <is>
          <t>List 1 (to ~2015)</t>
        </is>
      </c>
      <c r="C66" s="11" t="inlineStr">
        <is>
          <t>verified</t>
        </is>
      </c>
      <c r="D66" s="2" t="inlineStr">
        <is>
          <t>Isha Valimohamed and Another v. Haji Gulam Mohamad and Haji Dada Trust</t>
        </is>
      </c>
      <c r="E66" s="11" t="inlineStr">
        <is>
          <t>overruled</t>
        </is>
      </c>
      <c r="F66" s="2" t="inlineStr">
        <is>
          <t>V. Dhanapal Chettiar v. Yesodai Ammal</t>
        </is>
      </c>
      <c r="G66" s="11" t="inlineStr">
        <is>
          <t>L1-0237</t>
        </is>
      </c>
      <c r="H66" s="11" t="inlineStr">
        <is>
          <t>overruled</t>
        </is>
      </c>
      <c r="I66" s="2" t="inlineStr">
        <is>
          <t>Tara Chand and Another v. Ram Prasad</t>
        </is>
      </c>
      <c r="J66" s="2" t="inlineStr">
        <is>
          <t>Isha Valimohamed and Another v. Haji Gulam Mohamad and Haji Dada Trust (1974) was overruled by V. Dhanapal Chettiar v. Yesodai Ammal (1979). Note: V. Dhanapal Chettiar v. Yesodai Ammal was itself later overruled by Tara Chand and Another v. Ram Prasad (1990); the current position should be checked.</t>
        </is>
      </c>
    </row>
    <row r="67">
      <c r="A67" s="11" t="inlineStr">
        <is>
          <t>L1-0650</t>
        </is>
      </c>
      <c r="B67" s="11" t="inlineStr">
        <is>
          <t>List 1 (to ~2015)</t>
        </is>
      </c>
      <c r="C67" s="11" t="inlineStr">
        <is>
          <t>verified</t>
        </is>
      </c>
      <c r="D67" s="2" t="inlineStr">
        <is>
          <t>P.J. Gupta and Co. v. K. Venkatesan Merchant and Others</t>
        </is>
      </c>
      <c r="E67" s="11" t="inlineStr">
        <is>
          <t>overruled</t>
        </is>
      </c>
      <c r="F67" s="2" t="inlineStr">
        <is>
          <t>V. Dhanapal Chettiar v. Yesodai Ammal</t>
        </is>
      </c>
      <c r="G67" s="11" t="inlineStr">
        <is>
          <t>L1-0237</t>
        </is>
      </c>
      <c r="H67" s="11" t="inlineStr">
        <is>
          <t>overruled</t>
        </is>
      </c>
      <c r="I67" s="2" t="inlineStr">
        <is>
          <t>Tara Chand and Another v. Ram Prasad</t>
        </is>
      </c>
      <c r="J67" s="2" t="inlineStr">
        <is>
          <t>P.J. Gupta and Co. v. K. Venkatesan Merchant and Others (1974) was overruled by V. Dhanapal Chettiar v. Yesodai Ammal (1979). Note: V. Dhanapal Chettiar v. Yesodai Ammal was itself later overruled by Tara Chand and Another v. Ram Prasad (1990); the current position should be checked.</t>
        </is>
      </c>
    </row>
    <row r="68">
      <c r="A68" s="11" t="inlineStr">
        <is>
          <t>L1-0651</t>
        </is>
      </c>
      <c r="B68" s="11" t="inlineStr">
        <is>
          <t>List 1 (to ~2015)</t>
        </is>
      </c>
      <c r="C68" s="11" t="inlineStr">
        <is>
          <t>verified</t>
        </is>
      </c>
      <c r="D68" s="2" t="inlineStr">
        <is>
          <t>Dattonpant Gopalvarao Devakate v. Vithalrao Maruthirao Janagaval</t>
        </is>
      </c>
      <c r="E68" s="11" t="inlineStr">
        <is>
          <t>overruled</t>
        </is>
      </c>
      <c r="F68" s="2" t="inlineStr">
        <is>
          <t>V. Dhanapal Chettiar v. Yesodai Ammal</t>
        </is>
      </c>
      <c r="G68" s="11" t="inlineStr">
        <is>
          <t>L1-0237</t>
        </is>
      </c>
      <c r="H68" s="11" t="inlineStr">
        <is>
          <t>overruled</t>
        </is>
      </c>
      <c r="I68" s="2" t="inlineStr">
        <is>
          <t>Tara Chand and Another v. Ram Prasad</t>
        </is>
      </c>
      <c r="J68" s="2" t="inlineStr">
        <is>
          <t>Dattonpant Gopalvarao Devakate v. Vithalrao Maruthirao Janagaval (1975) was overruled by V. Dhanapal Chettiar v. Yesodai Ammal (1979). Note: V. Dhanapal Chettiar v. Yesodai Ammal was itself later overruled by Tara Chand and Another v. Ram Prasad (1990); the current position should be checked.</t>
        </is>
      </c>
    </row>
    <row r="69">
      <c r="A69" s="11" t="inlineStr">
        <is>
          <t>L1-0702</t>
        </is>
      </c>
      <c r="B69" s="11" t="inlineStr">
        <is>
          <t>List 1 (to ~2015)</t>
        </is>
      </c>
      <c r="C69" s="11" t="inlineStr">
        <is>
          <t>verified</t>
        </is>
      </c>
      <c r="D69" s="2" t="inlineStr">
        <is>
          <t>Bilal Ahmed Kaloo v. State of Andhra Pradesh</t>
        </is>
      </c>
      <c r="E69" s="11" t="inlineStr">
        <is>
          <t>overruled</t>
        </is>
      </c>
      <c r="F69" s="2" t="inlineStr">
        <is>
          <t>State through Superintendent of Police, CBI/SIT v. Nalini and Others</t>
        </is>
      </c>
      <c r="G69" s="11" t="inlineStr">
        <is>
          <t>L1-0706</t>
        </is>
      </c>
      <c r="H69" s="11" t="inlineStr">
        <is>
          <t>overruled</t>
        </is>
      </c>
      <c r="I69" s="2" t="inlineStr">
        <is>
          <t>Bilal Ahmed Kaloo v. State of Andhra Pradesh</t>
        </is>
      </c>
      <c r="J69" s="2" t="inlineStr">
        <is>
          <t>Bilal Ahmed Kaloo v. State of Andhra Pradesh (1997) was overruled by State through Superintendent of Police, CBI/SIT v. Nalini and Others (1999). Note: State through Superintendent of Police, CBI/SIT v. Nalini and Others was itself later overruled by Bilal Ahmed Kaloo v. State of Andhra Pradesh (1997); the current position should be checked.</t>
        </is>
      </c>
    </row>
    <row r="70">
      <c r="A70" s="11" t="inlineStr">
        <is>
          <t>L1-0706</t>
        </is>
      </c>
      <c r="B70" s="11" t="inlineStr">
        <is>
          <t>List 1 (to ~2015)</t>
        </is>
      </c>
      <c r="C70" s="11" t="inlineStr">
        <is>
          <t>verified</t>
        </is>
      </c>
      <c r="D70" s="2" t="inlineStr">
        <is>
          <t>State through Superintendent of Police, CBI/SIT v. Nalini and Others</t>
        </is>
      </c>
      <c r="E70" s="11" t="inlineStr">
        <is>
          <t>overruled</t>
        </is>
      </c>
      <c r="F70" s="2" t="inlineStr">
        <is>
          <t>Bilal Ahmed Kaloo v. State of Andhra Pradesh</t>
        </is>
      </c>
      <c r="G70" s="11" t="inlineStr">
        <is>
          <t>L1-0702</t>
        </is>
      </c>
      <c r="H70" s="11" t="inlineStr">
        <is>
          <t>overruled</t>
        </is>
      </c>
      <c r="I70" s="2" t="inlineStr">
        <is>
          <t>State through Superintendent of Police, CBI/SIT v. Nalini and Others</t>
        </is>
      </c>
      <c r="J70" s="2" t="inlineStr">
        <is>
          <t>State through Superintendent of Police, CBI/SIT v. Nalini and Others (1999) was overruled by Bilal Ahmed Kaloo v. State of Andhra Pradesh (1997). Note: Bilal Ahmed Kaloo v. State of Andhra Pradesh was itself later overruled by State through Superintendent of Police, CBI/SIT v. Nalini and Others (1999); the current position should be checked.</t>
        </is>
      </c>
    </row>
    <row r="71">
      <c r="A71" s="11" t="inlineStr">
        <is>
          <t>L1-0707</t>
        </is>
      </c>
      <c r="B71" s="11" t="inlineStr">
        <is>
          <t>List 1 (to ~2015)</t>
        </is>
      </c>
      <c r="C71" s="11" t="inlineStr">
        <is>
          <t>verified</t>
        </is>
      </c>
      <c r="D71" s="2" t="inlineStr">
        <is>
          <t>Shanmugam @ Kulandaivelu v. State of Tamil Nadu</t>
        </is>
      </c>
      <c r="E71" s="11" t="inlineStr">
        <is>
          <t>overruled</t>
        </is>
      </c>
      <c r="F71" s="2" t="inlineStr">
        <is>
          <t>Paparambaka Rosamma and Others v. State of Andhra Pradesh</t>
        </is>
      </c>
      <c r="G71" s="11" t="inlineStr">
        <is>
          <t>L1-0292</t>
        </is>
      </c>
      <c r="H71" s="11" t="inlineStr">
        <is>
          <t>overruled</t>
        </is>
      </c>
      <c r="I71" s="2" t="inlineStr">
        <is>
          <t>Shanmugam @ Kulandaivelu v. State of Tamil Nadu</t>
        </is>
      </c>
      <c r="J71" s="2" t="inlineStr">
        <is>
          <t>Shanmugam @ Kulandaivelu v. State of Tamil Nadu (2003) was overruled by Paparambaka Rosamma and Others v. State of Andhra Pradesh (1999). Note: Paparambaka Rosamma and Others v. State of Andhra Pradesh was itself later overruled by Shanmugam @ Kulandaivelu v. State of Tamil Nadu (2003); the current position should be checked.</t>
        </is>
      </c>
    </row>
    <row r="72">
      <c r="A72" s="11" t="inlineStr">
        <is>
          <t>L1-0713</t>
        </is>
      </c>
      <c r="B72" s="11" t="inlineStr">
        <is>
          <t>List 1 (to ~2015)</t>
        </is>
      </c>
      <c r="C72" s="11" t="inlineStr">
        <is>
          <t>verified</t>
        </is>
      </c>
      <c r="D72" s="2" t="inlineStr">
        <is>
          <t>Ashok Kumar Gupta and Another v. State of U.P. and Others</t>
        </is>
      </c>
      <c r="E72" s="11" t="inlineStr">
        <is>
          <t>overruled</t>
        </is>
      </c>
      <c r="F72" s="2" t="inlineStr">
        <is>
          <t>Ajit Singh and Others v. The State of Punjab and Others</t>
        </is>
      </c>
      <c r="G72" s="11" t="inlineStr">
        <is>
          <t>L1-0312</t>
        </is>
      </c>
      <c r="H72" s="11" t="inlineStr">
        <is>
          <t>overruled</t>
        </is>
      </c>
      <c r="I72" s="2" t="inlineStr">
        <is>
          <t>Shiv Nath Prasad v. Saran Pal Jeet Singh Tulsi and Others</t>
        </is>
      </c>
      <c r="J72" s="2" t="inlineStr">
        <is>
          <t>Ashok Kumar Gupta and Another v. State of U.P. and Others (1997) was overruled by Ajit Singh and Others v. The State of Punjab and Others (1999). Note: Ajit Singh and Others v. The State of Punjab and Others was itself later overruled by Shiv Nath Prasad v. Saran Pal Jeet Singh Tulsi and Others (2008); the current position should be checked.</t>
        </is>
      </c>
    </row>
    <row r="73">
      <c r="A73" s="11" t="inlineStr">
        <is>
          <t>L1-0731</t>
        </is>
      </c>
      <c r="B73" s="11" t="inlineStr">
        <is>
          <t>List 1 (to ~2015)</t>
        </is>
      </c>
      <c r="C73" s="11" t="inlineStr">
        <is>
          <t>verified</t>
        </is>
      </c>
      <c r="D73" s="2" t="inlineStr">
        <is>
          <t>Dunlop India Limited v. Union of India (UOI)</t>
        </is>
      </c>
      <c r="E73" s="11" t="inlineStr">
        <is>
          <t>overruled</t>
        </is>
      </c>
      <c r="F73" s="2" t="inlineStr">
        <is>
          <t>Goodyear India Ltd. v. Union of India and others</t>
        </is>
      </c>
      <c r="G73" s="11" t="inlineStr">
        <is>
          <t>L1-0323</t>
        </is>
      </c>
      <c r="H73" s="11" t="inlineStr">
        <is>
          <t>overruled</t>
        </is>
      </c>
      <c r="I73" s="2" t="inlineStr">
        <is>
          <t>Dunlop India Ltd. v. Collector of Central Excise, Calcutta</t>
        </is>
      </c>
      <c r="J73" s="2" t="inlineStr">
        <is>
          <t>Dunlop India Limited v. Union of India (UOI) (1994) was overruled by Goodyear India Ltd. v. Union of India and others (1997). Note: Goodyear India Ltd. v. Union of India and others was itself later overruled by Dunlop India Ltd. v. Collector of Central Excise, Calcutta (1997); the current position should be checked.</t>
        </is>
      </c>
    </row>
    <row r="74">
      <c r="A74" s="11" t="inlineStr">
        <is>
          <t>L1-0918</t>
        </is>
      </c>
      <c r="B74" s="11" t="inlineStr">
        <is>
          <t>List 1 (to ~2015)</t>
        </is>
      </c>
      <c r="C74" s="11" t="inlineStr">
        <is>
          <t>verified</t>
        </is>
      </c>
      <c r="D74" s="2" t="inlineStr">
        <is>
          <t>Nanoo Sheikh Ahmed v. Emperor</t>
        </is>
      </c>
      <c r="E74" s="11" t="inlineStr">
        <is>
          <t>overruled</t>
        </is>
      </c>
      <c r="F74" s="2" t="inlineStr">
        <is>
          <t>Raj Kumar Karwal v. Union of India and others</t>
        </is>
      </c>
      <c r="G74" s="11" t="inlineStr">
        <is>
          <t>D2-KARWAL</t>
        </is>
      </c>
      <c r="H74" s="11" t="inlineStr">
        <is>
          <t>overruled</t>
        </is>
      </c>
      <c r="I74" s="2" t="inlineStr">
        <is>
          <t>Tofan Singh v. State of Tamil Nadu</t>
        </is>
      </c>
      <c r="J74" s="2" t="inlineStr">
        <is>
          <t>Nanoo Sheikh Ahmed v. Emperor (1927) was overruled by Raj Kumar Karwal v. Union of India and others (1991). Note: Raj Kumar Karwal v. Union of India and others was itself later overruled by Tofan Singh v. State of Tamil Nadu (2020); the current position should be checked.</t>
        </is>
      </c>
    </row>
    <row r="75">
      <c r="A75" s="11" t="inlineStr">
        <is>
          <t>L1-0949</t>
        </is>
      </c>
      <c r="B75" s="11" t="inlineStr">
        <is>
          <t>List 1 (to ~2015)</t>
        </is>
      </c>
      <c r="C75" s="11" t="inlineStr">
        <is>
          <t>verified</t>
        </is>
      </c>
      <c r="D75" s="2" t="inlineStr">
        <is>
          <t>United Labour Union and others v. Union of India and others</t>
        </is>
      </c>
      <c r="E75" s="11" t="inlineStr">
        <is>
          <t>overruled</t>
        </is>
      </c>
      <c r="F75" s="2" t="inlineStr">
        <is>
          <t>Dena Nath and others v. National Fertilisers Ltd. and others</t>
        </is>
      </c>
      <c r="G75" s="11" t="inlineStr">
        <is>
          <t>L1-0534</t>
        </is>
      </c>
      <c r="H75" s="11" t="inlineStr">
        <is>
          <t>overruled</t>
        </is>
      </c>
      <c r="I75" s="2" t="inlineStr">
        <is>
          <t>Steel Authority of India Ltd. and Others etc. etc. v. National Union Water Front Workers and Others etc.</t>
        </is>
      </c>
      <c r="J75" s="2" t="inlineStr">
        <is>
          <t>United Labour Union and others v. Union of India and others (1989) was overruled by Dena Nath and others v. National Fertilisers Ltd. and others (1992). Note: Dena Nath and others v. National Fertilisers Ltd. and others was itself later overruled by Steel Authority of India Ltd. and Others etc. etc. v. National Union Water Front Workers and Others etc. (2001); the current position should be checked.</t>
        </is>
      </c>
    </row>
    <row r="76">
      <c r="A76" s="11" t="inlineStr">
        <is>
          <t>L1-1248</t>
        </is>
      </c>
      <c r="B76" s="11" t="inlineStr">
        <is>
          <t>List 1 (to ~2015)</t>
        </is>
      </c>
      <c r="C76" s="11" t="inlineStr">
        <is>
          <t>verified</t>
        </is>
      </c>
      <c r="D76" s="2" t="inlineStr">
        <is>
          <t>Bapuji Educational Association v. State</t>
        </is>
      </c>
      <c r="E76" s="11" t="inlineStr">
        <is>
          <t>overruled</t>
        </is>
      </c>
      <c r="F76" s="2" t="inlineStr">
        <is>
          <t>Unni Krishnan, J.P. and others v. State of Andhra Pradesh and others etc.</t>
        </is>
      </c>
      <c r="G76" s="11" t="inlineStr">
        <is>
          <t>L1-0380</t>
        </is>
      </c>
      <c r="H76" s="11" t="inlineStr">
        <is>
          <t>overruled</t>
        </is>
      </c>
      <c r="I76" s="2" t="inlineStr">
        <is>
          <t>T.M.A. Pai Foundation and Others v. State of Karnataka and Others</t>
        </is>
      </c>
      <c r="J76" s="2" t="inlineStr">
        <is>
          <t>Bapuji Educational Association v. State (1986) was overruled by Unni Krishnan, J.P. and others v. State of Andhra Pradesh and others etc. (1993). Note: Unni Krishnan, J.P. and others v. State of Andhra Pradesh and others etc. was itself later overruled by T.M.A. Pai Foundation and Others v. State of Karnataka and Others (2003); the current position should be checked.</t>
        </is>
      </c>
    </row>
    <row r="77">
      <c r="A77" s="11" t="inlineStr">
        <is>
          <t>L1-1329</t>
        </is>
      </c>
      <c r="B77" s="11" t="inlineStr">
        <is>
          <t>List 1 (to ~2015)</t>
        </is>
      </c>
      <c r="C77" s="11" t="inlineStr">
        <is>
          <t>verified</t>
        </is>
      </c>
      <c r="D77" s="2" t="inlineStr">
        <is>
          <t>Additional Commissioner of Income Tax, Gujarat v. Cloth Traders (P.) Ltd.</t>
        </is>
      </c>
      <c r="E77" s="11" t="inlineStr">
        <is>
          <t>reversed_on_appeal</t>
        </is>
      </c>
      <c r="F77" s="2" t="inlineStr">
        <is>
          <t>Cloth Traders (P) Ltd. v. Additional Commissioner of Income Tax , Gujarat- I</t>
        </is>
      </c>
      <c r="G77" s="11" t="inlineStr">
        <is>
          <t>L1-0383</t>
        </is>
      </c>
      <c r="H77" s="11" t="inlineStr">
        <is>
          <t>overruled</t>
        </is>
      </c>
      <c r="I77" s="2" t="inlineStr">
        <is>
          <t>Commissioner of Income Tax, Delhi v. Swaran Singh Kanwar</t>
        </is>
      </c>
      <c r="J77" s="2" t="inlineStr">
        <is>
          <t>Additional Commissioner of Income Tax, Gujarat v. Cloth Traders (P.) Ltd. (1974) was reversed on appeal by the Supreme Court in Cloth Traders (P) Ltd. v. Additional Commissioner of Income Tax , Gujarat- I (1979). Note: Cloth Traders (P) Ltd. v. Additional Commissioner of Income Tax , Gujarat- I was itself later overruled by Commissioner of Income Tax, Delhi v. Swaran Singh Kanwar (1999); the current position should be checked.</t>
        </is>
      </c>
    </row>
    <row r="78">
      <c r="A78" s="11" t="inlineStr">
        <is>
          <t>L1-1337</t>
        </is>
      </c>
      <c r="B78" s="11" t="inlineStr">
        <is>
          <t>List 1 (to ~2015)</t>
        </is>
      </c>
      <c r="C78" s="11" t="inlineStr">
        <is>
          <t>verified</t>
        </is>
      </c>
      <c r="D78" s="2" t="inlineStr">
        <is>
          <t>Thakorbhai Dajibhiki Desai v. The State of Gujarat</t>
        </is>
      </c>
      <c r="E78" s="11" t="inlineStr">
        <is>
          <t>overruled</t>
        </is>
      </c>
      <c r="F78" s="2" t="inlineStr">
        <is>
          <t>S. Vasudeva v. State of Karnataka and others</t>
        </is>
      </c>
      <c r="G78" s="11" t="inlineStr">
        <is>
          <t>L1-0417</t>
        </is>
      </c>
      <c r="H78" s="11" t="inlineStr">
        <is>
          <t>overruled</t>
        </is>
      </c>
      <c r="I78" s="2" t="inlineStr">
        <is>
          <t>T.R. Thandur v. Union of India (UOI) and Others</t>
        </is>
      </c>
      <c r="J78" s="2" t="inlineStr">
        <is>
          <t>Thakorbhai Dajibhiki Desai v. The State of Gujarat (1980) was overruled by S. Vasudeva v. State of Karnataka and others (1994). Note: S. Vasudeva v. State of Karnataka and others was itself later overruled by T.R. Thandur v. Union of India (UOI) and Others (1996); the current position should be checked.</t>
        </is>
      </c>
    </row>
    <row r="79">
      <c r="A79" s="11" t="inlineStr">
        <is>
          <t>L1-1365</t>
        </is>
      </c>
      <c r="B79" s="11" t="inlineStr">
        <is>
          <t>List 1 (to ~2015)</t>
        </is>
      </c>
      <c r="C79" s="11" t="inlineStr">
        <is>
          <t>verified</t>
        </is>
      </c>
      <c r="D79" s="2" t="inlineStr">
        <is>
          <t>Kalidas Vanmalibhai v. State of Gujarat and Another</t>
        </is>
      </c>
      <c r="E79" s="11" t="inlineStr">
        <is>
          <t>overruled</t>
        </is>
      </c>
      <c r="F79" s="2" t="inlineStr">
        <is>
          <t>Kartar Singh and Others v. State of Haryana</t>
        </is>
      </c>
      <c r="G79" s="11" t="inlineStr">
        <is>
          <t>L1-0535</t>
        </is>
      </c>
      <c r="H79" s="11" t="inlineStr">
        <is>
          <t>disputed_listing</t>
        </is>
      </c>
      <c r="I79" s="2" t="inlineStr">
        <is>
          <t>Bhagirath v. Delhi Administration</t>
        </is>
      </c>
      <c r="J79" s="2" t="inlineStr">
        <is>
          <t>Kalidas Vanmalibhai v. State of Gujarat and Another (1980) was overruled by Kartar Singh and Others v. State of Haryana (1982). Note: Kartar Singh and Others v. State of Haryana was itself later listed in our reference list as overruled by Bhagirath v. Delhi Administration (1985), but the list is inconsistent on this entry; the current position should be checked.</t>
        </is>
      </c>
    </row>
    <row r="80">
      <c r="A80" s="11" t="inlineStr">
        <is>
          <t>L1-1405</t>
        </is>
      </c>
      <c r="B80" s="11" t="inlineStr">
        <is>
          <t>List 1 (to ~2015)</t>
        </is>
      </c>
      <c r="C80" s="11" t="inlineStr">
        <is>
          <t>verified</t>
        </is>
      </c>
      <c r="D80" s="2" t="inlineStr">
        <is>
          <t>Naz Foundation v. Government of NCT and Others</t>
        </is>
      </c>
      <c r="E80" s="11" t="inlineStr">
        <is>
          <t>overruled</t>
        </is>
      </c>
      <c r="F80" s="2" t="inlineStr">
        <is>
          <t>Suresh Kumar Koushal and Another v. NAZ Foundation and Others</t>
        </is>
      </c>
      <c r="G80" s="11" t="inlineStr">
        <is>
          <t>L2-009</t>
        </is>
      </c>
      <c r="H80" s="11" t="inlineStr">
        <is>
          <t>overruled</t>
        </is>
      </c>
      <c r="I80" s="2" t="inlineStr">
        <is>
          <t>Navtej Singh Johar v. Union of India</t>
        </is>
      </c>
      <c r="J80" s="2" t="inlineStr">
        <is>
          <t>Naz Foundation v. Government of NCT and Others (2009) was overruled by Suresh Kumar Koushal and Another v. NAZ Foundation and Others (2014). Note: Suresh Kumar Koushal and Another v. NAZ Foundation and Others was itself later overruled by Navtej Singh Johar v. Union of India (2018); the current position should be checked.</t>
        </is>
      </c>
    </row>
    <row r="81">
      <c r="A81" s="11" t="inlineStr">
        <is>
          <t>L1-1425</t>
        </is>
      </c>
      <c r="B81" s="11" t="inlineStr">
        <is>
          <t>List 1 (to ~2015)</t>
        </is>
      </c>
      <c r="C81" s="11" t="inlineStr">
        <is>
          <t>verified</t>
        </is>
      </c>
      <c r="D81" s="2" t="inlineStr">
        <is>
          <t>Mayur Syntex Ltd. (in Liquidation) and Atlantic Engineering Services Pvt. Ltd. v. Punjab and Sind Bank</t>
        </is>
      </c>
      <c r="E81" s="11" t="inlineStr">
        <is>
          <t>overruled</t>
        </is>
      </c>
      <c r="F81" s="2" t="inlineStr">
        <is>
          <t>Allahabad Bank v. Canara Bank and Another</t>
        </is>
      </c>
      <c r="G81" s="11" t="inlineStr">
        <is>
          <t>L1-0300</t>
        </is>
      </c>
      <c r="H81" s="11" t="inlineStr">
        <is>
          <t>overruled</t>
        </is>
      </c>
      <c r="I81" s="2" t="inlineStr">
        <is>
          <t>Andhra Bank v. Official Liquidator and Another</t>
        </is>
      </c>
      <c r="J81" s="2" t="inlineStr">
        <is>
          <t>Mayur Syntex Ltd. (in Liquidation) and Atlantic Engineering Services Pvt. Ltd. v. Punjab and Sind Bank (1997) was overruled by Allahabad Bank v. Canara Bank and Another (2000). Note: Allahabad Bank v. Canara Bank and Another was itself later overruled by Andhra Bank v. Official Liquidator and Another (2005); the current position should be checked.</t>
        </is>
      </c>
    </row>
    <row r="82">
      <c r="A82" s="11" t="inlineStr">
        <is>
          <t>L1-1429</t>
        </is>
      </c>
      <c r="B82" s="11" t="inlineStr">
        <is>
          <t>List 1 (to ~2015)</t>
        </is>
      </c>
      <c r="C82" s="11" t="inlineStr">
        <is>
          <t>verified</t>
        </is>
      </c>
      <c r="D82" s="2" t="inlineStr">
        <is>
          <t>Super Traders and another v. Union of India and others</t>
        </is>
      </c>
      <c r="E82" s="11" t="inlineStr">
        <is>
          <t>overruled</t>
        </is>
      </c>
      <c r="F82" s="2" t="inlineStr">
        <is>
          <t>M/s. Chheda Industries v. Collector of Customs, Madras</t>
        </is>
      </c>
      <c r="G82" s="11" t="inlineStr">
        <is>
          <t>L1-0229</t>
        </is>
      </c>
      <c r="H82" s="11" t="inlineStr">
        <is>
          <t>overruled</t>
        </is>
      </c>
      <c r="I82" s="2" t="inlineStr">
        <is>
          <t>Mafatlal Industries Ltd. and Others v. Union of India (UOI) and Others</t>
        </is>
      </c>
      <c r="J82" s="2" t="inlineStr">
        <is>
          <t>Super Traders and another v. Union of India and others (1983) was overruled by M/s. Chheda Industries v. Collector of Customs, Madras (1997). Note: M/s. Chheda Industries v. Collector of Customs, Madras was itself later overruled by Mafatlal Industries Ltd. and Others v. Union of India (UOI) and Others (1996); the current position should be checked.</t>
        </is>
      </c>
    </row>
    <row r="83">
      <c r="A83" s="11" t="inlineStr">
        <is>
          <t>L1-1576</t>
        </is>
      </c>
      <c r="B83" s="11" t="inlineStr">
        <is>
          <t>List 1 (to ~2015)</t>
        </is>
      </c>
      <c r="C83" s="11" t="inlineStr">
        <is>
          <t>verified</t>
        </is>
      </c>
      <c r="D83" s="2" t="inlineStr">
        <is>
          <t>Bihar State Electricity Board v. Khalsa Brothers</t>
        </is>
      </c>
      <c r="E83" s="11" t="inlineStr">
        <is>
          <t>overruled</t>
        </is>
      </c>
      <c r="F83" s="2" t="inlineStr">
        <is>
          <t>Superintending Engineer and Others v. B. Subba Reddy</t>
        </is>
      </c>
      <c r="G83" s="11" t="inlineStr">
        <is>
          <t>L1-0564</t>
        </is>
      </c>
      <c r="H83" s="11" t="inlineStr">
        <is>
          <t>overruled</t>
        </is>
      </c>
      <c r="I83" s="2" t="inlineStr">
        <is>
          <t>Municipal Corporation of Delhi and Others v. Intnl. Security and Intelligence Agency Ltd.</t>
        </is>
      </c>
      <c r="J83" s="2" t="inlineStr">
        <is>
          <t>Bihar State Electricity Board v. Khalsa Brothers (1988) was overruled by Superintending Engineer and Others v. B. Subba Reddy (1999). Note: Superintending Engineer and Others v. B. Subba Reddy was itself later overruled by Municipal Corporation of Delhi and Others v. Intnl. Security and Intelligence Agency Ltd. (2003); the current position should be checked.</t>
        </is>
      </c>
    </row>
    <row r="84">
      <c r="A84" s="11" t="inlineStr">
        <is>
          <t>L1-1624</t>
        </is>
      </c>
      <c r="B84" s="11" t="inlineStr">
        <is>
          <t>List 1 (to ~2015)</t>
        </is>
      </c>
      <c r="C84" s="11" t="inlineStr">
        <is>
          <t>verified</t>
        </is>
      </c>
      <c r="D84" s="2" t="inlineStr">
        <is>
          <t>Andhra Kesari Education Society v. Government of Andhra Pradesh and Others</t>
        </is>
      </c>
      <c r="E84" s="11" t="inlineStr">
        <is>
          <t>overruled</t>
        </is>
      </c>
      <c r="F84" s="2" t="inlineStr">
        <is>
          <t>Unni Krishnan, J.P. and others v. State of Andhra Pradesh and others etc.</t>
        </is>
      </c>
      <c r="G84" s="11" t="inlineStr">
        <is>
          <t>L1-0380</t>
        </is>
      </c>
      <c r="H84" s="11" t="inlineStr">
        <is>
          <t>overruled</t>
        </is>
      </c>
      <c r="I84" s="2" t="inlineStr">
        <is>
          <t>T.M.A. Pai Foundation and Others v. State of Karnataka and Others</t>
        </is>
      </c>
      <c r="J84" s="2" t="inlineStr">
        <is>
          <t>Andhra Kesari Education Society v. Government of Andhra Pradesh and Others (1984) was overruled by Unni Krishnan, J.P. and others v. State of Andhra Pradesh and others etc. (1993). Note: Unni Krishnan, J.P. and others v. State of Andhra Pradesh and others etc. was itself later overruled by T.M.A. Pai Foundation and Others v. State of Karnataka and Others (2003); the current position should be checked.</t>
        </is>
      </c>
    </row>
    <row r="85">
      <c r="A85" s="11" t="inlineStr">
        <is>
          <t>L1-1640</t>
        </is>
      </c>
      <c r="B85" s="11" t="inlineStr">
        <is>
          <t>List 1 (to ~2015)</t>
        </is>
      </c>
      <c r="C85" s="11" t="inlineStr">
        <is>
          <t>verified</t>
        </is>
      </c>
      <c r="D85" s="2" t="inlineStr">
        <is>
          <t>Addl. Income Tax Officer, Cuddappah, and Anr v. Cuddapah STAR TRANSPORT CO. LTD.</t>
        </is>
      </c>
      <c r="E85" s="11" t="inlineStr">
        <is>
          <t>overruled</t>
        </is>
      </c>
      <c r="F85" s="2" t="inlineStr">
        <is>
          <t>Dwarka Nath v. Income Tax Officer, Special Circle D-ward, Kanpur and Another</t>
        </is>
      </c>
      <c r="G85" s="11" t="inlineStr">
        <is>
          <t>L1-0576</t>
        </is>
      </c>
      <c r="H85" s="11" t="inlineStr">
        <is>
          <t>overruled</t>
        </is>
      </c>
      <c r="I85" s="2" t="inlineStr">
        <is>
          <t>Prabodh Verma and Others v. State of Uttar Pradesh and Others</t>
        </is>
      </c>
      <c r="J85" s="2" t="inlineStr">
        <is>
          <t>Addl. Income Tax Officer, Cuddappah, and Anr v. Cuddapah STAR TRANSPORT CO. LTD. (1960) was overruled by Dwarka Nath v. Income Tax Officer, Special Circle D-ward, Kanpur and Another (1966). Note: Dwarka Nath v. Income Tax Officer, Special Circle D-ward, Kanpur and Another was itself later overruled by Prabodh Verma and Others v. State of Uttar Pradesh and Others (1985); the current position should be checked.</t>
        </is>
      </c>
    </row>
    <row r="86">
      <c r="A86" s="11" t="inlineStr">
        <is>
          <t>L1-1679</t>
        </is>
      </c>
      <c r="B86" s="11" t="inlineStr">
        <is>
          <t>List 1 (to ~2015)</t>
        </is>
      </c>
      <c r="C86" s="11" t="inlineStr">
        <is>
          <t>verified</t>
        </is>
      </c>
      <c r="D86" s="2" t="inlineStr">
        <is>
          <t>Commissioner of Income Tax v. M.P. Jatia</t>
        </is>
      </c>
      <c r="E86" s="11" t="inlineStr">
        <is>
          <t>reversed_on_appeal</t>
        </is>
      </c>
      <c r="F86" s="2" t="inlineStr">
        <is>
          <t>The Commissioner of Income Tax, Lucknow v. Sh. Madho Pd. Jatia</t>
        </is>
      </c>
      <c r="G86" s="11" t="inlineStr">
        <is>
          <t>L1-0474</t>
        </is>
      </c>
      <c r="H86" s="11" t="inlineStr">
        <is>
          <t>disputed_listing</t>
        </is>
      </c>
      <c r="I86" s="2" t="inlineStr">
        <is>
          <t>Commissioner of Income Tax, West Bengal-1, Calcutta v. Simon Carves Limited</t>
        </is>
      </c>
      <c r="J86" s="2" t="inlineStr">
        <is>
          <t>Commissioner of Income Tax v. M.P. Jatia (1970) was reversed on appeal by the Supreme Court in The Commissioner of Income Tax, Lucknow v. Sh. Madho Pd. Jatia (1977). Note: The Commissioner of Income Tax, Lucknow v. Sh. Madho Pd. Jatia was itself later listed in our reference list as overruled by Commissioner of Income Tax, West Bengal-1, Calcutta v. Simon Carves Limited (1976), but the list is inconsistent on this entry; the current position should be checked.</t>
        </is>
      </c>
    </row>
    <row r="87">
      <c r="A87" s="11" t="inlineStr">
        <is>
          <t>L2-057</t>
        </is>
      </c>
      <c r="B87" s="11" t="inlineStr">
        <is>
          <t>List 2 (after 2015)</t>
        </is>
      </c>
      <c r="C87" s="11" t="inlineStr">
        <is>
          <t>candidate</t>
        </is>
      </c>
      <c r="D87" s="2" t="inlineStr">
        <is>
          <t>N.N. Global Mercantile Pvt. Ltd. v. Indo Unique Flame Ltd.</t>
        </is>
      </c>
      <c r="E87" s="11" t="inlineStr">
        <is>
          <t>overruled</t>
        </is>
      </c>
      <c r="F87" s="2" t="inlineStr">
        <is>
          <t>N.N. Global Mercantile Pvt. Ltd. v. Indo Unique Flame Ltd.</t>
        </is>
      </c>
      <c r="G87" s="11" t="inlineStr">
        <is>
          <t>D2-NNG2</t>
        </is>
      </c>
      <c r="H87" s="11" t="inlineStr">
        <is>
          <t>overruled</t>
        </is>
      </c>
      <c r="I87" s="2" t="inlineStr">
        <is>
          <t>In re: Interplay between Arbitration Agreements under the Arbitration and Conciliation Act 1996 and the Indian Stamp Act 1899</t>
        </is>
      </c>
      <c r="J87" s="2" t="inlineStr">
        <is>
          <t>N.N. Global Mercantile Pvt. Ltd. v. Indo Unique Flame Ltd. (2021) is reported as overruled by N.N. Global Mercantile Pvt. Ltd. v. Indo Unique Flame Ltd. (2023) (not yet confirmed by our reviewer). Note: N.N. Global Mercantile Pvt. Ltd. v. Indo Unique Flame Ltd. was itself later overruled by In re: Interplay between Arbitration Agreements under the Arbitration and Conciliation Act 1996 and the Indian Stamp Act 1899 (2023); the current position should be checked.</t>
        </is>
      </c>
    </row>
    <row r="88">
      <c r="A88" s="11" t="inlineStr">
        <is>
          <t>D2-KADER</t>
        </is>
      </c>
      <c r="B88" s="11" t="inlineStr">
        <is>
          <t>List 2 sibling</t>
        </is>
      </c>
      <c r="C88" s="11" t="inlineStr">
        <is>
          <t>candidate</t>
        </is>
      </c>
      <c r="D88" s="2" t="inlineStr">
        <is>
          <t>Kader v. State of Kerala</t>
        </is>
      </c>
      <c r="E88" s="11" t="inlineStr">
        <is>
          <t>overruled</t>
        </is>
      </c>
      <c r="F88" s="2" t="inlineStr">
        <is>
          <t>Mohanlal v. State of Punjab</t>
        </is>
      </c>
      <c r="G88" s="11" t="inlineStr">
        <is>
          <t>L2-034</t>
        </is>
      </c>
      <c r="H88" s="11" t="inlineStr">
        <is>
          <t>overruled</t>
        </is>
      </c>
      <c r="I88" s="2" t="inlineStr">
        <is>
          <t>Mukesh Singh v. State (Narcotic Branch of Delhi)</t>
        </is>
      </c>
      <c r="J88" s="2" t="inlineStr">
        <is>
          <t>Kader v. State of Kerala (2001) is reported as overruled by Mohanlal v. State of Punjab (2018) (not yet confirmed by our reviewer). Note: Mohanlal v. State of Punjab was itself later overruled by Mukesh Singh v. State (Narcotic Branch of Delhi) (2020); the current position should be checked.</t>
        </is>
      </c>
    </row>
  </sheetData>
  <autoFilter ref="A3:J88"/>
  <mergeCells count="1">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50" customWidth="1" min="3" max="3"/>
    <col width="16" customWidth="1" min="4" max="4"/>
    <col width="50" customWidth="1" min="5" max="5"/>
    <col width="34" customWidth="1" min="6" max="6"/>
    <col width="50" customWidth="1" min="7" max="7"/>
  </cols>
  <sheetData>
    <row r="1" ht="44" customHeight="1">
      <c r="A1" s="9" t="inlineStr">
        <is>
          <t>List 1 rows the list itself contradicts (each case listed as overruled by the other, no overruling decision named, or the overruling decision dated before the overruled one), including the 13 recorded as disputed_listing.</t>
        </is>
      </c>
    </row>
    <row r="3">
      <c r="A3" s="10" t="inlineStr">
        <is>
          <t>Row</t>
        </is>
      </c>
      <c r="B3" s="10" t="inlineStr">
        <is>
          <t>Treatment</t>
        </is>
      </c>
      <c r="C3" s="10" t="inlineStr">
        <is>
          <t>Overruled case</t>
        </is>
      </c>
      <c r="D3" s="10" t="inlineStr">
        <is>
          <t>Citations</t>
        </is>
      </c>
      <c r="E3" s="10" t="inlineStr">
        <is>
          <t>Overruling case</t>
        </is>
      </c>
      <c r="F3" s="10" t="inlineStr">
        <is>
          <t>Flags</t>
        </is>
      </c>
      <c r="G3" s="10" t="inlineStr">
        <is>
          <t>Note</t>
        </is>
      </c>
    </row>
    <row r="4">
      <c r="A4" s="11" t="inlineStr">
        <is>
          <t>L1-0075</t>
        </is>
      </c>
      <c r="B4" s="11" t="inlineStr">
        <is>
          <t>disputed_listing</t>
        </is>
      </c>
      <c r="C4" s="2" t="inlineStr">
        <is>
          <t>G.P. Ceramics Pvt. Ltd. v. Commissioner, Trade Tax, U.P.</t>
        </is>
      </c>
      <c r="D4" s="11" t="inlineStr">
        <is>
          <t>(2009) 1 JT 224; (2008) 15 SCALE 538; (2009) 2 SCC 90; (2008) 1 UJ 54; (2009) 19 VST 284</t>
        </is>
      </c>
      <c r="E4" s="2" t="inlineStr"/>
      <c r="F4" s="11" t="inlineStr">
        <is>
          <t>list_no_overruling_decision</t>
        </is>
      </c>
      <c r="G4" s="2" t="n"/>
    </row>
    <row r="5">
      <c r="A5" s="11" t="inlineStr">
        <is>
          <t>L1-0242</t>
        </is>
      </c>
      <c r="B5" s="11" t="inlineStr">
        <is>
          <t>disputed_listing</t>
        </is>
      </c>
      <c r="C5" s="2" t="inlineStr">
        <is>
          <t>The Commissioner of Income Tax, Gujarat II, Ahmedabad v. Shri R.M. Amin, L.R. of The Late Shri. Chunnibhai J. Amin, Baroda</t>
        </is>
      </c>
      <c r="D5" s="11" t="inlineStr">
        <is>
          <t>AIR 1977 SC 999; (1977) 106 ITR 368; (1977) 1 SCC 691; (1977) 2 SCR 220; (1977) 9 UJ 31</t>
        </is>
      </c>
      <c r="E5" s="2" t="inlineStr">
        <is>
          <t>The Burma Oil Co. (I) Trading Ltd., Calcutta v. The Commissioner of Wealth Tax (Central), Calcutta</t>
        </is>
      </c>
      <c r="F5" s="11" t="inlineStr">
        <is>
          <t>list_mutual_pair</t>
        </is>
      </c>
      <c r="G5" s="2" t="n"/>
    </row>
    <row r="6">
      <c r="A6" s="11" t="inlineStr">
        <is>
          <t>L1-0247</t>
        </is>
      </c>
      <c r="B6" s="11" t="inlineStr">
        <is>
          <t>disputed_listing</t>
        </is>
      </c>
      <c r="C6" s="2" t="inlineStr">
        <is>
          <t>Director of Rationing and Distribution v. The Corporation of Calcutta and Others</t>
        </is>
      </c>
      <c r="D6" s="11" t="inlineStr">
        <is>
          <t>AIR 1960 SC 1355; (1960) CriLJ 1684; (1961) 1 SCR 158</t>
        </is>
      </c>
      <c r="E6" s="2" t="inlineStr">
        <is>
          <t>Superintendent and Legal Remembrancer, State of West Bengal v. Corporation of Calcutta</t>
        </is>
      </c>
      <c r="F6" s="11" t="inlineStr">
        <is>
          <t>list_mutual_pair</t>
        </is>
      </c>
      <c r="G6" s="2" t="n"/>
    </row>
    <row r="7">
      <c r="A7" s="11" t="inlineStr">
        <is>
          <t>L1-0258</t>
        </is>
      </c>
      <c r="B7" s="11" t="inlineStr">
        <is>
          <t>disputed_listing</t>
        </is>
      </c>
      <c r="C7" s="2" t="inlineStr">
        <is>
          <t>Mediwell Hospital and Health Care Pvt. Ltd. v. Union of India and others</t>
        </is>
      </c>
      <c r="D7" s="11" t="inlineStr">
        <is>
          <t>AIR 1997 SC 1623; (1997) 57 ECC 197; (1997) 68 ECR 750; (1997) 89 ELT 425; (1997) 1 JT 270; (1996) 9 SCALE 368; (1997) 1 SCC 759; (1996) 10 SCR 228 Supp; (1997) 1 UJ 323; (1997) AIRSCW 424</t>
        </is>
      </c>
      <c r="E7" s="2" t="inlineStr">
        <is>
          <t>M/s. Faridabad Ct. Scan center v. D.G. Health Services and others</t>
        </is>
      </c>
      <c r="F7" s="11" t="inlineStr">
        <is>
          <t>list_mutual_pair</t>
        </is>
      </c>
      <c r="G7" s="2" t="n"/>
    </row>
    <row r="8">
      <c r="A8" s="11" t="inlineStr">
        <is>
          <t>L1-0265</t>
        </is>
      </c>
      <c r="B8" s="11" t="inlineStr">
        <is>
          <t>disputed_listing</t>
        </is>
      </c>
      <c r="C8" s="2" t="inlineStr">
        <is>
          <t>The Burma Oil Co. (I) Trading Ltd., Calcutta v. The Commissioner of Wealth Tax (Central), Calcutta</t>
        </is>
      </c>
      <c r="D8" s="11" t="inlineStr">
        <is>
          <t>AIR 1977 SC 784(2); (1977) 108 ITR 513; (1977) 1 SCC 196; (1977) 2 SCR 295</t>
        </is>
      </c>
      <c r="E8" s="2" t="inlineStr">
        <is>
          <t>The Commissioner of Income Tax, Gujarat II, Ahmedabad v. Shri R.M. Amin, L.R. of The Late Shri. Chunnibhai J. Amin, Baroda</t>
        </is>
      </c>
      <c r="F8" s="11" t="inlineStr">
        <is>
          <t>list_mutual_pair</t>
        </is>
      </c>
      <c r="G8" s="2" t="n"/>
    </row>
    <row r="9">
      <c r="A9" s="11" t="inlineStr">
        <is>
          <t>L1-0270</t>
        </is>
      </c>
      <c r="B9" s="11" t="inlineStr">
        <is>
          <t>disputed_listing</t>
        </is>
      </c>
      <c r="C9" s="2" t="inlineStr">
        <is>
          <t>M/s. Faridabad Ct. Scan center v. D.G. Health Services and others</t>
        </is>
      </c>
      <c r="D9" s="11" t="inlineStr">
        <is>
          <t>AIR 1997 SC 3801; (2003) 89 ECC 468; (1997) 72 ECR 801; (1997) 95 ELT 161; (1997) 8 JT 171; (1997) 6 SCALE 148; (1997) 7 SCC 752; (1997) 4 SCR 122 Supp; (1997) AIRSCW 3716; (1998) 5 Supreme 287</t>
        </is>
      </c>
      <c r="E9" s="2" t="inlineStr">
        <is>
          <t>Mediwell Hospital and Health Care Pvt. Ltd. v. Union of India and others</t>
        </is>
      </c>
      <c r="F9" s="11" t="inlineStr">
        <is>
          <t>list_mutual_pair</t>
        </is>
      </c>
      <c r="G9" s="2" t="n"/>
    </row>
    <row r="10">
      <c r="A10" s="11" t="inlineStr">
        <is>
          <t>L1-0280</t>
        </is>
      </c>
      <c r="B10" s="11" t="inlineStr">
        <is>
          <t>overruled</t>
        </is>
      </c>
      <c r="C10" s="2" t="inlineStr">
        <is>
          <t>P.R. Nayak v. Union of India (UOI)</t>
        </is>
      </c>
      <c r="D10" s="11" t="inlineStr">
        <is>
          <t>AIR 1972 SC 554; (1972) LabIC 313; (1972) 1 LLJ 535; (1972) 1 SCC 332; (1972) 2 SCR 695</t>
        </is>
      </c>
      <c r="E10" s="2" t="inlineStr">
        <is>
          <t>The Government of India, Ministry of Home Affairs and Others v. Tarak Nath Ghosh</t>
        </is>
      </c>
      <c r="F10" s="11" t="inlineStr">
        <is>
          <t>year_order_check</t>
        </is>
      </c>
      <c r="G10" s="2" t="n"/>
    </row>
    <row r="11">
      <c r="A11" s="11" t="inlineStr">
        <is>
          <t>L1-0285</t>
        </is>
      </c>
      <c r="B11" s="11" t="inlineStr">
        <is>
          <t>overruled</t>
        </is>
      </c>
      <c r="C11" s="2" t="inlineStr">
        <is>
          <t>Laxman v. State of Maharashtra</t>
        </is>
      </c>
      <c r="D11" s="11" t="inlineStr">
        <is>
          <t>AIR 2002 SC 2973; (2002) CriLJ 4095; (2002) 4 Crimes 42; (2002) 6 JT 313; (2002) 6 SCALE 135; (2002) 5 SCALE 418; (2002) 6 SCC 710; (2002) 1 SCR 697 Supp; (2002) 2 UJ 1363; (2002) AIRSCW 3479; (2002) 5 Supreme 557</t>
        </is>
      </c>
      <c r="E11" s="2" t="inlineStr">
        <is>
          <t>Paparambaka Rosamma and Others v. State of Andhra Pradesh</t>
        </is>
      </c>
      <c r="F11" s="11" t="inlineStr">
        <is>
          <t>year_order_check</t>
        </is>
      </c>
      <c r="G11" s="2" t="n"/>
    </row>
    <row r="12">
      <c r="A12" s="11" t="inlineStr">
        <is>
          <t>L1-0429</t>
        </is>
      </c>
      <c r="B12" s="11" t="inlineStr">
        <is>
          <t>overruled</t>
        </is>
      </c>
      <c r="C12" s="2" t="inlineStr">
        <is>
          <t>Dr. K. Madan v. Smt. Krishnawati and another</t>
        </is>
      </c>
      <c r="D12" s="11" t="inlineStr">
        <is>
          <t>(1996) 8 AD 431; AIR 1997 SC 579; (1996) 10 JT 108; (1996) 8 SCALE 158; (1996) 6 SCC 707; (1996) 8 SCR 516 Supp; (1997) 1 UJ 392; (1997) AIRSCW 129; (1996) 8 Supreme 192</t>
        </is>
      </c>
      <c r="E12" s="2" t="inlineStr">
        <is>
          <t>Punjab National Bank v. Arjun Dev Arora and Others</t>
        </is>
      </c>
      <c r="F12" s="11" t="inlineStr">
        <is>
          <t>year_order_check</t>
        </is>
      </c>
      <c r="G12" s="2" t="n"/>
    </row>
    <row r="13">
      <c r="A13" s="11" t="inlineStr">
        <is>
          <t>L1-0446</t>
        </is>
      </c>
      <c r="B13" s="11" t="inlineStr">
        <is>
          <t>disputed_listing</t>
        </is>
      </c>
      <c r="C13" s="2" t="inlineStr">
        <is>
          <t>Tirlok Singh and Co. v. District Magistrate, Lucknow and Others</t>
        </is>
      </c>
      <c r="D13" s="11" t="inlineStr">
        <is>
          <t>AIR 1976 SC 1988; (1976) 3 SCC 726; (1976) 3 SCR 942; (1976) 8 UJ 433</t>
        </is>
      </c>
      <c r="E13" s="2" t="inlineStr">
        <is>
          <t>Ganpat Roy and Others v. Additional District Magistrate and Others</t>
        </is>
      </c>
      <c r="F13" s="11" t="inlineStr">
        <is>
          <t>list_mutual_pair</t>
        </is>
      </c>
      <c r="G13" s="2" t="n"/>
    </row>
    <row r="14">
      <c r="A14" s="11" t="inlineStr">
        <is>
          <t>L1-0463</t>
        </is>
      </c>
      <c r="B14" s="11" t="inlineStr">
        <is>
          <t>disputed_listing</t>
        </is>
      </c>
      <c r="C14" s="2" t="inlineStr">
        <is>
          <t>Bhagirath v. Delhi Administration</t>
        </is>
      </c>
      <c r="D14" s="11" t="inlineStr">
        <is>
          <t>AIR 1985 SC 1050; (1985) CriLJ 1179; (1985) 1 Crimes 832; (1985) 1 SCALE 719; (1985) 2 SCC 580; (1985) 3 SCR 743</t>
        </is>
      </c>
      <c r="E14" s="2" t="inlineStr">
        <is>
          <t>Kartar Singh and Others v. State of Haryana</t>
        </is>
      </c>
      <c r="F14" s="11" t="inlineStr">
        <is>
          <t>list_mutual_pair, year_order_check</t>
        </is>
      </c>
      <c r="G14" s="2" t="n"/>
    </row>
    <row r="15">
      <c r="A15" s="11" t="inlineStr">
        <is>
          <t>L1-0474</t>
        </is>
      </c>
      <c r="B15" s="11" t="inlineStr">
        <is>
          <t>disputed_listing</t>
        </is>
      </c>
      <c r="C15" s="2" t="inlineStr">
        <is>
          <t>The Commissioner of Income Tax, Lucknow v. Sh. Madho Pd. Jatia</t>
        </is>
      </c>
      <c r="D15" s="11" t="inlineStr">
        <is>
          <t>AIR 1977 SC 420; (1976) 4 SCC 92; (1977) 1 SCR 202; (1976) 8 UJ 810</t>
        </is>
      </c>
      <c r="E15" s="2" t="inlineStr">
        <is>
          <t>Commissioner of Income Tax, West Bengal-1, Calcutta v. Simon Carves Limited</t>
        </is>
      </c>
      <c r="F15" s="11" t="inlineStr">
        <is>
          <t>list_mutual_pair</t>
        </is>
      </c>
      <c r="G15" s="2" t="n"/>
    </row>
    <row r="16">
      <c r="A16" s="11" t="inlineStr">
        <is>
          <t>L1-0506</t>
        </is>
      </c>
      <c r="B16" s="11" t="inlineStr">
        <is>
          <t>disputed_listing</t>
        </is>
      </c>
      <c r="C16" s="2" t="inlineStr">
        <is>
          <t>Superintendent and Legal Remembrancer, State of West Bengal v. Corporation of Calcutta</t>
        </is>
      </c>
      <c r="D16" s="11" t="inlineStr">
        <is>
          <t>AIR 1967 SC 997; (1967) CriLJ 950; (1967) 2 SCR 170</t>
        </is>
      </c>
      <c r="E16" s="2" t="inlineStr">
        <is>
          <t>Director of Rationing and Distribution v. The Corporation of Calcutta and Others</t>
        </is>
      </c>
      <c r="F16" s="11" t="inlineStr">
        <is>
          <t>list_mutual_pair, year_order_check</t>
        </is>
      </c>
      <c r="G16" s="2" t="n"/>
    </row>
    <row r="17">
      <c r="A17" s="11" t="inlineStr">
        <is>
          <t>L1-0518</t>
        </is>
      </c>
      <c r="B17" s="11" t="inlineStr">
        <is>
          <t>overruled</t>
        </is>
      </c>
      <c r="C17" s="2" t="inlineStr">
        <is>
          <t>Baidyanath Mahapatra v. State of Orissa and Another</t>
        </is>
      </c>
      <c r="D17" s="11" t="inlineStr">
        <is>
          <t>AIR 1989 SC 2218; (1989) 68 CLT 640; (1989) 25 ECR 24; (1989) 59 FLR 393; (1989) 3 JT 360; (1989) 2 SCALE 271; (1989) 4 SCC 664; (1989) 3 SCR 803; (1989) 2 UJ 666</t>
        </is>
      </c>
      <c r="E17" s="2" t="inlineStr">
        <is>
          <t>Brij Mohan Singh Chopra v. State of Punjab</t>
        </is>
      </c>
      <c r="F17" s="11" t="inlineStr">
        <is>
          <t>year_order_check</t>
        </is>
      </c>
      <c r="G17" s="2" t="n"/>
    </row>
    <row r="18">
      <c r="A18" s="11" t="inlineStr">
        <is>
          <t>L1-0530</t>
        </is>
      </c>
      <c r="B18" s="11" t="inlineStr">
        <is>
          <t>overruled</t>
        </is>
      </c>
      <c r="C18" s="2" t="inlineStr">
        <is>
          <t>Achal Misra v. Rama Shanker Singh and Others</t>
        </is>
      </c>
      <c r="D18" s="11" t="inlineStr">
        <is>
          <t>(2005) 4 JT 236; (2005) 141 PLR 356; (2005) 5 SCC 531; (2000) 6 SCC 694; (2005) 3 SCR 439</t>
        </is>
      </c>
      <c r="E18" s="2" t="inlineStr">
        <is>
          <t>Tirlok Singh and Co. v. District Magistrate, Lucknow and Others</t>
        </is>
      </c>
      <c r="F18" s="11" t="inlineStr">
        <is>
          <t>year_order_check</t>
        </is>
      </c>
      <c r="G18" s="2" t="n"/>
    </row>
    <row r="19">
      <c r="A19" s="11" t="inlineStr">
        <is>
          <t>L1-0535</t>
        </is>
      </c>
      <c r="B19" s="11" t="inlineStr">
        <is>
          <t>disputed_listing</t>
        </is>
      </c>
      <c r="C19" s="2" t="inlineStr">
        <is>
          <t>Kartar Singh and Others v. State of Haryana</t>
        </is>
      </c>
      <c r="D19" s="11" t="inlineStr">
        <is>
          <t>AIR 1982 SC 1439; (1982) CriLJ 1772; (1983) 1 Crimes 43; (1982) 1 SCALE 671; (1982) 3 SCC 1; (1983) 1 SCR 445; (1982) 14 UJ 621</t>
        </is>
      </c>
      <c r="E19" s="2" t="inlineStr">
        <is>
          <t>Bhagirath v. Delhi Administration</t>
        </is>
      </c>
      <c r="F19" s="11" t="inlineStr">
        <is>
          <t>list_mutual_pair</t>
        </is>
      </c>
      <c r="G19" s="2" t="n"/>
    </row>
    <row r="20">
      <c r="A20" s="11" t="inlineStr">
        <is>
          <t>L1-0594</t>
        </is>
      </c>
      <c r="B20" s="11" t="inlineStr">
        <is>
          <t>disputed_listing</t>
        </is>
      </c>
      <c r="C20" s="2" t="inlineStr">
        <is>
          <t>Commissioner of Income Tax, West Bengal-1, Calcutta v. Simon Carves Limited</t>
        </is>
      </c>
      <c r="D20" s="11" t="inlineStr">
        <is>
          <t>AIR 1976 SC 2368; (1976) 105 ITR 212; (1977) SCC 61; (1976) 4 SCC 435; (1977) 1 SCR 207; (1976) 8 UJ 771</t>
        </is>
      </c>
      <c r="E20" s="2" t="inlineStr">
        <is>
          <t>The Commissioner of Income Tax, Lucknow v. Sh. Madho Pd. Jatia</t>
        </is>
      </c>
      <c r="F20" s="11" t="inlineStr">
        <is>
          <t>list_mutual_pair</t>
        </is>
      </c>
      <c r="G20" s="2" t="n"/>
    </row>
    <row r="21">
      <c r="A21" s="11" t="inlineStr">
        <is>
          <t>L1-0645</t>
        </is>
      </c>
      <c r="B21" s="11" t="inlineStr">
        <is>
          <t>disputed_listing</t>
        </is>
      </c>
      <c r="C21" s="2" t="inlineStr">
        <is>
          <t>Ganpat Roy and Others v. Additional District Magistrate and Others</t>
        </is>
      </c>
      <c r="D21" s="11" t="inlineStr">
        <is>
          <t>AIR 1985 SC 1635; (1985) 1 SCALE 545; (1985) 2 SCC 307; (1985) 3 SCR 384</t>
        </is>
      </c>
      <c r="E21" s="2" t="inlineStr">
        <is>
          <t>Tirlok Singh and Co. v. District Magistrate, Lucknow and Others</t>
        </is>
      </c>
      <c r="F21" s="11" t="inlineStr">
        <is>
          <t>list_mutual_pair, year_order_check</t>
        </is>
      </c>
      <c r="G21" s="2" t="n"/>
    </row>
    <row r="22">
      <c r="A22" s="11" t="inlineStr">
        <is>
          <t>L1-0706</t>
        </is>
      </c>
      <c r="B22" s="11" t="inlineStr">
        <is>
          <t>overruled</t>
        </is>
      </c>
      <c r="C22" s="2" t="inlineStr">
        <is>
          <t>State through Superintendent of Police, CBI/SIT v. Nalini and Others</t>
        </is>
      </c>
      <c r="D22" s="11" t="inlineStr">
        <is>
          <t>AIR 1999 SC 2640; (1999) CriLJ 3124; (1999) 4 JT 106; (1999) 3 SCALE 241; (1999) 5 SCC 253; (1999) 3 SCR 1; (1999) AIRSCW 1889; (1999) 5 Supreme 60</t>
        </is>
      </c>
      <c r="E22" s="2" t="inlineStr">
        <is>
          <t>Bilal Ahmed Kaloo v. State of Andhra Pradesh</t>
        </is>
      </c>
      <c r="F22" s="11" t="inlineStr">
        <is>
          <t>year_order_check</t>
        </is>
      </c>
      <c r="G22" s="2" t="n"/>
    </row>
    <row r="23">
      <c r="A23" s="11" t="inlineStr">
        <is>
          <t>L1-0707</t>
        </is>
      </c>
      <c r="B23" s="11" t="inlineStr">
        <is>
          <t>overruled</t>
        </is>
      </c>
      <c r="C23" s="2" t="inlineStr">
        <is>
          <t>Shanmugam @ Kulandaivelu v. State of Tamil Nadu</t>
        </is>
      </c>
      <c r="D23" s="11" t="inlineStr">
        <is>
          <t>AIR 2003 SC 209; (2003) CriLJ 418; (2002) 9 JT 518; (2002) 10 SCC 4</t>
        </is>
      </c>
      <c r="E23" s="2" t="inlineStr">
        <is>
          <t>Paparambaka Rosamma and Others v. State of Andhra Pradesh</t>
        </is>
      </c>
      <c r="F23" s="11" t="inlineStr">
        <is>
          <t>year_order_check</t>
        </is>
      </c>
      <c r="G23" s="2" t="n"/>
    </row>
    <row r="24">
      <c r="A24" s="11" t="inlineStr">
        <is>
          <t>L1-0900</t>
        </is>
      </c>
      <c r="B24" s="11" t="inlineStr">
        <is>
          <t>overruled</t>
        </is>
      </c>
      <c r="C24" s="2" t="inlineStr">
        <is>
          <t>Rourkela Mazdoor Sabha and Others v. Rourkela Steel Plant and Others</t>
        </is>
      </c>
      <c r="D24" s="11" t="inlineStr">
        <is>
          <t>(1992) 1 LLJ 571</t>
        </is>
      </c>
      <c r="E24" s="2" t="inlineStr">
        <is>
          <t>General Secretary, Rourkela Sramik Sangh v. Rourkela Mazdoor Sabha and others</t>
        </is>
      </c>
      <c r="F24" s="11" t="inlineStr">
        <is>
          <t>year_order_check</t>
        </is>
      </c>
      <c r="G24" s="2" t="n"/>
    </row>
  </sheetData>
  <autoFilter ref="A3:G24"/>
  <mergeCells count="1">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56" customWidth="1" min="2" max="2"/>
    <col width="16" customWidth="1" min="3" max="3"/>
    <col width="16" customWidth="1" min="4" max="4"/>
    <col width="16" customWidth="1" min="5" max="5"/>
    <col width="56" customWidth="1" min="6" max="6"/>
  </cols>
  <sheetData>
    <row r="1" ht="44" customHeight="1">
      <c r="A1" s="9" t="inlineStr">
        <is>
          <t>List 1 rows with no citation or year: the register cannot recognise them in an answer (weak or not at all) until the reviewer supplies one ('supply' on the weekly sheet).</t>
        </is>
      </c>
    </row>
    <row r="3">
      <c r="A3" s="10" t="inlineStr">
        <is>
          <t>Row</t>
        </is>
      </c>
      <c r="B3" s="10" t="inlineStr">
        <is>
          <t>Overruled case</t>
        </is>
      </c>
      <c r="C3" s="10" t="inlineStr">
        <is>
          <t>Citations</t>
        </is>
      </c>
      <c r="D3" s="10" t="inlineStr">
        <is>
          <t>Year</t>
        </is>
      </c>
      <c r="E3" s="10" t="inlineStr">
        <is>
          <t>Recognised how</t>
        </is>
      </c>
      <c r="F3" s="10" t="inlineStr">
        <is>
          <t>Overruling case</t>
        </is>
      </c>
    </row>
    <row r="4">
      <c r="A4" s="11" t="inlineStr">
        <is>
          <t>L1-0017</t>
        </is>
      </c>
      <c r="B4" s="2" t="inlineStr">
        <is>
          <t>Agarwal and Co. v. Commissioner of Income Tax</t>
        </is>
      </c>
      <c r="C4" s="11" t="inlineStr">
        <is>
          <t>(1968) 68 ITR 673</t>
        </is>
      </c>
      <c r="D4" s="11" t="n">
        <v>1968</v>
      </c>
      <c r="E4" s="11" t="inlineStr">
        <is>
          <t>none</t>
        </is>
      </c>
      <c r="F4" s="2" t="inlineStr">
        <is>
          <t>Agarwal and Co. v. Commissioner of Income Tax, Uttar Pradesh</t>
        </is>
      </c>
    </row>
    <row r="5">
      <c r="A5" s="11" t="inlineStr">
        <is>
          <t>L1-0024</t>
        </is>
      </c>
      <c r="B5" s="2" t="inlineStr">
        <is>
          <t>Hiraman v. State of U.P. and Others</t>
        </is>
      </c>
      <c r="C5" s="11" t="inlineStr">
        <is>
          <t>(1995) 2 LLJ 484; (1994) 1 UPLBEC 420</t>
        </is>
      </c>
      <c r="D5" s="11" t="n">
        <v>1994</v>
      </c>
      <c r="E5" s="11" t="inlineStr">
        <is>
          <t>none</t>
        </is>
      </c>
      <c r="F5" s="2" t="inlineStr">
        <is>
          <t>Hira Man v. State of U.P. and others</t>
        </is>
      </c>
    </row>
    <row r="6">
      <c r="A6" s="11" t="inlineStr">
        <is>
          <t>L1-0059</t>
        </is>
      </c>
      <c r="B6" s="2" t="inlineStr">
        <is>
          <t>State of U.P. v. Mahtab Singh and Jaipal Singh</t>
        </is>
      </c>
      <c r="C6" s="11" t="inlineStr"/>
      <c r="D6" s="11" t="n"/>
      <c r="E6" s="11" t="inlineStr">
        <is>
          <t>weak</t>
        </is>
      </c>
      <c r="F6" s="2" t="inlineStr">
        <is>
          <t>Mahtab Singh and Another v. State of U.P.</t>
        </is>
      </c>
    </row>
    <row r="7">
      <c r="A7" s="11" t="inlineStr">
        <is>
          <t>L1-0063</t>
        </is>
      </c>
      <c r="B7" s="2" t="inlineStr">
        <is>
          <t>The State of U.P. v. Ghurey Lal</t>
        </is>
      </c>
      <c r="C7" s="11" t="inlineStr"/>
      <c r="D7" s="11" t="n"/>
      <c r="E7" s="11" t="inlineStr">
        <is>
          <t>weak</t>
        </is>
      </c>
      <c r="F7" s="2" t="inlineStr">
        <is>
          <t>Ghurey Lal v. State of U.P.</t>
        </is>
      </c>
    </row>
    <row r="8">
      <c r="A8" s="11" t="inlineStr">
        <is>
          <t>L1-0068</t>
        </is>
      </c>
      <c r="B8" s="2" t="inlineStr">
        <is>
          <t>State of U.P. v. Jagdish Murav, Ganga Murav, Udaibhan Pandey and Ram Sahai Pandey</t>
        </is>
      </c>
      <c r="C8" s="11" t="inlineStr"/>
      <c r="D8" s="11" t="n"/>
      <c r="E8" s="11" t="inlineStr">
        <is>
          <t>weak</t>
        </is>
      </c>
      <c r="F8" s="2" t="inlineStr">
        <is>
          <t>Jagdish Murav v. State of U.P. and Others</t>
        </is>
      </c>
    </row>
    <row r="9">
      <c r="A9" s="11" t="inlineStr">
        <is>
          <t>L1-0070</t>
        </is>
      </c>
      <c r="B9" s="2" t="inlineStr">
        <is>
          <t>Naresh, Jagpal, Shyam Singh and Bharat (In Jail) v. State of U.P.</t>
        </is>
      </c>
      <c r="C9" s="11" t="inlineStr"/>
      <c r="D9" s="11" t="n"/>
      <c r="E9" s="11" t="inlineStr">
        <is>
          <t>weak</t>
        </is>
      </c>
      <c r="F9" s="2" t="inlineStr">
        <is>
          <t>State of U.P. v. Naresh and Others</t>
        </is>
      </c>
    </row>
    <row r="10">
      <c r="A10" s="11" t="inlineStr">
        <is>
          <t>L1-0071</t>
        </is>
      </c>
      <c r="B10" s="2" t="inlineStr">
        <is>
          <t>Munesh, (In Jail) v. State of U.P.</t>
        </is>
      </c>
      <c r="C10" s="11" t="inlineStr">
        <is>
          <t>(2004) CriLJ 1529</t>
        </is>
      </c>
      <c r="D10" s="11" t="n">
        <v>2004</v>
      </c>
      <c r="E10" s="11" t="inlineStr">
        <is>
          <t>none</t>
        </is>
      </c>
      <c r="F10" s="2" t="inlineStr">
        <is>
          <t>State of U.P. v. Munesh</t>
        </is>
      </c>
    </row>
    <row r="11">
      <c r="A11" s="11" t="inlineStr">
        <is>
          <t>L1-0086</t>
        </is>
      </c>
      <c r="B11" s="2" t="inlineStr">
        <is>
          <t>Kumari Geeta Mehrotra and Another v. State of U.P. and Another</t>
        </is>
      </c>
      <c r="C11" s="11" t="inlineStr"/>
      <c r="D11" s="11" t="n"/>
      <c r="E11" s="11" t="inlineStr">
        <is>
          <t>weak</t>
        </is>
      </c>
      <c r="F11" s="2" t="inlineStr">
        <is>
          <t>Geeta Mehrotra and Another v. State of U.P. and Another</t>
        </is>
      </c>
    </row>
    <row r="12">
      <c r="A12" s="11" t="inlineStr">
        <is>
          <t>L1-0087</t>
        </is>
      </c>
      <c r="B12" s="2" t="inlineStr">
        <is>
          <t>The Tamil Nadu State Housing Board v. T.R. Sheshachalam (died) and Others</t>
        </is>
      </c>
      <c r="C12" s="11" t="inlineStr"/>
      <c r="D12" s="11" t="n"/>
      <c r="E12" s="11" t="inlineStr">
        <is>
          <t>weak</t>
        </is>
      </c>
      <c r="F12" s="2" t="inlineStr">
        <is>
          <t>T.R. Boopalan and Others v. Tamil Nadu Housing Board and Others</t>
        </is>
      </c>
    </row>
    <row r="13">
      <c r="A13" s="11" t="inlineStr">
        <is>
          <t>L1-0089</t>
        </is>
      </c>
      <c r="B13" s="2" t="inlineStr">
        <is>
          <t>The Government of Tamil Nadu and The State of Tamil Nadu v. Tvl. Ponni Sugars and Chemicals Ltd. and Bannari Amman Sugars Ltd.</t>
        </is>
      </c>
      <c r="C13" s="11" t="inlineStr"/>
      <c r="D13" s="11" t="n"/>
      <c r="E13" s="11" t="inlineStr">
        <is>
          <t>weak</t>
        </is>
      </c>
      <c r="F13" s="2" t="inlineStr">
        <is>
          <t>Bannari Amman Sugars Ltd. v. Commercial Tax Officer and Others</t>
        </is>
      </c>
    </row>
    <row r="14">
      <c r="A14" s="11" t="inlineStr">
        <is>
          <t>L1-0091</t>
        </is>
      </c>
      <c r="B14" s="2" t="inlineStr">
        <is>
          <t>Tamil Nadu Electricity Board v. Tamil Nadu Electricity Board, Thozhilalar Aykkiya Sangam</t>
        </is>
      </c>
      <c r="C14" s="11" t="inlineStr"/>
      <c r="D14" s="11" t="n"/>
      <c r="E14" s="11" t="inlineStr">
        <is>
          <t>weak</t>
        </is>
      </c>
      <c r="F14" s="2" t="inlineStr">
        <is>
          <t>T.N. Electricity Board and Another v. T.N. Electricity Board Thozhilalar Aykkiya Sangam</t>
        </is>
      </c>
    </row>
    <row r="15">
      <c r="A15" s="11" t="inlineStr">
        <is>
          <t>L1-0094</t>
        </is>
      </c>
      <c r="B15" s="2" t="inlineStr">
        <is>
          <t>Dr. S. Rajavelu v. Chairman, Union Public Service Commission, Secretary, Union Public Service Commission, Director General of Archaeological Survey of India and The Registrar, Central Administrative Tribunal</t>
        </is>
      </c>
      <c r="C15" s="11" t="inlineStr"/>
      <c r="D15" s="11" t="n"/>
      <c r="E15" s="11" t="inlineStr">
        <is>
          <t>none</t>
        </is>
      </c>
      <c r="F15" s="2" t="inlineStr">
        <is>
          <t>Sanjay Kumar Manjul v. The Chairman, UPSC and Others</t>
        </is>
      </c>
    </row>
    <row r="16">
      <c r="A16" s="11" t="inlineStr">
        <is>
          <t>L1-0095</t>
        </is>
      </c>
      <c r="B16" s="2" t="inlineStr">
        <is>
          <t>P.H. Paul Manoj Pandian v. Mr. P. Veldurai</t>
        </is>
      </c>
      <c r="C16" s="11" t="inlineStr"/>
      <c r="D16" s="11" t="n"/>
      <c r="E16" s="11" t="inlineStr">
        <is>
          <t>weak</t>
        </is>
      </c>
      <c r="F16" s="2" t="inlineStr">
        <is>
          <t>P.H. Paul Manoj Pandian v. Mr. P. Veldurai</t>
        </is>
      </c>
    </row>
    <row r="17">
      <c r="A17" s="11" t="inlineStr">
        <is>
          <t>L1-0118</t>
        </is>
      </c>
      <c r="B17" s="2" t="inlineStr">
        <is>
          <t>Sekar and Others v. State</t>
        </is>
      </c>
      <c r="C17" s="11" t="inlineStr"/>
      <c r="D17" s="11" t="n"/>
      <c r="E17" s="11" t="inlineStr">
        <is>
          <t>none</t>
        </is>
      </c>
      <c r="F17" s="2" t="inlineStr">
        <is>
          <t>Alamelu and Another v. State represented by Inspector of Police</t>
        </is>
      </c>
    </row>
    <row r="18">
      <c r="A18" s="11" t="inlineStr">
        <is>
          <t>L1-0129</t>
        </is>
      </c>
      <c r="B18" s="2" t="inlineStr">
        <is>
          <t>M. Janakiraman and another v. State</t>
        </is>
      </c>
      <c r="C18" s="11" t="inlineStr"/>
      <c r="D18" s="11" t="n"/>
      <c r="E18" s="11" t="inlineStr">
        <is>
          <t>none</t>
        </is>
      </c>
      <c r="F18" s="2" t="inlineStr">
        <is>
          <t>State rep. by Tahsildar-Cum-Sales Officer v. M. Janakiraman and Another</t>
        </is>
      </c>
    </row>
    <row r="19">
      <c r="A19" s="11" t="inlineStr">
        <is>
          <t>L1-0136</t>
        </is>
      </c>
      <c r="B19" s="2" t="inlineStr">
        <is>
          <t>Mrs. Sashi Balasubramanian v. State</t>
        </is>
      </c>
      <c r="C19" s="11" t="inlineStr"/>
      <c r="D19" s="11" t="n"/>
      <c r="E19" s="11" t="inlineStr">
        <is>
          <t>weak</t>
        </is>
      </c>
      <c r="F19" s="2" t="inlineStr">
        <is>
          <t>State, CBI v. Sashi Balasubramanian and Another</t>
        </is>
      </c>
    </row>
    <row r="20">
      <c r="A20" s="11" t="inlineStr">
        <is>
          <t>L1-0138</t>
        </is>
      </c>
      <c r="B20" s="2" t="inlineStr">
        <is>
          <t>Gopal Naidu (deceased) and 9 others v. Thirunavukkarasu Mudaliar</t>
        </is>
      </c>
      <c r="C20" s="11" t="inlineStr">
        <is>
          <t>(1998) 1 CTC 394; (1998) 2 MLJ 121</t>
        </is>
      </c>
      <c r="D20" s="11" t="n">
        <v>1998</v>
      </c>
      <c r="E20" s="11" t="inlineStr">
        <is>
          <t>none</t>
        </is>
      </c>
      <c r="F20" s="2" t="inlineStr">
        <is>
          <t>Thirunavukkarasu Mudaliar (Dead) by L.Rs. v. Gopal Naidu (Dead) by L.Rs.</t>
        </is>
      </c>
    </row>
    <row r="21">
      <c r="A21" s="11" t="inlineStr">
        <is>
          <t>L1-0139</t>
        </is>
      </c>
      <c r="B21" s="2" t="inlineStr">
        <is>
          <t>East Asiatic Company (India) P. Ltd. v. Commissioner of Income Tax</t>
        </is>
      </c>
      <c r="C21" s="11" t="inlineStr">
        <is>
          <t>(1986) 161 ITR 135</t>
        </is>
      </c>
      <c r="D21" s="11" t="n">
        <v>1986</v>
      </c>
      <c r="E21" s="11" t="inlineStr">
        <is>
          <t>none</t>
        </is>
      </c>
      <c r="F21" s="2" t="inlineStr">
        <is>
          <t>Commissioner of Income Tax, Meerut and Others v. Virmani Industries Pvt. Ltd. and Others</t>
        </is>
      </c>
    </row>
    <row r="22">
      <c r="A22" s="11" t="inlineStr">
        <is>
          <t>L1-0141</t>
        </is>
      </c>
      <c r="B22" s="2" t="inlineStr">
        <is>
          <t>T. Jayakumar v. A. Gopu, The Union of India (UOI) and The Registrar, Central Administrative Tribunal</t>
        </is>
      </c>
      <c r="C22" s="11" t="inlineStr"/>
      <c r="D22" s="11" t="n"/>
      <c r="E22" s="11" t="inlineStr">
        <is>
          <t>weak</t>
        </is>
      </c>
      <c r="F22" s="2" t="inlineStr">
        <is>
          <t>T. Jayakumar v. A. Gopu and Another</t>
        </is>
      </c>
    </row>
    <row r="23">
      <c r="A23" s="11" t="inlineStr">
        <is>
          <t>L1-0145</t>
        </is>
      </c>
      <c r="B23" s="2" t="inlineStr">
        <is>
          <t>R. Venkataraman v. S. Sethuraman, Joint Director of School Education, (Higher Secondary), Directorate of School Education, The District Educational Officer and The Secretary and Correspondent, National Higher Secondary School</t>
        </is>
      </c>
      <c r="C23" s="11" t="inlineStr">
        <is>
          <t>(2006) 4 MLJ 1594; (2006) WritLR 840</t>
        </is>
      </c>
      <c r="D23" s="11" t="n">
        <v>2006</v>
      </c>
      <c r="E23" s="11" t="inlineStr">
        <is>
          <t>weak</t>
        </is>
      </c>
      <c r="F23" s="2" t="inlineStr">
        <is>
          <t>S. Sethuraman v. R. Venkataraman and Others</t>
        </is>
      </c>
    </row>
    <row r="24">
      <c r="A24" s="11" t="inlineStr">
        <is>
          <t>L1-0159</t>
        </is>
      </c>
      <c r="B24" s="2" t="inlineStr">
        <is>
          <t>In Re: Ganapati</t>
        </is>
      </c>
      <c r="C24" s="11" t="inlineStr"/>
      <c r="D24" s="11" t="n"/>
      <c r="E24" s="11" t="inlineStr">
        <is>
          <t>none</t>
        </is>
      </c>
      <c r="F24" s="2" t="inlineStr">
        <is>
          <t>State of Andhra Pradesh v. Vallabhapuram Ravi</t>
        </is>
      </c>
    </row>
    <row r="25">
      <c r="A25" s="11" t="inlineStr">
        <is>
          <t>L1-0162</t>
        </is>
      </c>
      <c r="B25" s="2" t="inlineStr">
        <is>
          <t>The Chief Commissioner of Central Excise and The Additional Commissioner (P and V), Chennai Zone v. Arulmozhi Iniarasu and Others</t>
        </is>
      </c>
      <c r="C25" s="11" t="inlineStr"/>
      <c r="D25" s="11" t="n"/>
      <c r="E25" s="11" t="inlineStr">
        <is>
          <t>none</t>
        </is>
      </c>
      <c r="F25" s="2" t="inlineStr">
        <is>
          <t>Union of India (UOI) and Another v. Arulmozhi Iniarasu and Others</t>
        </is>
      </c>
    </row>
    <row r="26">
      <c r="A26" s="11" t="inlineStr">
        <is>
          <t>L1-0166</t>
        </is>
      </c>
      <c r="B26" s="2" t="inlineStr">
        <is>
          <t>D. Kausalya v. S. Sankaran, 16, Manicka Naicken Street, Purasavakkam</t>
        </is>
      </c>
      <c r="C26" s="11" t="inlineStr"/>
      <c r="D26" s="11" t="n"/>
      <c r="E26" s="11" t="inlineStr">
        <is>
          <t>weak</t>
        </is>
      </c>
      <c r="F26" s="2" t="inlineStr">
        <is>
          <t>S. Sankaran v. D. Kausalya</t>
        </is>
      </c>
    </row>
    <row r="27">
      <c r="A27" s="11" t="inlineStr">
        <is>
          <t>L1-0194</t>
        </is>
      </c>
      <c r="B27" s="2" t="inlineStr">
        <is>
          <t>Subbarayan v. The Union of India (UOI) and Another</t>
        </is>
      </c>
      <c r="C27" s="11" t="inlineStr">
        <is>
          <t>(1979) 4 ELT 473; (1975) 88 LW 630</t>
        </is>
      </c>
      <c r="D27" s="11" t="n">
        <v>1975</v>
      </c>
      <c r="E27" s="11" t="inlineStr">
        <is>
          <t>none</t>
        </is>
      </c>
      <c r="F27" s="2" t="inlineStr">
        <is>
          <t>Union of India and another v. The Century Manufacturing Company Ltd.</t>
        </is>
      </c>
    </row>
    <row r="28">
      <c r="A28" s="11" t="inlineStr">
        <is>
          <t>L1-0204</t>
        </is>
      </c>
      <c r="B28" s="2" t="inlineStr">
        <is>
          <t>Commissioner of Income Tax v. Salem Bank Ltd.</t>
        </is>
      </c>
      <c r="C28" s="11" t="inlineStr">
        <is>
          <t>(1979) 120 ITR 224</t>
        </is>
      </c>
      <c r="D28" s="11" t="n">
        <v>1979</v>
      </c>
      <c r="E28" s="11" t="inlineStr">
        <is>
          <t>none</t>
        </is>
      </c>
      <c r="F28" s="2" t="inlineStr">
        <is>
          <t>M/S. W.T. Suren and Co. Ltd. v. The Commissioner of Income Tax, Bombay</t>
        </is>
      </c>
    </row>
    <row r="29">
      <c r="A29" s="11" t="inlineStr">
        <is>
          <t>L1-0207</t>
        </is>
      </c>
      <c r="B29" s="2" t="inlineStr">
        <is>
          <t>Rakiappan, Subramanian, Somaraj and Aarusamy v. State by: Inspector of Police, Uthiyur Police Station, Erode</t>
        </is>
      </c>
      <c r="C29" s="11" t="inlineStr"/>
      <c r="D29" s="11" t="n"/>
      <c r="E29" s="11" t="inlineStr">
        <is>
          <t>weak</t>
        </is>
      </c>
      <c r="F29" s="2" t="inlineStr">
        <is>
          <t>State by Inspector of Police, Tamil Nadu v. Rakiappan and Others</t>
        </is>
      </c>
    </row>
    <row r="30">
      <c r="A30" s="11" t="inlineStr">
        <is>
          <t>L1-0209</t>
        </is>
      </c>
      <c r="B30" s="2" t="inlineStr">
        <is>
          <t>N.M.T. Joy Immaculate v. State</t>
        </is>
      </c>
      <c r="C30" s="11" t="inlineStr"/>
      <c r="D30" s="11" t="n"/>
      <c r="E30" s="11" t="inlineStr">
        <is>
          <t>weak</t>
        </is>
      </c>
      <c r="F30" s="2" t="inlineStr">
        <is>
          <t>State Rep. by Inspector of Police and Others v. N.M.T. Joy Immaculate</t>
        </is>
      </c>
    </row>
    <row r="31">
      <c r="A31" s="11" t="inlineStr">
        <is>
          <t>L1-0222</t>
        </is>
      </c>
      <c r="B31" s="2" t="inlineStr">
        <is>
          <t>Brigadier Chaitanya Prakash and Hindustan Photo Films Manufacturing Co. Ltd. v. Sri. H. Omkarappa</t>
        </is>
      </c>
      <c r="C31" s="11" t="inlineStr"/>
      <c r="D31" s="11" t="n"/>
      <c r="E31" s="11" t="inlineStr">
        <is>
          <t>weak</t>
        </is>
      </c>
      <c r="F31" s="2" t="inlineStr">
        <is>
          <t>Chaitanya Prakash and Another v. H. Omkarappa</t>
        </is>
      </c>
    </row>
    <row r="32">
      <c r="A32" s="11" t="inlineStr">
        <is>
          <t>L1-0223</t>
        </is>
      </c>
      <c r="B32" s="2" t="inlineStr">
        <is>
          <t>V.N. Devadoss v. The Chief Revenue Control Officer CUM Inspector General of Registration, The District Revenue Officer (Stamps) and The Sub Registrar</t>
        </is>
      </c>
      <c r="C32" s="11" t="inlineStr"/>
      <c r="D32" s="11" t="n"/>
      <c r="E32" s="11" t="inlineStr">
        <is>
          <t>weak</t>
        </is>
      </c>
      <c r="F32" s="2" t="inlineStr">
        <is>
          <t>V.N. Devadoss v. Chief Revenue Control Officer-cum-Ins. and Others</t>
        </is>
      </c>
    </row>
    <row r="33">
      <c r="A33" s="11" t="inlineStr">
        <is>
          <t>L1-0748</t>
        </is>
      </c>
      <c r="B33" s="2" t="inlineStr">
        <is>
          <t>Rajasthan State Warehousing Corporation v. Commissioner of Income Tax</t>
        </is>
      </c>
      <c r="C33" s="11" t="inlineStr">
        <is>
          <t>(1994) 119 CTR 369; (1994) 209 ITR 271</t>
        </is>
      </c>
      <c r="D33" s="11" t="n">
        <v>1994</v>
      </c>
      <c r="E33" s="11" t="inlineStr">
        <is>
          <t>none</t>
        </is>
      </c>
      <c r="F33" s="2" t="inlineStr">
        <is>
          <t>Rajasthan State Warehousing Corporation v. Commissioner of Income Tax</t>
        </is>
      </c>
    </row>
    <row r="34">
      <c r="A34" s="11" t="inlineStr">
        <is>
          <t>L1-0750</t>
        </is>
      </c>
      <c r="B34" s="2" t="inlineStr">
        <is>
          <t>Sadhuram and Another v. State of Rajasthan</t>
        </is>
      </c>
      <c r="C34" s="11" t="inlineStr">
        <is>
          <t>(2001) 3 WLC 633; (2002) 1 WLN 77</t>
        </is>
      </c>
      <c r="D34" s="11" t="n">
        <v>2001</v>
      </c>
      <c r="E34" s="11" t="inlineStr">
        <is>
          <t>none</t>
        </is>
      </c>
      <c r="F34" s="2" t="inlineStr">
        <is>
          <t>Sadhu Ram and Another v. The State of Rajasthan</t>
        </is>
      </c>
    </row>
    <row r="35">
      <c r="A35" s="11" t="inlineStr">
        <is>
          <t>L1-0761</t>
        </is>
      </c>
      <c r="B35" s="2" t="inlineStr">
        <is>
          <t>State v. Gopal</t>
        </is>
      </c>
      <c r="C35" s="11" t="inlineStr">
        <is>
          <t>(2001) CriLJ 3873; (2002) 1 DMC 293; (2002) 1 WLN 185</t>
        </is>
      </c>
      <c r="D35" s="11" t="n">
        <v>2001</v>
      </c>
      <c r="E35" s="11" t="inlineStr">
        <is>
          <t>none</t>
        </is>
      </c>
      <c r="F35" s="2" t="inlineStr">
        <is>
          <t>Gopal v. State of Rajasthan</t>
        </is>
      </c>
    </row>
    <row r="36">
      <c r="A36" s="11" t="inlineStr">
        <is>
          <t>L1-0764</t>
        </is>
      </c>
      <c r="B36" s="2" t="inlineStr">
        <is>
          <t>K.J. Khosla v. Smt. Rajlakshmi N. Khosla v. Rajlakshmi (dead) and</t>
        </is>
      </c>
      <c r="C36" s="11" t="inlineStr"/>
      <c r="D36" s="11" t="n"/>
      <c r="E36" s="11" t="inlineStr">
        <is>
          <t>weak</t>
        </is>
      </c>
      <c r="F36" s="2" t="inlineStr">
        <is>
          <t>Others</t>
        </is>
      </c>
    </row>
    <row r="37">
      <c r="A37" s="11" t="inlineStr">
        <is>
          <t>L1-0778</t>
        </is>
      </c>
      <c r="B37" s="2" t="inlineStr">
        <is>
          <t>State of Punjab v. Sukhwinder Singh</t>
        </is>
      </c>
      <c r="C37" s="11" t="inlineStr"/>
      <c r="D37" s="11" t="n"/>
      <c r="E37" s="11" t="inlineStr">
        <is>
          <t>weak</t>
        </is>
      </c>
      <c r="F37" s="2" t="inlineStr">
        <is>
          <t>State of Punjab and Others v. Sukhwinder Singh</t>
        </is>
      </c>
    </row>
    <row r="38">
      <c r="A38" s="11" t="inlineStr">
        <is>
          <t>L1-0780</t>
        </is>
      </c>
      <c r="B38" s="2" t="inlineStr">
        <is>
          <t>Manisha Tyagi v. Capt. Deepak Kumar</t>
        </is>
      </c>
      <c r="C38" s="11" t="inlineStr"/>
      <c r="D38" s="11" t="n"/>
      <c r="E38" s="11" t="inlineStr">
        <is>
          <t>weak</t>
        </is>
      </c>
      <c r="F38" s="2" t="inlineStr">
        <is>
          <t>Manisha Tyagi v. Deepak Kumar</t>
        </is>
      </c>
    </row>
    <row r="39">
      <c r="A39" s="11" t="inlineStr">
        <is>
          <t>L1-0781</t>
        </is>
      </c>
      <c r="B39" s="2" t="inlineStr">
        <is>
          <t>Daya Nand (Through Jail) v. State of Haryana</t>
        </is>
      </c>
      <c r="C39" s="11" t="inlineStr"/>
      <c r="D39" s="11" t="n"/>
      <c r="E39" s="11" t="inlineStr">
        <is>
          <t>weak</t>
        </is>
      </c>
      <c r="F39" s="2" t="inlineStr">
        <is>
          <t>Daya Nand v. State of Haryana</t>
        </is>
      </c>
    </row>
    <row r="40">
      <c r="A40" s="11" t="inlineStr">
        <is>
          <t>L1-0795</t>
        </is>
      </c>
      <c r="B40" s="2" t="inlineStr">
        <is>
          <t>Hindsons (P.) Ltd. v. The State of Punjab</t>
        </is>
      </c>
      <c r="C40" s="11" t="inlineStr">
        <is>
          <t>(1982) 49 STC 136</t>
        </is>
      </c>
      <c r="D40" s="11" t="n">
        <v>1982</v>
      </c>
      <c r="E40" s="11" t="inlineStr">
        <is>
          <t>none</t>
        </is>
      </c>
      <c r="F40" s="2" t="inlineStr">
        <is>
          <t>State of Punjab v. Hindsons (P) Ltd.</t>
        </is>
      </c>
    </row>
    <row r="41">
      <c r="A41" s="11" t="inlineStr">
        <is>
          <t>L1-0803</t>
        </is>
      </c>
      <c r="B41" s="2" t="inlineStr">
        <is>
          <t>Union of India (UOI) and Another v. State of Haryana and Another</t>
        </is>
      </c>
      <c r="C41" s="11" t="inlineStr">
        <is>
          <t>(2001) 123 STC 539</t>
        </is>
      </c>
      <c r="D41" s="11" t="n">
        <v>2001</v>
      </c>
      <c r="E41" s="11" t="inlineStr">
        <is>
          <t>none</t>
        </is>
      </c>
      <c r="F41" s="2" t="inlineStr">
        <is>
          <t>State of Uttar Pradesh and Another v. Union of India (UOI) and Another</t>
        </is>
      </c>
    </row>
    <row r="42">
      <c r="A42" s="11" t="inlineStr">
        <is>
          <t>L1-0845</t>
        </is>
      </c>
      <c r="B42" s="2" t="inlineStr">
        <is>
          <t>Commissioner of Income Tax v. State Bank of Patiala</t>
        </is>
      </c>
      <c r="C42" s="11" t="inlineStr">
        <is>
          <t>(1992) 106 CTR 277; (1993) 203 ITR 150</t>
        </is>
      </c>
      <c r="D42" s="11" t="n">
        <v>1992</v>
      </c>
      <c r="E42" s="11" t="inlineStr">
        <is>
          <t>none</t>
        </is>
      </c>
      <c r="F42" s="2" t="inlineStr">
        <is>
          <t>State Bank of Patiala, Patiala v. Commissioner of Income Tax, Patiala</t>
        </is>
      </c>
    </row>
    <row r="43">
      <c r="A43" s="11" t="inlineStr">
        <is>
          <t>L1-0855</t>
        </is>
      </c>
      <c r="B43" s="2" t="inlineStr">
        <is>
          <t>State of Punjab and others v. Punjab Fibres Limited and others</t>
        </is>
      </c>
      <c r="C43" s="11" t="inlineStr">
        <is>
          <t>(2000) 1 ILR (P&amp;H) 17; (1998) 120 PLR 702</t>
        </is>
      </c>
      <c r="D43" s="11" t="n">
        <v>1998</v>
      </c>
      <c r="E43" s="11" t="inlineStr">
        <is>
          <t>none</t>
        </is>
      </c>
      <c r="F43" s="2" t="inlineStr">
        <is>
          <t>State of Punjab and Others v. Punjab Fibres Ltd. and Others</t>
        </is>
      </c>
    </row>
    <row r="44">
      <c r="A44" s="11" t="inlineStr">
        <is>
          <t>L1-0874</t>
        </is>
      </c>
      <c r="B44" s="2" t="inlineStr">
        <is>
          <t>Prahlad Singh and Others v. Union of India (UOI) and Others</t>
        </is>
      </c>
      <c r="C44" s="11" t="inlineStr"/>
      <c r="D44" s="11" t="n"/>
      <c r="E44" s="11" t="inlineStr">
        <is>
          <t>weak</t>
        </is>
      </c>
      <c r="F44" s="2" t="inlineStr">
        <is>
          <t>Prahlad Singh and Others v. Union of India (UOI) and Others</t>
        </is>
      </c>
    </row>
    <row r="45">
      <c r="A45" s="11" t="inlineStr">
        <is>
          <t>L1-0879</t>
        </is>
      </c>
      <c r="B45" s="2" t="inlineStr">
        <is>
          <t>Swaika Oil Mills v. Member, Board of Revenue, 76 CWN 711 : (1971) 27 STC 218</t>
        </is>
      </c>
      <c r="C45" s="11" t="inlineStr"/>
      <c r="D45" s="11" t="n"/>
      <c r="E45" s="11" t="inlineStr">
        <is>
          <t>weak</t>
        </is>
      </c>
      <c r="F45" s="2" t="inlineStr">
        <is>
          <t>Member Board of Revenue, West Bengal v. Swaika Oil Mills</t>
        </is>
      </c>
    </row>
    <row r="46">
      <c r="A46" s="11" t="inlineStr">
        <is>
          <t>L1-0881</t>
        </is>
      </c>
      <c r="B46" s="2" t="inlineStr">
        <is>
          <t>State of Punjab v. Hari Singh ASI Punjab Police</t>
        </is>
      </c>
      <c r="C46" s="11" t="inlineStr"/>
      <c r="D46" s="11" t="n"/>
      <c r="E46" s="11" t="inlineStr">
        <is>
          <t>weak</t>
        </is>
      </c>
      <c r="F46" s="2" t="inlineStr">
        <is>
          <t>State of Punjab and Another v. Hari Singh</t>
        </is>
      </c>
    </row>
    <row r="47">
      <c r="A47" s="11" t="inlineStr">
        <is>
          <t>L1-0883</t>
        </is>
      </c>
      <c r="B47" s="2" t="inlineStr">
        <is>
          <t>Jodhbir Singh v. State of Punjab</t>
        </is>
      </c>
      <c r="C47" s="11" t="inlineStr"/>
      <c r="D47" s="11" t="n"/>
      <c r="E47" s="11" t="inlineStr">
        <is>
          <t>weak</t>
        </is>
      </c>
      <c r="F47" s="2" t="inlineStr">
        <is>
          <t>Jodhbir Singh v. State of Punjab</t>
        </is>
      </c>
    </row>
    <row r="48">
      <c r="A48" s="11" t="inlineStr">
        <is>
          <t>L1-0909</t>
        </is>
      </c>
      <c r="B48" s="2" t="inlineStr">
        <is>
          <t>In Re: Sanjay Kumar Kedia @ Sanjay Kedia</t>
        </is>
      </c>
      <c r="C48" s="11" t="inlineStr">
        <is>
          <t>(2009) 1 CHN 156</t>
        </is>
      </c>
      <c r="D48" s="11" t="n">
        <v>2009</v>
      </c>
      <c r="E48" s="11" t="inlineStr">
        <is>
          <t>none</t>
        </is>
      </c>
      <c r="F48" s="2" t="inlineStr">
        <is>
          <t>Sanjay Kumar Kedia @ Sanjay Kedia v. Intelligence Officer, Narcotic Control Bureau and Another</t>
        </is>
      </c>
    </row>
    <row r="49">
      <c r="A49" s="11" t="inlineStr">
        <is>
          <t>L1-0917</t>
        </is>
      </c>
      <c r="B49" s="2" t="inlineStr">
        <is>
          <t>Sayed Ismail v. Imambee and Others</t>
        </is>
      </c>
      <c r="C49" s="11" t="inlineStr"/>
      <c r="D49" s="11" t="n"/>
      <c r="E49" s="11" t="inlineStr">
        <is>
          <t>weak</t>
        </is>
      </c>
      <c r="F49" s="2" t="inlineStr">
        <is>
          <t>Ahmedsaheb (D) by L.Rs. and Others v. Sayed Ismail</t>
        </is>
      </c>
    </row>
    <row r="50">
      <c r="A50" s="11" t="inlineStr">
        <is>
          <t>L1-0919</t>
        </is>
      </c>
      <c r="B50" s="2" t="inlineStr">
        <is>
          <t>Ajay Pandit @ Jagdish Dayabhai Patel v. The State of Maharashtra</t>
        </is>
      </c>
      <c r="C50" s="11" t="inlineStr"/>
      <c r="D50" s="11" t="n"/>
      <c r="E50" s="11" t="inlineStr">
        <is>
          <t>weak</t>
        </is>
      </c>
      <c r="F50" s="2" t="inlineStr">
        <is>
          <t>Ajay Pandit @ Jagdish Dayabhai Patel and Another v. State of Maharashtra</t>
        </is>
      </c>
    </row>
    <row r="51">
      <c r="A51" s="11" t="inlineStr">
        <is>
          <t>L1-0920</t>
        </is>
      </c>
      <c r="B51" s="2" t="inlineStr">
        <is>
          <t>The Administrator v. Mr. Gulabhia M. Lad.</t>
        </is>
      </c>
      <c r="C51" s="11" t="inlineStr"/>
      <c r="D51" s="11" t="n"/>
      <c r="E51" s="11" t="inlineStr">
        <is>
          <t>weak</t>
        </is>
      </c>
      <c r="F51" s="2" t="inlineStr">
        <is>
          <t>The Administrator, Union Territory of Dadra and Nagar Haveli v. Gulabhia M. Lad</t>
        </is>
      </c>
    </row>
    <row r="52">
      <c r="A52" s="11" t="inlineStr">
        <is>
          <t>L1-0943</t>
        </is>
      </c>
      <c r="B52" s="2" t="inlineStr">
        <is>
          <t>Commissioner of Income Tax v. Chemiequip Ltd.</t>
        </is>
      </c>
      <c r="C52" s="11" t="inlineStr">
        <is>
          <t>(2003) 182 CTR 144; (2004) 265 ITR 265; (2003) 129 TAXMAN 581</t>
        </is>
      </c>
      <c r="D52" s="11" t="n">
        <v>2003</v>
      </c>
      <c r="E52" s="11" t="inlineStr">
        <is>
          <t>none</t>
        </is>
      </c>
      <c r="F52" s="2" t="inlineStr">
        <is>
          <t>Commissioner of Income Tax, Bhopal v. Ralson Industries Ltd.</t>
        </is>
      </c>
    </row>
    <row r="53">
      <c r="A53" s="11" t="inlineStr">
        <is>
          <t>L1-0985</t>
        </is>
      </c>
      <c r="B53" s="2" t="inlineStr">
        <is>
          <t>Apar Private Ltd. and others v. Union of India and others</t>
        </is>
      </c>
      <c r="C53" s="11" t="inlineStr">
        <is>
          <t>(1986) 1 BomCR 196; (1986) 88 BOMLR 355; (1985) 6 ECC 241; (1988) 19 ECR 514; (1985) 22 ELT 644</t>
        </is>
      </c>
      <c r="D53" s="11" t="n">
        <v>1985</v>
      </c>
      <c r="E53" s="11" t="inlineStr">
        <is>
          <t>none</t>
        </is>
      </c>
      <c r="F53" s="2" t="inlineStr">
        <is>
          <t>Union of India and others v. Apar Private Ltd. and Others</t>
        </is>
      </c>
    </row>
    <row r="54">
      <c r="A54" s="11" t="inlineStr">
        <is>
          <t>L1-0988</t>
        </is>
      </c>
      <c r="B54" s="2" t="inlineStr">
        <is>
          <t>State of Maharashtra v. Sadashio Mundaji Bhalerao and Others</t>
        </is>
      </c>
      <c r="C54" s="11" t="inlineStr"/>
      <c r="D54" s="11" t="n"/>
      <c r="E54" s="11" t="inlineStr">
        <is>
          <t>weak</t>
        </is>
      </c>
      <c r="F54" s="2" t="inlineStr">
        <is>
          <t>Sadashio Mundaji Bhalerao v. State of Maharashtra</t>
        </is>
      </c>
    </row>
    <row r="55">
      <c r="A55" s="11" t="inlineStr">
        <is>
          <t>L1-0993</t>
        </is>
      </c>
      <c r="B55" s="2" t="inlineStr">
        <is>
          <t>Britannia Biscuit Co. Ltd. v. Third Industrial Tribunal and Another, 80 CWN 676 : (1977) 1 LLJ 197</t>
        </is>
      </c>
      <c r="C55" s="11" t="inlineStr"/>
      <c r="D55" s="11" t="n"/>
      <c r="E55" s="11" t="inlineStr">
        <is>
          <t>weak</t>
        </is>
      </c>
      <c r="F55" s="2" t="inlineStr">
        <is>
          <t>Shankar Chakravarti v. Britannia Biscuit Co. Ltd. and Another</t>
        </is>
      </c>
    </row>
    <row r="56">
      <c r="A56" s="11" t="inlineStr">
        <is>
          <t>L1-0995</t>
        </is>
      </c>
      <c r="B56" s="2" t="inlineStr">
        <is>
          <t>Bradma of India Limited v. State of Maharashtra</t>
        </is>
      </c>
      <c r="C56" s="11" t="inlineStr"/>
      <c r="D56" s="11" t="n"/>
      <c r="E56" s="11" t="inlineStr">
        <is>
          <t>none</t>
        </is>
      </c>
      <c r="F56" s="2" t="inlineStr">
        <is>
          <t>State of Maharashtra v. Bradma of India Ltd.</t>
        </is>
      </c>
    </row>
    <row r="57">
      <c r="A57" s="11" t="inlineStr">
        <is>
          <t>L1-0999</t>
        </is>
      </c>
      <c r="B57" s="2" t="inlineStr">
        <is>
          <t>Union of India (UOI) and Divisional Railway Manager, Mumbai Division, Central Railway v. Shri Moni Shankar, Booking Supervisor, Mumbai Division, Central Railway</t>
        </is>
      </c>
      <c r="C57" s="11" t="inlineStr">
        <is>
          <t>(2006) 3 ALLMR 9; (2006) 4 BomCR 768; (2006) 110 FLR 653; (2006) 4 MhLj 119</t>
        </is>
      </c>
      <c r="D57" s="11" t="n">
        <v>2006</v>
      </c>
      <c r="E57" s="11" t="inlineStr">
        <is>
          <t>none</t>
        </is>
      </c>
      <c r="F57" s="2" t="inlineStr">
        <is>
          <t>Moni Shankar v. Union of India (UOI) and Another</t>
        </is>
      </c>
    </row>
    <row r="58">
      <c r="A58" s="11" t="inlineStr">
        <is>
          <t>L1-1009</t>
        </is>
      </c>
      <c r="B58" s="2" t="inlineStr">
        <is>
          <t>State of Maharashtra v. Deepchand Khushalchand Jain and others</t>
        </is>
      </c>
      <c r="C58" s="11" t="inlineStr"/>
      <c r="D58" s="11" t="n"/>
      <c r="E58" s="11" t="inlineStr">
        <is>
          <t>weak</t>
        </is>
      </c>
      <c r="F58" s="2" t="inlineStr">
        <is>
          <t>T.V. Usman v. Food Inspector, Tellicherry Municipality, Tellicherry</t>
        </is>
      </c>
    </row>
    <row r="59">
      <c r="A59" s="11" t="inlineStr">
        <is>
          <t>L1-1015</t>
        </is>
      </c>
      <c r="B59" s="2" t="inlineStr">
        <is>
          <t>The Sakharkherda Education Society, Sakharkheda and Others v. The State of Maharashtra and Others</t>
        </is>
      </c>
      <c r="C59" s="11" t="inlineStr"/>
      <c r="D59" s="11" t="n"/>
      <c r="E59" s="11" t="inlineStr">
        <is>
          <t>weak</t>
        </is>
      </c>
      <c r="F59" s="2" t="inlineStr">
        <is>
          <t>The State of Maharashtra and Another v. Lok Shikshan Sansatha and Others</t>
        </is>
      </c>
    </row>
    <row r="60">
      <c r="A60" s="11" t="inlineStr">
        <is>
          <t>L1-1036</t>
        </is>
      </c>
      <c r="B60" s="2" t="inlineStr">
        <is>
          <t>Swam Mills Ltd. v. The Union of India (UOI), Ministry of Finance, Law and Justice, The Commissioner of Central Excise and The Superintendent of Central Excise, Range-05</t>
        </is>
      </c>
      <c r="C60" s="11" t="inlineStr"/>
      <c r="D60" s="11" t="n"/>
      <c r="E60" s="11" t="inlineStr">
        <is>
          <t>weak</t>
        </is>
      </c>
      <c r="F60" s="2" t="inlineStr">
        <is>
          <t>Swan Mills Ltd. v. Union of India (UOI) and Others</t>
        </is>
      </c>
    </row>
    <row r="61">
      <c r="A61" s="11" t="inlineStr">
        <is>
          <t>L1-1047</t>
        </is>
      </c>
      <c r="B61" s="2" t="inlineStr">
        <is>
          <t>Public Concern for Governance Trust Charitable v. The State of Maharashtra and Others</t>
        </is>
      </c>
      <c r="C61" s="11" t="inlineStr"/>
      <c r="D61" s="11" t="n"/>
      <c r="E61" s="11" t="inlineStr">
        <is>
          <t>weak</t>
        </is>
      </c>
      <c r="F61" s="2" t="inlineStr">
        <is>
          <t>State of Maharashtra v. Public Concern for Governance Trust and Others</t>
        </is>
      </c>
    </row>
    <row r="62">
      <c r="A62" s="11" t="inlineStr">
        <is>
          <t>L1-1054</t>
        </is>
      </c>
      <c r="B62" s="2" t="inlineStr">
        <is>
          <t>Allan John Waters and Duncan Alexander Grant v. State of Maharashtra and Maharukh Adenwalla</t>
        </is>
      </c>
      <c r="C62" s="11" t="inlineStr"/>
      <c r="D62" s="11" t="n"/>
      <c r="E62" s="11" t="inlineStr">
        <is>
          <t>weak</t>
        </is>
      </c>
      <c r="F62" s="2" t="inlineStr">
        <is>
          <t>Childline India Foundation and Another v. Allan John Waters and Others</t>
        </is>
      </c>
    </row>
    <row r="63">
      <c r="A63" s="11" t="inlineStr">
        <is>
          <t>L1-1056</t>
        </is>
      </c>
      <c r="B63" s="2" t="inlineStr">
        <is>
          <t>Dr. P.B. Desai and Others v. The State of Maharashtra</t>
        </is>
      </c>
      <c r="C63" s="11" t="inlineStr"/>
      <c r="D63" s="11" t="n"/>
      <c r="E63" s="11" t="inlineStr">
        <is>
          <t>weak</t>
        </is>
      </c>
      <c r="F63" s="2" t="inlineStr">
        <is>
          <t>The State of Maharashtra and P.C. Singh v. Dr. Praful B. Desai and Another</t>
        </is>
      </c>
    </row>
    <row r="64">
      <c r="A64" s="11" t="inlineStr">
        <is>
          <t>L1-1062</t>
        </is>
      </c>
      <c r="B64" s="2" t="inlineStr">
        <is>
          <t>Nivrutti Gangaram Pawar, since deceased, through his heirs and LRs Prakash Nivrutti Pawar and Others v. Dinkar Maruti Jadhav</t>
        </is>
      </c>
      <c r="C64" s="11" t="inlineStr">
        <is>
          <t>(2004) 2 ALLMR 193; (2012) 2 MhLj 219; (2004) 2 MhLj 674</t>
        </is>
      </c>
      <c r="D64" s="11" t="n">
        <v>2004</v>
      </c>
      <c r="E64" s="11" t="inlineStr">
        <is>
          <t>none</t>
        </is>
      </c>
      <c r="F64" s="2" t="inlineStr">
        <is>
          <t>Dinkar Maruti Jadhav v. Nivrutti Gangaram Pawar (dead) by Lrs. and Others</t>
        </is>
      </c>
    </row>
    <row r="65">
      <c r="A65" s="11" t="inlineStr">
        <is>
          <t>L1-1066</t>
        </is>
      </c>
      <c r="B65" s="2" t="inlineStr">
        <is>
          <t>Kashiram and Others v. State of Madhya Pradesh</t>
        </is>
      </c>
      <c r="C65" s="11" t="inlineStr"/>
      <c r="D65" s="11" t="n"/>
      <c r="E65" s="11" t="inlineStr">
        <is>
          <t>none</t>
        </is>
      </c>
      <c r="F65" s="2" t="inlineStr">
        <is>
          <t>State of M.P. v. Kashiram and Others</t>
        </is>
      </c>
    </row>
    <row r="66">
      <c r="A66" s="11" t="inlineStr">
        <is>
          <t>L1-1075</t>
        </is>
      </c>
      <c r="B66" s="2" t="inlineStr">
        <is>
          <t>Commissioner of Income Tax v. Shri Manakram</t>
        </is>
      </c>
      <c r="C66" s="11" t="inlineStr">
        <is>
          <t>(1990) 183 ITR 382; (1990) MPLJ 727; (1990) 53 TAXMAN 448</t>
        </is>
      </c>
      <c r="D66" s="11" t="n">
        <v>1990</v>
      </c>
      <c r="E66" s="11" t="inlineStr">
        <is>
          <t>none</t>
        </is>
      </c>
      <c r="F66" s="2" t="inlineStr">
        <is>
          <t>Commissioner of Income Tax, Ludhiana, etc.etc. v. Shri Om Prakash, etc.</t>
        </is>
      </c>
    </row>
    <row r="67">
      <c r="A67" s="11" t="inlineStr">
        <is>
          <t>L1-1095</t>
        </is>
      </c>
      <c r="B67" s="2" t="inlineStr">
        <is>
          <t>Owners and Parties Interested in the Vessel M.V. “Fortune Express” Another v. Maavar (HK) Ltd. and Others</t>
        </is>
      </c>
      <c r="C67" s="11" t="inlineStr">
        <is>
          <t>(2005) 1 CHN 204</t>
        </is>
      </c>
      <c r="D67" s="11" t="n">
        <v>2005</v>
      </c>
      <c r="E67" s="11" t="inlineStr">
        <is>
          <t>none</t>
        </is>
      </c>
      <c r="F67" s="2" t="inlineStr">
        <is>
          <t>Mayar (H.K.) Ltd. and Others v. Owners and Parties, Vessel M.V. Fortune Express and Others</t>
        </is>
      </c>
    </row>
    <row r="68">
      <c r="A68" s="11" t="inlineStr">
        <is>
          <t>L1-1117</t>
        </is>
      </c>
      <c r="B68" s="2" t="inlineStr">
        <is>
          <t>Jikku Paul, Student v. The M.G. University</t>
        </is>
      </c>
      <c r="C68" s="11" t="inlineStr"/>
      <c r="D68" s="11" t="n"/>
      <c r="E68" s="11" t="inlineStr">
        <is>
          <t>weak</t>
        </is>
      </c>
      <c r="F68" s="2" t="inlineStr">
        <is>
          <t>Mahatma Gandhi University and Another v. Jikku Paul and Others etc.</t>
        </is>
      </c>
    </row>
    <row r="69">
      <c r="A69" s="11" t="inlineStr">
        <is>
          <t>L1-1122</t>
        </is>
      </c>
      <c r="B69" s="2" t="inlineStr">
        <is>
          <t>Sajeesh Babu v. N.K. Santhosh</t>
        </is>
      </c>
      <c r="C69" s="11" t="inlineStr"/>
      <c r="D69" s="11" t="n"/>
      <c r="E69" s="11" t="inlineStr">
        <is>
          <t>weak</t>
        </is>
      </c>
      <c r="F69" s="2" t="inlineStr">
        <is>
          <t>Sajeesh Babu K. v. N.K. Santhosh and Others</t>
        </is>
      </c>
    </row>
    <row r="70">
      <c r="A70" s="11" t="inlineStr">
        <is>
          <t>L1-1128</t>
        </is>
      </c>
      <c r="B70" s="2" t="inlineStr">
        <is>
          <t>Premkumar v. State of Kerala</t>
        </is>
      </c>
      <c r="C70" s="11" t="inlineStr">
        <is>
          <t>(2008) 2 DMC 310</t>
        </is>
      </c>
      <c r="D70" s="11" t="n">
        <v>2008</v>
      </c>
      <c r="E70" s="11" t="inlineStr">
        <is>
          <t>none</t>
        </is>
      </c>
      <c r="F70" s="2" t="inlineStr">
        <is>
          <t>Premkumar and Others v. State of Kerala</t>
        </is>
      </c>
    </row>
    <row r="71">
      <c r="A71" s="11" t="inlineStr">
        <is>
          <t>L1-1129</t>
        </is>
      </c>
      <c r="B71" s="2" t="inlineStr">
        <is>
          <t>State of Kerala v. Sudhakaran</t>
        </is>
      </c>
      <c r="C71" s="11" t="inlineStr">
        <is>
          <t>(2001) CriLJ 3658; (2001) 3 ILR (Ker) 197</t>
        </is>
      </c>
      <c r="D71" s="11" t="n">
        <v>2001</v>
      </c>
      <c r="E71" s="11" t="inlineStr">
        <is>
          <t>none</t>
        </is>
      </c>
      <c r="F71" s="2" t="inlineStr">
        <is>
          <t>K. Sudhakaran v. State of Kerala</t>
        </is>
      </c>
    </row>
    <row r="72">
      <c r="A72" s="11" t="inlineStr">
        <is>
          <t>L1-1161</t>
        </is>
      </c>
      <c r="B72" s="2" t="inlineStr">
        <is>
          <t>Thomas v. State of Kerala and Others</t>
        </is>
      </c>
      <c r="C72" s="11" t="inlineStr">
        <is>
          <t>(1975) 1 LLJ 15</t>
        </is>
      </c>
      <c r="D72" s="11" t="n">
        <v>1975</v>
      </c>
      <c r="E72" s="11" t="inlineStr">
        <is>
          <t>none</t>
        </is>
      </c>
      <c r="F72" s="2" t="inlineStr">
        <is>
          <t>State of Kerala and Another v. N.M. Thomas and Others</t>
        </is>
      </c>
    </row>
    <row r="73">
      <c r="A73" s="11" t="inlineStr">
        <is>
          <t>L1-1197</t>
        </is>
      </c>
      <c r="B73" s="2" t="inlineStr">
        <is>
          <t>The Managing Director Hassan Co-operative Milk Producer’s Society Union Limited v. The Assistant Regional Director Employees State Insurance Corporation</t>
        </is>
      </c>
      <c r="C73" s="11" t="inlineStr"/>
      <c r="D73" s="11" t="n"/>
      <c r="E73" s="11" t="inlineStr">
        <is>
          <t>weak</t>
        </is>
      </c>
      <c r="F73" s="2" t="inlineStr">
        <is>
          <t>The Managing Director, Hassan Co- operative Milk Producer’s Society Union Limited v. The Assistant Regional Director Employees State Insurance Corporation</t>
        </is>
      </c>
    </row>
    <row r="74">
      <c r="A74" s="11" t="inlineStr">
        <is>
          <t>L1-1208</t>
        </is>
      </c>
      <c r="B74" s="2" t="inlineStr">
        <is>
          <t>Uday v. State</t>
        </is>
      </c>
      <c r="C74" s="11" t="inlineStr">
        <is>
          <t>(1996) ILR (Kar) 312</t>
        </is>
      </c>
      <c r="D74" s="11" t="n">
        <v>1996</v>
      </c>
      <c r="E74" s="11" t="inlineStr">
        <is>
          <t>none</t>
        </is>
      </c>
      <c r="F74" s="2" t="inlineStr">
        <is>
          <t>Uday v. State of Karnataka</t>
        </is>
      </c>
    </row>
    <row r="75">
      <c r="A75" s="11" t="inlineStr">
        <is>
          <t>L1-1241</t>
        </is>
      </c>
      <c r="B75" s="2" t="inlineStr">
        <is>
          <t>Karnataka State Financial Corporation v. Commissioner of Income Tax</t>
        </is>
      </c>
      <c r="C75" s="11" t="inlineStr">
        <is>
          <t>(1988) 174 ITR 206</t>
        </is>
      </c>
      <c r="D75" s="11" t="n">
        <v>1988</v>
      </c>
      <c r="E75" s="11" t="inlineStr">
        <is>
          <t>none</t>
        </is>
      </c>
      <c r="F75" s="2" t="inlineStr">
        <is>
          <t>The Commissioner of Income Tax, Trivandrum v. The Kerala State Industrial Development Corporation Ltd., Trivandrum</t>
        </is>
      </c>
    </row>
    <row r="76">
      <c r="A76" s="11" t="inlineStr">
        <is>
          <t>L1-1245</t>
        </is>
      </c>
      <c r="B76" s="2" t="inlineStr">
        <is>
          <t>The State of Karnataka v. Krishnappa</t>
        </is>
      </c>
      <c r="C76" s="11" t="inlineStr">
        <is>
          <t>(2004) CriLJ 2175; (2004) ILR (Kar) 1969; (2004) 7 KarLJ 66; (2004) 3 KCCR 1690</t>
        </is>
      </c>
      <c r="D76" s="11" t="n">
        <v>2004</v>
      </c>
      <c r="E76" s="11" t="inlineStr">
        <is>
          <t>none</t>
        </is>
      </c>
      <c r="F76" s="2" t="inlineStr">
        <is>
          <t>Krishnappa v. State of Karnataka</t>
        </is>
      </c>
    </row>
    <row r="77">
      <c r="A77" s="11" t="inlineStr">
        <is>
          <t>L1-1262</t>
        </is>
      </c>
      <c r="B77" s="2" t="inlineStr">
        <is>
          <t>Harishchandra Prasad Mani, Monika Mani, Abhishek Mani and Sharda Sinha v. The State of Jharkhand and Suresh Chandra Sinha</t>
        </is>
      </c>
      <c r="C77" s="11" t="inlineStr"/>
      <c r="D77" s="11" t="n"/>
      <c r="E77" s="11" t="inlineStr">
        <is>
          <t>weak</t>
        </is>
      </c>
      <c r="F77" s="2" t="inlineStr">
        <is>
          <t>Harishchandra Prasad Mani and Others v. State of Jharkhand and Another</t>
        </is>
      </c>
    </row>
    <row r="78">
      <c r="A78" s="11" t="inlineStr">
        <is>
          <t>L1-1264</t>
        </is>
      </c>
      <c r="B78" s="2" t="inlineStr">
        <is>
          <t>Ashok Kumar Dangi and Others, Ashok Kumar Sahani and Others, Mahendra Kumar Gupta and Others and Jainuel Ansari v. State of Jharkhand and Others</t>
        </is>
      </c>
      <c r="C78" s="11" t="inlineStr">
        <is>
          <t>(2006) 2 JCR 139</t>
        </is>
      </c>
      <c r="D78" s="11" t="n">
        <v>2006</v>
      </c>
      <c r="E78" s="11" t="inlineStr">
        <is>
          <t>none</t>
        </is>
      </c>
      <c r="F78" s="2" t="inlineStr">
        <is>
          <t>State of Jharkhand and Others v. Ashok Kumar Dangi and Others</t>
        </is>
      </c>
    </row>
    <row r="79">
      <c r="A79" s="11" t="inlineStr">
        <is>
          <t>L1-1324</t>
        </is>
      </c>
      <c r="B79" s="2" t="inlineStr">
        <is>
          <t>State of Gujarat and 3 v. Arvindkumar T Tiwari</t>
        </is>
      </c>
      <c r="C79" s="11" t="inlineStr"/>
      <c r="D79" s="11" t="n"/>
      <c r="E79" s="11" t="inlineStr">
        <is>
          <t>weak</t>
        </is>
      </c>
      <c r="F79" s="2" t="inlineStr">
        <is>
          <t>State of Gujarat and Others v. Arvindkumar T. Tiwari and Another</t>
        </is>
      </c>
    </row>
    <row r="80">
      <c r="A80" s="11" t="inlineStr">
        <is>
          <t>L1-1353</t>
        </is>
      </c>
      <c r="B80" s="2" t="inlineStr">
        <is>
          <t>Commissioner of Income Tax, Gujarat I v. Gujarat State Warehousing Corporation</t>
        </is>
      </c>
      <c r="C80" s="11" t="inlineStr">
        <is>
          <t>(1976) 104 ITR 1</t>
        </is>
      </c>
      <c r="D80" s="11" t="n">
        <v>1976</v>
      </c>
      <c r="E80" s="11" t="inlineStr">
        <is>
          <t>none</t>
        </is>
      </c>
      <c r="F80" s="2" t="inlineStr">
        <is>
          <t>Commissioner of Income Tax v. Mahendra Mills</t>
        </is>
      </c>
    </row>
    <row r="81">
      <c r="A81" s="11" t="inlineStr">
        <is>
          <t>L1-1361</t>
        </is>
      </c>
      <c r="B81" s="2" t="inlineStr">
        <is>
          <t>Valji Khimji and Company v. O.L. of Hindustan Nitroproduct (Gujarat) Ltd. and Others</t>
        </is>
      </c>
      <c r="C81" s="11" t="inlineStr"/>
      <c r="D81" s="11" t="n"/>
      <c r="E81" s="11" t="inlineStr">
        <is>
          <t>weak</t>
        </is>
      </c>
      <c r="F81" s="2" t="inlineStr">
        <is>
          <t>Valji Khimji and Company v. Official Liquidator of Hindustan Nitro Product (Gujarat) Ltd. and Others</t>
        </is>
      </c>
    </row>
    <row r="82">
      <c r="A82" s="11" t="inlineStr">
        <is>
          <t>L1-1362</t>
        </is>
      </c>
      <c r="B82" s="2" t="inlineStr">
        <is>
          <t>Central Bureau of Investigation v. The State of Gujarat</t>
        </is>
      </c>
      <c r="C82" s="11" t="inlineStr"/>
      <c r="D82" s="11" t="n"/>
      <c r="E82" s="11" t="inlineStr">
        <is>
          <t>weak</t>
        </is>
      </c>
      <c r="F82" s="2" t="inlineStr">
        <is>
          <t>Central Bureau of Investigation v. State of Gujarat</t>
        </is>
      </c>
    </row>
    <row r="83">
      <c r="A83" s="11" t="inlineStr">
        <is>
          <t>L1-1370</t>
        </is>
      </c>
      <c r="B83" s="2" t="inlineStr">
        <is>
          <t>Suresh B. Kella v. State of Gujarat</t>
        </is>
      </c>
      <c r="C83" s="11" t="inlineStr"/>
      <c r="D83" s="11" t="n"/>
      <c r="E83" s="11" t="inlineStr">
        <is>
          <t>weak</t>
        </is>
      </c>
      <c r="F83" s="2" t="inlineStr">
        <is>
          <t>Mulchand Khanumal Khatri v. State of Gujarat and Others</t>
        </is>
      </c>
    </row>
    <row r="84">
      <c r="A84" s="11" t="inlineStr">
        <is>
          <t>L1-1371</t>
        </is>
      </c>
      <c r="B84" s="2" t="inlineStr">
        <is>
          <t>Abdulwahab Abdulmajid Baloch v. State of Gujarat</t>
        </is>
      </c>
      <c r="C84" s="11" t="inlineStr"/>
      <c r="D84" s="11" t="n"/>
      <c r="E84" s="11" t="inlineStr">
        <is>
          <t>weak</t>
        </is>
      </c>
      <c r="F84" s="2" t="inlineStr">
        <is>
          <t>Abdulwahab Abdulmajid Baloch v. State of Gujarat</t>
        </is>
      </c>
    </row>
    <row r="85">
      <c r="A85" s="11" t="inlineStr">
        <is>
          <t>L1-1375</t>
        </is>
      </c>
      <c r="B85" s="2" t="inlineStr">
        <is>
          <t>Shah Nawaz v. State of U.P. and Another</t>
        </is>
      </c>
      <c r="C85" s="11" t="inlineStr"/>
      <c r="D85" s="11" t="n"/>
      <c r="E85" s="11" t="inlineStr">
        <is>
          <t>weak</t>
        </is>
      </c>
      <c r="F85" s="2" t="inlineStr">
        <is>
          <t>Shah Nawaz v. State of U.P. and Another</t>
        </is>
      </c>
    </row>
    <row r="86">
      <c r="A86" s="11" t="inlineStr">
        <is>
          <t>L1-1378</t>
        </is>
      </c>
      <c r="B86" s="2" t="inlineStr">
        <is>
          <t>Ghaziabad Development Authority, Ghaziabad v. Ashok Kumar, Amin and State of U.P.</t>
        </is>
      </c>
      <c r="C86" s="11" t="inlineStr"/>
      <c r="D86" s="11" t="n"/>
      <c r="E86" s="11" t="inlineStr">
        <is>
          <t>weak</t>
        </is>
      </c>
      <c r="F86" s="2" t="inlineStr">
        <is>
          <t>Ghaziabad Development Authority and Another v. Ashok Kumar and Another</t>
        </is>
      </c>
    </row>
    <row r="87">
      <c r="A87" s="11" t="inlineStr">
        <is>
          <t>L1-1382</t>
        </is>
      </c>
      <c r="B87" s="2" t="inlineStr">
        <is>
          <t>Dr. Monica Kumar and Mrs. Savitri Srivastava and Dr. Manish Kumar and Mrs. Savitri Srivastava v. State of Uttar Pradesh, Indra Mohini Sharma, Dr. P. Mahalingam</t>
        </is>
      </c>
      <c r="C87" s="11" t="inlineStr"/>
      <c r="D87" s="11" t="n"/>
      <c r="E87" s="11" t="inlineStr">
        <is>
          <t>weak</t>
        </is>
      </c>
      <c r="F87" s="2" t="inlineStr">
        <is>
          <t>Dr. Monica Kumar and Another v. State of U.P. and Others</t>
        </is>
      </c>
    </row>
    <row r="88">
      <c r="A88" s="11" t="inlineStr">
        <is>
          <t>L1-1389</t>
        </is>
      </c>
      <c r="B88" s="2" t="inlineStr">
        <is>
          <t>Narender Kumar v. The State (NCT of Delhi)</t>
        </is>
      </c>
      <c r="C88" s="11" t="inlineStr"/>
      <c r="D88" s="11" t="n"/>
      <c r="E88" s="11" t="inlineStr">
        <is>
          <t>weak</t>
        </is>
      </c>
      <c r="F88" s="2" t="inlineStr">
        <is>
          <t>Narender Kumar v. State (NCT of Delhi)</t>
        </is>
      </c>
    </row>
    <row r="89">
      <c r="A89" s="11" t="inlineStr">
        <is>
          <t>L1-1390</t>
        </is>
      </c>
      <c r="B89" s="2" t="inlineStr">
        <is>
          <t>Union of India (UOI) v. Pradip Kumar Kedia</t>
        </is>
      </c>
      <c r="C89" s="11" t="inlineStr"/>
      <c r="D89" s="11" t="n"/>
      <c r="E89" s="11" t="inlineStr">
        <is>
          <t>weak</t>
        </is>
      </c>
      <c r="F89" s="2" t="inlineStr">
        <is>
          <t>Union of India (UOI) and Another v. Pradip Kumar Kedia</t>
        </is>
      </c>
    </row>
    <row r="90">
      <c r="A90" s="11" t="inlineStr">
        <is>
          <t>L1-1398</t>
        </is>
      </c>
      <c r="B90" s="2" t="inlineStr">
        <is>
          <t>Pritpal Singh, Ram Babu Choudhary, Surender Kumar, Satya Prakash Sharma, Gulam Ali and Another and Jagram Singh v. Union of India (UOI) and Others</t>
        </is>
      </c>
      <c r="C90" s="11" t="inlineStr"/>
      <c r="D90" s="11" t="n"/>
      <c r="E90" s="11" t="inlineStr">
        <is>
          <t>none</t>
        </is>
      </c>
      <c r="F90" s="2" t="inlineStr">
        <is>
          <t>Badri Prasad and Others v. Union of India (UOI) and Others</t>
        </is>
      </c>
    </row>
    <row r="91">
      <c r="A91" s="11" t="inlineStr">
        <is>
          <t>L1-1399</t>
        </is>
      </c>
      <c r="B91" s="2" t="inlineStr">
        <is>
          <t>Mehta Brothers and Others v. Bank of India and Another</t>
        </is>
      </c>
      <c r="C91" s="11" t="inlineStr"/>
      <c r="D91" s="11" t="n"/>
      <c r="E91" s="11" t="inlineStr">
        <is>
          <t>weak</t>
        </is>
      </c>
      <c r="F91" s="2" t="inlineStr">
        <is>
          <t>Bank of India v. Mehta Brothers and Others</t>
        </is>
      </c>
    </row>
    <row r="92">
      <c r="A92" s="11" t="inlineStr">
        <is>
          <t>L1-1425</t>
        </is>
      </c>
      <c r="B92" s="2" t="inlineStr">
        <is>
          <t>Mayur Syntex Ltd. (in Liquidation) and Atlantic Engineering Services Pvt. Ltd. v. Punjab and Sind Bank</t>
        </is>
      </c>
      <c r="C92" s="11" t="inlineStr">
        <is>
          <t>(1997) 4 AD 821; (1999) 96 CompCas 974; (1997) 67 DLT 836</t>
        </is>
      </c>
      <c r="D92" s="11" t="n">
        <v>1997</v>
      </c>
      <c r="E92" s="11" t="inlineStr">
        <is>
          <t>none</t>
        </is>
      </c>
      <c r="F92" s="2" t="inlineStr">
        <is>
          <t>Allahabad Bank v. Canara Bank and Another</t>
        </is>
      </c>
    </row>
    <row r="93">
      <c r="A93" s="11" t="inlineStr">
        <is>
          <t>L1-1499</t>
        </is>
      </c>
      <c r="B93" s="2" t="inlineStr">
        <is>
          <t>Chiranji Lal (Since Decd.) through L.Rs. v. Hari Das Sood (Since Decd.) through L.Rs.</t>
        </is>
      </c>
      <c r="C93" s="11" t="inlineStr"/>
      <c r="D93" s="11" t="n"/>
      <c r="E93" s="11" t="inlineStr">
        <is>
          <t>none</t>
        </is>
      </c>
      <c r="F93" s="2" t="inlineStr">
        <is>
          <t>Dr. Chiranji Lal (D) by LRs. v. Hari Das (D) by LRs.</t>
        </is>
      </c>
    </row>
    <row r="94">
      <c r="A94" s="11" t="inlineStr">
        <is>
          <t>L1-1506</t>
        </is>
      </c>
      <c r="B94" s="2" t="inlineStr">
        <is>
          <t>V.K. Sodhi and Others v. Lt. Governor and Others</t>
        </is>
      </c>
      <c r="C94" s="11" t="inlineStr"/>
      <c r="D94" s="11" t="n"/>
      <c r="E94" s="11" t="inlineStr">
        <is>
          <t>weak</t>
        </is>
      </c>
      <c r="F94" s="2" t="inlineStr">
        <is>
          <t>Lt. Governor of Delhi and Others v. V.K. Sodhi and Others</t>
        </is>
      </c>
    </row>
    <row r="95">
      <c r="A95" s="11" t="inlineStr">
        <is>
          <t>L1-1513</t>
        </is>
      </c>
      <c r="B95" s="2" t="inlineStr">
        <is>
          <t>1. Mrs. Kailash Suneja (C.W. NO. 5220 of 1993 AND C.M. No. 1988 of 1994) 2. Shatabdi Trading and Investments Pvt. Ltd. and others. (C.W. NO. 4153 of 1993 and C.M. No. 3199 of 1994) 3. Chauhan Builders and Constructions Pvt. Ltd. (C.W. NO. 4589 of 1994) 4. Shashi Sehgal (C.W. No. 3726 of 1994) 5. R. C. Chawla and Another (C.W. No. 3884 of 1994) v. Appropriate Authority and Others. DR. A. K. Garg and Another (C.W. No. 3139 of 1993) v. Kailash Nath and Associates and Others. Chiranji Estates Pvt. Ltd. (C.W. No. 5613 of 1993) v. Union of India and Others. Express Towers Pvt. Ltd. and Another (C.W. No. 4357 and C.M.S. Nos. 7857 of 1993, 2043 of 1994 and 1811 of 1995) v. Deputy Commissioner of Income Tax and Others. Mahesh Chandra Agarwal and Another (C.W. No. 3594 of 1990 and C.M. No. 6632 of 1993) v. Union of India and Others.</t>
        </is>
      </c>
      <c r="C95" s="11" t="inlineStr">
        <is>
          <t>(1998) 231 ITR 318; (1998) 97 TAXMAN 144</t>
        </is>
      </c>
      <c r="D95" s="11" t="n">
        <v>1998</v>
      </c>
      <c r="E95" s="11" t="inlineStr">
        <is>
          <t>none</t>
        </is>
      </c>
      <c r="F95" s="2" t="inlineStr">
        <is>
          <t>Union of India and Others v. M/s. Shatabadi Trading and Investment Pvt. Ltd. and Others</t>
        </is>
      </c>
    </row>
    <row r="96">
      <c r="A96" s="11" t="inlineStr">
        <is>
          <t>L1-1519</t>
        </is>
      </c>
      <c r="B96" s="2" t="inlineStr">
        <is>
          <t>Indian Oil Corporation Limited v. SPS Engineering Limited</t>
        </is>
      </c>
      <c r="C96" s="11" t="inlineStr"/>
      <c r="D96" s="11" t="n"/>
      <c r="E96" s="11" t="inlineStr">
        <is>
          <t>weak</t>
        </is>
      </c>
      <c r="F96" s="2" t="inlineStr">
        <is>
          <t>Indian Oil Corporation Ltd. v. SPS Engineering Ltd.</t>
        </is>
      </c>
    </row>
    <row r="97">
      <c r="A97" s="11" t="inlineStr">
        <is>
          <t>L1-1522</t>
        </is>
      </c>
      <c r="B97" s="2" t="inlineStr">
        <is>
          <t>State v. Sayed Mohd. Ahmad Kazmi</t>
        </is>
      </c>
      <c r="C97" s="11" t="inlineStr"/>
      <c r="D97" s="11" t="n"/>
      <c r="E97" s="11" t="inlineStr">
        <is>
          <t>weak</t>
        </is>
      </c>
      <c r="F97" s="2" t="inlineStr">
        <is>
          <t>Sayed Mohd. Ahmed Kazmi v. State, GNCTD and Others</t>
        </is>
      </c>
    </row>
    <row r="98">
      <c r="A98" s="11" t="inlineStr">
        <is>
          <t>L1-1529</t>
        </is>
      </c>
      <c r="B98" s="2" t="inlineStr">
        <is>
          <t>AFHQ Civil Service (Direct Recruit Gazetted) Officers’ Association v. Union of India (UOI) and Others</t>
        </is>
      </c>
      <c r="C98" s="11" t="inlineStr"/>
      <c r="D98" s="11" t="n"/>
      <c r="E98" s="11" t="inlineStr">
        <is>
          <t>weak</t>
        </is>
      </c>
      <c r="F98" s="2" t="inlineStr">
        <is>
          <t>AFHQ/ISOs SOs (DP) Association and Others v. Union of India (UOI) and Others</t>
        </is>
      </c>
    </row>
    <row r="99">
      <c r="A99" s="11" t="inlineStr">
        <is>
          <t>L1-1538</t>
        </is>
      </c>
      <c r="B99" s="2" t="inlineStr">
        <is>
          <t>The Divisional Manager, New India assurance Company Ltd. v. Ranjana Prakash and Others</t>
        </is>
      </c>
      <c r="C99" s="11" t="inlineStr"/>
      <c r="D99" s="11" t="n"/>
      <c r="E99" s="11" t="inlineStr">
        <is>
          <t>weak</t>
        </is>
      </c>
      <c r="F99" s="2" t="inlineStr">
        <is>
          <t>Ranjana Prakash and Others v. Divisional Manager and Another</t>
        </is>
      </c>
    </row>
    <row r="100">
      <c r="A100" s="11" t="inlineStr">
        <is>
          <t>L1-1543</t>
        </is>
      </c>
      <c r="B100" s="2" t="inlineStr">
        <is>
          <t>Bhagwan Singh and Others v. State of Bihar and Others</t>
        </is>
      </c>
      <c r="C100" s="11" t="inlineStr"/>
      <c r="D100" s="11" t="n"/>
      <c r="E100" s="11" t="inlineStr">
        <is>
          <t>weak</t>
        </is>
      </c>
      <c r="F100" s="2" t="inlineStr">
        <is>
          <t>Arun Singh @ Arun Kumar Singh v. State of Bihar and Others</t>
        </is>
      </c>
    </row>
    <row r="101">
      <c r="A101" s="11" t="inlineStr">
        <is>
          <t>L1-1549</t>
        </is>
      </c>
      <c r="B101" s="2" t="inlineStr">
        <is>
          <t>Puspa Devi and Others v. Most. Anand Moyi Devi and Others</t>
        </is>
      </c>
      <c r="C101" s="11" t="inlineStr"/>
      <c r="D101" s="11" t="n"/>
      <c r="E101" s="11" t="inlineStr">
        <is>
          <t>weak</t>
        </is>
      </c>
      <c r="F101" s="2" t="inlineStr">
        <is>
          <t>Deb Ratan Biswas and Others v. Most. Anand Moyi Devi and Others</t>
        </is>
      </c>
    </row>
    <row r="102">
      <c r="A102" s="11" t="inlineStr">
        <is>
          <t>L1-1558</t>
        </is>
      </c>
      <c r="B102" s="2" t="inlineStr">
        <is>
          <t>Bihar Pensioners Samaj v. The State of Bihar and Others</t>
        </is>
      </c>
      <c r="C102" s="11" t="inlineStr"/>
      <c r="D102" s="11" t="n"/>
      <c r="E102" s="11" t="inlineStr">
        <is>
          <t>weak</t>
        </is>
      </c>
      <c r="F102" s="2" t="inlineStr">
        <is>
          <t>State of Bihar and Others v. Bihar Pensioners Samaj</t>
        </is>
      </c>
    </row>
    <row r="103">
      <c r="A103" s="11" t="inlineStr">
        <is>
          <t>L1-1572</t>
        </is>
      </c>
      <c r="B103" s="2" t="inlineStr">
        <is>
          <t>Sunil Kumar Parimal and Another v. The State of Bihar and Others</t>
        </is>
      </c>
      <c r="C103" s="11" t="inlineStr"/>
      <c r="D103" s="11" t="n"/>
      <c r="E103" s="11" t="inlineStr">
        <is>
          <t>weak</t>
        </is>
      </c>
      <c r="F103" s="2" t="inlineStr">
        <is>
          <t>Sunil Kumar Parimal and Another v. The State of Bihar and Others</t>
        </is>
      </c>
    </row>
    <row r="104">
      <c r="A104" s="11" t="inlineStr">
        <is>
          <t>L1-1581</t>
        </is>
      </c>
      <c r="B104" s="2" t="inlineStr">
        <is>
          <t>Sunil Kumar Singh v. Smt. Prabha and Others</t>
        </is>
      </c>
      <c r="C104" s="11" t="inlineStr"/>
      <c r="D104" s="11" t="n"/>
      <c r="E104" s="11" t="inlineStr">
        <is>
          <t>weak</t>
        </is>
      </c>
      <c r="F104" s="2" t="inlineStr">
        <is>
          <t>Atul Singh and Others v. Sunil Kumar Singh and Others</t>
        </is>
      </c>
    </row>
    <row r="105">
      <c r="A105" s="11" t="inlineStr">
        <is>
          <t>L1-1585</t>
        </is>
      </c>
      <c r="B105" s="2" t="inlineStr">
        <is>
          <t>Arun Kumar Sharma v. State of Bihar</t>
        </is>
      </c>
      <c r="C105" s="11" t="inlineStr"/>
      <c r="D105" s="11" t="n"/>
      <c r="E105" s="11" t="inlineStr">
        <is>
          <t>weak</t>
        </is>
      </c>
      <c r="F105" s="2" t="inlineStr">
        <is>
          <t>Arun Kumar Sharma v. State of Bihar</t>
        </is>
      </c>
    </row>
    <row r="106">
      <c r="A106" s="11" t="inlineStr">
        <is>
          <t>L1-1589</t>
        </is>
      </c>
      <c r="B106" s="2" t="inlineStr">
        <is>
          <t>State Bank of India v. Ranjan Chemicals Ltd. and Another</t>
        </is>
      </c>
      <c r="C106" s="11" t="inlineStr"/>
      <c r="D106" s="11" t="n"/>
      <c r="E106" s="11" t="inlineStr">
        <is>
          <t>weak</t>
        </is>
      </c>
      <c r="F106" s="2" t="inlineStr">
        <is>
          <t>State Bank of India v. Ranjan Chemicals Ltd. and Another</t>
        </is>
      </c>
    </row>
    <row r="107">
      <c r="A107" s="11" t="inlineStr">
        <is>
          <t>L1-1592</t>
        </is>
      </c>
      <c r="B107" s="2" t="inlineStr">
        <is>
          <t>Bihar State Electricity Board and Another v. Ram Deo Prasad Singh and Others</t>
        </is>
      </c>
      <c r="C107" s="11" t="inlineStr"/>
      <c r="D107" s="11" t="n"/>
      <c r="E107" s="11" t="inlineStr">
        <is>
          <t>weak</t>
        </is>
      </c>
      <c r="F107" s="2" t="inlineStr">
        <is>
          <t>Bihar State Electricity Board and Another v. Ram Deo Prasad Singh and Others</t>
        </is>
      </c>
    </row>
    <row r="108">
      <c r="A108" s="11" t="inlineStr">
        <is>
          <t>L1-1623</t>
        </is>
      </c>
      <c r="B108" s="2" t="inlineStr">
        <is>
          <t>Government of Andhra Pradesh and Another v. Bactchala BalaiahAIR 1985 AP 52</t>
        </is>
      </c>
      <c r="C108" s="11" t="inlineStr"/>
      <c r="D108" s="11" t="n"/>
      <c r="E108" s="11" t="inlineStr">
        <is>
          <t>weak</t>
        </is>
      </c>
      <c r="F108" s="2" t="inlineStr">
        <is>
          <t>Union of India and Others v. Manager, M/s. Jain and Associates</t>
        </is>
      </c>
    </row>
    <row r="109">
      <c r="A109" s="11" t="inlineStr">
        <is>
          <t>L1-1631</t>
        </is>
      </c>
      <c r="B109" s="2" t="inlineStr">
        <is>
          <t>The Commissioner, Trade Tax v. S/s The Cooperative Company Limited</t>
        </is>
      </c>
      <c r="C109" s="11" t="inlineStr"/>
      <c r="D109" s="11" t="n"/>
      <c r="E109" s="11" t="inlineStr">
        <is>
          <t>weak</t>
        </is>
      </c>
      <c r="F109" s="2" t="inlineStr">
        <is>
          <t>Co-operative Company Ltd. v. Commissioner of Trade Tax, U.P.</t>
        </is>
      </c>
    </row>
    <row r="110">
      <c r="A110" s="11" t="inlineStr">
        <is>
          <t>L1-1647</t>
        </is>
      </c>
      <c r="B110" s="2" t="inlineStr">
        <is>
          <t>The Food Inspector, Kovur, Hyderabad v. Jaladanki Fajamma and Others</t>
        </is>
      </c>
      <c r="C110" s="11" t="inlineStr"/>
      <c r="D110" s="11" t="n"/>
      <c r="E110" s="11" t="inlineStr">
        <is>
          <t>weak</t>
        </is>
      </c>
      <c r="F110" s="2" t="inlineStr">
        <is>
          <t>T.V. Usman v. Food Inspector, Tellicherry Municipality, Tellicherry</t>
        </is>
      </c>
    </row>
    <row r="111">
      <c r="A111" s="11" t="inlineStr">
        <is>
          <t>L1-1668</t>
        </is>
      </c>
      <c r="B111" s="2" t="inlineStr">
        <is>
          <t>Dr. D. Renuka v. Commissioner of Wealth-tax</t>
        </is>
      </c>
      <c r="C111" s="11" t="inlineStr"/>
      <c r="D111" s="11" t="n"/>
      <c r="E111" s="11" t="inlineStr">
        <is>
          <t>weak</t>
        </is>
      </c>
      <c r="F111" s="2" t="inlineStr">
        <is>
          <t>Bharat Hari Singhania and others v. Commissioner of Wealth Tax (Central) and others</t>
        </is>
      </c>
    </row>
    <row r="112">
      <c r="A112" s="11" t="inlineStr">
        <is>
          <t>L1-1676</t>
        </is>
      </c>
      <c r="B112" s="2" t="inlineStr">
        <is>
          <t>M. Srinivasulu and Another v. The State of A.P.</t>
        </is>
      </c>
      <c r="C112" s="11" t="inlineStr">
        <is>
          <t>(2001) 2 ALD(Cri) 429; (2001) 2 ALT(Cri) 179; (2001) 2 DMC 658</t>
        </is>
      </c>
      <c r="D112" s="11" t="n">
        <v>2001</v>
      </c>
      <c r="E112" s="11" t="inlineStr">
        <is>
          <t>none</t>
        </is>
      </c>
      <c r="F112" s="2" t="inlineStr">
        <is>
          <t>M. Srinivasulu v. State of A.P.</t>
        </is>
      </c>
    </row>
    <row r="113">
      <c r="A113" s="11" t="inlineStr">
        <is>
          <t>D2-KADER</t>
        </is>
      </c>
      <c r="B113" s="2" t="inlineStr">
        <is>
          <t>Kader v. State of Kerala</t>
        </is>
      </c>
      <c r="C113" s="11" t="inlineStr">
        <is>
          <t>2001 CriLJ 4044</t>
        </is>
      </c>
      <c r="D113" s="11" t="n">
        <v>2001</v>
      </c>
      <c r="E113" s="11" t="inlineStr">
        <is>
          <t>none</t>
        </is>
      </c>
      <c r="F113" s="2" t="inlineStr">
        <is>
          <t>Mohanlal v. State of Punjab</t>
        </is>
      </c>
    </row>
  </sheetData>
  <autoFilter ref="A3:F113"/>
  <mergeCells count="1">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69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44" customHeight="1">
      <c r="A1" s="9" t="inlineStr">
        <is>
          <t>How each of the 1,688 list-1 rows was classified (no case text is kept here: the list's own text stays in the PDF in inbox/). overruled_is: whether the overruled decision is a Supreme Court one; same_parties_appeal: an appeal reversing the lower court; the *_in_collection columns are our collection's document keys.</t>
        </is>
      </c>
    </row>
    <row r="3">
      <c r="A3" s="10" t="inlineStr">
        <is>
          <t>no</t>
        </is>
      </c>
      <c r="B3" s="10" t="inlineStr">
        <is>
          <t>pdf_page</t>
        </is>
      </c>
      <c r="C3" s="10" t="inlineStr">
        <is>
          <t>overruled_is</t>
        </is>
      </c>
      <c r="D3" s="10" t="inlineStr">
        <is>
          <t>same_parties_appeal</t>
        </is>
      </c>
      <c r="E3" s="10" t="inlineStr">
        <is>
          <t>criminal_reporter_marker</t>
        </is>
      </c>
      <c r="F3" s="10" t="inlineStr">
        <is>
          <t>overruled_in_collection</t>
        </is>
      </c>
      <c r="G3" s="10" t="inlineStr">
        <is>
          <t>overruled_match_how</t>
        </is>
      </c>
      <c r="H3" s="10" t="inlineStr">
        <is>
          <t>overruling_in_collection</t>
        </is>
      </c>
      <c r="I3" s="10" t="inlineStr">
        <is>
          <t>overruling_match_how</t>
        </is>
      </c>
      <c r="J3" s="10" t="inlineStr">
        <is>
          <t>match_suspect</t>
        </is>
      </c>
      <c r="K3" s="10" t="inlineStr">
        <is>
          <t>in_test_pairs</t>
        </is>
      </c>
      <c r="L3" s="10" t="inlineStr">
        <is>
          <t>test_half</t>
        </is>
      </c>
    </row>
    <row r="4">
      <c r="A4" s="11" t="inlineStr">
        <is>
          <t>1</t>
        </is>
      </c>
      <c r="B4" s="11" t="inlineStr">
        <is>
          <t>1</t>
        </is>
      </c>
      <c r="C4" s="11" t="inlineStr">
        <is>
          <t>HC/tribunal/other</t>
        </is>
      </c>
      <c r="D4" s="11" t="inlineStr">
        <is>
          <t>yes</t>
        </is>
      </c>
      <c r="E4" s="11" t="inlineStr">
        <is>
          <t>no</t>
        </is>
      </c>
      <c r="F4" s="11" t="inlineStr"/>
      <c r="G4" s="11" t="inlineStr"/>
      <c r="H4" s="11" t="inlineStr">
        <is>
          <t>c1782</t>
        </is>
      </c>
      <c r="I4" s="11" t="inlineStr">
        <is>
          <t>cite</t>
        </is>
      </c>
      <c r="J4" s="11" t="inlineStr">
        <is>
          <t>no</t>
        </is>
      </c>
      <c r="K4" s="11" t="inlineStr">
        <is>
          <t>no</t>
        </is>
      </c>
      <c r="L4" s="11" t="inlineStr"/>
    </row>
    <row r="5">
      <c r="A5" s="11" t="inlineStr">
        <is>
          <t>2</t>
        </is>
      </c>
      <c r="B5" s="11" t="inlineStr">
        <is>
          <t>1</t>
        </is>
      </c>
      <c r="C5" s="11" t="inlineStr">
        <is>
          <t>HC/tribunal/other</t>
        </is>
      </c>
      <c r="D5" s="11" t="inlineStr">
        <is>
          <t>no</t>
        </is>
      </c>
      <c r="E5" s="11" t="inlineStr">
        <is>
          <t>no</t>
        </is>
      </c>
      <c r="F5" s="11" t="inlineStr"/>
      <c r="G5" s="11" t="inlineStr"/>
      <c r="H5" s="11" t="inlineStr">
        <is>
          <t>c1720</t>
        </is>
      </c>
      <c r="I5" s="11" t="inlineStr">
        <is>
          <t>cite</t>
        </is>
      </c>
      <c r="J5" s="11" t="inlineStr">
        <is>
          <t>no</t>
        </is>
      </c>
      <c r="K5" s="11" t="inlineStr">
        <is>
          <t>no</t>
        </is>
      </c>
      <c r="L5" s="11" t="inlineStr"/>
    </row>
    <row r="6">
      <c r="A6" s="11" t="inlineStr">
        <is>
          <t>3</t>
        </is>
      </c>
      <c r="B6" s="11" t="inlineStr">
        <is>
          <t>1</t>
        </is>
      </c>
      <c r="C6" s="11" t="inlineStr">
        <is>
          <t>HC/tribunal/other</t>
        </is>
      </c>
      <c r="D6" s="11" t="inlineStr">
        <is>
          <t>no</t>
        </is>
      </c>
      <c r="E6" s="11" t="inlineStr">
        <is>
          <t>no</t>
        </is>
      </c>
      <c r="F6" s="11" t="inlineStr"/>
      <c r="G6" s="11" t="inlineStr"/>
      <c r="H6" s="11" t="inlineStr"/>
      <c r="I6" s="11" t="inlineStr"/>
      <c r="J6" s="11" t="inlineStr">
        <is>
          <t>no</t>
        </is>
      </c>
      <c r="K6" s="11" t="inlineStr">
        <is>
          <t>no</t>
        </is>
      </c>
      <c r="L6" s="11" t="inlineStr"/>
    </row>
    <row r="7">
      <c r="A7" s="11" t="inlineStr">
        <is>
          <t>4</t>
        </is>
      </c>
      <c r="B7" s="11" t="inlineStr">
        <is>
          <t>1</t>
        </is>
      </c>
      <c r="C7" s="11" t="inlineStr">
        <is>
          <t>HC/tribunal/other</t>
        </is>
      </c>
      <c r="D7" s="11" t="inlineStr">
        <is>
          <t>yes</t>
        </is>
      </c>
      <c r="E7" s="11" t="inlineStr">
        <is>
          <t>no</t>
        </is>
      </c>
      <c r="F7" s="11" t="inlineStr"/>
      <c r="G7" s="11" t="inlineStr"/>
      <c r="H7" s="11" t="inlineStr">
        <is>
          <t>c6507</t>
        </is>
      </c>
      <c r="I7" s="11" t="inlineStr">
        <is>
          <t>cite</t>
        </is>
      </c>
      <c r="J7" s="11" t="inlineStr">
        <is>
          <t>no</t>
        </is>
      </c>
      <c r="K7" s="11" t="inlineStr">
        <is>
          <t>no</t>
        </is>
      </c>
      <c r="L7" s="11" t="inlineStr"/>
    </row>
    <row r="8">
      <c r="A8" s="11" t="inlineStr">
        <is>
          <t>5</t>
        </is>
      </c>
      <c r="B8" s="11" t="inlineStr">
        <is>
          <t>1</t>
        </is>
      </c>
      <c r="C8" s="11" t="inlineStr">
        <is>
          <t>HC/tribunal/other</t>
        </is>
      </c>
      <c r="D8" s="11" t="inlineStr">
        <is>
          <t>no</t>
        </is>
      </c>
      <c r="E8" s="11" t="inlineStr">
        <is>
          <t>no</t>
        </is>
      </c>
      <c r="F8" s="11" t="inlineStr"/>
      <c r="G8" s="11" t="inlineStr"/>
      <c r="H8" s="11" t="inlineStr">
        <is>
          <t>c4745</t>
        </is>
      </c>
      <c r="I8" s="11" t="inlineStr">
        <is>
          <t>cite</t>
        </is>
      </c>
      <c r="J8" s="11" t="inlineStr">
        <is>
          <t>no</t>
        </is>
      </c>
      <c r="K8" s="11" t="inlineStr">
        <is>
          <t>no</t>
        </is>
      </c>
      <c r="L8" s="11" t="inlineStr"/>
    </row>
    <row r="9">
      <c r="A9" s="11" t="inlineStr">
        <is>
          <t>6</t>
        </is>
      </c>
      <c r="B9" s="11" t="inlineStr">
        <is>
          <t>1</t>
        </is>
      </c>
      <c r="C9" s="11" t="inlineStr">
        <is>
          <t>HC/tribunal/other</t>
        </is>
      </c>
      <c r="D9" s="11" t="inlineStr">
        <is>
          <t>no</t>
        </is>
      </c>
      <c r="E9" s="11" t="inlineStr">
        <is>
          <t>no</t>
        </is>
      </c>
      <c r="F9" s="11" t="inlineStr"/>
      <c r="G9" s="11" t="inlineStr"/>
      <c r="H9" s="11" t="inlineStr">
        <is>
          <t>c3528</t>
        </is>
      </c>
      <c r="I9" s="11" t="inlineStr">
        <is>
          <t>cite</t>
        </is>
      </c>
      <c r="J9" s="11" t="inlineStr">
        <is>
          <t>no</t>
        </is>
      </c>
      <c r="K9" s="11" t="inlineStr">
        <is>
          <t>no</t>
        </is>
      </c>
      <c r="L9" s="11" t="inlineStr"/>
    </row>
    <row r="10">
      <c r="A10" s="11" t="inlineStr">
        <is>
          <t>7</t>
        </is>
      </c>
      <c r="B10" s="11" t="inlineStr">
        <is>
          <t>2</t>
        </is>
      </c>
      <c r="C10" s="11" t="inlineStr">
        <is>
          <t>HC/tribunal/other</t>
        </is>
      </c>
      <c r="D10" s="11" t="inlineStr">
        <is>
          <t>yes</t>
        </is>
      </c>
      <c r="E10" s="11" t="inlineStr">
        <is>
          <t>no</t>
        </is>
      </c>
      <c r="F10" s="11" t="inlineStr"/>
      <c r="G10" s="11" t="inlineStr"/>
      <c r="H10" s="11" t="inlineStr">
        <is>
          <t>c6037</t>
        </is>
      </c>
      <c r="I10" s="11" t="inlineStr">
        <is>
          <t>cite</t>
        </is>
      </c>
      <c r="J10" s="11" t="inlineStr">
        <is>
          <t>no</t>
        </is>
      </c>
      <c r="K10" s="11" t="inlineStr">
        <is>
          <t>no</t>
        </is>
      </c>
      <c r="L10" s="11" t="inlineStr"/>
    </row>
    <row r="11">
      <c r="A11" s="11" t="inlineStr">
        <is>
          <t>8</t>
        </is>
      </c>
      <c r="B11" s="11" t="inlineStr">
        <is>
          <t>2</t>
        </is>
      </c>
      <c r="C11" s="11" t="inlineStr">
        <is>
          <t>HC/tribunal/other</t>
        </is>
      </c>
      <c r="D11" s="11" t="inlineStr">
        <is>
          <t>no</t>
        </is>
      </c>
      <c r="E11" s="11" t="inlineStr">
        <is>
          <t>no</t>
        </is>
      </c>
      <c r="F11" s="11" t="inlineStr"/>
      <c r="G11" s="11" t="inlineStr"/>
      <c r="H11" s="11" t="inlineStr">
        <is>
          <t>c28190</t>
        </is>
      </c>
      <c r="I11" s="11" t="inlineStr">
        <is>
          <t>name</t>
        </is>
      </c>
      <c r="J11" s="11" t="inlineStr">
        <is>
          <t>no</t>
        </is>
      </c>
      <c r="K11" s="11" t="inlineStr">
        <is>
          <t>no</t>
        </is>
      </c>
      <c r="L11" s="11" t="inlineStr"/>
    </row>
    <row r="12">
      <c r="A12" s="11" t="inlineStr">
        <is>
          <t>9</t>
        </is>
      </c>
      <c r="B12" s="11" t="inlineStr">
        <is>
          <t>2</t>
        </is>
      </c>
      <c r="C12" s="11" t="inlineStr">
        <is>
          <t>HC/tribunal/other</t>
        </is>
      </c>
      <c r="D12" s="11" t="inlineStr">
        <is>
          <t>no</t>
        </is>
      </c>
      <c r="E12" s="11" t="inlineStr">
        <is>
          <t>no</t>
        </is>
      </c>
      <c r="F12" s="11" t="inlineStr"/>
      <c r="G12" s="11" t="inlineStr"/>
      <c r="H12" s="11" t="inlineStr">
        <is>
          <t>c12662</t>
        </is>
      </c>
      <c r="I12" s="11" t="inlineStr">
        <is>
          <t>cite</t>
        </is>
      </c>
      <c r="J12" s="11" t="inlineStr">
        <is>
          <t>no</t>
        </is>
      </c>
      <c r="K12" s="11" t="inlineStr">
        <is>
          <t>no</t>
        </is>
      </c>
      <c r="L12" s="11" t="inlineStr"/>
    </row>
    <row r="13">
      <c r="A13" s="11" t="inlineStr">
        <is>
          <t>10</t>
        </is>
      </c>
      <c r="B13" s="11" t="inlineStr">
        <is>
          <t>2</t>
        </is>
      </c>
      <c r="C13" s="11" t="inlineStr">
        <is>
          <t>HC/tribunal/other</t>
        </is>
      </c>
      <c r="D13" s="11" t="inlineStr">
        <is>
          <t>no</t>
        </is>
      </c>
      <c r="E13" s="11" t="inlineStr">
        <is>
          <t>no</t>
        </is>
      </c>
      <c r="F13" s="11" t="inlineStr"/>
      <c r="G13" s="11" t="inlineStr"/>
      <c r="H13" s="11" t="inlineStr">
        <is>
          <t>c27691</t>
        </is>
      </c>
      <c r="I13" s="11" t="inlineStr">
        <is>
          <t>name</t>
        </is>
      </c>
      <c r="J13" s="11" t="inlineStr">
        <is>
          <t>no</t>
        </is>
      </c>
      <c r="K13" s="11" t="inlineStr">
        <is>
          <t>no</t>
        </is>
      </c>
      <c r="L13" s="11" t="inlineStr"/>
    </row>
    <row r="14">
      <c r="A14" s="11" t="inlineStr">
        <is>
          <t>11</t>
        </is>
      </c>
      <c r="B14" s="11" t="inlineStr">
        <is>
          <t>2</t>
        </is>
      </c>
      <c r="C14" s="11" t="inlineStr">
        <is>
          <t>HC/tribunal/other</t>
        </is>
      </c>
      <c r="D14" s="11" t="inlineStr">
        <is>
          <t>no</t>
        </is>
      </c>
      <c r="E14" s="11" t="inlineStr">
        <is>
          <t>no</t>
        </is>
      </c>
      <c r="F14" s="11" t="inlineStr"/>
      <c r="G14" s="11" t="inlineStr"/>
      <c r="H14" s="11" t="inlineStr">
        <is>
          <t>c16486</t>
        </is>
      </c>
      <c r="I14" s="11" t="inlineStr">
        <is>
          <t>cite</t>
        </is>
      </c>
      <c r="J14" s="11" t="inlineStr">
        <is>
          <t>no</t>
        </is>
      </c>
      <c r="K14" s="11" t="inlineStr">
        <is>
          <t>no</t>
        </is>
      </c>
      <c r="L14" s="11" t="inlineStr"/>
    </row>
    <row r="15">
      <c r="A15" s="11" t="inlineStr">
        <is>
          <t>12</t>
        </is>
      </c>
      <c r="B15" s="11" t="inlineStr">
        <is>
          <t>2</t>
        </is>
      </c>
      <c r="C15" s="11" t="inlineStr">
        <is>
          <t>HC/tribunal/other</t>
        </is>
      </c>
      <c r="D15" s="11" t="inlineStr">
        <is>
          <t>no</t>
        </is>
      </c>
      <c r="E15" s="11" t="inlineStr">
        <is>
          <t>no</t>
        </is>
      </c>
      <c r="F15" s="11" t="inlineStr"/>
      <c r="G15" s="11" t="inlineStr"/>
      <c r="H15" s="11" t="inlineStr">
        <is>
          <t>c678</t>
        </is>
      </c>
      <c r="I15" s="11" t="inlineStr">
        <is>
          <t>cite</t>
        </is>
      </c>
      <c r="J15" s="11" t="inlineStr">
        <is>
          <t>no</t>
        </is>
      </c>
      <c r="K15" s="11" t="inlineStr">
        <is>
          <t>no</t>
        </is>
      </c>
      <c r="L15" s="11" t="inlineStr"/>
    </row>
    <row r="16">
      <c r="A16" s="11" t="inlineStr">
        <is>
          <t>13</t>
        </is>
      </c>
      <c r="B16" s="11" t="inlineStr">
        <is>
          <t>2</t>
        </is>
      </c>
      <c r="C16" s="11" t="inlineStr">
        <is>
          <t>HC/tribunal/other</t>
        </is>
      </c>
      <c r="D16" s="11" t="inlineStr">
        <is>
          <t>no</t>
        </is>
      </c>
      <c r="E16" s="11" t="inlineStr">
        <is>
          <t>no</t>
        </is>
      </c>
      <c r="F16" s="11" t="inlineStr"/>
      <c r="G16" s="11" t="inlineStr"/>
      <c r="H16" s="11" t="inlineStr">
        <is>
          <t>c4585</t>
        </is>
      </c>
      <c r="I16" s="11" t="inlineStr">
        <is>
          <t>cite</t>
        </is>
      </c>
      <c r="J16" s="11" t="inlineStr">
        <is>
          <t>no</t>
        </is>
      </c>
      <c r="K16" s="11" t="inlineStr">
        <is>
          <t>no</t>
        </is>
      </c>
      <c r="L16" s="11" t="inlineStr"/>
    </row>
    <row r="17">
      <c r="A17" s="11" t="inlineStr">
        <is>
          <t>14</t>
        </is>
      </c>
      <c r="B17" s="11" t="inlineStr">
        <is>
          <t>2</t>
        </is>
      </c>
      <c r="C17" s="11" t="inlineStr">
        <is>
          <t>HC/tribunal/other</t>
        </is>
      </c>
      <c r="D17" s="11" t="inlineStr">
        <is>
          <t>no</t>
        </is>
      </c>
      <c r="E17" s="11" t="inlineStr">
        <is>
          <t>no</t>
        </is>
      </c>
      <c r="F17" s="11" t="inlineStr"/>
      <c r="G17" s="11" t="inlineStr"/>
      <c r="H17" s="11" t="inlineStr">
        <is>
          <t>c17697</t>
        </is>
      </c>
      <c r="I17" s="11" t="inlineStr">
        <is>
          <t>cite</t>
        </is>
      </c>
      <c r="J17" s="11" t="inlineStr">
        <is>
          <t>no</t>
        </is>
      </c>
      <c r="K17" s="11" t="inlineStr">
        <is>
          <t>no</t>
        </is>
      </c>
      <c r="L17" s="11" t="inlineStr"/>
    </row>
    <row r="18">
      <c r="A18" s="11" t="inlineStr">
        <is>
          <t>15</t>
        </is>
      </c>
      <c r="B18" s="11" t="inlineStr">
        <is>
          <t>3</t>
        </is>
      </c>
      <c r="C18" s="11" t="inlineStr">
        <is>
          <t>HC/tribunal/other</t>
        </is>
      </c>
      <c r="D18" s="11" t="inlineStr">
        <is>
          <t>no</t>
        </is>
      </c>
      <c r="E18" s="11" t="inlineStr">
        <is>
          <t>yes</t>
        </is>
      </c>
      <c r="F18" s="11" t="inlineStr"/>
      <c r="G18" s="11" t="inlineStr"/>
      <c r="H18" s="11" t="inlineStr">
        <is>
          <t>c1484</t>
        </is>
      </c>
      <c r="I18" s="11" t="inlineStr">
        <is>
          <t>cite</t>
        </is>
      </c>
      <c r="J18" s="11" t="inlineStr">
        <is>
          <t>no</t>
        </is>
      </c>
      <c r="K18" s="11" t="inlineStr">
        <is>
          <t>no</t>
        </is>
      </c>
      <c r="L18" s="11" t="inlineStr"/>
    </row>
    <row r="19">
      <c r="A19" s="11" t="inlineStr">
        <is>
          <t>16</t>
        </is>
      </c>
      <c r="B19" s="11" t="inlineStr">
        <is>
          <t>3</t>
        </is>
      </c>
      <c r="C19" s="11" t="inlineStr">
        <is>
          <t>HC/tribunal/other</t>
        </is>
      </c>
      <c r="D19" s="11" t="inlineStr">
        <is>
          <t>no</t>
        </is>
      </c>
      <c r="E19" s="11" t="inlineStr">
        <is>
          <t>no</t>
        </is>
      </c>
      <c r="F19" s="11" t="inlineStr"/>
      <c r="G19" s="11" t="inlineStr"/>
      <c r="H19" s="11" t="inlineStr">
        <is>
          <t>c5543</t>
        </is>
      </c>
      <c r="I19" s="11" t="inlineStr">
        <is>
          <t>cite</t>
        </is>
      </c>
      <c r="J19" s="11" t="inlineStr">
        <is>
          <t>no</t>
        </is>
      </c>
      <c r="K19" s="11" t="inlineStr">
        <is>
          <t>no</t>
        </is>
      </c>
      <c r="L19" s="11" t="inlineStr"/>
    </row>
    <row r="20">
      <c r="A20" s="11" t="inlineStr">
        <is>
          <t>17</t>
        </is>
      </c>
      <c r="B20" s="11" t="inlineStr">
        <is>
          <t>3</t>
        </is>
      </c>
      <c r="C20" s="11" t="inlineStr">
        <is>
          <t>HC/tribunal/other</t>
        </is>
      </c>
      <c r="D20" s="11" t="inlineStr">
        <is>
          <t>yes</t>
        </is>
      </c>
      <c r="E20" s="11" t="inlineStr">
        <is>
          <t>no</t>
        </is>
      </c>
      <c r="F20" s="11" t="inlineStr"/>
      <c r="G20" s="11" t="inlineStr"/>
      <c r="H20" s="11" t="inlineStr">
        <is>
          <t>c1434</t>
        </is>
      </c>
      <c r="I20" s="11" t="inlineStr">
        <is>
          <t>cite</t>
        </is>
      </c>
      <c r="J20" s="11" t="inlineStr">
        <is>
          <t>no</t>
        </is>
      </c>
      <c r="K20" s="11" t="inlineStr">
        <is>
          <t>no</t>
        </is>
      </c>
      <c r="L20" s="11" t="inlineStr"/>
    </row>
    <row r="21">
      <c r="A21" s="11" t="inlineStr">
        <is>
          <t>18</t>
        </is>
      </c>
      <c r="B21" s="11" t="inlineStr">
        <is>
          <t>3</t>
        </is>
      </c>
      <c r="C21" s="11" t="inlineStr">
        <is>
          <t>HC/tribunal/other</t>
        </is>
      </c>
      <c r="D21" s="11" t="inlineStr">
        <is>
          <t>yes</t>
        </is>
      </c>
      <c r="E21" s="11" t="inlineStr">
        <is>
          <t>no</t>
        </is>
      </c>
      <c r="F21" s="11" t="inlineStr"/>
      <c r="G21" s="11" t="inlineStr"/>
      <c r="H21" s="11" t="inlineStr">
        <is>
          <t>c25908</t>
        </is>
      </c>
      <c r="I21" s="11" t="inlineStr">
        <is>
          <t>cite</t>
        </is>
      </c>
      <c r="J21" s="11" t="inlineStr">
        <is>
          <t>no</t>
        </is>
      </c>
      <c r="K21" s="11" t="inlineStr">
        <is>
          <t>no</t>
        </is>
      </c>
      <c r="L21" s="11" t="inlineStr"/>
    </row>
    <row r="22">
      <c r="A22" s="11" t="inlineStr">
        <is>
          <t>19</t>
        </is>
      </c>
      <c r="B22" s="11" t="inlineStr">
        <is>
          <t>3</t>
        </is>
      </c>
      <c r="C22" s="11" t="inlineStr">
        <is>
          <t>HC/tribunal/other</t>
        </is>
      </c>
      <c r="D22" s="11" t="inlineStr">
        <is>
          <t>no</t>
        </is>
      </c>
      <c r="E22" s="11" t="inlineStr">
        <is>
          <t>no</t>
        </is>
      </c>
      <c r="F22" s="11" t="inlineStr"/>
      <c r="G22" s="11" t="inlineStr"/>
      <c r="H22" s="11" t="inlineStr">
        <is>
          <t>c14638</t>
        </is>
      </c>
      <c r="I22" s="11" t="inlineStr">
        <is>
          <t>name</t>
        </is>
      </c>
      <c r="J22" s="11" t="inlineStr">
        <is>
          <t>no</t>
        </is>
      </c>
      <c r="K22" s="11" t="inlineStr">
        <is>
          <t>no</t>
        </is>
      </c>
      <c r="L22" s="11" t="inlineStr"/>
    </row>
    <row r="23">
      <c r="A23" s="11" t="inlineStr">
        <is>
          <t>20</t>
        </is>
      </c>
      <c r="B23" s="11" t="inlineStr">
        <is>
          <t>3</t>
        </is>
      </c>
      <c r="C23" s="11" t="inlineStr">
        <is>
          <t>HC/tribunal/other</t>
        </is>
      </c>
      <c r="D23" s="11" t="inlineStr">
        <is>
          <t>yes</t>
        </is>
      </c>
      <c r="E23" s="11" t="inlineStr">
        <is>
          <t>no</t>
        </is>
      </c>
      <c r="F23" s="11" t="inlineStr"/>
      <c r="G23" s="11" t="inlineStr"/>
      <c r="H23" s="11" t="inlineStr">
        <is>
          <t>c2153</t>
        </is>
      </c>
      <c r="I23" s="11" t="inlineStr">
        <is>
          <t>cite</t>
        </is>
      </c>
      <c r="J23" s="11" t="inlineStr">
        <is>
          <t>no</t>
        </is>
      </c>
      <c r="K23" s="11" t="inlineStr">
        <is>
          <t>no</t>
        </is>
      </c>
      <c r="L23" s="11" t="inlineStr"/>
    </row>
    <row r="24">
      <c r="A24" s="11" t="inlineStr">
        <is>
          <t>21</t>
        </is>
      </c>
      <c r="B24" s="11" t="inlineStr">
        <is>
          <t>3</t>
        </is>
      </c>
      <c r="C24" s="11" t="inlineStr">
        <is>
          <t>HC/tribunal/other</t>
        </is>
      </c>
      <c r="D24" s="11" t="inlineStr">
        <is>
          <t>no</t>
        </is>
      </c>
      <c r="E24" s="11" t="inlineStr">
        <is>
          <t>yes</t>
        </is>
      </c>
      <c r="F24" s="11" t="inlineStr"/>
      <c r="G24" s="11" t="inlineStr"/>
      <c r="H24" s="11" t="inlineStr">
        <is>
          <t>c27542</t>
        </is>
      </c>
      <c r="I24" s="11" t="inlineStr">
        <is>
          <t>name</t>
        </is>
      </c>
      <c r="J24" s="11" t="inlineStr">
        <is>
          <t>no</t>
        </is>
      </c>
      <c r="K24" s="11" t="inlineStr">
        <is>
          <t>no</t>
        </is>
      </c>
      <c r="L24" s="11" t="inlineStr"/>
    </row>
    <row r="25">
      <c r="A25" s="11" t="inlineStr">
        <is>
          <t>22</t>
        </is>
      </c>
      <c r="B25" s="11" t="inlineStr">
        <is>
          <t>4</t>
        </is>
      </c>
      <c r="C25" s="11" t="inlineStr">
        <is>
          <t>HC/tribunal/other</t>
        </is>
      </c>
      <c r="D25" s="11" t="inlineStr">
        <is>
          <t>no</t>
        </is>
      </c>
      <c r="E25" s="11" t="inlineStr">
        <is>
          <t>no</t>
        </is>
      </c>
      <c r="F25" s="11" t="inlineStr"/>
      <c r="G25" s="11" t="inlineStr"/>
      <c r="H25" s="11" t="inlineStr">
        <is>
          <t>c10818</t>
        </is>
      </c>
      <c r="I25" s="11" t="inlineStr">
        <is>
          <t>name</t>
        </is>
      </c>
      <c r="J25" s="11" t="inlineStr">
        <is>
          <t>no</t>
        </is>
      </c>
      <c r="K25" s="11" t="inlineStr">
        <is>
          <t>no</t>
        </is>
      </c>
      <c r="L25" s="11" t="inlineStr"/>
    </row>
    <row r="26">
      <c r="A26" s="11" t="inlineStr">
        <is>
          <t>23</t>
        </is>
      </c>
      <c r="B26" s="11" t="inlineStr">
        <is>
          <t>4</t>
        </is>
      </c>
      <c r="C26" s="11" t="inlineStr">
        <is>
          <t>HC/tribunal/other</t>
        </is>
      </c>
      <c r="D26" s="11" t="inlineStr">
        <is>
          <t>yes</t>
        </is>
      </c>
      <c r="E26" s="11" t="inlineStr">
        <is>
          <t>no</t>
        </is>
      </c>
      <c r="F26" s="11" t="inlineStr"/>
      <c r="G26" s="11" t="inlineStr"/>
      <c r="H26" s="11" t="inlineStr">
        <is>
          <t>c26636</t>
        </is>
      </c>
      <c r="I26" s="11" t="inlineStr">
        <is>
          <t>name</t>
        </is>
      </c>
      <c r="J26" s="11" t="inlineStr">
        <is>
          <t>no</t>
        </is>
      </c>
      <c r="K26" s="11" t="inlineStr">
        <is>
          <t>no</t>
        </is>
      </c>
      <c r="L26" s="11" t="inlineStr"/>
    </row>
    <row r="27">
      <c r="A27" s="11" t="inlineStr">
        <is>
          <t>24</t>
        </is>
      </c>
      <c r="B27" s="11" t="inlineStr">
        <is>
          <t>4</t>
        </is>
      </c>
      <c r="C27" s="11" t="inlineStr">
        <is>
          <t>HC/tribunal/other</t>
        </is>
      </c>
      <c r="D27" s="11" t="inlineStr">
        <is>
          <t>no</t>
        </is>
      </c>
      <c r="E27" s="11" t="inlineStr">
        <is>
          <t>no</t>
        </is>
      </c>
      <c r="F27" s="11" t="inlineStr"/>
      <c r="G27" s="11" t="inlineStr"/>
      <c r="H27" s="11" t="inlineStr">
        <is>
          <t>c13859</t>
        </is>
      </c>
      <c r="I27" s="11" t="inlineStr">
        <is>
          <t>name</t>
        </is>
      </c>
      <c r="J27" s="11" t="inlineStr">
        <is>
          <t>no</t>
        </is>
      </c>
      <c r="K27" s="11" t="inlineStr">
        <is>
          <t>no</t>
        </is>
      </c>
      <c r="L27" s="11" t="inlineStr"/>
    </row>
    <row r="28">
      <c r="A28" s="11" t="inlineStr">
        <is>
          <t>25</t>
        </is>
      </c>
      <c r="B28" s="11" t="inlineStr">
        <is>
          <t>4</t>
        </is>
      </c>
      <c r="C28" s="11" t="inlineStr">
        <is>
          <t>HC/tribunal/other</t>
        </is>
      </c>
      <c r="D28" s="11" t="inlineStr">
        <is>
          <t>no</t>
        </is>
      </c>
      <c r="E28" s="11" t="inlineStr">
        <is>
          <t>no</t>
        </is>
      </c>
      <c r="F28" s="11" t="inlineStr"/>
      <c r="G28" s="11" t="inlineStr"/>
      <c r="H28" s="11" t="inlineStr"/>
      <c r="I28" s="11" t="inlineStr"/>
      <c r="J28" s="11" t="inlineStr">
        <is>
          <t>no</t>
        </is>
      </c>
      <c r="K28" s="11" t="inlineStr">
        <is>
          <t>no</t>
        </is>
      </c>
      <c r="L28" s="11" t="inlineStr"/>
    </row>
    <row r="29">
      <c r="A29" s="11" t="inlineStr">
        <is>
          <t>26</t>
        </is>
      </c>
      <c r="B29" s="11" t="inlineStr">
        <is>
          <t>4</t>
        </is>
      </c>
      <c r="C29" s="11" t="inlineStr">
        <is>
          <t>HC/tribunal/other</t>
        </is>
      </c>
      <c r="D29" s="11" t="inlineStr">
        <is>
          <t>yes</t>
        </is>
      </c>
      <c r="E29" s="11" t="inlineStr">
        <is>
          <t>no</t>
        </is>
      </c>
      <c r="F29" s="11" t="inlineStr"/>
      <c r="G29" s="11" t="inlineStr"/>
      <c r="H29" s="11" t="inlineStr"/>
      <c r="I29" s="11" t="inlineStr"/>
      <c r="J29" s="11" t="inlineStr">
        <is>
          <t>no</t>
        </is>
      </c>
      <c r="K29" s="11" t="inlineStr">
        <is>
          <t>no</t>
        </is>
      </c>
      <c r="L29" s="11" t="inlineStr"/>
    </row>
    <row r="30">
      <c r="A30" s="11" t="inlineStr">
        <is>
          <t>27</t>
        </is>
      </c>
      <c r="B30" s="11" t="inlineStr">
        <is>
          <t>4</t>
        </is>
      </c>
      <c r="C30" s="11" t="inlineStr">
        <is>
          <t>HC/tribunal/other</t>
        </is>
      </c>
      <c r="D30" s="11" t="inlineStr">
        <is>
          <t>no</t>
        </is>
      </c>
      <c r="E30" s="11" t="inlineStr">
        <is>
          <t>no</t>
        </is>
      </c>
      <c r="F30" s="11" t="inlineStr"/>
      <c r="G30" s="11" t="inlineStr"/>
      <c r="H30" s="11" t="inlineStr">
        <is>
          <t>c18516</t>
        </is>
      </c>
      <c r="I30" s="11" t="inlineStr">
        <is>
          <t>name</t>
        </is>
      </c>
      <c r="J30" s="11" t="inlineStr">
        <is>
          <t>no</t>
        </is>
      </c>
      <c r="K30" s="11" t="inlineStr">
        <is>
          <t>no</t>
        </is>
      </c>
      <c r="L30" s="11" t="inlineStr"/>
    </row>
    <row r="31">
      <c r="A31" s="11" t="inlineStr">
        <is>
          <t>28</t>
        </is>
      </c>
      <c r="B31" s="11" t="inlineStr">
        <is>
          <t>4</t>
        </is>
      </c>
      <c r="C31" s="11" t="inlineStr">
        <is>
          <t>HC/tribunal/other</t>
        </is>
      </c>
      <c r="D31" s="11" t="inlineStr">
        <is>
          <t>no</t>
        </is>
      </c>
      <c r="E31" s="11" t="inlineStr">
        <is>
          <t>no</t>
        </is>
      </c>
      <c r="F31" s="11" t="inlineStr"/>
      <c r="G31" s="11" t="inlineStr"/>
      <c r="H31" s="11" t="inlineStr"/>
      <c r="I31" s="11" t="inlineStr"/>
      <c r="J31" s="11" t="inlineStr">
        <is>
          <t>no</t>
        </is>
      </c>
      <c r="K31" s="11" t="inlineStr">
        <is>
          <t>no</t>
        </is>
      </c>
      <c r="L31" s="11" t="inlineStr"/>
    </row>
    <row r="32">
      <c r="A32" s="11" t="inlineStr">
        <is>
          <t>29</t>
        </is>
      </c>
      <c r="B32" s="11" t="inlineStr">
        <is>
          <t>5</t>
        </is>
      </c>
      <c r="C32" s="11" t="inlineStr">
        <is>
          <t>HC/tribunal/other</t>
        </is>
      </c>
      <c r="D32" s="11" t="inlineStr">
        <is>
          <t>no</t>
        </is>
      </c>
      <c r="E32" s="11" t="inlineStr">
        <is>
          <t>no</t>
        </is>
      </c>
      <c r="F32" s="11" t="inlineStr"/>
      <c r="G32" s="11" t="inlineStr"/>
      <c r="H32" s="11" t="inlineStr">
        <is>
          <t>c5734</t>
        </is>
      </c>
      <c r="I32" s="11" t="inlineStr">
        <is>
          <t>cite</t>
        </is>
      </c>
      <c r="J32" s="11" t="inlineStr">
        <is>
          <t>no</t>
        </is>
      </c>
      <c r="K32" s="11" t="inlineStr">
        <is>
          <t>no</t>
        </is>
      </c>
      <c r="L32" s="11" t="inlineStr"/>
    </row>
    <row r="33">
      <c r="A33" s="11" t="inlineStr">
        <is>
          <t>30</t>
        </is>
      </c>
      <c r="B33" s="11" t="inlineStr">
        <is>
          <t>5</t>
        </is>
      </c>
      <c r="C33" s="11" t="inlineStr">
        <is>
          <t>HC/tribunal/other</t>
        </is>
      </c>
      <c r="D33" s="11" t="inlineStr">
        <is>
          <t>no</t>
        </is>
      </c>
      <c r="E33" s="11" t="inlineStr">
        <is>
          <t>no</t>
        </is>
      </c>
      <c r="F33" s="11" t="inlineStr"/>
      <c r="G33" s="11" t="inlineStr"/>
      <c r="H33" s="11" t="inlineStr">
        <is>
          <t>c13957</t>
        </is>
      </c>
      <c r="I33" s="11" t="inlineStr">
        <is>
          <t>name</t>
        </is>
      </c>
      <c r="J33" s="11" t="inlineStr">
        <is>
          <t>no</t>
        </is>
      </c>
      <c r="K33" s="11" t="inlineStr">
        <is>
          <t>no</t>
        </is>
      </c>
      <c r="L33" s="11" t="inlineStr"/>
    </row>
    <row r="34">
      <c r="A34" s="11" t="inlineStr">
        <is>
          <t>31</t>
        </is>
      </c>
      <c r="B34" s="11" t="inlineStr">
        <is>
          <t>5</t>
        </is>
      </c>
      <c r="C34" s="11" t="inlineStr">
        <is>
          <t>HC/tribunal/other</t>
        </is>
      </c>
      <c r="D34" s="11" t="inlineStr">
        <is>
          <t>no</t>
        </is>
      </c>
      <c r="E34" s="11" t="inlineStr">
        <is>
          <t>no</t>
        </is>
      </c>
      <c r="F34" s="11" t="inlineStr"/>
      <c r="G34" s="11" t="inlineStr"/>
      <c r="H34" s="11" t="inlineStr">
        <is>
          <t>c1302</t>
        </is>
      </c>
      <c r="I34" s="11" t="inlineStr">
        <is>
          <t>cite</t>
        </is>
      </c>
      <c r="J34" s="11" t="inlineStr">
        <is>
          <t>no</t>
        </is>
      </c>
      <c r="K34" s="11" t="inlineStr">
        <is>
          <t>no</t>
        </is>
      </c>
      <c r="L34" s="11" t="inlineStr"/>
    </row>
    <row r="35">
      <c r="A35" s="11" t="inlineStr">
        <is>
          <t>32</t>
        </is>
      </c>
      <c r="B35" s="11" t="inlineStr">
        <is>
          <t>5</t>
        </is>
      </c>
      <c r="C35" s="11" t="inlineStr">
        <is>
          <t>HC/tribunal/other</t>
        </is>
      </c>
      <c r="D35" s="11" t="inlineStr">
        <is>
          <t>no</t>
        </is>
      </c>
      <c r="E35" s="11" t="inlineStr">
        <is>
          <t>no</t>
        </is>
      </c>
      <c r="F35" s="11" t="inlineStr"/>
      <c r="G35" s="11" t="inlineStr"/>
      <c r="H35" s="11" t="inlineStr">
        <is>
          <t>c4585</t>
        </is>
      </c>
      <c r="I35" s="11" t="inlineStr">
        <is>
          <t>cite</t>
        </is>
      </c>
      <c r="J35" s="11" t="inlineStr">
        <is>
          <t>no</t>
        </is>
      </c>
      <c r="K35" s="11" t="inlineStr">
        <is>
          <t>no</t>
        </is>
      </c>
      <c r="L35" s="11" t="inlineStr"/>
    </row>
    <row r="36">
      <c r="A36" s="11" t="inlineStr">
        <is>
          <t>33</t>
        </is>
      </c>
      <c r="B36" s="11" t="inlineStr">
        <is>
          <t>5</t>
        </is>
      </c>
      <c r="C36" s="11" t="inlineStr">
        <is>
          <t>HC/tribunal/other</t>
        </is>
      </c>
      <c r="D36" s="11" t="inlineStr">
        <is>
          <t>no</t>
        </is>
      </c>
      <c r="E36" s="11" t="inlineStr">
        <is>
          <t>no</t>
        </is>
      </c>
      <c r="F36" s="11" t="inlineStr"/>
      <c r="G36" s="11" t="inlineStr"/>
      <c r="H36" s="11" t="inlineStr">
        <is>
          <t>c18075</t>
        </is>
      </c>
      <c r="I36" s="11" t="inlineStr">
        <is>
          <t>name</t>
        </is>
      </c>
      <c r="J36" s="11" t="inlineStr">
        <is>
          <t>no</t>
        </is>
      </c>
      <c r="K36" s="11" t="inlineStr">
        <is>
          <t>no</t>
        </is>
      </c>
      <c r="L36" s="11" t="inlineStr"/>
    </row>
    <row r="37">
      <c r="A37" s="11" t="inlineStr">
        <is>
          <t>34</t>
        </is>
      </c>
      <c r="B37" s="11" t="inlineStr">
        <is>
          <t>5</t>
        </is>
      </c>
      <c r="C37" s="11" t="inlineStr">
        <is>
          <t>HC/tribunal/other</t>
        </is>
      </c>
      <c r="D37" s="11" t="inlineStr">
        <is>
          <t>no</t>
        </is>
      </c>
      <c r="E37" s="11" t="inlineStr">
        <is>
          <t>no</t>
        </is>
      </c>
      <c r="F37" s="11" t="inlineStr"/>
      <c r="G37" s="11" t="inlineStr"/>
      <c r="H37" s="11" t="inlineStr">
        <is>
          <t>c5324</t>
        </is>
      </c>
      <c r="I37" s="11" t="inlineStr">
        <is>
          <t>cite</t>
        </is>
      </c>
      <c r="J37" s="11" t="inlineStr">
        <is>
          <t>no</t>
        </is>
      </c>
      <c r="K37" s="11" t="inlineStr">
        <is>
          <t>no</t>
        </is>
      </c>
      <c r="L37" s="11" t="inlineStr"/>
    </row>
    <row r="38">
      <c r="A38" s="11" t="inlineStr">
        <is>
          <t>35</t>
        </is>
      </c>
      <c r="B38" s="11" t="inlineStr">
        <is>
          <t>5</t>
        </is>
      </c>
      <c r="C38" s="11" t="inlineStr">
        <is>
          <t>HC/tribunal/other</t>
        </is>
      </c>
      <c r="D38" s="11" t="inlineStr">
        <is>
          <t>no</t>
        </is>
      </c>
      <c r="E38" s="11" t="inlineStr">
        <is>
          <t>no</t>
        </is>
      </c>
      <c r="F38" s="11" t="inlineStr"/>
      <c r="G38" s="11" t="inlineStr"/>
      <c r="H38" s="11" t="inlineStr">
        <is>
          <t>c28349</t>
        </is>
      </c>
      <c r="I38" s="11" t="inlineStr">
        <is>
          <t>name</t>
        </is>
      </c>
      <c r="J38" s="11" t="inlineStr">
        <is>
          <t>no</t>
        </is>
      </c>
      <c r="K38" s="11" t="inlineStr">
        <is>
          <t>no</t>
        </is>
      </c>
      <c r="L38" s="11" t="inlineStr"/>
    </row>
    <row r="39">
      <c r="A39" s="11" t="inlineStr">
        <is>
          <t>36</t>
        </is>
      </c>
      <c r="B39" s="11" t="inlineStr">
        <is>
          <t>6</t>
        </is>
      </c>
      <c r="C39" s="11" t="inlineStr">
        <is>
          <t>HC/tribunal/other</t>
        </is>
      </c>
      <c r="D39" s="11" t="inlineStr">
        <is>
          <t>no</t>
        </is>
      </c>
      <c r="E39" s="11" t="inlineStr">
        <is>
          <t>no</t>
        </is>
      </c>
      <c r="F39" s="11" t="inlineStr"/>
      <c r="G39" s="11" t="inlineStr"/>
      <c r="H39" s="11" t="inlineStr">
        <is>
          <t>c6125</t>
        </is>
      </c>
      <c r="I39" s="11" t="inlineStr">
        <is>
          <t>cite</t>
        </is>
      </c>
      <c r="J39" s="11" t="inlineStr">
        <is>
          <t>no</t>
        </is>
      </c>
      <c r="K39" s="11" t="inlineStr">
        <is>
          <t>no</t>
        </is>
      </c>
      <c r="L39" s="11" t="inlineStr"/>
    </row>
    <row r="40">
      <c r="A40" s="11" t="inlineStr">
        <is>
          <t>37</t>
        </is>
      </c>
      <c r="B40" s="11" t="inlineStr">
        <is>
          <t>6</t>
        </is>
      </c>
      <c r="C40" s="11" t="inlineStr">
        <is>
          <t>HC/tribunal/other</t>
        </is>
      </c>
      <c r="D40" s="11" t="inlineStr">
        <is>
          <t>no</t>
        </is>
      </c>
      <c r="E40" s="11" t="inlineStr">
        <is>
          <t>no</t>
        </is>
      </c>
      <c r="F40" s="11" t="inlineStr"/>
      <c r="G40" s="11" t="inlineStr"/>
      <c r="H40" s="11" t="inlineStr">
        <is>
          <t>c28050</t>
        </is>
      </c>
      <c r="I40" s="11" t="inlineStr">
        <is>
          <t>name</t>
        </is>
      </c>
      <c r="J40" s="11" t="inlineStr">
        <is>
          <t>no</t>
        </is>
      </c>
      <c r="K40" s="11" t="inlineStr">
        <is>
          <t>no</t>
        </is>
      </c>
      <c r="L40" s="11" t="inlineStr"/>
    </row>
    <row r="41">
      <c r="A41" s="11" t="inlineStr">
        <is>
          <t>38</t>
        </is>
      </c>
      <c r="B41" s="11" t="inlineStr">
        <is>
          <t>6</t>
        </is>
      </c>
      <c r="C41" s="11" t="inlineStr">
        <is>
          <t>HC/tribunal/other</t>
        </is>
      </c>
      <c r="D41" s="11" t="inlineStr">
        <is>
          <t>no</t>
        </is>
      </c>
      <c r="E41" s="11" t="inlineStr">
        <is>
          <t>no</t>
        </is>
      </c>
      <c r="F41" s="11" t="inlineStr"/>
      <c r="G41" s="11" t="inlineStr"/>
      <c r="H41" s="11" t="inlineStr">
        <is>
          <t>c15139</t>
        </is>
      </c>
      <c r="I41" s="11" t="inlineStr">
        <is>
          <t>name</t>
        </is>
      </c>
      <c r="J41" s="11" t="inlineStr">
        <is>
          <t>no</t>
        </is>
      </c>
      <c r="K41" s="11" t="inlineStr">
        <is>
          <t>no</t>
        </is>
      </c>
      <c r="L41" s="11" t="inlineStr"/>
    </row>
    <row r="42">
      <c r="A42" s="11" t="inlineStr">
        <is>
          <t>39</t>
        </is>
      </c>
      <c r="B42" s="11" t="inlineStr">
        <is>
          <t>6</t>
        </is>
      </c>
      <c r="C42" s="11" t="inlineStr">
        <is>
          <t>HC/tribunal/other</t>
        </is>
      </c>
      <c r="D42" s="11" t="inlineStr">
        <is>
          <t>yes</t>
        </is>
      </c>
      <c r="E42" s="11" t="inlineStr">
        <is>
          <t>no</t>
        </is>
      </c>
      <c r="F42" s="11" t="inlineStr"/>
      <c r="G42" s="11" t="inlineStr"/>
      <c r="H42" s="11" t="inlineStr">
        <is>
          <t>c15829</t>
        </is>
      </c>
      <c r="I42" s="11" t="inlineStr">
        <is>
          <t>cite</t>
        </is>
      </c>
      <c r="J42" s="11" t="inlineStr">
        <is>
          <t>no</t>
        </is>
      </c>
      <c r="K42" s="11" t="inlineStr">
        <is>
          <t>no</t>
        </is>
      </c>
      <c r="L42" s="11" t="inlineStr"/>
    </row>
    <row r="43">
      <c r="A43" s="11" t="inlineStr">
        <is>
          <t>40</t>
        </is>
      </c>
      <c r="B43" s="11" t="inlineStr">
        <is>
          <t>6</t>
        </is>
      </c>
      <c r="C43" s="11" t="inlineStr">
        <is>
          <t>HC/tribunal/other</t>
        </is>
      </c>
      <c r="D43" s="11" t="inlineStr">
        <is>
          <t>no</t>
        </is>
      </c>
      <c r="E43" s="11" t="inlineStr">
        <is>
          <t>no</t>
        </is>
      </c>
      <c r="F43" s="11" t="inlineStr"/>
      <c r="G43" s="11" t="inlineStr"/>
      <c r="H43" s="11" t="inlineStr">
        <is>
          <t>c18985</t>
        </is>
      </c>
      <c r="I43" s="11" t="inlineStr">
        <is>
          <t>cite</t>
        </is>
      </c>
      <c r="J43" s="11" t="inlineStr">
        <is>
          <t>no</t>
        </is>
      </c>
      <c r="K43" s="11" t="inlineStr">
        <is>
          <t>no</t>
        </is>
      </c>
      <c r="L43" s="11" t="inlineStr"/>
    </row>
    <row r="44">
      <c r="A44" s="11" t="inlineStr">
        <is>
          <t>41</t>
        </is>
      </c>
      <c r="B44" s="11" t="inlineStr">
        <is>
          <t>6</t>
        </is>
      </c>
      <c r="C44" s="11" t="inlineStr">
        <is>
          <t>HC/tribunal/other</t>
        </is>
      </c>
      <c r="D44" s="11" t="inlineStr">
        <is>
          <t>no</t>
        </is>
      </c>
      <c r="E44" s="11" t="inlineStr">
        <is>
          <t>no</t>
        </is>
      </c>
      <c r="F44" s="11" t="inlineStr"/>
      <c r="G44" s="11" t="inlineStr"/>
      <c r="H44" s="11" t="inlineStr">
        <is>
          <t>b1969_1_999_1005</t>
        </is>
      </c>
      <c r="I44" s="11" t="inlineStr">
        <is>
          <t>cite</t>
        </is>
      </c>
      <c r="J44" s="11" t="inlineStr">
        <is>
          <t>no</t>
        </is>
      </c>
      <c r="K44" s="11" t="inlineStr">
        <is>
          <t>no</t>
        </is>
      </c>
      <c r="L44" s="11" t="inlineStr"/>
    </row>
    <row r="45">
      <c r="A45" s="11" t="inlineStr">
        <is>
          <t>42</t>
        </is>
      </c>
      <c r="B45" s="11" t="inlineStr">
        <is>
          <t>6</t>
        </is>
      </c>
      <c r="C45" s="11" t="inlineStr">
        <is>
          <t>HC/tribunal/other</t>
        </is>
      </c>
      <c r="D45" s="11" t="inlineStr">
        <is>
          <t>no</t>
        </is>
      </c>
      <c r="E45" s="11" t="inlineStr">
        <is>
          <t>no</t>
        </is>
      </c>
      <c r="F45" s="11" t="inlineStr"/>
      <c r="G45" s="11" t="inlineStr"/>
      <c r="H45" s="11" t="inlineStr">
        <is>
          <t>c9970</t>
        </is>
      </c>
      <c r="I45" s="11" t="inlineStr">
        <is>
          <t>cite</t>
        </is>
      </c>
      <c r="J45" s="11" t="inlineStr">
        <is>
          <t>no</t>
        </is>
      </c>
      <c r="K45" s="11" t="inlineStr">
        <is>
          <t>no</t>
        </is>
      </c>
      <c r="L45" s="11" t="inlineStr"/>
    </row>
    <row r="46">
      <c r="A46" s="11" t="inlineStr">
        <is>
          <t>43</t>
        </is>
      </c>
      <c r="B46" s="11" t="inlineStr">
        <is>
          <t>7</t>
        </is>
      </c>
      <c r="C46" s="11" t="inlineStr">
        <is>
          <t>HC/tribunal/other</t>
        </is>
      </c>
      <c r="D46" s="11" t="inlineStr">
        <is>
          <t>no</t>
        </is>
      </c>
      <c r="E46" s="11" t="inlineStr">
        <is>
          <t>no</t>
        </is>
      </c>
      <c r="F46" s="11" t="inlineStr"/>
      <c r="G46" s="11" t="inlineStr"/>
      <c r="H46" s="11" t="inlineStr"/>
      <c r="I46" s="11" t="inlineStr"/>
      <c r="J46" s="11" t="inlineStr">
        <is>
          <t>no</t>
        </is>
      </c>
      <c r="K46" s="11" t="inlineStr">
        <is>
          <t>no</t>
        </is>
      </c>
      <c r="L46" s="11" t="inlineStr"/>
    </row>
    <row r="47">
      <c r="A47" s="11" t="inlineStr">
        <is>
          <t>44</t>
        </is>
      </c>
      <c r="B47" s="11" t="inlineStr">
        <is>
          <t>7</t>
        </is>
      </c>
      <c r="C47" s="11" t="inlineStr">
        <is>
          <t>HC/tribunal/other</t>
        </is>
      </c>
      <c r="D47" s="11" t="inlineStr">
        <is>
          <t>no</t>
        </is>
      </c>
      <c r="E47" s="11" t="inlineStr">
        <is>
          <t>no</t>
        </is>
      </c>
      <c r="F47" s="11" t="inlineStr"/>
      <c r="G47" s="11" t="inlineStr"/>
      <c r="H47" s="11" t="inlineStr">
        <is>
          <t>c6074</t>
        </is>
      </c>
      <c r="I47" s="11" t="inlineStr">
        <is>
          <t>cite</t>
        </is>
      </c>
      <c r="J47" s="11" t="inlineStr">
        <is>
          <t>no</t>
        </is>
      </c>
      <c r="K47" s="11" t="inlineStr">
        <is>
          <t>no</t>
        </is>
      </c>
      <c r="L47" s="11" t="inlineStr"/>
    </row>
    <row r="48">
      <c r="A48" s="11" t="inlineStr">
        <is>
          <t>45</t>
        </is>
      </c>
      <c r="B48" s="11" t="inlineStr">
        <is>
          <t>7</t>
        </is>
      </c>
      <c r="C48" s="11" t="inlineStr">
        <is>
          <t>HC/tribunal/other</t>
        </is>
      </c>
      <c r="D48" s="11" t="inlineStr">
        <is>
          <t>no</t>
        </is>
      </c>
      <c r="E48" s="11" t="inlineStr">
        <is>
          <t>no</t>
        </is>
      </c>
      <c r="F48" s="11" t="inlineStr"/>
      <c r="G48" s="11" t="inlineStr"/>
      <c r="H48" s="11" t="inlineStr">
        <is>
          <t>c20422</t>
        </is>
      </c>
      <c r="I48" s="11" t="inlineStr">
        <is>
          <t>cite</t>
        </is>
      </c>
      <c r="J48" s="11" t="inlineStr">
        <is>
          <t>no</t>
        </is>
      </c>
      <c r="K48" s="11" t="inlineStr">
        <is>
          <t>no</t>
        </is>
      </c>
      <c r="L48" s="11" t="inlineStr"/>
    </row>
    <row r="49">
      <c r="A49" s="11" t="inlineStr">
        <is>
          <t>46</t>
        </is>
      </c>
      <c r="B49" s="11" t="inlineStr">
        <is>
          <t>7</t>
        </is>
      </c>
      <c r="C49" s="11" t="inlineStr">
        <is>
          <t>HC/tribunal/other</t>
        </is>
      </c>
      <c r="D49" s="11" t="inlineStr">
        <is>
          <t>no</t>
        </is>
      </c>
      <c r="E49" s="11" t="inlineStr">
        <is>
          <t>yes</t>
        </is>
      </c>
      <c r="F49" s="11" t="inlineStr"/>
      <c r="G49" s="11" t="inlineStr"/>
      <c r="H49" s="11" t="inlineStr"/>
      <c r="I49" s="11" t="inlineStr"/>
      <c r="J49" s="11" t="inlineStr">
        <is>
          <t>no</t>
        </is>
      </c>
      <c r="K49" s="11" t="inlineStr">
        <is>
          <t>no</t>
        </is>
      </c>
      <c r="L49" s="11" t="inlineStr"/>
    </row>
    <row r="50">
      <c r="A50" s="11" t="inlineStr">
        <is>
          <t>47</t>
        </is>
      </c>
      <c r="B50" s="11" t="inlineStr">
        <is>
          <t>7</t>
        </is>
      </c>
      <c r="C50" s="11" t="inlineStr">
        <is>
          <t>HC/tribunal/other</t>
        </is>
      </c>
      <c r="D50" s="11" t="inlineStr">
        <is>
          <t>yes</t>
        </is>
      </c>
      <c r="E50" s="11" t="inlineStr">
        <is>
          <t>no</t>
        </is>
      </c>
      <c r="F50" s="11" t="inlineStr"/>
      <c r="G50" s="11" t="inlineStr"/>
      <c r="H50" s="11" t="inlineStr">
        <is>
          <t>c18556</t>
        </is>
      </c>
      <c r="I50" s="11" t="inlineStr">
        <is>
          <t>name</t>
        </is>
      </c>
      <c r="J50" s="11" t="inlineStr">
        <is>
          <t>no</t>
        </is>
      </c>
      <c r="K50" s="11" t="inlineStr">
        <is>
          <t>no</t>
        </is>
      </c>
      <c r="L50" s="11" t="inlineStr"/>
    </row>
    <row r="51">
      <c r="A51" s="11" t="inlineStr">
        <is>
          <t>48</t>
        </is>
      </c>
      <c r="B51" s="11" t="inlineStr">
        <is>
          <t>7</t>
        </is>
      </c>
      <c r="C51" s="11" t="inlineStr">
        <is>
          <t>HC/tribunal/other</t>
        </is>
      </c>
      <c r="D51" s="11" t="inlineStr">
        <is>
          <t>no</t>
        </is>
      </c>
      <c r="E51" s="11" t="inlineStr">
        <is>
          <t>no</t>
        </is>
      </c>
      <c r="F51" s="11" t="inlineStr"/>
      <c r="G51" s="11" t="inlineStr"/>
      <c r="H51" s="11" t="inlineStr">
        <is>
          <t>c7325</t>
        </is>
      </c>
      <c r="I51" s="11" t="inlineStr">
        <is>
          <t>cite</t>
        </is>
      </c>
      <c r="J51" s="11" t="inlineStr">
        <is>
          <t>no</t>
        </is>
      </c>
      <c r="K51" s="11" t="inlineStr">
        <is>
          <t>no</t>
        </is>
      </c>
      <c r="L51" s="11" t="inlineStr"/>
    </row>
    <row r="52">
      <c r="A52" s="11" t="inlineStr">
        <is>
          <t>49</t>
        </is>
      </c>
      <c r="B52" s="11" t="inlineStr">
        <is>
          <t>7</t>
        </is>
      </c>
      <c r="C52" s="11" t="inlineStr">
        <is>
          <t>HC/tribunal/other</t>
        </is>
      </c>
      <c r="D52" s="11" t="inlineStr">
        <is>
          <t>no</t>
        </is>
      </c>
      <c r="E52" s="11" t="inlineStr">
        <is>
          <t>yes</t>
        </is>
      </c>
      <c r="F52" s="11" t="inlineStr"/>
      <c r="G52" s="11" t="inlineStr"/>
      <c r="H52" s="11" t="inlineStr">
        <is>
          <t>c10599</t>
        </is>
      </c>
      <c r="I52" s="11" t="inlineStr">
        <is>
          <t>cite</t>
        </is>
      </c>
      <c r="J52" s="11" t="inlineStr">
        <is>
          <t>no</t>
        </is>
      </c>
      <c r="K52" s="11" t="inlineStr">
        <is>
          <t>no</t>
        </is>
      </c>
      <c r="L52" s="11" t="inlineStr"/>
    </row>
    <row r="53">
      <c r="A53" s="11" t="inlineStr">
        <is>
          <t>50</t>
        </is>
      </c>
      <c r="B53" s="11" t="inlineStr">
        <is>
          <t>8</t>
        </is>
      </c>
      <c r="C53" s="11" t="inlineStr">
        <is>
          <t>HC/tribunal/other</t>
        </is>
      </c>
      <c r="D53" s="11" t="inlineStr">
        <is>
          <t>no</t>
        </is>
      </c>
      <c r="E53" s="11" t="inlineStr">
        <is>
          <t>no</t>
        </is>
      </c>
      <c r="F53" s="11" t="inlineStr"/>
      <c r="G53" s="11" t="inlineStr"/>
      <c r="H53" s="11" t="inlineStr">
        <is>
          <t>c5473</t>
        </is>
      </c>
      <c r="I53" s="11" t="inlineStr">
        <is>
          <t>cite</t>
        </is>
      </c>
      <c r="J53" s="11" t="inlineStr">
        <is>
          <t>no</t>
        </is>
      </c>
      <c r="K53" s="11" t="inlineStr">
        <is>
          <t>no</t>
        </is>
      </c>
      <c r="L53" s="11" t="inlineStr"/>
    </row>
    <row r="54">
      <c r="A54" s="11" t="inlineStr">
        <is>
          <t>51</t>
        </is>
      </c>
      <c r="B54" s="11" t="inlineStr">
        <is>
          <t>8</t>
        </is>
      </c>
      <c r="C54" s="11" t="inlineStr">
        <is>
          <t>HC/tribunal/other</t>
        </is>
      </c>
      <c r="D54" s="11" t="inlineStr">
        <is>
          <t>no</t>
        </is>
      </c>
      <c r="E54" s="11" t="inlineStr">
        <is>
          <t>no</t>
        </is>
      </c>
      <c r="F54" s="11" t="inlineStr"/>
      <c r="G54" s="11" t="inlineStr"/>
      <c r="H54" s="11" t="inlineStr">
        <is>
          <t>c4745</t>
        </is>
      </c>
      <c r="I54" s="11" t="inlineStr">
        <is>
          <t>cite</t>
        </is>
      </c>
      <c r="J54" s="11" t="inlineStr">
        <is>
          <t>no</t>
        </is>
      </c>
      <c r="K54" s="11" t="inlineStr">
        <is>
          <t>no</t>
        </is>
      </c>
      <c r="L54" s="11" t="inlineStr"/>
    </row>
    <row r="55">
      <c r="A55" s="11" t="inlineStr">
        <is>
          <t>52</t>
        </is>
      </c>
      <c r="B55" s="11" t="inlineStr">
        <is>
          <t>8</t>
        </is>
      </c>
      <c r="C55" s="11" t="inlineStr">
        <is>
          <t>HC/tribunal/other</t>
        </is>
      </c>
      <c r="D55" s="11" t="inlineStr">
        <is>
          <t>no</t>
        </is>
      </c>
      <c r="E55" s="11" t="inlineStr">
        <is>
          <t>no</t>
        </is>
      </c>
      <c r="F55" s="11" t="inlineStr"/>
      <c r="G55" s="11" t="inlineStr"/>
      <c r="H55" s="11" t="inlineStr">
        <is>
          <t>c29498</t>
        </is>
      </c>
      <c r="I55" s="11" t="inlineStr">
        <is>
          <t>name</t>
        </is>
      </c>
      <c r="J55" s="11" t="inlineStr">
        <is>
          <t>no</t>
        </is>
      </c>
      <c r="K55" s="11" t="inlineStr">
        <is>
          <t>no</t>
        </is>
      </c>
      <c r="L55" s="11" t="inlineStr"/>
    </row>
    <row r="56">
      <c r="A56" s="11" t="inlineStr">
        <is>
          <t>53</t>
        </is>
      </c>
      <c r="B56" s="11" t="inlineStr">
        <is>
          <t>8</t>
        </is>
      </c>
      <c r="C56" s="11" t="inlineStr">
        <is>
          <t>HC/tribunal/other</t>
        </is>
      </c>
      <c r="D56" s="11" t="inlineStr">
        <is>
          <t>no</t>
        </is>
      </c>
      <c r="E56" s="11" t="inlineStr">
        <is>
          <t>yes</t>
        </is>
      </c>
      <c r="F56" s="11" t="inlineStr"/>
      <c r="G56" s="11" t="inlineStr"/>
      <c r="H56" s="11" t="inlineStr">
        <is>
          <t>c1858</t>
        </is>
      </c>
      <c r="I56" s="11" t="inlineStr">
        <is>
          <t>cite</t>
        </is>
      </c>
      <c r="J56" s="11" t="inlineStr">
        <is>
          <t>no</t>
        </is>
      </c>
      <c r="K56" s="11" t="inlineStr">
        <is>
          <t>no</t>
        </is>
      </c>
      <c r="L56" s="11" t="inlineStr"/>
    </row>
    <row r="57">
      <c r="A57" s="11" t="inlineStr">
        <is>
          <t>54</t>
        </is>
      </c>
      <c r="B57" s="11" t="inlineStr">
        <is>
          <t>8</t>
        </is>
      </c>
      <c r="C57" s="11" t="inlineStr">
        <is>
          <t>HC/tribunal/other</t>
        </is>
      </c>
      <c r="D57" s="11" t="inlineStr">
        <is>
          <t>no</t>
        </is>
      </c>
      <c r="E57" s="11" t="inlineStr">
        <is>
          <t>no</t>
        </is>
      </c>
      <c r="F57" s="11" t="inlineStr"/>
      <c r="G57" s="11" t="inlineStr"/>
      <c r="H57" s="11" t="inlineStr">
        <is>
          <t>c6125</t>
        </is>
      </c>
      <c r="I57" s="11" t="inlineStr">
        <is>
          <t>cite</t>
        </is>
      </c>
      <c r="J57" s="11" t="inlineStr">
        <is>
          <t>no</t>
        </is>
      </c>
      <c r="K57" s="11" t="inlineStr">
        <is>
          <t>no</t>
        </is>
      </c>
      <c r="L57" s="11" t="inlineStr"/>
    </row>
    <row r="58">
      <c r="A58" s="11" t="inlineStr">
        <is>
          <t>55</t>
        </is>
      </c>
      <c r="B58" s="11" t="inlineStr">
        <is>
          <t>8</t>
        </is>
      </c>
      <c r="C58" s="11" t="inlineStr">
        <is>
          <t>HC/tribunal/other</t>
        </is>
      </c>
      <c r="D58" s="11" t="inlineStr">
        <is>
          <t>yes</t>
        </is>
      </c>
      <c r="E58" s="11" t="inlineStr">
        <is>
          <t>no</t>
        </is>
      </c>
      <c r="F58" s="11" t="inlineStr"/>
      <c r="G58" s="11" t="inlineStr"/>
      <c r="H58" s="11" t="inlineStr">
        <is>
          <t>c17188</t>
        </is>
      </c>
      <c r="I58" s="11" t="inlineStr">
        <is>
          <t>name</t>
        </is>
      </c>
      <c r="J58" s="11" t="inlineStr">
        <is>
          <t>no</t>
        </is>
      </c>
      <c r="K58" s="11" t="inlineStr">
        <is>
          <t>no</t>
        </is>
      </c>
      <c r="L58" s="11" t="inlineStr"/>
    </row>
    <row r="59">
      <c r="A59" s="11" t="inlineStr">
        <is>
          <t>56</t>
        </is>
      </c>
      <c r="B59" s="11" t="inlineStr">
        <is>
          <t>8</t>
        </is>
      </c>
      <c r="C59" s="11" t="inlineStr">
        <is>
          <t>HC/tribunal/other</t>
        </is>
      </c>
      <c r="D59" s="11" t="inlineStr">
        <is>
          <t>no</t>
        </is>
      </c>
      <c r="E59" s="11" t="inlineStr">
        <is>
          <t>no</t>
        </is>
      </c>
      <c r="F59" s="11" t="inlineStr"/>
      <c r="G59" s="11" t="inlineStr"/>
      <c r="H59" s="11" t="inlineStr">
        <is>
          <t>c16474</t>
        </is>
      </c>
      <c r="I59" s="11" t="inlineStr">
        <is>
          <t>cite</t>
        </is>
      </c>
      <c r="J59" s="11" t="inlineStr">
        <is>
          <t>no</t>
        </is>
      </c>
      <c r="K59" s="11" t="inlineStr">
        <is>
          <t>no</t>
        </is>
      </c>
      <c r="L59" s="11" t="inlineStr"/>
    </row>
    <row r="60">
      <c r="A60" s="11" t="inlineStr">
        <is>
          <t>57</t>
        </is>
      </c>
      <c r="B60" s="11" t="inlineStr">
        <is>
          <t>9</t>
        </is>
      </c>
      <c r="C60" s="11" t="inlineStr">
        <is>
          <t>HC/tribunal/other</t>
        </is>
      </c>
      <c r="D60" s="11" t="inlineStr">
        <is>
          <t>no</t>
        </is>
      </c>
      <c r="E60" s="11" t="inlineStr">
        <is>
          <t>no</t>
        </is>
      </c>
      <c r="F60" s="11" t="inlineStr"/>
      <c r="G60" s="11" t="inlineStr"/>
      <c r="H60" s="11" t="inlineStr">
        <is>
          <t>c12635</t>
        </is>
      </c>
      <c r="I60" s="11" t="inlineStr">
        <is>
          <t>cite</t>
        </is>
      </c>
      <c r="J60" s="11" t="inlineStr">
        <is>
          <t>no</t>
        </is>
      </c>
      <c r="K60" s="11" t="inlineStr">
        <is>
          <t>no</t>
        </is>
      </c>
      <c r="L60" s="11" t="inlineStr"/>
    </row>
    <row r="61">
      <c r="A61" s="11" t="inlineStr">
        <is>
          <t>58</t>
        </is>
      </c>
      <c r="B61" s="11" t="inlineStr">
        <is>
          <t>9</t>
        </is>
      </c>
      <c r="C61" s="11" t="inlineStr">
        <is>
          <t>HC/tribunal/other</t>
        </is>
      </c>
      <c r="D61" s="11" t="inlineStr">
        <is>
          <t>yes</t>
        </is>
      </c>
      <c r="E61" s="11" t="inlineStr">
        <is>
          <t>no</t>
        </is>
      </c>
      <c r="F61" s="11" t="inlineStr"/>
      <c r="G61" s="11" t="inlineStr"/>
      <c r="H61" s="11" t="inlineStr">
        <is>
          <t>c35781</t>
        </is>
      </c>
      <c r="I61" s="11" t="inlineStr">
        <is>
          <t>name</t>
        </is>
      </c>
      <c r="J61" s="11" t="inlineStr">
        <is>
          <t>no</t>
        </is>
      </c>
      <c r="K61" s="11" t="inlineStr">
        <is>
          <t>no</t>
        </is>
      </c>
      <c r="L61" s="11" t="inlineStr"/>
    </row>
    <row r="62">
      <c r="A62" s="11" t="inlineStr">
        <is>
          <t>59</t>
        </is>
      </c>
      <c r="B62" s="11" t="inlineStr">
        <is>
          <t>9</t>
        </is>
      </c>
      <c r="C62" s="11" t="inlineStr">
        <is>
          <t>HC/tribunal/other</t>
        </is>
      </c>
      <c r="D62" s="11" t="inlineStr">
        <is>
          <t>yes</t>
        </is>
      </c>
      <c r="E62" s="11" t="inlineStr">
        <is>
          <t>no</t>
        </is>
      </c>
      <c r="F62" s="11" t="inlineStr"/>
      <c r="G62" s="11" t="inlineStr"/>
      <c r="H62" s="11" t="inlineStr">
        <is>
          <t>c34292</t>
        </is>
      </c>
      <c r="I62" s="11" t="inlineStr">
        <is>
          <t>cite</t>
        </is>
      </c>
      <c r="J62" s="11" t="inlineStr">
        <is>
          <t>no</t>
        </is>
      </c>
      <c r="K62" s="11" t="inlineStr">
        <is>
          <t>no</t>
        </is>
      </c>
      <c r="L62" s="11" t="inlineStr"/>
    </row>
    <row r="63">
      <c r="A63" s="11" t="inlineStr">
        <is>
          <t>60</t>
        </is>
      </c>
      <c r="B63" s="11" t="inlineStr">
        <is>
          <t>9</t>
        </is>
      </c>
      <c r="C63" s="11" t="inlineStr">
        <is>
          <t>HC/tribunal/other</t>
        </is>
      </c>
      <c r="D63" s="11" t="inlineStr">
        <is>
          <t>no</t>
        </is>
      </c>
      <c r="E63" s="11" t="inlineStr">
        <is>
          <t>no</t>
        </is>
      </c>
      <c r="F63" s="11" t="inlineStr"/>
      <c r="G63" s="11" t="inlineStr"/>
      <c r="H63" s="11" t="inlineStr">
        <is>
          <t>c10781</t>
        </is>
      </c>
      <c r="I63" s="11" t="inlineStr">
        <is>
          <t>cite</t>
        </is>
      </c>
      <c r="J63" s="11" t="inlineStr">
        <is>
          <t>no</t>
        </is>
      </c>
      <c r="K63" s="11" t="inlineStr">
        <is>
          <t>no</t>
        </is>
      </c>
      <c r="L63" s="11" t="inlineStr"/>
    </row>
    <row r="64">
      <c r="A64" s="11" t="inlineStr">
        <is>
          <t>61</t>
        </is>
      </c>
      <c r="B64" s="11" t="inlineStr">
        <is>
          <t>9</t>
        </is>
      </c>
      <c r="C64" s="11" t="inlineStr">
        <is>
          <t>HC/tribunal/other</t>
        </is>
      </c>
      <c r="D64" s="11" t="inlineStr">
        <is>
          <t>yes</t>
        </is>
      </c>
      <c r="E64" s="11" t="inlineStr">
        <is>
          <t>no</t>
        </is>
      </c>
      <c r="F64" s="11" t="inlineStr"/>
      <c r="G64" s="11" t="inlineStr"/>
      <c r="H64" s="11" t="inlineStr">
        <is>
          <t>c30863</t>
        </is>
      </c>
      <c r="I64" s="11" t="inlineStr">
        <is>
          <t>name</t>
        </is>
      </c>
      <c r="J64" s="11" t="inlineStr">
        <is>
          <t>no</t>
        </is>
      </c>
      <c r="K64" s="11" t="inlineStr">
        <is>
          <t>no</t>
        </is>
      </c>
      <c r="L64" s="11" t="inlineStr"/>
    </row>
    <row r="65">
      <c r="A65" s="11" t="inlineStr">
        <is>
          <t>62</t>
        </is>
      </c>
      <c r="B65" s="11" t="inlineStr">
        <is>
          <t>9</t>
        </is>
      </c>
      <c r="C65" s="11" t="inlineStr">
        <is>
          <t>HC/tribunal/other</t>
        </is>
      </c>
      <c r="D65" s="11" t="inlineStr">
        <is>
          <t>no</t>
        </is>
      </c>
      <c r="E65" s="11" t="inlineStr">
        <is>
          <t>no</t>
        </is>
      </c>
      <c r="F65" s="11" t="inlineStr"/>
      <c r="G65" s="11" t="inlineStr"/>
      <c r="H65" s="11" t="inlineStr">
        <is>
          <t>c17030</t>
        </is>
      </c>
      <c r="I65" s="11" t="inlineStr">
        <is>
          <t>cite</t>
        </is>
      </c>
      <c r="J65" s="11" t="inlineStr">
        <is>
          <t>no</t>
        </is>
      </c>
      <c r="K65" s="11" t="inlineStr">
        <is>
          <t>no</t>
        </is>
      </c>
      <c r="L65" s="11" t="inlineStr"/>
    </row>
    <row r="66">
      <c r="A66" s="11" t="inlineStr">
        <is>
          <t>63</t>
        </is>
      </c>
      <c r="B66" s="11" t="inlineStr">
        <is>
          <t>10</t>
        </is>
      </c>
      <c r="C66" s="11" t="inlineStr">
        <is>
          <t>HC/tribunal/other</t>
        </is>
      </c>
      <c r="D66" s="11" t="inlineStr">
        <is>
          <t>yes</t>
        </is>
      </c>
      <c r="E66" s="11" t="inlineStr">
        <is>
          <t>no</t>
        </is>
      </c>
      <c r="F66" s="11" t="inlineStr"/>
      <c r="G66" s="11" t="inlineStr"/>
      <c r="H66" s="11" t="inlineStr">
        <is>
          <t>c32155</t>
        </is>
      </c>
      <c r="I66" s="11" t="inlineStr">
        <is>
          <t>name</t>
        </is>
      </c>
      <c r="J66" s="11" t="inlineStr">
        <is>
          <t>no</t>
        </is>
      </c>
      <c r="K66" s="11" t="inlineStr">
        <is>
          <t>no</t>
        </is>
      </c>
      <c r="L66" s="11" t="inlineStr"/>
    </row>
    <row r="67">
      <c r="A67" s="11" t="inlineStr">
        <is>
          <t>64</t>
        </is>
      </c>
      <c r="B67" s="11" t="inlineStr">
        <is>
          <t>10</t>
        </is>
      </c>
      <c r="C67" s="11" t="inlineStr">
        <is>
          <t>HC/tribunal/other</t>
        </is>
      </c>
      <c r="D67" s="11" t="inlineStr">
        <is>
          <t>no</t>
        </is>
      </c>
      <c r="E67" s="11" t="inlineStr">
        <is>
          <t>no</t>
        </is>
      </c>
      <c r="F67" s="11" t="inlineStr"/>
      <c r="G67" s="11" t="inlineStr"/>
      <c r="H67" s="11" t="inlineStr"/>
      <c r="I67" s="11" t="inlineStr"/>
      <c r="J67" s="11" t="inlineStr">
        <is>
          <t>no</t>
        </is>
      </c>
      <c r="K67" s="11" t="inlineStr">
        <is>
          <t>no</t>
        </is>
      </c>
      <c r="L67" s="11" t="inlineStr"/>
    </row>
    <row r="68">
      <c r="A68" s="11" t="inlineStr">
        <is>
          <t>65</t>
        </is>
      </c>
      <c r="B68" s="11" t="inlineStr">
        <is>
          <t>10</t>
        </is>
      </c>
      <c r="C68" s="11" t="inlineStr">
        <is>
          <t>HC/tribunal/other</t>
        </is>
      </c>
      <c r="D68" s="11" t="inlineStr">
        <is>
          <t>yes</t>
        </is>
      </c>
      <c r="E68" s="11" t="inlineStr">
        <is>
          <t>no</t>
        </is>
      </c>
      <c r="F68" s="11" t="inlineStr"/>
      <c r="G68" s="11" t="inlineStr"/>
      <c r="H68" s="11" t="inlineStr">
        <is>
          <t>c26616</t>
        </is>
      </c>
      <c r="I68" s="11" t="inlineStr">
        <is>
          <t>name</t>
        </is>
      </c>
      <c r="J68" s="11" t="inlineStr">
        <is>
          <t>no</t>
        </is>
      </c>
      <c r="K68" s="11" t="inlineStr">
        <is>
          <t>no</t>
        </is>
      </c>
      <c r="L68" s="11" t="inlineStr"/>
    </row>
    <row r="69">
      <c r="A69" s="11" t="inlineStr">
        <is>
          <t>66</t>
        </is>
      </c>
      <c r="B69" s="11" t="inlineStr">
        <is>
          <t>10</t>
        </is>
      </c>
      <c r="C69" s="11" t="inlineStr">
        <is>
          <t>HC/tribunal/other</t>
        </is>
      </c>
      <c r="D69" s="11" t="inlineStr">
        <is>
          <t>no</t>
        </is>
      </c>
      <c r="E69" s="11" t="inlineStr">
        <is>
          <t>no</t>
        </is>
      </c>
      <c r="F69" s="11" t="inlineStr"/>
      <c r="G69" s="11" t="inlineStr"/>
      <c r="H69" s="11" t="inlineStr">
        <is>
          <t>c32230</t>
        </is>
      </c>
      <c r="I69" s="11" t="inlineStr">
        <is>
          <t>name</t>
        </is>
      </c>
      <c r="J69" s="11" t="inlineStr">
        <is>
          <t>no</t>
        </is>
      </c>
      <c r="K69" s="11" t="inlineStr">
        <is>
          <t>no</t>
        </is>
      </c>
      <c r="L69" s="11" t="inlineStr"/>
    </row>
    <row r="70">
      <c r="A70" s="11" t="inlineStr">
        <is>
          <t>67</t>
        </is>
      </c>
      <c r="B70" s="11" t="inlineStr">
        <is>
          <t>10</t>
        </is>
      </c>
      <c r="C70" s="11" t="inlineStr">
        <is>
          <t>HC/tribunal/other</t>
        </is>
      </c>
      <c r="D70" s="11" t="inlineStr">
        <is>
          <t>yes</t>
        </is>
      </c>
      <c r="E70" s="11" t="inlineStr">
        <is>
          <t>no</t>
        </is>
      </c>
      <c r="F70" s="11" t="inlineStr"/>
      <c r="G70" s="11" t="inlineStr"/>
      <c r="H70" s="11" t="inlineStr">
        <is>
          <t>c27914</t>
        </is>
      </c>
      <c r="I70" s="11" t="inlineStr">
        <is>
          <t>name</t>
        </is>
      </c>
      <c r="J70" s="11" t="inlineStr">
        <is>
          <t>no</t>
        </is>
      </c>
      <c r="K70" s="11" t="inlineStr">
        <is>
          <t>no</t>
        </is>
      </c>
      <c r="L70" s="11" t="inlineStr"/>
    </row>
    <row r="71">
      <c r="A71" s="11" t="inlineStr">
        <is>
          <t>68</t>
        </is>
      </c>
      <c r="B71" s="11" t="inlineStr">
        <is>
          <t>10</t>
        </is>
      </c>
      <c r="C71" s="11" t="inlineStr">
        <is>
          <t>HC/tribunal/other</t>
        </is>
      </c>
      <c r="D71" s="11" t="inlineStr">
        <is>
          <t>no</t>
        </is>
      </c>
      <c r="E71" s="11" t="inlineStr">
        <is>
          <t>no</t>
        </is>
      </c>
      <c r="F71" s="11" t="inlineStr"/>
      <c r="G71" s="11" t="inlineStr"/>
      <c r="H71" s="11" t="inlineStr"/>
      <c r="I71" s="11" t="inlineStr"/>
      <c r="J71" s="11" t="inlineStr">
        <is>
          <t>no</t>
        </is>
      </c>
      <c r="K71" s="11" t="inlineStr">
        <is>
          <t>no</t>
        </is>
      </c>
      <c r="L71" s="11" t="inlineStr"/>
    </row>
    <row r="72">
      <c r="A72" s="11" t="inlineStr">
        <is>
          <t>69</t>
        </is>
      </c>
      <c r="B72" s="11" t="inlineStr">
        <is>
          <t>10</t>
        </is>
      </c>
      <c r="C72" s="11" t="inlineStr">
        <is>
          <t>HC/tribunal/other</t>
        </is>
      </c>
      <c r="D72" s="11" t="inlineStr">
        <is>
          <t>no</t>
        </is>
      </c>
      <c r="E72" s="11" t="inlineStr">
        <is>
          <t>no</t>
        </is>
      </c>
      <c r="F72" s="11" t="inlineStr"/>
      <c r="G72" s="11" t="inlineStr"/>
      <c r="H72" s="11" t="inlineStr">
        <is>
          <t>c37458</t>
        </is>
      </c>
      <c r="I72" s="11" t="inlineStr">
        <is>
          <t>cite</t>
        </is>
      </c>
      <c r="J72" s="11" t="inlineStr">
        <is>
          <t>no</t>
        </is>
      </c>
      <c r="K72" s="11" t="inlineStr">
        <is>
          <t>no</t>
        </is>
      </c>
      <c r="L72" s="11" t="inlineStr"/>
    </row>
    <row r="73">
      <c r="A73" s="11" t="inlineStr">
        <is>
          <t>70</t>
        </is>
      </c>
      <c r="B73" s="11" t="inlineStr">
        <is>
          <t>11</t>
        </is>
      </c>
      <c r="C73" s="11" t="inlineStr">
        <is>
          <t>HC/tribunal/other</t>
        </is>
      </c>
      <c r="D73" s="11" t="inlineStr">
        <is>
          <t>no</t>
        </is>
      </c>
      <c r="E73" s="11" t="inlineStr">
        <is>
          <t>yes</t>
        </is>
      </c>
      <c r="F73" s="11" t="inlineStr"/>
      <c r="G73" s="11" t="inlineStr"/>
      <c r="H73" s="11" t="inlineStr"/>
      <c r="I73" s="11" t="inlineStr"/>
      <c r="J73" s="11" t="inlineStr">
        <is>
          <t>no</t>
        </is>
      </c>
      <c r="K73" s="11" t="inlineStr">
        <is>
          <t>no</t>
        </is>
      </c>
      <c r="L73" s="11" t="inlineStr"/>
    </row>
    <row r="74">
      <c r="A74" s="11" t="inlineStr">
        <is>
          <t>71</t>
        </is>
      </c>
      <c r="B74" s="11" t="inlineStr">
        <is>
          <t>11</t>
        </is>
      </c>
      <c r="C74" s="11" t="inlineStr">
        <is>
          <t>HC/tribunal/other</t>
        </is>
      </c>
      <c r="D74" s="11" t="inlineStr">
        <is>
          <t>no</t>
        </is>
      </c>
      <c r="E74" s="11" t="inlineStr">
        <is>
          <t>yes</t>
        </is>
      </c>
      <c r="F74" s="11" t="inlineStr"/>
      <c r="G74" s="11" t="inlineStr"/>
      <c r="H74" s="11" t="inlineStr"/>
      <c r="I74" s="11" t="inlineStr"/>
      <c r="J74" s="11" t="inlineStr">
        <is>
          <t>no</t>
        </is>
      </c>
      <c r="K74" s="11" t="inlineStr">
        <is>
          <t>no</t>
        </is>
      </c>
      <c r="L74" s="11" t="inlineStr"/>
    </row>
    <row r="75">
      <c r="A75" s="11" t="inlineStr">
        <is>
          <t>72</t>
        </is>
      </c>
      <c r="B75" s="11" t="inlineStr">
        <is>
          <t>11</t>
        </is>
      </c>
      <c r="C75" s="11" t="inlineStr">
        <is>
          <t>HC/tribunal/other</t>
        </is>
      </c>
      <c r="D75" s="11" t="inlineStr">
        <is>
          <t>yes</t>
        </is>
      </c>
      <c r="E75" s="11" t="inlineStr">
        <is>
          <t>no</t>
        </is>
      </c>
      <c r="F75" s="11" t="inlineStr"/>
      <c r="G75" s="11" t="inlineStr"/>
      <c r="H75" s="11" t="inlineStr">
        <is>
          <t>c32165</t>
        </is>
      </c>
      <c r="I75" s="11" t="inlineStr">
        <is>
          <t>name</t>
        </is>
      </c>
      <c r="J75" s="11" t="inlineStr">
        <is>
          <t>no</t>
        </is>
      </c>
      <c r="K75" s="11" t="inlineStr">
        <is>
          <t>no</t>
        </is>
      </c>
      <c r="L75" s="11" t="inlineStr"/>
    </row>
    <row r="76">
      <c r="A76" s="11" t="inlineStr">
        <is>
          <t>73</t>
        </is>
      </c>
      <c r="B76" s="11" t="inlineStr">
        <is>
          <t>11</t>
        </is>
      </c>
      <c r="C76" s="11" t="inlineStr">
        <is>
          <t>HC/tribunal/other</t>
        </is>
      </c>
      <c r="D76" s="11" t="inlineStr">
        <is>
          <t>yes</t>
        </is>
      </c>
      <c r="E76" s="11" t="inlineStr">
        <is>
          <t>yes</t>
        </is>
      </c>
      <c r="F76" s="11" t="inlineStr"/>
      <c r="G76" s="11" t="inlineStr"/>
      <c r="H76" s="11" t="inlineStr"/>
      <c r="I76" s="11" t="inlineStr"/>
      <c r="J76" s="11" t="inlineStr">
        <is>
          <t>no</t>
        </is>
      </c>
      <c r="K76" s="11" t="inlineStr">
        <is>
          <t>no</t>
        </is>
      </c>
      <c r="L76" s="11" t="inlineStr"/>
    </row>
    <row r="77">
      <c r="A77" s="11" t="inlineStr">
        <is>
          <t>74</t>
        </is>
      </c>
      <c r="B77" s="11" t="inlineStr">
        <is>
          <t>11</t>
        </is>
      </c>
      <c r="C77" s="11" t="inlineStr">
        <is>
          <t>HC/tribunal/other</t>
        </is>
      </c>
      <c r="D77" s="11" t="inlineStr">
        <is>
          <t>no</t>
        </is>
      </c>
      <c r="E77" s="11" t="inlineStr">
        <is>
          <t>no</t>
        </is>
      </c>
      <c r="F77" s="11" t="inlineStr"/>
      <c r="G77" s="11" t="inlineStr"/>
      <c r="H77" s="11" t="inlineStr">
        <is>
          <t>c27609</t>
        </is>
      </c>
      <c r="I77" s="11" t="inlineStr">
        <is>
          <t>name</t>
        </is>
      </c>
      <c r="J77" s="11" t="inlineStr">
        <is>
          <t>no</t>
        </is>
      </c>
      <c r="K77" s="11" t="inlineStr">
        <is>
          <t>no</t>
        </is>
      </c>
      <c r="L77" s="11" t="inlineStr"/>
    </row>
    <row r="78">
      <c r="A78" s="11" t="inlineStr">
        <is>
          <t>75</t>
        </is>
      </c>
      <c r="B78" s="11" t="inlineStr">
        <is>
          <t>11</t>
        </is>
      </c>
      <c r="C78" s="11" t="inlineStr">
        <is>
          <t>SC</t>
        </is>
      </c>
      <c r="D78" s="11" t="inlineStr">
        <is>
          <t>no</t>
        </is>
      </c>
      <c r="E78" s="11" t="inlineStr">
        <is>
          <t>no</t>
        </is>
      </c>
      <c r="F78" s="11" t="inlineStr">
        <is>
          <t>c33097</t>
        </is>
      </c>
      <c r="G78" s="11" t="inlineStr">
        <is>
          <t>name</t>
        </is>
      </c>
      <c r="H78" s="11" t="inlineStr"/>
      <c r="I78" s="11" t="inlineStr"/>
      <c r="J78" s="11" t="inlineStr">
        <is>
          <t>no</t>
        </is>
      </c>
      <c r="K78" s="11" t="inlineStr">
        <is>
          <t>no</t>
        </is>
      </c>
      <c r="L78" s="11" t="inlineStr"/>
    </row>
    <row r="79">
      <c r="A79" s="11" t="inlineStr">
        <is>
          <t>76</t>
        </is>
      </c>
      <c r="B79" s="11" t="inlineStr">
        <is>
          <t>11</t>
        </is>
      </c>
      <c r="C79" s="11" t="inlineStr">
        <is>
          <t>HC/tribunal/other</t>
        </is>
      </c>
      <c r="D79" s="11" t="inlineStr">
        <is>
          <t>no</t>
        </is>
      </c>
      <c r="E79" s="11" t="inlineStr">
        <is>
          <t>no</t>
        </is>
      </c>
      <c r="F79" s="11" t="inlineStr"/>
      <c r="G79" s="11" t="inlineStr"/>
      <c r="H79" s="11" t="inlineStr"/>
      <c r="I79" s="11" t="inlineStr"/>
      <c r="J79" s="11" t="inlineStr">
        <is>
          <t>no</t>
        </is>
      </c>
      <c r="K79" s="11" t="inlineStr">
        <is>
          <t>no</t>
        </is>
      </c>
      <c r="L79" s="11" t="inlineStr"/>
    </row>
    <row r="80">
      <c r="A80" s="11" t="inlineStr">
        <is>
          <t>77</t>
        </is>
      </c>
      <c r="B80" s="11" t="inlineStr">
        <is>
          <t>12</t>
        </is>
      </c>
      <c r="C80" s="11" t="inlineStr">
        <is>
          <t>HC/tribunal/other</t>
        </is>
      </c>
      <c r="D80" s="11" t="inlineStr">
        <is>
          <t>yes</t>
        </is>
      </c>
      <c r="E80" s="11" t="inlineStr">
        <is>
          <t>no</t>
        </is>
      </c>
      <c r="F80" s="11" t="inlineStr"/>
      <c r="G80" s="11" t="inlineStr"/>
      <c r="H80" s="11" t="inlineStr">
        <is>
          <t>c34159</t>
        </is>
      </c>
      <c r="I80" s="11" t="inlineStr">
        <is>
          <t>cite</t>
        </is>
      </c>
      <c r="J80" s="11" t="inlineStr">
        <is>
          <t>no</t>
        </is>
      </c>
      <c r="K80" s="11" t="inlineStr">
        <is>
          <t>no</t>
        </is>
      </c>
      <c r="L80" s="11" t="inlineStr"/>
    </row>
    <row r="81">
      <c r="A81" s="11" t="inlineStr">
        <is>
          <t>78</t>
        </is>
      </c>
      <c r="B81" s="11" t="inlineStr">
        <is>
          <t>12</t>
        </is>
      </c>
      <c r="C81" s="11" t="inlineStr">
        <is>
          <t>HC/tribunal/other</t>
        </is>
      </c>
      <c r="D81" s="11" t="inlineStr">
        <is>
          <t>no</t>
        </is>
      </c>
      <c r="E81" s="11" t="inlineStr">
        <is>
          <t>no</t>
        </is>
      </c>
      <c r="F81" s="11" t="inlineStr"/>
      <c r="G81" s="11" t="inlineStr"/>
      <c r="H81" s="11" t="inlineStr">
        <is>
          <t>c5598</t>
        </is>
      </c>
      <c r="I81" s="11" t="inlineStr">
        <is>
          <t>cite</t>
        </is>
      </c>
      <c r="J81" s="11" t="inlineStr">
        <is>
          <t>no</t>
        </is>
      </c>
      <c r="K81" s="11" t="inlineStr">
        <is>
          <t>no</t>
        </is>
      </c>
      <c r="L81" s="11" t="inlineStr"/>
    </row>
    <row r="82">
      <c r="A82" s="11" t="inlineStr">
        <is>
          <t>79</t>
        </is>
      </c>
      <c r="B82" s="11" t="inlineStr">
        <is>
          <t>12</t>
        </is>
      </c>
      <c r="C82" s="11" t="inlineStr">
        <is>
          <t>HC/tribunal/other</t>
        </is>
      </c>
      <c r="D82" s="11" t="inlineStr">
        <is>
          <t>no</t>
        </is>
      </c>
      <c r="E82" s="11" t="inlineStr">
        <is>
          <t>no</t>
        </is>
      </c>
      <c r="F82" s="11" t="inlineStr"/>
      <c r="G82" s="11" t="inlineStr"/>
      <c r="H82" s="11" t="inlineStr">
        <is>
          <t>c37891</t>
        </is>
      </c>
      <c r="I82" s="11" t="inlineStr">
        <is>
          <t>cite</t>
        </is>
      </c>
      <c r="J82" s="11" t="inlineStr">
        <is>
          <t>no</t>
        </is>
      </c>
      <c r="K82" s="11" t="inlineStr">
        <is>
          <t>no</t>
        </is>
      </c>
      <c r="L82" s="11" t="inlineStr"/>
    </row>
    <row r="83">
      <c r="A83" s="11" t="inlineStr">
        <is>
          <t>80</t>
        </is>
      </c>
      <c r="B83" s="11" t="inlineStr">
        <is>
          <t>12</t>
        </is>
      </c>
      <c r="C83" s="11" t="inlineStr">
        <is>
          <t>HC/tribunal/other</t>
        </is>
      </c>
      <c r="D83" s="11" t="inlineStr">
        <is>
          <t>no</t>
        </is>
      </c>
      <c r="E83" s="11" t="inlineStr">
        <is>
          <t>no</t>
        </is>
      </c>
      <c r="F83" s="11" t="inlineStr"/>
      <c r="G83" s="11" t="inlineStr"/>
      <c r="H83" s="11" t="inlineStr"/>
      <c r="I83" s="11" t="inlineStr"/>
      <c r="J83" s="11" t="inlineStr">
        <is>
          <t>no</t>
        </is>
      </c>
      <c r="K83" s="11" t="inlineStr">
        <is>
          <t>no</t>
        </is>
      </c>
      <c r="L83" s="11" t="inlineStr"/>
    </row>
    <row r="84">
      <c r="A84" s="11" t="inlineStr">
        <is>
          <t>81</t>
        </is>
      </c>
      <c r="B84" s="11" t="inlineStr">
        <is>
          <t>12</t>
        </is>
      </c>
      <c r="C84" s="11" t="inlineStr">
        <is>
          <t>HC/tribunal/other</t>
        </is>
      </c>
      <c r="D84" s="11" t="inlineStr">
        <is>
          <t>yes</t>
        </is>
      </c>
      <c r="E84" s="11" t="inlineStr">
        <is>
          <t>no</t>
        </is>
      </c>
      <c r="F84" s="11" t="inlineStr"/>
      <c r="G84" s="11" t="inlineStr"/>
      <c r="H84" s="11" t="inlineStr">
        <is>
          <t>c28836</t>
        </is>
      </c>
      <c r="I84" s="11" t="inlineStr">
        <is>
          <t>cite</t>
        </is>
      </c>
      <c r="J84" s="11" t="inlineStr">
        <is>
          <t>no</t>
        </is>
      </c>
      <c r="K84" s="11" t="inlineStr">
        <is>
          <t>no</t>
        </is>
      </c>
      <c r="L84" s="11" t="inlineStr"/>
    </row>
    <row r="85">
      <c r="A85" s="11" t="inlineStr">
        <is>
          <t>82</t>
        </is>
      </c>
      <c r="B85" s="11" t="inlineStr">
        <is>
          <t>12</t>
        </is>
      </c>
      <c r="C85" s="11" t="inlineStr">
        <is>
          <t>HC/tribunal/other</t>
        </is>
      </c>
      <c r="D85" s="11" t="inlineStr">
        <is>
          <t>no</t>
        </is>
      </c>
      <c r="E85" s="11" t="inlineStr">
        <is>
          <t>no</t>
        </is>
      </c>
      <c r="F85" s="11" t="inlineStr"/>
      <c r="G85" s="11" t="inlineStr"/>
      <c r="H85" s="11" t="inlineStr">
        <is>
          <t>c37880</t>
        </is>
      </c>
      <c r="I85" s="11" t="inlineStr">
        <is>
          <t>name</t>
        </is>
      </c>
      <c r="J85" s="11" t="inlineStr">
        <is>
          <t>no</t>
        </is>
      </c>
      <c r="K85" s="11" t="inlineStr">
        <is>
          <t>no</t>
        </is>
      </c>
      <c r="L85" s="11" t="inlineStr"/>
    </row>
    <row r="86">
      <c r="A86" s="11" t="inlineStr">
        <is>
          <t>83</t>
        </is>
      </c>
      <c r="B86" s="11" t="inlineStr">
        <is>
          <t>12</t>
        </is>
      </c>
      <c r="C86" s="11" t="inlineStr">
        <is>
          <t>HC/tribunal/other</t>
        </is>
      </c>
      <c r="D86" s="11" t="inlineStr">
        <is>
          <t>no</t>
        </is>
      </c>
      <c r="E86" s="11" t="inlineStr">
        <is>
          <t>no</t>
        </is>
      </c>
      <c r="F86" s="11" t="inlineStr"/>
      <c r="G86" s="11" t="inlineStr"/>
      <c r="H86" s="11" t="inlineStr">
        <is>
          <t>c2989</t>
        </is>
      </c>
      <c r="I86" s="11" t="inlineStr">
        <is>
          <t>cite</t>
        </is>
      </c>
      <c r="J86" s="11" t="inlineStr">
        <is>
          <t>no</t>
        </is>
      </c>
      <c r="K86" s="11" t="inlineStr">
        <is>
          <t>no</t>
        </is>
      </c>
      <c r="L86" s="11" t="inlineStr"/>
    </row>
    <row r="87">
      <c r="A87" s="11" t="inlineStr">
        <is>
          <t>84</t>
        </is>
      </c>
      <c r="B87" s="11" t="inlineStr">
        <is>
          <t>12</t>
        </is>
      </c>
      <c r="C87" s="11" t="inlineStr">
        <is>
          <t>HC/tribunal/other</t>
        </is>
      </c>
      <c r="D87" s="11" t="inlineStr">
        <is>
          <t>no</t>
        </is>
      </c>
      <c r="E87" s="11" t="inlineStr">
        <is>
          <t>no</t>
        </is>
      </c>
      <c r="F87" s="11" t="inlineStr"/>
      <c r="G87" s="11" t="inlineStr"/>
      <c r="H87" s="11" t="inlineStr"/>
      <c r="I87" s="11" t="inlineStr"/>
      <c r="J87" s="11" t="inlineStr">
        <is>
          <t>no</t>
        </is>
      </c>
      <c r="K87" s="11" t="inlineStr">
        <is>
          <t>no</t>
        </is>
      </c>
      <c r="L87" s="11" t="inlineStr"/>
    </row>
    <row r="88">
      <c r="A88" s="11" t="inlineStr">
        <is>
          <t>85</t>
        </is>
      </c>
      <c r="B88" s="11" t="inlineStr">
        <is>
          <t>13</t>
        </is>
      </c>
      <c r="C88" s="11" t="inlineStr">
        <is>
          <t>HC/tribunal/other</t>
        </is>
      </c>
      <c r="D88" s="11" t="inlineStr">
        <is>
          <t>yes</t>
        </is>
      </c>
      <c r="E88" s="11" t="inlineStr">
        <is>
          <t>no</t>
        </is>
      </c>
      <c r="F88" s="11" t="inlineStr"/>
      <c r="G88" s="11" t="inlineStr"/>
      <c r="H88" s="11" t="inlineStr">
        <is>
          <t>c30566</t>
        </is>
      </c>
      <c r="I88" s="11" t="inlineStr">
        <is>
          <t>name</t>
        </is>
      </c>
      <c r="J88" s="11" t="inlineStr">
        <is>
          <t>no</t>
        </is>
      </c>
      <c r="K88" s="11" t="inlineStr">
        <is>
          <t>no</t>
        </is>
      </c>
      <c r="L88" s="11" t="inlineStr"/>
    </row>
    <row r="89">
      <c r="A89" s="11" t="inlineStr">
        <is>
          <t>86</t>
        </is>
      </c>
      <c r="B89" s="11" t="inlineStr">
        <is>
          <t>13</t>
        </is>
      </c>
      <c r="C89" s="11" t="inlineStr">
        <is>
          <t>HC/tribunal/other</t>
        </is>
      </c>
      <c r="D89" s="11" t="inlineStr">
        <is>
          <t>yes</t>
        </is>
      </c>
      <c r="E89" s="11" t="inlineStr">
        <is>
          <t>no</t>
        </is>
      </c>
      <c r="F89" s="11" t="inlineStr"/>
      <c r="G89" s="11" t="inlineStr"/>
      <c r="H89" s="11" t="inlineStr">
        <is>
          <t>c39680</t>
        </is>
      </c>
      <c r="I89" s="11" t="inlineStr">
        <is>
          <t>name</t>
        </is>
      </c>
      <c r="J89" s="11" t="inlineStr">
        <is>
          <t>no</t>
        </is>
      </c>
      <c r="K89" s="11" t="inlineStr">
        <is>
          <t>no</t>
        </is>
      </c>
      <c r="L89" s="11" t="inlineStr"/>
    </row>
    <row r="90">
      <c r="A90" s="11" t="inlineStr">
        <is>
          <t>87</t>
        </is>
      </c>
      <c r="B90" s="11" t="inlineStr">
        <is>
          <t>13</t>
        </is>
      </c>
      <c r="C90" s="11" t="inlineStr">
        <is>
          <t>HC/tribunal/other</t>
        </is>
      </c>
      <c r="D90" s="11" t="inlineStr">
        <is>
          <t>no</t>
        </is>
      </c>
      <c r="E90" s="11" t="inlineStr">
        <is>
          <t>no</t>
        </is>
      </c>
      <c r="F90" s="11" t="inlineStr"/>
      <c r="G90" s="11" t="inlineStr"/>
      <c r="H90" s="11" t="inlineStr">
        <is>
          <t>c32237</t>
        </is>
      </c>
      <c r="I90" s="11" t="inlineStr">
        <is>
          <t>name</t>
        </is>
      </c>
      <c r="J90" s="11" t="inlineStr">
        <is>
          <t>no</t>
        </is>
      </c>
      <c r="K90" s="11" t="inlineStr">
        <is>
          <t>no</t>
        </is>
      </c>
      <c r="L90" s="11" t="inlineStr"/>
    </row>
    <row r="91">
      <c r="A91" s="11" t="inlineStr">
        <is>
          <t>88</t>
        </is>
      </c>
      <c r="B91" s="11" t="inlineStr">
        <is>
          <t>13</t>
        </is>
      </c>
      <c r="C91" s="11" t="inlineStr">
        <is>
          <t>HC/tribunal/other</t>
        </is>
      </c>
      <c r="D91" s="11" t="inlineStr">
        <is>
          <t>yes</t>
        </is>
      </c>
      <c r="E91" s="11" t="inlineStr">
        <is>
          <t>no</t>
        </is>
      </c>
      <c r="F91" s="11" t="inlineStr"/>
      <c r="G91" s="11" t="inlineStr"/>
      <c r="H91" s="11" t="inlineStr">
        <is>
          <t>c10943</t>
        </is>
      </c>
      <c r="I91" s="11" t="inlineStr">
        <is>
          <t>cite</t>
        </is>
      </c>
      <c r="J91" s="11" t="inlineStr">
        <is>
          <t>no</t>
        </is>
      </c>
      <c r="K91" s="11" t="inlineStr">
        <is>
          <t>no</t>
        </is>
      </c>
      <c r="L91" s="11" t="inlineStr"/>
    </row>
    <row r="92">
      <c r="A92" s="11" t="inlineStr">
        <is>
          <t>89</t>
        </is>
      </c>
      <c r="B92" s="11" t="inlineStr">
        <is>
          <t>13</t>
        </is>
      </c>
      <c r="C92" s="11" t="inlineStr">
        <is>
          <t>HC/tribunal/other</t>
        </is>
      </c>
      <c r="D92" s="11" t="inlineStr">
        <is>
          <t>no</t>
        </is>
      </c>
      <c r="E92" s="11" t="inlineStr">
        <is>
          <t>no</t>
        </is>
      </c>
      <c r="F92" s="11" t="inlineStr"/>
      <c r="G92" s="11" t="inlineStr"/>
      <c r="H92" s="11" t="inlineStr">
        <is>
          <t>bS_2004_6_264_281</t>
        </is>
      </c>
      <c r="I92" s="11" t="inlineStr">
        <is>
          <t>name</t>
        </is>
      </c>
      <c r="J92" s="11" t="inlineStr">
        <is>
          <t>no</t>
        </is>
      </c>
      <c r="K92" s="11" t="inlineStr">
        <is>
          <t>no</t>
        </is>
      </c>
      <c r="L92" s="11" t="inlineStr"/>
    </row>
    <row r="93">
      <c r="A93" s="11" t="inlineStr">
        <is>
          <t>90</t>
        </is>
      </c>
      <c r="B93" s="11" t="inlineStr">
        <is>
          <t>13</t>
        </is>
      </c>
      <c r="C93" s="11" t="inlineStr">
        <is>
          <t>HC/tribunal/other</t>
        </is>
      </c>
      <c r="D93" s="11" t="inlineStr">
        <is>
          <t>no</t>
        </is>
      </c>
      <c r="E93" s="11" t="inlineStr">
        <is>
          <t>no</t>
        </is>
      </c>
      <c r="F93" s="11" t="inlineStr"/>
      <c r="G93" s="11" t="inlineStr"/>
      <c r="H93" s="11" t="inlineStr">
        <is>
          <t>b1969_1_910_918</t>
        </is>
      </c>
      <c r="I93" s="11" t="inlineStr">
        <is>
          <t>cite</t>
        </is>
      </c>
      <c r="J93" s="11" t="inlineStr">
        <is>
          <t>no</t>
        </is>
      </c>
      <c r="K93" s="11" t="inlineStr">
        <is>
          <t>no</t>
        </is>
      </c>
      <c r="L93" s="11" t="inlineStr"/>
    </row>
    <row r="94">
      <c r="A94" s="11" t="inlineStr">
        <is>
          <t>91</t>
        </is>
      </c>
      <c r="B94" s="11" t="inlineStr">
        <is>
          <t>13</t>
        </is>
      </c>
      <c r="C94" s="11" t="inlineStr">
        <is>
          <t>HC/tribunal/other</t>
        </is>
      </c>
      <c r="D94" s="11" t="inlineStr">
        <is>
          <t>yes</t>
        </is>
      </c>
      <c r="E94" s="11" t="inlineStr">
        <is>
          <t>no</t>
        </is>
      </c>
      <c r="F94" s="11" t="inlineStr"/>
      <c r="G94" s="11" t="inlineStr"/>
      <c r="H94" s="11" t="inlineStr">
        <is>
          <t>c32686</t>
        </is>
      </c>
      <c r="I94" s="11" t="inlineStr">
        <is>
          <t>name</t>
        </is>
      </c>
      <c r="J94" s="11" t="inlineStr">
        <is>
          <t>no</t>
        </is>
      </c>
      <c r="K94" s="11" t="inlineStr">
        <is>
          <t>no</t>
        </is>
      </c>
      <c r="L94" s="11" t="inlineStr"/>
    </row>
    <row r="95">
      <c r="A95" s="11" t="inlineStr">
        <is>
          <t>92</t>
        </is>
      </c>
      <c r="B95" s="11" t="inlineStr">
        <is>
          <t>14</t>
        </is>
      </c>
      <c r="C95" s="11" t="inlineStr">
        <is>
          <t>HC/tribunal/other</t>
        </is>
      </c>
      <c r="D95" s="11" t="inlineStr">
        <is>
          <t>no</t>
        </is>
      </c>
      <c r="E95" s="11" t="inlineStr">
        <is>
          <t>no</t>
        </is>
      </c>
      <c r="F95" s="11" t="inlineStr"/>
      <c r="G95" s="11" t="inlineStr"/>
      <c r="H95" s="11" t="inlineStr">
        <is>
          <t>c8159</t>
        </is>
      </c>
      <c r="I95" s="11" t="inlineStr">
        <is>
          <t>cite</t>
        </is>
      </c>
      <c r="J95" s="11" t="inlineStr">
        <is>
          <t>no</t>
        </is>
      </c>
      <c r="K95" s="11" t="inlineStr">
        <is>
          <t>no</t>
        </is>
      </c>
      <c r="L95" s="11" t="inlineStr"/>
    </row>
    <row r="96">
      <c r="A96" s="11" t="inlineStr">
        <is>
          <t>93</t>
        </is>
      </c>
      <c r="B96" s="11" t="inlineStr">
        <is>
          <t>14</t>
        </is>
      </c>
      <c r="C96" s="11" t="inlineStr">
        <is>
          <t>HC/tribunal/other</t>
        </is>
      </c>
      <c r="D96" s="11" t="inlineStr">
        <is>
          <t>no</t>
        </is>
      </c>
      <c r="E96" s="11" t="inlineStr">
        <is>
          <t>no</t>
        </is>
      </c>
      <c r="F96" s="11" t="inlineStr"/>
      <c r="G96" s="11" t="inlineStr"/>
      <c r="H96" s="11" t="inlineStr">
        <is>
          <t>c27469</t>
        </is>
      </c>
      <c r="I96" s="11" t="inlineStr">
        <is>
          <t>name</t>
        </is>
      </c>
      <c r="J96" s="11" t="inlineStr">
        <is>
          <t>no</t>
        </is>
      </c>
      <c r="K96" s="11" t="inlineStr">
        <is>
          <t>no</t>
        </is>
      </c>
      <c r="L96" s="11" t="inlineStr"/>
    </row>
    <row r="97">
      <c r="A97" s="11" t="inlineStr">
        <is>
          <t>94</t>
        </is>
      </c>
      <c r="B97" s="11" t="inlineStr">
        <is>
          <t>14</t>
        </is>
      </c>
      <c r="C97" s="11" t="inlineStr">
        <is>
          <t>HC/tribunal/other</t>
        </is>
      </c>
      <c r="D97" s="11" t="inlineStr">
        <is>
          <t>no</t>
        </is>
      </c>
      <c r="E97" s="11" t="inlineStr">
        <is>
          <t>no</t>
        </is>
      </c>
      <c r="F97" s="11" t="inlineStr"/>
      <c r="G97" s="11" t="inlineStr"/>
      <c r="H97" s="11" t="inlineStr">
        <is>
          <t>c28051</t>
        </is>
      </c>
      <c r="I97" s="11" t="inlineStr">
        <is>
          <t>name</t>
        </is>
      </c>
      <c r="J97" s="11" t="inlineStr">
        <is>
          <t>no</t>
        </is>
      </c>
      <c r="K97" s="11" t="inlineStr">
        <is>
          <t>no</t>
        </is>
      </c>
      <c r="L97" s="11" t="inlineStr"/>
    </row>
    <row r="98">
      <c r="A98" s="11" t="inlineStr">
        <is>
          <t>95</t>
        </is>
      </c>
      <c r="B98" s="11" t="inlineStr">
        <is>
          <t>14</t>
        </is>
      </c>
      <c r="C98" s="11" t="inlineStr">
        <is>
          <t>HC/tribunal/other</t>
        </is>
      </c>
      <c r="D98" s="11" t="inlineStr">
        <is>
          <t>yes</t>
        </is>
      </c>
      <c r="E98" s="11" t="inlineStr">
        <is>
          <t>no</t>
        </is>
      </c>
      <c r="F98" s="11" t="inlineStr"/>
      <c r="G98" s="11" t="inlineStr"/>
      <c r="H98" s="11" t="inlineStr">
        <is>
          <t>c37877</t>
        </is>
      </c>
      <c r="I98" s="11" t="inlineStr">
        <is>
          <t>cite</t>
        </is>
      </c>
      <c r="J98" s="11" t="inlineStr">
        <is>
          <t>no</t>
        </is>
      </c>
      <c r="K98" s="11" t="inlineStr">
        <is>
          <t>no</t>
        </is>
      </c>
      <c r="L98" s="11" t="inlineStr"/>
    </row>
    <row r="99">
      <c r="A99" s="11" t="inlineStr">
        <is>
          <t>96</t>
        </is>
      </c>
      <c r="B99" s="11" t="inlineStr">
        <is>
          <t>14</t>
        </is>
      </c>
      <c r="C99" s="11" t="inlineStr">
        <is>
          <t>HC/tribunal/other</t>
        </is>
      </c>
      <c r="D99" s="11" t="inlineStr">
        <is>
          <t>no</t>
        </is>
      </c>
      <c r="E99" s="11" t="inlineStr">
        <is>
          <t>no</t>
        </is>
      </c>
      <c r="F99" s="11" t="inlineStr"/>
      <c r="G99" s="11" t="inlineStr"/>
      <c r="H99" s="11" t="inlineStr">
        <is>
          <t>c8159</t>
        </is>
      </c>
      <c r="I99" s="11" t="inlineStr">
        <is>
          <t>cite</t>
        </is>
      </c>
      <c r="J99" s="11" t="inlineStr">
        <is>
          <t>no</t>
        </is>
      </c>
      <c r="K99" s="11" t="inlineStr">
        <is>
          <t>no</t>
        </is>
      </c>
      <c r="L99" s="11" t="inlineStr"/>
    </row>
    <row r="100">
      <c r="A100" s="11" t="inlineStr">
        <is>
          <t>97</t>
        </is>
      </c>
      <c r="B100" s="11" t="inlineStr">
        <is>
          <t>14</t>
        </is>
      </c>
      <c r="C100" s="11" t="inlineStr">
        <is>
          <t>HC/tribunal/other</t>
        </is>
      </c>
      <c r="D100" s="11" t="inlineStr">
        <is>
          <t>no</t>
        </is>
      </c>
      <c r="E100" s="11" t="inlineStr">
        <is>
          <t>yes</t>
        </is>
      </c>
      <c r="F100" s="11" t="inlineStr"/>
      <c r="G100" s="11" t="inlineStr"/>
      <c r="H100" s="11" t="inlineStr">
        <is>
          <t>c32600</t>
        </is>
      </c>
      <c r="I100" s="11" t="inlineStr">
        <is>
          <t>name</t>
        </is>
      </c>
      <c r="J100" s="11" t="inlineStr">
        <is>
          <t>no</t>
        </is>
      </c>
      <c r="K100" s="11" t="inlineStr">
        <is>
          <t>no</t>
        </is>
      </c>
      <c r="L100" s="11" t="inlineStr"/>
    </row>
    <row r="101">
      <c r="A101" s="11" t="inlineStr">
        <is>
          <t>98</t>
        </is>
      </c>
      <c r="B101" s="11" t="inlineStr">
        <is>
          <t>14</t>
        </is>
      </c>
      <c r="C101" s="11" t="inlineStr">
        <is>
          <t>HC/tribunal/other</t>
        </is>
      </c>
      <c r="D101" s="11" t="inlineStr">
        <is>
          <t>no</t>
        </is>
      </c>
      <c r="E101" s="11" t="inlineStr">
        <is>
          <t>no</t>
        </is>
      </c>
      <c r="F101" s="11" t="inlineStr"/>
      <c r="G101" s="11" t="inlineStr"/>
      <c r="H101" s="11" t="inlineStr">
        <is>
          <t>b1999_1_1150_1155</t>
        </is>
      </c>
      <c r="I101" s="11" t="inlineStr">
        <is>
          <t>cite</t>
        </is>
      </c>
      <c r="J101" s="11" t="inlineStr">
        <is>
          <t>no</t>
        </is>
      </c>
      <c r="K101" s="11" t="inlineStr">
        <is>
          <t>no</t>
        </is>
      </c>
      <c r="L101" s="11" t="inlineStr"/>
    </row>
    <row r="102">
      <c r="A102" s="11" t="inlineStr">
        <is>
          <t>99</t>
        </is>
      </c>
      <c r="B102" s="11" t="inlineStr">
        <is>
          <t>15</t>
        </is>
      </c>
      <c r="C102" s="11" t="inlineStr">
        <is>
          <t>HC/tribunal/other</t>
        </is>
      </c>
      <c r="D102" s="11" t="inlineStr">
        <is>
          <t>no</t>
        </is>
      </c>
      <c r="E102" s="11" t="inlineStr">
        <is>
          <t>no</t>
        </is>
      </c>
      <c r="F102" s="11" t="inlineStr"/>
      <c r="G102" s="11" t="inlineStr"/>
      <c r="H102" s="11" t="inlineStr">
        <is>
          <t>bS_1994_5_573_583</t>
        </is>
      </c>
      <c r="I102" s="11" t="inlineStr">
        <is>
          <t>name</t>
        </is>
      </c>
      <c r="J102" s="11" t="inlineStr">
        <is>
          <t>no</t>
        </is>
      </c>
      <c r="K102" s="11" t="inlineStr">
        <is>
          <t>no</t>
        </is>
      </c>
      <c r="L102" s="11" t="inlineStr"/>
    </row>
    <row r="103">
      <c r="A103" s="11" t="inlineStr">
        <is>
          <t>100</t>
        </is>
      </c>
      <c r="B103" s="11" t="inlineStr">
        <is>
          <t>15</t>
        </is>
      </c>
      <c r="C103" s="11" t="inlineStr">
        <is>
          <t>HC/tribunal/other</t>
        </is>
      </c>
      <c r="D103" s="11" t="inlineStr">
        <is>
          <t>yes</t>
        </is>
      </c>
      <c r="E103" s="11" t="inlineStr">
        <is>
          <t>no</t>
        </is>
      </c>
      <c r="F103" s="11" t="inlineStr"/>
      <c r="G103" s="11" t="inlineStr"/>
      <c r="H103" s="11" t="inlineStr">
        <is>
          <t>c34406</t>
        </is>
      </c>
      <c r="I103" s="11" t="inlineStr">
        <is>
          <t>cite</t>
        </is>
      </c>
      <c r="J103" s="11" t="inlineStr">
        <is>
          <t>no</t>
        </is>
      </c>
      <c r="K103" s="11" t="inlineStr">
        <is>
          <t>no</t>
        </is>
      </c>
      <c r="L103" s="11" t="inlineStr"/>
    </row>
    <row r="104">
      <c r="A104" s="11" t="inlineStr">
        <is>
          <t>101</t>
        </is>
      </c>
      <c r="B104" s="11" t="inlineStr">
        <is>
          <t>15</t>
        </is>
      </c>
      <c r="C104" s="11" t="inlineStr">
        <is>
          <t>HC/tribunal/other</t>
        </is>
      </c>
      <c r="D104" s="11" t="inlineStr">
        <is>
          <t>yes</t>
        </is>
      </c>
      <c r="E104" s="11" t="inlineStr">
        <is>
          <t>no</t>
        </is>
      </c>
      <c r="F104" s="11" t="inlineStr"/>
      <c r="G104" s="11" t="inlineStr"/>
      <c r="H104" s="11" t="inlineStr">
        <is>
          <t>c6685</t>
        </is>
      </c>
      <c r="I104" s="11" t="inlineStr">
        <is>
          <t>cite</t>
        </is>
      </c>
      <c r="J104" s="11" t="inlineStr">
        <is>
          <t>no</t>
        </is>
      </c>
      <c r="K104" s="11" t="inlineStr">
        <is>
          <t>no</t>
        </is>
      </c>
      <c r="L104" s="11" t="inlineStr"/>
    </row>
    <row r="105">
      <c r="A105" s="11" t="inlineStr">
        <is>
          <t>102</t>
        </is>
      </c>
      <c r="B105" s="11" t="inlineStr">
        <is>
          <t>15</t>
        </is>
      </c>
      <c r="C105" s="11" t="inlineStr">
        <is>
          <t>HC/tribunal/other</t>
        </is>
      </c>
      <c r="D105" s="11" t="inlineStr">
        <is>
          <t>yes</t>
        </is>
      </c>
      <c r="E105" s="11" t="inlineStr">
        <is>
          <t>yes</t>
        </is>
      </c>
      <c r="F105" s="11" t="inlineStr"/>
      <c r="G105" s="11" t="inlineStr"/>
      <c r="H105" s="11" t="inlineStr"/>
      <c r="I105" s="11" t="inlineStr"/>
      <c r="J105" s="11" t="inlineStr">
        <is>
          <t>no</t>
        </is>
      </c>
      <c r="K105" s="11" t="inlineStr">
        <is>
          <t>no</t>
        </is>
      </c>
      <c r="L105" s="11" t="inlineStr"/>
    </row>
    <row r="106">
      <c r="A106" s="11" t="inlineStr">
        <is>
          <t>103</t>
        </is>
      </c>
      <c r="B106" s="11" t="inlineStr">
        <is>
          <t>15</t>
        </is>
      </c>
      <c r="C106" s="11" t="inlineStr">
        <is>
          <t>HC/tribunal/other</t>
        </is>
      </c>
      <c r="D106" s="11" t="inlineStr">
        <is>
          <t>no</t>
        </is>
      </c>
      <c r="E106" s="11" t="inlineStr">
        <is>
          <t>no</t>
        </is>
      </c>
      <c r="F106" s="11" t="inlineStr"/>
      <c r="G106" s="11" t="inlineStr"/>
      <c r="H106" s="11" t="inlineStr"/>
      <c r="I106" s="11" t="inlineStr"/>
      <c r="J106" s="11" t="inlineStr">
        <is>
          <t>no</t>
        </is>
      </c>
      <c r="K106" s="11" t="inlineStr">
        <is>
          <t>no</t>
        </is>
      </c>
      <c r="L106" s="11" t="inlineStr"/>
    </row>
    <row r="107">
      <c r="A107" s="11" t="inlineStr">
        <is>
          <t>104</t>
        </is>
      </c>
      <c r="B107" s="11" t="inlineStr">
        <is>
          <t>15</t>
        </is>
      </c>
      <c r="C107" s="11" t="inlineStr">
        <is>
          <t>HC/tribunal/other</t>
        </is>
      </c>
      <c r="D107" s="11" t="inlineStr">
        <is>
          <t>no</t>
        </is>
      </c>
      <c r="E107" s="11" t="inlineStr">
        <is>
          <t>yes</t>
        </is>
      </c>
      <c r="F107" s="11" t="inlineStr"/>
      <c r="G107" s="11" t="inlineStr"/>
      <c r="H107" s="11" t="inlineStr">
        <is>
          <t>c4723</t>
        </is>
      </c>
      <c r="I107" s="11" t="inlineStr">
        <is>
          <t>cite</t>
        </is>
      </c>
      <c r="J107" s="11" t="inlineStr">
        <is>
          <t>no</t>
        </is>
      </c>
      <c r="K107" s="11" t="inlineStr">
        <is>
          <t>no</t>
        </is>
      </c>
      <c r="L107" s="11" t="inlineStr"/>
    </row>
    <row r="108">
      <c r="A108" s="11" t="inlineStr">
        <is>
          <t>105</t>
        </is>
      </c>
      <c r="B108" s="11" t="inlineStr">
        <is>
          <t>16</t>
        </is>
      </c>
      <c r="C108" s="11" t="inlineStr">
        <is>
          <t>HC/tribunal/other</t>
        </is>
      </c>
      <c r="D108" s="11" t="inlineStr">
        <is>
          <t>no</t>
        </is>
      </c>
      <c r="E108" s="11" t="inlineStr">
        <is>
          <t>no</t>
        </is>
      </c>
      <c r="F108" s="11" t="inlineStr"/>
      <c r="G108" s="11" t="inlineStr"/>
      <c r="H108" s="11" t="inlineStr">
        <is>
          <t>c14495</t>
        </is>
      </c>
      <c r="I108" s="11" t="inlineStr">
        <is>
          <t>cite</t>
        </is>
      </c>
      <c r="J108" s="11" t="inlineStr">
        <is>
          <t>no</t>
        </is>
      </c>
      <c r="K108" s="11" t="inlineStr">
        <is>
          <t>no</t>
        </is>
      </c>
      <c r="L108" s="11" t="inlineStr"/>
    </row>
    <row r="109">
      <c r="A109" s="11" t="inlineStr">
        <is>
          <t>106</t>
        </is>
      </c>
      <c r="B109" s="11" t="inlineStr">
        <is>
          <t>16</t>
        </is>
      </c>
      <c r="C109" s="11" t="inlineStr">
        <is>
          <t>HC/tribunal/other</t>
        </is>
      </c>
      <c r="D109" s="11" t="inlineStr">
        <is>
          <t>no</t>
        </is>
      </c>
      <c r="E109" s="11" t="inlineStr">
        <is>
          <t>no</t>
        </is>
      </c>
      <c r="F109" s="11" t="inlineStr"/>
      <c r="G109" s="11" t="inlineStr"/>
      <c r="H109" s="11" t="inlineStr">
        <is>
          <t>c10467</t>
        </is>
      </c>
      <c r="I109" s="11" t="inlineStr">
        <is>
          <t>cite</t>
        </is>
      </c>
      <c r="J109" s="11" t="inlineStr">
        <is>
          <t>no</t>
        </is>
      </c>
      <c r="K109" s="11" t="inlineStr">
        <is>
          <t>no</t>
        </is>
      </c>
      <c r="L109" s="11" t="inlineStr"/>
    </row>
    <row r="110">
      <c r="A110" s="11" t="inlineStr">
        <is>
          <t>107</t>
        </is>
      </c>
      <c r="B110" s="11" t="inlineStr">
        <is>
          <t>16</t>
        </is>
      </c>
      <c r="C110" s="11" t="inlineStr">
        <is>
          <t>HC/tribunal/other</t>
        </is>
      </c>
      <c r="D110" s="11" t="inlineStr">
        <is>
          <t>no</t>
        </is>
      </c>
      <c r="E110" s="11" t="inlineStr">
        <is>
          <t>no</t>
        </is>
      </c>
      <c r="F110" s="11" t="inlineStr"/>
      <c r="G110" s="11" t="inlineStr"/>
      <c r="H110" s="11" t="inlineStr">
        <is>
          <t>b1999_1_332_335</t>
        </is>
      </c>
      <c r="I110" s="11" t="inlineStr">
        <is>
          <t>cite</t>
        </is>
      </c>
      <c r="J110" s="11" t="inlineStr">
        <is>
          <t>no</t>
        </is>
      </c>
      <c r="K110" s="11" t="inlineStr">
        <is>
          <t>no</t>
        </is>
      </c>
      <c r="L110" s="11" t="inlineStr"/>
    </row>
    <row r="111">
      <c r="A111" s="11" t="inlineStr">
        <is>
          <t>108</t>
        </is>
      </c>
      <c r="B111" s="11" t="inlineStr">
        <is>
          <t>16</t>
        </is>
      </c>
      <c r="C111" s="11" t="inlineStr">
        <is>
          <t>HC/tribunal/other</t>
        </is>
      </c>
      <c r="D111" s="11" t="inlineStr">
        <is>
          <t>yes</t>
        </is>
      </c>
      <c r="E111" s="11" t="inlineStr">
        <is>
          <t>no</t>
        </is>
      </c>
      <c r="F111" s="11" t="inlineStr"/>
      <c r="G111" s="11" t="inlineStr"/>
      <c r="H111" s="11" t="inlineStr">
        <is>
          <t>c6168</t>
        </is>
      </c>
      <c r="I111" s="11" t="inlineStr">
        <is>
          <t>cite</t>
        </is>
      </c>
      <c r="J111" s="11" t="inlineStr">
        <is>
          <t>no</t>
        </is>
      </c>
      <c r="K111" s="11" t="inlineStr">
        <is>
          <t>no</t>
        </is>
      </c>
      <c r="L111" s="11" t="inlineStr"/>
    </row>
    <row r="112">
      <c r="A112" s="11" t="inlineStr">
        <is>
          <t>109</t>
        </is>
      </c>
      <c r="B112" s="11" t="inlineStr">
        <is>
          <t>16</t>
        </is>
      </c>
      <c r="C112" s="11" t="inlineStr">
        <is>
          <t>HC/tribunal/other</t>
        </is>
      </c>
      <c r="D112" s="11" t="inlineStr">
        <is>
          <t>no</t>
        </is>
      </c>
      <c r="E112" s="11" t="inlineStr">
        <is>
          <t>no</t>
        </is>
      </c>
      <c r="F112" s="11" t="inlineStr"/>
      <c r="G112" s="11" t="inlineStr"/>
      <c r="H112" s="11" t="inlineStr">
        <is>
          <t>c16474</t>
        </is>
      </c>
      <c r="I112" s="11" t="inlineStr">
        <is>
          <t>cite</t>
        </is>
      </c>
      <c r="J112" s="11" t="inlineStr">
        <is>
          <t>no</t>
        </is>
      </c>
      <c r="K112" s="11" t="inlineStr">
        <is>
          <t>no</t>
        </is>
      </c>
      <c r="L112" s="11" t="inlineStr"/>
    </row>
    <row r="113">
      <c r="A113" s="11" t="inlineStr">
        <is>
          <t>110</t>
        </is>
      </c>
      <c r="B113" s="11" t="inlineStr">
        <is>
          <t>16</t>
        </is>
      </c>
      <c r="C113" s="11" t="inlineStr">
        <is>
          <t>HC/tribunal/other</t>
        </is>
      </c>
      <c r="D113" s="11" t="inlineStr">
        <is>
          <t>no</t>
        </is>
      </c>
      <c r="E113" s="11" t="inlineStr">
        <is>
          <t>no</t>
        </is>
      </c>
      <c r="F113" s="11" t="inlineStr"/>
      <c r="G113" s="11" t="inlineStr"/>
      <c r="H113" s="11" t="inlineStr">
        <is>
          <t>c12662</t>
        </is>
      </c>
      <c r="I113" s="11" t="inlineStr">
        <is>
          <t>cite</t>
        </is>
      </c>
      <c r="J113" s="11" t="inlineStr">
        <is>
          <t>no</t>
        </is>
      </c>
      <c r="K113" s="11" t="inlineStr">
        <is>
          <t>no</t>
        </is>
      </c>
      <c r="L113" s="11" t="inlineStr"/>
    </row>
    <row r="114">
      <c r="A114" s="11" t="inlineStr">
        <is>
          <t>111</t>
        </is>
      </c>
      <c r="B114" s="11" t="inlineStr">
        <is>
          <t>17</t>
        </is>
      </c>
      <c r="C114" s="11" t="inlineStr">
        <is>
          <t>HC/tribunal/other</t>
        </is>
      </c>
      <c r="D114" s="11" t="inlineStr">
        <is>
          <t>no</t>
        </is>
      </c>
      <c r="E114" s="11" t="inlineStr">
        <is>
          <t>no</t>
        </is>
      </c>
      <c r="F114" s="11" t="inlineStr"/>
      <c r="G114" s="11" t="inlineStr"/>
      <c r="H114" s="11" t="inlineStr">
        <is>
          <t>c14279</t>
        </is>
      </c>
      <c r="I114" s="11" t="inlineStr">
        <is>
          <t>cite</t>
        </is>
      </c>
      <c r="J114" s="11" t="inlineStr">
        <is>
          <t>no</t>
        </is>
      </c>
      <c r="K114" s="11" t="inlineStr">
        <is>
          <t>no</t>
        </is>
      </c>
      <c r="L114" s="11" t="inlineStr"/>
    </row>
    <row r="115">
      <c r="A115" s="11" t="inlineStr">
        <is>
          <t>112</t>
        </is>
      </c>
      <c r="B115" s="11" t="inlineStr">
        <is>
          <t>17</t>
        </is>
      </c>
      <c r="C115" s="11" t="inlineStr">
        <is>
          <t>HC/tribunal/other</t>
        </is>
      </c>
      <c r="D115" s="11" t="inlineStr">
        <is>
          <t>no</t>
        </is>
      </c>
      <c r="E115" s="11" t="inlineStr">
        <is>
          <t>no</t>
        </is>
      </c>
      <c r="F115" s="11" t="inlineStr"/>
      <c r="G115" s="11" t="inlineStr"/>
      <c r="H115" s="11" t="inlineStr">
        <is>
          <t>c10515</t>
        </is>
      </c>
      <c r="I115" s="11" t="inlineStr">
        <is>
          <t>cite</t>
        </is>
      </c>
      <c r="J115" s="11" t="inlineStr">
        <is>
          <t>no</t>
        </is>
      </c>
      <c r="K115" s="11" t="inlineStr">
        <is>
          <t>no</t>
        </is>
      </c>
      <c r="L115" s="11" t="inlineStr"/>
    </row>
    <row r="116">
      <c r="A116" s="11" t="inlineStr">
        <is>
          <t>113</t>
        </is>
      </c>
      <c r="B116" s="11" t="inlineStr">
        <is>
          <t>17</t>
        </is>
      </c>
      <c r="C116" s="11" t="inlineStr">
        <is>
          <t>HC/tribunal/other</t>
        </is>
      </c>
      <c r="D116" s="11" t="inlineStr">
        <is>
          <t>no</t>
        </is>
      </c>
      <c r="E116" s="11" t="inlineStr">
        <is>
          <t>no</t>
        </is>
      </c>
      <c r="F116" s="11" t="inlineStr"/>
      <c r="G116" s="11" t="inlineStr"/>
      <c r="H116" s="11" t="inlineStr"/>
      <c r="I116" s="11" t="inlineStr"/>
      <c r="J116" s="11" t="inlineStr">
        <is>
          <t>no</t>
        </is>
      </c>
      <c r="K116" s="11" t="inlineStr">
        <is>
          <t>no</t>
        </is>
      </c>
      <c r="L116" s="11" t="inlineStr"/>
    </row>
    <row r="117">
      <c r="A117" s="11" t="inlineStr">
        <is>
          <t>114</t>
        </is>
      </c>
      <c r="B117" s="11" t="inlineStr">
        <is>
          <t>17</t>
        </is>
      </c>
      <c r="C117" s="11" t="inlineStr">
        <is>
          <t>HC/tribunal/other</t>
        </is>
      </c>
      <c r="D117" s="11" t="inlineStr">
        <is>
          <t>no</t>
        </is>
      </c>
      <c r="E117" s="11" t="inlineStr">
        <is>
          <t>no</t>
        </is>
      </c>
      <c r="F117" s="11" t="inlineStr"/>
      <c r="G117" s="11" t="inlineStr"/>
      <c r="H117" s="11" t="inlineStr">
        <is>
          <t>c28229</t>
        </is>
      </c>
      <c r="I117" s="11" t="inlineStr">
        <is>
          <t>name</t>
        </is>
      </c>
      <c r="J117" s="11" t="inlineStr">
        <is>
          <t>no</t>
        </is>
      </c>
      <c r="K117" s="11" t="inlineStr">
        <is>
          <t>no</t>
        </is>
      </c>
      <c r="L117" s="11" t="inlineStr"/>
    </row>
    <row r="118">
      <c r="A118" s="11" t="inlineStr">
        <is>
          <t>115</t>
        </is>
      </c>
      <c r="B118" s="11" t="inlineStr">
        <is>
          <t>17</t>
        </is>
      </c>
      <c r="C118" s="11" t="inlineStr">
        <is>
          <t>HC/tribunal/other</t>
        </is>
      </c>
      <c r="D118" s="11" t="inlineStr">
        <is>
          <t>no</t>
        </is>
      </c>
      <c r="E118" s="11" t="inlineStr">
        <is>
          <t>yes</t>
        </is>
      </c>
      <c r="F118" s="11" t="inlineStr"/>
      <c r="G118" s="11" t="inlineStr"/>
      <c r="H118" s="11" t="inlineStr">
        <is>
          <t>c16818</t>
        </is>
      </c>
      <c r="I118" s="11" t="inlineStr">
        <is>
          <t>cite</t>
        </is>
      </c>
      <c r="J118" s="11" t="inlineStr">
        <is>
          <t>no</t>
        </is>
      </c>
      <c r="K118" s="11" t="inlineStr">
        <is>
          <t>no</t>
        </is>
      </c>
      <c r="L118" s="11" t="inlineStr"/>
    </row>
    <row r="119">
      <c r="A119" s="11" t="inlineStr">
        <is>
          <t>116</t>
        </is>
      </c>
      <c r="B119" s="11" t="inlineStr">
        <is>
          <t>17</t>
        </is>
      </c>
      <c r="C119" s="11" t="inlineStr">
        <is>
          <t>HC/tribunal/other</t>
        </is>
      </c>
      <c r="D119" s="11" t="inlineStr">
        <is>
          <t>no</t>
        </is>
      </c>
      <c r="E119" s="11" t="inlineStr">
        <is>
          <t>no</t>
        </is>
      </c>
      <c r="F119" s="11" t="inlineStr"/>
      <c r="G119" s="11" t="inlineStr"/>
      <c r="H119" s="11" t="inlineStr">
        <is>
          <t>c6107</t>
        </is>
      </c>
      <c r="I119" s="11" t="inlineStr">
        <is>
          <t>cite</t>
        </is>
      </c>
      <c r="J119" s="11" t="inlineStr">
        <is>
          <t>no</t>
        </is>
      </c>
      <c r="K119" s="11" t="inlineStr">
        <is>
          <t>no</t>
        </is>
      </c>
      <c r="L119" s="11" t="inlineStr"/>
    </row>
    <row r="120">
      <c r="A120" s="11" t="inlineStr">
        <is>
          <t>117</t>
        </is>
      </c>
      <c r="B120" s="11" t="inlineStr">
        <is>
          <t>18</t>
        </is>
      </c>
      <c r="C120" s="11" t="inlineStr">
        <is>
          <t>HC/tribunal/other</t>
        </is>
      </c>
      <c r="D120" s="11" t="inlineStr">
        <is>
          <t>no</t>
        </is>
      </c>
      <c r="E120" s="11" t="inlineStr">
        <is>
          <t>no</t>
        </is>
      </c>
      <c r="F120" s="11" t="inlineStr"/>
      <c r="G120" s="11" t="inlineStr"/>
      <c r="H120" s="11" t="inlineStr">
        <is>
          <t>c678</t>
        </is>
      </c>
      <c r="I120" s="11" t="inlineStr">
        <is>
          <t>cite</t>
        </is>
      </c>
      <c r="J120" s="11" t="inlineStr">
        <is>
          <t>no</t>
        </is>
      </c>
      <c r="K120" s="11" t="inlineStr">
        <is>
          <t>no</t>
        </is>
      </c>
      <c r="L120" s="11" t="inlineStr"/>
    </row>
    <row r="121">
      <c r="A121" s="11" t="inlineStr">
        <is>
          <t>118</t>
        </is>
      </c>
      <c r="B121" s="11" t="inlineStr">
        <is>
          <t>18</t>
        </is>
      </c>
      <c r="C121" s="11" t="inlineStr">
        <is>
          <t>HC/tribunal/other</t>
        </is>
      </c>
      <c r="D121" s="11" t="inlineStr">
        <is>
          <t>no</t>
        </is>
      </c>
      <c r="E121" s="11" t="inlineStr">
        <is>
          <t>yes</t>
        </is>
      </c>
      <c r="F121" s="11" t="inlineStr"/>
      <c r="G121" s="11" t="inlineStr"/>
      <c r="H121" s="11" t="inlineStr">
        <is>
          <t>c37390</t>
        </is>
      </c>
      <c r="I121" s="11" t="inlineStr">
        <is>
          <t>cite</t>
        </is>
      </c>
      <c r="J121" s="11" t="inlineStr">
        <is>
          <t>no</t>
        </is>
      </c>
      <c r="K121" s="11" t="inlineStr">
        <is>
          <t>no</t>
        </is>
      </c>
      <c r="L121" s="11" t="inlineStr"/>
    </row>
    <row r="122">
      <c r="A122" s="11" t="inlineStr">
        <is>
          <t>119</t>
        </is>
      </c>
      <c r="B122" s="11" t="inlineStr">
        <is>
          <t>18</t>
        </is>
      </c>
      <c r="C122" s="11" t="inlineStr">
        <is>
          <t>HC/tribunal/other</t>
        </is>
      </c>
      <c r="D122" s="11" t="inlineStr">
        <is>
          <t>no</t>
        </is>
      </c>
      <c r="E122" s="11" t="inlineStr">
        <is>
          <t>no</t>
        </is>
      </c>
      <c r="F122" s="11" t="inlineStr"/>
      <c r="G122" s="11" t="inlineStr"/>
      <c r="H122" s="11" t="inlineStr"/>
      <c r="I122" s="11" t="inlineStr"/>
      <c r="J122" s="11" t="inlineStr">
        <is>
          <t>no</t>
        </is>
      </c>
      <c r="K122" s="11" t="inlineStr">
        <is>
          <t>no</t>
        </is>
      </c>
      <c r="L122" s="11" t="inlineStr"/>
    </row>
    <row r="123">
      <c r="A123" s="11" t="inlineStr">
        <is>
          <t>120</t>
        </is>
      </c>
      <c r="B123" s="11" t="inlineStr">
        <is>
          <t>18</t>
        </is>
      </c>
      <c r="C123" s="11" t="inlineStr">
        <is>
          <t>HC/tribunal/other</t>
        </is>
      </c>
      <c r="D123" s="11" t="inlineStr">
        <is>
          <t>no</t>
        </is>
      </c>
      <c r="E123" s="11" t="inlineStr">
        <is>
          <t>no</t>
        </is>
      </c>
      <c r="F123" s="11" t="inlineStr"/>
      <c r="G123" s="11" t="inlineStr"/>
      <c r="H123" s="11" t="inlineStr">
        <is>
          <t>c18105</t>
        </is>
      </c>
      <c r="I123" s="11" t="inlineStr">
        <is>
          <t>name</t>
        </is>
      </c>
      <c r="J123" s="11" t="inlineStr">
        <is>
          <t>no</t>
        </is>
      </c>
      <c r="K123" s="11" t="inlineStr">
        <is>
          <t>no</t>
        </is>
      </c>
      <c r="L123" s="11" t="inlineStr"/>
    </row>
    <row r="124">
      <c r="A124" s="11" t="inlineStr">
        <is>
          <t>121</t>
        </is>
      </c>
      <c r="B124" s="11" t="inlineStr">
        <is>
          <t>18</t>
        </is>
      </c>
      <c r="C124" s="11" t="inlineStr">
        <is>
          <t>HC/tribunal/other</t>
        </is>
      </c>
      <c r="D124" s="11" t="inlineStr">
        <is>
          <t>no</t>
        </is>
      </c>
      <c r="E124" s="11" t="inlineStr">
        <is>
          <t>no</t>
        </is>
      </c>
      <c r="F124" s="11" t="inlineStr"/>
      <c r="G124" s="11" t="inlineStr"/>
      <c r="H124" s="11" t="inlineStr">
        <is>
          <t>c6482</t>
        </is>
      </c>
      <c r="I124" s="11" t="inlineStr">
        <is>
          <t>cite</t>
        </is>
      </c>
      <c r="J124" s="11" t="inlineStr">
        <is>
          <t>no</t>
        </is>
      </c>
      <c r="K124" s="11" t="inlineStr">
        <is>
          <t>no</t>
        </is>
      </c>
      <c r="L124" s="11" t="inlineStr"/>
    </row>
    <row r="125">
      <c r="A125" s="11" t="inlineStr">
        <is>
          <t>122</t>
        </is>
      </c>
      <c r="B125" s="11" t="inlineStr">
        <is>
          <t>18</t>
        </is>
      </c>
      <c r="C125" s="11" t="inlineStr">
        <is>
          <t>HC/tribunal/other</t>
        </is>
      </c>
      <c r="D125" s="11" t="inlineStr">
        <is>
          <t>no</t>
        </is>
      </c>
      <c r="E125" s="11" t="inlineStr">
        <is>
          <t>no</t>
        </is>
      </c>
      <c r="F125" s="11" t="inlineStr"/>
      <c r="G125" s="11" t="inlineStr"/>
      <c r="H125" s="11" t="inlineStr">
        <is>
          <t>c26299</t>
        </is>
      </c>
      <c r="I125" s="11" t="inlineStr">
        <is>
          <t>name</t>
        </is>
      </c>
      <c r="J125" s="11" t="inlineStr">
        <is>
          <t>no</t>
        </is>
      </c>
      <c r="K125" s="11" t="inlineStr">
        <is>
          <t>no</t>
        </is>
      </c>
      <c r="L125" s="11" t="inlineStr"/>
    </row>
    <row r="126">
      <c r="A126" s="11" t="inlineStr">
        <is>
          <t>123</t>
        </is>
      </c>
      <c r="B126" s="11" t="inlineStr">
        <is>
          <t>18</t>
        </is>
      </c>
      <c r="C126" s="11" t="inlineStr">
        <is>
          <t>HC/tribunal/other</t>
        </is>
      </c>
      <c r="D126" s="11" t="inlineStr">
        <is>
          <t>no</t>
        </is>
      </c>
      <c r="E126" s="11" t="inlineStr">
        <is>
          <t>no</t>
        </is>
      </c>
      <c r="F126" s="11" t="inlineStr"/>
      <c r="G126" s="11" t="inlineStr"/>
      <c r="H126" s="11" t="inlineStr">
        <is>
          <t>c5601</t>
        </is>
      </c>
      <c r="I126" s="11" t="inlineStr">
        <is>
          <t>cite</t>
        </is>
      </c>
      <c r="J126" s="11" t="inlineStr">
        <is>
          <t>no</t>
        </is>
      </c>
      <c r="K126" s="11" t="inlineStr">
        <is>
          <t>no</t>
        </is>
      </c>
      <c r="L126" s="11" t="inlineStr"/>
    </row>
    <row r="127">
      <c r="A127" s="11" t="inlineStr">
        <is>
          <t>124</t>
        </is>
      </c>
      <c r="B127" s="11" t="inlineStr">
        <is>
          <t>19</t>
        </is>
      </c>
      <c r="C127" s="11" t="inlineStr">
        <is>
          <t>HC/tribunal/other</t>
        </is>
      </c>
      <c r="D127" s="11" t="inlineStr">
        <is>
          <t>yes</t>
        </is>
      </c>
      <c r="E127" s="11" t="inlineStr">
        <is>
          <t>no</t>
        </is>
      </c>
      <c r="F127" s="11" t="inlineStr"/>
      <c r="G127" s="11" t="inlineStr"/>
      <c r="H127" s="11" t="inlineStr">
        <is>
          <t>c6794</t>
        </is>
      </c>
      <c r="I127" s="11" t="inlineStr">
        <is>
          <t>cite</t>
        </is>
      </c>
      <c r="J127" s="11" t="inlineStr">
        <is>
          <t>no</t>
        </is>
      </c>
      <c r="K127" s="11" t="inlineStr">
        <is>
          <t>no</t>
        </is>
      </c>
      <c r="L127" s="11" t="inlineStr"/>
    </row>
    <row r="128">
      <c r="A128" s="11" t="inlineStr">
        <is>
          <t>125</t>
        </is>
      </c>
      <c r="B128" s="11" t="inlineStr">
        <is>
          <t>19</t>
        </is>
      </c>
      <c r="C128" s="11" t="inlineStr">
        <is>
          <t>HC/tribunal/other</t>
        </is>
      </c>
      <c r="D128" s="11" t="inlineStr">
        <is>
          <t>no</t>
        </is>
      </c>
      <c r="E128" s="11" t="inlineStr">
        <is>
          <t>no</t>
        </is>
      </c>
      <c r="F128" s="11" t="inlineStr"/>
      <c r="G128" s="11" t="inlineStr"/>
      <c r="H128" s="11" t="inlineStr">
        <is>
          <t>c3147</t>
        </is>
      </c>
      <c r="I128" s="11" t="inlineStr">
        <is>
          <t>cite</t>
        </is>
      </c>
      <c r="J128" s="11" t="inlineStr">
        <is>
          <t>no</t>
        </is>
      </c>
      <c r="K128" s="11" t="inlineStr">
        <is>
          <t>no</t>
        </is>
      </c>
      <c r="L128" s="11" t="inlineStr"/>
    </row>
    <row r="129">
      <c r="A129" s="11" t="inlineStr">
        <is>
          <t>126</t>
        </is>
      </c>
      <c r="B129" s="11" t="inlineStr">
        <is>
          <t>19</t>
        </is>
      </c>
      <c r="C129" s="11" t="inlineStr">
        <is>
          <t>HC/tribunal/other</t>
        </is>
      </c>
      <c r="D129" s="11" t="inlineStr">
        <is>
          <t>yes</t>
        </is>
      </c>
      <c r="E129" s="11" t="inlineStr">
        <is>
          <t>no</t>
        </is>
      </c>
      <c r="F129" s="11" t="inlineStr"/>
      <c r="G129" s="11" t="inlineStr"/>
      <c r="H129" s="11" t="inlineStr">
        <is>
          <t>c7090</t>
        </is>
      </c>
      <c r="I129" s="11" t="inlineStr">
        <is>
          <t>cite</t>
        </is>
      </c>
      <c r="J129" s="11" t="inlineStr">
        <is>
          <t>no</t>
        </is>
      </c>
      <c r="K129" s="11" t="inlineStr">
        <is>
          <t>no</t>
        </is>
      </c>
      <c r="L129" s="11" t="inlineStr"/>
    </row>
    <row r="130">
      <c r="A130" s="11" t="inlineStr">
        <is>
          <t>127</t>
        </is>
      </c>
      <c r="B130" s="11" t="inlineStr">
        <is>
          <t>19</t>
        </is>
      </c>
      <c r="C130" s="11" t="inlineStr">
        <is>
          <t>HC/tribunal/other</t>
        </is>
      </c>
      <c r="D130" s="11" t="inlineStr">
        <is>
          <t>no</t>
        </is>
      </c>
      <c r="E130" s="11" t="inlineStr">
        <is>
          <t>no</t>
        </is>
      </c>
      <c r="F130" s="11" t="inlineStr"/>
      <c r="G130" s="11" t="inlineStr"/>
      <c r="H130" s="11" t="inlineStr">
        <is>
          <t>c4748</t>
        </is>
      </c>
      <c r="I130" s="11" t="inlineStr">
        <is>
          <t>cite</t>
        </is>
      </c>
      <c r="J130" s="11" t="inlineStr">
        <is>
          <t>no</t>
        </is>
      </c>
      <c r="K130" s="11" t="inlineStr">
        <is>
          <t>no</t>
        </is>
      </c>
      <c r="L130" s="11" t="inlineStr"/>
    </row>
    <row r="131">
      <c r="A131" s="11" t="inlineStr">
        <is>
          <t>128</t>
        </is>
      </c>
      <c r="B131" s="11" t="inlineStr">
        <is>
          <t>19</t>
        </is>
      </c>
      <c r="C131" s="11" t="inlineStr">
        <is>
          <t>HC/tribunal/other</t>
        </is>
      </c>
      <c r="D131" s="11" t="inlineStr">
        <is>
          <t>no</t>
        </is>
      </c>
      <c r="E131" s="11" t="inlineStr">
        <is>
          <t>no</t>
        </is>
      </c>
      <c r="F131" s="11" t="inlineStr"/>
      <c r="G131" s="11" t="inlineStr"/>
      <c r="H131" s="11" t="inlineStr">
        <is>
          <t>c18797</t>
        </is>
      </c>
      <c r="I131" s="11" t="inlineStr">
        <is>
          <t>name</t>
        </is>
      </c>
      <c r="J131" s="11" t="inlineStr">
        <is>
          <t>no</t>
        </is>
      </c>
      <c r="K131" s="11" t="inlineStr">
        <is>
          <t>no</t>
        </is>
      </c>
      <c r="L131" s="11" t="inlineStr"/>
    </row>
    <row r="132">
      <c r="A132" s="11" t="inlineStr">
        <is>
          <t>129</t>
        </is>
      </c>
      <c r="B132" s="11" t="inlineStr">
        <is>
          <t>19</t>
        </is>
      </c>
      <c r="C132" s="11" t="inlineStr">
        <is>
          <t>HC/tribunal/other</t>
        </is>
      </c>
      <c r="D132" s="11" t="inlineStr">
        <is>
          <t>no</t>
        </is>
      </c>
      <c r="E132" s="11" t="inlineStr">
        <is>
          <t>no</t>
        </is>
      </c>
      <c r="F132" s="11" t="inlineStr"/>
      <c r="G132" s="11" t="inlineStr"/>
      <c r="H132" s="11" t="inlineStr">
        <is>
          <t>c33722</t>
        </is>
      </c>
      <c r="I132" s="11" t="inlineStr">
        <is>
          <t>name</t>
        </is>
      </c>
      <c r="J132" s="11" t="inlineStr">
        <is>
          <t>no</t>
        </is>
      </c>
      <c r="K132" s="11" t="inlineStr">
        <is>
          <t>no</t>
        </is>
      </c>
      <c r="L132" s="11" t="inlineStr"/>
    </row>
    <row r="133">
      <c r="A133" s="11" t="inlineStr">
        <is>
          <t>130</t>
        </is>
      </c>
      <c r="B133" s="11" t="inlineStr">
        <is>
          <t>19</t>
        </is>
      </c>
      <c r="C133" s="11" t="inlineStr">
        <is>
          <t>HC/tribunal/other</t>
        </is>
      </c>
      <c r="D133" s="11" t="inlineStr">
        <is>
          <t>no</t>
        </is>
      </c>
      <c r="E133" s="11" t="inlineStr">
        <is>
          <t>no</t>
        </is>
      </c>
      <c r="F133" s="11" t="inlineStr"/>
      <c r="G133" s="11" t="inlineStr"/>
      <c r="H133" s="11" t="inlineStr">
        <is>
          <t>c10515</t>
        </is>
      </c>
      <c r="I133" s="11" t="inlineStr">
        <is>
          <t>cite</t>
        </is>
      </c>
      <c r="J133" s="11" t="inlineStr">
        <is>
          <t>no</t>
        </is>
      </c>
      <c r="K133" s="11" t="inlineStr">
        <is>
          <t>no</t>
        </is>
      </c>
      <c r="L133" s="11" t="inlineStr"/>
    </row>
    <row r="134">
      <c r="A134" s="11" t="inlineStr">
        <is>
          <t>131</t>
        </is>
      </c>
      <c r="B134" s="11" t="inlineStr">
        <is>
          <t>20</t>
        </is>
      </c>
      <c r="C134" s="11" t="inlineStr">
        <is>
          <t>HC/tribunal/other</t>
        </is>
      </c>
      <c r="D134" s="11" t="inlineStr">
        <is>
          <t>no</t>
        </is>
      </c>
      <c r="E134" s="11" t="inlineStr">
        <is>
          <t>no</t>
        </is>
      </c>
      <c r="F134" s="11" t="inlineStr"/>
      <c r="G134" s="11" t="inlineStr"/>
      <c r="H134" s="11" t="inlineStr">
        <is>
          <t>bS_1994_1_282_293</t>
        </is>
      </c>
      <c r="I134" s="11" t="inlineStr">
        <is>
          <t>name</t>
        </is>
      </c>
      <c r="J134" s="11" t="inlineStr">
        <is>
          <t>no</t>
        </is>
      </c>
      <c r="K134" s="11" t="inlineStr">
        <is>
          <t>no</t>
        </is>
      </c>
      <c r="L134" s="11" t="inlineStr"/>
    </row>
    <row r="135">
      <c r="A135" s="11" t="inlineStr">
        <is>
          <t>132</t>
        </is>
      </c>
      <c r="B135" s="11" t="inlineStr">
        <is>
          <t>20</t>
        </is>
      </c>
      <c r="C135" s="11" t="inlineStr">
        <is>
          <t>HC/tribunal/other</t>
        </is>
      </c>
      <c r="D135" s="11" t="inlineStr">
        <is>
          <t>no</t>
        </is>
      </c>
      <c r="E135" s="11" t="inlineStr">
        <is>
          <t>no</t>
        </is>
      </c>
      <c r="F135" s="11" t="inlineStr"/>
      <c r="G135" s="11" t="inlineStr"/>
      <c r="H135" s="11" t="inlineStr">
        <is>
          <t>c10467</t>
        </is>
      </c>
      <c r="I135" s="11" t="inlineStr">
        <is>
          <t>cite</t>
        </is>
      </c>
      <c r="J135" s="11" t="inlineStr">
        <is>
          <t>no</t>
        </is>
      </c>
      <c r="K135" s="11" t="inlineStr">
        <is>
          <t>no</t>
        </is>
      </c>
      <c r="L135" s="11" t="inlineStr"/>
    </row>
    <row r="136">
      <c r="A136" s="11" t="inlineStr">
        <is>
          <t>133</t>
        </is>
      </c>
      <c r="B136" s="11" t="inlineStr">
        <is>
          <t>20</t>
        </is>
      </c>
      <c r="C136" s="11" t="inlineStr">
        <is>
          <t>HC/tribunal/other</t>
        </is>
      </c>
      <c r="D136" s="11" t="inlineStr">
        <is>
          <t>yes</t>
        </is>
      </c>
      <c r="E136" s="11" t="inlineStr">
        <is>
          <t>no</t>
        </is>
      </c>
      <c r="F136" s="11" t="inlineStr"/>
      <c r="G136" s="11" t="inlineStr"/>
      <c r="H136" s="11" t="inlineStr">
        <is>
          <t>c14706</t>
        </is>
      </c>
      <c r="I136" s="11" t="inlineStr">
        <is>
          <t>name</t>
        </is>
      </c>
      <c r="J136" s="11" t="inlineStr">
        <is>
          <t>no</t>
        </is>
      </c>
      <c r="K136" s="11" t="inlineStr">
        <is>
          <t>no</t>
        </is>
      </c>
      <c r="L136" s="11" t="inlineStr"/>
    </row>
    <row r="137">
      <c r="A137" s="11" t="inlineStr">
        <is>
          <t>134</t>
        </is>
      </c>
      <c r="B137" s="11" t="inlineStr">
        <is>
          <t>20</t>
        </is>
      </c>
      <c r="C137" s="11" t="inlineStr">
        <is>
          <t>HC/tribunal/other</t>
        </is>
      </c>
      <c r="D137" s="11" t="inlineStr">
        <is>
          <t>no</t>
        </is>
      </c>
      <c r="E137" s="11" t="inlineStr">
        <is>
          <t>no</t>
        </is>
      </c>
      <c r="F137" s="11" t="inlineStr"/>
      <c r="G137" s="11" t="inlineStr"/>
      <c r="H137" s="11" t="inlineStr">
        <is>
          <t>c17645</t>
        </is>
      </c>
      <c r="I137" s="11" t="inlineStr">
        <is>
          <t>cite</t>
        </is>
      </c>
      <c r="J137" s="11" t="inlineStr">
        <is>
          <t>no</t>
        </is>
      </c>
      <c r="K137" s="11" t="inlineStr">
        <is>
          <t>no</t>
        </is>
      </c>
      <c r="L137" s="11" t="inlineStr"/>
    </row>
    <row r="138">
      <c r="A138" s="11" t="inlineStr">
        <is>
          <t>135</t>
        </is>
      </c>
      <c r="B138" s="11" t="inlineStr">
        <is>
          <t>20</t>
        </is>
      </c>
      <c r="C138" s="11" t="inlineStr">
        <is>
          <t>HC/tribunal/other</t>
        </is>
      </c>
      <c r="D138" s="11" t="inlineStr">
        <is>
          <t>no</t>
        </is>
      </c>
      <c r="E138" s="11" t="inlineStr">
        <is>
          <t>no</t>
        </is>
      </c>
      <c r="F138" s="11" t="inlineStr"/>
      <c r="G138" s="11" t="inlineStr"/>
      <c r="H138" s="11" t="inlineStr">
        <is>
          <t>c17645</t>
        </is>
      </c>
      <c r="I138" s="11" t="inlineStr">
        <is>
          <t>cite</t>
        </is>
      </c>
      <c r="J138" s="11" t="inlineStr">
        <is>
          <t>no</t>
        </is>
      </c>
      <c r="K138" s="11" t="inlineStr">
        <is>
          <t>no</t>
        </is>
      </c>
      <c r="L138" s="11" t="inlineStr"/>
    </row>
    <row r="139">
      <c r="A139" s="11" t="inlineStr">
        <is>
          <t>136</t>
        </is>
      </c>
      <c r="B139" s="11" t="inlineStr">
        <is>
          <t>21</t>
        </is>
      </c>
      <c r="C139" s="11" t="inlineStr">
        <is>
          <t>HC/tribunal/other</t>
        </is>
      </c>
      <c r="D139" s="11" t="inlineStr">
        <is>
          <t>no</t>
        </is>
      </c>
      <c r="E139" s="11" t="inlineStr">
        <is>
          <t>no</t>
        </is>
      </c>
      <c r="F139" s="11" t="inlineStr"/>
      <c r="G139" s="11" t="inlineStr"/>
      <c r="H139" s="11" t="inlineStr">
        <is>
          <t>c28192</t>
        </is>
      </c>
      <c r="I139" s="11" t="inlineStr">
        <is>
          <t>name</t>
        </is>
      </c>
      <c r="J139" s="11" t="inlineStr">
        <is>
          <t>no</t>
        </is>
      </c>
      <c r="K139" s="11" t="inlineStr">
        <is>
          <t>no</t>
        </is>
      </c>
      <c r="L139" s="11" t="inlineStr"/>
    </row>
    <row r="140">
      <c r="A140" s="11" t="inlineStr">
        <is>
          <t>137</t>
        </is>
      </c>
      <c r="B140" s="11" t="inlineStr">
        <is>
          <t>21</t>
        </is>
      </c>
      <c r="C140" s="11" t="inlineStr">
        <is>
          <t>HC/tribunal/other</t>
        </is>
      </c>
      <c r="D140" s="11" t="inlineStr">
        <is>
          <t>no</t>
        </is>
      </c>
      <c r="E140" s="11" t="inlineStr">
        <is>
          <t>no</t>
        </is>
      </c>
      <c r="F140" s="11" t="inlineStr"/>
      <c r="G140" s="11" t="inlineStr"/>
      <c r="H140" s="11" t="inlineStr">
        <is>
          <t>c12549</t>
        </is>
      </c>
      <c r="I140" s="11" t="inlineStr">
        <is>
          <t>cite</t>
        </is>
      </c>
      <c r="J140" s="11" t="inlineStr">
        <is>
          <t>no</t>
        </is>
      </c>
      <c r="K140" s="11" t="inlineStr">
        <is>
          <t>no</t>
        </is>
      </c>
      <c r="L140" s="11" t="inlineStr"/>
    </row>
    <row r="141">
      <c r="A141" s="11" t="inlineStr">
        <is>
          <t>138</t>
        </is>
      </c>
      <c r="B141" s="11" t="inlineStr">
        <is>
          <t>21</t>
        </is>
      </c>
      <c r="C141" s="11" t="inlineStr">
        <is>
          <t>HC/tribunal/other</t>
        </is>
      </c>
      <c r="D141" s="11" t="inlineStr">
        <is>
          <t>yes</t>
        </is>
      </c>
      <c r="E141" s="11" t="inlineStr">
        <is>
          <t>no</t>
        </is>
      </c>
      <c r="F141" s="11" t="inlineStr"/>
      <c r="G141" s="11" t="inlineStr"/>
      <c r="H141" s="11" t="inlineStr"/>
      <c r="I141" s="11" t="inlineStr"/>
      <c r="J141" s="11" t="inlineStr">
        <is>
          <t>no</t>
        </is>
      </c>
      <c r="K141" s="11" t="inlineStr">
        <is>
          <t>no</t>
        </is>
      </c>
      <c r="L141" s="11" t="inlineStr"/>
    </row>
    <row r="142">
      <c r="A142" s="11" t="inlineStr">
        <is>
          <t>139</t>
        </is>
      </c>
      <c r="B142" s="11" t="inlineStr">
        <is>
          <t>21</t>
        </is>
      </c>
      <c r="C142" s="11" t="inlineStr">
        <is>
          <t>HC/tribunal/other</t>
        </is>
      </c>
      <c r="D142" s="11" t="inlineStr">
        <is>
          <t>no</t>
        </is>
      </c>
      <c r="E142" s="11" t="inlineStr">
        <is>
          <t>no</t>
        </is>
      </c>
      <c r="F142" s="11" t="inlineStr"/>
      <c r="G142" s="11" t="inlineStr"/>
      <c r="H142" s="11" t="inlineStr">
        <is>
          <t>c10467</t>
        </is>
      </c>
      <c r="I142" s="11" t="inlineStr">
        <is>
          <t>cite</t>
        </is>
      </c>
      <c r="J142" s="11" t="inlineStr">
        <is>
          <t>no</t>
        </is>
      </c>
      <c r="K142" s="11" t="inlineStr">
        <is>
          <t>no</t>
        </is>
      </c>
      <c r="L142" s="11" t="inlineStr"/>
    </row>
    <row r="143">
      <c r="A143" s="11" t="inlineStr">
        <is>
          <t>140</t>
        </is>
      </c>
      <c r="B143" s="11" t="inlineStr">
        <is>
          <t>21</t>
        </is>
      </c>
      <c r="C143" s="11" t="inlineStr">
        <is>
          <t>HC/tribunal/other</t>
        </is>
      </c>
      <c r="D143" s="11" t="inlineStr">
        <is>
          <t>no</t>
        </is>
      </c>
      <c r="E143" s="11" t="inlineStr">
        <is>
          <t>no</t>
        </is>
      </c>
      <c r="F143" s="11" t="inlineStr"/>
      <c r="G143" s="11" t="inlineStr"/>
      <c r="H143" s="11" t="inlineStr">
        <is>
          <t>c2902</t>
        </is>
      </c>
      <c r="I143" s="11" t="inlineStr">
        <is>
          <t>cite</t>
        </is>
      </c>
      <c r="J143" s="11" t="inlineStr">
        <is>
          <t>no</t>
        </is>
      </c>
      <c r="K143" s="11" t="inlineStr">
        <is>
          <t>no</t>
        </is>
      </c>
      <c r="L143" s="11" t="inlineStr"/>
    </row>
    <row r="144">
      <c r="A144" s="11" t="inlineStr">
        <is>
          <t>141</t>
        </is>
      </c>
      <c r="B144" s="11" t="inlineStr">
        <is>
          <t>21</t>
        </is>
      </c>
      <c r="C144" s="11" t="inlineStr">
        <is>
          <t>HC/tribunal/other</t>
        </is>
      </c>
      <c r="D144" s="11" t="inlineStr">
        <is>
          <t>no</t>
        </is>
      </c>
      <c r="E144" s="11" t="inlineStr">
        <is>
          <t>no</t>
        </is>
      </c>
      <c r="F144" s="11" t="inlineStr"/>
      <c r="G144" s="11" t="inlineStr"/>
      <c r="H144" s="11" t="inlineStr"/>
      <c r="I144" s="11" t="inlineStr"/>
      <c r="J144" s="11" t="inlineStr">
        <is>
          <t>no</t>
        </is>
      </c>
      <c r="K144" s="11" t="inlineStr">
        <is>
          <t>no</t>
        </is>
      </c>
      <c r="L144" s="11" t="inlineStr"/>
    </row>
    <row r="145">
      <c r="A145" s="11" t="inlineStr">
        <is>
          <t>142</t>
        </is>
      </c>
      <c r="B145" s="11" t="inlineStr">
        <is>
          <t>22</t>
        </is>
      </c>
      <c r="C145" s="11" t="inlineStr">
        <is>
          <t>HC/tribunal/other</t>
        </is>
      </c>
      <c r="D145" s="11" t="inlineStr">
        <is>
          <t>no</t>
        </is>
      </c>
      <c r="E145" s="11" t="inlineStr">
        <is>
          <t>no</t>
        </is>
      </c>
      <c r="F145" s="11" t="inlineStr"/>
      <c r="G145" s="11" t="inlineStr"/>
      <c r="H145" s="11" t="inlineStr">
        <is>
          <t>c13398</t>
        </is>
      </c>
      <c r="I145" s="11" t="inlineStr">
        <is>
          <t>cite</t>
        </is>
      </c>
      <c r="J145" s="11" t="inlineStr">
        <is>
          <t>no</t>
        </is>
      </c>
      <c r="K145" s="11" t="inlineStr">
        <is>
          <t>no</t>
        </is>
      </c>
      <c r="L145" s="11" t="inlineStr"/>
    </row>
    <row r="146">
      <c r="A146" s="11" t="inlineStr">
        <is>
          <t>143</t>
        </is>
      </c>
      <c r="B146" s="11" t="inlineStr">
        <is>
          <t>22</t>
        </is>
      </c>
      <c r="C146" s="11" t="inlineStr">
        <is>
          <t>HC/tribunal/other</t>
        </is>
      </c>
      <c r="D146" s="11" t="inlineStr">
        <is>
          <t>yes</t>
        </is>
      </c>
      <c r="E146" s="11" t="inlineStr">
        <is>
          <t>no</t>
        </is>
      </c>
      <c r="F146" s="11" t="inlineStr"/>
      <c r="G146" s="11" t="inlineStr"/>
      <c r="H146" s="11" t="inlineStr">
        <is>
          <t>c15783</t>
        </is>
      </c>
      <c r="I146" s="11" t="inlineStr">
        <is>
          <t>cite</t>
        </is>
      </c>
      <c r="J146" s="11" t="inlineStr">
        <is>
          <t>no</t>
        </is>
      </c>
      <c r="K146" s="11" t="inlineStr">
        <is>
          <t>no</t>
        </is>
      </c>
      <c r="L146" s="11" t="inlineStr"/>
    </row>
    <row r="147">
      <c r="A147" s="11" t="inlineStr">
        <is>
          <t>144</t>
        </is>
      </c>
      <c r="B147" s="11" t="inlineStr">
        <is>
          <t>22</t>
        </is>
      </c>
      <c r="C147" s="11" t="inlineStr">
        <is>
          <t>HC/tribunal/other</t>
        </is>
      </c>
      <c r="D147" s="11" t="inlineStr">
        <is>
          <t>yes</t>
        </is>
      </c>
      <c r="E147" s="11" t="inlineStr">
        <is>
          <t>no</t>
        </is>
      </c>
      <c r="F147" s="11" t="inlineStr"/>
      <c r="G147" s="11" t="inlineStr"/>
      <c r="H147" s="11" t="inlineStr">
        <is>
          <t>c1417</t>
        </is>
      </c>
      <c r="I147" s="11" t="inlineStr">
        <is>
          <t>cite</t>
        </is>
      </c>
      <c r="J147" s="11" t="inlineStr">
        <is>
          <t>no</t>
        </is>
      </c>
      <c r="K147" s="11" t="inlineStr">
        <is>
          <t>no</t>
        </is>
      </c>
      <c r="L147" s="11" t="inlineStr"/>
    </row>
    <row r="148">
      <c r="A148" s="11" t="inlineStr">
        <is>
          <t>145</t>
        </is>
      </c>
      <c r="B148" s="11" t="inlineStr">
        <is>
          <t>22</t>
        </is>
      </c>
      <c r="C148" s="11" t="inlineStr">
        <is>
          <t>HC/tribunal/other</t>
        </is>
      </c>
      <c r="D148" s="11" t="inlineStr">
        <is>
          <t>no</t>
        </is>
      </c>
      <c r="E148" s="11" t="inlineStr">
        <is>
          <t>no</t>
        </is>
      </c>
      <c r="F148" s="11" t="inlineStr"/>
      <c r="G148" s="11" t="inlineStr"/>
      <c r="H148" s="11" t="inlineStr">
        <is>
          <t>c29027</t>
        </is>
      </c>
      <c r="I148" s="11" t="inlineStr">
        <is>
          <t>cite</t>
        </is>
      </c>
      <c r="J148" s="11" t="inlineStr">
        <is>
          <t>no</t>
        </is>
      </c>
      <c r="K148" s="11" t="inlineStr">
        <is>
          <t>no</t>
        </is>
      </c>
      <c r="L148" s="11" t="inlineStr"/>
    </row>
    <row r="149">
      <c r="A149" s="11" t="inlineStr">
        <is>
          <t>146</t>
        </is>
      </c>
      <c r="B149" s="11" t="inlineStr">
        <is>
          <t>22</t>
        </is>
      </c>
      <c r="C149" s="11" t="inlineStr">
        <is>
          <t>HC/tribunal/other</t>
        </is>
      </c>
      <c r="D149" s="11" t="inlineStr">
        <is>
          <t>no</t>
        </is>
      </c>
      <c r="E149" s="11" t="inlineStr">
        <is>
          <t>no</t>
        </is>
      </c>
      <c r="F149" s="11" t="inlineStr"/>
      <c r="G149" s="11" t="inlineStr"/>
      <c r="H149" s="11" t="inlineStr"/>
      <c r="I149" s="11" t="inlineStr"/>
      <c r="J149" s="11" t="inlineStr">
        <is>
          <t>no</t>
        </is>
      </c>
      <c r="K149" s="11" t="inlineStr">
        <is>
          <t>no</t>
        </is>
      </c>
      <c r="L149" s="11" t="inlineStr"/>
    </row>
    <row r="150">
      <c r="A150" s="11" t="inlineStr">
        <is>
          <t>147</t>
        </is>
      </c>
      <c r="B150" s="11" t="inlineStr">
        <is>
          <t>22</t>
        </is>
      </c>
      <c r="C150" s="11" t="inlineStr">
        <is>
          <t>HC/tribunal/other</t>
        </is>
      </c>
      <c r="D150" s="11" t="inlineStr">
        <is>
          <t>no</t>
        </is>
      </c>
      <c r="E150" s="11" t="inlineStr">
        <is>
          <t>yes</t>
        </is>
      </c>
      <c r="F150" s="11" t="inlineStr"/>
      <c r="G150" s="11" t="inlineStr"/>
      <c r="H150" s="11" t="inlineStr">
        <is>
          <t>c16818</t>
        </is>
      </c>
      <c r="I150" s="11" t="inlineStr">
        <is>
          <t>cite</t>
        </is>
      </c>
      <c r="J150" s="11" t="inlineStr">
        <is>
          <t>no</t>
        </is>
      </c>
      <c r="K150" s="11" t="inlineStr">
        <is>
          <t>no</t>
        </is>
      </c>
      <c r="L150" s="11" t="inlineStr"/>
    </row>
    <row r="151">
      <c r="A151" s="11" t="inlineStr">
        <is>
          <t>148</t>
        </is>
      </c>
      <c r="B151" s="11" t="inlineStr">
        <is>
          <t>23</t>
        </is>
      </c>
      <c r="C151" s="11" t="inlineStr">
        <is>
          <t>HC/tribunal/other</t>
        </is>
      </c>
      <c r="D151" s="11" t="inlineStr">
        <is>
          <t>yes</t>
        </is>
      </c>
      <c r="E151" s="11" t="inlineStr">
        <is>
          <t>no</t>
        </is>
      </c>
      <c r="F151" s="11" t="inlineStr"/>
      <c r="G151" s="11" t="inlineStr"/>
      <c r="H151" s="11" t="inlineStr"/>
      <c r="I151" s="11" t="inlineStr"/>
      <c r="J151" s="11" t="inlineStr">
        <is>
          <t>no</t>
        </is>
      </c>
      <c r="K151" s="11" t="inlineStr">
        <is>
          <t>no</t>
        </is>
      </c>
      <c r="L151" s="11" t="inlineStr"/>
    </row>
    <row r="152">
      <c r="A152" s="11" t="inlineStr">
        <is>
          <t>149</t>
        </is>
      </c>
      <c r="B152" s="11" t="inlineStr">
        <is>
          <t>23</t>
        </is>
      </c>
      <c r="C152" s="11" t="inlineStr">
        <is>
          <t>HC/tribunal/other</t>
        </is>
      </c>
      <c r="D152" s="11" t="inlineStr">
        <is>
          <t>no</t>
        </is>
      </c>
      <c r="E152" s="11" t="inlineStr">
        <is>
          <t>no</t>
        </is>
      </c>
      <c r="F152" s="11" t="inlineStr"/>
      <c r="G152" s="11" t="inlineStr"/>
      <c r="H152" s="11" t="inlineStr">
        <is>
          <t>c588</t>
        </is>
      </c>
      <c r="I152" s="11" t="inlineStr">
        <is>
          <t>cite</t>
        </is>
      </c>
      <c r="J152" s="11" t="inlineStr">
        <is>
          <t>no</t>
        </is>
      </c>
      <c r="K152" s="11" t="inlineStr">
        <is>
          <t>no</t>
        </is>
      </c>
      <c r="L152" s="11" t="inlineStr"/>
    </row>
    <row r="153">
      <c r="A153" s="11" t="inlineStr">
        <is>
          <t>150</t>
        </is>
      </c>
      <c r="B153" s="11" t="inlineStr">
        <is>
          <t>23</t>
        </is>
      </c>
      <c r="C153" s="11" t="inlineStr">
        <is>
          <t>HC/tribunal/other</t>
        </is>
      </c>
      <c r="D153" s="11" t="inlineStr">
        <is>
          <t>no</t>
        </is>
      </c>
      <c r="E153" s="11" t="inlineStr">
        <is>
          <t>yes</t>
        </is>
      </c>
      <c r="F153" s="11" t="inlineStr"/>
      <c r="G153" s="11" t="inlineStr"/>
      <c r="H153" s="11" t="inlineStr">
        <is>
          <t>c4849</t>
        </is>
      </c>
      <c r="I153" s="11" t="inlineStr">
        <is>
          <t>cite</t>
        </is>
      </c>
      <c r="J153" s="11" t="inlineStr">
        <is>
          <t>no</t>
        </is>
      </c>
      <c r="K153" s="11" t="inlineStr">
        <is>
          <t>no</t>
        </is>
      </c>
      <c r="L153" s="11" t="inlineStr"/>
    </row>
    <row r="154">
      <c r="A154" s="11" t="inlineStr">
        <is>
          <t>151</t>
        </is>
      </c>
      <c r="B154" s="11" t="inlineStr">
        <is>
          <t>23</t>
        </is>
      </c>
      <c r="C154" s="11" t="inlineStr">
        <is>
          <t>HC/tribunal/other</t>
        </is>
      </c>
      <c r="D154" s="11" t="inlineStr">
        <is>
          <t>no</t>
        </is>
      </c>
      <c r="E154" s="11" t="inlineStr">
        <is>
          <t>yes</t>
        </is>
      </c>
      <c r="F154" s="11" t="inlineStr"/>
      <c r="G154" s="11" t="inlineStr"/>
      <c r="H154" s="11" t="inlineStr">
        <is>
          <t>c17521</t>
        </is>
      </c>
      <c r="I154" s="11" t="inlineStr">
        <is>
          <t>cite</t>
        </is>
      </c>
      <c r="J154" s="11" t="inlineStr">
        <is>
          <t>no</t>
        </is>
      </c>
      <c r="K154" s="11" t="inlineStr">
        <is>
          <t>no</t>
        </is>
      </c>
      <c r="L154" s="11" t="inlineStr"/>
    </row>
    <row r="155">
      <c r="A155" s="11" t="inlineStr">
        <is>
          <t>152</t>
        </is>
      </c>
      <c r="B155" s="11" t="inlineStr">
        <is>
          <t>23</t>
        </is>
      </c>
      <c r="C155" s="11" t="inlineStr">
        <is>
          <t>HC/tribunal/other</t>
        </is>
      </c>
      <c r="D155" s="11" t="inlineStr">
        <is>
          <t>yes</t>
        </is>
      </c>
      <c r="E155" s="11" t="inlineStr">
        <is>
          <t>no</t>
        </is>
      </c>
      <c r="F155" s="11" t="inlineStr"/>
      <c r="G155" s="11" t="inlineStr"/>
      <c r="H155" s="11" t="inlineStr">
        <is>
          <t>c6703</t>
        </is>
      </c>
      <c r="I155" s="11" t="inlineStr">
        <is>
          <t>cite</t>
        </is>
      </c>
      <c r="J155" s="11" t="inlineStr">
        <is>
          <t>no</t>
        </is>
      </c>
      <c r="K155" s="11" t="inlineStr">
        <is>
          <t>no</t>
        </is>
      </c>
      <c r="L155" s="11" t="inlineStr"/>
    </row>
    <row r="156">
      <c r="A156" s="11" t="inlineStr">
        <is>
          <t>153</t>
        </is>
      </c>
      <c r="B156" s="11" t="inlineStr">
        <is>
          <t>23</t>
        </is>
      </c>
      <c r="C156" s="11" t="inlineStr">
        <is>
          <t>HC/tribunal/other</t>
        </is>
      </c>
      <c r="D156" s="11" t="inlineStr">
        <is>
          <t>no</t>
        </is>
      </c>
      <c r="E156" s="11" t="inlineStr">
        <is>
          <t>no</t>
        </is>
      </c>
      <c r="F156" s="11" t="inlineStr"/>
      <c r="G156" s="11" t="inlineStr"/>
      <c r="H156" s="11" t="inlineStr">
        <is>
          <t>c9846</t>
        </is>
      </c>
      <c r="I156" s="11" t="inlineStr">
        <is>
          <t>cite</t>
        </is>
      </c>
      <c r="J156" s="11" t="inlineStr">
        <is>
          <t>no</t>
        </is>
      </c>
      <c r="K156" s="11" t="inlineStr">
        <is>
          <t>no</t>
        </is>
      </c>
      <c r="L156" s="11" t="inlineStr"/>
    </row>
    <row r="157">
      <c r="A157" s="11" t="inlineStr">
        <is>
          <t>154</t>
        </is>
      </c>
      <c r="B157" s="11" t="inlineStr">
        <is>
          <t>23</t>
        </is>
      </c>
      <c r="C157" s="11" t="inlineStr">
        <is>
          <t>HC/tribunal/other</t>
        </is>
      </c>
      <c r="D157" s="11" t="inlineStr">
        <is>
          <t>yes</t>
        </is>
      </c>
      <c r="E157" s="11" t="inlineStr">
        <is>
          <t>no</t>
        </is>
      </c>
      <c r="F157" s="11" t="inlineStr"/>
      <c r="G157" s="11" t="inlineStr"/>
      <c r="H157" s="11" t="inlineStr">
        <is>
          <t>c30378</t>
        </is>
      </c>
      <c r="I157" s="11" t="inlineStr">
        <is>
          <t>name</t>
        </is>
      </c>
      <c r="J157" s="11" t="inlineStr">
        <is>
          <t>no</t>
        </is>
      </c>
      <c r="K157" s="11" t="inlineStr">
        <is>
          <t>no</t>
        </is>
      </c>
      <c r="L157" s="11" t="inlineStr"/>
    </row>
    <row r="158">
      <c r="A158" s="11" t="inlineStr">
        <is>
          <t>155</t>
        </is>
      </c>
      <c r="B158" s="11" t="inlineStr">
        <is>
          <t>24</t>
        </is>
      </c>
      <c r="C158" s="11" t="inlineStr">
        <is>
          <t>HC/tribunal/other</t>
        </is>
      </c>
      <c r="D158" s="11" t="inlineStr">
        <is>
          <t>no</t>
        </is>
      </c>
      <c r="E158" s="11" t="inlineStr">
        <is>
          <t>no</t>
        </is>
      </c>
      <c r="F158" s="11" t="inlineStr"/>
      <c r="G158" s="11" t="inlineStr"/>
      <c r="H158" s="11" t="inlineStr">
        <is>
          <t>c12211</t>
        </is>
      </c>
      <c r="I158" s="11" t="inlineStr">
        <is>
          <t>cite</t>
        </is>
      </c>
      <c r="J158" s="11" t="inlineStr">
        <is>
          <t>no</t>
        </is>
      </c>
      <c r="K158" s="11" t="inlineStr">
        <is>
          <t>no</t>
        </is>
      </c>
      <c r="L158" s="11" t="inlineStr"/>
    </row>
    <row r="159">
      <c r="A159" s="11" t="inlineStr">
        <is>
          <t>156</t>
        </is>
      </c>
      <c r="B159" s="11" t="inlineStr">
        <is>
          <t>24</t>
        </is>
      </c>
      <c r="C159" s="11" t="inlineStr">
        <is>
          <t>HC/tribunal/other</t>
        </is>
      </c>
      <c r="D159" s="11" t="inlineStr">
        <is>
          <t>no</t>
        </is>
      </c>
      <c r="E159" s="11" t="inlineStr">
        <is>
          <t>no</t>
        </is>
      </c>
      <c r="F159" s="11" t="inlineStr"/>
      <c r="G159" s="11" t="inlineStr"/>
      <c r="H159" s="11" t="inlineStr">
        <is>
          <t>c8345</t>
        </is>
      </c>
      <c r="I159" s="11" t="inlineStr">
        <is>
          <t>cite</t>
        </is>
      </c>
      <c r="J159" s="11" t="inlineStr">
        <is>
          <t>no</t>
        </is>
      </c>
      <c r="K159" s="11" t="inlineStr">
        <is>
          <t>no</t>
        </is>
      </c>
      <c r="L159" s="11" t="inlineStr"/>
    </row>
    <row r="160">
      <c r="A160" s="11" t="inlineStr">
        <is>
          <t>157</t>
        </is>
      </c>
      <c r="B160" s="11" t="inlineStr">
        <is>
          <t>24</t>
        </is>
      </c>
      <c r="C160" s="11" t="inlineStr">
        <is>
          <t>HC/tribunal/other</t>
        </is>
      </c>
      <c r="D160" s="11" t="inlineStr">
        <is>
          <t>no</t>
        </is>
      </c>
      <c r="E160" s="11" t="inlineStr">
        <is>
          <t>no</t>
        </is>
      </c>
      <c r="F160" s="11" t="inlineStr"/>
      <c r="G160" s="11" t="inlineStr"/>
      <c r="H160" s="11" t="inlineStr">
        <is>
          <t>c16617</t>
        </is>
      </c>
      <c r="I160" s="11" t="inlineStr">
        <is>
          <t>name</t>
        </is>
      </c>
      <c r="J160" s="11" t="inlineStr">
        <is>
          <t>no</t>
        </is>
      </c>
      <c r="K160" s="11" t="inlineStr">
        <is>
          <t>no</t>
        </is>
      </c>
      <c r="L160" s="11" t="inlineStr"/>
    </row>
    <row r="161">
      <c r="A161" s="11" t="inlineStr">
        <is>
          <t>158</t>
        </is>
      </c>
      <c r="B161" s="11" t="inlineStr">
        <is>
          <t>24</t>
        </is>
      </c>
      <c r="C161" s="11" t="inlineStr">
        <is>
          <t>HC/tribunal/other</t>
        </is>
      </c>
      <c r="D161" s="11" t="inlineStr">
        <is>
          <t>no</t>
        </is>
      </c>
      <c r="E161" s="11" t="inlineStr">
        <is>
          <t>yes</t>
        </is>
      </c>
      <c r="F161" s="11" t="inlineStr"/>
      <c r="G161" s="11" t="inlineStr"/>
      <c r="H161" s="11" t="inlineStr"/>
      <c r="I161" s="11" t="inlineStr"/>
      <c r="J161" s="11" t="inlineStr">
        <is>
          <t>no</t>
        </is>
      </c>
      <c r="K161" s="11" t="inlineStr">
        <is>
          <t>no</t>
        </is>
      </c>
      <c r="L161" s="11" t="inlineStr"/>
    </row>
    <row r="162">
      <c r="A162" s="11" t="inlineStr">
        <is>
          <t>159</t>
        </is>
      </c>
      <c r="B162" s="11" t="inlineStr">
        <is>
          <t>24</t>
        </is>
      </c>
      <c r="C162" s="11" t="inlineStr">
        <is>
          <t>HC/tribunal/other</t>
        </is>
      </c>
      <c r="D162" s="11" t="inlineStr">
        <is>
          <t>no</t>
        </is>
      </c>
      <c r="E162" s="11" t="inlineStr">
        <is>
          <t>yes</t>
        </is>
      </c>
      <c r="F162" s="11" t="inlineStr"/>
      <c r="G162" s="11" t="inlineStr"/>
      <c r="H162" s="11" t="inlineStr">
        <is>
          <t>c9470</t>
        </is>
      </c>
      <c r="I162" s="11" t="inlineStr">
        <is>
          <t>cite</t>
        </is>
      </c>
      <c r="J162" s="11" t="inlineStr">
        <is>
          <t>no</t>
        </is>
      </c>
      <c r="K162" s="11" t="inlineStr">
        <is>
          <t>no</t>
        </is>
      </c>
      <c r="L162" s="11" t="inlineStr"/>
    </row>
    <row r="163">
      <c r="A163" s="11" t="inlineStr">
        <is>
          <t>160</t>
        </is>
      </c>
      <c r="B163" s="11" t="inlineStr">
        <is>
          <t>24</t>
        </is>
      </c>
      <c r="C163" s="11" t="inlineStr">
        <is>
          <t>HC/tribunal/other</t>
        </is>
      </c>
      <c r="D163" s="11" t="inlineStr">
        <is>
          <t>yes</t>
        </is>
      </c>
      <c r="E163" s="11" t="inlineStr">
        <is>
          <t>no</t>
        </is>
      </c>
      <c r="F163" s="11" t="inlineStr"/>
      <c r="G163" s="11" t="inlineStr"/>
      <c r="H163" s="11" t="inlineStr">
        <is>
          <t>b1994_3_808_813</t>
        </is>
      </c>
      <c r="I163" s="11" t="inlineStr">
        <is>
          <t>cite</t>
        </is>
      </c>
      <c r="J163" s="11" t="inlineStr">
        <is>
          <t>no</t>
        </is>
      </c>
      <c r="K163" s="11" t="inlineStr">
        <is>
          <t>no</t>
        </is>
      </c>
      <c r="L163" s="11" t="inlineStr"/>
    </row>
    <row r="164">
      <c r="A164" s="11" t="inlineStr">
        <is>
          <t>161</t>
        </is>
      </c>
      <c r="B164" s="11" t="inlineStr">
        <is>
          <t>24</t>
        </is>
      </c>
      <c r="C164" s="11" t="inlineStr">
        <is>
          <t>HC/tribunal/other</t>
        </is>
      </c>
      <c r="D164" s="11" t="inlineStr">
        <is>
          <t>no</t>
        </is>
      </c>
      <c r="E164" s="11" t="inlineStr">
        <is>
          <t>no</t>
        </is>
      </c>
      <c r="F164" s="11" t="inlineStr"/>
      <c r="G164" s="11" t="inlineStr"/>
      <c r="H164" s="11" t="inlineStr">
        <is>
          <t>c9117</t>
        </is>
      </c>
      <c r="I164" s="11" t="inlineStr">
        <is>
          <t>cite</t>
        </is>
      </c>
      <c r="J164" s="11" t="inlineStr">
        <is>
          <t>no</t>
        </is>
      </c>
      <c r="K164" s="11" t="inlineStr">
        <is>
          <t>no</t>
        </is>
      </c>
      <c r="L164" s="11" t="inlineStr"/>
    </row>
    <row r="165">
      <c r="A165" s="11" t="inlineStr">
        <is>
          <t>162</t>
        </is>
      </c>
      <c r="B165" s="11" t="inlineStr">
        <is>
          <t>24</t>
        </is>
      </c>
      <c r="C165" s="11" t="inlineStr">
        <is>
          <t>HC/tribunal/other</t>
        </is>
      </c>
      <c r="D165" s="11" t="inlineStr">
        <is>
          <t>no</t>
        </is>
      </c>
      <c r="E165" s="11" t="inlineStr">
        <is>
          <t>no</t>
        </is>
      </c>
      <c r="F165" s="11" t="inlineStr"/>
      <c r="G165" s="11" t="inlineStr"/>
      <c r="H165" s="11" t="inlineStr">
        <is>
          <t>c38204</t>
        </is>
      </c>
      <c r="I165" s="11" t="inlineStr">
        <is>
          <t>cite</t>
        </is>
      </c>
      <c r="J165" s="11" t="inlineStr">
        <is>
          <t>no</t>
        </is>
      </c>
      <c r="K165" s="11" t="inlineStr">
        <is>
          <t>no</t>
        </is>
      </c>
      <c r="L165" s="11" t="inlineStr"/>
    </row>
    <row r="166">
      <c r="A166" s="11" t="inlineStr">
        <is>
          <t>163</t>
        </is>
      </c>
      <c r="B166" s="11" t="inlineStr">
        <is>
          <t>25</t>
        </is>
      </c>
      <c r="C166" s="11" t="inlineStr">
        <is>
          <t>HC/tribunal/other</t>
        </is>
      </c>
      <c r="D166" s="11" t="inlineStr">
        <is>
          <t>no</t>
        </is>
      </c>
      <c r="E166" s="11" t="inlineStr">
        <is>
          <t>no</t>
        </is>
      </c>
      <c r="F166" s="11" t="inlineStr"/>
      <c r="G166" s="11" t="inlineStr"/>
      <c r="H166" s="11" t="inlineStr">
        <is>
          <t>c5746</t>
        </is>
      </c>
      <c r="I166" s="11" t="inlineStr">
        <is>
          <t>cite</t>
        </is>
      </c>
      <c r="J166" s="11" t="inlineStr">
        <is>
          <t>no</t>
        </is>
      </c>
      <c r="K166" s="11" t="inlineStr">
        <is>
          <t>no</t>
        </is>
      </c>
      <c r="L166" s="11" t="inlineStr"/>
    </row>
    <row r="167">
      <c r="A167" s="11" t="inlineStr">
        <is>
          <t>164</t>
        </is>
      </c>
      <c r="B167" s="11" t="inlineStr">
        <is>
          <t>25</t>
        </is>
      </c>
      <c r="C167" s="11" t="inlineStr">
        <is>
          <t>HC/tribunal/other</t>
        </is>
      </c>
      <c r="D167" s="11" t="inlineStr">
        <is>
          <t>no</t>
        </is>
      </c>
      <c r="E167" s="11" t="inlineStr">
        <is>
          <t>no</t>
        </is>
      </c>
      <c r="F167" s="11" t="inlineStr"/>
      <c r="G167" s="11" t="inlineStr"/>
      <c r="H167" s="11" t="inlineStr">
        <is>
          <t>c7390</t>
        </is>
      </c>
      <c r="I167" s="11" t="inlineStr">
        <is>
          <t>cite</t>
        </is>
      </c>
      <c r="J167" s="11" t="inlineStr">
        <is>
          <t>no</t>
        </is>
      </c>
      <c r="K167" s="11" t="inlineStr">
        <is>
          <t>no</t>
        </is>
      </c>
      <c r="L167" s="11" t="inlineStr"/>
    </row>
    <row r="168">
      <c r="A168" s="11" t="inlineStr">
        <is>
          <t>165</t>
        </is>
      </c>
      <c r="B168" s="11" t="inlineStr">
        <is>
          <t>25</t>
        </is>
      </c>
      <c r="C168" s="11" t="inlineStr">
        <is>
          <t>HC/tribunal/other</t>
        </is>
      </c>
      <c r="D168" s="11" t="inlineStr">
        <is>
          <t>no</t>
        </is>
      </c>
      <c r="E168" s="11" t="inlineStr">
        <is>
          <t>no</t>
        </is>
      </c>
      <c r="F168" s="11" t="inlineStr"/>
      <c r="G168" s="11" t="inlineStr"/>
      <c r="H168" s="11" t="inlineStr">
        <is>
          <t>c37907</t>
        </is>
      </c>
      <c r="I168" s="11" t="inlineStr">
        <is>
          <t>cite</t>
        </is>
      </c>
      <c r="J168" s="11" t="inlineStr">
        <is>
          <t>no</t>
        </is>
      </c>
      <c r="K168" s="11" t="inlineStr">
        <is>
          <t>no</t>
        </is>
      </c>
      <c r="L168" s="11" t="inlineStr"/>
    </row>
    <row r="169">
      <c r="A169" s="11" t="inlineStr">
        <is>
          <t>166</t>
        </is>
      </c>
      <c r="B169" s="11" t="inlineStr">
        <is>
          <t>25</t>
        </is>
      </c>
      <c r="C169" s="11" t="inlineStr">
        <is>
          <t>HC/tribunal/other</t>
        </is>
      </c>
      <c r="D169" s="11" t="inlineStr">
        <is>
          <t>no</t>
        </is>
      </c>
      <c r="E169" s="11" t="inlineStr">
        <is>
          <t>no</t>
        </is>
      </c>
      <c r="F169" s="11" t="inlineStr"/>
      <c r="G169" s="11" t="inlineStr"/>
      <c r="H169" s="11" t="inlineStr">
        <is>
          <t>c28594</t>
        </is>
      </c>
      <c r="I169" s="11" t="inlineStr">
        <is>
          <t>cite</t>
        </is>
      </c>
      <c r="J169" s="11" t="inlineStr">
        <is>
          <t>no</t>
        </is>
      </c>
      <c r="K169" s="11" t="inlineStr">
        <is>
          <t>no</t>
        </is>
      </c>
      <c r="L169" s="11" t="inlineStr"/>
    </row>
    <row r="170">
      <c r="A170" s="11" t="inlineStr">
        <is>
          <t>167</t>
        </is>
      </c>
      <c r="B170" s="11" t="inlineStr">
        <is>
          <t>25</t>
        </is>
      </c>
      <c r="C170" s="11" t="inlineStr">
        <is>
          <t>HC/tribunal/other</t>
        </is>
      </c>
      <c r="D170" s="11" t="inlineStr">
        <is>
          <t>no</t>
        </is>
      </c>
      <c r="E170" s="11" t="inlineStr">
        <is>
          <t>no</t>
        </is>
      </c>
      <c r="F170" s="11" t="inlineStr"/>
      <c r="G170" s="11" t="inlineStr"/>
      <c r="H170" s="11" t="inlineStr">
        <is>
          <t>c13012</t>
        </is>
      </c>
      <c r="I170" s="11" t="inlineStr">
        <is>
          <t>name</t>
        </is>
      </c>
      <c r="J170" s="11" t="inlineStr">
        <is>
          <t>no</t>
        </is>
      </c>
      <c r="K170" s="11" t="inlineStr">
        <is>
          <t>no</t>
        </is>
      </c>
      <c r="L170" s="11" t="inlineStr"/>
    </row>
    <row r="171">
      <c r="A171" s="11" t="inlineStr">
        <is>
          <t>168</t>
        </is>
      </c>
      <c r="B171" s="11" t="inlineStr">
        <is>
          <t>25</t>
        </is>
      </c>
      <c r="C171" s="11" t="inlineStr">
        <is>
          <t>HC/tribunal/other</t>
        </is>
      </c>
      <c r="D171" s="11" t="inlineStr">
        <is>
          <t>no</t>
        </is>
      </c>
      <c r="E171" s="11" t="inlineStr">
        <is>
          <t>no</t>
        </is>
      </c>
      <c r="F171" s="11" t="inlineStr"/>
      <c r="G171" s="11" t="inlineStr"/>
      <c r="H171" s="11" t="inlineStr">
        <is>
          <t>c3186</t>
        </is>
      </c>
      <c r="I171" s="11" t="inlineStr">
        <is>
          <t>cite</t>
        </is>
      </c>
      <c r="J171" s="11" t="inlineStr">
        <is>
          <t>no</t>
        </is>
      </c>
      <c r="K171" s="11" t="inlineStr">
        <is>
          <t>no</t>
        </is>
      </c>
      <c r="L171" s="11" t="inlineStr"/>
    </row>
    <row r="172">
      <c r="A172" s="11" t="inlineStr">
        <is>
          <t>169</t>
        </is>
      </c>
      <c r="B172" s="11" t="inlineStr">
        <is>
          <t>25</t>
        </is>
      </c>
      <c r="C172" s="11" t="inlineStr">
        <is>
          <t>HC/tribunal/other</t>
        </is>
      </c>
      <c r="D172" s="11" t="inlineStr">
        <is>
          <t>no</t>
        </is>
      </c>
      <c r="E172" s="11" t="inlineStr">
        <is>
          <t>no</t>
        </is>
      </c>
      <c r="F172" s="11" t="inlineStr"/>
      <c r="G172" s="11" t="inlineStr"/>
      <c r="H172" s="11" t="inlineStr">
        <is>
          <t>c8563</t>
        </is>
      </c>
      <c r="I172" s="11" t="inlineStr">
        <is>
          <t>cite</t>
        </is>
      </c>
      <c r="J172" s="11" t="inlineStr">
        <is>
          <t>no</t>
        </is>
      </c>
      <c r="K172" s="11" t="inlineStr">
        <is>
          <t>no</t>
        </is>
      </c>
      <c r="L172" s="11" t="inlineStr"/>
    </row>
    <row r="173">
      <c r="A173" s="11" t="inlineStr">
        <is>
          <t>170</t>
        </is>
      </c>
      <c r="B173" s="11" t="inlineStr">
        <is>
          <t>26</t>
        </is>
      </c>
      <c r="C173" s="11" t="inlineStr">
        <is>
          <t>HC/tribunal/other</t>
        </is>
      </c>
      <c r="D173" s="11" t="inlineStr">
        <is>
          <t>no</t>
        </is>
      </c>
      <c r="E173" s="11" t="inlineStr">
        <is>
          <t>no</t>
        </is>
      </c>
      <c r="F173" s="11" t="inlineStr"/>
      <c r="G173" s="11" t="inlineStr"/>
      <c r="H173" s="11" t="inlineStr">
        <is>
          <t>c13094</t>
        </is>
      </c>
      <c r="I173" s="11" t="inlineStr">
        <is>
          <t>cite</t>
        </is>
      </c>
      <c r="J173" s="11" t="inlineStr">
        <is>
          <t>no</t>
        </is>
      </c>
      <c r="K173" s="11" t="inlineStr">
        <is>
          <t>no</t>
        </is>
      </c>
      <c r="L173" s="11" t="inlineStr"/>
    </row>
    <row r="174">
      <c r="A174" s="11" t="inlineStr">
        <is>
          <t>171</t>
        </is>
      </c>
      <c r="B174" s="11" t="inlineStr">
        <is>
          <t>26</t>
        </is>
      </c>
      <c r="C174" s="11" t="inlineStr">
        <is>
          <t>HC/tribunal/other</t>
        </is>
      </c>
      <c r="D174" s="11" t="inlineStr">
        <is>
          <t>no</t>
        </is>
      </c>
      <c r="E174" s="11" t="inlineStr">
        <is>
          <t>no</t>
        </is>
      </c>
      <c r="F174" s="11" t="inlineStr"/>
      <c r="G174" s="11" t="inlineStr"/>
      <c r="H174" s="11" t="inlineStr"/>
      <c r="I174" s="11" t="inlineStr"/>
      <c r="J174" s="11" t="inlineStr">
        <is>
          <t>no</t>
        </is>
      </c>
      <c r="K174" s="11" t="inlineStr">
        <is>
          <t>no</t>
        </is>
      </c>
      <c r="L174" s="11" t="inlineStr"/>
    </row>
    <row r="175">
      <c r="A175" s="11" t="inlineStr">
        <is>
          <t>172</t>
        </is>
      </c>
      <c r="B175" s="11" t="inlineStr">
        <is>
          <t>26</t>
        </is>
      </c>
      <c r="C175" s="11" t="inlineStr">
        <is>
          <t>HC/tribunal/other</t>
        </is>
      </c>
      <c r="D175" s="11" t="inlineStr">
        <is>
          <t>no</t>
        </is>
      </c>
      <c r="E175" s="11" t="inlineStr">
        <is>
          <t>no</t>
        </is>
      </c>
      <c r="F175" s="11" t="inlineStr"/>
      <c r="G175" s="11" t="inlineStr"/>
      <c r="H175" s="11" t="inlineStr">
        <is>
          <t>c16878</t>
        </is>
      </c>
      <c r="I175" s="11" t="inlineStr">
        <is>
          <t>cite</t>
        </is>
      </c>
      <c r="J175" s="11" t="inlineStr">
        <is>
          <t>no</t>
        </is>
      </c>
      <c r="K175" s="11" t="inlineStr">
        <is>
          <t>no</t>
        </is>
      </c>
      <c r="L175" s="11" t="inlineStr"/>
    </row>
    <row r="176">
      <c r="A176" s="11" t="inlineStr">
        <is>
          <t>173</t>
        </is>
      </c>
      <c r="B176" s="11" t="inlineStr">
        <is>
          <t>26</t>
        </is>
      </c>
      <c r="C176" s="11" t="inlineStr">
        <is>
          <t>HC/tribunal/other</t>
        </is>
      </c>
      <c r="D176" s="11" t="inlineStr">
        <is>
          <t>no</t>
        </is>
      </c>
      <c r="E176" s="11" t="inlineStr">
        <is>
          <t>no</t>
        </is>
      </c>
      <c r="F176" s="11" t="inlineStr"/>
      <c r="G176" s="11" t="inlineStr"/>
      <c r="H176" s="11" t="inlineStr">
        <is>
          <t>c1471</t>
        </is>
      </c>
      <c r="I176" s="11" t="inlineStr">
        <is>
          <t>cite</t>
        </is>
      </c>
      <c r="J176" s="11" t="inlineStr">
        <is>
          <t>no</t>
        </is>
      </c>
      <c r="K176" s="11" t="inlineStr">
        <is>
          <t>no</t>
        </is>
      </c>
      <c r="L176" s="11" t="inlineStr"/>
    </row>
    <row r="177">
      <c r="A177" s="11" t="inlineStr">
        <is>
          <t>174</t>
        </is>
      </c>
      <c r="B177" s="11" t="inlineStr">
        <is>
          <t>26</t>
        </is>
      </c>
      <c r="C177" s="11" t="inlineStr">
        <is>
          <t>HC/tribunal/other</t>
        </is>
      </c>
      <c r="D177" s="11" t="inlineStr">
        <is>
          <t>no</t>
        </is>
      </c>
      <c r="E177" s="11" t="inlineStr">
        <is>
          <t>no</t>
        </is>
      </c>
      <c r="F177" s="11" t="inlineStr"/>
      <c r="G177" s="11" t="inlineStr"/>
      <c r="H177" s="11" t="inlineStr">
        <is>
          <t>c20728</t>
        </is>
      </c>
      <c r="I177" s="11" t="inlineStr">
        <is>
          <t>name</t>
        </is>
      </c>
      <c r="J177" s="11" t="inlineStr">
        <is>
          <t>no</t>
        </is>
      </c>
      <c r="K177" s="11" t="inlineStr">
        <is>
          <t>no</t>
        </is>
      </c>
      <c r="L177" s="11" t="inlineStr"/>
    </row>
    <row r="178">
      <c r="A178" s="11" t="inlineStr">
        <is>
          <t>175</t>
        </is>
      </c>
      <c r="B178" s="11" t="inlineStr">
        <is>
          <t>26</t>
        </is>
      </c>
      <c r="C178" s="11" t="inlineStr">
        <is>
          <t>HC/tribunal/other</t>
        </is>
      </c>
      <c r="D178" s="11" t="inlineStr">
        <is>
          <t>no</t>
        </is>
      </c>
      <c r="E178" s="11" t="inlineStr">
        <is>
          <t>no</t>
        </is>
      </c>
      <c r="F178" s="11" t="inlineStr"/>
      <c r="G178" s="11" t="inlineStr"/>
      <c r="H178" s="11" t="inlineStr">
        <is>
          <t>c9038</t>
        </is>
      </c>
      <c r="I178" s="11" t="inlineStr">
        <is>
          <t>cite</t>
        </is>
      </c>
      <c r="J178" s="11" t="inlineStr">
        <is>
          <t>no</t>
        </is>
      </c>
      <c r="K178" s="11" t="inlineStr">
        <is>
          <t>no</t>
        </is>
      </c>
      <c r="L178" s="11" t="inlineStr"/>
    </row>
    <row r="179">
      <c r="A179" s="11" t="inlineStr">
        <is>
          <t>176</t>
        </is>
      </c>
      <c r="B179" s="11" t="inlineStr">
        <is>
          <t>27</t>
        </is>
      </c>
      <c r="C179" s="11" t="inlineStr">
        <is>
          <t>HC/tribunal/other</t>
        </is>
      </c>
      <c r="D179" s="11" t="inlineStr">
        <is>
          <t>no</t>
        </is>
      </c>
      <c r="E179" s="11" t="inlineStr">
        <is>
          <t>no</t>
        </is>
      </c>
      <c r="F179" s="11" t="inlineStr"/>
      <c r="G179" s="11" t="inlineStr"/>
      <c r="H179" s="11" t="inlineStr"/>
      <c r="I179" s="11" t="inlineStr"/>
      <c r="J179" s="11" t="inlineStr">
        <is>
          <t>no</t>
        </is>
      </c>
      <c r="K179" s="11" t="inlineStr">
        <is>
          <t>no</t>
        </is>
      </c>
      <c r="L179" s="11" t="inlineStr"/>
    </row>
    <row r="180">
      <c r="A180" s="11" t="inlineStr">
        <is>
          <t>177</t>
        </is>
      </c>
      <c r="B180" s="11" t="inlineStr">
        <is>
          <t>27</t>
        </is>
      </c>
      <c r="C180" s="11" t="inlineStr">
        <is>
          <t>HC/tribunal/other</t>
        </is>
      </c>
      <c r="D180" s="11" t="inlineStr">
        <is>
          <t>no</t>
        </is>
      </c>
      <c r="E180" s="11" t="inlineStr">
        <is>
          <t>no</t>
        </is>
      </c>
      <c r="F180" s="11" t="inlineStr"/>
      <c r="G180" s="11" t="inlineStr"/>
      <c r="H180" s="11" t="inlineStr">
        <is>
          <t>c7352</t>
        </is>
      </c>
      <c r="I180" s="11" t="inlineStr">
        <is>
          <t>cite</t>
        </is>
      </c>
      <c r="J180" s="11" t="inlineStr">
        <is>
          <t>no</t>
        </is>
      </c>
      <c r="K180" s="11" t="inlineStr">
        <is>
          <t>no</t>
        </is>
      </c>
      <c r="L180" s="11" t="inlineStr"/>
    </row>
    <row r="181">
      <c r="A181" s="11" t="inlineStr">
        <is>
          <t>178</t>
        </is>
      </c>
      <c r="B181" s="11" t="inlineStr">
        <is>
          <t>27</t>
        </is>
      </c>
      <c r="C181" s="11" t="inlineStr">
        <is>
          <t>HC/tribunal/other</t>
        </is>
      </c>
      <c r="D181" s="11" t="inlineStr">
        <is>
          <t>no</t>
        </is>
      </c>
      <c r="E181" s="11" t="inlineStr">
        <is>
          <t>no</t>
        </is>
      </c>
      <c r="F181" s="11" t="inlineStr"/>
      <c r="G181" s="11" t="inlineStr"/>
      <c r="H181" s="11" t="inlineStr">
        <is>
          <t>c2694</t>
        </is>
      </c>
      <c r="I181" s="11" t="inlineStr">
        <is>
          <t>cite</t>
        </is>
      </c>
      <c r="J181" s="11" t="inlineStr">
        <is>
          <t>no</t>
        </is>
      </c>
      <c r="K181" s="11" t="inlineStr">
        <is>
          <t>no</t>
        </is>
      </c>
      <c r="L181" s="11" t="inlineStr"/>
    </row>
    <row r="182">
      <c r="A182" s="11" t="inlineStr">
        <is>
          <t>179</t>
        </is>
      </c>
      <c r="B182" s="11" t="inlineStr">
        <is>
          <t>27</t>
        </is>
      </c>
      <c r="C182" s="11" t="inlineStr">
        <is>
          <t>HC/tribunal/other</t>
        </is>
      </c>
      <c r="D182" s="11" t="inlineStr">
        <is>
          <t>yes</t>
        </is>
      </c>
      <c r="E182" s="11" t="inlineStr">
        <is>
          <t>no</t>
        </is>
      </c>
      <c r="F182" s="11" t="inlineStr"/>
      <c r="G182" s="11" t="inlineStr"/>
      <c r="H182" s="11" t="inlineStr">
        <is>
          <t>c7179</t>
        </is>
      </c>
      <c r="I182" s="11" t="inlineStr">
        <is>
          <t>cite</t>
        </is>
      </c>
      <c r="J182" s="11" t="inlineStr">
        <is>
          <t>no</t>
        </is>
      </c>
      <c r="K182" s="11" t="inlineStr">
        <is>
          <t>no</t>
        </is>
      </c>
      <c r="L182" s="11" t="inlineStr"/>
    </row>
    <row r="183">
      <c r="A183" s="11" t="inlineStr">
        <is>
          <t>180</t>
        </is>
      </c>
      <c r="B183" s="11" t="inlineStr">
        <is>
          <t>27</t>
        </is>
      </c>
      <c r="C183" s="11" t="inlineStr">
        <is>
          <t>HC/tribunal/other</t>
        </is>
      </c>
      <c r="D183" s="11" t="inlineStr">
        <is>
          <t>no</t>
        </is>
      </c>
      <c r="E183" s="11" t="inlineStr">
        <is>
          <t>no</t>
        </is>
      </c>
      <c r="F183" s="11" t="inlineStr"/>
      <c r="G183" s="11" t="inlineStr"/>
      <c r="H183" s="11" t="inlineStr">
        <is>
          <t>c9581</t>
        </is>
      </c>
      <c r="I183" s="11" t="inlineStr">
        <is>
          <t>cite</t>
        </is>
      </c>
      <c r="J183" s="11" t="inlineStr">
        <is>
          <t>no</t>
        </is>
      </c>
      <c r="K183" s="11" t="inlineStr">
        <is>
          <t>no</t>
        </is>
      </c>
      <c r="L183" s="11" t="inlineStr"/>
    </row>
    <row r="184">
      <c r="A184" s="11" t="inlineStr">
        <is>
          <t>181</t>
        </is>
      </c>
      <c r="B184" s="11" t="inlineStr">
        <is>
          <t>27</t>
        </is>
      </c>
      <c r="C184" s="11" t="inlineStr">
        <is>
          <t>HC/tribunal/other</t>
        </is>
      </c>
      <c r="D184" s="11" t="inlineStr">
        <is>
          <t>no</t>
        </is>
      </c>
      <c r="E184" s="11" t="inlineStr">
        <is>
          <t>no</t>
        </is>
      </c>
      <c r="F184" s="11" t="inlineStr"/>
      <c r="G184" s="11" t="inlineStr"/>
      <c r="H184" s="11" t="inlineStr">
        <is>
          <t>c17645</t>
        </is>
      </c>
      <c r="I184" s="11" t="inlineStr">
        <is>
          <t>cite</t>
        </is>
      </c>
      <c r="J184" s="11" t="inlineStr">
        <is>
          <t>no</t>
        </is>
      </c>
      <c r="K184" s="11" t="inlineStr">
        <is>
          <t>no</t>
        </is>
      </c>
      <c r="L184" s="11" t="inlineStr"/>
    </row>
    <row r="185">
      <c r="A185" s="11" t="inlineStr">
        <is>
          <t>182</t>
        </is>
      </c>
      <c r="B185" s="11" t="inlineStr">
        <is>
          <t>27</t>
        </is>
      </c>
      <c r="C185" s="11" t="inlineStr">
        <is>
          <t>HC/tribunal/other</t>
        </is>
      </c>
      <c r="D185" s="11" t="inlineStr">
        <is>
          <t>no</t>
        </is>
      </c>
      <c r="E185" s="11" t="inlineStr">
        <is>
          <t>no</t>
        </is>
      </c>
      <c r="F185" s="11" t="inlineStr"/>
      <c r="G185" s="11" t="inlineStr"/>
      <c r="H185" s="11" t="inlineStr">
        <is>
          <t>c5601</t>
        </is>
      </c>
      <c r="I185" s="11" t="inlineStr">
        <is>
          <t>cite</t>
        </is>
      </c>
      <c r="J185" s="11" t="inlineStr">
        <is>
          <t>no</t>
        </is>
      </c>
      <c r="K185" s="11" t="inlineStr">
        <is>
          <t>no</t>
        </is>
      </c>
      <c r="L185" s="11" t="inlineStr"/>
    </row>
    <row r="186">
      <c r="A186" s="11" t="inlineStr">
        <is>
          <t>183</t>
        </is>
      </c>
      <c r="B186" s="11" t="inlineStr">
        <is>
          <t>28</t>
        </is>
      </c>
      <c r="C186" s="11" t="inlineStr">
        <is>
          <t>HC/tribunal/other</t>
        </is>
      </c>
      <c r="D186" s="11" t="inlineStr">
        <is>
          <t>no</t>
        </is>
      </c>
      <c r="E186" s="11" t="inlineStr">
        <is>
          <t>no</t>
        </is>
      </c>
      <c r="F186" s="11" t="inlineStr"/>
      <c r="G186" s="11" t="inlineStr"/>
      <c r="H186" s="11" t="inlineStr">
        <is>
          <t>c17799</t>
        </is>
      </c>
      <c r="I186" s="11" t="inlineStr">
        <is>
          <t>cite</t>
        </is>
      </c>
      <c r="J186" s="11" t="inlineStr">
        <is>
          <t>no</t>
        </is>
      </c>
      <c r="K186" s="11" t="inlineStr">
        <is>
          <t>no</t>
        </is>
      </c>
      <c r="L186" s="11" t="inlineStr"/>
    </row>
    <row r="187">
      <c r="A187" s="11" t="inlineStr">
        <is>
          <t>184</t>
        </is>
      </c>
      <c r="B187" s="11" t="inlineStr">
        <is>
          <t>28</t>
        </is>
      </c>
      <c r="C187" s="11" t="inlineStr">
        <is>
          <t>HC/tribunal/other</t>
        </is>
      </c>
      <c r="D187" s="11" t="inlineStr">
        <is>
          <t>yes</t>
        </is>
      </c>
      <c r="E187" s="11" t="inlineStr">
        <is>
          <t>no</t>
        </is>
      </c>
      <c r="F187" s="11" t="inlineStr"/>
      <c r="G187" s="11" t="inlineStr"/>
      <c r="H187" s="11" t="inlineStr">
        <is>
          <t>c8547</t>
        </is>
      </c>
      <c r="I187" s="11" t="inlineStr">
        <is>
          <t>cite</t>
        </is>
      </c>
      <c r="J187" s="11" t="inlineStr">
        <is>
          <t>no</t>
        </is>
      </c>
      <c r="K187" s="11" t="inlineStr">
        <is>
          <t>no</t>
        </is>
      </c>
      <c r="L187" s="11" t="inlineStr"/>
    </row>
    <row r="188">
      <c r="A188" s="11" t="inlineStr">
        <is>
          <t>185</t>
        </is>
      </c>
      <c r="B188" s="11" t="inlineStr">
        <is>
          <t>28</t>
        </is>
      </c>
      <c r="C188" s="11" t="inlineStr">
        <is>
          <t>HC/tribunal/other</t>
        </is>
      </c>
      <c r="D188" s="11" t="inlineStr">
        <is>
          <t>no</t>
        </is>
      </c>
      <c r="E188" s="11" t="inlineStr">
        <is>
          <t>no</t>
        </is>
      </c>
      <c r="F188" s="11" t="inlineStr"/>
      <c r="G188" s="11" t="inlineStr"/>
      <c r="H188" s="11" t="inlineStr">
        <is>
          <t>c26156</t>
        </is>
      </c>
      <c r="I188" s="11" t="inlineStr">
        <is>
          <t>name</t>
        </is>
      </c>
      <c r="J188" s="11" t="inlineStr">
        <is>
          <t>no</t>
        </is>
      </c>
      <c r="K188" s="11" t="inlineStr">
        <is>
          <t>no</t>
        </is>
      </c>
      <c r="L188" s="11" t="inlineStr"/>
    </row>
    <row r="189">
      <c r="A189" s="11" t="inlineStr">
        <is>
          <t>186</t>
        </is>
      </c>
      <c r="B189" s="11" t="inlineStr">
        <is>
          <t>28</t>
        </is>
      </c>
      <c r="C189" s="11" t="inlineStr">
        <is>
          <t>HC/tribunal/other</t>
        </is>
      </c>
      <c r="D189" s="11" t="inlineStr">
        <is>
          <t>no</t>
        </is>
      </c>
      <c r="E189" s="11" t="inlineStr">
        <is>
          <t>no</t>
        </is>
      </c>
      <c r="F189" s="11" t="inlineStr"/>
      <c r="G189" s="11" t="inlineStr"/>
      <c r="H189" s="11" t="inlineStr">
        <is>
          <t>c10515</t>
        </is>
      </c>
      <c r="I189" s="11" t="inlineStr">
        <is>
          <t>cite</t>
        </is>
      </c>
      <c r="J189" s="11" t="inlineStr">
        <is>
          <t>no</t>
        </is>
      </c>
      <c r="K189" s="11" t="inlineStr">
        <is>
          <t>no</t>
        </is>
      </c>
      <c r="L189" s="11" t="inlineStr"/>
    </row>
    <row r="190">
      <c r="A190" s="11" t="inlineStr">
        <is>
          <t>187</t>
        </is>
      </c>
      <c r="B190" s="11" t="inlineStr">
        <is>
          <t>28</t>
        </is>
      </c>
      <c r="C190" s="11" t="inlineStr">
        <is>
          <t>HC/tribunal/other</t>
        </is>
      </c>
      <c r="D190" s="11" t="inlineStr">
        <is>
          <t>no</t>
        </is>
      </c>
      <c r="E190" s="11" t="inlineStr">
        <is>
          <t>no</t>
        </is>
      </c>
      <c r="F190" s="11" t="inlineStr"/>
      <c r="G190" s="11" t="inlineStr"/>
      <c r="H190" s="11" t="inlineStr">
        <is>
          <t>c7352</t>
        </is>
      </c>
      <c r="I190" s="11" t="inlineStr">
        <is>
          <t>cite</t>
        </is>
      </c>
      <c r="J190" s="11" t="inlineStr">
        <is>
          <t>no</t>
        </is>
      </c>
      <c r="K190" s="11" t="inlineStr">
        <is>
          <t>no</t>
        </is>
      </c>
      <c r="L190" s="11" t="inlineStr"/>
    </row>
    <row r="191">
      <c r="A191" s="11" t="inlineStr">
        <is>
          <t>188</t>
        </is>
      </c>
      <c r="B191" s="11" t="inlineStr">
        <is>
          <t>28</t>
        </is>
      </c>
      <c r="C191" s="11" t="inlineStr">
        <is>
          <t>HC/tribunal/other</t>
        </is>
      </c>
      <c r="D191" s="11" t="inlineStr">
        <is>
          <t>no</t>
        </is>
      </c>
      <c r="E191" s="11" t="inlineStr">
        <is>
          <t>no</t>
        </is>
      </c>
      <c r="F191" s="11" t="inlineStr"/>
      <c r="G191" s="11" t="inlineStr"/>
      <c r="H191" s="11" t="inlineStr">
        <is>
          <t>c13108</t>
        </is>
      </c>
      <c r="I191" s="11" t="inlineStr">
        <is>
          <t>cite</t>
        </is>
      </c>
      <c r="J191" s="11" t="inlineStr">
        <is>
          <t>no</t>
        </is>
      </c>
      <c r="K191" s="11" t="inlineStr">
        <is>
          <t>no</t>
        </is>
      </c>
      <c r="L191" s="11" t="inlineStr"/>
    </row>
    <row r="192">
      <c r="A192" s="11" t="inlineStr">
        <is>
          <t>189</t>
        </is>
      </c>
      <c r="B192" s="11" t="inlineStr">
        <is>
          <t>29</t>
        </is>
      </c>
      <c r="C192" s="11" t="inlineStr">
        <is>
          <t>HC/tribunal/other</t>
        </is>
      </c>
      <c r="D192" s="11" t="inlineStr">
        <is>
          <t>yes</t>
        </is>
      </c>
      <c r="E192" s="11" t="inlineStr">
        <is>
          <t>no</t>
        </is>
      </c>
      <c r="F192" s="11" t="inlineStr"/>
      <c r="G192" s="11" t="inlineStr"/>
      <c r="H192" s="11" t="inlineStr">
        <is>
          <t>c5955</t>
        </is>
      </c>
      <c r="I192" s="11" t="inlineStr">
        <is>
          <t>cite</t>
        </is>
      </c>
      <c r="J192" s="11" t="inlineStr">
        <is>
          <t>no</t>
        </is>
      </c>
      <c r="K192" s="11" t="inlineStr">
        <is>
          <t>no</t>
        </is>
      </c>
      <c r="L192" s="11" t="inlineStr"/>
    </row>
    <row r="193">
      <c r="A193" s="11" t="inlineStr">
        <is>
          <t>190</t>
        </is>
      </c>
      <c r="B193" s="11" t="inlineStr">
        <is>
          <t>29</t>
        </is>
      </c>
      <c r="C193" s="11" t="inlineStr">
        <is>
          <t>HC/tribunal/other</t>
        </is>
      </c>
      <c r="D193" s="11" t="inlineStr">
        <is>
          <t>no</t>
        </is>
      </c>
      <c r="E193" s="11" t="inlineStr">
        <is>
          <t>no</t>
        </is>
      </c>
      <c r="F193" s="11" t="inlineStr"/>
      <c r="G193" s="11" t="inlineStr"/>
      <c r="H193" s="11" t="inlineStr">
        <is>
          <t>c6497</t>
        </is>
      </c>
      <c r="I193" s="11" t="inlineStr">
        <is>
          <t>cite</t>
        </is>
      </c>
      <c r="J193" s="11" t="inlineStr">
        <is>
          <t>no</t>
        </is>
      </c>
      <c r="K193" s="11" t="inlineStr">
        <is>
          <t>no</t>
        </is>
      </c>
      <c r="L193" s="11" t="inlineStr"/>
    </row>
    <row r="194">
      <c r="A194" s="11" t="inlineStr">
        <is>
          <t>191</t>
        </is>
      </c>
      <c r="B194" s="11" t="inlineStr">
        <is>
          <t>29</t>
        </is>
      </c>
      <c r="C194" s="11" t="inlineStr">
        <is>
          <t>HC/tribunal/other</t>
        </is>
      </c>
      <c r="D194" s="11" t="inlineStr">
        <is>
          <t>no</t>
        </is>
      </c>
      <c r="E194" s="11" t="inlineStr">
        <is>
          <t>no</t>
        </is>
      </c>
      <c r="F194" s="11" t="inlineStr"/>
      <c r="G194" s="11" t="inlineStr"/>
      <c r="H194" s="11" t="inlineStr">
        <is>
          <t>c2374</t>
        </is>
      </c>
      <c r="I194" s="11" t="inlineStr">
        <is>
          <t>cite</t>
        </is>
      </c>
      <c r="J194" s="11" t="inlineStr">
        <is>
          <t>no</t>
        </is>
      </c>
      <c r="K194" s="11" t="inlineStr">
        <is>
          <t>no</t>
        </is>
      </c>
      <c r="L194" s="11" t="inlineStr"/>
    </row>
    <row r="195">
      <c r="A195" s="11" t="inlineStr">
        <is>
          <t>192</t>
        </is>
      </c>
      <c r="B195" s="11" t="inlineStr">
        <is>
          <t>29</t>
        </is>
      </c>
      <c r="C195" s="11" t="inlineStr">
        <is>
          <t>HC/tribunal/other</t>
        </is>
      </c>
      <c r="D195" s="11" t="inlineStr">
        <is>
          <t>no</t>
        </is>
      </c>
      <c r="E195" s="11" t="inlineStr">
        <is>
          <t>no</t>
        </is>
      </c>
      <c r="F195" s="11" t="inlineStr"/>
      <c r="G195" s="11" t="inlineStr"/>
      <c r="H195" s="11" t="inlineStr">
        <is>
          <t>c14356</t>
        </is>
      </c>
      <c r="I195" s="11" t="inlineStr">
        <is>
          <t>cite</t>
        </is>
      </c>
      <c r="J195" s="11" t="inlineStr">
        <is>
          <t>no</t>
        </is>
      </c>
      <c r="K195" s="11" t="inlineStr">
        <is>
          <t>no</t>
        </is>
      </c>
      <c r="L195" s="11" t="inlineStr"/>
    </row>
    <row r="196">
      <c r="A196" s="11" t="inlineStr">
        <is>
          <t>193</t>
        </is>
      </c>
      <c r="B196" s="11" t="inlineStr">
        <is>
          <t>29</t>
        </is>
      </c>
      <c r="C196" s="11" t="inlineStr">
        <is>
          <t>HC/tribunal/other</t>
        </is>
      </c>
      <c r="D196" s="11" t="inlineStr">
        <is>
          <t>no</t>
        </is>
      </c>
      <c r="E196" s="11" t="inlineStr">
        <is>
          <t>no</t>
        </is>
      </c>
      <c r="F196" s="11" t="inlineStr"/>
      <c r="G196" s="11" t="inlineStr"/>
      <c r="H196" s="11" t="inlineStr">
        <is>
          <t>c10802</t>
        </is>
      </c>
      <c r="I196" s="11" t="inlineStr">
        <is>
          <t>cite</t>
        </is>
      </c>
      <c r="J196" s="11" t="inlineStr">
        <is>
          <t>no</t>
        </is>
      </c>
      <c r="K196" s="11" t="inlineStr">
        <is>
          <t>no</t>
        </is>
      </c>
      <c r="L196" s="11" t="inlineStr"/>
    </row>
    <row r="197">
      <c r="A197" s="11" t="inlineStr">
        <is>
          <t>194</t>
        </is>
      </c>
      <c r="B197" s="11" t="inlineStr">
        <is>
          <t>29</t>
        </is>
      </c>
      <c r="C197" s="11" t="inlineStr">
        <is>
          <t>HC/tribunal/other</t>
        </is>
      </c>
      <c r="D197" s="11" t="inlineStr">
        <is>
          <t>no</t>
        </is>
      </c>
      <c r="E197" s="11" t="inlineStr">
        <is>
          <t>no</t>
        </is>
      </c>
      <c r="F197" s="11" t="inlineStr"/>
      <c r="G197" s="11" t="inlineStr"/>
      <c r="H197" s="11" t="inlineStr">
        <is>
          <t>c12374</t>
        </is>
      </c>
      <c r="I197" s="11" t="inlineStr">
        <is>
          <t>cite</t>
        </is>
      </c>
      <c r="J197" s="11" t="inlineStr">
        <is>
          <t>no</t>
        </is>
      </c>
      <c r="K197" s="11" t="inlineStr">
        <is>
          <t>no</t>
        </is>
      </c>
      <c r="L197" s="11" t="inlineStr"/>
    </row>
    <row r="198">
      <c r="A198" s="11" t="inlineStr">
        <is>
          <t>195</t>
        </is>
      </c>
      <c r="B198" s="11" t="inlineStr">
        <is>
          <t>29</t>
        </is>
      </c>
      <c r="C198" s="11" t="inlineStr">
        <is>
          <t>HC/tribunal/other</t>
        </is>
      </c>
      <c r="D198" s="11" t="inlineStr">
        <is>
          <t>no</t>
        </is>
      </c>
      <c r="E198" s="11" t="inlineStr">
        <is>
          <t>no</t>
        </is>
      </c>
      <c r="F198" s="11" t="inlineStr"/>
      <c r="G198" s="11" t="inlineStr"/>
      <c r="H198" s="11" t="inlineStr">
        <is>
          <t>c1724</t>
        </is>
      </c>
      <c r="I198" s="11" t="inlineStr">
        <is>
          <t>cite</t>
        </is>
      </c>
      <c r="J198" s="11" t="inlineStr">
        <is>
          <t>no</t>
        </is>
      </c>
      <c r="K198" s="11" t="inlineStr">
        <is>
          <t>no</t>
        </is>
      </c>
      <c r="L198" s="11" t="inlineStr"/>
    </row>
    <row r="199">
      <c r="A199" s="11" t="inlineStr">
        <is>
          <t>196</t>
        </is>
      </c>
      <c r="B199" s="11" t="inlineStr">
        <is>
          <t>30</t>
        </is>
      </c>
      <c r="C199" s="11" t="inlineStr">
        <is>
          <t>HC/tribunal/other</t>
        </is>
      </c>
      <c r="D199" s="11" t="inlineStr">
        <is>
          <t>yes</t>
        </is>
      </c>
      <c r="E199" s="11" t="inlineStr">
        <is>
          <t>no</t>
        </is>
      </c>
      <c r="F199" s="11" t="inlineStr"/>
      <c r="G199" s="11" t="inlineStr"/>
      <c r="H199" s="11" t="inlineStr">
        <is>
          <t>c26995</t>
        </is>
      </c>
      <c r="I199" s="11" t="inlineStr">
        <is>
          <t>cite</t>
        </is>
      </c>
      <c r="J199" s="11" t="inlineStr">
        <is>
          <t>no</t>
        </is>
      </c>
      <c r="K199" s="11" t="inlineStr">
        <is>
          <t>no</t>
        </is>
      </c>
      <c r="L199" s="11" t="inlineStr"/>
    </row>
    <row r="200">
      <c r="A200" s="11" t="inlineStr">
        <is>
          <t>197</t>
        </is>
      </c>
      <c r="B200" s="11" t="inlineStr">
        <is>
          <t>30</t>
        </is>
      </c>
      <c r="C200" s="11" t="inlineStr">
        <is>
          <t>HC/tribunal/other</t>
        </is>
      </c>
      <c r="D200" s="11" t="inlineStr">
        <is>
          <t>yes</t>
        </is>
      </c>
      <c r="E200" s="11" t="inlineStr">
        <is>
          <t>no</t>
        </is>
      </c>
      <c r="F200" s="11" t="inlineStr"/>
      <c r="G200" s="11" t="inlineStr"/>
      <c r="H200" s="11" t="inlineStr">
        <is>
          <t>c17556</t>
        </is>
      </c>
      <c r="I200" s="11" t="inlineStr">
        <is>
          <t>cite</t>
        </is>
      </c>
      <c r="J200" s="11" t="inlineStr">
        <is>
          <t>no</t>
        </is>
      </c>
      <c r="K200" s="11" t="inlineStr">
        <is>
          <t>no</t>
        </is>
      </c>
      <c r="L200" s="11" t="inlineStr"/>
    </row>
    <row r="201">
      <c r="A201" s="11" t="inlineStr">
        <is>
          <t>198</t>
        </is>
      </c>
      <c r="B201" s="11" t="inlineStr">
        <is>
          <t>30</t>
        </is>
      </c>
      <c r="C201" s="11" t="inlineStr">
        <is>
          <t>HC/tribunal/other</t>
        </is>
      </c>
      <c r="D201" s="11" t="inlineStr">
        <is>
          <t>no</t>
        </is>
      </c>
      <c r="E201" s="11" t="inlineStr">
        <is>
          <t>no</t>
        </is>
      </c>
      <c r="F201" s="11" t="inlineStr"/>
      <c r="G201" s="11" t="inlineStr"/>
      <c r="H201" s="11" t="inlineStr">
        <is>
          <t>c35092</t>
        </is>
      </c>
      <c r="I201" s="11" t="inlineStr">
        <is>
          <t>cite</t>
        </is>
      </c>
      <c r="J201" s="11" t="inlineStr">
        <is>
          <t>no</t>
        </is>
      </c>
      <c r="K201" s="11" t="inlineStr">
        <is>
          <t>no</t>
        </is>
      </c>
      <c r="L201" s="11" t="inlineStr"/>
    </row>
    <row r="202">
      <c r="A202" s="11" t="inlineStr">
        <is>
          <t>199</t>
        </is>
      </c>
      <c r="B202" s="11" t="inlineStr">
        <is>
          <t>30</t>
        </is>
      </c>
      <c r="C202" s="11" t="inlineStr">
        <is>
          <t>HC/tribunal/other</t>
        </is>
      </c>
      <c r="D202" s="11" t="inlineStr">
        <is>
          <t>yes</t>
        </is>
      </c>
      <c r="E202" s="11" t="inlineStr">
        <is>
          <t>no</t>
        </is>
      </c>
      <c r="F202" s="11" t="inlineStr"/>
      <c r="G202" s="11" t="inlineStr"/>
      <c r="H202" s="11" t="inlineStr">
        <is>
          <t>c33055</t>
        </is>
      </c>
      <c r="I202" s="11" t="inlineStr">
        <is>
          <t>name</t>
        </is>
      </c>
      <c r="J202" s="11" t="inlineStr">
        <is>
          <t>no</t>
        </is>
      </c>
      <c r="K202" s="11" t="inlineStr">
        <is>
          <t>no</t>
        </is>
      </c>
      <c r="L202" s="11" t="inlineStr"/>
    </row>
    <row r="203">
      <c r="A203" s="11" t="inlineStr">
        <is>
          <t>200</t>
        </is>
      </c>
      <c r="B203" s="11" t="inlineStr">
        <is>
          <t>30</t>
        </is>
      </c>
      <c r="C203" s="11" t="inlineStr">
        <is>
          <t>HC/tribunal/other</t>
        </is>
      </c>
      <c r="D203" s="11" t="inlineStr">
        <is>
          <t>no</t>
        </is>
      </c>
      <c r="E203" s="11" t="inlineStr">
        <is>
          <t>no</t>
        </is>
      </c>
      <c r="F203" s="11" t="inlineStr"/>
      <c r="G203" s="11" t="inlineStr"/>
      <c r="H203" s="11" t="inlineStr">
        <is>
          <t>c15462</t>
        </is>
      </c>
      <c r="I203" s="11" t="inlineStr">
        <is>
          <t>name</t>
        </is>
      </c>
      <c r="J203" s="11" t="inlineStr">
        <is>
          <t>no</t>
        </is>
      </c>
      <c r="K203" s="11" t="inlineStr">
        <is>
          <t>no</t>
        </is>
      </c>
      <c r="L203" s="11" t="inlineStr"/>
    </row>
    <row r="204">
      <c r="A204" s="11" t="inlineStr">
        <is>
          <t>201</t>
        </is>
      </c>
      <c r="B204" s="11" t="inlineStr">
        <is>
          <t>30</t>
        </is>
      </c>
      <c r="C204" s="11" t="inlineStr">
        <is>
          <t>HC/tribunal/other</t>
        </is>
      </c>
      <c r="D204" s="11" t="inlineStr">
        <is>
          <t>no</t>
        </is>
      </c>
      <c r="E204" s="11" t="inlineStr">
        <is>
          <t>no</t>
        </is>
      </c>
      <c r="F204" s="11" t="inlineStr"/>
      <c r="G204" s="11" t="inlineStr"/>
      <c r="H204" s="11" t="inlineStr">
        <is>
          <t>c12359</t>
        </is>
      </c>
      <c r="I204" s="11" t="inlineStr">
        <is>
          <t>name</t>
        </is>
      </c>
      <c r="J204" s="11" t="inlineStr">
        <is>
          <t>no</t>
        </is>
      </c>
      <c r="K204" s="11" t="inlineStr">
        <is>
          <t>no</t>
        </is>
      </c>
      <c r="L204" s="11" t="inlineStr"/>
    </row>
    <row r="205">
      <c r="A205" s="11" t="inlineStr">
        <is>
          <t>202</t>
        </is>
      </c>
      <c r="B205" s="11" t="inlineStr">
        <is>
          <t>31</t>
        </is>
      </c>
      <c r="C205" s="11" t="inlineStr">
        <is>
          <t>HC/tribunal/other</t>
        </is>
      </c>
      <c r="D205" s="11" t="inlineStr">
        <is>
          <t>no</t>
        </is>
      </c>
      <c r="E205" s="11" t="inlineStr">
        <is>
          <t>yes</t>
        </is>
      </c>
      <c r="F205" s="11" t="inlineStr"/>
      <c r="G205" s="11" t="inlineStr"/>
      <c r="H205" s="11" t="inlineStr">
        <is>
          <t>c3552</t>
        </is>
      </c>
      <c r="I205" s="11" t="inlineStr">
        <is>
          <t>cite</t>
        </is>
      </c>
      <c r="J205" s="11" t="inlineStr">
        <is>
          <t>no</t>
        </is>
      </c>
      <c r="K205" s="11" t="inlineStr">
        <is>
          <t>no</t>
        </is>
      </c>
      <c r="L205" s="11" t="inlineStr"/>
    </row>
    <row r="206">
      <c r="A206" s="11" t="inlineStr">
        <is>
          <t>203</t>
        </is>
      </c>
      <c r="B206" s="11" t="inlineStr">
        <is>
          <t>31</t>
        </is>
      </c>
      <c r="C206" s="11" t="inlineStr">
        <is>
          <t>HC/tribunal/other</t>
        </is>
      </c>
      <c r="D206" s="11" t="inlineStr">
        <is>
          <t>no</t>
        </is>
      </c>
      <c r="E206" s="11" t="inlineStr">
        <is>
          <t>no</t>
        </is>
      </c>
      <c r="F206" s="11" t="inlineStr"/>
      <c r="G206" s="11" t="inlineStr"/>
      <c r="H206" s="11" t="inlineStr">
        <is>
          <t>c5831</t>
        </is>
      </c>
      <c r="I206" s="11" t="inlineStr">
        <is>
          <t>cite</t>
        </is>
      </c>
      <c r="J206" s="11" t="inlineStr">
        <is>
          <t>no</t>
        </is>
      </c>
      <c r="K206" s="11" t="inlineStr">
        <is>
          <t>no</t>
        </is>
      </c>
      <c r="L206" s="11" t="inlineStr"/>
    </row>
    <row r="207">
      <c r="A207" s="11" t="inlineStr">
        <is>
          <t>204</t>
        </is>
      </c>
      <c r="B207" s="11" t="inlineStr">
        <is>
          <t>31</t>
        </is>
      </c>
      <c r="C207" s="11" t="inlineStr">
        <is>
          <t>HC/tribunal/other</t>
        </is>
      </c>
      <c r="D207" s="11" t="inlineStr">
        <is>
          <t>no</t>
        </is>
      </c>
      <c r="E207" s="11" t="inlineStr">
        <is>
          <t>no</t>
        </is>
      </c>
      <c r="F207" s="11" t="inlineStr"/>
      <c r="G207" s="11" t="inlineStr"/>
      <c r="H207" s="11" t="inlineStr">
        <is>
          <t>c13398</t>
        </is>
      </c>
      <c r="I207" s="11" t="inlineStr">
        <is>
          <t>cite</t>
        </is>
      </c>
      <c r="J207" s="11" t="inlineStr">
        <is>
          <t>no</t>
        </is>
      </c>
      <c r="K207" s="11" t="inlineStr">
        <is>
          <t>no</t>
        </is>
      </c>
      <c r="L207" s="11" t="inlineStr"/>
    </row>
    <row r="208">
      <c r="A208" s="11" t="inlineStr">
        <is>
          <t>205</t>
        </is>
      </c>
      <c r="B208" s="11" t="inlineStr">
        <is>
          <t>31</t>
        </is>
      </c>
      <c r="C208" s="11" t="inlineStr">
        <is>
          <t>HC/tribunal/other</t>
        </is>
      </c>
      <c r="D208" s="11" t="inlineStr">
        <is>
          <t>yes</t>
        </is>
      </c>
      <c r="E208" s="11" t="inlineStr">
        <is>
          <t>no</t>
        </is>
      </c>
      <c r="F208" s="11" t="inlineStr"/>
      <c r="G208" s="11" t="inlineStr"/>
      <c r="H208" s="11" t="inlineStr">
        <is>
          <t>c7098</t>
        </is>
      </c>
      <c r="I208" s="11" t="inlineStr">
        <is>
          <t>cite</t>
        </is>
      </c>
      <c r="J208" s="11" t="inlineStr">
        <is>
          <t>no</t>
        </is>
      </c>
      <c r="K208" s="11" t="inlineStr">
        <is>
          <t>no</t>
        </is>
      </c>
      <c r="L208" s="11" t="inlineStr"/>
    </row>
    <row r="209">
      <c r="A209" s="11" t="inlineStr">
        <is>
          <t>206</t>
        </is>
      </c>
      <c r="B209" s="11" t="inlineStr">
        <is>
          <t>31</t>
        </is>
      </c>
      <c r="C209" s="11" t="inlineStr">
        <is>
          <t>HC/tribunal/other</t>
        </is>
      </c>
      <c r="D209" s="11" t="inlineStr">
        <is>
          <t>no</t>
        </is>
      </c>
      <c r="E209" s="11" t="inlineStr">
        <is>
          <t>no</t>
        </is>
      </c>
      <c r="F209" s="11" t="inlineStr"/>
      <c r="G209" s="11" t="inlineStr"/>
      <c r="H209" s="11" t="inlineStr">
        <is>
          <t>c6256</t>
        </is>
      </c>
      <c r="I209" s="11" t="inlineStr">
        <is>
          <t>cite</t>
        </is>
      </c>
      <c r="J209" s="11" t="inlineStr">
        <is>
          <t>no</t>
        </is>
      </c>
      <c r="K209" s="11" t="inlineStr">
        <is>
          <t>no</t>
        </is>
      </c>
      <c r="L209" s="11" t="inlineStr"/>
    </row>
    <row r="210">
      <c r="A210" s="11" t="inlineStr">
        <is>
          <t>207</t>
        </is>
      </c>
      <c r="B210" s="11" t="inlineStr">
        <is>
          <t>31</t>
        </is>
      </c>
      <c r="C210" s="11" t="inlineStr">
        <is>
          <t>HC/tribunal/other</t>
        </is>
      </c>
      <c r="D210" s="11" t="inlineStr">
        <is>
          <t>no</t>
        </is>
      </c>
      <c r="E210" s="11" t="inlineStr">
        <is>
          <t>no</t>
        </is>
      </c>
      <c r="F210" s="11" t="inlineStr"/>
      <c r="G210" s="11" t="inlineStr"/>
      <c r="H210" s="11" t="inlineStr">
        <is>
          <t>c32878</t>
        </is>
      </c>
      <c r="I210" s="11" t="inlineStr">
        <is>
          <t>name</t>
        </is>
      </c>
      <c r="J210" s="11" t="inlineStr">
        <is>
          <t>no</t>
        </is>
      </c>
      <c r="K210" s="11" t="inlineStr">
        <is>
          <t>no</t>
        </is>
      </c>
      <c r="L210" s="11" t="inlineStr"/>
    </row>
    <row r="211">
      <c r="A211" s="11" t="inlineStr">
        <is>
          <t>208</t>
        </is>
      </c>
      <c r="B211" s="11" t="inlineStr">
        <is>
          <t>31</t>
        </is>
      </c>
      <c r="C211" s="11" t="inlineStr">
        <is>
          <t>HC/tribunal/other</t>
        </is>
      </c>
      <c r="D211" s="11" t="inlineStr">
        <is>
          <t>no</t>
        </is>
      </c>
      <c r="E211" s="11" t="inlineStr">
        <is>
          <t>no</t>
        </is>
      </c>
      <c r="F211" s="11" t="inlineStr"/>
      <c r="G211" s="11" t="inlineStr"/>
      <c r="H211" s="11" t="inlineStr">
        <is>
          <t>c18465</t>
        </is>
      </c>
      <c r="I211" s="11" t="inlineStr">
        <is>
          <t>name</t>
        </is>
      </c>
      <c r="J211" s="11" t="inlineStr">
        <is>
          <t>no</t>
        </is>
      </c>
      <c r="K211" s="11" t="inlineStr">
        <is>
          <t>no</t>
        </is>
      </c>
      <c r="L211" s="11" t="inlineStr"/>
    </row>
    <row r="212">
      <c r="A212" s="11" t="inlineStr">
        <is>
          <t>209</t>
        </is>
      </c>
      <c r="B212" s="11" t="inlineStr">
        <is>
          <t>31</t>
        </is>
      </c>
      <c r="C212" s="11" t="inlineStr">
        <is>
          <t>HC/tribunal/other</t>
        </is>
      </c>
      <c r="D212" s="11" t="inlineStr">
        <is>
          <t>no</t>
        </is>
      </c>
      <c r="E212" s="11" t="inlineStr">
        <is>
          <t>yes</t>
        </is>
      </c>
      <c r="F212" s="11" t="inlineStr"/>
      <c r="G212" s="11" t="inlineStr"/>
      <c r="H212" s="11" t="inlineStr"/>
      <c r="I212" s="11" t="inlineStr"/>
      <c r="J212" s="11" t="inlineStr">
        <is>
          <t>no</t>
        </is>
      </c>
      <c r="K212" s="11" t="inlineStr">
        <is>
          <t>no</t>
        </is>
      </c>
      <c r="L212" s="11" t="inlineStr"/>
    </row>
    <row r="213">
      <c r="A213" s="11" t="inlineStr">
        <is>
          <t>210</t>
        </is>
      </c>
      <c r="B213" s="11" t="inlineStr">
        <is>
          <t>32</t>
        </is>
      </c>
      <c r="C213" s="11" t="inlineStr">
        <is>
          <t>HC/tribunal/other</t>
        </is>
      </c>
      <c r="D213" s="11" t="inlineStr">
        <is>
          <t>no</t>
        </is>
      </c>
      <c r="E213" s="11" t="inlineStr">
        <is>
          <t>no</t>
        </is>
      </c>
      <c r="F213" s="11" t="inlineStr"/>
      <c r="G213" s="11" t="inlineStr"/>
      <c r="H213" s="11" t="inlineStr">
        <is>
          <t>c38678</t>
        </is>
      </c>
      <c r="I213" s="11" t="inlineStr">
        <is>
          <t>cite</t>
        </is>
      </c>
      <c r="J213" s="11" t="inlineStr">
        <is>
          <t>no</t>
        </is>
      </c>
      <c r="K213" s="11" t="inlineStr">
        <is>
          <t>no</t>
        </is>
      </c>
      <c r="L213" s="11" t="inlineStr"/>
    </row>
    <row r="214">
      <c r="A214" s="11" t="inlineStr">
        <is>
          <t>211</t>
        </is>
      </c>
      <c r="B214" s="11" t="inlineStr">
        <is>
          <t>32</t>
        </is>
      </c>
      <c r="C214" s="11" t="inlineStr">
        <is>
          <t>HC/tribunal/other</t>
        </is>
      </c>
      <c r="D214" s="11" t="inlineStr">
        <is>
          <t>yes</t>
        </is>
      </c>
      <c r="E214" s="11" t="inlineStr">
        <is>
          <t>no</t>
        </is>
      </c>
      <c r="F214" s="11" t="inlineStr"/>
      <c r="G214" s="11" t="inlineStr"/>
      <c r="H214" s="11" t="inlineStr">
        <is>
          <t>c29860</t>
        </is>
      </c>
      <c r="I214" s="11" t="inlineStr">
        <is>
          <t>name</t>
        </is>
      </c>
      <c r="J214" s="11" t="inlineStr">
        <is>
          <t>no</t>
        </is>
      </c>
      <c r="K214" s="11" t="inlineStr">
        <is>
          <t>no</t>
        </is>
      </c>
      <c r="L214" s="11" t="inlineStr"/>
    </row>
    <row r="215">
      <c r="A215" s="11" t="inlineStr">
        <is>
          <t>212</t>
        </is>
      </c>
      <c r="B215" s="11" t="inlineStr">
        <is>
          <t>32</t>
        </is>
      </c>
      <c r="C215" s="11" t="inlineStr">
        <is>
          <t>HC/tribunal/other</t>
        </is>
      </c>
      <c r="D215" s="11" t="inlineStr">
        <is>
          <t>no</t>
        </is>
      </c>
      <c r="E215" s="11" t="inlineStr">
        <is>
          <t>yes</t>
        </is>
      </c>
      <c r="F215" s="11" t="inlineStr"/>
      <c r="G215" s="11" t="inlineStr"/>
      <c r="H215" s="11" t="inlineStr"/>
      <c r="I215" s="11" t="inlineStr"/>
      <c r="J215" s="11" t="inlineStr">
        <is>
          <t>no</t>
        </is>
      </c>
      <c r="K215" s="11" t="inlineStr">
        <is>
          <t>no</t>
        </is>
      </c>
      <c r="L215" s="11" t="inlineStr"/>
    </row>
    <row r="216">
      <c r="A216" s="11" t="inlineStr">
        <is>
          <t>213</t>
        </is>
      </c>
      <c r="B216" s="11" t="inlineStr">
        <is>
          <t>32</t>
        </is>
      </c>
      <c r="C216" s="11" t="inlineStr">
        <is>
          <t>HC/tribunal/other</t>
        </is>
      </c>
      <c r="D216" s="11" t="inlineStr">
        <is>
          <t>yes</t>
        </is>
      </c>
      <c r="E216" s="11" t="inlineStr">
        <is>
          <t>no</t>
        </is>
      </c>
      <c r="F216" s="11" t="inlineStr"/>
      <c r="G216" s="11" t="inlineStr"/>
      <c r="H216" s="11" t="inlineStr">
        <is>
          <t>c36266</t>
        </is>
      </c>
      <c r="I216" s="11" t="inlineStr">
        <is>
          <t>name</t>
        </is>
      </c>
      <c r="J216" s="11" t="inlineStr">
        <is>
          <t>no</t>
        </is>
      </c>
      <c r="K216" s="11" t="inlineStr">
        <is>
          <t>no</t>
        </is>
      </c>
      <c r="L216" s="11" t="inlineStr"/>
    </row>
    <row r="217">
      <c r="A217" s="11" t="inlineStr">
        <is>
          <t>214</t>
        </is>
      </c>
      <c r="B217" s="11" t="inlineStr">
        <is>
          <t>32</t>
        </is>
      </c>
      <c r="C217" s="11" t="inlineStr">
        <is>
          <t>HC/tribunal/other</t>
        </is>
      </c>
      <c r="D217" s="11" t="inlineStr">
        <is>
          <t>no</t>
        </is>
      </c>
      <c r="E217" s="11" t="inlineStr">
        <is>
          <t>yes</t>
        </is>
      </c>
      <c r="F217" s="11" t="inlineStr"/>
      <c r="G217" s="11" t="inlineStr"/>
      <c r="H217" s="11" t="inlineStr"/>
      <c r="I217" s="11" t="inlineStr"/>
      <c r="J217" s="11" t="inlineStr">
        <is>
          <t>no</t>
        </is>
      </c>
      <c r="K217" s="11" t="inlineStr">
        <is>
          <t>no</t>
        </is>
      </c>
      <c r="L217" s="11" t="inlineStr"/>
    </row>
    <row r="218">
      <c r="A218" s="11" t="inlineStr">
        <is>
          <t>215</t>
        </is>
      </c>
      <c r="B218" s="11" t="inlineStr">
        <is>
          <t>32</t>
        </is>
      </c>
      <c r="C218" s="11" t="inlineStr">
        <is>
          <t>HC/tribunal/other</t>
        </is>
      </c>
      <c r="D218" s="11" t="inlineStr">
        <is>
          <t>no</t>
        </is>
      </c>
      <c r="E218" s="11" t="inlineStr">
        <is>
          <t>no</t>
        </is>
      </c>
      <c r="F218" s="11" t="inlineStr"/>
      <c r="G218" s="11" t="inlineStr"/>
      <c r="H218" s="11" t="inlineStr">
        <is>
          <t>c2989</t>
        </is>
      </c>
      <c r="I218" s="11" t="inlineStr">
        <is>
          <t>cite</t>
        </is>
      </c>
      <c r="J218" s="11" t="inlineStr">
        <is>
          <t>no</t>
        </is>
      </c>
      <c r="K218" s="11" t="inlineStr">
        <is>
          <t>no</t>
        </is>
      </c>
      <c r="L218" s="11" t="inlineStr"/>
    </row>
    <row r="219">
      <c r="A219" s="11" t="inlineStr">
        <is>
          <t>216</t>
        </is>
      </c>
      <c r="B219" s="11" t="inlineStr">
        <is>
          <t>33</t>
        </is>
      </c>
      <c r="C219" s="11" t="inlineStr">
        <is>
          <t>HC/tribunal/other</t>
        </is>
      </c>
      <c r="D219" s="11" t="inlineStr">
        <is>
          <t>no</t>
        </is>
      </c>
      <c r="E219" s="11" t="inlineStr">
        <is>
          <t>no</t>
        </is>
      </c>
      <c r="F219" s="11" t="inlineStr"/>
      <c r="G219" s="11" t="inlineStr"/>
      <c r="H219" s="11" t="inlineStr">
        <is>
          <t>c11887</t>
        </is>
      </c>
      <c r="I219" s="11" t="inlineStr">
        <is>
          <t>name</t>
        </is>
      </c>
      <c r="J219" s="11" t="inlineStr">
        <is>
          <t>no</t>
        </is>
      </c>
      <c r="K219" s="11" t="inlineStr">
        <is>
          <t>no</t>
        </is>
      </c>
      <c r="L219" s="11" t="inlineStr"/>
    </row>
    <row r="220">
      <c r="A220" s="11" t="inlineStr">
        <is>
          <t>217</t>
        </is>
      </c>
      <c r="B220" s="11" t="inlineStr">
        <is>
          <t>33</t>
        </is>
      </c>
      <c r="C220" s="11" t="inlineStr">
        <is>
          <t>HC/tribunal/other</t>
        </is>
      </c>
      <c r="D220" s="11" t="inlineStr">
        <is>
          <t>no</t>
        </is>
      </c>
      <c r="E220" s="11" t="inlineStr">
        <is>
          <t>no</t>
        </is>
      </c>
      <c r="F220" s="11" t="inlineStr"/>
      <c r="G220" s="11" t="inlineStr"/>
      <c r="H220" s="11" t="inlineStr">
        <is>
          <t>c31681</t>
        </is>
      </c>
      <c r="I220" s="11" t="inlineStr">
        <is>
          <t>name</t>
        </is>
      </c>
      <c r="J220" s="11" t="inlineStr">
        <is>
          <t>no</t>
        </is>
      </c>
      <c r="K220" s="11" t="inlineStr">
        <is>
          <t>no</t>
        </is>
      </c>
      <c r="L220" s="11" t="inlineStr"/>
    </row>
    <row r="221">
      <c r="A221" s="11" t="inlineStr">
        <is>
          <t>218</t>
        </is>
      </c>
      <c r="B221" s="11" t="inlineStr">
        <is>
          <t>33</t>
        </is>
      </c>
      <c r="C221" s="11" t="inlineStr">
        <is>
          <t>HC/tribunal/other</t>
        </is>
      </c>
      <c r="D221" s="11" t="inlineStr">
        <is>
          <t>yes</t>
        </is>
      </c>
      <c r="E221" s="11" t="inlineStr">
        <is>
          <t>no</t>
        </is>
      </c>
      <c r="F221" s="11" t="inlineStr"/>
      <c r="G221" s="11" t="inlineStr"/>
      <c r="H221" s="11" t="inlineStr">
        <is>
          <t>c26869</t>
        </is>
      </c>
      <c r="I221" s="11" t="inlineStr">
        <is>
          <t>cite</t>
        </is>
      </c>
      <c r="J221" s="11" t="inlineStr">
        <is>
          <t>no</t>
        </is>
      </c>
      <c r="K221" s="11" t="inlineStr">
        <is>
          <t>no</t>
        </is>
      </c>
      <c r="L221" s="11" t="inlineStr"/>
    </row>
    <row r="222">
      <c r="A222" s="11" t="inlineStr">
        <is>
          <t>219</t>
        </is>
      </c>
      <c r="B222" s="11" t="inlineStr">
        <is>
          <t>33</t>
        </is>
      </c>
      <c r="C222" s="11" t="inlineStr">
        <is>
          <t>HC/tribunal/other</t>
        </is>
      </c>
      <c r="D222" s="11" t="inlineStr">
        <is>
          <t>no</t>
        </is>
      </c>
      <c r="E222" s="11" t="inlineStr">
        <is>
          <t>yes</t>
        </is>
      </c>
      <c r="F222" s="11" t="inlineStr"/>
      <c r="G222" s="11" t="inlineStr"/>
      <c r="H222" s="11" t="inlineStr">
        <is>
          <t>c9517</t>
        </is>
      </c>
      <c r="I222" s="11" t="inlineStr">
        <is>
          <t>cite</t>
        </is>
      </c>
      <c r="J222" s="11" t="inlineStr">
        <is>
          <t>no</t>
        </is>
      </c>
      <c r="K222" s="11" t="inlineStr">
        <is>
          <t>no</t>
        </is>
      </c>
      <c r="L222" s="11" t="inlineStr"/>
    </row>
    <row r="223">
      <c r="A223" s="11" t="inlineStr">
        <is>
          <t>220</t>
        </is>
      </c>
      <c r="B223" s="11" t="inlineStr">
        <is>
          <t>33</t>
        </is>
      </c>
      <c r="C223" s="11" t="inlineStr">
        <is>
          <t>HC/tribunal/other</t>
        </is>
      </c>
      <c r="D223" s="11" t="inlineStr">
        <is>
          <t>no</t>
        </is>
      </c>
      <c r="E223" s="11" t="inlineStr">
        <is>
          <t>no</t>
        </is>
      </c>
      <c r="F223" s="11" t="inlineStr"/>
      <c r="G223" s="11" t="inlineStr"/>
      <c r="H223" s="11" t="inlineStr">
        <is>
          <t>c33031</t>
        </is>
      </c>
      <c r="I223" s="11" t="inlineStr">
        <is>
          <t>cite</t>
        </is>
      </c>
      <c r="J223" s="11" t="inlineStr">
        <is>
          <t>yes</t>
        </is>
      </c>
      <c r="K223" s="11" t="inlineStr">
        <is>
          <t>no</t>
        </is>
      </c>
      <c r="L223" s="11" t="inlineStr"/>
    </row>
    <row r="224">
      <c r="A224" s="11" t="inlineStr">
        <is>
          <t>221</t>
        </is>
      </c>
      <c r="B224" s="11" t="inlineStr">
        <is>
          <t>33</t>
        </is>
      </c>
      <c r="C224" s="11" t="inlineStr">
        <is>
          <t>HC/tribunal/other</t>
        </is>
      </c>
      <c r="D224" s="11" t="inlineStr">
        <is>
          <t>no</t>
        </is>
      </c>
      <c r="E224" s="11" t="inlineStr">
        <is>
          <t>no</t>
        </is>
      </c>
      <c r="F224" s="11" t="inlineStr"/>
      <c r="G224" s="11" t="inlineStr"/>
      <c r="H224" s="11" t="inlineStr">
        <is>
          <t>c26577</t>
        </is>
      </c>
      <c r="I224" s="11" t="inlineStr">
        <is>
          <t>name</t>
        </is>
      </c>
      <c r="J224" s="11" t="inlineStr">
        <is>
          <t>no</t>
        </is>
      </c>
      <c r="K224" s="11" t="inlineStr">
        <is>
          <t>no</t>
        </is>
      </c>
      <c r="L224" s="11" t="inlineStr"/>
    </row>
    <row r="225">
      <c r="A225" s="11" t="inlineStr">
        <is>
          <t>222</t>
        </is>
      </c>
      <c r="B225" s="11" t="inlineStr">
        <is>
          <t>33</t>
        </is>
      </c>
      <c r="C225" s="11" t="inlineStr">
        <is>
          <t>HC/tribunal/other</t>
        </is>
      </c>
      <c r="D225" s="11" t="inlineStr">
        <is>
          <t>no</t>
        </is>
      </c>
      <c r="E225" s="11" t="inlineStr">
        <is>
          <t>no</t>
        </is>
      </c>
      <c r="F225" s="11" t="inlineStr"/>
      <c r="G225" s="11" t="inlineStr"/>
      <c r="H225" s="11" t="inlineStr">
        <is>
          <t>c35911</t>
        </is>
      </c>
      <c r="I225" s="11" t="inlineStr">
        <is>
          <t>cite</t>
        </is>
      </c>
      <c r="J225" s="11" t="inlineStr">
        <is>
          <t>no</t>
        </is>
      </c>
      <c r="K225" s="11" t="inlineStr">
        <is>
          <t>no</t>
        </is>
      </c>
      <c r="L225" s="11" t="inlineStr"/>
    </row>
    <row r="226">
      <c r="A226" s="11" t="inlineStr">
        <is>
          <t>223</t>
        </is>
      </c>
      <c r="B226" s="11" t="inlineStr">
        <is>
          <t>34</t>
        </is>
      </c>
      <c r="C226" s="11" t="inlineStr">
        <is>
          <t>HC/tribunal/other</t>
        </is>
      </c>
      <c r="D226" s="11" t="inlineStr">
        <is>
          <t>no</t>
        </is>
      </c>
      <c r="E226" s="11" t="inlineStr">
        <is>
          <t>no</t>
        </is>
      </c>
      <c r="F226" s="11" t="inlineStr"/>
      <c r="G226" s="11" t="inlineStr"/>
      <c r="H226" s="11" t="inlineStr">
        <is>
          <t>c34663</t>
        </is>
      </c>
      <c r="I226" s="11" t="inlineStr">
        <is>
          <t>cite</t>
        </is>
      </c>
      <c r="J226" s="11" t="inlineStr">
        <is>
          <t>no</t>
        </is>
      </c>
      <c r="K226" s="11" t="inlineStr">
        <is>
          <t>no</t>
        </is>
      </c>
      <c r="L226" s="11" t="inlineStr"/>
    </row>
    <row r="227">
      <c r="A227" s="11" t="inlineStr">
        <is>
          <t>224</t>
        </is>
      </c>
      <c r="B227" s="11" t="inlineStr">
        <is>
          <t>34</t>
        </is>
      </c>
      <c r="C227" s="11" t="inlineStr">
        <is>
          <t>HC/tribunal/other</t>
        </is>
      </c>
      <c r="D227" s="11" t="inlineStr">
        <is>
          <t>no</t>
        </is>
      </c>
      <c r="E227" s="11" t="inlineStr">
        <is>
          <t>yes</t>
        </is>
      </c>
      <c r="F227" s="11" t="inlineStr"/>
      <c r="G227" s="11" t="inlineStr"/>
      <c r="H227" s="11" t="inlineStr">
        <is>
          <t>c1937</t>
        </is>
      </c>
      <c r="I227" s="11" t="inlineStr">
        <is>
          <t>cite</t>
        </is>
      </c>
      <c r="J227" s="11" t="inlineStr">
        <is>
          <t>no</t>
        </is>
      </c>
      <c r="K227" s="11" t="inlineStr">
        <is>
          <t>no</t>
        </is>
      </c>
      <c r="L227" s="11" t="inlineStr"/>
    </row>
    <row r="228">
      <c r="A228" s="11" t="inlineStr">
        <is>
          <t>225</t>
        </is>
      </c>
      <c r="B228" s="11" t="inlineStr">
        <is>
          <t>34</t>
        </is>
      </c>
      <c r="C228" s="11" t="inlineStr">
        <is>
          <t>HC/tribunal/other</t>
        </is>
      </c>
      <c r="D228" s="11" t="inlineStr">
        <is>
          <t>yes</t>
        </is>
      </c>
      <c r="E228" s="11" t="inlineStr">
        <is>
          <t>yes</t>
        </is>
      </c>
      <c r="F228" s="11" t="inlineStr"/>
      <c r="G228" s="11" t="inlineStr"/>
      <c r="H228" s="11" t="inlineStr">
        <is>
          <t>c32071</t>
        </is>
      </c>
      <c r="I228" s="11" t="inlineStr">
        <is>
          <t>name</t>
        </is>
      </c>
      <c r="J228" s="11" t="inlineStr">
        <is>
          <t>no</t>
        </is>
      </c>
      <c r="K228" s="11" t="inlineStr">
        <is>
          <t>no</t>
        </is>
      </c>
      <c r="L228" s="11" t="inlineStr"/>
    </row>
    <row r="229">
      <c r="A229" s="11" t="inlineStr">
        <is>
          <t>226</t>
        </is>
      </c>
      <c r="B229" s="11" t="inlineStr">
        <is>
          <t>34</t>
        </is>
      </c>
      <c r="C229" s="11" t="inlineStr">
        <is>
          <t>SC</t>
        </is>
      </c>
      <c r="D229" s="11" t="inlineStr">
        <is>
          <t>no</t>
        </is>
      </c>
      <c r="E229" s="11" t="inlineStr">
        <is>
          <t>no</t>
        </is>
      </c>
      <c r="F229" s="11" t="inlineStr">
        <is>
          <t>c1233</t>
        </is>
      </c>
      <c r="G229" s="11" t="inlineStr">
        <is>
          <t>cite</t>
        </is>
      </c>
      <c r="H229" s="11" t="inlineStr">
        <is>
          <t>c9438</t>
        </is>
      </c>
      <c r="I229" s="11" t="inlineStr">
        <is>
          <t>cite</t>
        </is>
      </c>
      <c r="J229" s="11" t="inlineStr">
        <is>
          <t>no</t>
        </is>
      </c>
      <c r="K229" s="11" t="inlineStr">
        <is>
          <t>yes</t>
        </is>
      </c>
      <c r="L229" s="11" t="inlineStr">
        <is>
          <t>tune</t>
        </is>
      </c>
    </row>
    <row r="230">
      <c r="A230" s="11" t="inlineStr">
        <is>
          <t>227</t>
        </is>
      </c>
      <c r="B230" s="11" t="inlineStr">
        <is>
          <t>34</t>
        </is>
      </c>
      <c r="C230" s="11" t="inlineStr">
        <is>
          <t>SC</t>
        </is>
      </c>
      <c r="D230" s="11" t="inlineStr">
        <is>
          <t>no</t>
        </is>
      </c>
      <c r="E230" s="11" t="inlineStr">
        <is>
          <t>yes</t>
        </is>
      </c>
      <c r="F230" s="11" t="inlineStr">
        <is>
          <t>c15373</t>
        </is>
      </c>
      <c r="G230" s="11" t="inlineStr">
        <is>
          <t>name</t>
        </is>
      </c>
      <c r="H230" s="11" t="inlineStr">
        <is>
          <t>c26613</t>
        </is>
      </c>
      <c r="I230" s="11" t="inlineStr">
        <is>
          <t>name</t>
        </is>
      </c>
      <c r="J230" s="11" t="inlineStr">
        <is>
          <t>no</t>
        </is>
      </c>
      <c r="K230" s="11" t="inlineStr">
        <is>
          <t>yes</t>
        </is>
      </c>
      <c r="L230" s="11" t="inlineStr">
        <is>
          <t>untouched</t>
        </is>
      </c>
    </row>
    <row r="231">
      <c r="A231" s="11" t="inlineStr">
        <is>
          <t>228</t>
        </is>
      </c>
      <c r="B231" s="11" t="inlineStr">
        <is>
          <t>34</t>
        </is>
      </c>
      <c r="C231" s="11" t="inlineStr">
        <is>
          <t>SC</t>
        </is>
      </c>
      <c r="D231" s="11" t="inlineStr">
        <is>
          <t>no</t>
        </is>
      </c>
      <c r="E231" s="11" t="inlineStr">
        <is>
          <t>yes</t>
        </is>
      </c>
      <c r="F231" s="11" t="inlineStr">
        <is>
          <t>c14705</t>
        </is>
      </c>
      <c r="G231" s="11" t="inlineStr">
        <is>
          <t>name</t>
        </is>
      </c>
      <c r="H231" s="11" t="inlineStr"/>
      <c r="I231" s="11" t="inlineStr"/>
      <c r="J231" s="11" t="inlineStr">
        <is>
          <t>no</t>
        </is>
      </c>
      <c r="K231" s="11" t="inlineStr">
        <is>
          <t>no</t>
        </is>
      </c>
      <c r="L231" s="11" t="inlineStr"/>
    </row>
    <row r="232">
      <c r="A232" s="11" t="inlineStr">
        <is>
          <t>229</t>
        </is>
      </c>
      <c r="B232" s="11" t="inlineStr">
        <is>
          <t>34</t>
        </is>
      </c>
      <c r="C232" s="11" t="inlineStr">
        <is>
          <t>SC</t>
        </is>
      </c>
      <c r="D232" s="11" t="inlineStr">
        <is>
          <t>no</t>
        </is>
      </c>
      <c r="E232" s="11" t="inlineStr">
        <is>
          <t>no</t>
        </is>
      </c>
      <c r="F232" s="11" t="inlineStr">
        <is>
          <t>c14186</t>
        </is>
      </c>
      <c r="G232" s="11" t="inlineStr">
        <is>
          <t>cite</t>
        </is>
      </c>
      <c r="H232" s="11" t="inlineStr">
        <is>
          <t>c15118</t>
        </is>
      </c>
      <c r="I232" s="11" t="inlineStr">
        <is>
          <t>name</t>
        </is>
      </c>
      <c r="J232" s="11" t="inlineStr">
        <is>
          <t>no</t>
        </is>
      </c>
      <c r="K232" s="11" t="inlineStr">
        <is>
          <t>no</t>
        </is>
      </c>
      <c r="L232" s="11" t="inlineStr"/>
    </row>
    <row r="233">
      <c r="A233" s="11" t="inlineStr">
        <is>
          <t>230</t>
        </is>
      </c>
      <c r="B233" s="11" t="inlineStr">
        <is>
          <t>35</t>
        </is>
      </c>
      <c r="C233" s="11" t="inlineStr">
        <is>
          <t>SC</t>
        </is>
      </c>
      <c r="D233" s="11" t="inlineStr">
        <is>
          <t>no</t>
        </is>
      </c>
      <c r="E233" s="11" t="inlineStr">
        <is>
          <t>yes</t>
        </is>
      </c>
      <c r="F233" s="11" t="inlineStr"/>
      <c r="G233" s="11" t="inlineStr"/>
      <c r="H233" s="11" t="inlineStr">
        <is>
          <t>c13324</t>
        </is>
      </c>
      <c r="I233" s="11" t="inlineStr">
        <is>
          <t>cite</t>
        </is>
      </c>
      <c r="J233" s="11" t="inlineStr">
        <is>
          <t>no</t>
        </is>
      </c>
      <c r="K233" s="11" t="inlineStr">
        <is>
          <t>no</t>
        </is>
      </c>
      <c r="L233" s="11" t="inlineStr"/>
    </row>
    <row r="234">
      <c r="A234" s="11" t="inlineStr">
        <is>
          <t>231</t>
        </is>
      </c>
      <c r="B234" s="11" t="inlineStr">
        <is>
          <t>35</t>
        </is>
      </c>
      <c r="C234" s="11" t="inlineStr">
        <is>
          <t>SC</t>
        </is>
      </c>
      <c r="D234" s="11" t="inlineStr">
        <is>
          <t>no</t>
        </is>
      </c>
      <c r="E234" s="11" t="inlineStr">
        <is>
          <t>no</t>
        </is>
      </c>
      <c r="F234" s="11" t="inlineStr">
        <is>
          <t>c15358</t>
        </is>
      </c>
      <c r="G234" s="11" t="inlineStr">
        <is>
          <t>name</t>
        </is>
      </c>
      <c r="H234" s="11" t="inlineStr">
        <is>
          <t>c26522</t>
        </is>
      </c>
      <c r="I234" s="11" t="inlineStr">
        <is>
          <t>name</t>
        </is>
      </c>
      <c r="J234" s="11" t="inlineStr">
        <is>
          <t>no</t>
        </is>
      </c>
      <c r="K234" s="11" t="inlineStr">
        <is>
          <t>yes</t>
        </is>
      </c>
      <c r="L234" s="11" t="inlineStr">
        <is>
          <t>untouched</t>
        </is>
      </c>
    </row>
    <row r="235">
      <c r="A235" s="11" t="inlineStr">
        <is>
          <t>232</t>
        </is>
      </c>
      <c r="B235" s="11" t="inlineStr">
        <is>
          <t>35</t>
        </is>
      </c>
      <c r="C235" s="11" t="inlineStr">
        <is>
          <t>SC</t>
        </is>
      </c>
      <c r="D235" s="11" t="inlineStr">
        <is>
          <t>no</t>
        </is>
      </c>
      <c r="E235" s="11" t="inlineStr">
        <is>
          <t>no</t>
        </is>
      </c>
      <c r="F235" s="11" t="inlineStr">
        <is>
          <t>c334</t>
        </is>
      </c>
      <c r="G235" s="11" t="inlineStr">
        <is>
          <t>cite</t>
        </is>
      </c>
      <c r="H235" s="11" t="inlineStr">
        <is>
          <t>c5680</t>
        </is>
      </c>
      <c r="I235" s="11" t="inlineStr">
        <is>
          <t>cite</t>
        </is>
      </c>
      <c r="J235" s="11" t="inlineStr">
        <is>
          <t>no</t>
        </is>
      </c>
      <c r="K235" s="11" t="inlineStr">
        <is>
          <t>yes</t>
        </is>
      </c>
      <c r="L235" s="11" t="inlineStr">
        <is>
          <t>tune</t>
        </is>
      </c>
    </row>
    <row r="236">
      <c r="A236" s="11" t="inlineStr">
        <is>
          <t>233</t>
        </is>
      </c>
      <c r="B236" s="11" t="inlineStr">
        <is>
          <t>35</t>
        </is>
      </c>
      <c r="C236" s="11" t="inlineStr">
        <is>
          <t>SC</t>
        </is>
      </c>
      <c r="D236" s="11" t="inlineStr">
        <is>
          <t>yes</t>
        </is>
      </c>
      <c r="E236" s="11" t="inlineStr">
        <is>
          <t>no</t>
        </is>
      </c>
      <c r="F236" s="11" t="inlineStr">
        <is>
          <t>bS_1992_3_768_785</t>
        </is>
      </c>
      <c r="G236" s="11" t="inlineStr">
        <is>
          <t>name</t>
        </is>
      </c>
      <c r="H236" s="11" t="inlineStr">
        <is>
          <t>c14261</t>
        </is>
      </c>
      <c r="I236" s="11" t="inlineStr">
        <is>
          <t>cite</t>
        </is>
      </c>
      <c r="J236" s="11" t="inlineStr">
        <is>
          <t>no</t>
        </is>
      </c>
      <c r="K236" s="11" t="inlineStr">
        <is>
          <t>yes</t>
        </is>
      </c>
      <c r="L236" s="11" t="inlineStr">
        <is>
          <t>untouched</t>
        </is>
      </c>
    </row>
    <row r="237">
      <c r="A237" s="11" t="inlineStr">
        <is>
          <t>234</t>
        </is>
      </c>
      <c r="B237" s="11" t="inlineStr">
        <is>
          <t>35</t>
        </is>
      </c>
      <c r="C237" s="11" t="inlineStr">
        <is>
          <t>SC</t>
        </is>
      </c>
      <c r="D237" s="11" t="inlineStr">
        <is>
          <t>no</t>
        </is>
      </c>
      <c r="E237" s="11" t="inlineStr">
        <is>
          <t>no</t>
        </is>
      </c>
      <c r="F237" s="11" t="inlineStr">
        <is>
          <t>c14133</t>
        </is>
      </c>
      <c r="G237" s="11" t="inlineStr">
        <is>
          <t>cite</t>
        </is>
      </c>
      <c r="H237" s="11" t="inlineStr">
        <is>
          <t>c30319</t>
        </is>
      </c>
      <c r="I237" s="11" t="inlineStr">
        <is>
          <t>cite</t>
        </is>
      </c>
      <c r="J237" s="11" t="inlineStr">
        <is>
          <t>no</t>
        </is>
      </c>
      <c r="K237" s="11" t="inlineStr">
        <is>
          <t>yes</t>
        </is>
      </c>
      <c r="L237" s="11" t="inlineStr">
        <is>
          <t>tune</t>
        </is>
      </c>
    </row>
    <row r="238">
      <c r="A238" s="11" t="inlineStr">
        <is>
          <t>235</t>
        </is>
      </c>
      <c r="B238" s="11" t="inlineStr">
        <is>
          <t>35</t>
        </is>
      </c>
      <c r="C238" s="11" t="inlineStr">
        <is>
          <t>SC</t>
        </is>
      </c>
      <c r="D238" s="11" t="inlineStr">
        <is>
          <t>no</t>
        </is>
      </c>
      <c r="E238" s="11" t="inlineStr">
        <is>
          <t>no</t>
        </is>
      </c>
      <c r="F238" s="11" t="inlineStr">
        <is>
          <t>c15809</t>
        </is>
      </c>
      <c r="G238" s="11" t="inlineStr">
        <is>
          <t>cite</t>
        </is>
      </c>
      <c r="H238" s="11" t="inlineStr">
        <is>
          <t>c17740</t>
        </is>
      </c>
      <c r="I238" s="11" t="inlineStr">
        <is>
          <t>cite</t>
        </is>
      </c>
      <c r="J238" s="11" t="inlineStr">
        <is>
          <t>no</t>
        </is>
      </c>
      <c r="K238" s="11" t="inlineStr">
        <is>
          <t>yes</t>
        </is>
      </c>
      <c r="L238" s="11" t="inlineStr">
        <is>
          <t>untouched</t>
        </is>
      </c>
    </row>
    <row r="239">
      <c r="A239" s="11" t="inlineStr">
        <is>
          <t>236</t>
        </is>
      </c>
      <c r="B239" s="11" t="inlineStr">
        <is>
          <t>36</t>
        </is>
      </c>
      <c r="C239" s="11" t="inlineStr">
        <is>
          <t>SC</t>
        </is>
      </c>
      <c r="D239" s="11" t="inlineStr">
        <is>
          <t>no</t>
        </is>
      </c>
      <c r="E239" s="11" t="inlineStr">
        <is>
          <t>no</t>
        </is>
      </c>
      <c r="F239" s="11" t="inlineStr">
        <is>
          <t>c7352</t>
        </is>
      </c>
      <c r="G239" s="11" t="inlineStr">
        <is>
          <t>cite</t>
        </is>
      </c>
      <c r="H239" s="11" t="inlineStr"/>
      <c r="I239" s="11" t="inlineStr"/>
      <c r="J239" s="11" t="inlineStr">
        <is>
          <t>no</t>
        </is>
      </c>
      <c r="K239" s="11" t="inlineStr">
        <is>
          <t>no</t>
        </is>
      </c>
      <c r="L239" s="11" t="inlineStr"/>
    </row>
    <row r="240">
      <c r="A240" s="11" t="inlineStr">
        <is>
          <t>237</t>
        </is>
      </c>
      <c r="B240" s="11" t="inlineStr">
        <is>
          <t>36</t>
        </is>
      </c>
      <c r="C240" s="11" t="inlineStr">
        <is>
          <t>SC</t>
        </is>
      </c>
      <c r="D240" s="11" t="inlineStr">
        <is>
          <t>no</t>
        </is>
      </c>
      <c r="E240" s="11" t="inlineStr">
        <is>
          <t>no</t>
        </is>
      </c>
      <c r="F240" s="11" t="inlineStr">
        <is>
          <t>c4751</t>
        </is>
      </c>
      <c r="G240" s="11" t="inlineStr">
        <is>
          <t>cite</t>
        </is>
      </c>
      <c r="H240" s="11" t="inlineStr">
        <is>
          <t>c7515</t>
        </is>
      </c>
      <c r="I240" s="11" t="inlineStr">
        <is>
          <t>cite</t>
        </is>
      </c>
      <c r="J240" s="11" t="inlineStr">
        <is>
          <t>no</t>
        </is>
      </c>
      <c r="K240" s="11" t="inlineStr">
        <is>
          <t>yes</t>
        </is>
      </c>
      <c r="L240" s="11" t="inlineStr">
        <is>
          <t>untouched</t>
        </is>
      </c>
    </row>
    <row r="241">
      <c r="A241" s="11" t="inlineStr">
        <is>
          <t>238</t>
        </is>
      </c>
      <c r="B241" s="11" t="inlineStr">
        <is>
          <t>36</t>
        </is>
      </c>
      <c r="C241" s="11" t="inlineStr">
        <is>
          <t>SC</t>
        </is>
      </c>
      <c r="D241" s="11" t="inlineStr">
        <is>
          <t>no</t>
        </is>
      </c>
      <c r="E241" s="11" t="inlineStr">
        <is>
          <t>no</t>
        </is>
      </c>
      <c r="F241" s="11" t="inlineStr">
        <is>
          <t>c7262</t>
        </is>
      </c>
      <c r="G241" s="11" t="inlineStr">
        <is>
          <t>cite</t>
        </is>
      </c>
      <c r="H241" s="11" t="inlineStr">
        <is>
          <t>c9438</t>
        </is>
      </c>
      <c r="I241" s="11" t="inlineStr">
        <is>
          <t>cite</t>
        </is>
      </c>
      <c r="J241" s="11" t="inlineStr">
        <is>
          <t>no</t>
        </is>
      </c>
      <c r="K241" s="11" t="inlineStr">
        <is>
          <t>yes</t>
        </is>
      </c>
      <c r="L241" s="11" t="inlineStr">
        <is>
          <t>tune</t>
        </is>
      </c>
    </row>
    <row r="242">
      <c r="A242" s="11" t="inlineStr">
        <is>
          <t>239</t>
        </is>
      </c>
      <c r="B242" s="11" t="inlineStr">
        <is>
          <t>36</t>
        </is>
      </c>
      <c r="C242" s="11" t="inlineStr">
        <is>
          <t>SC</t>
        </is>
      </c>
      <c r="D242" s="11" t="inlineStr">
        <is>
          <t>no</t>
        </is>
      </c>
      <c r="E242" s="11" t="inlineStr">
        <is>
          <t>no</t>
        </is>
      </c>
      <c r="F242" s="11" t="inlineStr">
        <is>
          <t>c10167</t>
        </is>
      </c>
      <c r="G242" s="11" t="inlineStr">
        <is>
          <t>cite</t>
        </is>
      </c>
      <c r="H242" s="11" t="inlineStr">
        <is>
          <t>c27500</t>
        </is>
      </c>
      <c r="I242" s="11" t="inlineStr">
        <is>
          <t>name</t>
        </is>
      </c>
      <c r="J242" s="11" t="inlineStr">
        <is>
          <t>no</t>
        </is>
      </c>
      <c r="K242" s="11" t="inlineStr">
        <is>
          <t>yes</t>
        </is>
      </c>
      <c r="L242" s="11" t="inlineStr">
        <is>
          <t>untouched</t>
        </is>
      </c>
    </row>
    <row r="243">
      <c r="A243" s="11" t="inlineStr">
        <is>
          <t>240</t>
        </is>
      </c>
      <c r="B243" s="11" t="inlineStr">
        <is>
          <t>36</t>
        </is>
      </c>
      <c r="C243" s="11" t="inlineStr">
        <is>
          <t>SC</t>
        </is>
      </c>
      <c r="D243" s="11" t="inlineStr">
        <is>
          <t>no</t>
        </is>
      </c>
      <c r="E243" s="11" t="inlineStr">
        <is>
          <t>no</t>
        </is>
      </c>
      <c r="F243" s="11" t="inlineStr">
        <is>
          <t>c27577</t>
        </is>
      </c>
      <c r="G243" s="11" t="inlineStr">
        <is>
          <t>name</t>
        </is>
      </c>
      <c r="H243" s="11" t="inlineStr">
        <is>
          <t>c42483</t>
        </is>
      </c>
      <c r="I243" s="11" t="inlineStr">
        <is>
          <t>name</t>
        </is>
      </c>
      <c r="J243" s="11" t="inlineStr">
        <is>
          <t>no</t>
        </is>
      </c>
      <c r="K243" s="11" t="inlineStr">
        <is>
          <t>yes</t>
        </is>
      </c>
      <c r="L243" s="11" t="inlineStr">
        <is>
          <t>tune</t>
        </is>
      </c>
    </row>
    <row r="244">
      <c r="A244" s="11" t="inlineStr">
        <is>
          <t>241</t>
        </is>
      </c>
      <c r="B244" s="11" t="inlineStr">
        <is>
          <t>36</t>
        </is>
      </c>
      <c r="C244" s="11" t="inlineStr">
        <is>
          <t>SC</t>
        </is>
      </c>
      <c r="D244" s="11" t="inlineStr">
        <is>
          <t>no</t>
        </is>
      </c>
      <c r="E244" s="11" t="inlineStr">
        <is>
          <t>no</t>
        </is>
      </c>
      <c r="F244" s="11" t="inlineStr"/>
      <c r="G244" s="11" t="inlineStr"/>
      <c r="H244" s="11" t="inlineStr">
        <is>
          <t>c9438</t>
        </is>
      </c>
      <c r="I244" s="11" t="inlineStr">
        <is>
          <t>cite</t>
        </is>
      </c>
      <c r="J244" s="11" t="inlineStr">
        <is>
          <t>no</t>
        </is>
      </c>
      <c r="K244" s="11" t="inlineStr">
        <is>
          <t>no</t>
        </is>
      </c>
      <c r="L244" s="11" t="inlineStr"/>
    </row>
    <row r="245">
      <c r="A245" s="11" t="inlineStr">
        <is>
          <t>242</t>
        </is>
      </c>
      <c r="B245" s="11" t="inlineStr">
        <is>
          <t>36</t>
        </is>
      </c>
      <c r="C245" s="11" t="inlineStr">
        <is>
          <t>SC</t>
        </is>
      </c>
      <c r="D245" s="11" t="inlineStr">
        <is>
          <t>no</t>
        </is>
      </c>
      <c r="E245" s="11" t="inlineStr">
        <is>
          <t>no</t>
        </is>
      </c>
      <c r="F245" s="11" t="inlineStr">
        <is>
          <t>c5448</t>
        </is>
      </c>
      <c r="G245" s="11" t="inlineStr">
        <is>
          <t>cite</t>
        </is>
      </c>
      <c r="H245" s="11" t="inlineStr">
        <is>
          <t>c5442</t>
        </is>
      </c>
      <c r="I245" s="11" t="inlineStr">
        <is>
          <t>cite</t>
        </is>
      </c>
      <c r="J245" s="11" t="inlineStr">
        <is>
          <t>no</t>
        </is>
      </c>
      <c r="K245" s="11" t="inlineStr">
        <is>
          <t>yes</t>
        </is>
      </c>
      <c r="L245" s="11" t="inlineStr">
        <is>
          <t>tune</t>
        </is>
      </c>
    </row>
    <row r="246">
      <c r="A246" s="11" t="inlineStr">
        <is>
          <t>243</t>
        </is>
      </c>
      <c r="B246" s="11" t="inlineStr">
        <is>
          <t>37</t>
        </is>
      </c>
      <c r="C246" s="11" t="inlineStr">
        <is>
          <t>SC</t>
        </is>
      </c>
      <c r="D246" s="11" t="inlineStr">
        <is>
          <t>no</t>
        </is>
      </c>
      <c r="E246" s="11" t="inlineStr">
        <is>
          <t>no</t>
        </is>
      </c>
      <c r="F246" s="11" t="inlineStr">
        <is>
          <t>c2653</t>
        </is>
      </c>
      <c r="G246" s="11" t="inlineStr">
        <is>
          <t>cite</t>
        </is>
      </c>
      <c r="H246" s="11" t="inlineStr">
        <is>
          <t>c5933</t>
        </is>
      </c>
      <c r="I246" s="11" t="inlineStr">
        <is>
          <t>cite</t>
        </is>
      </c>
      <c r="J246" s="11" t="inlineStr">
        <is>
          <t>no</t>
        </is>
      </c>
      <c r="K246" s="11" t="inlineStr">
        <is>
          <t>yes</t>
        </is>
      </c>
      <c r="L246" s="11" t="inlineStr">
        <is>
          <t>untouched</t>
        </is>
      </c>
    </row>
    <row r="247">
      <c r="A247" s="11" t="inlineStr">
        <is>
          <t>244</t>
        </is>
      </c>
      <c r="B247" s="11" t="inlineStr">
        <is>
          <t>37</t>
        </is>
      </c>
      <c r="C247" s="11" t="inlineStr">
        <is>
          <t>SC</t>
        </is>
      </c>
      <c r="D247" s="11" t="inlineStr">
        <is>
          <t>no</t>
        </is>
      </c>
      <c r="E247" s="11" t="inlineStr">
        <is>
          <t>yes</t>
        </is>
      </c>
      <c r="F247" s="11" t="inlineStr">
        <is>
          <t>c2500</t>
        </is>
      </c>
      <c r="G247" s="11" t="inlineStr">
        <is>
          <t>cite</t>
        </is>
      </c>
      <c r="H247" s="11" t="inlineStr">
        <is>
          <t>c2238</t>
        </is>
      </c>
      <c r="I247" s="11" t="inlineStr">
        <is>
          <t>cite</t>
        </is>
      </c>
      <c r="J247" s="11" t="inlineStr">
        <is>
          <t>no</t>
        </is>
      </c>
      <c r="K247" s="11" t="inlineStr">
        <is>
          <t>yes</t>
        </is>
      </c>
      <c r="L247" s="11" t="inlineStr">
        <is>
          <t>tune</t>
        </is>
      </c>
    </row>
    <row r="248">
      <c r="A248" s="11" t="inlineStr">
        <is>
          <t>245</t>
        </is>
      </c>
      <c r="B248" s="11" t="inlineStr">
        <is>
          <t>37</t>
        </is>
      </c>
      <c r="C248" s="11" t="inlineStr">
        <is>
          <t>SC</t>
        </is>
      </c>
      <c r="D248" s="11" t="inlineStr">
        <is>
          <t>no</t>
        </is>
      </c>
      <c r="E248" s="11" t="inlineStr">
        <is>
          <t>no</t>
        </is>
      </c>
      <c r="F248" s="11" t="inlineStr">
        <is>
          <t>c16548</t>
        </is>
      </c>
      <c r="G248" s="11" t="inlineStr">
        <is>
          <t>cite</t>
        </is>
      </c>
      <c r="H248" s="11" t="inlineStr">
        <is>
          <t>c17565</t>
        </is>
      </c>
      <c r="I248" s="11" t="inlineStr">
        <is>
          <t>cite</t>
        </is>
      </c>
      <c r="J248" s="11" t="inlineStr">
        <is>
          <t>no</t>
        </is>
      </c>
      <c r="K248" s="11" t="inlineStr">
        <is>
          <t>yes</t>
        </is>
      </c>
      <c r="L248" s="11" t="inlineStr">
        <is>
          <t>untouched</t>
        </is>
      </c>
    </row>
    <row r="249">
      <c r="A249" s="11" t="inlineStr">
        <is>
          <t>246</t>
        </is>
      </c>
      <c r="B249" s="11" t="inlineStr">
        <is>
          <t>37</t>
        </is>
      </c>
      <c r="C249" s="11" t="inlineStr">
        <is>
          <t>SC</t>
        </is>
      </c>
      <c r="D249" s="11" t="inlineStr">
        <is>
          <t>no</t>
        </is>
      </c>
      <c r="E249" s="11" t="inlineStr">
        <is>
          <t>yes</t>
        </is>
      </c>
      <c r="F249" s="11" t="inlineStr">
        <is>
          <t>c3342</t>
        </is>
      </c>
      <c r="G249" s="11" t="inlineStr">
        <is>
          <t>cite</t>
        </is>
      </c>
      <c r="H249" s="11" t="inlineStr">
        <is>
          <t>c8193</t>
        </is>
      </c>
      <c r="I249" s="11" t="inlineStr">
        <is>
          <t>cite</t>
        </is>
      </c>
      <c r="J249" s="11" t="inlineStr">
        <is>
          <t>no</t>
        </is>
      </c>
      <c r="K249" s="11" t="inlineStr">
        <is>
          <t>yes</t>
        </is>
      </c>
      <c r="L249" s="11" t="inlineStr">
        <is>
          <t>tune</t>
        </is>
      </c>
    </row>
    <row r="250">
      <c r="A250" s="11" t="inlineStr">
        <is>
          <t>247</t>
        </is>
      </c>
      <c r="B250" s="11" t="inlineStr">
        <is>
          <t>37</t>
        </is>
      </c>
      <c r="C250" s="11" t="inlineStr">
        <is>
          <t>SC</t>
        </is>
      </c>
      <c r="D250" s="11" t="inlineStr">
        <is>
          <t>no</t>
        </is>
      </c>
      <c r="E250" s="11" t="inlineStr">
        <is>
          <t>yes</t>
        </is>
      </c>
      <c r="F250" s="11" t="inlineStr">
        <is>
          <t>c151</t>
        </is>
      </c>
      <c r="G250" s="11" t="inlineStr">
        <is>
          <t>cite</t>
        </is>
      </c>
      <c r="H250" s="11" t="inlineStr">
        <is>
          <t>c2507</t>
        </is>
      </c>
      <c r="I250" s="11" t="inlineStr">
        <is>
          <t>cite</t>
        </is>
      </c>
      <c r="J250" s="11" t="inlineStr">
        <is>
          <t>no</t>
        </is>
      </c>
      <c r="K250" s="11" t="inlineStr">
        <is>
          <t>yes</t>
        </is>
      </c>
      <c r="L250" s="11" t="inlineStr">
        <is>
          <t>untouched</t>
        </is>
      </c>
    </row>
    <row r="251">
      <c r="A251" s="11" t="inlineStr">
        <is>
          <t>248</t>
        </is>
      </c>
      <c r="B251" s="11" t="inlineStr">
        <is>
          <t>37</t>
        </is>
      </c>
      <c r="C251" s="11" t="inlineStr">
        <is>
          <t>SC</t>
        </is>
      </c>
      <c r="D251" s="11" t="inlineStr">
        <is>
          <t>no</t>
        </is>
      </c>
      <c r="E251" s="11" t="inlineStr">
        <is>
          <t>no</t>
        </is>
      </c>
      <c r="F251" s="11" t="inlineStr">
        <is>
          <t>c429</t>
        </is>
      </c>
      <c r="G251" s="11" t="inlineStr">
        <is>
          <t>cite</t>
        </is>
      </c>
      <c r="H251" s="11" t="inlineStr">
        <is>
          <t>c12419</t>
        </is>
      </c>
      <c r="I251" s="11" t="inlineStr">
        <is>
          <t>cite</t>
        </is>
      </c>
      <c r="J251" s="11" t="inlineStr">
        <is>
          <t>no</t>
        </is>
      </c>
      <c r="K251" s="11" t="inlineStr">
        <is>
          <t>yes</t>
        </is>
      </c>
      <c r="L251" s="11" t="inlineStr">
        <is>
          <t>tune</t>
        </is>
      </c>
    </row>
    <row r="252">
      <c r="A252" s="11" t="inlineStr">
        <is>
          <t>249</t>
        </is>
      </c>
      <c r="B252" s="11" t="inlineStr">
        <is>
          <t>37</t>
        </is>
      </c>
      <c r="C252" s="11" t="inlineStr">
        <is>
          <t>SC</t>
        </is>
      </c>
      <c r="D252" s="11" t="inlineStr">
        <is>
          <t>no</t>
        </is>
      </c>
      <c r="E252" s="11" t="inlineStr">
        <is>
          <t>no</t>
        </is>
      </c>
      <c r="F252" s="11" t="inlineStr">
        <is>
          <t>c29102</t>
        </is>
      </c>
      <c r="G252" s="11" t="inlineStr">
        <is>
          <t>cite</t>
        </is>
      </c>
      <c r="H252" s="11" t="inlineStr"/>
      <c r="I252" s="11" t="inlineStr"/>
      <c r="J252" s="11" t="inlineStr">
        <is>
          <t>no</t>
        </is>
      </c>
      <c r="K252" s="11" t="inlineStr">
        <is>
          <t>no</t>
        </is>
      </c>
      <c r="L252" s="11" t="inlineStr"/>
    </row>
    <row r="253">
      <c r="A253" s="11" t="inlineStr">
        <is>
          <t>250</t>
        </is>
      </c>
      <c r="B253" s="11" t="inlineStr">
        <is>
          <t>38</t>
        </is>
      </c>
      <c r="C253" s="11" t="inlineStr">
        <is>
          <t>SC</t>
        </is>
      </c>
      <c r="D253" s="11" t="inlineStr">
        <is>
          <t>no</t>
        </is>
      </c>
      <c r="E253" s="11" t="inlineStr">
        <is>
          <t>no</t>
        </is>
      </c>
      <c r="F253" s="11" t="inlineStr">
        <is>
          <t>c16190</t>
        </is>
      </c>
      <c r="G253" s="11" t="inlineStr">
        <is>
          <t>cite</t>
        </is>
      </c>
      <c r="H253" s="11" t="inlineStr">
        <is>
          <t>c13369</t>
        </is>
      </c>
      <c r="I253" s="11" t="inlineStr">
        <is>
          <t>cite</t>
        </is>
      </c>
      <c r="J253" s="11" t="inlineStr">
        <is>
          <t>yes</t>
        </is>
      </c>
      <c r="K253" s="11" t="inlineStr">
        <is>
          <t>no</t>
        </is>
      </c>
      <c r="L253" s="11" t="inlineStr"/>
    </row>
    <row r="254">
      <c r="A254" s="11" t="inlineStr">
        <is>
          <t>251</t>
        </is>
      </c>
      <c r="B254" s="11" t="inlineStr">
        <is>
          <t>38</t>
        </is>
      </c>
      <c r="C254" s="11" t="inlineStr">
        <is>
          <t>SC</t>
        </is>
      </c>
      <c r="D254" s="11" t="inlineStr">
        <is>
          <t>yes</t>
        </is>
      </c>
      <c r="E254" s="11" t="inlineStr">
        <is>
          <t>no</t>
        </is>
      </c>
      <c r="F254" s="11" t="inlineStr">
        <is>
          <t>c14192</t>
        </is>
      </c>
      <c r="G254" s="11" t="inlineStr">
        <is>
          <t>cite</t>
        </is>
      </c>
      <c r="H254" s="11" t="inlineStr">
        <is>
          <t>c16578</t>
        </is>
      </c>
      <c r="I254" s="11" t="inlineStr">
        <is>
          <t>name</t>
        </is>
      </c>
      <c r="J254" s="11" t="inlineStr">
        <is>
          <t>no</t>
        </is>
      </c>
      <c r="K254" s="11" t="inlineStr">
        <is>
          <t>yes</t>
        </is>
      </c>
      <c r="L254" s="11" t="inlineStr">
        <is>
          <t>untouched</t>
        </is>
      </c>
    </row>
    <row r="255">
      <c r="A255" s="11" t="inlineStr">
        <is>
          <t>252</t>
        </is>
      </c>
      <c r="B255" s="11" t="inlineStr">
        <is>
          <t>38</t>
        </is>
      </c>
      <c r="C255" s="11" t="inlineStr">
        <is>
          <t>SC</t>
        </is>
      </c>
      <c r="D255" s="11" t="inlineStr">
        <is>
          <t>no</t>
        </is>
      </c>
      <c r="E255" s="11" t="inlineStr">
        <is>
          <t>no</t>
        </is>
      </c>
      <c r="F255" s="11" t="inlineStr"/>
      <c r="G255" s="11" t="inlineStr"/>
      <c r="H255" s="11" t="inlineStr"/>
      <c r="I255" s="11" t="inlineStr"/>
      <c r="J255" s="11" t="inlineStr">
        <is>
          <t>no</t>
        </is>
      </c>
      <c r="K255" s="11" t="inlineStr">
        <is>
          <t>no</t>
        </is>
      </c>
      <c r="L255" s="11" t="inlineStr"/>
    </row>
    <row r="256">
      <c r="A256" s="11" t="inlineStr">
        <is>
          <t>253</t>
        </is>
      </c>
      <c r="B256" s="11" t="inlineStr">
        <is>
          <t>38</t>
        </is>
      </c>
      <c r="C256" s="11" t="inlineStr">
        <is>
          <t>SC</t>
        </is>
      </c>
      <c r="D256" s="11" t="inlineStr">
        <is>
          <t>no</t>
        </is>
      </c>
      <c r="E256" s="11" t="inlineStr">
        <is>
          <t>no</t>
        </is>
      </c>
      <c r="F256" s="11" t="inlineStr"/>
      <c r="G256" s="11" t="inlineStr"/>
      <c r="H256" s="11" t="inlineStr">
        <is>
          <t>c20726</t>
        </is>
      </c>
      <c r="I256" s="11" t="inlineStr">
        <is>
          <t>cite</t>
        </is>
      </c>
      <c r="J256" s="11" t="inlineStr">
        <is>
          <t>no</t>
        </is>
      </c>
      <c r="K256" s="11" t="inlineStr">
        <is>
          <t>no</t>
        </is>
      </c>
      <c r="L256" s="11" t="inlineStr"/>
    </row>
    <row r="257">
      <c r="A257" s="11" t="inlineStr">
        <is>
          <t>254</t>
        </is>
      </c>
      <c r="B257" s="11" t="inlineStr">
        <is>
          <t>38</t>
        </is>
      </c>
      <c r="C257" s="11" t="inlineStr">
        <is>
          <t>SC</t>
        </is>
      </c>
      <c r="D257" s="11" t="inlineStr">
        <is>
          <t>no</t>
        </is>
      </c>
      <c r="E257" s="11" t="inlineStr">
        <is>
          <t>no</t>
        </is>
      </c>
      <c r="F257" s="11" t="inlineStr">
        <is>
          <t>c15220</t>
        </is>
      </c>
      <c r="G257" s="11" t="inlineStr">
        <is>
          <t>name</t>
        </is>
      </c>
      <c r="H257" s="11" t="inlineStr">
        <is>
          <t>c18319</t>
        </is>
      </c>
      <c r="I257" s="11" t="inlineStr">
        <is>
          <t>cite</t>
        </is>
      </c>
      <c r="J257" s="11" t="inlineStr">
        <is>
          <t>no</t>
        </is>
      </c>
      <c r="K257" s="11" t="inlineStr">
        <is>
          <t>yes</t>
        </is>
      </c>
      <c r="L257" s="11" t="inlineStr">
        <is>
          <t>tune</t>
        </is>
      </c>
    </row>
    <row r="258">
      <c r="A258" s="11" t="inlineStr">
        <is>
          <t>255</t>
        </is>
      </c>
      <c r="B258" s="11" t="inlineStr">
        <is>
          <t>39</t>
        </is>
      </c>
      <c r="C258" s="11" t="inlineStr">
        <is>
          <t>SC</t>
        </is>
      </c>
      <c r="D258" s="11" t="inlineStr">
        <is>
          <t>no</t>
        </is>
      </c>
      <c r="E258" s="11" t="inlineStr">
        <is>
          <t>no</t>
        </is>
      </c>
      <c r="F258" s="11" t="inlineStr">
        <is>
          <t>c16042</t>
        </is>
      </c>
      <c r="G258" s="11" t="inlineStr">
        <is>
          <t>cite</t>
        </is>
      </c>
      <c r="H258" s="11" t="inlineStr">
        <is>
          <t>c13240</t>
        </is>
      </c>
      <c r="I258" s="11" t="inlineStr">
        <is>
          <t>cite</t>
        </is>
      </c>
      <c r="J258" s="11" t="inlineStr">
        <is>
          <t>no</t>
        </is>
      </c>
      <c r="K258" s="11" t="inlineStr">
        <is>
          <t>yes</t>
        </is>
      </c>
      <c r="L258" s="11" t="inlineStr">
        <is>
          <t>untouched</t>
        </is>
      </c>
    </row>
    <row r="259">
      <c r="A259" s="11" t="inlineStr">
        <is>
          <t>256</t>
        </is>
      </c>
      <c r="B259" s="11" t="inlineStr">
        <is>
          <t>39</t>
        </is>
      </c>
      <c r="C259" s="11" t="inlineStr">
        <is>
          <t>SC</t>
        </is>
      </c>
      <c r="D259" s="11" t="inlineStr">
        <is>
          <t>no</t>
        </is>
      </c>
      <c r="E259" s="11" t="inlineStr">
        <is>
          <t>yes</t>
        </is>
      </c>
      <c r="F259" s="11" t="inlineStr"/>
      <c r="G259" s="11" t="inlineStr"/>
      <c r="H259" s="11" t="inlineStr">
        <is>
          <t>c26810</t>
        </is>
      </c>
      <c r="I259" s="11" t="inlineStr">
        <is>
          <t>cite</t>
        </is>
      </c>
      <c r="J259" s="11" t="inlineStr">
        <is>
          <t>no</t>
        </is>
      </c>
      <c r="K259" s="11" t="inlineStr">
        <is>
          <t>no</t>
        </is>
      </c>
      <c r="L259" s="11" t="inlineStr"/>
    </row>
    <row r="260">
      <c r="A260" s="11" t="inlineStr">
        <is>
          <t>257</t>
        </is>
      </c>
      <c r="B260" s="11" t="inlineStr">
        <is>
          <t>39</t>
        </is>
      </c>
      <c r="C260" s="11" t="inlineStr">
        <is>
          <t>SC</t>
        </is>
      </c>
      <c r="D260" s="11" t="inlineStr">
        <is>
          <t>no</t>
        </is>
      </c>
      <c r="E260" s="11" t="inlineStr">
        <is>
          <t>no</t>
        </is>
      </c>
      <c r="F260" s="11" t="inlineStr">
        <is>
          <t>c10403</t>
        </is>
      </c>
      <c r="G260" s="11" t="inlineStr">
        <is>
          <t>name</t>
        </is>
      </c>
      <c r="H260" s="11" t="inlineStr">
        <is>
          <t>c20387</t>
        </is>
      </c>
      <c r="I260" s="11" t="inlineStr">
        <is>
          <t>cite</t>
        </is>
      </c>
      <c r="J260" s="11" t="inlineStr">
        <is>
          <t>no</t>
        </is>
      </c>
      <c r="K260" s="11" t="inlineStr">
        <is>
          <t>yes</t>
        </is>
      </c>
      <c r="L260" s="11" t="inlineStr">
        <is>
          <t>untouched</t>
        </is>
      </c>
    </row>
    <row r="261">
      <c r="A261" s="11" t="inlineStr">
        <is>
          <t>258</t>
        </is>
      </c>
      <c r="B261" s="11" t="inlineStr">
        <is>
          <t>39</t>
        </is>
      </c>
      <c r="C261" s="11" t="inlineStr">
        <is>
          <t>SC</t>
        </is>
      </c>
      <c r="D261" s="11" t="inlineStr">
        <is>
          <t>no</t>
        </is>
      </c>
      <c r="E261" s="11" t="inlineStr">
        <is>
          <t>no</t>
        </is>
      </c>
      <c r="F261" s="11" t="inlineStr">
        <is>
          <t>c14590</t>
        </is>
      </c>
      <c r="G261" s="11" t="inlineStr">
        <is>
          <t>name</t>
        </is>
      </c>
      <c r="H261" s="11" t="inlineStr">
        <is>
          <t>c13784</t>
        </is>
      </c>
      <c r="I261" s="11" t="inlineStr">
        <is>
          <t>name</t>
        </is>
      </c>
      <c r="J261" s="11" t="inlineStr">
        <is>
          <t>no</t>
        </is>
      </c>
      <c r="K261" s="11" t="inlineStr">
        <is>
          <t>yes</t>
        </is>
      </c>
      <c r="L261" s="11" t="inlineStr">
        <is>
          <t>tune</t>
        </is>
      </c>
    </row>
    <row r="262">
      <c r="A262" s="11" t="inlineStr">
        <is>
          <t>259</t>
        </is>
      </c>
      <c r="B262" s="11" t="inlineStr">
        <is>
          <t>39</t>
        </is>
      </c>
      <c r="C262" s="11" t="inlineStr">
        <is>
          <t>SC</t>
        </is>
      </c>
      <c r="D262" s="11" t="inlineStr">
        <is>
          <t>yes</t>
        </is>
      </c>
      <c r="E262" s="11" t="inlineStr">
        <is>
          <t>no</t>
        </is>
      </c>
      <c r="F262" s="11" t="inlineStr"/>
      <c r="G262" s="11" t="inlineStr"/>
      <c r="H262" s="11" t="inlineStr">
        <is>
          <t>c16776</t>
        </is>
      </c>
      <c r="I262" s="11" t="inlineStr">
        <is>
          <t>cite</t>
        </is>
      </c>
      <c r="J262" s="11" t="inlineStr">
        <is>
          <t>no</t>
        </is>
      </c>
      <c r="K262" s="11" t="inlineStr">
        <is>
          <t>no</t>
        </is>
      </c>
      <c r="L262" s="11" t="inlineStr"/>
    </row>
    <row r="263">
      <c r="A263" s="11" t="inlineStr">
        <is>
          <t>260</t>
        </is>
      </c>
      <c r="B263" s="11" t="inlineStr">
        <is>
          <t>39</t>
        </is>
      </c>
      <c r="C263" s="11" t="inlineStr">
        <is>
          <t>HC/tribunal/other</t>
        </is>
      </c>
      <c r="D263" s="11" t="inlineStr">
        <is>
          <t>yes</t>
        </is>
      </c>
      <c r="E263" s="11" t="inlineStr">
        <is>
          <t>no</t>
        </is>
      </c>
      <c r="F263" s="11" t="inlineStr"/>
      <c r="G263" s="11" t="inlineStr"/>
      <c r="H263" s="11" t="inlineStr">
        <is>
          <t>c6689</t>
        </is>
      </c>
      <c r="I263" s="11" t="inlineStr">
        <is>
          <t>cite</t>
        </is>
      </c>
      <c r="J263" s="11" t="inlineStr">
        <is>
          <t>no</t>
        </is>
      </c>
      <c r="K263" s="11" t="inlineStr">
        <is>
          <t>no</t>
        </is>
      </c>
      <c r="L263" s="11" t="inlineStr"/>
    </row>
    <row r="264">
      <c r="A264" s="11" t="inlineStr">
        <is>
          <t>261</t>
        </is>
      </c>
      <c r="B264" s="11" t="inlineStr">
        <is>
          <t>40</t>
        </is>
      </c>
      <c r="C264" s="11" t="inlineStr">
        <is>
          <t>SC</t>
        </is>
      </c>
      <c r="D264" s="11" t="inlineStr">
        <is>
          <t>no</t>
        </is>
      </c>
      <c r="E264" s="11" t="inlineStr">
        <is>
          <t>yes</t>
        </is>
      </c>
      <c r="F264" s="11" t="inlineStr"/>
      <c r="G264" s="11" t="inlineStr"/>
      <c r="H264" s="11" t="inlineStr"/>
      <c r="I264" s="11" t="inlineStr"/>
      <c r="J264" s="11" t="inlineStr">
        <is>
          <t>no</t>
        </is>
      </c>
      <c r="K264" s="11" t="inlineStr">
        <is>
          <t>no</t>
        </is>
      </c>
      <c r="L264" s="11" t="inlineStr"/>
    </row>
    <row r="265">
      <c r="A265" s="11" t="inlineStr">
        <is>
          <t>262</t>
        </is>
      </c>
      <c r="B265" s="11" t="inlineStr">
        <is>
          <t>40</t>
        </is>
      </c>
      <c r="C265" s="11" t="inlineStr">
        <is>
          <t>SC</t>
        </is>
      </c>
      <c r="D265" s="11" t="inlineStr">
        <is>
          <t>no</t>
        </is>
      </c>
      <c r="E265" s="11" t="inlineStr">
        <is>
          <t>yes</t>
        </is>
      </c>
      <c r="F265" s="11" t="inlineStr">
        <is>
          <t>c1364</t>
        </is>
      </c>
      <c r="G265" s="11" t="inlineStr">
        <is>
          <t>cite</t>
        </is>
      </c>
      <c r="H265" s="11" t="inlineStr"/>
      <c r="I265" s="11" t="inlineStr"/>
      <c r="J265" s="11" t="inlineStr">
        <is>
          <t>no</t>
        </is>
      </c>
      <c r="K265" s="11" t="inlineStr">
        <is>
          <t>no</t>
        </is>
      </c>
      <c r="L265" s="11" t="inlineStr"/>
    </row>
    <row r="266">
      <c r="A266" s="11" t="inlineStr">
        <is>
          <t>263</t>
        </is>
      </c>
      <c r="B266" s="11" t="inlineStr">
        <is>
          <t>40</t>
        </is>
      </c>
      <c r="C266" s="11" t="inlineStr">
        <is>
          <t>SC</t>
        </is>
      </c>
      <c r="D266" s="11" t="inlineStr">
        <is>
          <t>no</t>
        </is>
      </c>
      <c r="E266" s="11" t="inlineStr">
        <is>
          <t>no</t>
        </is>
      </c>
      <c r="F266" s="11" t="inlineStr">
        <is>
          <t>c1778</t>
        </is>
      </c>
      <c r="G266" s="11" t="inlineStr">
        <is>
          <t>cite</t>
        </is>
      </c>
      <c r="H266" s="11" t="inlineStr">
        <is>
          <t>c12350</t>
        </is>
      </c>
      <c r="I266" s="11" t="inlineStr">
        <is>
          <t>cite</t>
        </is>
      </c>
      <c r="J266" s="11" t="inlineStr">
        <is>
          <t>no</t>
        </is>
      </c>
      <c r="K266" s="11" t="inlineStr">
        <is>
          <t>yes</t>
        </is>
      </c>
      <c r="L266" s="11" t="inlineStr">
        <is>
          <t>untouched</t>
        </is>
      </c>
    </row>
    <row r="267">
      <c r="A267" s="11" t="inlineStr">
        <is>
          <t>264</t>
        </is>
      </c>
      <c r="B267" s="11" t="inlineStr">
        <is>
          <t>40</t>
        </is>
      </c>
      <c r="C267" s="11" t="inlineStr">
        <is>
          <t>SC</t>
        </is>
      </c>
      <c r="D267" s="11" t="inlineStr">
        <is>
          <t>no</t>
        </is>
      </c>
      <c r="E267" s="11" t="inlineStr">
        <is>
          <t>no</t>
        </is>
      </c>
      <c r="F267" s="11" t="inlineStr">
        <is>
          <t>c3112</t>
        </is>
      </c>
      <c r="G267" s="11" t="inlineStr">
        <is>
          <t>cite</t>
        </is>
      </c>
      <c r="H267" s="11" t="inlineStr"/>
      <c r="I267" s="11" t="inlineStr"/>
      <c r="J267" s="11" t="inlineStr">
        <is>
          <t>no</t>
        </is>
      </c>
      <c r="K267" s="11" t="inlineStr">
        <is>
          <t>no</t>
        </is>
      </c>
      <c r="L267" s="11" t="inlineStr"/>
    </row>
    <row r="268">
      <c r="A268" s="11" t="inlineStr">
        <is>
          <t>265</t>
        </is>
      </c>
      <c r="B268" s="11" t="inlineStr">
        <is>
          <t>40</t>
        </is>
      </c>
      <c r="C268" s="11" t="inlineStr">
        <is>
          <t>SC</t>
        </is>
      </c>
      <c r="D268" s="11" t="inlineStr">
        <is>
          <t>no</t>
        </is>
      </c>
      <c r="E268" s="11" t="inlineStr">
        <is>
          <t>no</t>
        </is>
      </c>
      <c r="F268" s="11" t="inlineStr">
        <is>
          <t>c5442</t>
        </is>
      </c>
      <c r="G268" s="11" t="inlineStr">
        <is>
          <t>cite</t>
        </is>
      </c>
      <c r="H268" s="11" t="inlineStr">
        <is>
          <t>c5448</t>
        </is>
      </c>
      <c r="I268" s="11" t="inlineStr">
        <is>
          <t>cite</t>
        </is>
      </c>
      <c r="J268" s="11" t="inlineStr">
        <is>
          <t>no</t>
        </is>
      </c>
      <c r="K268" s="11" t="inlineStr">
        <is>
          <t>no</t>
        </is>
      </c>
      <c r="L268" s="11" t="inlineStr"/>
    </row>
    <row r="269">
      <c r="A269" s="11" t="inlineStr">
        <is>
          <t>266</t>
        </is>
      </c>
      <c r="B269" s="11" t="inlineStr">
        <is>
          <t>40</t>
        </is>
      </c>
      <c r="C269" s="11" t="inlineStr">
        <is>
          <t>SC</t>
        </is>
      </c>
      <c r="D269" s="11" t="inlineStr">
        <is>
          <t>no</t>
        </is>
      </c>
      <c r="E269" s="11" t="inlineStr">
        <is>
          <t>no</t>
        </is>
      </c>
      <c r="F269" s="11" t="inlineStr">
        <is>
          <t>c182</t>
        </is>
      </c>
      <c r="G269" s="11" t="inlineStr">
        <is>
          <t>cite</t>
        </is>
      </c>
      <c r="H269" s="11" t="inlineStr"/>
      <c r="I269" s="11" t="inlineStr"/>
      <c r="J269" s="11" t="inlineStr">
        <is>
          <t>no</t>
        </is>
      </c>
      <c r="K269" s="11" t="inlineStr">
        <is>
          <t>no</t>
        </is>
      </c>
      <c r="L269" s="11" t="inlineStr"/>
    </row>
    <row r="270">
      <c r="A270" s="11" t="inlineStr">
        <is>
          <t>267</t>
        </is>
      </c>
      <c r="B270" s="11" t="inlineStr">
        <is>
          <t>41</t>
        </is>
      </c>
      <c r="C270" s="11" t="inlineStr">
        <is>
          <t>SC</t>
        </is>
      </c>
      <c r="D270" s="11" t="inlineStr">
        <is>
          <t>no</t>
        </is>
      </c>
      <c r="E270" s="11" t="inlineStr">
        <is>
          <t>yes</t>
        </is>
      </c>
      <c r="F270" s="11" t="inlineStr">
        <is>
          <t>c991</t>
        </is>
      </c>
      <c r="G270" s="11" t="inlineStr">
        <is>
          <t>cite</t>
        </is>
      </c>
      <c r="H270" s="11" t="inlineStr">
        <is>
          <t>c2107</t>
        </is>
      </c>
      <c r="I270" s="11" t="inlineStr">
        <is>
          <t>cite</t>
        </is>
      </c>
      <c r="J270" s="11" t="inlineStr">
        <is>
          <t>no</t>
        </is>
      </c>
      <c r="K270" s="11" t="inlineStr">
        <is>
          <t>yes</t>
        </is>
      </c>
      <c r="L270" s="11" t="inlineStr">
        <is>
          <t>untouched</t>
        </is>
      </c>
    </row>
    <row r="271">
      <c r="A271" s="11" t="inlineStr">
        <is>
          <t>268</t>
        </is>
      </c>
      <c r="B271" s="11" t="inlineStr">
        <is>
          <t>41</t>
        </is>
      </c>
      <c r="C271" s="11" t="inlineStr">
        <is>
          <t>SC</t>
        </is>
      </c>
      <c r="D271" s="11" t="inlineStr">
        <is>
          <t>no</t>
        </is>
      </c>
      <c r="E271" s="11" t="inlineStr">
        <is>
          <t>no</t>
        </is>
      </c>
      <c r="F271" s="11" t="inlineStr">
        <is>
          <t>c13825</t>
        </is>
      </c>
      <c r="G271" s="11" t="inlineStr">
        <is>
          <t>name</t>
        </is>
      </c>
      <c r="H271" s="11" t="inlineStr"/>
      <c r="I271" s="11" t="inlineStr"/>
      <c r="J271" s="11" t="inlineStr">
        <is>
          <t>no</t>
        </is>
      </c>
      <c r="K271" s="11" t="inlineStr">
        <is>
          <t>no</t>
        </is>
      </c>
      <c r="L271" s="11" t="inlineStr"/>
    </row>
    <row r="272">
      <c r="A272" s="11" t="inlineStr">
        <is>
          <t>269</t>
        </is>
      </c>
      <c r="B272" s="11" t="inlineStr">
        <is>
          <t>41</t>
        </is>
      </c>
      <c r="C272" s="11" t="inlineStr">
        <is>
          <t>SC</t>
        </is>
      </c>
      <c r="D272" s="11" t="inlineStr">
        <is>
          <t>no</t>
        </is>
      </c>
      <c r="E272" s="11" t="inlineStr">
        <is>
          <t>no</t>
        </is>
      </c>
      <c r="F272" s="11" t="inlineStr"/>
      <c r="G272" s="11" t="inlineStr"/>
      <c r="H272" s="11" t="inlineStr"/>
      <c r="I272" s="11" t="inlineStr"/>
      <c r="J272" s="11" t="inlineStr">
        <is>
          <t>no</t>
        </is>
      </c>
      <c r="K272" s="11" t="inlineStr">
        <is>
          <t>no</t>
        </is>
      </c>
      <c r="L272" s="11" t="inlineStr"/>
    </row>
    <row r="273">
      <c r="A273" s="11" t="inlineStr">
        <is>
          <t>270</t>
        </is>
      </c>
      <c r="B273" s="11" t="inlineStr">
        <is>
          <t>41</t>
        </is>
      </c>
      <c r="C273" s="11" t="inlineStr">
        <is>
          <t>SC</t>
        </is>
      </c>
      <c r="D273" s="11" t="inlineStr">
        <is>
          <t>no</t>
        </is>
      </c>
      <c r="E273" s="11" t="inlineStr">
        <is>
          <t>no</t>
        </is>
      </c>
      <c r="F273" s="11" t="inlineStr">
        <is>
          <t>c13784</t>
        </is>
      </c>
      <c r="G273" s="11" t="inlineStr">
        <is>
          <t>name</t>
        </is>
      </c>
      <c r="H273" s="11" t="inlineStr">
        <is>
          <t>c14590</t>
        </is>
      </c>
      <c r="I273" s="11" t="inlineStr">
        <is>
          <t>name</t>
        </is>
      </c>
      <c r="J273" s="11" t="inlineStr">
        <is>
          <t>no</t>
        </is>
      </c>
      <c r="K273" s="11" t="inlineStr">
        <is>
          <t>no</t>
        </is>
      </c>
      <c r="L273" s="11" t="inlineStr"/>
    </row>
    <row r="274">
      <c r="A274" s="11" t="inlineStr">
        <is>
          <t>271</t>
        </is>
      </c>
      <c r="B274" s="11" t="inlineStr">
        <is>
          <t>41</t>
        </is>
      </c>
      <c r="C274" s="11" t="inlineStr">
        <is>
          <t>SC</t>
        </is>
      </c>
      <c r="D274" s="11" t="inlineStr">
        <is>
          <t>no</t>
        </is>
      </c>
      <c r="E274" s="11" t="inlineStr">
        <is>
          <t>no</t>
        </is>
      </c>
      <c r="F274" s="11" t="inlineStr">
        <is>
          <t>bS_1994_4_318_321</t>
        </is>
      </c>
      <c r="G274" s="11" t="inlineStr">
        <is>
          <t>name</t>
        </is>
      </c>
      <c r="H274" s="11" t="inlineStr">
        <is>
          <t>c30319</t>
        </is>
      </c>
      <c r="I274" s="11" t="inlineStr">
        <is>
          <t>cite</t>
        </is>
      </c>
      <c r="J274" s="11" t="inlineStr">
        <is>
          <t>no</t>
        </is>
      </c>
      <c r="K274" s="11" t="inlineStr">
        <is>
          <t>yes</t>
        </is>
      </c>
      <c r="L274" s="11" t="inlineStr">
        <is>
          <t>untouched</t>
        </is>
      </c>
    </row>
    <row r="275">
      <c r="A275" s="11" t="inlineStr">
        <is>
          <t>272</t>
        </is>
      </c>
      <c r="B275" s="11" t="inlineStr">
        <is>
          <t>41</t>
        </is>
      </c>
      <c r="C275" s="11" t="inlineStr">
        <is>
          <t>SC</t>
        </is>
      </c>
      <c r="D275" s="11" t="inlineStr">
        <is>
          <t>no</t>
        </is>
      </c>
      <c r="E275" s="11" t="inlineStr">
        <is>
          <t>yes</t>
        </is>
      </c>
      <c r="F275" s="11" t="inlineStr">
        <is>
          <t>c8728</t>
        </is>
      </c>
      <c r="G275" s="11" t="inlineStr">
        <is>
          <t>cite</t>
        </is>
      </c>
      <c r="H275" s="11" t="inlineStr">
        <is>
          <t>c31862</t>
        </is>
      </c>
      <c r="I275" s="11" t="inlineStr">
        <is>
          <t>cite</t>
        </is>
      </c>
      <c r="J275" s="11" t="inlineStr">
        <is>
          <t>no</t>
        </is>
      </c>
      <c r="K275" s="11" t="inlineStr">
        <is>
          <t>yes</t>
        </is>
      </c>
      <c r="L275" s="11" t="inlineStr">
        <is>
          <t>tune</t>
        </is>
      </c>
    </row>
    <row r="276">
      <c r="A276" s="11" t="inlineStr">
        <is>
          <t>273</t>
        </is>
      </c>
      <c r="B276" s="11" t="inlineStr">
        <is>
          <t>42</t>
        </is>
      </c>
      <c r="C276" s="11" t="inlineStr">
        <is>
          <t>SC</t>
        </is>
      </c>
      <c r="D276" s="11" t="inlineStr">
        <is>
          <t>no</t>
        </is>
      </c>
      <c r="E276" s="11" t="inlineStr">
        <is>
          <t>no</t>
        </is>
      </c>
      <c r="F276" s="11" t="inlineStr">
        <is>
          <t>c15892</t>
        </is>
      </c>
      <c r="G276" s="11" t="inlineStr">
        <is>
          <t>cite</t>
        </is>
      </c>
      <c r="H276" s="11" t="inlineStr">
        <is>
          <t>c16304</t>
        </is>
      </c>
      <c r="I276" s="11" t="inlineStr">
        <is>
          <t>name</t>
        </is>
      </c>
      <c r="J276" s="11" t="inlineStr">
        <is>
          <t>no</t>
        </is>
      </c>
      <c r="K276" s="11" t="inlineStr">
        <is>
          <t>yes</t>
        </is>
      </c>
      <c r="L276" s="11" t="inlineStr">
        <is>
          <t>untouched</t>
        </is>
      </c>
    </row>
    <row r="277">
      <c r="A277" s="11" t="inlineStr">
        <is>
          <t>274</t>
        </is>
      </c>
      <c r="B277" s="11" t="inlineStr">
        <is>
          <t>42</t>
        </is>
      </c>
      <c r="C277" s="11" t="inlineStr">
        <is>
          <t>SC</t>
        </is>
      </c>
      <c r="D277" s="11" t="inlineStr">
        <is>
          <t>no</t>
        </is>
      </c>
      <c r="E277" s="11" t="inlineStr">
        <is>
          <t>no</t>
        </is>
      </c>
      <c r="F277" s="11" t="inlineStr"/>
      <c r="G277" s="11" t="inlineStr"/>
      <c r="H277" s="11" t="inlineStr">
        <is>
          <t>c30319</t>
        </is>
      </c>
      <c r="I277" s="11" t="inlineStr">
        <is>
          <t>cite</t>
        </is>
      </c>
      <c r="J277" s="11" t="inlineStr">
        <is>
          <t>no</t>
        </is>
      </c>
      <c r="K277" s="11" t="inlineStr">
        <is>
          <t>no</t>
        </is>
      </c>
      <c r="L277" s="11" t="inlineStr"/>
    </row>
    <row r="278">
      <c r="A278" s="11" t="inlineStr">
        <is>
          <t>275</t>
        </is>
      </c>
      <c r="B278" s="11" t="inlineStr">
        <is>
          <t>42</t>
        </is>
      </c>
      <c r="C278" s="11" t="inlineStr">
        <is>
          <t>SC</t>
        </is>
      </c>
      <c r="D278" s="11" t="inlineStr">
        <is>
          <t>no</t>
        </is>
      </c>
      <c r="E278" s="11" t="inlineStr">
        <is>
          <t>no</t>
        </is>
      </c>
      <c r="F278" s="11" t="inlineStr">
        <is>
          <t>c14060</t>
        </is>
      </c>
      <c r="G278" s="11" t="inlineStr">
        <is>
          <t>cite</t>
        </is>
      </c>
      <c r="H278" s="11" t="inlineStr">
        <is>
          <t>c18774</t>
        </is>
      </c>
      <c r="I278" s="11" t="inlineStr">
        <is>
          <t>name</t>
        </is>
      </c>
      <c r="J278" s="11" t="inlineStr">
        <is>
          <t>no</t>
        </is>
      </c>
      <c r="K278" s="11" t="inlineStr">
        <is>
          <t>yes</t>
        </is>
      </c>
      <c r="L278" s="11" t="inlineStr">
        <is>
          <t>untouched</t>
        </is>
      </c>
    </row>
    <row r="279">
      <c r="A279" s="11" t="inlineStr">
        <is>
          <t>276</t>
        </is>
      </c>
      <c r="B279" s="11" t="inlineStr">
        <is>
          <t>42</t>
        </is>
      </c>
      <c r="C279" s="11" t="inlineStr">
        <is>
          <t>SC</t>
        </is>
      </c>
      <c r="D279" s="11" t="inlineStr">
        <is>
          <t>no</t>
        </is>
      </c>
      <c r="E279" s="11" t="inlineStr">
        <is>
          <t>no</t>
        </is>
      </c>
      <c r="F279" s="11" t="inlineStr">
        <is>
          <t>c10766</t>
        </is>
      </c>
      <c r="G279" s="11" t="inlineStr">
        <is>
          <t>cite</t>
        </is>
      </c>
      <c r="H279" s="11" t="inlineStr"/>
      <c r="I279" s="11" t="inlineStr"/>
      <c r="J279" s="11" t="inlineStr">
        <is>
          <t>no</t>
        </is>
      </c>
      <c r="K279" s="11" t="inlineStr">
        <is>
          <t>no</t>
        </is>
      </c>
      <c r="L279" s="11" t="inlineStr"/>
    </row>
    <row r="280">
      <c r="A280" s="11" t="inlineStr">
        <is>
          <t>277</t>
        </is>
      </c>
      <c r="B280" s="11" t="inlineStr">
        <is>
          <t>42</t>
        </is>
      </c>
      <c r="C280" s="11" t="inlineStr">
        <is>
          <t>SC</t>
        </is>
      </c>
      <c r="D280" s="11" t="inlineStr">
        <is>
          <t>no</t>
        </is>
      </c>
      <c r="E280" s="11" t="inlineStr">
        <is>
          <t>no</t>
        </is>
      </c>
      <c r="F280" s="11" t="inlineStr"/>
      <c r="G280" s="11" t="inlineStr"/>
      <c r="H280" s="11" t="inlineStr"/>
      <c r="I280" s="11" t="inlineStr"/>
      <c r="J280" s="11" t="inlineStr">
        <is>
          <t>no</t>
        </is>
      </c>
      <c r="K280" s="11" t="inlineStr">
        <is>
          <t>no</t>
        </is>
      </c>
      <c r="L280" s="11" t="inlineStr"/>
    </row>
    <row r="281">
      <c r="A281" s="11" t="inlineStr">
        <is>
          <t>278</t>
        </is>
      </c>
      <c r="B281" s="11" t="inlineStr">
        <is>
          <t>43</t>
        </is>
      </c>
      <c r="C281" s="11" t="inlineStr">
        <is>
          <t>SC</t>
        </is>
      </c>
      <c r="D281" s="11" t="inlineStr">
        <is>
          <t>no</t>
        </is>
      </c>
      <c r="E281" s="11" t="inlineStr">
        <is>
          <t>no</t>
        </is>
      </c>
      <c r="F281" s="11" t="inlineStr">
        <is>
          <t>c14389</t>
        </is>
      </c>
      <c r="G281" s="11" t="inlineStr">
        <is>
          <t>cite</t>
        </is>
      </c>
      <c r="H281" s="11" t="inlineStr">
        <is>
          <t>c13678</t>
        </is>
      </c>
      <c r="I281" s="11" t="inlineStr">
        <is>
          <t>name</t>
        </is>
      </c>
      <c r="J281" s="11" t="inlineStr">
        <is>
          <t>yes</t>
        </is>
      </c>
      <c r="K281" s="11" t="inlineStr">
        <is>
          <t>no</t>
        </is>
      </c>
      <c r="L281" s="11" t="inlineStr"/>
    </row>
    <row r="282">
      <c r="A282" s="11" t="inlineStr">
        <is>
          <t>279</t>
        </is>
      </c>
      <c r="B282" s="11" t="inlineStr">
        <is>
          <t>43</t>
        </is>
      </c>
      <c r="C282" s="11" t="inlineStr">
        <is>
          <t>HC/tribunal/other</t>
        </is>
      </c>
      <c r="D282" s="11" t="inlineStr">
        <is>
          <t>no</t>
        </is>
      </c>
      <c r="E282" s="11" t="inlineStr">
        <is>
          <t>no</t>
        </is>
      </c>
      <c r="F282" s="11" t="inlineStr"/>
      <c r="G282" s="11" t="inlineStr"/>
      <c r="H282" s="11" t="inlineStr">
        <is>
          <t>c15834</t>
        </is>
      </c>
      <c r="I282" s="11" t="inlineStr">
        <is>
          <t>cite</t>
        </is>
      </c>
      <c r="J282" s="11" t="inlineStr">
        <is>
          <t>no</t>
        </is>
      </c>
      <c r="K282" s="11" t="inlineStr">
        <is>
          <t>no</t>
        </is>
      </c>
      <c r="L282" s="11" t="inlineStr"/>
    </row>
    <row r="283">
      <c r="A283" s="11" t="inlineStr">
        <is>
          <t>280</t>
        </is>
      </c>
      <c r="B283" s="11" t="inlineStr">
        <is>
          <t>43</t>
        </is>
      </c>
      <c r="C283" s="11" t="inlineStr">
        <is>
          <t>SC</t>
        </is>
      </c>
      <c r="D283" s="11" t="inlineStr">
        <is>
          <t>no</t>
        </is>
      </c>
      <c r="E283" s="11" t="inlineStr">
        <is>
          <t>no</t>
        </is>
      </c>
      <c r="F283" s="11" t="inlineStr">
        <is>
          <t>c6956</t>
        </is>
      </c>
      <c r="G283" s="11" t="inlineStr">
        <is>
          <t>cite</t>
        </is>
      </c>
      <c r="H283" s="11" t="inlineStr">
        <is>
          <t>c7242</t>
        </is>
      </c>
      <c r="I283" s="11" t="inlineStr">
        <is>
          <t>cite</t>
        </is>
      </c>
      <c r="J283" s="11" t="inlineStr">
        <is>
          <t>no</t>
        </is>
      </c>
      <c r="K283" s="11" t="inlineStr">
        <is>
          <t>no</t>
        </is>
      </c>
      <c r="L283" s="11" t="inlineStr"/>
    </row>
    <row r="284">
      <c r="A284" s="11" t="inlineStr">
        <is>
          <t>281</t>
        </is>
      </c>
      <c r="B284" s="11" t="inlineStr">
        <is>
          <t>43</t>
        </is>
      </c>
      <c r="C284" s="11" t="inlineStr">
        <is>
          <t>SC</t>
        </is>
      </c>
      <c r="D284" s="11" t="inlineStr">
        <is>
          <t>no</t>
        </is>
      </c>
      <c r="E284" s="11" t="inlineStr">
        <is>
          <t>no</t>
        </is>
      </c>
      <c r="F284" s="11" t="inlineStr">
        <is>
          <t>c14057</t>
        </is>
      </c>
      <c r="G284" s="11" t="inlineStr">
        <is>
          <t>cite</t>
        </is>
      </c>
      <c r="H284" s="11" t="inlineStr">
        <is>
          <t>c26522</t>
        </is>
      </c>
      <c r="I284" s="11" t="inlineStr">
        <is>
          <t>name</t>
        </is>
      </c>
      <c r="J284" s="11" t="inlineStr">
        <is>
          <t>no</t>
        </is>
      </c>
      <c r="K284" s="11" t="inlineStr">
        <is>
          <t>yes</t>
        </is>
      </c>
      <c r="L284" s="11" t="inlineStr">
        <is>
          <t>untouched</t>
        </is>
      </c>
    </row>
    <row r="285">
      <c r="A285" s="11" t="inlineStr">
        <is>
          <t>282</t>
        </is>
      </c>
      <c r="B285" s="11" t="inlineStr">
        <is>
          <t>43</t>
        </is>
      </c>
      <c r="C285" s="11" t="inlineStr">
        <is>
          <t>SC</t>
        </is>
      </c>
      <c r="D285" s="11" t="inlineStr">
        <is>
          <t>no</t>
        </is>
      </c>
      <c r="E285" s="11" t="inlineStr">
        <is>
          <t>no</t>
        </is>
      </c>
      <c r="F285" s="11" t="inlineStr"/>
      <c r="G285" s="11" t="inlineStr"/>
      <c r="H285" s="11" t="inlineStr">
        <is>
          <t>c9913</t>
        </is>
      </c>
      <c r="I285" s="11" t="inlineStr">
        <is>
          <t>cite</t>
        </is>
      </c>
      <c r="J285" s="11" t="inlineStr">
        <is>
          <t>no</t>
        </is>
      </c>
      <c r="K285" s="11" t="inlineStr">
        <is>
          <t>no</t>
        </is>
      </c>
      <c r="L285" s="11" t="inlineStr"/>
    </row>
    <row r="286">
      <c r="A286" s="11" t="inlineStr">
        <is>
          <t>283</t>
        </is>
      </c>
      <c r="B286" s="11" t="inlineStr">
        <is>
          <t>43</t>
        </is>
      </c>
      <c r="C286" s="11" t="inlineStr">
        <is>
          <t>SC</t>
        </is>
      </c>
      <c r="D286" s="11" t="inlineStr">
        <is>
          <t>no</t>
        </is>
      </c>
      <c r="E286" s="11" t="inlineStr">
        <is>
          <t>no</t>
        </is>
      </c>
      <c r="F286" s="11" t="inlineStr">
        <is>
          <t>c3777</t>
        </is>
      </c>
      <c r="G286" s="11" t="inlineStr">
        <is>
          <t>cite</t>
        </is>
      </c>
      <c r="H286" s="11" t="inlineStr"/>
      <c r="I286" s="11" t="inlineStr"/>
      <c r="J286" s="11" t="inlineStr">
        <is>
          <t>no</t>
        </is>
      </c>
      <c r="K286" s="11" t="inlineStr">
        <is>
          <t>no</t>
        </is>
      </c>
      <c r="L286" s="11" t="inlineStr"/>
    </row>
    <row r="287">
      <c r="A287" s="11" t="inlineStr">
        <is>
          <t>284</t>
        </is>
      </c>
      <c r="B287" s="11" t="inlineStr">
        <is>
          <t>44</t>
        </is>
      </c>
      <c r="C287" s="11" t="inlineStr">
        <is>
          <t>SC</t>
        </is>
      </c>
      <c r="D287" s="11" t="inlineStr">
        <is>
          <t>no</t>
        </is>
      </c>
      <c r="E287" s="11" t="inlineStr">
        <is>
          <t>yes</t>
        </is>
      </c>
      <c r="F287" s="11" t="inlineStr">
        <is>
          <t>c19368</t>
        </is>
      </c>
      <c r="G287" s="11" t="inlineStr">
        <is>
          <t>name</t>
        </is>
      </c>
      <c r="H287" s="11" t="inlineStr">
        <is>
          <t>c27525</t>
        </is>
      </c>
      <c r="I287" s="11" t="inlineStr">
        <is>
          <t>name</t>
        </is>
      </c>
      <c r="J287" s="11" t="inlineStr">
        <is>
          <t>no</t>
        </is>
      </c>
      <c r="K287" s="11" t="inlineStr">
        <is>
          <t>yes</t>
        </is>
      </c>
      <c r="L287" s="11" t="inlineStr">
        <is>
          <t>tune</t>
        </is>
      </c>
    </row>
    <row r="288">
      <c r="A288" s="11" t="inlineStr">
        <is>
          <t>285</t>
        </is>
      </c>
      <c r="B288" s="11" t="inlineStr">
        <is>
          <t>44</t>
        </is>
      </c>
      <c r="C288" s="11" t="inlineStr">
        <is>
          <t>SC</t>
        </is>
      </c>
      <c r="D288" s="11" t="inlineStr">
        <is>
          <t>no</t>
        </is>
      </c>
      <c r="E288" s="11" t="inlineStr">
        <is>
          <t>yes</t>
        </is>
      </c>
      <c r="F288" s="11" t="inlineStr"/>
      <c r="G288" s="11" t="inlineStr"/>
      <c r="H288" s="11" t="inlineStr"/>
      <c r="I288" s="11" t="inlineStr"/>
      <c r="J288" s="11" t="inlineStr">
        <is>
          <t>no</t>
        </is>
      </c>
      <c r="K288" s="11" t="inlineStr">
        <is>
          <t>no</t>
        </is>
      </c>
      <c r="L288" s="11" t="inlineStr"/>
    </row>
    <row r="289">
      <c r="A289" s="11" t="inlineStr">
        <is>
          <t>286</t>
        </is>
      </c>
      <c r="B289" s="11" t="inlineStr">
        <is>
          <t>44</t>
        </is>
      </c>
      <c r="C289" s="11" t="inlineStr">
        <is>
          <t>SC</t>
        </is>
      </c>
      <c r="D289" s="11" t="inlineStr">
        <is>
          <t>yes</t>
        </is>
      </c>
      <c r="E289" s="11" t="inlineStr">
        <is>
          <t>no</t>
        </is>
      </c>
      <c r="F289" s="11" t="inlineStr">
        <is>
          <t>c7267</t>
        </is>
      </c>
      <c r="G289" s="11" t="inlineStr">
        <is>
          <t>cite</t>
        </is>
      </c>
      <c r="H289" s="11" t="inlineStr">
        <is>
          <t>c8660</t>
        </is>
      </c>
      <c r="I289" s="11" t="inlineStr">
        <is>
          <t>cite</t>
        </is>
      </c>
      <c r="J289" s="11" t="inlineStr">
        <is>
          <t>no</t>
        </is>
      </c>
      <c r="K289" s="11" t="inlineStr">
        <is>
          <t>yes</t>
        </is>
      </c>
      <c r="L289" s="11" t="inlineStr">
        <is>
          <t>tune</t>
        </is>
      </c>
    </row>
    <row r="290">
      <c r="A290" s="11" t="inlineStr">
        <is>
          <t>287</t>
        </is>
      </c>
      <c r="B290" s="11" t="inlineStr">
        <is>
          <t>44</t>
        </is>
      </c>
      <c r="C290" s="11" t="inlineStr">
        <is>
          <t>SC</t>
        </is>
      </c>
      <c r="D290" s="11" t="inlineStr">
        <is>
          <t>no</t>
        </is>
      </c>
      <c r="E290" s="11" t="inlineStr">
        <is>
          <t>no</t>
        </is>
      </c>
      <c r="F290" s="11" t="inlineStr">
        <is>
          <t>b1994_1_901_914</t>
        </is>
      </c>
      <c r="G290" s="11" t="inlineStr">
        <is>
          <t>cite</t>
        </is>
      </c>
      <c r="H290" s="11" t="inlineStr">
        <is>
          <t>c16097</t>
        </is>
      </c>
      <c r="I290" s="11" t="inlineStr">
        <is>
          <t>cite</t>
        </is>
      </c>
      <c r="J290" s="11" t="inlineStr">
        <is>
          <t>no</t>
        </is>
      </c>
      <c r="K290" s="11" t="inlineStr">
        <is>
          <t>yes</t>
        </is>
      </c>
      <c r="L290" s="11" t="inlineStr">
        <is>
          <t>untouched</t>
        </is>
      </c>
    </row>
    <row r="291">
      <c r="A291" s="11" t="inlineStr">
        <is>
          <t>288</t>
        </is>
      </c>
      <c r="B291" s="11" t="inlineStr">
        <is>
          <t>44</t>
        </is>
      </c>
      <c r="C291" s="11" t="inlineStr">
        <is>
          <t>SC</t>
        </is>
      </c>
      <c r="D291" s="11" t="inlineStr">
        <is>
          <t>no</t>
        </is>
      </c>
      <c r="E291" s="11" t="inlineStr">
        <is>
          <t>no</t>
        </is>
      </c>
      <c r="F291" s="11" t="inlineStr">
        <is>
          <t>c15380</t>
        </is>
      </c>
      <c r="G291" s="11" t="inlineStr">
        <is>
          <t>name</t>
        </is>
      </c>
      <c r="H291" s="11" t="inlineStr">
        <is>
          <t>c17904</t>
        </is>
      </c>
      <c r="I291" s="11" t="inlineStr">
        <is>
          <t>name</t>
        </is>
      </c>
      <c r="J291" s="11" t="inlineStr">
        <is>
          <t>no</t>
        </is>
      </c>
      <c r="K291" s="11" t="inlineStr">
        <is>
          <t>yes</t>
        </is>
      </c>
      <c r="L291" s="11" t="inlineStr">
        <is>
          <t>tune</t>
        </is>
      </c>
    </row>
    <row r="292">
      <c r="A292" s="11" t="inlineStr">
        <is>
          <t>289</t>
        </is>
      </c>
      <c r="B292" s="11" t="inlineStr">
        <is>
          <t>44</t>
        </is>
      </c>
      <c r="C292" s="11" t="inlineStr">
        <is>
          <t>SC</t>
        </is>
      </c>
      <c r="D292" s="11" t="inlineStr">
        <is>
          <t>no</t>
        </is>
      </c>
      <c r="E292" s="11" t="inlineStr">
        <is>
          <t>no</t>
        </is>
      </c>
      <c r="F292" s="11" t="inlineStr"/>
      <c r="G292" s="11" t="inlineStr"/>
      <c r="H292" s="11" t="inlineStr">
        <is>
          <t>c17688</t>
        </is>
      </c>
      <c r="I292" s="11" t="inlineStr">
        <is>
          <t>cite</t>
        </is>
      </c>
      <c r="J292" s="11" t="inlineStr">
        <is>
          <t>no</t>
        </is>
      </c>
      <c r="K292" s="11" t="inlineStr">
        <is>
          <t>no</t>
        </is>
      </c>
      <c r="L292" s="11" t="inlineStr"/>
    </row>
    <row r="293">
      <c r="A293" s="11" t="inlineStr">
        <is>
          <t>290</t>
        </is>
      </c>
      <c r="B293" s="11" t="inlineStr">
        <is>
          <t>45</t>
        </is>
      </c>
      <c r="C293" s="11" t="inlineStr">
        <is>
          <t>SC</t>
        </is>
      </c>
      <c r="D293" s="11" t="inlineStr">
        <is>
          <t>no</t>
        </is>
      </c>
      <c r="E293" s="11" t="inlineStr">
        <is>
          <t>no</t>
        </is>
      </c>
      <c r="F293" s="11" t="inlineStr">
        <is>
          <t>c10928</t>
        </is>
      </c>
      <c r="G293" s="11" t="inlineStr">
        <is>
          <t>cite</t>
        </is>
      </c>
      <c r="H293" s="11" t="inlineStr">
        <is>
          <t>c20387</t>
        </is>
      </c>
      <c r="I293" s="11" t="inlineStr">
        <is>
          <t>cite</t>
        </is>
      </c>
      <c r="J293" s="11" t="inlineStr">
        <is>
          <t>no</t>
        </is>
      </c>
      <c r="K293" s="11" t="inlineStr">
        <is>
          <t>yes</t>
        </is>
      </c>
      <c r="L293" s="11" t="inlineStr">
        <is>
          <t>tune</t>
        </is>
      </c>
    </row>
    <row r="294">
      <c r="A294" s="11" t="inlineStr">
        <is>
          <t>291</t>
        </is>
      </c>
      <c r="B294" s="11" t="inlineStr">
        <is>
          <t>45</t>
        </is>
      </c>
      <c r="C294" s="11" t="inlineStr">
        <is>
          <t>SC</t>
        </is>
      </c>
      <c r="D294" s="11" t="inlineStr">
        <is>
          <t>no</t>
        </is>
      </c>
      <c r="E294" s="11" t="inlineStr">
        <is>
          <t>no</t>
        </is>
      </c>
      <c r="F294" s="11" t="inlineStr"/>
      <c r="G294" s="11" t="inlineStr"/>
      <c r="H294" s="11" t="inlineStr"/>
      <c r="I294" s="11" t="inlineStr"/>
      <c r="J294" s="11" t="inlineStr">
        <is>
          <t>no</t>
        </is>
      </c>
      <c r="K294" s="11" t="inlineStr">
        <is>
          <t>no</t>
        </is>
      </c>
      <c r="L294" s="11" t="inlineStr"/>
    </row>
    <row r="295">
      <c r="A295" s="11" t="inlineStr">
        <is>
          <t>292</t>
        </is>
      </c>
      <c r="B295" s="11" t="inlineStr">
        <is>
          <t>45</t>
        </is>
      </c>
      <c r="C295" s="11" t="inlineStr">
        <is>
          <t>SC</t>
        </is>
      </c>
      <c r="D295" s="11" t="inlineStr">
        <is>
          <t>no</t>
        </is>
      </c>
      <c r="E295" s="11" t="inlineStr">
        <is>
          <t>yes</t>
        </is>
      </c>
      <c r="F295" s="11" t="inlineStr"/>
      <c r="G295" s="11" t="inlineStr"/>
      <c r="H295" s="11" t="inlineStr"/>
      <c r="I295" s="11" t="inlineStr"/>
      <c r="J295" s="11" t="inlineStr">
        <is>
          <t>no</t>
        </is>
      </c>
      <c r="K295" s="11" t="inlineStr">
        <is>
          <t>no</t>
        </is>
      </c>
      <c r="L295" s="11" t="inlineStr"/>
    </row>
    <row r="296">
      <c r="A296" s="11" t="inlineStr">
        <is>
          <t>293</t>
        </is>
      </c>
      <c r="B296" s="11" t="inlineStr">
        <is>
          <t>45</t>
        </is>
      </c>
      <c r="C296" s="11" t="inlineStr">
        <is>
          <t>SC</t>
        </is>
      </c>
      <c r="D296" s="11" t="inlineStr">
        <is>
          <t>no</t>
        </is>
      </c>
      <c r="E296" s="11" t="inlineStr">
        <is>
          <t>no</t>
        </is>
      </c>
      <c r="F296" s="11" t="inlineStr">
        <is>
          <t>c7420</t>
        </is>
      </c>
      <c r="G296" s="11" t="inlineStr">
        <is>
          <t>name</t>
        </is>
      </c>
      <c r="H296" s="11" t="inlineStr">
        <is>
          <t>c7334</t>
        </is>
      </c>
      <c r="I296" s="11" t="inlineStr">
        <is>
          <t>cite</t>
        </is>
      </c>
      <c r="J296" s="11" t="inlineStr">
        <is>
          <t>no</t>
        </is>
      </c>
      <c r="K296" s="11" t="inlineStr">
        <is>
          <t>yes</t>
        </is>
      </c>
      <c r="L296" s="11" t="inlineStr">
        <is>
          <t>untouched</t>
        </is>
      </c>
    </row>
    <row r="297">
      <c r="A297" s="11" t="inlineStr">
        <is>
          <t>294</t>
        </is>
      </c>
      <c r="B297" s="11" t="inlineStr">
        <is>
          <t>45</t>
        </is>
      </c>
      <c r="C297" s="11" t="inlineStr">
        <is>
          <t>SC</t>
        </is>
      </c>
      <c r="D297" s="11" t="inlineStr">
        <is>
          <t>no</t>
        </is>
      </c>
      <c r="E297" s="11" t="inlineStr">
        <is>
          <t>no</t>
        </is>
      </c>
      <c r="F297" s="11" t="inlineStr">
        <is>
          <t>c10621</t>
        </is>
      </c>
      <c r="G297" s="11" t="inlineStr">
        <is>
          <t>cite</t>
        </is>
      </c>
      <c r="H297" s="11" t="inlineStr">
        <is>
          <t>c20389</t>
        </is>
      </c>
      <c r="I297" s="11" t="inlineStr">
        <is>
          <t>name</t>
        </is>
      </c>
      <c r="J297" s="11" t="inlineStr">
        <is>
          <t>no</t>
        </is>
      </c>
      <c r="K297" s="11" t="inlineStr">
        <is>
          <t>yes</t>
        </is>
      </c>
      <c r="L297" s="11" t="inlineStr">
        <is>
          <t>tune</t>
        </is>
      </c>
    </row>
    <row r="298">
      <c r="A298" s="11" t="inlineStr">
        <is>
          <t>295</t>
        </is>
      </c>
      <c r="B298" s="11" t="inlineStr">
        <is>
          <t>45</t>
        </is>
      </c>
      <c r="C298" s="11" t="inlineStr">
        <is>
          <t>SC</t>
        </is>
      </c>
      <c r="D298" s="11" t="inlineStr">
        <is>
          <t>no</t>
        </is>
      </c>
      <c r="E298" s="11" t="inlineStr">
        <is>
          <t>yes</t>
        </is>
      </c>
      <c r="F298" s="11" t="inlineStr">
        <is>
          <t>c12555</t>
        </is>
      </c>
      <c r="G298" s="11" t="inlineStr">
        <is>
          <t>cite</t>
        </is>
      </c>
      <c r="H298" s="11" t="inlineStr">
        <is>
          <t>c26355</t>
        </is>
      </c>
      <c r="I298" s="11" t="inlineStr">
        <is>
          <t>name</t>
        </is>
      </c>
      <c r="J298" s="11" t="inlineStr">
        <is>
          <t>no</t>
        </is>
      </c>
      <c r="K298" s="11" t="inlineStr">
        <is>
          <t>yes</t>
        </is>
      </c>
      <c r="L298" s="11" t="inlineStr">
        <is>
          <t>untouched</t>
        </is>
      </c>
    </row>
    <row r="299">
      <c r="A299" s="11" t="inlineStr">
        <is>
          <t>296</t>
        </is>
      </c>
      <c r="B299" s="11" t="inlineStr">
        <is>
          <t>46</t>
        </is>
      </c>
      <c r="C299" s="11" t="inlineStr">
        <is>
          <t>SC</t>
        </is>
      </c>
      <c r="D299" s="11" t="inlineStr">
        <is>
          <t>no</t>
        </is>
      </c>
      <c r="E299" s="11" t="inlineStr">
        <is>
          <t>yes</t>
        </is>
      </c>
      <c r="F299" s="11" t="inlineStr">
        <is>
          <t>c17267</t>
        </is>
      </c>
      <c r="G299" s="11" t="inlineStr">
        <is>
          <t>name</t>
        </is>
      </c>
      <c r="H299" s="11" t="inlineStr"/>
      <c r="I299" s="11" t="inlineStr"/>
      <c r="J299" s="11" t="inlineStr">
        <is>
          <t>no</t>
        </is>
      </c>
      <c r="K299" s="11" t="inlineStr">
        <is>
          <t>no</t>
        </is>
      </c>
      <c r="L299" s="11" t="inlineStr"/>
    </row>
    <row r="300">
      <c r="A300" s="11" t="inlineStr">
        <is>
          <t>297</t>
        </is>
      </c>
      <c r="B300" s="11" t="inlineStr">
        <is>
          <t>46</t>
        </is>
      </c>
      <c r="C300" s="11" t="inlineStr">
        <is>
          <t>HC/tribunal/other</t>
        </is>
      </c>
      <c r="D300" s="11" t="inlineStr">
        <is>
          <t>no</t>
        </is>
      </c>
      <c r="E300" s="11" t="inlineStr">
        <is>
          <t>no</t>
        </is>
      </c>
      <c r="F300" s="11" t="inlineStr"/>
      <c r="G300" s="11" t="inlineStr"/>
      <c r="H300" s="11" t="inlineStr"/>
      <c r="I300" s="11" t="inlineStr"/>
      <c r="J300" s="11" t="inlineStr">
        <is>
          <t>no</t>
        </is>
      </c>
      <c r="K300" s="11" t="inlineStr">
        <is>
          <t>no</t>
        </is>
      </c>
      <c r="L300" s="11" t="inlineStr"/>
    </row>
    <row r="301">
      <c r="A301" s="11" t="inlineStr">
        <is>
          <t>298</t>
        </is>
      </c>
      <c r="B301" s="11" t="inlineStr">
        <is>
          <t>46</t>
        </is>
      </c>
      <c r="C301" s="11" t="inlineStr">
        <is>
          <t>SC</t>
        </is>
      </c>
      <c r="D301" s="11" t="inlineStr">
        <is>
          <t>no</t>
        </is>
      </c>
      <c r="E301" s="11" t="inlineStr">
        <is>
          <t>yes</t>
        </is>
      </c>
      <c r="F301" s="11" t="inlineStr">
        <is>
          <t>c1725</t>
        </is>
      </c>
      <c r="G301" s="11" t="inlineStr">
        <is>
          <t>cite</t>
        </is>
      </c>
      <c r="H301" s="11" t="inlineStr">
        <is>
          <t>c6156</t>
        </is>
      </c>
      <c r="I301" s="11" t="inlineStr">
        <is>
          <t>cite</t>
        </is>
      </c>
      <c r="J301" s="11" t="inlineStr">
        <is>
          <t>no</t>
        </is>
      </c>
      <c r="K301" s="11" t="inlineStr">
        <is>
          <t>yes</t>
        </is>
      </c>
      <c r="L301" s="11" t="inlineStr">
        <is>
          <t>tune</t>
        </is>
      </c>
    </row>
    <row r="302">
      <c r="A302" s="11" t="inlineStr">
        <is>
          <t>299</t>
        </is>
      </c>
      <c r="B302" s="11" t="inlineStr">
        <is>
          <t>46</t>
        </is>
      </c>
      <c r="C302" s="11" t="inlineStr">
        <is>
          <t>SC</t>
        </is>
      </c>
      <c r="D302" s="11" t="inlineStr">
        <is>
          <t>no</t>
        </is>
      </c>
      <c r="E302" s="11" t="inlineStr">
        <is>
          <t>no</t>
        </is>
      </c>
      <c r="F302" s="11" t="inlineStr">
        <is>
          <t>c1419</t>
        </is>
      </c>
      <c r="G302" s="11" t="inlineStr">
        <is>
          <t>cite</t>
        </is>
      </c>
      <c r="H302" s="11" t="inlineStr">
        <is>
          <t>c7356</t>
        </is>
      </c>
      <c r="I302" s="11" t="inlineStr">
        <is>
          <t>cite</t>
        </is>
      </c>
      <c r="J302" s="11" t="inlineStr">
        <is>
          <t>yes</t>
        </is>
      </c>
      <c r="K302" s="11" t="inlineStr">
        <is>
          <t>no</t>
        </is>
      </c>
      <c r="L302" s="11" t="inlineStr"/>
    </row>
    <row r="303">
      <c r="A303" s="11" t="inlineStr">
        <is>
          <t>300</t>
        </is>
      </c>
      <c r="B303" s="11" t="inlineStr">
        <is>
          <t>46</t>
        </is>
      </c>
      <c r="C303" s="11" t="inlineStr">
        <is>
          <t>SC</t>
        </is>
      </c>
      <c r="D303" s="11" t="inlineStr">
        <is>
          <t>no</t>
        </is>
      </c>
      <c r="E303" s="11" t="inlineStr">
        <is>
          <t>no</t>
        </is>
      </c>
      <c r="F303" s="11" t="inlineStr">
        <is>
          <t>c16439</t>
        </is>
      </c>
      <c r="G303" s="11" t="inlineStr">
        <is>
          <t>cite</t>
        </is>
      </c>
      <c r="H303" s="11" t="inlineStr">
        <is>
          <t>c26869</t>
        </is>
      </c>
      <c r="I303" s="11" t="inlineStr">
        <is>
          <t>cite</t>
        </is>
      </c>
      <c r="J303" s="11" t="inlineStr">
        <is>
          <t>no</t>
        </is>
      </c>
      <c r="K303" s="11" t="inlineStr">
        <is>
          <t>yes</t>
        </is>
      </c>
      <c r="L303" s="11" t="inlineStr">
        <is>
          <t>tune</t>
        </is>
      </c>
    </row>
    <row r="304">
      <c r="A304" s="11" t="inlineStr">
        <is>
          <t>301</t>
        </is>
      </c>
      <c r="B304" s="11" t="inlineStr">
        <is>
          <t>47</t>
        </is>
      </c>
      <c r="C304" s="11" t="inlineStr">
        <is>
          <t>SC</t>
        </is>
      </c>
      <c r="D304" s="11" t="inlineStr">
        <is>
          <t>no</t>
        </is>
      </c>
      <c r="E304" s="11" t="inlineStr">
        <is>
          <t>yes</t>
        </is>
      </c>
      <c r="F304" s="11" t="inlineStr">
        <is>
          <t>b1960_1_941_945</t>
        </is>
      </c>
      <c r="G304" s="11" t="inlineStr">
        <is>
          <t>cite</t>
        </is>
      </c>
      <c r="H304" s="11" t="inlineStr">
        <is>
          <t>c6483</t>
        </is>
      </c>
      <c r="I304" s="11" t="inlineStr">
        <is>
          <t>cite</t>
        </is>
      </c>
      <c r="J304" s="11" t="inlineStr">
        <is>
          <t>no</t>
        </is>
      </c>
      <c r="K304" s="11" t="inlineStr">
        <is>
          <t>yes</t>
        </is>
      </c>
      <c r="L304" s="11" t="inlineStr">
        <is>
          <t>untouched</t>
        </is>
      </c>
    </row>
    <row r="305">
      <c r="A305" s="11" t="inlineStr">
        <is>
          <t>302</t>
        </is>
      </c>
      <c r="B305" s="11" t="inlineStr">
        <is>
          <t>47</t>
        </is>
      </c>
      <c r="C305" s="11" t="inlineStr">
        <is>
          <t>SC</t>
        </is>
      </c>
      <c r="D305" s="11" t="inlineStr">
        <is>
          <t>no</t>
        </is>
      </c>
      <c r="E305" s="11" t="inlineStr">
        <is>
          <t>no</t>
        </is>
      </c>
      <c r="F305" s="11" t="inlineStr">
        <is>
          <t>c17166</t>
        </is>
      </c>
      <c r="G305" s="11" t="inlineStr">
        <is>
          <t>name</t>
        </is>
      </c>
      <c r="H305" s="11" t="inlineStr">
        <is>
          <t>c18261</t>
        </is>
      </c>
      <c r="I305" s="11" t="inlineStr">
        <is>
          <t>cite</t>
        </is>
      </c>
      <c r="J305" s="11" t="inlineStr">
        <is>
          <t>no</t>
        </is>
      </c>
      <c r="K305" s="11" t="inlineStr">
        <is>
          <t>yes</t>
        </is>
      </c>
      <c r="L305" s="11" t="inlineStr">
        <is>
          <t>tune</t>
        </is>
      </c>
    </row>
    <row r="306">
      <c r="A306" s="11" t="inlineStr">
        <is>
          <t>303</t>
        </is>
      </c>
      <c r="B306" s="11" t="inlineStr">
        <is>
          <t>47</t>
        </is>
      </c>
      <c r="C306" s="11" t="inlineStr">
        <is>
          <t>SC</t>
        </is>
      </c>
      <c r="D306" s="11" t="inlineStr">
        <is>
          <t>no</t>
        </is>
      </c>
      <c r="E306" s="11" t="inlineStr">
        <is>
          <t>no</t>
        </is>
      </c>
      <c r="F306" s="11" t="inlineStr"/>
      <c r="G306" s="11" t="inlineStr"/>
      <c r="H306" s="11" t="inlineStr">
        <is>
          <t>c5424</t>
        </is>
      </c>
      <c r="I306" s="11" t="inlineStr">
        <is>
          <t>cite</t>
        </is>
      </c>
      <c r="J306" s="11" t="inlineStr">
        <is>
          <t>no</t>
        </is>
      </c>
      <c r="K306" s="11" t="inlineStr">
        <is>
          <t>no</t>
        </is>
      </c>
      <c r="L306" s="11" t="inlineStr"/>
    </row>
    <row r="307">
      <c r="A307" s="11" t="inlineStr">
        <is>
          <t>304</t>
        </is>
      </c>
      <c r="B307" s="11" t="inlineStr">
        <is>
          <t>47</t>
        </is>
      </c>
      <c r="C307" s="11" t="inlineStr">
        <is>
          <t>SC</t>
        </is>
      </c>
      <c r="D307" s="11" t="inlineStr">
        <is>
          <t>no</t>
        </is>
      </c>
      <c r="E307" s="11" t="inlineStr">
        <is>
          <t>no</t>
        </is>
      </c>
      <c r="F307" s="11" t="inlineStr">
        <is>
          <t>c6772</t>
        </is>
      </c>
      <c r="G307" s="11" t="inlineStr">
        <is>
          <t>cite</t>
        </is>
      </c>
      <c r="H307" s="11" t="inlineStr">
        <is>
          <t>c7515</t>
        </is>
      </c>
      <c r="I307" s="11" t="inlineStr">
        <is>
          <t>cite</t>
        </is>
      </c>
      <c r="J307" s="11" t="inlineStr">
        <is>
          <t>no</t>
        </is>
      </c>
      <c r="K307" s="11" t="inlineStr">
        <is>
          <t>yes</t>
        </is>
      </c>
      <c r="L307" s="11" t="inlineStr">
        <is>
          <t>tune</t>
        </is>
      </c>
    </row>
    <row r="308">
      <c r="A308" s="11" t="inlineStr">
        <is>
          <t>305</t>
        </is>
      </c>
      <c r="B308" s="11" t="inlineStr">
        <is>
          <t>47</t>
        </is>
      </c>
      <c r="C308" s="11" t="inlineStr">
        <is>
          <t>SC</t>
        </is>
      </c>
      <c r="D308" s="11" t="inlineStr">
        <is>
          <t>no</t>
        </is>
      </c>
      <c r="E308" s="11" t="inlineStr">
        <is>
          <t>no</t>
        </is>
      </c>
      <c r="F308" s="11" t="inlineStr">
        <is>
          <t>c6853</t>
        </is>
      </c>
      <c r="G308" s="11" t="inlineStr">
        <is>
          <t>cite</t>
        </is>
      </c>
      <c r="H308" s="11" t="inlineStr">
        <is>
          <t>c13429</t>
        </is>
      </c>
      <c r="I308" s="11" t="inlineStr">
        <is>
          <t>cite</t>
        </is>
      </c>
      <c r="J308" s="11" t="inlineStr">
        <is>
          <t>no</t>
        </is>
      </c>
      <c r="K308" s="11" t="inlineStr">
        <is>
          <t>yes</t>
        </is>
      </c>
      <c r="L308" s="11" t="inlineStr">
        <is>
          <t>untouched</t>
        </is>
      </c>
    </row>
    <row r="309">
      <c r="A309" s="11" t="inlineStr">
        <is>
          <t>306</t>
        </is>
      </c>
      <c r="B309" s="11" t="inlineStr">
        <is>
          <t>47</t>
        </is>
      </c>
      <c r="C309" s="11" t="inlineStr">
        <is>
          <t>SC</t>
        </is>
      </c>
      <c r="D309" s="11" t="inlineStr">
        <is>
          <t>no</t>
        </is>
      </c>
      <c r="E309" s="11" t="inlineStr">
        <is>
          <t>yes</t>
        </is>
      </c>
      <c r="F309" s="11" t="inlineStr">
        <is>
          <t>c12691</t>
        </is>
      </c>
      <c r="G309" s="11" t="inlineStr">
        <is>
          <t>cite</t>
        </is>
      </c>
      <c r="H309" s="11" t="inlineStr">
        <is>
          <t>c13285</t>
        </is>
      </c>
      <c r="I309" s="11" t="inlineStr">
        <is>
          <t>cite</t>
        </is>
      </c>
      <c r="J309" s="11" t="inlineStr">
        <is>
          <t>no</t>
        </is>
      </c>
      <c r="K309" s="11" t="inlineStr">
        <is>
          <t>yes</t>
        </is>
      </c>
      <c r="L309" s="11" t="inlineStr">
        <is>
          <t>tune</t>
        </is>
      </c>
    </row>
    <row r="310">
      <c r="A310" s="11" t="inlineStr">
        <is>
          <t>307</t>
        </is>
      </c>
      <c r="B310" s="11" t="inlineStr">
        <is>
          <t>47</t>
        </is>
      </c>
      <c r="C310" s="11" t="inlineStr">
        <is>
          <t>SC</t>
        </is>
      </c>
      <c r="D310" s="11" t="inlineStr">
        <is>
          <t>no</t>
        </is>
      </c>
      <c r="E310" s="11" t="inlineStr">
        <is>
          <t>yes</t>
        </is>
      </c>
      <c r="F310" s="11" t="inlineStr"/>
      <c r="G310" s="11" t="inlineStr"/>
      <c r="H310" s="11" t="inlineStr"/>
      <c r="I310" s="11" t="inlineStr"/>
      <c r="J310" s="11" t="inlineStr">
        <is>
          <t>no</t>
        </is>
      </c>
      <c r="K310" s="11" t="inlineStr">
        <is>
          <t>no</t>
        </is>
      </c>
      <c r="L310" s="11" t="inlineStr"/>
    </row>
    <row r="311">
      <c r="A311" s="11" t="inlineStr">
        <is>
          <t>308</t>
        </is>
      </c>
      <c r="B311" s="11" t="inlineStr">
        <is>
          <t>48</t>
        </is>
      </c>
      <c r="C311" s="11" t="inlineStr">
        <is>
          <t>SC</t>
        </is>
      </c>
      <c r="D311" s="11" t="inlineStr">
        <is>
          <t>no</t>
        </is>
      </c>
      <c r="E311" s="11" t="inlineStr">
        <is>
          <t>yes</t>
        </is>
      </c>
      <c r="F311" s="11" t="inlineStr">
        <is>
          <t>c16146</t>
        </is>
      </c>
      <c r="G311" s="11" t="inlineStr">
        <is>
          <t>cite</t>
        </is>
      </c>
      <c r="H311" s="11" t="inlineStr">
        <is>
          <t>c25628</t>
        </is>
      </c>
      <c r="I311" s="11" t="inlineStr">
        <is>
          <t>name</t>
        </is>
      </c>
      <c r="J311" s="11" t="inlineStr">
        <is>
          <t>no</t>
        </is>
      </c>
      <c r="K311" s="11" t="inlineStr">
        <is>
          <t>yes</t>
        </is>
      </c>
      <c r="L311" s="11" t="inlineStr">
        <is>
          <t>tune</t>
        </is>
      </c>
    </row>
    <row r="312">
      <c r="A312" s="11" t="inlineStr">
        <is>
          <t>309</t>
        </is>
      </c>
      <c r="B312" s="11" t="inlineStr">
        <is>
          <t>48</t>
        </is>
      </c>
      <c r="C312" s="11" t="inlineStr">
        <is>
          <t>SC</t>
        </is>
      </c>
      <c r="D312" s="11" t="inlineStr">
        <is>
          <t>no</t>
        </is>
      </c>
      <c r="E312" s="11" t="inlineStr">
        <is>
          <t>yes</t>
        </is>
      </c>
      <c r="F312" s="11" t="inlineStr">
        <is>
          <t>b1996_1_573_602</t>
        </is>
      </c>
      <c r="G312" s="11" t="inlineStr">
        <is>
          <t>cite</t>
        </is>
      </c>
      <c r="H312" s="11" t="inlineStr"/>
      <c r="I312" s="11" t="inlineStr"/>
      <c r="J312" s="11" t="inlineStr">
        <is>
          <t>no</t>
        </is>
      </c>
      <c r="K312" s="11" t="inlineStr">
        <is>
          <t>no</t>
        </is>
      </c>
      <c r="L312" s="11" t="inlineStr"/>
    </row>
    <row r="313">
      <c r="A313" s="11" t="inlineStr">
        <is>
          <t>310</t>
        </is>
      </c>
      <c r="B313" s="11" t="inlineStr">
        <is>
          <t>48</t>
        </is>
      </c>
      <c r="C313" s="11" t="inlineStr">
        <is>
          <t>SC</t>
        </is>
      </c>
      <c r="D313" s="11" t="inlineStr">
        <is>
          <t>no</t>
        </is>
      </c>
      <c r="E313" s="11" t="inlineStr">
        <is>
          <t>no</t>
        </is>
      </c>
      <c r="F313" s="11" t="inlineStr">
        <is>
          <t>c6883</t>
        </is>
      </c>
      <c r="G313" s="11" t="inlineStr">
        <is>
          <t>cite</t>
        </is>
      </c>
      <c r="H313" s="11" t="inlineStr">
        <is>
          <t>c6012</t>
        </is>
      </c>
      <c r="I313" s="11" t="inlineStr">
        <is>
          <t>cite</t>
        </is>
      </c>
      <c r="J313" s="11" t="inlineStr">
        <is>
          <t>no</t>
        </is>
      </c>
      <c r="K313" s="11" t="inlineStr">
        <is>
          <t>yes</t>
        </is>
      </c>
      <c r="L313" s="11" t="inlineStr">
        <is>
          <t>tune</t>
        </is>
      </c>
    </row>
    <row r="314">
      <c r="A314" s="11" t="inlineStr">
        <is>
          <t>311</t>
        </is>
      </c>
      <c r="B314" s="11" t="inlineStr">
        <is>
          <t>48</t>
        </is>
      </c>
      <c r="C314" s="11" t="inlineStr">
        <is>
          <t>SC</t>
        </is>
      </c>
      <c r="D314" s="11" t="inlineStr">
        <is>
          <t>no</t>
        </is>
      </c>
      <c r="E314" s="11" t="inlineStr">
        <is>
          <t>no</t>
        </is>
      </c>
      <c r="F314" s="11" t="inlineStr">
        <is>
          <t>c14171</t>
        </is>
      </c>
      <c r="G314" s="11" t="inlineStr">
        <is>
          <t>cite</t>
        </is>
      </c>
      <c r="H314" s="11" t="inlineStr">
        <is>
          <t>c30319</t>
        </is>
      </c>
      <c r="I314" s="11" t="inlineStr">
        <is>
          <t>cite</t>
        </is>
      </c>
      <c r="J314" s="11" t="inlineStr">
        <is>
          <t>no</t>
        </is>
      </c>
      <c r="K314" s="11" t="inlineStr">
        <is>
          <t>yes</t>
        </is>
      </c>
      <c r="L314" s="11" t="inlineStr">
        <is>
          <t>untouched</t>
        </is>
      </c>
    </row>
    <row r="315">
      <c r="A315" s="11" t="inlineStr">
        <is>
          <t>312</t>
        </is>
      </c>
      <c r="B315" s="11" t="inlineStr">
        <is>
          <t>48</t>
        </is>
      </c>
      <c r="C315" s="11" t="inlineStr">
        <is>
          <t>SC</t>
        </is>
      </c>
      <c r="D315" s="11" t="inlineStr">
        <is>
          <t>no</t>
        </is>
      </c>
      <c r="E315" s="11" t="inlineStr">
        <is>
          <t>no</t>
        </is>
      </c>
      <c r="F315" s="11" t="inlineStr"/>
      <c r="G315" s="11" t="inlineStr"/>
      <c r="H315" s="11" t="inlineStr">
        <is>
          <t>c30105</t>
        </is>
      </c>
      <c r="I315" s="11" t="inlineStr">
        <is>
          <t>name</t>
        </is>
      </c>
      <c r="J315" s="11" t="inlineStr">
        <is>
          <t>no</t>
        </is>
      </c>
      <c r="K315" s="11" t="inlineStr">
        <is>
          <t>no</t>
        </is>
      </c>
      <c r="L315" s="11" t="inlineStr"/>
    </row>
    <row r="316">
      <c r="A316" s="11" t="inlineStr">
        <is>
          <t>313</t>
        </is>
      </c>
      <c r="B316" s="11" t="inlineStr">
        <is>
          <t>49</t>
        </is>
      </c>
      <c r="C316" s="11" t="inlineStr">
        <is>
          <t>SC</t>
        </is>
      </c>
      <c r="D316" s="11" t="inlineStr">
        <is>
          <t>no</t>
        </is>
      </c>
      <c r="E316" s="11" t="inlineStr">
        <is>
          <t>no</t>
        </is>
      </c>
      <c r="F316" s="11" t="inlineStr"/>
      <c r="G316" s="11" t="inlineStr"/>
      <c r="H316" s="11" t="inlineStr">
        <is>
          <t>c14811</t>
        </is>
      </c>
      <c r="I316" s="11" t="inlineStr">
        <is>
          <t>name</t>
        </is>
      </c>
      <c r="J316" s="11" t="inlineStr">
        <is>
          <t>no</t>
        </is>
      </c>
      <c r="K316" s="11" t="inlineStr">
        <is>
          <t>no</t>
        </is>
      </c>
      <c r="L316" s="11" t="inlineStr"/>
    </row>
    <row r="317">
      <c r="A317" s="11" t="inlineStr">
        <is>
          <t>314</t>
        </is>
      </c>
      <c r="B317" s="11" t="inlineStr">
        <is>
          <t>49</t>
        </is>
      </c>
      <c r="C317" s="11" t="inlineStr">
        <is>
          <t>SC</t>
        </is>
      </c>
      <c r="D317" s="11" t="inlineStr">
        <is>
          <t>no</t>
        </is>
      </c>
      <c r="E317" s="11" t="inlineStr">
        <is>
          <t>no</t>
        </is>
      </c>
      <c r="F317" s="11" t="inlineStr">
        <is>
          <t>c5757</t>
        </is>
      </c>
      <c r="G317" s="11" t="inlineStr">
        <is>
          <t>cite</t>
        </is>
      </c>
      <c r="H317" s="11" t="inlineStr">
        <is>
          <t>c5324</t>
        </is>
      </c>
      <c r="I317" s="11" t="inlineStr">
        <is>
          <t>cite</t>
        </is>
      </c>
      <c r="J317" s="11" t="inlineStr">
        <is>
          <t>no</t>
        </is>
      </c>
      <c r="K317" s="11" t="inlineStr">
        <is>
          <t>yes</t>
        </is>
      </c>
      <c r="L317" s="11" t="inlineStr">
        <is>
          <t>tune</t>
        </is>
      </c>
    </row>
    <row r="318">
      <c r="A318" s="11" t="inlineStr">
        <is>
          <t>315</t>
        </is>
      </c>
      <c r="B318" s="11" t="inlineStr">
        <is>
          <t>49</t>
        </is>
      </c>
      <c r="C318" s="11" t="inlineStr">
        <is>
          <t>SC</t>
        </is>
      </c>
      <c r="D318" s="11" t="inlineStr">
        <is>
          <t>no</t>
        </is>
      </c>
      <c r="E318" s="11" t="inlineStr">
        <is>
          <t>no</t>
        </is>
      </c>
      <c r="F318" s="11" t="inlineStr">
        <is>
          <t>c7901</t>
        </is>
      </c>
      <c r="G318" s="11" t="inlineStr">
        <is>
          <t>cite</t>
        </is>
      </c>
      <c r="H318" s="11" t="inlineStr"/>
      <c r="I318" s="11" t="inlineStr"/>
      <c r="J318" s="11" t="inlineStr">
        <is>
          <t>no</t>
        </is>
      </c>
      <c r="K318" s="11" t="inlineStr">
        <is>
          <t>no</t>
        </is>
      </c>
      <c r="L318" s="11" t="inlineStr"/>
    </row>
    <row r="319">
      <c r="A319" s="11" t="inlineStr">
        <is>
          <t>316</t>
        </is>
      </c>
      <c r="B319" s="11" t="inlineStr">
        <is>
          <t>49</t>
        </is>
      </c>
      <c r="C319" s="11" t="inlineStr">
        <is>
          <t>SC</t>
        </is>
      </c>
      <c r="D319" s="11" t="inlineStr">
        <is>
          <t>no</t>
        </is>
      </c>
      <c r="E319" s="11" t="inlineStr">
        <is>
          <t>no</t>
        </is>
      </c>
      <c r="F319" s="11" t="inlineStr">
        <is>
          <t>c8879</t>
        </is>
      </c>
      <c r="G319" s="11" t="inlineStr">
        <is>
          <t>cite</t>
        </is>
      </c>
      <c r="H319" s="11" t="inlineStr">
        <is>
          <t>c8434</t>
        </is>
      </c>
      <c r="I319" s="11" t="inlineStr">
        <is>
          <t>cite</t>
        </is>
      </c>
      <c r="J319" s="11" t="inlineStr">
        <is>
          <t>no</t>
        </is>
      </c>
      <c r="K319" s="11" t="inlineStr">
        <is>
          <t>yes</t>
        </is>
      </c>
      <c r="L319" s="11" t="inlineStr">
        <is>
          <t>tune</t>
        </is>
      </c>
    </row>
    <row r="320">
      <c r="A320" s="11" t="inlineStr">
        <is>
          <t>317</t>
        </is>
      </c>
      <c r="B320" s="11" t="inlineStr">
        <is>
          <t>49</t>
        </is>
      </c>
      <c r="C320" s="11" t="inlineStr">
        <is>
          <t>SC</t>
        </is>
      </c>
      <c r="D320" s="11" t="inlineStr">
        <is>
          <t>no</t>
        </is>
      </c>
      <c r="E320" s="11" t="inlineStr">
        <is>
          <t>no</t>
        </is>
      </c>
      <c r="F320" s="11" t="inlineStr">
        <is>
          <t>bS_1996_2_204_229</t>
        </is>
      </c>
      <c r="G320" s="11" t="inlineStr">
        <is>
          <t>name</t>
        </is>
      </c>
      <c r="H320" s="11" t="inlineStr"/>
      <c r="I320" s="11" t="inlineStr"/>
      <c r="J320" s="11" t="inlineStr">
        <is>
          <t>no</t>
        </is>
      </c>
      <c r="K320" s="11" t="inlineStr">
        <is>
          <t>no</t>
        </is>
      </c>
      <c r="L320" s="11" t="inlineStr"/>
    </row>
    <row r="321">
      <c r="A321" s="11" t="inlineStr">
        <is>
          <t>318</t>
        </is>
      </c>
      <c r="B321" s="11" t="inlineStr">
        <is>
          <t>49</t>
        </is>
      </c>
      <c r="C321" s="11" t="inlineStr">
        <is>
          <t>SC</t>
        </is>
      </c>
      <c r="D321" s="11" t="inlineStr">
        <is>
          <t>no</t>
        </is>
      </c>
      <c r="E321" s="11" t="inlineStr">
        <is>
          <t>no</t>
        </is>
      </c>
      <c r="F321" s="11" t="inlineStr"/>
      <c r="G321" s="11" t="inlineStr"/>
      <c r="H321" s="11" t="inlineStr"/>
      <c r="I321" s="11" t="inlineStr"/>
      <c r="J321" s="11" t="inlineStr">
        <is>
          <t>no</t>
        </is>
      </c>
      <c r="K321" s="11" t="inlineStr">
        <is>
          <t>no</t>
        </is>
      </c>
      <c r="L321" s="11" t="inlineStr"/>
    </row>
    <row r="322">
      <c r="A322" s="11" t="inlineStr">
        <is>
          <t>319</t>
        </is>
      </c>
      <c r="B322" s="11" t="inlineStr">
        <is>
          <t>50</t>
        </is>
      </c>
      <c r="C322" s="11" t="inlineStr">
        <is>
          <t>SC</t>
        </is>
      </c>
      <c r="D322" s="11" t="inlineStr">
        <is>
          <t>no</t>
        </is>
      </c>
      <c r="E322" s="11" t="inlineStr">
        <is>
          <t>no</t>
        </is>
      </c>
      <c r="F322" s="11" t="inlineStr">
        <is>
          <t>c1639</t>
        </is>
      </c>
      <c r="G322" s="11" t="inlineStr">
        <is>
          <t>cite</t>
        </is>
      </c>
      <c r="H322" s="11" t="inlineStr">
        <is>
          <t>c4627</t>
        </is>
      </c>
      <c r="I322" s="11" t="inlineStr">
        <is>
          <t>cite</t>
        </is>
      </c>
      <c r="J322" s="11" t="inlineStr">
        <is>
          <t>no</t>
        </is>
      </c>
      <c r="K322" s="11" t="inlineStr">
        <is>
          <t>yes</t>
        </is>
      </c>
      <c r="L322" s="11" t="inlineStr">
        <is>
          <t>untouched</t>
        </is>
      </c>
    </row>
    <row r="323">
      <c r="A323" s="11" t="inlineStr">
        <is>
          <t>320</t>
        </is>
      </c>
      <c r="B323" s="11" t="inlineStr">
        <is>
          <t>50</t>
        </is>
      </c>
      <c r="C323" s="11" t="inlineStr">
        <is>
          <t>SC</t>
        </is>
      </c>
      <c r="D323" s="11" t="inlineStr">
        <is>
          <t>no</t>
        </is>
      </c>
      <c r="E323" s="11" t="inlineStr">
        <is>
          <t>no</t>
        </is>
      </c>
      <c r="F323" s="11" t="inlineStr">
        <is>
          <t>c4799</t>
        </is>
      </c>
      <c r="G323" s="11" t="inlineStr">
        <is>
          <t>cite</t>
        </is>
      </c>
      <c r="H323" s="11" t="inlineStr"/>
      <c r="I323" s="11" t="inlineStr"/>
      <c r="J323" s="11" t="inlineStr">
        <is>
          <t>no</t>
        </is>
      </c>
      <c r="K323" s="11" t="inlineStr">
        <is>
          <t>no</t>
        </is>
      </c>
      <c r="L323" s="11" t="inlineStr"/>
    </row>
    <row r="324">
      <c r="A324" s="11" t="inlineStr">
        <is>
          <t>321</t>
        </is>
      </c>
      <c r="B324" s="11" t="inlineStr">
        <is>
          <t>50</t>
        </is>
      </c>
      <c r="C324" s="11" t="inlineStr">
        <is>
          <t>SC</t>
        </is>
      </c>
      <c r="D324" s="11" t="inlineStr">
        <is>
          <t>no</t>
        </is>
      </c>
      <c r="E324" s="11" t="inlineStr">
        <is>
          <t>yes</t>
        </is>
      </c>
      <c r="F324" s="11" t="inlineStr">
        <is>
          <t>c7495</t>
        </is>
      </c>
      <c r="G324" s="11" t="inlineStr">
        <is>
          <t>cite</t>
        </is>
      </c>
      <c r="H324" s="11" t="inlineStr">
        <is>
          <t>bS_2003_4_84_120</t>
        </is>
      </c>
      <c r="I324" s="11" t="inlineStr">
        <is>
          <t>name</t>
        </is>
      </c>
      <c r="J324" s="11" t="inlineStr">
        <is>
          <t>no</t>
        </is>
      </c>
      <c r="K324" s="11" t="inlineStr">
        <is>
          <t>yes</t>
        </is>
      </c>
      <c r="L324" s="11" t="inlineStr">
        <is>
          <t>untouched</t>
        </is>
      </c>
    </row>
    <row r="325">
      <c r="A325" s="11" t="inlineStr">
        <is>
          <t>322</t>
        </is>
      </c>
      <c r="B325" s="11" t="inlineStr">
        <is>
          <t>50</t>
        </is>
      </c>
      <c r="C325" s="11" t="inlineStr">
        <is>
          <t>SC</t>
        </is>
      </c>
      <c r="D325" s="11" t="inlineStr">
        <is>
          <t>no</t>
        </is>
      </c>
      <c r="E325" s="11" t="inlineStr">
        <is>
          <t>no</t>
        </is>
      </c>
      <c r="F325" s="11" t="inlineStr">
        <is>
          <t>c4522</t>
        </is>
      </c>
      <c r="G325" s="11" t="inlineStr">
        <is>
          <t>cite</t>
        </is>
      </c>
      <c r="H325" s="11" t="inlineStr">
        <is>
          <t>c13429</t>
        </is>
      </c>
      <c r="I325" s="11" t="inlineStr">
        <is>
          <t>cite</t>
        </is>
      </c>
      <c r="J325" s="11" t="inlineStr">
        <is>
          <t>no</t>
        </is>
      </c>
      <c r="K325" s="11" t="inlineStr">
        <is>
          <t>yes</t>
        </is>
      </c>
      <c r="L325" s="11" t="inlineStr">
        <is>
          <t>tune</t>
        </is>
      </c>
    </row>
    <row r="326">
      <c r="A326" s="11" t="inlineStr">
        <is>
          <t>323</t>
        </is>
      </c>
      <c r="B326" s="11" t="inlineStr">
        <is>
          <t>50</t>
        </is>
      </c>
      <c r="C326" s="11" t="inlineStr">
        <is>
          <t>SC</t>
        </is>
      </c>
      <c r="D326" s="11" t="inlineStr">
        <is>
          <t>no</t>
        </is>
      </c>
      <c r="E326" s="11" t="inlineStr">
        <is>
          <t>no</t>
        </is>
      </c>
      <c r="F326" s="11" t="inlineStr">
        <is>
          <t>c14328</t>
        </is>
      </c>
      <c r="G326" s="11" t="inlineStr">
        <is>
          <t>cite</t>
        </is>
      </c>
      <c r="H326" s="11" t="inlineStr"/>
      <c r="I326" s="11" t="inlineStr"/>
      <c r="J326" s="11" t="inlineStr">
        <is>
          <t>no</t>
        </is>
      </c>
      <c r="K326" s="11" t="inlineStr">
        <is>
          <t>no</t>
        </is>
      </c>
      <c r="L326" s="11" t="inlineStr"/>
    </row>
    <row r="327">
      <c r="A327" s="11" t="inlineStr">
        <is>
          <t>324</t>
        </is>
      </c>
      <c r="B327" s="11" t="inlineStr">
        <is>
          <t>50</t>
        </is>
      </c>
      <c r="C327" s="11" t="inlineStr">
        <is>
          <t>SC</t>
        </is>
      </c>
      <c r="D327" s="11" t="inlineStr">
        <is>
          <t>no</t>
        </is>
      </c>
      <c r="E327" s="11" t="inlineStr">
        <is>
          <t>no</t>
        </is>
      </c>
      <c r="F327" s="11" t="inlineStr">
        <is>
          <t>c6582</t>
        </is>
      </c>
      <c r="G327" s="11" t="inlineStr">
        <is>
          <t>cite</t>
        </is>
      </c>
      <c r="H327" s="11" t="inlineStr">
        <is>
          <t>c5559</t>
        </is>
      </c>
      <c r="I327" s="11" t="inlineStr">
        <is>
          <t>cite</t>
        </is>
      </c>
      <c r="J327" s="11" t="inlineStr">
        <is>
          <t>no</t>
        </is>
      </c>
      <c r="K327" s="11" t="inlineStr">
        <is>
          <t>yes</t>
        </is>
      </c>
      <c r="L327" s="11" t="inlineStr">
        <is>
          <t>tune</t>
        </is>
      </c>
    </row>
    <row r="328">
      <c r="A328" s="11" t="inlineStr">
        <is>
          <t>325</t>
        </is>
      </c>
      <c r="B328" s="11" t="inlineStr">
        <is>
          <t>50</t>
        </is>
      </c>
      <c r="C328" s="11" t="inlineStr">
        <is>
          <t>SC</t>
        </is>
      </c>
      <c r="D328" s="11" t="inlineStr">
        <is>
          <t>no</t>
        </is>
      </c>
      <c r="E328" s="11" t="inlineStr">
        <is>
          <t>yes</t>
        </is>
      </c>
      <c r="F328" s="11" t="inlineStr"/>
      <c r="G328" s="11" t="inlineStr"/>
      <c r="H328" s="11" t="inlineStr">
        <is>
          <t>b1999_2_1005_1009</t>
        </is>
      </c>
      <c r="I328" s="11" t="inlineStr">
        <is>
          <t>cite</t>
        </is>
      </c>
      <c r="J328" s="11" t="inlineStr">
        <is>
          <t>no</t>
        </is>
      </c>
      <c r="K328" s="11" t="inlineStr">
        <is>
          <t>no</t>
        </is>
      </c>
      <c r="L328" s="11" t="inlineStr"/>
    </row>
    <row r="329">
      <c r="A329" s="11" t="inlineStr">
        <is>
          <t>326</t>
        </is>
      </c>
      <c r="B329" s="11" t="inlineStr">
        <is>
          <t>51</t>
        </is>
      </c>
      <c r="C329" s="11" t="inlineStr">
        <is>
          <t>SC</t>
        </is>
      </c>
      <c r="D329" s="11" t="inlineStr">
        <is>
          <t>no</t>
        </is>
      </c>
      <c r="E329" s="11" t="inlineStr">
        <is>
          <t>no</t>
        </is>
      </c>
      <c r="F329" s="11" t="inlineStr">
        <is>
          <t>c12516</t>
        </is>
      </c>
      <c r="G329" s="11" t="inlineStr">
        <is>
          <t>cite</t>
        </is>
      </c>
      <c r="H329" s="11" t="inlineStr">
        <is>
          <t>c13429</t>
        </is>
      </c>
      <c r="I329" s="11" t="inlineStr">
        <is>
          <t>cite</t>
        </is>
      </c>
      <c r="J329" s="11" t="inlineStr">
        <is>
          <t>no</t>
        </is>
      </c>
      <c r="K329" s="11" t="inlineStr">
        <is>
          <t>yes</t>
        </is>
      </c>
      <c r="L329" s="11" t="inlineStr">
        <is>
          <t>tune</t>
        </is>
      </c>
    </row>
    <row r="330">
      <c r="A330" s="11" t="inlineStr">
        <is>
          <t>327</t>
        </is>
      </c>
      <c r="B330" s="11" t="inlineStr">
        <is>
          <t>51</t>
        </is>
      </c>
      <c r="C330" s="11" t="inlineStr">
        <is>
          <t>SC</t>
        </is>
      </c>
      <c r="D330" s="11" t="inlineStr">
        <is>
          <t>no</t>
        </is>
      </c>
      <c r="E330" s="11" t="inlineStr">
        <is>
          <t>no</t>
        </is>
      </c>
      <c r="F330" s="11" t="inlineStr">
        <is>
          <t>c9916</t>
        </is>
      </c>
      <c r="G330" s="11" t="inlineStr">
        <is>
          <t>cite</t>
        </is>
      </c>
      <c r="H330" s="11" t="inlineStr">
        <is>
          <t>c20408</t>
        </is>
      </c>
      <c r="I330" s="11" t="inlineStr">
        <is>
          <t>cite</t>
        </is>
      </c>
      <c r="J330" s="11" t="inlineStr">
        <is>
          <t>no</t>
        </is>
      </c>
      <c r="K330" s="11" t="inlineStr">
        <is>
          <t>yes</t>
        </is>
      </c>
      <c r="L330" s="11" t="inlineStr">
        <is>
          <t>untouched</t>
        </is>
      </c>
    </row>
    <row r="331">
      <c r="A331" s="11" t="inlineStr">
        <is>
          <t>328</t>
        </is>
      </c>
      <c r="B331" s="11" t="inlineStr">
        <is>
          <t>51</t>
        </is>
      </c>
      <c r="C331" s="11" t="inlineStr">
        <is>
          <t>SC</t>
        </is>
      </c>
      <c r="D331" s="11" t="inlineStr">
        <is>
          <t>no</t>
        </is>
      </c>
      <c r="E331" s="11" t="inlineStr">
        <is>
          <t>no</t>
        </is>
      </c>
      <c r="F331" s="11" t="inlineStr">
        <is>
          <t>c12544</t>
        </is>
      </c>
      <c r="G331" s="11" t="inlineStr">
        <is>
          <t>cite</t>
        </is>
      </c>
      <c r="H331" s="11" t="inlineStr">
        <is>
          <t>c18806</t>
        </is>
      </c>
      <c r="I331" s="11" t="inlineStr">
        <is>
          <t>name</t>
        </is>
      </c>
      <c r="J331" s="11" t="inlineStr">
        <is>
          <t>no</t>
        </is>
      </c>
      <c r="K331" s="11" t="inlineStr">
        <is>
          <t>yes</t>
        </is>
      </c>
      <c r="L331" s="11" t="inlineStr">
        <is>
          <t>tune</t>
        </is>
      </c>
    </row>
    <row r="332">
      <c r="A332" s="11" t="inlineStr">
        <is>
          <t>329</t>
        </is>
      </c>
      <c r="B332" s="11" t="inlineStr">
        <is>
          <t>51</t>
        </is>
      </c>
      <c r="C332" s="11" t="inlineStr">
        <is>
          <t>SC</t>
        </is>
      </c>
      <c r="D332" s="11" t="inlineStr">
        <is>
          <t>no</t>
        </is>
      </c>
      <c r="E332" s="11" t="inlineStr">
        <is>
          <t>no</t>
        </is>
      </c>
      <c r="F332" s="11" t="inlineStr">
        <is>
          <t>c4597</t>
        </is>
      </c>
      <c r="G332" s="11" t="inlineStr">
        <is>
          <t>cite</t>
        </is>
      </c>
      <c r="H332" s="11" t="inlineStr">
        <is>
          <t>c8668</t>
        </is>
      </c>
      <c r="I332" s="11" t="inlineStr">
        <is>
          <t>cite</t>
        </is>
      </c>
      <c r="J332" s="11" t="inlineStr">
        <is>
          <t>no</t>
        </is>
      </c>
      <c r="K332" s="11" t="inlineStr">
        <is>
          <t>yes</t>
        </is>
      </c>
      <c r="L332" s="11" t="inlineStr">
        <is>
          <t>untouched</t>
        </is>
      </c>
    </row>
    <row r="333">
      <c r="A333" s="11" t="inlineStr">
        <is>
          <t>330</t>
        </is>
      </c>
      <c r="B333" s="11" t="inlineStr">
        <is>
          <t>51</t>
        </is>
      </c>
      <c r="C333" s="11" t="inlineStr">
        <is>
          <t>SC</t>
        </is>
      </c>
      <c r="D333" s="11" t="inlineStr">
        <is>
          <t>no</t>
        </is>
      </c>
      <c r="E333" s="11" t="inlineStr">
        <is>
          <t>no</t>
        </is>
      </c>
      <c r="F333" s="11" t="inlineStr">
        <is>
          <t>c1777</t>
        </is>
      </c>
      <c r="G333" s="11" t="inlineStr">
        <is>
          <t>cite</t>
        </is>
      </c>
      <c r="H333" s="11" t="inlineStr">
        <is>
          <t>c4475</t>
        </is>
      </c>
      <c r="I333" s="11" t="inlineStr">
        <is>
          <t>cite</t>
        </is>
      </c>
      <c r="J333" s="11" t="inlineStr">
        <is>
          <t>no</t>
        </is>
      </c>
      <c r="K333" s="11" t="inlineStr">
        <is>
          <t>yes</t>
        </is>
      </c>
      <c r="L333" s="11" t="inlineStr">
        <is>
          <t>tune</t>
        </is>
      </c>
    </row>
    <row r="334">
      <c r="A334" s="11" t="inlineStr">
        <is>
          <t>331</t>
        </is>
      </c>
      <c r="B334" s="11" t="inlineStr">
        <is>
          <t>51</t>
        </is>
      </c>
      <c r="C334" s="11" t="inlineStr">
        <is>
          <t>SC</t>
        </is>
      </c>
      <c r="D334" s="11" t="inlineStr">
        <is>
          <t>no</t>
        </is>
      </c>
      <c r="E334" s="11" t="inlineStr">
        <is>
          <t>no</t>
        </is>
      </c>
      <c r="F334" s="11" t="inlineStr">
        <is>
          <t>b1995_2_703_715</t>
        </is>
      </c>
      <c r="G334" s="11" t="inlineStr">
        <is>
          <t>cite</t>
        </is>
      </c>
      <c r="H334" s="11" t="inlineStr"/>
      <c r="I334" s="11" t="inlineStr"/>
      <c r="J334" s="11" t="inlineStr">
        <is>
          <t>no</t>
        </is>
      </c>
      <c r="K334" s="11" t="inlineStr">
        <is>
          <t>no</t>
        </is>
      </c>
      <c r="L334" s="11" t="inlineStr"/>
    </row>
    <row r="335">
      <c r="A335" s="11" t="inlineStr">
        <is>
          <t>332</t>
        </is>
      </c>
      <c r="B335" s="11" t="inlineStr">
        <is>
          <t>52</t>
        </is>
      </c>
      <c r="C335" s="11" t="inlineStr">
        <is>
          <t>SC</t>
        </is>
      </c>
      <c r="D335" s="11" t="inlineStr">
        <is>
          <t>no</t>
        </is>
      </c>
      <c r="E335" s="11" t="inlineStr">
        <is>
          <t>no</t>
        </is>
      </c>
      <c r="F335" s="11" t="inlineStr"/>
      <c r="G335" s="11" t="inlineStr"/>
      <c r="H335" s="11" t="inlineStr"/>
      <c r="I335" s="11" t="inlineStr"/>
      <c r="J335" s="11" t="inlineStr">
        <is>
          <t>no</t>
        </is>
      </c>
      <c r="K335" s="11" t="inlineStr">
        <is>
          <t>no</t>
        </is>
      </c>
      <c r="L335" s="11" t="inlineStr"/>
    </row>
    <row r="336">
      <c r="A336" s="11" t="inlineStr">
        <is>
          <t>333</t>
        </is>
      </c>
      <c r="B336" s="11" t="inlineStr">
        <is>
          <t>52</t>
        </is>
      </c>
      <c r="C336" s="11" t="inlineStr">
        <is>
          <t>SC</t>
        </is>
      </c>
      <c r="D336" s="11" t="inlineStr">
        <is>
          <t>no</t>
        </is>
      </c>
      <c r="E336" s="11" t="inlineStr">
        <is>
          <t>no</t>
        </is>
      </c>
      <c r="F336" s="11" t="inlineStr">
        <is>
          <t>c5753</t>
        </is>
      </c>
      <c r="G336" s="11" t="inlineStr">
        <is>
          <t>cite</t>
        </is>
      </c>
      <c r="H336" s="11" t="inlineStr">
        <is>
          <t>c15675</t>
        </is>
      </c>
      <c r="I336" s="11" t="inlineStr">
        <is>
          <t>cite</t>
        </is>
      </c>
      <c r="J336" s="11" t="inlineStr">
        <is>
          <t>no</t>
        </is>
      </c>
      <c r="K336" s="11" t="inlineStr">
        <is>
          <t>yes</t>
        </is>
      </c>
      <c r="L336" s="11" t="inlineStr">
        <is>
          <t>untouched</t>
        </is>
      </c>
    </row>
    <row r="337">
      <c r="A337" s="11" t="inlineStr">
        <is>
          <t>334</t>
        </is>
      </c>
      <c r="B337" s="11" t="inlineStr">
        <is>
          <t>52</t>
        </is>
      </c>
      <c r="C337" s="11" t="inlineStr">
        <is>
          <t>SC</t>
        </is>
      </c>
      <c r="D337" s="11" t="inlineStr">
        <is>
          <t>no</t>
        </is>
      </c>
      <c r="E337" s="11" t="inlineStr">
        <is>
          <t>yes</t>
        </is>
      </c>
      <c r="F337" s="11" t="inlineStr"/>
      <c r="G337" s="11" t="inlineStr"/>
      <c r="H337" s="11" t="inlineStr"/>
      <c r="I337" s="11" t="inlineStr"/>
      <c r="J337" s="11" t="inlineStr">
        <is>
          <t>no</t>
        </is>
      </c>
      <c r="K337" s="11" t="inlineStr">
        <is>
          <t>no</t>
        </is>
      </c>
      <c r="L337" s="11" t="inlineStr"/>
    </row>
    <row r="338">
      <c r="A338" s="11" t="inlineStr">
        <is>
          <t>335</t>
        </is>
      </c>
      <c r="B338" s="11" t="inlineStr">
        <is>
          <t>52</t>
        </is>
      </c>
      <c r="C338" s="11" t="inlineStr">
        <is>
          <t>SC</t>
        </is>
      </c>
      <c r="D338" s="11" t="inlineStr">
        <is>
          <t>no</t>
        </is>
      </c>
      <c r="E338" s="11" t="inlineStr">
        <is>
          <t>yes</t>
        </is>
      </c>
      <c r="F338" s="11" t="inlineStr">
        <is>
          <t>b1994_3_673_716</t>
        </is>
      </c>
      <c r="G338" s="11" t="inlineStr">
        <is>
          <t>cite</t>
        </is>
      </c>
      <c r="H338" s="11" t="inlineStr">
        <is>
          <t>c15825</t>
        </is>
      </c>
      <c r="I338" s="11" t="inlineStr">
        <is>
          <t>cite</t>
        </is>
      </c>
      <c r="J338" s="11" t="inlineStr">
        <is>
          <t>no</t>
        </is>
      </c>
      <c r="K338" s="11" t="inlineStr">
        <is>
          <t>yes</t>
        </is>
      </c>
      <c r="L338" s="11" t="inlineStr">
        <is>
          <t>untouched</t>
        </is>
      </c>
    </row>
    <row r="339">
      <c r="A339" s="11" t="inlineStr">
        <is>
          <t>336</t>
        </is>
      </c>
      <c r="B339" s="11" t="inlineStr">
        <is>
          <t>52</t>
        </is>
      </c>
      <c r="C339" s="11" t="inlineStr">
        <is>
          <t>SC</t>
        </is>
      </c>
      <c r="D339" s="11" t="inlineStr">
        <is>
          <t>yes</t>
        </is>
      </c>
      <c r="E339" s="11" t="inlineStr">
        <is>
          <t>no</t>
        </is>
      </c>
      <c r="F339" s="11" t="inlineStr">
        <is>
          <t>c20560</t>
        </is>
      </c>
      <c r="G339" s="11" t="inlineStr">
        <is>
          <t>cite</t>
        </is>
      </c>
      <c r="H339" s="11" t="inlineStr">
        <is>
          <t>c26363</t>
        </is>
      </c>
      <c r="I339" s="11" t="inlineStr">
        <is>
          <t>name</t>
        </is>
      </c>
      <c r="J339" s="11" t="inlineStr">
        <is>
          <t>no</t>
        </is>
      </c>
      <c r="K339" s="11" t="inlineStr">
        <is>
          <t>yes</t>
        </is>
      </c>
      <c r="L339" s="11" t="inlineStr">
        <is>
          <t>tune</t>
        </is>
      </c>
    </row>
    <row r="340">
      <c r="A340" s="11" t="inlineStr">
        <is>
          <t>337</t>
        </is>
      </c>
      <c r="B340" s="11" t="inlineStr">
        <is>
          <t>52</t>
        </is>
      </c>
      <c r="C340" s="11" t="inlineStr">
        <is>
          <t>SC</t>
        </is>
      </c>
      <c r="D340" s="11" t="inlineStr">
        <is>
          <t>no</t>
        </is>
      </c>
      <c r="E340" s="11" t="inlineStr">
        <is>
          <t>no</t>
        </is>
      </c>
      <c r="F340" s="11" t="inlineStr">
        <is>
          <t>c10728</t>
        </is>
      </c>
      <c r="G340" s="11" t="inlineStr">
        <is>
          <t>cite</t>
        </is>
      </c>
      <c r="H340" s="11" t="inlineStr">
        <is>
          <t>c26138</t>
        </is>
      </c>
      <c r="I340" s="11" t="inlineStr">
        <is>
          <t>name</t>
        </is>
      </c>
      <c r="J340" s="11" t="inlineStr">
        <is>
          <t>no</t>
        </is>
      </c>
      <c r="K340" s="11" t="inlineStr">
        <is>
          <t>yes</t>
        </is>
      </c>
      <c r="L340" s="11" t="inlineStr">
        <is>
          <t>untouched</t>
        </is>
      </c>
    </row>
    <row r="341">
      <c r="A341" s="11" t="inlineStr">
        <is>
          <t>338</t>
        </is>
      </c>
      <c r="B341" s="11" t="inlineStr">
        <is>
          <t>53</t>
        </is>
      </c>
      <c r="C341" s="11" t="inlineStr">
        <is>
          <t>SC</t>
        </is>
      </c>
      <c r="D341" s="11" t="inlineStr">
        <is>
          <t>no</t>
        </is>
      </c>
      <c r="E341" s="11" t="inlineStr">
        <is>
          <t>no</t>
        </is>
      </c>
      <c r="F341" s="11" t="inlineStr">
        <is>
          <t>b1995_3_817_827</t>
        </is>
      </c>
      <c r="G341" s="11" t="inlineStr">
        <is>
          <t>cite</t>
        </is>
      </c>
      <c r="H341" s="11" t="inlineStr">
        <is>
          <t>c13429</t>
        </is>
      </c>
      <c r="I341" s="11" t="inlineStr">
        <is>
          <t>cite</t>
        </is>
      </c>
      <c r="J341" s="11" t="inlineStr">
        <is>
          <t>no</t>
        </is>
      </c>
      <c r="K341" s="11" t="inlineStr">
        <is>
          <t>yes</t>
        </is>
      </c>
      <c r="L341" s="11" t="inlineStr">
        <is>
          <t>tune</t>
        </is>
      </c>
    </row>
    <row r="342">
      <c r="A342" s="11" t="inlineStr">
        <is>
          <t>339</t>
        </is>
      </c>
      <c r="B342" s="11" t="inlineStr">
        <is>
          <t>53</t>
        </is>
      </c>
      <c r="C342" s="11" t="inlineStr">
        <is>
          <t>SC</t>
        </is>
      </c>
      <c r="D342" s="11" t="inlineStr">
        <is>
          <t>no</t>
        </is>
      </c>
      <c r="E342" s="11" t="inlineStr">
        <is>
          <t>no</t>
        </is>
      </c>
      <c r="F342" s="11" t="inlineStr">
        <is>
          <t>c8954</t>
        </is>
      </c>
      <c r="G342" s="11" t="inlineStr">
        <is>
          <t>cite</t>
        </is>
      </c>
      <c r="H342" s="11" t="inlineStr">
        <is>
          <t>c7648</t>
        </is>
      </c>
      <c r="I342" s="11" t="inlineStr">
        <is>
          <t>cite</t>
        </is>
      </c>
      <c r="J342" s="11" t="inlineStr">
        <is>
          <t>no</t>
        </is>
      </c>
      <c r="K342" s="11" t="inlineStr">
        <is>
          <t>yes</t>
        </is>
      </c>
      <c r="L342" s="11" t="inlineStr">
        <is>
          <t>untouched</t>
        </is>
      </c>
    </row>
    <row r="343">
      <c r="A343" s="11" t="inlineStr">
        <is>
          <t>340</t>
        </is>
      </c>
      <c r="B343" s="11" t="inlineStr">
        <is>
          <t>53</t>
        </is>
      </c>
      <c r="C343" s="11" t="inlineStr">
        <is>
          <t>SC</t>
        </is>
      </c>
      <c r="D343" s="11" t="inlineStr">
        <is>
          <t>no</t>
        </is>
      </c>
      <c r="E343" s="11" t="inlineStr">
        <is>
          <t>no</t>
        </is>
      </c>
      <c r="F343" s="11" t="inlineStr"/>
      <c r="G343" s="11" t="inlineStr"/>
      <c r="H343" s="11" t="inlineStr">
        <is>
          <t>c9855</t>
        </is>
      </c>
      <c r="I343" s="11" t="inlineStr">
        <is>
          <t>cite</t>
        </is>
      </c>
      <c r="J343" s="11" t="inlineStr">
        <is>
          <t>no</t>
        </is>
      </c>
      <c r="K343" s="11" t="inlineStr">
        <is>
          <t>no</t>
        </is>
      </c>
      <c r="L343" s="11" t="inlineStr"/>
    </row>
    <row r="344">
      <c r="A344" s="11" t="inlineStr">
        <is>
          <t>341</t>
        </is>
      </c>
      <c r="B344" s="11" t="inlineStr">
        <is>
          <t>53</t>
        </is>
      </c>
      <c r="C344" s="11" t="inlineStr">
        <is>
          <t>SC</t>
        </is>
      </c>
      <c r="D344" s="11" t="inlineStr">
        <is>
          <t>no</t>
        </is>
      </c>
      <c r="E344" s="11" t="inlineStr">
        <is>
          <t>no</t>
        </is>
      </c>
      <c r="F344" s="11" t="inlineStr">
        <is>
          <t>c39251</t>
        </is>
      </c>
      <c r="G344" s="11" t="inlineStr">
        <is>
          <t>name</t>
        </is>
      </c>
      <c r="H344" s="11" t="inlineStr">
        <is>
          <t>c41505</t>
        </is>
      </c>
      <c r="I344" s="11" t="inlineStr">
        <is>
          <t>name</t>
        </is>
      </c>
      <c r="J344" s="11" t="inlineStr">
        <is>
          <t>no</t>
        </is>
      </c>
      <c r="K344" s="11" t="inlineStr">
        <is>
          <t>yes</t>
        </is>
      </c>
      <c r="L344" s="11" t="inlineStr">
        <is>
          <t>untouched</t>
        </is>
      </c>
    </row>
    <row r="345">
      <c r="A345" s="11" t="inlineStr">
        <is>
          <t>342</t>
        </is>
      </c>
      <c r="B345" s="11" t="inlineStr">
        <is>
          <t>53</t>
        </is>
      </c>
      <c r="C345" s="11" t="inlineStr">
        <is>
          <t>SC</t>
        </is>
      </c>
      <c r="D345" s="11" t="inlineStr">
        <is>
          <t>no</t>
        </is>
      </c>
      <c r="E345" s="11" t="inlineStr">
        <is>
          <t>no</t>
        </is>
      </c>
      <c r="F345" s="11" t="inlineStr">
        <is>
          <t>c12113</t>
        </is>
      </c>
      <c r="G345" s="11" t="inlineStr">
        <is>
          <t>cite</t>
        </is>
      </c>
      <c r="H345" s="11" t="inlineStr">
        <is>
          <t>bS_1992_3_56_71</t>
        </is>
      </c>
      <c r="I345" s="11" t="inlineStr">
        <is>
          <t>name</t>
        </is>
      </c>
      <c r="J345" s="11" t="inlineStr">
        <is>
          <t>no</t>
        </is>
      </c>
      <c r="K345" s="11" t="inlineStr">
        <is>
          <t>no</t>
        </is>
      </c>
      <c r="L345" s="11" t="inlineStr"/>
    </row>
    <row r="346">
      <c r="A346" s="11" t="inlineStr">
        <is>
          <t>343</t>
        </is>
      </c>
      <c r="B346" s="11" t="inlineStr">
        <is>
          <t>53</t>
        </is>
      </c>
      <c r="C346" s="11" t="inlineStr">
        <is>
          <t>SC</t>
        </is>
      </c>
      <c r="D346" s="11" t="inlineStr">
        <is>
          <t>no</t>
        </is>
      </c>
      <c r="E346" s="11" t="inlineStr">
        <is>
          <t>no</t>
        </is>
      </c>
      <c r="F346" s="11" t="inlineStr">
        <is>
          <t>c6013</t>
        </is>
      </c>
      <c r="G346" s="11" t="inlineStr">
        <is>
          <t>cite</t>
        </is>
      </c>
      <c r="H346" s="11" t="inlineStr">
        <is>
          <t>c13429</t>
        </is>
      </c>
      <c r="I346" s="11" t="inlineStr">
        <is>
          <t>cite</t>
        </is>
      </c>
      <c r="J346" s="11" t="inlineStr">
        <is>
          <t>no</t>
        </is>
      </c>
      <c r="K346" s="11" t="inlineStr">
        <is>
          <t>yes</t>
        </is>
      </c>
      <c r="L346" s="11" t="inlineStr">
        <is>
          <t>untouched</t>
        </is>
      </c>
    </row>
    <row r="347">
      <c r="A347" s="11" t="inlineStr">
        <is>
          <t>344</t>
        </is>
      </c>
      <c r="B347" s="11" t="inlineStr">
        <is>
          <t>54</t>
        </is>
      </c>
      <c r="C347" s="11" t="inlineStr">
        <is>
          <t>SC</t>
        </is>
      </c>
      <c r="D347" s="11" t="inlineStr">
        <is>
          <t>no</t>
        </is>
      </c>
      <c r="E347" s="11" t="inlineStr">
        <is>
          <t>no</t>
        </is>
      </c>
      <c r="F347" s="11" t="inlineStr">
        <is>
          <t>c5457</t>
        </is>
      </c>
      <c r="G347" s="11" t="inlineStr">
        <is>
          <t>cite</t>
        </is>
      </c>
      <c r="H347" s="11" t="inlineStr">
        <is>
          <t>c9353</t>
        </is>
      </c>
      <c r="I347" s="11" t="inlineStr">
        <is>
          <t>cite</t>
        </is>
      </c>
      <c r="J347" s="11" t="inlineStr">
        <is>
          <t>no</t>
        </is>
      </c>
      <c r="K347" s="11" t="inlineStr">
        <is>
          <t>yes</t>
        </is>
      </c>
      <c r="L347" s="11" t="inlineStr">
        <is>
          <t>tune</t>
        </is>
      </c>
    </row>
    <row r="348">
      <c r="A348" s="11" t="inlineStr">
        <is>
          <t>345</t>
        </is>
      </c>
      <c r="B348" s="11" t="inlineStr">
        <is>
          <t>54</t>
        </is>
      </c>
      <c r="C348" s="11" t="inlineStr">
        <is>
          <t>SC</t>
        </is>
      </c>
      <c r="D348" s="11" t="inlineStr">
        <is>
          <t>no</t>
        </is>
      </c>
      <c r="E348" s="11" t="inlineStr">
        <is>
          <t>no</t>
        </is>
      </c>
      <c r="F348" s="11" t="inlineStr"/>
      <c r="G348" s="11" t="inlineStr"/>
      <c r="H348" s="11" t="inlineStr">
        <is>
          <t>c1428</t>
        </is>
      </c>
      <c r="I348" s="11" t="inlineStr">
        <is>
          <t>cite</t>
        </is>
      </c>
      <c r="J348" s="11" t="inlineStr">
        <is>
          <t>no</t>
        </is>
      </c>
      <c r="K348" s="11" t="inlineStr">
        <is>
          <t>no</t>
        </is>
      </c>
      <c r="L348" s="11" t="inlineStr"/>
    </row>
    <row r="349">
      <c r="A349" s="11" t="inlineStr">
        <is>
          <t>346</t>
        </is>
      </c>
      <c r="B349" s="11" t="inlineStr">
        <is>
          <t>54</t>
        </is>
      </c>
      <c r="C349" s="11" t="inlineStr">
        <is>
          <t>SC</t>
        </is>
      </c>
      <c r="D349" s="11" t="inlineStr">
        <is>
          <t>no</t>
        </is>
      </c>
      <c r="E349" s="11" t="inlineStr">
        <is>
          <t>no</t>
        </is>
      </c>
      <c r="F349" s="11" t="inlineStr">
        <is>
          <t>b1994_1_327_335</t>
        </is>
      </c>
      <c r="G349" s="11" t="inlineStr">
        <is>
          <t>cite</t>
        </is>
      </c>
      <c r="H349" s="11" t="inlineStr">
        <is>
          <t>c13429</t>
        </is>
      </c>
      <c r="I349" s="11" t="inlineStr">
        <is>
          <t>cite</t>
        </is>
      </c>
      <c r="J349" s="11" t="inlineStr">
        <is>
          <t>no</t>
        </is>
      </c>
      <c r="K349" s="11" t="inlineStr">
        <is>
          <t>yes</t>
        </is>
      </c>
      <c r="L349" s="11" t="inlineStr">
        <is>
          <t>tune</t>
        </is>
      </c>
    </row>
    <row r="350">
      <c r="A350" s="11" t="inlineStr">
        <is>
          <t>347</t>
        </is>
      </c>
      <c r="B350" s="11" t="inlineStr">
        <is>
          <t>54</t>
        </is>
      </c>
      <c r="C350" s="11" t="inlineStr">
        <is>
          <t>SC</t>
        </is>
      </c>
      <c r="D350" s="11" t="inlineStr">
        <is>
          <t>no</t>
        </is>
      </c>
      <c r="E350" s="11" t="inlineStr">
        <is>
          <t>yes</t>
        </is>
      </c>
      <c r="F350" s="11" t="inlineStr">
        <is>
          <t>c9834</t>
        </is>
      </c>
      <c r="G350" s="11" t="inlineStr">
        <is>
          <t>cite</t>
        </is>
      </c>
      <c r="H350" s="11" t="inlineStr">
        <is>
          <t>c8050</t>
        </is>
      </c>
      <c r="I350" s="11" t="inlineStr">
        <is>
          <t>cite</t>
        </is>
      </c>
      <c r="J350" s="11" t="inlineStr">
        <is>
          <t>no</t>
        </is>
      </c>
      <c r="K350" s="11" t="inlineStr">
        <is>
          <t>yes</t>
        </is>
      </c>
      <c r="L350" s="11" t="inlineStr">
        <is>
          <t>untouched</t>
        </is>
      </c>
    </row>
    <row r="351">
      <c r="A351" s="11" t="inlineStr">
        <is>
          <t>348</t>
        </is>
      </c>
      <c r="B351" s="11" t="inlineStr">
        <is>
          <t>54</t>
        </is>
      </c>
      <c r="C351" s="11" t="inlineStr">
        <is>
          <t>SC</t>
        </is>
      </c>
      <c r="D351" s="11" t="inlineStr">
        <is>
          <t>no</t>
        </is>
      </c>
      <c r="E351" s="11" t="inlineStr">
        <is>
          <t>yes</t>
        </is>
      </c>
      <c r="F351" s="11" t="inlineStr">
        <is>
          <t>c5257</t>
        </is>
      </c>
      <c r="G351" s="11" t="inlineStr">
        <is>
          <t>cite</t>
        </is>
      </c>
      <c r="H351" s="11" t="inlineStr"/>
      <c r="I351" s="11" t="inlineStr"/>
      <c r="J351" s="11" t="inlineStr">
        <is>
          <t>no</t>
        </is>
      </c>
      <c r="K351" s="11" t="inlineStr">
        <is>
          <t>no</t>
        </is>
      </c>
      <c r="L351" s="11" t="inlineStr"/>
    </row>
    <row r="352">
      <c r="A352" s="11" t="inlineStr">
        <is>
          <t>349</t>
        </is>
      </c>
      <c r="B352" s="11" t="inlineStr">
        <is>
          <t>54</t>
        </is>
      </c>
      <c r="C352" s="11" t="inlineStr">
        <is>
          <t>SC</t>
        </is>
      </c>
      <c r="D352" s="11" t="inlineStr">
        <is>
          <t>no</t>
        </is>
      </c>
      <c r="E352" s="11" t="inlineStr">
        <is>
          <t>no</t>
        </is>
      </c>
      <c r="F352" s="11" t="inlineStr">
        <is>
          <t>c8922</t>
        </is>
      </c>
      <c r="G352" s="11" t="inlineStr">
        <is>
          <t>cite</t>
        </is>
      </c>
      <c r="H352" s="11" t="inlineStr">
        <is>
          <t>c12574</t>
        </is>
      </c>
      <c r="I352" s="11" t="inlineStr">
        <is>
          <t>cite</t>
        </is>
      </c>
      <c r="J352" s="11" t="inlineStr">
        <is>
          <t>no</t>
        </is>
      </c>
      <c r="K352" s="11" t="inlineStr">
        <is>
          <t>yes</t>
        </is>
      </c>
      <c r="L352" s="11" t="inlineStr">
        <is>
          <t>untouched</t>
        </is>
      </c>
    </row>
    <row r="353">
      <c r="A353" s="11" t="inlineStr">
        <is>
          <t>350</t>
        </is>
      </c>
      <c r="B353" s="11" t="inlineStr">
        <is>
          <t>54</t>
        </is>
      </c>
      <c r="C353" s="11" t="inlineStr">
        <is>
          <t>SC</t>
        </is>
      </c>
      <c r="D353" s="11" t="inlineStr">
        <is>
          <t>no</t>
        </is>
      </c>
      <c r="E353" s="11" t="inlineStr">
        <is>
          <t>no</t>
        </is>
      </c>
      <c r="F353" s="11" t="inlineStr">
        <is>
          <t>c4812</t>
        </is>
      </c>
      <c r="G353" s="11" t="inlineStr">
        <is>
          <t>cite</t>
        </is>
      </c>
      <c r="H353" s="11" t="inlineStr">
        <is>
          <t>c16789</t>
        </is>
      </c>
      <c r="I353" s="11" t="inlineStr">
        <is>
          <t>cite</t>
        </is>
      </c>
      <c r="J353" s="11" t="inlineStr">
        <is>
          <t>no</t>
        </is>
      </c>
      <c r="K353" s="11" t="inlineStr">
        <is>
          <t>yes</t>
        </is>
      </c>
      <c r="L353" s="11" t="inlineStr">
        <is>
          <t>tune</t>
        </is>
      </c>
    </row>
    <row r="354">
      <c r="A354" s="11" t="inlineStr">
        <is>
          <t>351</t>
        </is>
      </c>
      <c r="B354" s="11" t="inlineStr">
        <is>
          <t>55</t>
        </is>
      </c>
      <c r="C354" s="11" t="inlineStr">
        <is>
          <t>SC</t>
        </is>
      </c>
      <c r="D354" s="11" t="inlineStr">
        <is>
          <t>no</t>
        </is>
      </c>
      <c r="E354" s="11" t="inlineStr">
        <is>
          <t>no</t>
        </is>
      </c>
      <c r="F354" s="11" t="inlineStr">
        <is>
          <t>c12693</t>
        </is>
      </c>
      <c r="G354" s="11" t="inlineStr">
        <is>
          <t>cite</t>
        </is>
      </c>
      <c r="H354" s="11" t="inlineStr">
        <is>
          <t>c30335</t>
        </is>
      </c>
      <c r="I354" s="11" t="inlineStr">
        <is>
          <t>name</t>
        </is>
      </c>
      <c r="J354" s="11" t="inlineStr">
        <is>
          <t>no</t>
        </is>
      </c>
      <c r="K354" s="11" t="inlineStr">
        <is>
          <t>yes</t>
        </is>
      </c>
      <c r="L354" s="11" t="inlineStr">
        <is>
          <t>untouched</t>
        </is>
      </c>
    </row>
    <row r="355">
      <c r="A355" s="11" t="inlineStr">
        <is>
          <t>352</t>
        </is>
      </c>
      <c r="B355" s="11" t="inlineStr">
        <is>
          <t>55</t>
        </is>
      </c>
      <c r="C355" s="11" t="inlineStr">
        <is>
          <t>SC</t>
        </is>
      </c>
      <c r="D355" s="11" t="inlineStr">
        <is>
          <t>no</t>
        </is>
      </c>
      <c r="E355" s="11" t="inlineStr">
        <is>
          <t>yes</t>
        </is>
      </c>
      <c r="F355" s="11" t="inlineStr">
        <is>
          <t>c386</t>
        </is>
      </c>
      <c r="G355" s="11" t="inlineStr">
        <is>
          <t>cite</t>
        </is>
      </c>
      <c r="H355" s="11" t="inlineStr">
        <is>
          <t>c4139</t>
        </is>
      </c>
      <c r="I355" s="11" t="inlineStr">
        <is>
          <t>cite</t>
        </is>
      </c>
      <c r="J355" s="11" t="inlineStr">
        <is>
          <t>no</t>
        </is>
      </c>
      <c r="K355" s="11" t="inlineStr">
        <is>
          <t>yes</t>
        </is>
      </c>
      <c r="L355" s="11" t="inlineStr">
        <is>
          <t>tune</t>
        </is>
      </c>
    </row>
    <row r="356">
      <c r="A356" s="11" t="inlineStr">
        <is>
          <t>353</t>
        </is>
      </c>
      <c r="B356" s="11" t="inlineStr">
        <is>
          <t>55</t>
        </is>
      </c>
      <c r="C356" s="11" t="inlineStr">
        <is>
          <t>SC</t>
        </is>
      </c>
      <c r="D356" s="11" t="inlineStr">
        <is>
          <t>no</t>
        </is>
      </c>
      <c r="E356" s="11" t="inlineStr">
        <is>
          <t>no</t>
        </is>
      </c>
      <c r="F356" s="11" t="inlineStr">
        <is>
          <t>c1097</t>
        </is>
      </c>
      <c r="G356" s="11" t="inlineStr">
        <is>
          <t>cite</t>
        </is>
      </c>
      <c r="H356" s="11" t="inlineStr">
        <is>
          <t>bS_1991_3_239_241</t>
        </is>
      </c>
      <c r="I356" s="11" t="inlineStr">
        <is>
          <t>name</t>
        </is>
      </c>
      <c r="J356" s="11" t="inlineStr">
        <is>
          <t>no</t>
        </is>
      </c>
      <c r="K356" s="11" t="inlineStr">
        <is>
          <t>yes</t>
        </is>
      </c>
      <c r="L356" s="11" t="inlineStr">
        <is>
          <t>untouched</t>
        </is>
      </c>
    </row>
    <row r="357">
      <c r="A357" s="11" t="inlineStr">
        <is>
          <t>354</t>
        </is>
      </c>
      <c r="B357" s="11" t="inlineStr">
        <is>
          <t>55</t>
        </is>
      </c>
      <c r="C357" s="11" t="inlineStr">
        <is>
          <t>SC</t>
        </is>
      </c>
      <c r="D357" s="11" t="inlineStr">
        <is>
          <t>no</t>
        </is>
      </c>
      <c r="E357" s="11" t="inlineStr">
        <is>
          <t>no</t>
        </is>
      </c>
      <c r="F357" s="11" t="inlineStr">
        <is>
          <t>c3157</t>
        </is>
      </c>
      <c r="G357" s="11" t="inlineStr">
        <is>
          <t>cite</t>
        </is>
      </c>
      <c r="H357" s="11" t="inlineStr">
        <is>
          <t>c4564</t>
        </is>
      </c>
      <c r="I357" s="11" t="inlineStr">
        <is>
          <t>cite</t>
        </is>
      </c>
      <c r="J357" s="11" t="inlineStr">
        <is>
          <t>no</t>
        </is>
      </c>
      <c r="K357" s="11" t="inlineStr">
        <is>
          <t>yes</t>
        </is>
      </c>
      <c r="L357" s="11" t="inlineStr">
        <is>
          <t>tune</t>
        </is>
      </c>
    </row>
    <row r="358">
      <c r="A358" s="11" t="inlineStr">
        <is>
          <t>355</t>
        </is>
      </c>
      <c r="B358" s="11" t="inlineStr">
        <is>
          <t>55</t>
        </is>
      </c>
      <c r="C358" s="11" t="inlineStr">
        <is>
          <t>SC</t>
        </is>
      </c>
      <c r="D358" s="11" t="inlineStr">
        <is>
          <t>no</t>
        </is>
      </c>
      <c r="E358" s="11" t="inlineStr">
        <is>
          <t>no</t>
        </is>
      </c>
      <c r="F358" s="11" t="inlineStr">
        <is>
          <t>c9780</t>
        </is>
      </c>
      <c r="G358" s="11" t="inlineStr">
        <is>
          <t>cite</t>
        </is>
      </c>
      <c r="H358" s="11" t="inlineStr">
        <is>
          <t>c12419</t>
        </is>
      </c>
      <c r="I358" s="11" t="inlineStr">
        <is>
          <t>cite</t>
        </is>
      </c>
      <c r="J358" s="11" t="inlineStr">
        <is>
          <t>no</t>
        </is>
      </c>
      <c r="K358" s="11" t="inlineStr">
        <is>
          <t>yes</t>
        </is>
      </c>
      <c r="L358" s="11" t="inlineStr">
        <is>
          <t>untouched</t>
        </is>
      </c>
    </row>
    <row r="359">
      <c r="A359" s="11" t="inlineStr">
        <is>
          <t>356</t>
        </is>
      </c>
      <c r="B359" s="11" t="inlineStr">
        <is>
          <t>55</t>
        </is>
      </c>
      <c r="C359" s="11" t="inlineStr">
        <is>
          <t>SC</t>
        </is>
      </c>
      <c r="D359" s="11" t="inlineStr">
        <is>
          <t>no</t>
        </is>
      </c>
      <c r="E359" s="11" t="inlineStr">
        <is>
          <t>no</t>
        </is>
      </c>
      <c r="F359" s="11" t="inlineStr">
        <is>
          <t>c7425</t>
        </is>
      </c>
      <c r="G359" s="11" t="inlineStr">
        <is>
          <t>cite</t>
        </is>
      </c>
      <c r="H359" s="11" t="inlineStr">
        <is>
          <t>c16115</t>
        </is>
      </c>
      <c r="I359" s="11" t="inlineStr">
        <is>
          <t>cite</t>
        </is>
      </c>
      <c r="J359" s="11" t="inlineStr">
        <is>
          <t>no</t>
        </is>
      </c>
      <c r="K359" s="11" t="inlineStr">
        <is>
          <t>yes</t>
        </is>
      </c>
      <c r="L359" s="11" t="inlineStr">
        <is>
          <t>tune</t>
        </is>
      </c>
    </row>
    <row r="360">
      <c r="A360" s="11" t="inlineStr">
        <is>
          <t>357</t>
        </is>
      </c>
      <c r="B360" s="11" t="inlineStr">
        <is>
          <t>56</t>
        </is>
      </c>
      <c r="C360" s="11" t="inlineStr">
        <is>
          <t>SC</t>
        </is>
      </c>
      <c r="D360" s="11" t="inlineStr">
        <is>
          <t>no</t>
        </is>
      </c>
      <c r="E360" s="11" t="inlineStr">
        <is>
          <t>no</t>
        </is>
      </c>
      <c r="F360" s="11" t="inlineStr">
        <is>
          <t>c4598</t>
        </is>
      </c>
      <c r="G360" s="11" t="inlineStr">
        <is>
          <t>cite</t>
        </is>
      </c>
      <c r="H360" s="11" t="inlineStr"/>
      <c r="I360" s="11" t="inlineStr"/>
      <c r="J360" s="11" t="inlineStr">
        <is>
          <t>no</t>
        </is>
      </c>
      <c r="K360" s="11" t="inlineStr">
        <is>
          <t>no</t>
        </is>
      </c>
      <c r="L360" s="11" t="inlineStr"/>
    </row>
    <row r="361">
      <c r="A361" s="11" t="inlineStr">
        <is>
          <t>358</t>
        </is>
      </c>
      <c r="B361" s="11" t="inlineStr">
        <is>
          <t>56</t>
        </is>
      </c>
      <c r="C361" s="11" t="inlineStr">
        <is>
          <t>SC</t>
        </is>
      </c>
      <c r="D361" s="11" t="inlineStr">
        <is>
          <t>no</t>
        </is>
      </c>
      <c r="E361" s="11" t="inlineStr">
        <is>
          <t>no</t>
        </is>
      </c>
      <c r="F361" s="11" t="inlineStr">
        <is>
          <t>c7421</t>
        </is>
      </c>
      <c r="G361" s="11" t="inlineStr">
        <is>
          <t>cite</t>
        </is>
      </c>
      <c r="H361" s="11" t="inlineStr">
        <is>
          <t>c13993</t>
        </is>
      </c>
      <c r="I361" s="11" t="inlineStr">
        <is>
          <t>name</t>
        </is>
      </c>
      <c r="J361" s="11" t="inlineStr">
        <is>
          <t>no</t>
        </is>
      </c>
      <c r="K361" s="11" t="inlineStr">
        <is>
          <t>yes</t>
        </is>
      </c>
      <c r="L361" s="11" t="inlineStr">
        <is>
          <t>tune</t>
        </is>
      </c>
    </row>
    <row r="362">
      <c r="A362" s="11" t="inlineStr">
        <is>
          <t>359</t>
        </is>
      </c>
      <c r="B362" s="11" t="inlineStr">
        <is>
          <t>56</t>
        </is>
      </c>
      <c r="C362" s="11" t="inlineStr">
        <is>
          <t>SC</t>
        </is>
      </c>
      <c r="D362" s="11" t="inlineStr">
        <is>
          <t>no</t>
        </is>
      </c>
      <c r="E362" s="11" t="inlineStr">
        <is>
          <t>no</t>
        </is>
      </c>
      <c r="F362" s="11" t="inlineStr">
        <is>
          <t>c4844</t>
        </is>
      </c>
      <c r="G362" s="11" t="inlineStr">
        <is>
          <t>cite</t>
        </is>
      </c>
      <c r="H362" s="11" t="inlineStr">
        <is>
          <t>c20431</t>
        </is>
      </c>
      <c r="I362" s="11" t="inlineStr">
        <is>
          <t>cite</t>
        </is>
      </c>
      <c r="J362" s="11" t="inlineStr">
        <is>
          <t>no</t>
        </is>
      </c>
      <c r="K362" s="11" t="inlineStr">
        <is>
          <t>yes</t>
        </is>
      </c>
      <c r="L362" s="11" t="inlineStr">
        <is>
          <t>untouched</t>
        </is>
      </c>
    </row>
    <row r="363">
      <c r="A363" s="11" t="inlineStr">
        <is>
          <t>360</t>
        </is>
      </c>
      <c r="B363" s="11" t="inlineStr">
        <is>
          <t>56</t>
        </is>
      </c>
      <c r="C363" s="11" t="inlineStr">
        <is>
          <t>SC</t>
        </is>
      </c>
      <c r="D363" s="11" t="inlineStr">
        <is>
          <t>no</t>
        </is>
      </c>
      <c r="E363" s="11" t="inlineStr">
        <is>
          <t>no</t>
        </is>
      </c>
      <c r="F363" s="11" t="inlineStr">
        <is>
          <t>c5126</t>
        </is>
      </c>
      <c r="G363" s="11" t="inlineStr">
        <is>
          <t>cite</t>
        </is>
      </c>
      <c r="H363" s="11" t="inlineStr">
        <is>
          <t>c9286</t>
        </is>
      </c>
      <c r="I363" s="11" t="inlineStr">
        <is>
          <t>cite</t>
        </is>
      </c>
      <c r="J363" s="11" t="inlineStr">
        <is>
          <t>no</t>
        </is>
      </c>
      <c r="K363" s="11" t="inlineStr">
        <is>
          <t>yes</t>
        </is>
      </c>
      <c r="L363" s="11" t="inlineStr">
        <is>
          <t>tune</t>
        </is>
      </c>
    </row>
    <row r="364">
      <c r="A364" s="11" t="inlineStr">
        <is>
          <t>361</t>
        </is>
      </c>
      <c r="B364" s="11" t="inlineStr">
        <is>
          <t>56</t>
        </is>
      </c>
      <c r="C364" s="11" t="inlineStr">
        <is>
          <t>SC</t>
        </is>
      </c>
      <c r="D364" s="11" t="inlineStr">
        <is>
          <t>no</t>
        </is>
      </c>
      <c r="E364" s="11" t="inlineStr">
        <is>
          <t>no</t>
        </is>
      </c>
      <c r="F364" s="11" t="inlineStr">
        <is>
          <t>c1441</t>
        </is>
      </c>
      <c r="G364" s="11" t="inlineStr">
        <is>
          <t>cite</t>
        </is>
      </c>
      <c r="H364" s="11" t="inlineStr">
        <is>
          <t>c5125</t>
        </is>
      </c>
      <c r="I364" s="11" t="inlineStr">
        <is>
          <t>cite</t>
        </is>
      </c>
      <c r="J364" s="11" t="inlineStr">
        <is>
          <t>no</t>
        </is>
      </c>
      <c r="K364" s="11" t="inlineStr">
        <is>
          <t>yes</t>
        </is>
      </c>
      <c r="L364" s="11" t="inlineStr">
        <is>
          <t>untouched</t>
        </is>
      </c>
    </row>
    <row r="365">
      <c r="A365" s="11" t="inlineStr">
        <is>
          <t>362</t>
        </is>
      </c>
      <c r="B365" s="11" t="inlineStr">
        <is>
          <t>56</t>
        </is>
      </c>
      <c r="C365" s="11" t="inlineStr">
        <is>
          <t>SC</t>
        </is>
      </c>
      <c r="D365" s="11" t="inlineStr">
        <is>
          <t>no</t>
        </is>
      </c>
      <c r="E365" s="11" t="inlineStr">
        <is>
          <t>no</t>
        </is>
      </c>
      <c r="F365" s="11" t="inlineStr">
        <is>
          <t>c12684</t>
        </is>
      </c>
      <c r="G365" s="11" t="inlineStr">
        <is>
          <t>cite</t>
        </is>
      </c>
      <c r="H365" s="11" t="inlineStr">
        <is>
          <t>c14444</t>
        </is>
      </c>
      <c r="I365" s="11" t="inlineStr">
        <is>
          <t>cite</t>
        </is>
      </c>
      <c r="J365" s="11" t="inlineStr">
        <is>
          <t>no</t>
        </is>
      </c>
      <c r="K365" s="11" t="inlineStr">
        <is>
          <t>yes</t>
        </is>
      </c>
      <c r="L365" s="11" t="inlineStr">
        <is>
          <t>tune</t>
        </is>
      </c>
    </row>
    <row r="366">
      <c r="A366" s="11" t="inlineStr">
        <is>
          <t>363</t>
        </is>
      </c>
      <c r="B366" s="11" t="inlineStr">
        <is>
          <t>57</t>
        </is>
      </c>
      <c r="C366" s="11" t="inlineStr">
        <is>
          <t>SC</t>
        </is>
      </c>
      <c r="D366" s="11" t="inlineStr">
        <is>
          <t>no</t>
        </is>
      </c>
      <c r="E366" s="11" t="inlineStr">
        <is>
          <t>no</t>
        </is>
      </c>
      <c r="F366" s="11" t="inlineStr">
        <is>
          <t>c3427</t>
        </is>
      </c>
      <c r="G366" s="11" t="inlineStr">
        <is>
          <t>cite</t>
        </is>
      </c>
      <c r="H366" s="11" t="inlineStr">
        <is>
          <t>c5699</t>
        </is>
      </c>
      <c r="I366" s="11" t="inlineStr">
        <is>
          <t>cite</t>
        </is>
      </c>
      <c r="J366" s="11" t="inlineStr">
        <is>
          <t>no</t>
        </is>
      </c>
      <c r="K366" s="11" t="inlineStr">
        <is>
          <t>yes</t>
        </is>
      </c>
      <c r="L366" s="11" t="inlineStr">
        <is>
          <t>untouched</t>
        </is>
      </c>
    </row>
    <row r="367">
      <c r="A367" s="11" t="inlineStr">
        <is>
          <t>364</t>
        </is>
      </c>
      <c r="B367" s="11" t="inlineStr">
        <is>
          <t>57</t>
        </is>
      </c>
      <c r="C367" s="11" t="inlineStr">
        <is>
          <t>SC</t>
        </is>
      </c>
      <c r="D367" s="11" t="inlineStr">
        <is>
          <t>no</t>
        </is>
      </c>
      <c r="E367" s="11" t="inlineStr">
        <is>
          <t>yes</t>
        </is>
      </c>
      <c r="F367" s="11" t="inlineStr"/>
      <c r="G367" s="11" t="inlineStr"/>
      <c r="H367" s="11" t="inlineStr">
        <is>
          <t>c4624</t>
        </is>
      </c>
      <c r="I367" s="11" t="inlineStr">
        <is>
          <t>cite</t>
        </is>
      </c>
      <c r="J367" s="11" t="inlineStr">
        <is>
          <t>no</t>
        </is>
      </c>
      <c r="K367" s="11" t="inlineStr">
        <is>
          <t>no</t>
        </is>
      </c>
      <c r="L367" s="11" t="inlineStr"/>
    </row>
    <row r="368">
      <c r="A368" s="11" t="inlineStr">
        <is>
          <t>365</t>
        </is>
      </c>
      <c r="B368" s="11" t="inlineStr">
        <is>
          <t>57</t>
        </is>
      </c>
      <c r="C368" s="11" t="inlineStr">
        <is>
          <t>SC</t>
        </is>
      </c>
      <c r="D368" s="11" t="inlineStr">
        <is>
          <t>no</t>
        </is>
      </c>
      <c r="E368" s="11" t="inlineStr">
        <is>
          <t>yes</t>
        </is>
      </c>
      <c r="F368" s="11" t="inlineStr">
        <is>
          <t>c9731</t>
        </is>
      </c>
      <c r="G368" s="11" t="inlineStr">
        <is>
          <t>cite</t>
        </is>
      </c>
      <c r="H368" s="11" t="inlineStr">
        <is>
          <t>c13473</t>
        </is>
      </c>
      <c r="I368" s="11" t="inlineStr">
        <is>
          <t>cite</t>
        </is>
      </c>
      <c r="J368" s="11" t="inlineStr">
        <is>
          <t>no</t>
        </is>
      </c>
      <c r="K368" s="11" t="inlineStr">
        <is>
          <t>yes</t>
        </is>
      </c>
      <c r="L368" s="11" t="inlineStr">
        <is>
          <t>untouched</t>
        </is>
      </c>
    </row>
    <row r="369">
      <c r="A369" s="11" t="inlineStr">
        <is>
          <t>366</t>
        </is>
      </c>
      <c r="B369" s="11" t="inlineStr">
        <is>
          <t>57</t>
        </is>
      </c>
      <c r="C369" s="11" t="inlineStr">
        <is>
          <t>SC</t>
        </is>
      </c>
      <c r="D369" s="11" t="inlineStr">
        <is>
          <t>no</t>
        </is>
      </c>
      <c r="E369" s="11" t="inlineStr">
        <is>
          <t>no</t>
        </is>
      </c>
      <c r="F369" s="11" t="inlineStr">
        <is>
          <t>c487</t>
        </is>
      </c>
      <c r="G369" s="11" t="inlineStr">
        <is>
          <t>cite</t>
        </is>
      </c>
      <c r="H369" s="11" t="inlineStr">
        <is>
          <t>c3148</t>
        </is>
      </c>
      <c r="I369" s="11" t="inlineStr">
        <is>
          <t>cite</t>
        </is>
      </c>
      <c r="J369" s="11" t="inlineStr">
        <is>
          <t>no</t>
        </is>
      </c>
      <c r="K369" s="11" t="inlineStr">
        <is>
          <t>yes</t>
        </is>
      </c>
      <c r="L369" s="11" t="inlineStr">
        <is>
          <t>tune</t>
        </is>
      </c>
    </row>
    <row r="370">
      <c r="A370" s="11" t="inlineStr">
        <is>
          <t>367</t>
        </is>
      </c>
      <c r="B370" s="11" t="inlineStr">
        <is>
          <t>57</t>
        </is>
      </c>
      <c r="C370" s="11" t="inlineStr">
        <is>
          <t>SC</t>
        </is>
      </c>
      <c r="D370" s="11" t="inlineStr">
        <is>
          <t>no</t>
        </is>
      </c>
      <c r="E370" s="11" t="inlineStr">
        <is>
          <t>yes</t>
        </is>
      </c>
      <c r="F370" s="11" t="inlineStr">
        <is>
          <t>c462</t>
        </is>
      </c>
      <c r="G370" s="11" t="inlineStr">
        <is>
          <t>cite</t>
        </is>
      </c>
      <c r="H370" s="11" t="inlineStr">
        <is>
          <t>c1116</t>
        </is>
      </c>
      <c r="I370" s="11" t="inlineStr">
        <is>
          <t>cite</t>
        </is>
      </c>
      <c r="J370" s="11" t="inlineStr">
        <is>
          <t>no</t>
        </is>
      </c>
      <c r="K370" s="11" t="inlineStr">
        <is>
          <t>no</t>
        </is>
      </c>
      <c r="L370" s="11" t="inlineStr"/>
    </row>
    <row r="371">
      <c r="A371" s="11" t="inlineStr">
        <is>
          <t>368</t>
        </is>
      </c>
      <c r="B371" s="11" t="inlineStr">
        <is>
          <t>57</t>
        </is>
      </c>
      <c r="C371" s="11" t="inlineStr">
        <is>
          <t>SC</t>
        </is>
      </c>
      <c r="D371" s="11" t="inlineStr">
        <is>
          <t>no</t>
        </is>
      </c>
      <c r="E371" s="11" t="inlineStr">
        <is>
          <t>no</t>
        </is>
      </c>
      <c r="F371" s="11" t="inlineStr">
        <is>
          <t>c6546</t>
        </is>
      </c>
      <c r="G371" s="11" t="inlineStr">
        <is>
          <t>cite</t>
        </is>
      </c>
      <c r="H371" s="11" t="inlineStr">
        <is>
          <t>c29358</t>
        </is>
      </c>
      <c r="I371" s="11" t="inlineStr">
        <is>
          <t>name</t>
        </is>
      </c>
      <c r="J371" s="11" t="inlineStr">
        <is>
          <t>no</t>
        </is>
      </c>
      <c r="K371" s="11" t="inlineStr">
        <is>
          <t>yes</t>
        </is>
      </c>
      <c r="L371" s="11" t="inlineStr">
        <is>
          <t>tune</t>
        </is>
      </c>
    </row>
    <row r="372">
      <c r="A372" s="11" t="inlineStr">
        <is>
          <t>369</t>
        </is>
      </c>
      <c r="B372" s="11" t="inlineStr">
        <is>
          <t>57</t>
        </is>
      </c>
      <c r="C372" s="11" t="inlineStr">
        <is>
          <t>SC</t>
        </is>
      </c>
      <c r="D372" s="11" t="inlineStr">
        <is>
          <t>no</t>
        </is>
      </c>
      <c r="E372" s="11" t="inlineStr">
        <is>
          <t>no</t>
        </is>
      </c>
      <c r="F372" s="11" t="inlineStr">
        <is>
          <t>c1730</t>
        </is>
      </c>
      <c r="G372" s="11" t="inlineStr">
        <is>
          <t>cite</t>
        </is>
      </c>
      <c r="H372" s="11" t="inlineStr">
        <is>
          <t>b1999_1_555_568</t>
        </is>
      </c>
      <c r="I372" s="11" t="inlineStr">
        <is>
          <t>cite</t>
        </is>
      </c>
      <c r="J372" s="11" t="inlineStr">
        <is>
          <t>no</t>
        </is>
      </c>
      <c r="K372" s="11" t="inlineStr">
        <is>
          <t>yes</t>
        </is>
      </c>
      <c r="L372" s="11" t="inlineStr">
        <is>
          <t>untouched</t>
        </is>
      </c>
    </row>
    <row r="373">
      <c r="A373" s="11" t="inlineStr">
        <is>
          <t>370</t>
        </is>
      </c>
      <c r="B373" s="11" t="inlineStr">
        <is>
          <t>58</t>
        </is>
      </c>
      <c r="C373" s="11" t="inlineStr">
        <is>
          <t>SC</t>
        </is>
      </c>
      <c r="D373" s="11" t="inlineStr">
        <is>
          <t>no</t>
        </is>
      </c>
      <c r="E373" s="11" t="inlineStr">
        <is>
          <t>no</t>
        </is>
      </c>
      <c r="F373" s="11" t="inlineStr">
        <is>
          <t>c10755</t>
        </is>
      </c>
      <c r="G373" s="11" t="inlineStr">
        <is>
          <t>cite</t>
        </is>
      </c>
      <c r="H373" s="11" t="inlineStr">
        <is>
          <t>c14809</t>
        </is>
      </c>
      <c r="I373" s="11" t="inlineStr">
        <is>
          <t>name</t>
        </is>
      </c>
      <c r="J373" s="11" t="inlineStr">
        <is>
          <t>no</t>
        </is>
      </c>
      <c r="K373" s="11" t="inlineStr">
        <is>
          <t>yes</t>
        </is>
      </c>
      <c r="L373" s="11" t="inlineStr">
        <is>
          <t>tune</t>
        </is>
      </c>
    </row>
    <row r="374">
      <c r="A374" s="11" t="inlineStr">
        <is>
          <t>371</t>
        </is>
      </c>
      <c r="B374" s="11" t="inlineStr">
        <is>
          <t>58</t>
        </is>
      </c>
      <c r="C374" s="11" t="inlineStr">
        <is>
          <t>SC</t>
        </is>
      </c>
      <c r="D374" s="11" t="inlineStr">
        <is>
          <t>no</t>
        </is>
      </c>
      <c r="E374" s="11" t="inlineStr">
        <is>
          <t>no</t>
        </is>
      </c>
      <c r="F374" s="11" t="inlineStr">
        <is>
          <t>c4930</t>
        </is>
      </c>
      <c r="G374" s="11" t="inlineStr">
        <is>
          <t>cite</t>
        </is>
      </c>
      <c r="H374" s="11" t="inlineStr">
        <is>
          <t>c4742</t>
        </is>
      </c>
      <c r="I374" s="11" t="inlineStr">
        <is>
          <t>cite</t>
        </is>
      </c>
      <c r="J374" s="11" t="inlineStr">
        <is>
          <t>no</t>
        </is>
      </c>
      <c r="K374" s="11" t="inlineStr">
        <is>
          <t>yes</t>
        </is>
      </c>
      <c r="L374" s="11" t="inlineStr">
        <is>
          <t>untouched</t>
        </is>
      </c>
    </row>
    <row r="375">
      <c r="A375" s="11" t="inlineStr">
        <is>
          <t>372</t>
        </is>
      </c>
      <c r="B375" s="11" t="inlineStr">
        <is>
          <t>58</t>
        </is>
      </c>
      <c r="C375" s="11" t="inlineStr">
        <is>
          <t>SC</t>
        </is>
      </c>
      <c r="D375" s="11" t="inlineStr">
        <is>
          <t>no</t>
        </is>
      </c>
      <c r="E375" s="11" t="inlineStr">
        <is>
          <t>no</t>
        </is>
      </c>
      <c r="F375" s="11" t="inlineStr">
        <is>
          <t>c2413</t>
        </is>
      </c>
      <c r="G375" s="11" t="inlineStr">
        <is>
          <t>cite</t>
        </is>
      </c>
      <c r="H375" s="11" t="inlineStr"/>
      <c r="I375" s="11" t="inlineStr"/>
      <c r="J375" s="11" t="inlineStr">
        <is>
          <t>no</t>
        </is>
      </c>
      <c r="K375" s="11" t="inlineStr">
        <is>
          <t>no</t>
        </is>
      </c>
      <c r="L375" s="11" t="inlineStr"/>
    </row>
    <row r="376">
      <c r="A376" s="11" t="inlineStr">
        <is>
          <t>373</t>
        </is>
      </c>
      <c r="B376" s="11" t="inlineStr">
        <is>
          <t>58</t>
        </is>
      </c>
      <c r="C376" s="11" t="inlineStr">
        <is>
          <t>SC</t>
        </is>
      </c>
      <c r="D376" s="11" t="inlineStr">
        <is>
          <t>no</t>
        </is>
      </c>
      <c r="E376" s="11" t="inlineStr">
        <is>
          <t>yes</t>
        </is>
      </c>
      <c r="F376" s="11" t="inlineStr"/>
      <c r="G376" s="11" t="inlineStr"/>
      <c r="H376" s="11" t="inlineStr">
        <is>
          <t>c13473</t>
        </is>
      </c>
      <c r="I376" s="11" t="inlineStr">
        <is>
          <t>cite</t>
        </is>
      </c>
      <c r="J376" s="11" t="inlineStr">
        <is>
          <t>no</t>
        </is>
      </c>
      <c r="K376" s="11" t="inlineStr">
        <is>
          <t>no</t>
        </is>
      </c>
      <c r="L376" s="11" t="inlineStr"/>
    </row>
    <row r="377">
      <c r="A377" s="11" t="inlineStr">
        <is>
          <t>374</t>
        </is>
      </c>
      <c r="B377" s="11" t="inlineStr">
        <is>
          <t>58</t>
        </is>
      </c>
      <c r="C377" s="11" t="inlineStr">
        <is>
          <t>SC</t>
        </is>
      </c>
      <c r="D377" s="11" t="inlineStr">
        <is>
          <t>no</t>
        </is>
      </c>
      <c r="E377" s="11" t="inlineStr">
        <is>
          <t>no</t>
        </is>
      </c>
      <c r="F377" s="11" t="inlineStr">
        <is>
          <t>c4641</t>
        </is>
      </c>
      <c r="G377" s="11" t="inlineStr">
        <is>
          <t>cite</t>
        </is>
      </c>
      <c r="H377" s="11" t="inlineStr">
        <is>
          <t>c7774</t>
        </is>
      </c>
      <c r="I377" s="11" t="inlineStr">
        <is>
          <t>cite</t>
        </is>
      </c>
      <c r="J377" s="11" t="inlineStr">
        <is>
          <t>no</t>
        </is>
      </c>
      <c r="K377" s="11" t="inlineStr">
        <is>
          <t>yes</t>
        </is>
      </c>
      <c r="L377" s="11" t="inlineStr">
        <is>
          <t>tune</t>
        </is>
      </c>
    </row>
    <row r="378">
      <c r="A378" s="11" t="inlineStr">
        <is>
          <t>375</t>
        </is>
      </c>
      <c r="B378" s="11" t="inlineStr">
        <is>
          <t>58</t>
        </is>
      </c>
      <c r="C378" s="11" t="inlineStr">
        <is>
          <t>SC</t>
        </is>
      </c>
      <c r="D378" s="11" t="inlineStr">
        <is>
          <t>no</t>
        </is>
      </c>
      <c r="E378" s="11" t="inlineStr">
        <is>
          <t>no</t>
        </is>
      </c>
      <c r="F378" s="11" t="inlineStr">
        <is>
          <t>c6845</t>
        </is>
      </c>
      <c r="G378" s="11" t="inlineStr">
        <is>
          <t>cite</t>
        </is>
      </c>
      <c r="H378" s="11" t="inlineStr">
        <is>
          <t>c10761</t>
        </is>
      </c>
      <c r="I378" s="11" t="inlineStr">
        <is>
          <t>cite</t>
        </is>
      </c>
      <c r="J378" s="11" t="inlineStr">
        <is>
          <t>no</t>
        </is>
      </c>
      <c r="K378" s="11" t="inlineStr">
        <is>
          <t>yes</t>
        </is>
      </c>
      <c r="L378" s="11" t="inlineStr">
        <is>
          <t>untouched</t>
        </is>
      </c>
    </row>
    <row r="379">
      <c r="A379" s="11" t="inlineStr">
        <is>
          <t>376</t>
        </is>
      </c>
      <c r="B379" s="11" t="inlineStr">
        <is>
          <t>59</t>
        </is>
      </c>
      <c r="C379" s="11" t="inlineStr">
        <is>
          <t>SC</t>
        </is>
      </c>
      <c r="D379" s="11" t="inlineStr">
        <is>
          <t>no</t>
        </is>
      </c>
      <c r="E379" s="11" t="inlineStr">
        <is>
          <t>no</t>
        </is>
      </c>
      <c r="F379" s="11" t="inlineStr">
        <is>
          <t>c4084</t>
        </is>
      </c>
      <c r="G379" s="11" t="inlineStr">
        <is>
          <t>cite</t>
        </is>
      </c>
      <c r="H379" s="11" t="inlineStr">
        <is>
          <t>c2523</t>
        </is>
      </c>
      <c r="I379" s="11" t="inlineStr">
        <is>
          <t>cite</t>
        </is>
      </c>
      <c r="J379" s="11" t="inlineStr">
        <is>
          <t>no</t>
        </is>
      </c>
      <c r="K379" s="11" t="inlineStr">
        <is>
          <t>yes</t>
        </is>
      </c>
      <c r="L379" s="11" t="inlineStr">
        <is>
          <t>tune</t>
        </is>
      </c>
    </row>
    <row r="380">
      <c r="A380" s="11" t="inlineStr">
        <is>
          <t>377</t>
        </is>
      </c>
      <c r="B380" s="11" t="inlineStr">
        <is>
          <t>59</t>
        </is>
      </c>
      <c r="C380" s="11" t="inlineStr">
        <is>
          <t>SC</t>
        </is>
      </c>
      <c r="D380" s="11" t="inlineStr">
        <is>
          <t>no</t>
        </is>
      </c>
      <c r="E380" s="11" t="inlineStr">
        <is>
          <t>no</t>
        </is>
      </c>
      <c r="F380" s="11" t="inlineStr">
        <is>
          <t>c4678</t>
        </is>
      </c>
      <c r="G380" s="11" t="inlineStr">
        <is>
          <t>cite</t>
        </is>
      </c>
      <c r="H380" s="11" t="inlineStr">
        <is>
          <t>c27563</t>
        </is>
      </c>
      <c r="I380" s="11" t="inlineStr">
        <is>
          <t>name</t>
        </is>
      </c>
      <c r="J380" s="11" t="inlineStr">
        <is>
          <t>no</t>
        </is>
      </c>
      <c r="K380" s="11" t="inlineStr">
        <is>
          <t>yes</t>
        </is>
      </c>
      <c r="L380" s="11" t="inlineStr">
        <is>
          <t>untouched</t>
        </is>
      </c>
    </row>
    <row r="381">
      <c r="A381" s="11" t="inlineStr">
        <is>
          <t>378</t>
        </is>
      </c>
      <c r="B381" s="11" t="inlineStr">
        <is>
          <t>59</t>
        </is>
      </c>
      <c r="C381" s="11" t="inlineStr">
        <is>
          <t>SC</t>
        </is>
      </c>
      <c r="D381" s="11" t="inlineStr">
        <is>
          <t>no</t>
        </is>
      </c>
      <c r="E381" s="11" t="inlineStr">
        <is>
          <t>no</t>
        </is>
      </c>
      <c r="F381" s="11" t="inlineStr">
        <is>
          <t>c15857</t>
        </is>
      </c>
      <c r="G381" s="11" t="inlineStr">
        <is>
          <t>cite</t>
        </is>
      </c>
      <c r="H381" s="11" t="inlineStr"/>
      <c r="I381" s="11" t="inlineStr"/>
      <c r="J381" s="11" t="inlineStr">
        <is>
          <t>no</t>
        </is>
      </c>
      <c r="K381" s="11" t="inlineStr">
        <is>
          <t>no</t>
        </is>
      </c>
      <c r="L381" s="11" t="inlineStr"/>
    </row>
    <row r="382">
      <c r="A382" s="11" t="inlineStr">
        <is>
          <t>379</t>
        </is>
      </c>
      <c r="B382" s="11" t="inlineStr">
        <is>
          <t>59</t>
        </is>
      </c>
      <c r="C382" s="11" t="inlineStr">
        <is>
          <t>SC</t>
        </is>
      </c>
      <c r="D382" s="11" t="inlineStr">
        <is>
          <t>no</t>
        </is>
      </c>
      <c r="E382" s="11" t="inlineStr">
        <is>
          <t>no</t>
        </is>
      </c>
      <c r="F382" s="11" t="inlineStr">
        <is>
          <t>c16080</t>
        </is>
      </c>
      <c r="G382" s="11" t="inlineStr">
        <is>
          <t>cite</t>
        </is>
      </c>
      <c r="H382" s="11" t="inlineStr">
        <is>
          <t>c13456</t>
        </is>
      </c>
      <c r="I382" s="11" t="inlineStr">
        <is>
          <t>cite</t>
        </is>
      </c>
      <c r="J382" s="11" t="inlineStr">
        <is>
          <t>no</t>
        </is>
      </c>
      <c r="K382" s="11" t="inlineStr">
        <is>
          <t>yes</t>
        </is>
      </c>
      <c r="L382" s="11" t="inlineStr">
        <is>
          <t>untouched</t>
        </is>
      </c>
    </row>
    <row r="383">
      <c r="A383" s="11" t="inlineStr">
        <is>
          <t>380</t>
        </is>
      </c>
      <c r="B383" s="11" t="inlineStr">
        <is>
          <t>59</t>
        </is>
      </c>
      <c r="C383" s="11" t="inlineStr">
        <is>
          <t>SC</t>
        </is>
      </c>
      <c r="D383" s="11" t="inlineStr">
        <is>
          <t>no</t>
        </is>
      </c>
      <c r="E383" s="11" t="inlineStr">
        <is>
          <t>no</t>
        </is>
      </c>
      <c r="F383" s="11" t="inlineStr">
        <is>
          <t>c12220</t>
        </is>
      </c>
      <c r="G383" s="11" t="inlineStr">
        <is>
          <t>cite</t>
        </is>
      </c>
      <c r="H383" s="11" t="inlineStr"/>
      <c r="I383" s="11" t="inlineStr"/>
      <c r="J383" s="11" t="inlineStr">
        <is>
          <t>no</t>
        </is>
      </c>
      <c r="K383" s="11" t="inlineStr">
        <is>
          <t>no</t>
        </is>
      </c>
      <c r="L383" s="11" t="inlineStr"/>
    </row>
    <row r="384">
      <c r="A384" s="11" t="inlineStr">
        <is>
          <t>381</t>
        </is>
      </c>
      <c r="B384" s="11" t="inlineStr">
        <is>
          <t>59</t>
        </is>
      </c>
      <c r="C384" s="11" t="inlineStr">
        <is>
          <t>SC</t>
        </is>
      </c>
      <c r="D384" s="11" t="inlineStr">
        <is>
          <t>no</t>
        </is>
      </c>
      <c r="E384" s="11" t="inlineStr">
        <is>
          <t>no</t>
        </is>
      </c>
      <c r="F384" s="11" t="inlineStr">
        <is>
          <t>c8800</t>
        </is>
      </c>
      <c r="G384" s="11" t="inlineStr">
        <is>
          <t>cite</t>
        </is>
      </c>
      <c r="H384" s="11" t="inlineStr">
        <is>
          <t>c13528</t>
        </is>
      </c>
      <c r="I384" s="11" t="inlineStr">
        <is>
          <t>cite</t>
        </is>
      </c>
      <c r="J384" s="11" t="inlineStr">
        <is>
          <t>no</t>
        </is>
      </c>
      <c r="K384" s="11" t="inlineStr">
        <is>
          <t>yes</t>
        </is>
      </c>
      <c r="L384" s="11" t="inlineStr">
        <is>
          <t>untouched</t>
        </is>
      </c>
    </row>
    <row r="385">
      <c r="A385" s="11" t="inlineStr">
        <is>
          <t>382</t>
        </is>
      </c>
      <c r="B385" s="11" t="inlineStr">
        <is>
          <t>60</t>
        </is>
      </c>
      <c r="C385" s="11" t="inlineStr">
        <is>
          <t>SC</t>
        </is>
      </c>
      <c r="D385" s="11" t="inlineStr">
        <is>
          <t>no</t>
        </is>
      </c>
      <c r="E385" s="11" t="inlineStr">
        <is>
          <t>no</t>
        </is>
      </c>
      <c r="F385" s="11" t="inlineStr">
        <is>
          <t>c6502</t>
        </is>
      </c>
      <c r="G385" s="11" t="inlineStr">
        <is>
          <t>cite</t>
        </is>
      </c>
      <c r="H385" s="11" t="inlineStr">
        <is>
          <t>b1995_3_745_753</t>
        </is>
      </c>
      <c r="I385" s="11" t="inlineStr">
        <is>
          <t>cite</t>
        </is>
      </c>
      <c r="J385" s="11" t="inlineStr">
        <is>
          <t>no</t>
        </is>
      </c>
      <c r="K385" s="11" t="inlineStr">
        <is>
          <t>yes</t>
        </is>
      </c>
      <c r="L385" s="11" t="inlineStr">
        <is>
          <t>tune</t>
        </is>
      </c>
    </row>
    <row r="386">
      <c r="A386" s="11" t="inlineStr">
        <is>
          <t>383</t>
        </is>
      </c>
      <c r="B386" s="11" t="inlineStr">
        <is>
          <t>60</t>
        </is>
      </c>
      <c r="C386" s="11" t="inlineStr">
        <is>
          <t>SC</t>
        </is>
      </c>
      <c r="D386" s="11" t="inlineStr">
        <is>
          <t>no</t>
        </is>
      </c>
      <c r="E386" s="11" t="inlineStr">
        <is>
          <t>no</t>
        </is>
      </c>
      <c r="F386" s="11" t="inlineStr">
        <is>
          <t>c4804</t>
        </is>
      </c>
      <c r="G386" s="11" t="inlineStr">
        <is>
          <t>cite</t>
        </is>
      </c>
      <c r="H386" s="11" t="inlineStr"/>
      <c r="I386" s="11" t="inlineStr"/>
      <c r="J386" s="11" t="inlineStr">
        <is>
          <t>no</t>
        </is>
      </c>
      <c r="K386" s="11" t="inlineStr">
        <is>
          <t>no</t>
        </is>
      </c>
      <c r="L386" s="11" t="inlineStr"/>
    </row>
    <row r="387">
      <c r="A387" s="11" t="inlineStr">
        <is>
          <t>384</t>
        </is>
      </c>
      <c r="B387" s="11" t="inlineStr">
        <is>
          <t>60</t>
        </is>
      </c>
      <c r="C387" s="11" t="inlineStr">
        <is>
          <t>SC</t>
        </is>
      </c>
      <c r="D387" s="11" t="inlineStr">
        <is>
          <t>no</t>
        </is>
      </c>
      <c r="E387" s="11" t="inlineStr">
        <is>
          <t>no</t>
        </is>
      </c>
      <c r="F387" s="11" t="inlineStr"/>
      <c r="G387" s="11" t="inlineStr"/>
      <c r="H387" s="11" t="inlineStr">
        <is>
          <t>c9438</t>
        </is>
      </c>
      <c r="I387" s="11" t="inlineStr">
        <is>
          <t>cite</t>
        </is>
      </c>
      <c r="J387" s="11" t="inlineStr">
        <is>
          <t>no</t>
        </is>
      </c>
      <c r="K387" s="11" t="inlineStr">
        <is>
          <t>no</t>
        </is>
      </c>
      <c r="L387" s="11" t="inlineStr"/>
    </row>
    <row r="388">
      <c r="A388" s="11" t="inlineStr">
        <is>
          <t>385</t>
        </is>
      </c>
      <c r="B388" s="11" t="inlineStr">
        <is>
          <t>60</t>
        </is>
      </c>
      <c r="C388" s="11" t="inlineStr">
        <is>
          <t>SC</t>
        </is>
      </c>
      <c r="D388" s="11" t="inlineStr">
        <is>
          <t>no</t>
        </is>
      </c>
      <c r="E388" s="11" t="inlineStr">
        <is>
          <t>no</t>
        </is>
      </c>
      <c r="F388" s="11" t="inlineStr">
        <is>
          <t>c6624</t>
        </is>
      </c>
      <c r="G388" s="11" t="inlineStr">
        <is>
          <t>cite</t>
        </is>
      </c>
      <c r="H388" s="11" t="inlineStr">
        <is>
          <t>c7921</t>
        </is>
      </c>
      <c r="I388" s="11" t="inlineStr">
        <is>
          <t>cite</t>
        </is>
      </c>
      <c r="J388" s="11" t="inlineStr">
        <is>
          <t>no</t>
        </is>
      </c>
      <c r="K388" s="11" t="inlineStr">
        <is>
          <t>yes</t>
        </is>
      </c>
      <c r="L388" s="11" t="inlineStr">
        <is>
          <t>untouched</t>
        </is>
      </c>
    </row>
    <row r="389">
      <c r="A389" s="11" t="inlineStr">
        <is>
          <t>386</t>
        </is>
      </c>
      <c r="B389" s="11" t="inlineStr">
        <is>
          <t>60</t>
        </is>
      </c>
      <c r="C389" s="11" t="inlineStr">
        <is>
          <t>SC</t>
        </is>
      </c>
      <c r="D389" s="11" t="inlineStr">
        <is>
          <t>no</t>
        </is>
      </c>
      <c r="E389" s="11" t="inlineStr">
        <is>
          <t>no</t>
        </is>
      </c>
      <c r="F389" s="11" t="inlineStr">
        <is>
          <t>c6233</t>
        </is>
      </c>
      <c r="G389" s="11" t="inlineStr">
        <is>
          <t>name</t>
        </is>
      </c>
      <c r="H389" s="11" t="inlineStr"/>
      <c r="I389" s="11" t="inlineStr"/>
      <c r="J389" s="11" t="inlineStr">
        <is>
          <t>no</t>
        </is>
      </c>
      <c r="K389" s="11" t="inlineStr">
        <is>
          <t>no</t>
        </is>
      </c>
      <c r="L389" s="11" t="inlineStr"/>
    </row>
    <row r="390">
      <c r="A390" s="11" t="inlineStr">
        <is>
          <t>387</t>
        </is>
      </c>
      <c r="B390" s="11" t="inlineStr">
        <is>
          <t>60</t>
        </is>
      </c>
      <c r="C390" s="11" t="inlineStr">
        <is>
          <t>SC</t>
        </is>
      </c>
      <c r="D390" s="11" t="inlineStr">
        <is>
          <t>no</t>
        </is>
      </c>
      <c r="E390" s="11" t="inlineStr">
        <is>
          <t>no</t>
        </is>
      </c>
      <c r="F390" s="11" t="inlineStr">
        <is>
          <t>bS_1991_3_121_215</t>
        </is>
      </c>
      <c r="G390" s="11" t="inlineStr">
        <is>
          <t>name</t>
        </is>
      </c>
      <c r="H390" s="11" t="inlineStr"/>
      <c r="I390" s="11" t="inlineStr"/>
      <c r="J390" s="11" t="inlineStr">
        <is>
          <t>no</t>
        </is>
      </c>
      <c r="K390" s="11" t="inlineStr">
        <is>
          <t>no</t>
        </is>
      </c>
      <c r="L390" s="11" t="inlineStr"/>
    </row>
    <row r="391">
      <c r="A391" s="11" t="inlineStr">
        <is>
          <t>388</t>
        </is>
      </c>
      <c r="B391" s="11" t="inlineStr">
        <is>
          <t>60</t>
        </is>
      </c>
      <c r="C391" s="11" t="inlineStr">
        <is>
          <t>SC</t>
        </is>
      </c>
      <c r="D391" s="11" t="inlineStr">
        <is>
          <t>no</t>
        </is>
      </c>
      <c r="E391" s="11" t="inlineStr">
        <is>
          <t>no</t>
        </is>
      </c>
      <c r="F391" s="11" t="inlineStr">
        <is>
          <t>c9176</t>
        </is>
      </c>
      <c r="G391" s="11" t="inlineStr">
        <is>
          <t>cite</t>
        </is>
      </c>
      <c r="H391" s="11" t="inlineStr"/>
      <c r="I391" s="11" t="inlineStr"/>
      <c r="J391" s="11" t="inlineStr">
        <is>
          <t>no</t>
        </is>
      </c>
      <c r="K391" s="11" t="inlineStr">
        <is>
          <t>no</t>
        </is>
      </c>
      <c r="L391" s="11" t="inlineStr"/>
    </row>
    <row r="392">
      <c r="A392" s="11" t="inlineStr">
        <is>
          <t>389</t>
        </is>
      </c>
      <c r="B392" s="11" t="inlineStr">
        <is>
          <t>61</t>
        </is>
      </c>
      <c r="C392" s="11" t="inlineStr">
        <is>
          <t>SC</t>
        </is>
      </c>
      <c r="D392" s="11" t="inlineStr">
        <is>
          <t>no</t>
        </is>
      </c>
      <c r="E392" s="11" t="inlineStr">
        <is>
          <t>no</t>
        </is>
      </c>
      <c r="F392" s="11" t="inlineStr">
        <is>
          <t>c10073</t>
        </is>
      </c>
      <c r="G392" s="11" t="inlineStr">
        <is>
          <t>cite</t>
        </is>
      </c>
      <c r="H392" s="11" t="inlineStr">
        <is>
          <t>c9148</t>
        </is>
      </c>
      <c r="I392" s="11" t="inlineStr">
        <is>
          <t>cite</t>
        </is>
      </c>
      <c r="J392" s="11" t="inlineStr">
        <is>
          <t>no</t>
        </is>
      </c>
      <c r="K392" s="11" t="inlineStr">
        <is>
          <t>yes</t>
        </is>
      </c>
      <c r="L392" s="11" t="inlineStr">
        <is>
          <t>untouched</t>
        </is>
      </c>
    </row>
    <row r="393">
      <c r="A393" s="11" t="inlineStr">
        <is>
          <t>390</t>
        </is>
      </c>
      <c r="B393" s="11" t="inlineStr">
        <is>
          <t>61</t>
        </is>
      </c>
      <c r="C393" s="11" t="inlineStr">
        <is>
          <t>SC</t>
        </is>
      </c>
      <c r="D393" s="11" t="inlineStr">
        <is>
          <t>no</t>
        </is>
      </c>
      <c r="E393" s="11" t="inlineStr">
        <is>
          <t>no</t>
        </is>
      </c>
      <c r="F393" s="11" t="inlineStr">
        <is>
          <t>c8857</t>
        </is>
      </c>
      <c r="G393" s="11" t="inlineStr">
        <is>
          <t>cite</t>
        </is>
      </c>
      <c r="H393" s="11" t="inlineStr">
        <is>
          <t>b1995_3_1143_1196</t>
        </is>
      </c>
      <c r="I393" s="11" t="inlineStr">
        <is>
          <t>cite</t>
        </is>
      </c>
      <c r="J393" s="11" t="inlineStr">
        <is>
          <t>no</t>
        </is>
      </c>
      <c r="K393" s="11" t="inlineStr">
        <is>
          <t>yes</t>
        </is>
      </c>
      <c r="L393" s="11" t="inlineStr">
        <is>
          <t>tune</t>
        </is>
      </c>
    </row>
    <row r="394">
      <c r="A394" s="11" t="inlineStr">
        <is>
          <t>391</t>
        </is>
      </c>
      <c r="B394" s="11" t="inlineStr">
        <is>
          <t>61</t>
        </is>
      </c>
      <c r="C394" s="11" t="inlineStr">
        <is>
          <t>SC</t>
        </is>
      </c>
      <c r="D394" s="11" t="inlineStr">
        <is>
          <t>no</t>
        </is>
      </c>
      <c r="E394" s="11" t="inlineStr">
        <is>
          <t>no</t>
        </is>
      </c>
      <c r="F394" s="11" t="inlineStr">
        <is>
          <t>c3972</t>
        </is>
      </c>
      <c r="G394" s="11" t="inlineStr">
        <is>
          <t>name</t>
        </is>
      </c>
      <c r="H394" s="11" t="inlineStr">
        <is>
          <t>c5125</t>
        </is>
      </c>
      <c r="I394" s="11" t="inlineStr">
        <is>
          <t>cite</t>
        </is>
      </c>
      <c r="J394" s="11" t="inlineStr">
        <is>
          <t>no</t>
        </is>
      </c>
      <c r="K394" s="11" t="inlineStr">
        <is>
          <t>yes</t>
        </is>
      </c>
      <c r="L394" s="11" t="inlineStr">
        <is>
          <t>untouched</t>
        </is>
      </c>
    </row>
    <row r="395">
      <c r="A395" s="11" t="inlineStr">
        <is>
          <t>392</t>
        </is>
      </c>
      <c r="B395" s="11" t="inlineStr">
        <is>
          <t>61</t>
        </is>
      </c>
      <c r="C395" s="11" t="inlineStr">
        <is>
          <t>SC</t>
        </is>
      </c>
      <c r="D395" s="11" t="inlineStr">
        <is>
          <t>no</t>
        </is>
      </c>
      <c r="E395" s="11" t="inlineStr">
        <is>
          <t>yes</t>
        </is>
      </c>
      <c r="F395" s="11" t="inlineStr">
        <is>
          <t>c145</t>
        </is>
      </c>
      <c r="G395" s="11" t="inlineStr">
        <is>
          <t>cite</t>
        </is>
      </c>
      <c r="H395" s="11" t="inlineStr">
        <is>
          <t>c5124</t>
        </is>
      </c>
      <c r="I395" s="11" t="inlineStr">
        <is>
          <t>cite</t>
        </is>
      </c>
      <c r="J395" s="11" t="inlineStr">
        <is>
          <t>no</t>
        </is>
      </c>
      <c r="K395" s="11" t="inlineStr">
        <is>
          <t>yes</t>
        </is>
      </c>
      <c r="L395" s="11" t="inlineStr">
        <is>
          <t>tune</t>
        </is>
      </c>
    </row>
    <row r="396">
      <c r="A396" s="11" t="inlineStr">
        <is>
          <t>393</t>
        </is>
      </c>
      <c r="B396" s="11" t="inlineStr">
        <is>
          <t>61</t>
        </is>
      </c>
      <c r="C396" s="11" t="inlineStr">
        <is>
          <t>SC</t>
        </is>
      </c>
      <c r="D396" s="11" t="inlineStr">
        <is>
          <t>no</t>
        </is>
      </c>
      <c r="E396" s="11" t="inlineStr">
        <is>
          <t>no</t>
        </is>
      </c>
      <c r="F396" s="11" t="inlineStr">
        <is>
          <t>c2408</t>
        </is>
      </c>
      <c r="G396" s="11" t="inlineStr">
        <is>
          <t>cite</t>
        </is>
      </c>
      <c r="H396" s="11" t="inlineStr"/>
      <c r="I396" s="11" t="inlineStr"/>
      <c r="J396" s="11" t="inlineStr">
        <is>
          <t>no</t>
        </is>
      </c>
      <c r="K396" s="11" t="inlineStr">
        <is>
          <t>no</t>
        </is>
      </c>
      <c r="L396" s="11" t="inlineStr"/>
    </row>
    <row r="397">
      <c r="A397" s="11" t="inlineStr">
        <is>
          <t>394</t>
        </is>
      </c>
      <c r="B397" s="11" t="inlineStr">
        <is>
          <t>61</t>
        </is>
      </c>
      <c r="C397" s="11" t="inlineStr">
        <is>
          <t>SC</t>
        </is>
      </c>
      <c r="D397" s="11" t="inlineStr">
        <is>
          <t>no</t>
        </is>
      </c>
      <c r="E397" s="11" t="inlineStr">
        <is>
          <t>no</t>
        </is>
      </c>
      <c r="F397" s="11" t="inlineStr">
        <is>
          <t>c5641</t>
        </is>
      </c>
      <c r="G397" s="11" t="inlineStr">
        <is>
          <t>cite</t>
        </is>
      </c>
      <c r="H397" s="11" t="inlineStr">
        <is>
          <t>c9438</t>
        </is>
      </c>
      <c r="I397" s="11" t="inlineStr">
        <is>
          <t>cite</t>
        </is>
      </c>
      <c r="J397" s="11" t="inlineStr">
        <is>
          <t>no</t>
        </is>
      </c>
      <c r="K397" s="11" t="inlineStr">
        <is>
          <t>yes</t>
        </is>
      </c>
      <c r="L397" s="11" t="inlineStr">
        <is>
          <t>tune</t>
        </is>
      </c>
    </row>
    <row r="398">
      <c r="A398" s="11" t="inlineStr">
        <is>
          <t>395</t>
        </is>
      </c>
      <c r="B398" s="11" t="inlineStr">
        <is>
          <t>61</t>
        </is>
      </c>
      <c r="C398" s="11" t="inlineStr">
        <is>
          <t>SC</t>
        </is>
      </c>
      <c r="D398" s="11" t="inlineStr">
        <is>
          <t>no</t>
        </is>
      </c>
      <c r="E398" s="11" t="inlineStr">
        <is>
          <t>no</t>
        </is>
      </c>
      <c r="F398" s="11" t="inlineStr">
        <is>
          <t>c6167</t>
        </is>
      </c>
      <c r="G398" s="11" t="inlineStr">
        <is>
          <t>cite</t>
        </is>
      </c>
      <c r="H398" s="11" t="inlineStr">
        <is>
          <t>c9438</t>
        </is>
      </c>
      <c r="I398" s="11" t="inlineStr">
        <is>
          <t>cite</t>
        </is>
      </c>
      <c r="J398" s="11" t="inlineStr">
        <is>
          <t>no</t>
        </is>
      </c>
      <c r="K398" s="11" t="inlineStr">
        <is>
          <t>yes</t>
        </is>
      </c>
      <c r="L398" s="11" t="inlineStr">
        <is>
          <t>untouched</t>
        </is>
      </c>
    </row>
    <row r="399">
      <c r="A399" s="11" t="inlineStr">
        <is>
          <t>396</t>
        </is>
      </c>
      <c r="B399" s="11" t="inlineStr">
        <is>
          <t>61</t>
        </is>
      </c>
      <c r="C399" s="11" t="inlineStr">
        <is>
          <t>SC</t>
        </is>
      </c>
      <c r="D399" s="11" t="inlineStr">
        <is>
          <t>no</t>
        </is>
      </c>
      <c r="E399" s="11" t="inlineStr">
        <is>
          <t>no</t>
        </is>
      </c>
      <c r="F399" s="11" t="inlineStr"/>
      <c r="G399" s="11" t="inlineStr"/>
      <c r="H399" s="11" t="inlineStr"/>
      <c r="I399" s="11" t="inlineStr"/>
      <c r="J399" s="11" t="inlineStr">
        <is>
          <t>no</t>
        </is>
      </c>
      <c r="K399" s="11" t="inlineStr">
        <is>
          <t>no</t>
        </is>
      </c>
      <c r="L399" s="11" t="inlineStr"/>
    </row>
    <row r="400">
      <c r="A400" s="11" t="inlineStr">
        <is>
          <t>397</t>
        </is>
      </c>
      <c r="B400" s="11" t="inlineStr">
        <is>
          <t>62</t>
        </is>
      </c>
      <c r="C400" s="11" t="inlineStr">
        <is>
          <t>SC</t>
        </is>
      </c>
      <c r="D400" s="11" t="inlineStr">
        <is>
          <t>no</t>
        </is>
      </c>
      <c r="E400" s="11" t="inlineStr">
        <is>
          <t>no</t>
        </is>
      </c>
      <c r="F400" s="11" t="inlineStr">
        <is>
          <t>c10830</t>
        </is>
      </c>
      <c r="G400" s="11" t="inlineStr">
        <is>
          <t>cite</t>
        </is>
      </c>
      <c r="H400" s="11" t="inlineStr"/>
      <c r="I400" s="11" t="inlineStr"/>
      <c r="J400" s="11" t="inlineStr">
        <is>
          <t>no</t>
        </is>
      </c>
      <c r="K400" s="11" t="inlineStr">
        <is>
          <t>no</t>
        </is>
      </c>
      <c r="L400" s="11" t="inlineStr"/>
    </row>
    <row r="401">
      <c r="A401" s="11" t="inlineStr">
        <is>
          <t>398</t>
        </is>
      </c>
      <c r="B401" s="11" t="inlineStr">
        <is>
          <t>62</t>
        </is>
      </c>
      <c r="C401" s="11" t="inlineStr">
        <is>
          <t>SC</t>
        </is>
      </c>
      <c r="D401" s="11" t="inlineStr">
        <is>
          <t>no</t>
        </is>
      </c>
      <c r="E401" s="11" t="inlineStr">
        <is>
          <t>no</t>
        </is>
      </c>
      <c r="F401" s="11" t="inlineStr">
        <is>
          <t>c6301</t>
        </is>
      </c>
      <c r="G401" s="11" t="inlineStr">
        <is>
          <t>cite</t>
        </is>
      </c>
      <c r="H401" s="11" t="inlineStr">
        <is>
          <t>c6209</t>
        </is>
      </c>
      <c r="I401" s="11" t="inlineStr">
        <is>
          <t>cite</t>
        </is>
      </c>
      <c r="J401" s="11" t="inlineStr">
        <is>
          <t>no</t>
        </is>
      </c>
      <c r="K401" s="11" t="inlineStr">
        <is>
          <t>yes</t>
        </is>
      </c>
      <c r="L401" s="11" t="inlineStr">
        <is>
          <t>tune</t>
        </is>
      </c>
    </row>
    <row r="402">
      <c r="A402" s="11" t="inlineStr">
        <is>
          <t>399</t>
        </is>
      </c>
      <c r="B402" s="11" t="inlineStr">
        <is>
          <t>62</t>
        </is>
      </c>
      <c r="C402" s="11" t="inlineStr">
        <is>
          <t>SC</t>
        </is>
      </c>
      <c r="D402" s="11" t="inlineStr">
        <is>
          <t>no</t>
        </is>
      </c>
      <c r="E402" s="11" t="inlineStr">
        <is>
          <t>no</t>
        </is>
      </c>
      <c r="F402" s="11" t="inlineStr">
        <is>
          <t>c2990</t>
        </is>
      </c>
      <c r="G402" s="11" t="inlineStr">
        <is>
          <t>cite</t>
        </is>
      </c>
      <c r="H402" s="11" t="inlineStr">
        <is>
          <t>c2567</t>
        </is>
      </c>
      <c r="I402" s="11" t="inlineStr">
        <is>
          <t>cite</t>
        </is>
      </c>
      <c r="J402" s="11" t="inlineStr">
        <is>
          <t>no</t>
        </is>
      </c>
      <c r="K402" s="11" t="inlineStr">
        <is>
          <t>yes</t>
        </is>
      </c>
      <c r="L402" s="11" t="inlineStr">
        <is>
          <t>untouched</t>
        </is>
      </c>
    </row>
    <row r="403">
      <c r="A403" s="11" t="inlineStr">
        <is>
          <t>400</t>
        </is>
      </c>
      <c r="B403" s="11" t="inlineStr">
        <is>
          <t>62</t>
        </is>
      </c>
      <c r="C403" s="11" t="inlineStr">
        <is>
          <t>SC</t>
        </is>
      </c>
      <c r="D403" s="11" t="inlineStr">
        <is>
          <t>no</t>
        </is>
      </c>
      <c r="E403" s="11" t="inlineStr">
        <is>
          <t>no</t>
        </is>
      </c>
      <c r="F403" s="11" t="inlineStr">
        <is>
          <t>c3158</t>
        </is>
      </c>
      <c r="G403" s="11" t="inlineStr">
        <is>
          <t>cite</t>
        </is>
      </c>
      <c r="H403" s="11" t="inlineStr">
        <is>
          <t>c2212</t>
        </is>
      </c>
      <c r="I403" s="11" t="inlineStr">
        <is>
          <t>cite</t>
        </is>
      </c>
      <c r="J403" s="11" t="inlineStr">
        <is>
          <t>no</t>
        </is>
      </c>
      <c r="K403" s="11" t="inlineStr">
        <is>
          <t>yes</t>
        </is>
      </c>
      <c r="L403" s="11" t="inlineStr">
        <is>
          <t>tune</t>
        </is>
      </c>
    </row>
    <row r="404">
      <c r="A404" s="11" t="inlineStr">
        <is>
          <t>401</t>
        </is>
      </c>
      <c r="B404" s="11" t="inlineStr">
        <is>
          <t>62</t>
        </is>
      </c>
      <c r="C404" s="11" t="inlineStr">
        <is>
          <t>SC</t>
        </is>
      </c>
      <c r="D404" s="11" t="inlineStr">
        <is>
          <t>no</t>
        </is>
      </c>
      <c r="E404" s="11" t="inlineStr">
        <is>
          <t>no</t>
        </is>
      </c>
      <c r="F404" s="11" t="inlineStr">
        <is>
          <t>c9734</t>
        </is>
      </c>
      <c r="G404" s="11" t="inlineStr">
        <is>
          <t>cite</t>
        </is>
      </c>
      <c r="H404" s="11" t="inlineStr"/>
      <c r="I404" s="11" t="inlineStr"/>
      <c r="J404" s="11" t="inlineStr">
        <is>
          <t>no</t>
        </is>
      </c>
      <c r="K404" s="11" t="inlineStr">
        <is>
          <t>no</t>
        </is>
      </c>
      <c r="L404" s="11" t="inlineStr"/>
    </row>
    <row r="405">
      <c r="A405" s="11" t="inlineStr">
        <is>
          <t>402</t>
        </is>
      </c>
      <c r="B405" s="11" t="inlineStr">
        <is>
          <t>62</t>
        </is>
      </c>
      <c r="C405" s="11" t="inlineStr">
        <is>
          <t>SC</t>
        </is>
      </c>
      <c r="D405" s="11" t="inlineStr">
        <is>
          <t>no</t>
        </is>
      </c>
      <c r="E405" s="11" t="inlineStr">
        <is>
          <t>no</t>
        </is>
      </c>
      <c r="F405" s="11" t="inlineStr">
        <is>
          <t>c9966</t>
        </is>
      </c>
      <c r="G405" s="11" t="inlineStr">
        <is>
          <t>cite</t>
        </is>
      </c>
      <c r="H405" s="11" t="inlineStr"/>
      <c r="I405" s="11" t="inlineStr"/>
      <c r="J405" s="11" t="inlineStr">
        <is>
          <t>no</t>
        </is>
      </c>
      <c r="K405" s="11" t="inlineStr">
        <is>
          <t>no</t>
        </is>
      </c>
      <c r="L405" s="11" t="inlineStr"/>
    </row>
    <row r="406">
      <c r="A406" s="11" t="inlineStr">
        <is>
          <t>403</t>
        </is>
      </c>
      <c r="B406" s="11" t="inlineStr">
        <is>
          <t>63</t>
        </is>
      </c>
      <c r="C406" s="11" t="inlineStr">
        <is>
          <t>SC</t>
        </is>
      </c>
      <c r="D406" s="11" t="inlineStr">
        <is>
          <t>no</t>
        </is>
      </c>
      <c r="E406" s="11" t="inlineStr">
        <is>
          <t>no</t>
        </is>
      </c>
      <c r="F406" s="11" t="inlineStr">
        <is>
          <t>c12419</t>
        </is>
      </c>
      <c r="G406" s="11" t="inlineStr">
        <is>
          <t>cite</t>
        </is>
      </c>
      <c r="H406" s="11" t="inlineStr">
        <is>
          <t>c13369</t>
        </is>
      </c>
      <c r="I406" s="11" t="inlineStr">
        <is>
          <t>cite</t>
        </is>
      </c>
      <c r="J406" s="11" t="inlineStr">
        <is>
          <t>yes</t>
        </is>
      </c>
      <c r="K406" s="11" t="inlineStr">
        <is>
          <t>no</t>
        </is>
      </c>
      <c r="L406" s="11" t="inlineStr"/>
    </row>
    <row r="407">
      <c r="A407" s="11" t="inlineStr">
        <is>
          <t>404</t>
        </is>
      </c>
      <c r="B407" s="11" t="inlineStr">
        <is>
          <t>63</t>
        </is>
      </c>
      <c r="C407" s="11" t="inlineStr">
        <is>
          <t>HC/tribunal/other</t>
        </is>
      </c>
      <c r="D407" s="11" t="inlineStr">
        <is>
          <t>no</t>
        </is>
      </c>
      <c r="E407" s="11" t="inlineStr">
        <is>
          <t>no</t>
        </is>
      </c>
      <c r="F407" s="11" t="inlineStr"/>
      <c r="G407" s="11" t="inlineStr"/>
      <c r="H407" s="11" t="inlineStr">
        <is>
          <t>c13230</t>
        </is>
      </c>
      <c r="I407" s="11" t="inlineStr">
        <is>
          <t>cite</t>
        </is>
      </c>
      <c r="J407" s="11" t="inlineStr">
        <is>
          <t>no</t>
        </is>
      </c>
      <c r="K407" s="11" t="inlineStr">
        <is>
          <t>no</t>
        </is>
      </c>
      <c r="L407" s="11" t="inlineStr"/>
    </row>
    <row r="408">
      <c r="A408" s="11" t="inlineStr">
        <is>
          <t>405</t>
        </is>
      </c>
      <c r="B408" s="11" t="inlineStr">
        <is>
          <t>63</t>
        </is>
      </c>
      <c r="C408" s="11" t="inlineStr">
        <is>
          <t>HC/tribunal/other</t>
        </is>
      </c>
      <c r="D408" s="11" t="inlineStr">
        <is>
          <t>no</t>
        </is>
      </c>
      <c r="E408" s="11" t="inlineStr">
        <is>
          <t>no</t>
        </is>
      </c>
      <c r="F408" s="11" t="inlineStr"/>
      <c r="G408" s="11" t="inlineStr"/>
      <c r="H408" s="11" t="inlineStr">
        <is>
          <t>c4745</t>
        </is>
      </c>
      <c r="I408" s="11" t="inlineStr">
        <is>
          <t>cite</t>
        </is>
      </c>
      <c r="J408" s="11" t="inlineStr">
        <is>
          <t>no</t>
        </is>
      </c>
      <c r="K408" s="11" t="inlineStr">
        <is>
          <t>no</t>
        </is>
      </c>
      <c r="L408" s="11" t="inlineStr"/>
    </row>
    <row r="409">
      <c r="A409" s="11" t="inlineStr">
        <is>
          <t>406</t>
        </is>
      </c>
      <c r="B409" s="11" t="inlineStr">
        <is>
          <t>63</t>
        </is>
      </c>
      <c r="C409" s="11" t="inlineStr">
        <is>
          <t>SC</t>
        </is>
      </c>
      <c r="D409" s="11" t="inlineStr">
        <is>
          <t>no</t>
        </is>
      </c>
      <c r="E409" s="11" t="inlineStr">
        <is>
          <t>no</t>
        </is>
      </c>
      <c r="F409" s="11" t="inlineStr">
        <is>
          <t>c9616</t>
        </is>
      </c>
      <c r="G409" s="11" t="inlineStr">
        <is>
          <t>cite</t>
        </is>
      </c>
      <c r="H409" s="11" t="inlineStr">
        <is>
          <t>c7707</t>
        </is>
      </c>
      <c r="I409" s="11" t="inlineStr">
        <is>
          <t>cite</t>
        </is>
      </c>
      <c r="J409" s="11" t="inlineStr">
        <is>
          <t>yes</t>
        </is>
      </c>
      <c r="K409" s="11" t="inlineStr">
        <is>
          <t>no</t>
        </is>
      </c>
      <c r="L409" s="11" t="inlineStr"/>
    </row>
    <row r="410">
      <c r="A410" s="11" t="inlineStr">
        <is>
          <t>407</t>
        </is>
      </c>
      <c r="B410" s="11" t="inlineStr">
        <is>
          <t>63</t>
        </is>
      </c>
      <c r="C410" s="11" t="inlineStr">
        <is>
          <t>SC</t>
        </is>
      </c>
      <c r="D410" s="11" t="inlineStr">
        <is>
          <t>no</t>
        </is>
      </c>
      <c r="E410" s="11" t="inlineStr">
        <is>
          <t>yes</t>
        </is>
      </c>
      <c r="F410" s="11" t="inlineStr">
        <is>
          <t>c4903</t>
        </is>
      </c>
      <c r="G410" s="11" t="inlineStr">
        <is>
          <t>cite</t>
        </is>
      </c>
      <c r="H410" s="11" t="inlineStr">
        <is>
          <t>c14565</t>
        </is>
      </c>
      <c r="I410" s="11" t="inlineStr">
        <is>
          <t>name</t>
        </is>
      </c>
      <c r="J410" s="11" t="inlineStr">
        <is>
          <t>no</t>
        </is>
      </c>
      <c r="K410" s="11" t="inlineStr">
        <is>
          <t>yes</t>
        </is>
      </c>
      <c r="L410" s="11" t="inlineStr">
        <is>
          <t>untouched</t>
        </is>
      </c>
    </row>
    <row r="411">
      <c r="A411" s="11" t="inlineStr">
        <is>
          <t>408</t>
        </is>
      </c>
      <c r="B411" s="11" t="inlineStr">
        <is>
          <t>63</t>
        </is>
      </c>
      <c r="C411" s="11" t="inlineStr">
        <is>
          <t>SC</t>
        </is>
      </c>
      <c r="D411" s="11" t="inlineStr">
        <is>
          <t>no</t>
        </is>
      </c>
      <c r="E411" s="11" t="inlineStr">
        <is>
          <t>yes</t>
        </is>
      </c>
      <c r="F411" s="11" t="inlineStr">
        <is>
          <t>c12276</t>
        </is>
      </c>
      <c r="G411" s="11" t="inlineStr">
        <is>
          <t>cite</t>
        </is>
      </c>
      <c r="H411" s="11" t="inlineStr">
        <is>
          <t>c14479</t>
        </is>
      </c>
      <c r="I411" s="11" t="inlineStr">
        <is>
          <t>cite</t>
        </is>
      </c>
      <c r="J411" s="11" t="inlineStr">
        <is>
          <t>no</t>
        </is>
      </c>
      <c r="K411" s="11" t="inlineStr">
        <is>
          <t>yes</t>
        </is>
      </c>
      <c r="L411" s="11" t="inlineStr">
        <is>
          <t>tune</t>
        </is>
      </c>
    </row>
    <row r="412">
      <c r="A412" s="11" t="inlineStr">
        <is>
          <t>409</t>
        </is>
      </c>
      <c r="B412" s="11" t="inlineStr">
        <is>
          <t>64</t>
        </is>
      </c>
      <c r="C412" s="11" t="inlineStr">
        <is>
          <t>SC</t>
        </is>
      </c>
      <c r="D412" s="11" t="inlineStr">
        <is>
          <t>no</t>
        </is>
      </c>
      <c r="E412" s="11" t="inlineStr">
        <is>
          <t>yes</t>
        </is>
      </c>
      <c r="F412" s="11" t="inlineStr"/>
      <c r="G412" s="11" t="inlineStr"/>
      <c r="H412" s="11" t="inlineStr">
        <is>
          <t>c7617</t>
        </is>
      </c>
      <c r="I412" s="11" t="inlineStr">
        <is>
          <t>cite</t>
        </is>
      </c>
      <c r="J412" s="11" t="inlineStr">
        <is>
          <t>no</t>
        </is>
      </c>
      <c r="K412" s="11" t="inlineStr">
        <is>
          <t>no</t>
        </is>
      </c>
      <c r="L412" s="11" t="inlineStr"/>
    </row>
    <row r="413">
      <c r="A413" s="11" t="inlineStr">
        <is>
          <t>410</t>
        </is>
      </c>
      <c r="B413" s="11" t="inlineStr">
        <is>
          <t>64</t>
        </is>
      </c>
      <c r="C413" s="11" t="inlineStr">
        <is>
          <t>SC</t>
        </is>
      </c>
      <c r="D413" s="11" t="inlineStr">
        <is>
          <t>no</t>
        </is>
      </c>
      <c r="E413" s="11" t="inlineStr">
        <is>
          <t>no</t>
        </is>
      </c>
      <c r="F413" s="11" t="inlineStr">
        <is>
          <t>c6584</t>
        </is>
      </c>
      <c r="G413" s="11" t="inlineStr">
        <is>
          <t>cite</t>
        </is>
      </c>
      <c r="H413" s="11" t="inlineStr">
        <is>
          <t>c12663</t>
        </is>
      </c>
      <c r="I413" s="11" t="inlineStr">
        <is>
          <t>cite</t>
        </is>
      </c>
      <c r="J413" s="11" t="inlineStr">
        <is>
          <t>no</t>
        </is>
      </c>
      <c r="K413" s="11" t="inlineStr">
        <is>
          <t>yes</t>
        </is>
      </c>
      <c r="L413" s="11" t="inlineStr">
        <is>
          <t>tune</t>
        </is>
      </c>
    </row>
    <row r="414">
      <c r="A414" s="11" t="inlineStr">
        <is>
          <t>411</t>
        </is>
      </c>
      <c r="B414" s="11" t="inlineStr">
        <is>
          <t>64</t>
        </is>
      </c>
      <c r="C414" s="11" t="inlineStr">
        <is>
          <t>SC</t>
        </is>
      </c>
      <c r="D414" s="11" t="inlineStr">
        <is>
          <t>no</t>
        </is>
      </c>
      <c r="E414" s="11" t="inlineStr">
        <is>
          <t>no</t>
        </is>
      </c>
      <c r="F414" s="11" t="inlineStr">
        <is>
          <t>c3410</t>
        </is>
      </c>
      <c r="G414" s="11" t="inlineStr">
        <is>
          <t>cite</t>
        </is>
      </c>
      <c r="H414" s="11" t="inlineStr">
        <is>
          <t>c2722</t>
        </is>
      </c>
      <c r="I414" s="11" t="inlineStr">
        <is>
          <t>cite</t>
        </is>
      </c>
      <c r="J414" s="11" t="inlineStr">
        <is>
          <t>no</t>
        </is>
      </c>
      <c r="K414" s="11" t="inlineStr">
        <is>
          <t>yes</t>
        </is>
      </c>
      <c r="L414" s="11" t="inlineStr">
        <is>
          <t>untouched</t>
        </is>
      </c>
    </row>
    <row r="415">
      <c r="A415" s="11" t="inlineStr">
        <is>
          <t>412</t>
        </is>
      </c>
      <c r="B415" s="11" t="inlineStr">
        <is>
          <t>64</t>
        </is>
      </c>
      <c r="C415" s="11" t="inlineStr">
        <is>
          <t>SC</t>
        </is>
      </c>
      <c r="D415" s="11" t="inlineStr">
        <is>
          <t>no</t>
        </is>
      </c>
      <c r="E415" s="11" t="inlineStr">
        <is>
          <t>no</t>
        </is>
      </c>
      <c r="F415" s="11" t="inlineStr">
        <is>
          <t>c7780</t>
        </is>
      </c>
      <c r="G415" s="11" t="inlineStr">
        <is>
          <t>cite</t>
        </is>
      </c>
      <c r="H415" s="11" t="inlineStr"/>
      <c r="I415" s="11" t="inlineStr"/>
      <c r="J415" s="11" t="inlineStr">
        <is>
          <t>no</t>
        </is>
      </c>
      <c r="K415" s="11" t="inlineStr">
        <is>
          <t>no</t>
        </is>
      </c>
      <c r="L415" s="11" t="inlineStr"/>
    </row>
    <row r="416">
      <c r="A416" s="11" t="inlineStr">
        <is>
          <t>413</t>
        </is>
      </c>
      <c r="B416" s="11" t="inlineStr">
        <is>
          <t>64</t>
        </is>
      </c>
      <c r="C416" s="11" t="inlineStr">
        <is>
          <t>SC</t>
        </is>
      </c>
      <c r="D416" s="11" t="inlineStr">
        <is>
          <t>no</t>
        </is>
      </c>
      <c r="E416" s="11" t="inlineStr">
        <is>
          <t>yes</t>
        </is>
      </c>
      <c r="F416" s="11" t="inlineStr">
        <is>
          <t>c132</t>
        </is>
      </c>
      <c r="G416" s="11" t="inlineStr">
        <is>
          <t>cite</t>
        </is>
      </c>
      <c r="H416" s="11" t="inlineStr">
        <is>
          <t>c2704</t>
        </is>
      </c>
      <c r="I416" s="11" t="inlineStr">
        <is>
          <t>cite</t>
        </is>
      </c>
      <c r="J416" s="11" t="inlineStr">
        <is>
          <t>no</t>
        </is>
      </c>
      <c r="K416" s="11" t="inlineStr">
        <is>
          <t>yes</t>
        </is>
      </c>
      <c r="L416" s="11" t="inlineStr">
        <is>
          <t>untouched</t>
        </is>
      </c>
    </row>
    <row r="417">
      <c r="A417" s="11" t="inlineStr">
        <is>
          <t>414</t>
        </is>
      </c>
      <c r="B417" s="11" t="inlineStr">
        <is>
          <t>64</t>
        </is>
      </c>
      <c r="C417" s="11" t="inlineStr">
        <is>
          <t>SC</t>
        </is>
      </c>
      <c r="D417" s="11" t="inlineStr">
        <is>
          <t>no</t>
        </is>
      </c>
      <c r="E417" s="11" t="inlineStr">
        <is>
          <t>no</t>
        </is>
      </c>
      <c r="F417" s="11" t="inlineStr">
        <is>
          <t>c74</t>
        </is>
      </c>
      <c r="G417" s="11" t="inlineStr">
        <is>
          <t>cite</t>
        </is>
      </c>
      <c r="H417" s="11" t="inlineStr">
        <is>
          <t>c3556</t>
        </is>
      </c>
      <c r="I417" s="11" t="inlineStr">
        <is>
          <t>cite</t>
        </is>
      </c>
      <c r="J417" s="11" t="inlineStr">
        <is>
          <t>no</t>
        </is>
      </c>
      <c r="K417" s="11" t="inlineStr">
        <is>
          <t>yes</t>
        </is>
      </c>
      <c r="L417" s="11" t="inlineStr">
        <is>
          <t>tune</t>
        </is>
      </c>
    </row>
    <row r="418">
      <c r="A418" s="11" t="inlineStr">
        <is>
          <t>415</t>
        </is>
      </c>
      <c r="B418" s="11" t="inlineStr">
        <is>
          <t>64</t>
        </is>
      </c>
      <c r="C418" s="11" t="inlineStr">
        <is>
          <t>SC</t>
        </is>
      </c>
      <c r="D418" s="11" t="inlineStr">
        <is>
          <t>no</t>
        </is>
      </c>
      <c r="E418" s="11" t="inlineStr">
        <is>
          <t>no</t>
        </is>
      </c>
      <c r="F418" s="11" t="inlineStr">
        <is>
          <t>c9900</t>
        </is>
      </c>
      <c r="G418" s="11" t="inlineStr">
        <is>
          <t>cite</t>
        </is>
      </c>
      <c r="H418" s="11" t="inlineStr"/>
      <c r="I418" s="11" t="inlineStr"/>
      <c r="J418" s="11" t="inlineStr">
        <is>
          <t>no</t>
        </is>
      </c>
      <c r="K418" s="11" t="inlineStr">
        <is>
          <t>no</t>
        </is>
      </c>
      <c r="L418" s="11" t="inlineStr"/>
    </row>
    <row r="419">
      <c r="A419" s="11" t="inlineStr">
        <is>
          <t>416</t>
        </is>
      </c>
      <c r="B419" s="11" t="inlineStr">
        <is>
          <t>65</t>
        </is>
      </c>
      <c r="C419" s="11" t="inlineStr">
        <is>
          <t>SC</t>
        </is>
      </c>
      <c r="D419" s="11" t="inlineStr">
        <is>
          <t>no</t>
        </is>
      </c>
      <c r="E419" s="11" t="inlineStr">
        <is>
          <t>no</t>
        </is>
      </c>
      <c r="F419" s="11" t="inlineStr">
        <is>
          <t>c261</t>
        </is>
      </c>
      <c r="G419" s="11" t="inlineStr">
        <is>
          <t>cite</t>
        </is>
      </c>
      <c r="H419" s="11" t="inlineStr">
        <is>
          <t>c3500</t>
        </is>
      </c>
      <c r="I419" s="11" t="inlineStr">
        <is>
          <t>cite</t>
        </is>
      </c>
      <c r="J419" s="11" t="inlineStr">
        <is>
          <t>no</t>
        </is>
      </c>
      <c r="K419" s="11" t="inlineStr">
        <is>
          <t>yes</t>
        </is>
      </c>
      <c r="L419" s="11" t="inlineStr">
        <is>
          <t>tune</t>
        </is>
      </c>
    </row>
    <row r="420">
      <c r="A420" s="11" t="inlineStr">
        <is>
          <t>417</t>
        </is>
      </c>
      <c r="B420" s="11" t="inlineStr">
        <is>
          <t>65</t>
        </is>
      </c>
      <c r="C420" s="11" t="inlineStr">
        <is>
          <t>SC</t>
        </is>
      </c>
      <c r="D420" s="11" t="inlineStr">
        <is>
          <t>no</t>
        </is>
      </c>
      <c r="E420" s="11" t="inlineStr">
        <is>
          <t>no</t>
        </is>
      </c>
      <c r="F420" s="11" t="inlineStr">
        <is>
          <t>c12114</t>
        </is>
      </c>
      <c r="G420" s="11" t="inlineStr">
        <is>
          <t>cite</t>
        </is>
      </c>
      <c r="H420" s="11" t="inlineStr">
        <is>
          <t>c15748</t>
        </is>
      </c>
      <c r="I420" s="11" t="inlineStr">
        <is>
          <t>cite</t>
        </is>
      </c>
      <c r="J420" s="11" t="inlineStr">
        <is>
          <t>no</t>
        </is>
      </c>
      <c r="K420" s="11" t="inlineStr">
        <is>
          <t>yes</t>
        </is>
      </c>
      <c r="L420" s="11" t="inlineStr">
        <is>
          <t>untouched</t>
        </is>
      </c>
    </row>
    <row r="421">
      <c r="A421" s="11" t="inlineStr">
        <is>
          <t>418</t>
        </is>
      </c>
      <c r="B421" s="11" t="inlineStr">
        <is>
          <t>65</t>
        </is>
      </c>
      <c r="C421" s="11" t="inlineStr">
        <is>
          <t>SC</t>
        </is>
      </c>
      <c r="D421" s="11" t="inlineStr">
        <is>
          <t>no</t>
        </is>
      </c>
      <c r="E421" s="11" t="inlineStr">
        <is>
          <t>no</t>
        </is>
      </c>
      <c r="F421" s="11" t="inlineStr">
        <is>
          <t>c4250</t>
        </is>
      </c>
      <c r="G421" s="11" t="inlineStr">
        <is>
          <t>cite</t>
        </is>
      </c>
      <c r="H421" s="11" t="inlineStr">
        <is>
          <t>c2774</t>
        </is>
      </c>
      <c r="I421" s="11" t="inlineStr">
        <is>
          <t>cite</t>
        </is>
      </c>
      <c r="J421" s="11" t="inlineStr">
        <is>
          <t>no</t>
        </is>
      </c>
      <c r="K421" s="11" t="inlineStr">
        <is>
          <t>yes</t>
        </is>
      </c>
      <c r="L421" s="11" t="inlineStr">
        <is>
          <t>tune</t>
        </is>
      </c>
    </row>
    <row r="422">
      <c r="A422" s="11" t="inlineStr">
        <is>
          <t>419</t>
        </is>
      </c>
      <c r="B422" s="11" t="inlineStr">
        <is>
          <t>65</t>
        </is>
      </c>
      <c r="C422" s="11" t="inlineStr">
        <is>
          <t>SC</t>
        </is>
      </c>
      <c r="D422" s="11" t="inlineStr">
        <is>
          <t>no</t>
        </is>
      </c>
      <c r="E422" s="11" t="inlineStr">
        <is>
          <t>yes</t>
        </is>
      </c>
      <c r="F422" s="11" t="inlineStr">
        <is>
          <t>c6114</t>
        </is>
      </c>
      <c r="G422" s="11" t="inlineStr">
        <is>
          <t>cite</t>
        </is>
      </c>
      <c r="H422" s="11" t="inlineStr">
        <is>
          <t>c5146</t>
        </is>
      </c>
      <c r="I422" s="11" t="inlineStr">
        <is>
          <t>cite</t>
        </is>
      </c>
      <c r="J422" s="11" t="inlineStr">
        <is>
          <t>no</t>
        </is>
      </c>
      <c r="K422" s="11" t="inlineStr">
        <is>
          <t>yes</t>
        </is>
      </c>
      <c r="L422" s="11" t="inlineStr">
        <is>
          <t>untouched</t>
        </is>
      </c>
    </row>
    <row r="423">
      <c r="A423" s="11" t="inlineStr">
        <is>
          <t>420</t>
        </is>
      </c>
      <c r="B423" s="11" t="inlineStr">
        <is>
          <t>65</t>
        </is>
      </c>
      <c r="C423" s="11" t="inlineStr">
        <is>
          <t>SC</t>
        </is>
      </c>
      <c r="D423" s="11" t="inlineStr">
        <is>
          <t>no</t>
        </is>
      </c>
      <c r="E423" s="11" t="inlineStr">
        <is>
          <t>yes</t>
        </is>
      </c>
      <c r="F423" s="11" t="inlineStr">
        <is>
          <t>c12312</t>
        </is>
      </c>
      <c r="G423" s="11" t="inlineStr">
        <is>
          <t>name</t>
        </is>
      </c>
      <c r="H423" s="11" t="inlineStr">
        <is>
          <t>c15016</t>
        </is>
      </c>
      <c r="I423" s="11" t="inlineStr">
        <is>
          <t>name</t>
        </is>
      </c>
      <c r="J423" s="11" t="inlineStr">
        <is>
          <t>no</t>
        </is>
      </c>
      <c r="K423" s="11" t="inlineStr">
        <is>
          <t>yes</t>
        </is>
      </c>
      <c r="L423" s="11" t="inlineStr">
        <is>
          <t>tune</t>
        </is>
      </c>
    </row>
    <row r="424">
      <c r="A424" s="11" t="inlineStr">
        <is>
          <t>421</t>
        </is>
      </c>
      <c r="B424" s="11" t="inlineStr">
        <is>
          <t>65</t>
        </is>
      </c>
      <c r="C424" s="11" t="inlineStr">
        <is>
          <t>SC</t>
        </is>
      </c>
      <c r="D424" s="11" t="inlineStr">
        <is>
          <t>no</t>
        </is>
      </c>
      <c r="E424" s="11" t="inlineStr">
        <is>
          <t>yes</t>
        </is>
      </c>
      <c r="F424" s="11" t="inlineStr">
        <is>
          <t>c8620</t>
        </is>
      </c>
      <c r="G424" s="11" t="inlineStr">
        <is>
          <t>cite</t>
        </is>
      </c>
      <c r="H424" s="11" t="inlineStr"/>
      <c r="I424" s="11" t="inlineStr"/>
      <c r="J424" s="11" t="inlineStr">
        <is>
          <t>no</t>
        </is>
      </c>
      <c r="K424" s="11" t="inlineStr">
        <is>
          <t>no</t>
        </is>
      </c>
      <c r="L424" s="11" t="inlineStr"/>
    </row>
    <row r="425">
      <c r="A425" s="11" t="inlineStr">
        <is>
          <t>422</t>
        </is>
      </c>
      <c r="B425" s="11" t="inlineStr">
        <is>
          <t>65</t>
        </is>
      </c>
      <c r="C425" s="11" t="inlineStr">
        <is>
          <t>SC</t>
        </is>
      </c>
      <c r="D425" s="11" t="inlineStr">
        <is>
          <t>no</t>
        </is>
      </c>
      <c r="E425" s="11" t="inlineStr">
        <is>
          <t>no</t>
        </is>
      </c>
      <c r="F425" s="11" t="inlineStr">
        <is>
          <t>bS_1994_6_168_170</t>
        </is>
      </c>
      <c r="G425" s="11" t="inlineStr">
        <is>
          <t>name</t>
        </is>
      </c>
      <c r="H425" s="11" t="inlineStr">
        <is>
          <t>c16554</t>
        </is>
      </c>
      <c r="I425" s="11" t="inlineStr">
        <is>
          <t>cite</t>
        </is>
      </c>
      <c r="J425" s="11" t="inlineStr">
        <is>
          <t>no</t>
        </is>
      </c>
      <c r="K425" s="11" t="inlineStr">
        <is>
          <t>yes</t>
        </is>
      </c>
      <c r="L425" s="11" t="inlineStr">
        <is>
          <t>tune</t>
        </is>
      </c>
    </row>
    <row r="426">
      <c r="A426" s="11" t="inlineStr">
        <is>
          <t>423</t>
        </is>
      </c>
      <c r="B426" s="11" t="inlineStr">
        <is>
          <t>66</t>
        </is>
      </c>
      <c r="C426" s="11" t="inlineStr">
        <is>
          <t>SC</t>
        </is>
      </c>
      <c r="D426" s="11" t="inlineStr">
        <is>
          <t>no</t>
        </is>
      </c>
      <c r="E426" s="11" t="inlineStr">
        <is>
          <t>no</t>
        </is>
      </c>
      <c r="F426" s="11" t="inlineStr"/>
      <c r="G426" s="11" t="inlineStr"/>
      <c r="H426" s="11" t="inlineStr">
        <is>
          <t>c12390</t>
        </is>
      </c>
      <c r="I426" s="11" t="inlineStr">
        <is>
          <t>cite</t>
        </is>
      </c>
      <c r="J426" s="11" t="inlineStr">
        <is>
          <t>no</t>
        </is>
      </c>
      <c r="K426" s="11" t="inlineStr">
        <is>
          <t>no</t>
        </is>
      </c>
      <c r="L426" s="11" t="inlineStr"/>
    </row>
    <row r="427">
      <c r="A427" s="11" t="inlineStr">
        <is>
          <t>424</t>
        </is>
      </c>
      <c r="B427" s="11" t="inlineStr">
        <is>
          <t>66</t>
        </is>
      </c>
      <c r="C427" s="11" t="inlineStr">
        <is>
          <t>SC</t>
        </is>
      </c>
      <c r="D427" s="11" t="inlineStr">
        <is>
          <t>no</t>
        </is>
      </c>
      <c r="E427" s="11" t="inlineStr">
        <is>
          <t>no</t>
        </is>
      </c>
      <c r="F427" s="11" t="inlineStr">
        <is>
          <t>c7648</t>
        </is>
      </c>
      <c r="G427" s="11" t="inlineStr">
        <is>
          <t>cite</t>
        </is>
      </c>
      <c r="H427" s="11" t="inlineStr"/>
      <c r="I427" s="11" t="inlineStr"/>
      <c r="J427" s="11" t="inlineStr">
        <is>
          <t>no</t>
        </is>
      </c>
      <c r="K427" s="11" t="inlineStr">
        <is>
          <t>no</t>
        </is>
      </c>
      <c r="L427" s="11" t="inlineStr"/>
    </row>
    <row r="428">
      <c r="A428" s="11" t="inlineStr">
        <is>
          <t>425</t>
        </is>
      </c>
      <c r="B428" s="11" t="inlineStr">
        <is>
          <t>66</t>
        </is>
      </c>
      <c r="C428" s="11" t="inlineStr">
        <is>
          <t>SC</t>
        </is>
      </c>
      <c r="D428" s="11" t="inlineStr">
        <is>
          <t>no</t>
        </is>
      </c>
      <c r="E428" s="11" t="inlineStr">
        <is>
          <t>no</t>
        </is>
      </c>
      <c r="F428" s="11" t="inlineStr">
        <is>
          <t>c2983</t>
        </is>
      </c>
      <c r="G428" s="11" t="inlineStr">
        <is>
          <t>cite</t>
        </is>
      </c>
      <c r="H428" s="11" t="inlineStr">
        <is>
          <t>c6706</t>
        </is>
      </c>
      <c r="I428" s="11" t="inlineStr">
        <is>
          <t>cite</t>
        </is>
      </c>
      <c r="J428" s="11" t="inlineStr">
        <is>
          <t>no</t>
        </is>
      </c>
      <c r="K428" s="11" t="inlineStr">
        <is>
          <t>yes</t>
        </is>
      </c>
      <c r="L428" s="11" t="inlineStr">
        <is>
          <t>untouched</t>
        </is>
      </c>
    </row>
    <row r="429">
      <c r="A429" s="11" t="inlineStr">
        <is>
          <t>426</t>
        </is>
      </c>
      <c r="B429" s="11" t="inlineStr">
        <is>
          <t>66</t>
        </is>
      </c>
      <c r="C429" s="11" t="inlineStr">
        <is>
          <t>SC</t>
        </is>
      </c>
      <c r="D429" s="11" t="inlineStr">
        <is>
          <t>no</t>
        </is>
      </c>
      <c r="E429" s="11" t="inlineStr">
        <is>
          <t>no</t>
        </is>
      </c>
      <c r="F429" s="11" t="inlineStr">
        <is>
          <t>c4302</t>
        </is>
      </c>
      <c r="G429" s="11" t="inlineStr">
        <is>
          <t>cite</t>
        </is>
      </c>
      <c r="H429" s="11" t="inlineStr">
        <is>
          <t>c4133</t>
        </is>
      </c>
      <c r="I429" s="11" t="inlineStr">
        <is>
          <t>cite</t>
        </is>
      </c>
      <c r="J429" s="11" t="inlineStr">
        <is>
          <t>no</t>
        </is>
      </c>
      <c r="K429" s="11" t="inlineStr">
        <is>
          <t>yes</t>
        </is>
      </c>
      <c r="L429" s="11" t="inlineStr">
        <is>
          <t>tune</t>
        </is>
      </c>
    </row>
    <row r="430">
      <c r="A430" s="11" t="inlineStr">
        <is>
          <t>427</t>
        </is>
      </c>
      <c r="B430" s="11" t="inlineStr">
        <is>
          <t>66</t>
        </is>
      </c>
      <c r="C430" s="11" t="inlineStr">
        <is>
          <t>SC</t>
        </is>
      </c>
      <c r="D430" s="11" t="inlineStr">
        <is>
          <t>no</t>
        </is>
      </c>
      <c r="E430" s="11" t="inlineStr">
        <is>
          <t>no</t>
        </is>
      </c>
      <c r="F430" s="11" t="inlineStr">
        <is>
          <t>c1896</t>
        </is>
      </c>
      <c r="G430" s="11" t="inlineStr">
        <is>
          <t>cite</t>
        </is>
      </c>
      <c r="H430" s="11" t="inlineStr"/>
      <c r="I430" s="11" t="inlineStr"/>
      <c r="J430" s="11" t="inlineStr">
        <is>
          <t>no</t>
        </is>
      </c>
      <c r="K430" s="11" t="inlineStr">
        <is>
          <t>no</t>
        </is>
      </c>
      <c r="L430" s="11" t="inlineStr"/>
    </row>
    <row r="431">
      <c r="A431" s="11" t="inlineStr">
        <is>
          <t>428</t>
        </is>
      </c>
      <c r="B431" s="11" t="inlineStr">
        <is>
          <t>66</t>
        </is>
      </c>
      <c r="C431" s="11" t="inlineStr">
        <is>
          <t>SC</t>
        </is>
      </c>
      <c r="D431" s="11" t="inlineStr">
        <is>
          <t>no</t>
        </is>
      </c>
      <c r="E431" s="11" t="inlineStr">
        <is>
          <t>no</t>
        </is>
      </c>
      <c r="F431" s="11" t="inlineStr">
        <is>
          <t>c553</t>
        </is>
      </c>
      <c r="G431" s="11" t="inlineStr">
        <is>
          <t>cite</t>
        </is>
      </c>
      <c r="H431" s="11" t="inlineStr">
        <is>
          <t>c3489</t>
        </is>
      </c>
      <c r="I431" s="11" t="inlineStr">
        <is>
          <t>cite</t>
        </is>
      </c>
      <c r="J431" s="11" t="inlineStr">
        <is>
          <t>no</t>
        </is>
      </c>
      <c r="K431" s="11" t="inlineStr">
        <is>
          <t>yes</t>
        </is>
      </c>
      <c r="L431" s="11" t="inlineStr">
        <is>
          <t>tune</t>
        </is>
      </c>
    </row>
    <row r="432">
      <c r="A432" s="11" t="inlineStr">
        <is>
          <t>429</t>
        </is>
      </c>
      <c r="B432" s="11" t="inlineStr">
        <is>
          <t>66</t>
        </is>
      </c>
      <c r="C432" s="11" t="inlineStr">
        <is>
          <t>SC</t>
        </is>
      </c>
      <c r="D432" s="11" t="inlineStr">
        <is>
          <t>no</t>
        </is>
      </c>
      <c r="E432" s="11" t="inlineStr">
        <is>
          <t>no</t>
        </is>
      </c>
      <c r="F432" s="11" t="inlineStr">
        <is>
          <t>c14811</t>
        </is>
      </c>
      <c r="G432" s="11" t="inlineStr">
        <is>
          <t>name</t>
        </is>
      </c>
      <c r="H432" s="11" t="inlineStr"/>
      <c r="I432" s="11" t="inlineStr"/>
      <c r="J432" s="11" t="inlineStr">
        <is>
          <t>no</t>
        </is>
      </c>
      <c r="K432" s="11" t="inlineStr">
        <is>
          <t>no</t>
        </is>
      </c>
      <c r="L432" s="11" t="inlineStr"/>
    </row>
    <row r="433">
      <c r="A433" s="11" t="inlineStr">
        <is>
          <t>430</t>
        </is>
      </c>
      <c r="B433" s="11" t="inlineStr">
        <is>
          <t>67</t>
        </is>
      </c>
      <c r="C433" s="11" t="inlineStr">
        <is>
          <t>SC</t>
        </is>
      </c>
      <c r="D433" s="11" t="inlineStr">
        <is>
          <t>no</t>
        </is>
      </c>
      <c r="E433" s="11" t="inlineStr">
        <is>
          <t>yes</t>
        </is>
      </c>
      <c r="F433" s="11" t="inlineStr">
        <is>
          <t>c327</t>
        </is>
      </c>
      <c r="G433" s="11" t="inlineStr">
        <is>
          <t>cite</t>
        </is>
      </c>
      <c r="H433" s="11" t="inlineStr">
        <is>
          <t>c1116</t>
        </is>
      </c>
      <c r="I433" s="11" t="inlineStr">
        <is>
          <t>cite</t>
        </is>
      </c>
      <c r="J433" s="11" t="inlineStr">
        <is>
          <t>no</t>
        </is>
      </c>
      <c r="K433" s="11" t="inlineStr">
        <is>
          <t>no</t>
        </is>
      </c>
      <c r="L433" s="11" t="inlineStr"/>
    </row>
    <row r="434">
      <c r="A434" s="11" t="inlineStr">
        <is>
          <t>431</t>
        </is>
      </c>
      <c r="B434" s="11" t="inlineStr">
        <is>
          <t>67</t>
        </is>
      </c>
      <c r="C434" s="11" t="inlineStr">
        <is>
          <t>SC</t>
        </is>
      </c>
      <c r="D434" s="11" t="inlineStr">
        <is>
          <t>no</t>
        </is>
      </c>
      <c r="E434" s="11" t="inlineStr">
        <is>
          <t>yes</t>
        </is>
      </c>
      <c r="F434" s="11" t="inlineStr">
        <is>
          <t>c9819</t>
        </is>
      </c>
      <c r="G434" s="11" t="inlineStr">
        <is>
          <t>cite</t>
        </is>
      </c>
      <c r="H434" s="11" t="inlineStr">
        <is>
          <t>c8050</t>
        </is>
      </c>
      <c r="I434" s="11" t="inlineStr">
        <is>
          <t>name</t>
        </is>
      </c>
      <c r="J434" s="11" t="inlineStr">
        <is>
          <t>no</t>
        </is>
      </c>
      <c r="K434" s="11" t="inlineStr">
        <is>
          <t>yes</t>
        </is>
      </c>
      <c r="L434" s="11" t="inlineStr">
        <is>
          <t>untouched</t>
        </is>
      </c>
    </row>
    <row r="435">
      <c r="A435" s="11" t="inlineStr">
        <is>
          <t>432</t>
        </is>
      </c>
      <c r="B435" s="11" t="inlineStr">
        <is>
          <t>67</t>
        </is>
      </c>
      <c r="C435" s="11" t="inlineStr">
        <is>
          <t>SC</t>
        </is>
      </c>
      <c r="D435" s="11" t="inlineStr">
        <is>
          <t>no</t>
        </is>
      </c>
      <c r="E435" s="11" t="inlineStr">
        <is>
          <t>no</t>
        </is>
      </c>
      <c r="F435" s="11" t="inlineStr"/>
      <c r="G435" s="11" t="inlineStr"/>
      <c r="H435" s="11" t="inlineStr">
        <is>
          <t>c26446</t>
        </is>
      </c>
      <c r="I435" s="11" t="inlineStr">
        <is>
          <t>name</t>
        </is>
      </c>
      <c r="J435" s="11" t="inlineStr">
        <is>
          <t>no</t>
        </is>
      </c>
      <c r="K435" s="11" t="inlineStr">
        <is>
          <t>no</t>
        </is>
      </c>
      <c r="L435" s="11" t="inlineStr"/>
    </row>
    <row r="436">
      <c r="A436" s="11" t="inlineStr">
        <is>
          <t>433</t>
        </is>
      </c>
      <c r="B436" s="11" t="inlineStr">
        <is>
          <t>67</t>
        </is>
      </c>
      <c r="C436" s="11" t="inlineStr">
        <is>
          <t>SC</t>
        </is>
      </c>
      <c r="D436" s="11" t="inlineStr">
        <is>
          <t>no</t>
        </is>
      </c>
      <c r="E436" s="11" t="inlineStr">
        <is>
          <t>no</t>
        </is>
      </c>
      <c r="F436" s="11" t="inlineStr">
        <is>
          <t>c232</t>
        </is>
      </c>
      <c r="G436" s="11" t="inlineStr">
        <is>
          <t>cite</t>
        </is>
      </c>
      <c r="H436" s="11" t="inlineStr">
        <is>
          <t>c3556</t>
        </is>
      </c>
      <c r="I436" s="11" t="inlineStr">
        <is>
          <t>cite</t>
        </is>
      </c>
      <c r="J436" s="11" t="inlineStr">
        <is>
          <t>no</t>
        </is>
      </c>
      <c r="K436" s="11" t="inlineStr">
        <is>
          <t>yes</t>
        </is>
      </c>
      <c r="L436" s="11" t="inlineStr">
        <is>
          <t>untouched</t>
        </is>
      </c>
    </row>
    <row r="437">
      <c r="A437" s="11" t="inlineStr">
        <is>
          <t>434</t>
        </is>
      </c>
      <c r="B437" s="11" t="inlineStr">
        <is>
          <t>67</t>
        </is>
      </c>
      <c r="C437" s="11" t="inlineStr">
        <is>
          <t>SC</t>
        </is>
      </c>
      <c r="D437" s="11" t="inlineStr">
        <is>
          <t>no</t>
        </is>
      </c>
      <c r="E437" s="11" t="inlineStr">
        <is>
          <t>no</t>
        </is>
      </c>
      <c r="F437" s="11" t="inlineStr">
        <is>
          <t>c608</t>
        </is>
      </c>
      <c r="G437" s="11" t="inlineStr">
        <is>
          <t>cite</t>
        </is>
      </c>
      <c r="H437" s="11" t="inlineStr">
        <is>
          <t>c3450</t>
        </is>
      </c>
      <c r="I437" s="11" t="inlineStr">
        <is>
          <t>cite</t>
        </is>
      </c>
      <c r="J437" s="11" t="inlineStr">
        <is>
          <t>no</t>
        </is>
      </c>
      <c r="K437" s="11" t="inlineStr">
        <is>
          <t>yes</t>
        </is>
      </c>
      <c r="L437" s="11" t="inlineStr">
        <is>
          <t>tune</t>
        </is>
      </c>
    </row>
    <row r="438">
      <c r="A438" s="11" t="inlineStr">
        <is>
          <t>435</t>
        </is>
      </c>
      <c r="B438" s="11" t="inlineStr">
        <is>
          <t>67</t>
        </is>
      </c>
      <c r="C438" s="11" t="inlineStr">
        <is>
          <t>SC</t>
        </is>
      </c>
      <c r="D438" s="11" t="inlineStr">
        <is>
          <t>no</t>
        </is>
      </c>
      <c r="E438" s="11" t="inlineStr">
        <is>
          <t>no</t>
        </is>
      </c>
      <c r="F438" s="11" t="inlineStr">
        <is>
          <t>c2612</t>
        </is>
      </c>
      <c r="G438" s="11" t="inlineStr">
        <is>
          <t>cite</t>
        </is>
      </c>
      <c r="H438" s="11" t="inlineStr">
        <is>
          <t>c1857</t>
        </is>
      </c>
      <c r="I438" s="11" t="inlineStr">
        <is>
          <t>cite</t>
        </is>
      </c>
      <c r="J438" s="11" t="inlineStr">
        <is>
          <t>no</t>
        </is>
      </c>
      <c r="K438" s="11" t="inlineStr">
        <is>
          <t>yes</t>
        </is>
      </c>
      <c r="L438" s="11" t="inlineStr">
        <is>
          <t>untouched</t>
        </is>
      </c>
    </row>
    <row r="439">
      <c r="A439" s="11" t="inlineStr">
        <is>
          <t>436</t>
        </is>
      </c>
      <c r="B439" s="11" t="inlineStr">
        <is>
          <t>67</t>
        </is>
      </c>
      <c r="C439" s="11" t="inlineStr">
        <is>
          <t>HC/tribunal/other</t>
        </is>
      </c>
      <c r="D439" s="11" t="inlineStr">
        <is>
          <t>no</t>
        </is>
      </c>
      <c r="E439" s="11" t="inlineStr">
        <is>
          <t>no</t>
        </is>
      </c>
      <c r="F439" s="11" t="inlineStr"/>
      <c r="G439" s="11" t="inlineStr"/>
      <c r="H439" s="11" t="inlineStr">
        <is>
          <t>c10419</t>
        </is>
      </c>
      <c r="I439" s="11" t="inlineStr">
        <is>
          <t>cite</t>
        </is>
      </c>
      <c r="J439" s="11" t="inlineStr">
        <is>
          <t>no</t>
        </is>
      </c>
      <c r="K439" s="11" t="inlineStr">
        <is>
          <t>no</t>
        </is>
      </c>
      <c r="L439" s="11" t="inlineStr"/>
    </row>
    <row r="440">
      <c r="A440" s="11" t="inlineStr">
        <is>
          <t>437</t>
        </is>
      </c>
      <c r="B440" s="11" t="inlineStr">
        <is>
          <t>68</t>
        </is>
      </c>
      <c r="C440" s="11" t="inlineStr">
        <is>
          <t>SC</t>
        </is>
      </c>
      <c r="D440" s="11" t="inlineStr">
        <is>
          <t>no</t>
        </is>
      </c>
      <c r="E440" s="11" t="inlineStr">
        <is>
          <t>no</t>
        </is>
      </c>
      <c r="F440" s="11" t="inlineStr">
        <is>
          <t>c1076</t>
        </is>
      </c>
      <c r="G440" s="11" t="inlineStr">
        <is>
          <t>cite</t>
        </is>
      </c>
      <c r="H440" s="11" t="inlineStr">
        <is>
          <t>c3824</t>
        </is>
      </c>
      <c r="I440" s="11" t="inlineStr">
        <is>
          <t>cite</t>
        </is>
      </c>
      <c r="J440" s="11" t="inlineStr">
        <is>
          <t>no</t>
        </is>
      </c>
      <c r="K440" s="11" t="inlineStr">
        <is>
          <t>yes</t>
        </is>
      </c>
      <c r="L440" s="11" t="inlineStr">
        <is>
          <t>untouched</t>
        </is>
      </c>
    </row>
    <row r="441">
      <c r="A441" s="11" t="inlineStr">
        <is>
          <t>438</t>
        </is>
      </c>
      <c r="B441" s="11" t="inlineStr">
        <is>
          <t>68</t>
        </is>
      </c>
      <c r="C441" s="11" t="inlineStr">
        <is>
          <t>SC</t>
        </is>
      </c>
      <c r="D441" s="11" t="inlineStr">
        <is>
          <t>no</t>
        </is>
      </c>
      <c r="E441" s="11" t="inlineStr">
        <is>
          <t>yes</t>
        </is>
      </c>
      <c r="F441" s="11" t="inlineStr">
        <is>
          <t>c9471</t>
        </is>
      </c>
      <c r="G441" s="11" t="inlineStr">
        <is>
          <t>cite</t>
        </is>
      </c>
      <c r="H441" s="11" t="inlineStr"/>
      <c r="I441" s="11" t="inlineStr"/>
      <c r="J441" s="11" t="inlineStr">
        <is>
          <t>no</t>
        </is>
      </c>
      <c r="K441" s="11" t="inlineStr">
        <is>
          <t>no</t>
        </is>
      </c>
      <c r="L441" s="11" t="inlineStr"/>
    </row>
    <row r="442">
      <c r="A442" s="11" t="inlineStr">
        <is>
          <t>439</t>
        </is>
      </c>
      <c r="B442" s="11" t="inlineStr">
        <is>
          <t>68</t>
        </is>
      </c>
      <c r="C442" s="11" t="inlineStr">
        <is>
          <t>SC</t>
        </is>
      </c>
      <c r="D442" s="11" t="inlineStr">
        <is>
          <t>yes</t>
        </is>
      </c>
      <c r="E442" s="11" t="inlineStr">
        <is>
          <t>yes</t>
        </is>
      </c>
      <c r="F442" s="11" t="inlineStr">
        <is>
          <t>c9608</t>
        </is>
      </c>
      <c r="G442" s="11" t="inlineStr">
        <is>
          <t>cite</t>
        </is>
      </c>
      <c r="H442" s="11" t="inlineStr">
        <is>
          <t>c8342</t>
        </is>
      </c>
      <c r="I442" s="11" t="inlineStr">
        <is>
          <t>cite</t>
        </is>
      </c>
      <c r="J442" s="11" t="inlineStr">
        <is>
          <t>no</t>
        </is>
      </c>
      <c r="K442" s="11" t="inlineStr">
        <is>
          <t>yes</t>
        </is>
      </c>
      <c r="L442" s="11" t="inlineStr">
        <is>
          <t>untouched</t>
        </is>
      </c>
    </row>
    <row r="443">
      <c r="A443" s="11" t="inlineStr">
        <is>
          <t>440</t>
        </is>
      </c>
      <c r="B443" s="11" t="inlineStr">
        <is>
          <t>68</t>
        </is>
      </c>
      <c r="C443" s="11" t="inlineStr">
        <is>
          <t>HC/tribunal/other</t>
        </is>
      </c>
      <c r="D443" s="11" t="inlineStr">
        <is>
          <t>yes</t>
        </is>
      </c>
      <c r="E443" s="11" t="inlineStr">
        <is>
          <t>no</t>
        </is>
      </c>
      <c r="F443" s="11" t="inlineStr"/>
      <c r="G443" s="11" t="inlineStr"/>
      <c r="H443" s="11" t="inlineStr">
        <is>
          <t>c8843</t>
        </is>
      </c>
      <c r="I443" s="11" t="inlineStr">
        <is>
          <t>cite</t>
        </is>
      </c>
      <c r="J443" s="11" t="inlineStr">
        <is>
          <t>no</t>
        </is>
      </c>
      <c r="K443" s="11" t="inlineStr">
        <is>
          <t>no</t>
        </is>
      </c>
      <c r="L443" s="11" t="inlineStr"/>
    </row>
    <row r="444">
      <c r="A444" s="11" t="inlineStr">
        <is>
          <t>441</t>
        </is>
      </c>
      <c r="B444" s="11" t="inlineStr">
        <is>
          <t>68</t>
        </is>
      </c>
      <c r="C444" s="11" t="inlineStr">
        <is>
          <t>SC</t>
        </is>
      </c>
      <c r="D444" s="11" t="inlineStr">
        <is>
          <t>no</t>
        </is>
      </c>
      <c r="E444" s="11" t="inlineStr">
        <is>
          <t>no</t>
        </is>
      </c>
      <c r="F444" s="11" t="inlineStr">
        <is>
          <t>c3049</t>
        </is>
      </c>
      <c r="G444" s="11" t="inlineStr">
        <is>
          <t>cite</t>
        </is>
      </c>
      <c r="H444" s="11" t="inlineStr">
        <is>
          <t>c6845</t>
        </is>
      </c>
      <c r="I444" s="11" t="inlineStr">
        <is>
          <t>cite</t>
        </is>
      </c>
      <c r="J444" s="11" t="inlineStr">
        <is>
          <t>no</t>
        </is>
      </c>
      <c r="K444" s="11" t="inlineStr">
        <is>
          <t>yes</t>
        </is>
      </c>
      <c r="L444" s="11" t="inlineStr">
        <is>
          <t>untouched</t>
        </is>
      </c>
    </row>
    <row r="445">
      <c r="A445" s="11" t="inlineStr">
        <is>
          <t>442</t>
        </is>
      </c>
      <c r="B445" s="11" t="inlineStr">
        <is>
          <t>68</t>
        </is>
      </c>
      <c r="C445" s="11" t="inlineStr">
        <is>
          <t>SC</t>
        </is>
      </c>
      <c r="D445" s="11" t="inlineStr">
        <is>
          <t>no</t>
        </is>
      </c>
      <c r="E445" s="11" t="inlineStr">
        <is>
          <t>no</t>
        </is>
      </c>
      <c r="F445" s="11" t="inlineStr">
        <is>
          <t>c9928</t>
        </is>
      </c>
      <c r="G445" s="11" t="inlineStr">
        <is>
          <t>cite</t>
        </is>
      </c>
      <c r="H445" s="11" t="inlineStr">
        <is>
          <t>c7506</t>
        </is>
      </c>
      <c r="I445" s="11" t="inlineStr">
        <is>
          <t>cite</t>
        </is>
      </c>
      <c r="J445" s="11" t="inlineStr">
        <is>
          <t>no</t>
        </is>
      </c>
      <c r="K445" s="11" t="inlineStr">
        <is>
          <t>yes</t>
        </is>
      </c>
      <c r="L445" s="11" t="inlineStr">
        <is>
          <t>tune</t>
        </is>
      </c>
    </row>
    <row r="446">
      <c r="A446" s="11" t="inlineStr">
        <is>
          <t>443</t>
        </is>
      </c>
      <c r="B446" s="11" t="inlineStr">
        <is>
          <t>68</t>
        </is>
      </c>
      <c r="C446" s="11" t="inlineStr">
        <is>
          <t>SC</t>
        </is>
      </c>
      <c r="D446" s="11" t="inlineStr">
        <is>
          <t>no</t>
        </is>
      </c>
      <c r="E446" s="11" t="inlineStr">
        <is>
          <t>no</t>
        </is>
      </c>
      <c r="F446" s="11" t="inlineStr">
        <is>
          <t>c6177</t>
        </is>
      </c>
      <c r="G446" s="11" t="inlineStr">
        <is>
          <t>cite</t>
        </is>
      </c>
      <c r="H446" s="11" t="inlineStr">
        <is>
          <t>c33868</t>
        </is>
      </c>
      <c r="I446" s="11" t="inlineStr">
        <is>
          <t>cite</t>
        </is>
      </c>
      <c r="J446" s="11" t="inlineStr">
        <is>
          <t>yes</t>
        </is>
      </c>
      <c r="K446" s="11" t="inlineStr">
        <is>
          <t>no</t>
        </is>
      </c>
      <c r="L446" s="11" t="inlineStr"/>
    </row>
    <row r="447">
      <c r="A447" s="11" t="inlineStr">
        <is>
          <t>444</t>
        </is>
      </c>
      <c r="B447" s="11" t="inlineStr">
        <is>
          <t>69</t>
        </is>
      </c>
      <c r="C447" s="11" t="inlineStr">
        <is>
          <t>SC</t>
        </is>
      </c>
      <c r="D447" s="11" t="inlineStr">
        <is>
          <t>no</t>
        </is>
      </c>
      <c r="E447" s="11" t="inlineStr">
        <is>
          <t>no</t>
        </is>
      </c>
      <c r="F447" s="11" t="inlineStr">
        <is>
          <t>c5427</t>
        </is>
      </c>
      <c r="G447" s="11" t="inlineStr">
        <is>
          <t>cite</t>
        </is>
      </c>
      <c r="H447" s="11" t="inlineStr">
        <is>
          <t>c9438</t>
        </is>
      </c>
      <c r="I447" s="11" t="inlineStr">
        <is>
          <t>cite</t>
        </is>
      </c>
      <c r="J447" s="11" t="inlineStr">
        <is>
          <t>no</t>
        </is>
      </c>
      <c r="K447" s="11" t="inlineStr">
        <is>
          <t>yes</t>
        </is>
      </c>
      <c r="L447" s="11" t="inlineStr">
        <is>
          <t>tune</t>
        </is>
      </c>
    </row>
    <row r="448">
      <c r="A448" s="11" t="inlineStr">
        <is>
          <t>445</t>
        </is>
      </c>
      <c r="B448" s="11" t="inlineStr">
        <is>
          <t>69</t>
        </is>
      </c>
      <c r="C448" s="11" t="inlineStr">
        <is>
          <t>SC</t>
        </is>
      </c>
      <c r="D448" s="11" t="inlineStr">
        <is>
          <t>no</t>
        </is>
      </c>
      <c r="E448" s="11" t="inlineStr">
        <is>
          <t>no</t>
        </is>
      </c>
      <c r="F448" s="11" t="inlineStr">
        <is>
          <t>c353</t>
        </is>
      </c>
      <c r="G448" s="11" t="inlineStr">
        <is>
          <t>cite</t>
        </is>
      </c>
      <c r="H448" s="11" t="inlineStr">
        <is>
          <t>c3244</t>
        </is>
      </c>
      <c r="I448" s="11" t="inlineStr">
        <is>
          <t>cite</t>
        </is>
      </c>
      <c r="J448" s="11" t="inlineStr">
        <is>
          <t>no</t>
        </is>
      </c>
      <c r="K448" s="11" t="inlineStr">
        <is>
          <t>yes</t>
        </is>
      </c>
      <c r="L448" s="11" t="inlineStr">
        <is>
          <t>untouched</t>
        </is>
      </c>
    </row>
    <row r="449">
      <c r="A449" s="11" t="inlineStr">
        <is>
          <t>446</t>
        </is>
      </c>
      <c r="B449" s="11" t="inlineStr">
        <is>
          <t>69</t>
        </is>
      </c>
      <c r="C449" s="11" t="inlineStr">
        <is>
          <t>SC</t>
        </is>
      </c>
      <c r="D449" s="11" t="inlineStr">
        <is>
          <t>no</t>
        </is>
      </c>
      <c r="E449" s="11" t="inlineStr">
        <is>
          <t>no</t>
        </is>
      </c>
      <c r="F449" s="11" t="inlineStr">
        <is>
          <t>c5665</t>
        </is>
      </c>
      <c r="G449" s="11" t="inlineStr">
        <is>
          <t>cite</t>
        </is>
      </c>
      <c r="H449" s="11" t="inlineStr">
        <is>
          <t>c9336</t>
        </is>
      </c>
      <c r="I449" s="11" t="inlineStr">
        <is>
          <t>cite</t>
        </is>
      </c>
      <c r="J449" s="11" t="inlineStr">
        <is>
          <t>no</t>
        </is>
      </c>
      <c r="K449" s="11" t="inlineStr">
        <is>
          <t>yes</t>
        </is>
      </c>
      <c r="L449" s="11" t="inlineStr">
        <is>
          <t>tune</t>
        </is>
      </c>
    </row>
    <row r="450">
      <c r="A450" s="11" t="inlineStr">
        <is>
          <t>447</t>
        </is>
      </c>
      <c r="B450" s="11" t="inlineStr">
        <is>
          <t>69</t>
        </is>
      </c>
      <c r="C450" s="11" t="inlineStr">
        <is>
          <t>SC</t>
        </is>
      </c>
      <c r="D450" s="11" t="inlineStr">
        <is>
          <t>no</t>
        </is>
      </c>
      <c r="E450" s="11" t="inlineStr">
        <is>
          <t>no</t>
        </is>
      </c>
      <c r="F450" s="11" t="inlineStr">
        <is>
          <t>c1041</t>
        </is>
      </c>
      <c r="G450" s="11" t="inlineStr">
        <is>
          <t>cite</t>
        </is>
      </c>
      <c r="H450" s="11" t="inlineStr">
        <is>
          <t>c859</t>
        </is>
      </c>
      <c r="I450" s="11" t="inlineStr">
        <is>
          <t>cite</t>
        </is>
      </c>
      <c r="J450" s="11" t="inlineStr">
        <is>
          <t>no</t>
        </is>
      </c>
      <c r="K450" s="11" t="inlineStr">
        <is>
          <t>yes</t>
        </is>
      </c>
      <c r="L450" s="11" t="inlineStr">
        <is>
          <t>untouched</t>
        </is>
      </c>
    </row>
    <row r="451">
      <c r="A451" s="11" t="inlineStr">
        <is>
          <t>448</t>
        </is>
      </c>
      <c r="B451" s="11" t="inlineStr">
        <is>
          <t>69</t>
        </is>
      </c>
      <c r="C451" s="11" t="inlineStr">
        <is>
          <t>SC</t>
        </is>
      </c>
      <c r="D451" s="11" t="inlineStr">
        <is>
          <t>no</t>
        </is>
      </c>
      <c r="E451" s="11" t="inlineStr">
        <is>
          <t>no</t>
        </is>
      </c>
      <c r="F451" s="11" t="inlineStr">
        <is>
          <t>c14784</t>
        </is>
      </c>
      <c r="G451" s="11" t="inlineStr">
        <is>
          <t>name</t>
        </is>
      </c>
      <c r="H451" s="11" t="inlineStr"/>
      <c r="I451" s="11" t="inlineStr"/>
      <c r="J451" s="11" t="inlineStr">
        <is>
          <t>no</t>
        </is>
      </c>
      <c r="K451" s="11" t="inlineStr">
        <is>
          <t>no</t>
        </is>
      </c>
      <c r="L451" s="11" t="inlineStr"/>
    </row>
    <row r="452">
      <c r="A452" s="11" t="inlineStr">
        <is>
          <t>449</t>
        </is>
      </c>
      <c r="B452" s="11" t="inlineStr">
        <is>
          <t>69</t>
        </is>
      </c>
      <c r="C452" s="11" t="inlineStr">
        <is>
          <t>SC</t>
        </is>
      </c>
      <c r="D452" s="11" t="inlineStr">
        <is>
          <t>no</t>
        </is>
      </c>
      <c r="E452" s="11" t="inlineStr">
        <is>
          <t>no</t>
        </is>
      </c>
      <c r="F452" s="11" t="inlineStr">
        <is>
          <t>c7690</t>
        </is>
      </c>
      <c r="G452" s="11" t="inlineStr">
        <is>
          <t>cite</t>
        </is>
      </c>
      <c r="H452" s="11" t="inlineStr">
        <is>
          <t>c26396</t>
        </is>
      </c>
      <c r="I452" s="11" t="inlineStr">
        <is>
          <t>name</t>
        </is>
      </c>
      <c r="J452" s="11" t="inlineStr">
        <is>
          <t>no</t>
        </is>
      </c>
      <c r="K452" s="11" t="inlineStr">
        <is>
          <t>yes</t>
        </is>
      </c>
      <c r="L452" s="11" t="inlineStr">
        <is>
          <t>untouched</t>
        </is>
      </c>
    </row>
    <row r="453">
      <c r="A453" s="11" t="inlineStr">
        <is>
          <t>450</t>
        </is>
      </c>
      <c r="B453" s="11" t="inlineStr">
        <is>
          <t>69</t>
        </is>
      </c>
      <c r="C453" s="11" t="inlineStr">
        <is>
          <t>SC</t>
        </is>
      </c>
      <c r="D453" s="11" t="inlineStr">
        <is>
          <t>no</t>
        </is>
      </c>
      <c r="E453" s="11" t="inlineStr">
        <is>
          <t>no</t>
        </is>
      </c>
      <c r="F453" s="11" t="inlineStr">
        <is>
          <t>c4521</t>
        </is>
      </c>
      <c r="G453" s="11" t="inlineStr">
        <is>
          <t>cite</t>
        </is>
      </c>
      <c r="H453" s="11" t="inlineStr">
        <is>
          <t>c9855</t>
        </is>
      </c>
      <c r="I453" s="11" t="inlineStr">
        <is>
          <t>cite</t>
        </is>
      </c>
      <c r="J453" s="11" t="inlineStr">
        <is>
          <t>no</t>
        </is>
      </c>
      <c r="K453" s="11" t="inlineStr">
        <is>
          <t>yes</t>
        </is>
      </c>
      <c r="L453" s="11" t="inlineStr">
        <is>
          <t>tune</t>
        </is>
      </c>
    </row>
    <row r="454">
      <c r="A454" s="11" t="inlineStr">
        <is>
          <t>451</t>
        </is>
      </c>
      <c r="B454" s="11" t="inlineStr">
        <is>
          <t>70</t>
        </is>
      </c>
      <c r="C454" s="11" t="inlineStr">
        <is>
          <t>SC</t>
        </is>
      </c>
      <c r="D454" s="11" t="inlineStr">
        <is>
          <t>no</t>
        </is>
      </c>
      <c r="E454" s="11" t="inlineStr">
        <is>
          <t>yes</t>
        </is>
      </c>
      <c r="F454" s="11" t="inlineStr">
        <is>
          <t>c10596</t>
        </is>
      </c>
      <c r="G454" s="11" t="inlineStr">
        <is>
          <t>cite</t>
        </is>
      </c>
      <c r="H454" s="11" t="inlineStr">
        <is>
          <t>c18609</t>
        </is>
      </c>
      <c r="I454" s="11" t="inlineStr">
        <is>
          <t>name</t>
        </is>
      </c>
      <c r="J454" s="11" t="inlineStr">
        <is>
          <t>no</t>
        </is>
      </c>
      <c r="K454" s="11" t="inlineStr">
        <is>
          <t>yes</t>
        </is>
      </c>
      <c r="L454" s="11" t="inlineStr">
        <is>
          <t>untouched</t>
        </is>
      </c>
    </row>
    <row r="455">
      <c r="A455" s="11" t="inlineStr">
        <is>
          <t>452</t>
        </is>
      </c>
      <c r="B455" s="11" t="inlineStr">
        <is>
          <t>70</t>
        </is>
      </c>
      <c r="C455" s="11" t="inlineStr">
        <is>
          <t>SC</t>
        </is>
      </c>
      <c r="D455" s="11" t="inlineStr">
        <is>
          <t>no</t>
        </is>
      </c>
      <c r="E455" s="11" t="inlineStr">
        <is>
          <t>yes</t>
        </is>
      </c>
      <c r="F455" s="11" t="inlineStr">
        <is>
          <t>c3717</t>
        </is>
      </c>
      <c r="G455" s="11" t="inlineStr">
        <is>
          <t>cite</t>
        </is>
      </c>
      <c r="H455" s="11" t="inlineStr">
        <is>
          <t>c10844</t>
        </is>
      </c>
      <c r="I455" s="11" t="inlineStr">
        <is>
          <t>cite</t>
        </is>
      </c>
      <c r="J455" s="11" t="inlineStr">
        <is>
          <t>no</t>
        </is>
      </c>
      <c r="K455" s="11" t="inlineStr">
        <is>
          <t>yes</t>
        </is>
      </c>
      <c r="L455" s="11" t="inlineStr">
        <is>
          <t>tune</t>
        </is>
      </c>
    </row>
    <row r="456">
      <c r="A456" s="11" t="inlineStr">
        <is>
          <t>453</t>
        </is>
      </c>
      <c r="B456" s="11" t="inlineStr">
        <is>
          <t>70</t>
        </is>
      </c>
      <c r="C456" s="11" t="inlineStr">
        <is>
          <t>SC</t>
        </is>
      </c>
      <c r="D456" s="11" t="inlineStr">
        <is>
          <t>no</t>
        </is>
      </c>
      <c r="E456" s="11" t="inlineStr">
        <is>
          <t>no</t>
        </is>
      </c>
      <c r="F456" s="11" t="inlineStr"/>
      <c r="G456" s="11" t="inlineStr"/>
      <c r="H456" s="11" t="inlineStr">
        <is>
          <t>c29918</t>
        </is>
      </c>
      <c r="I456" s="11" t="inlineStr">
        <is>
          <t>name</t>
        </is>
      </c>
      <c r="J456" s="11" t="inlineStr">
        <is>
          <t>no</t>
        </is>
      </c>
      <c r="K456" s="11" t="inlineStr">
        <is>
          <t>no</t>
        </is>
      </c>
      <c r="L456" s="11" t="inlineStr"/>
    </row>
    <row r="457">
      <c r="A457" s="11" t="inlineStr">
        <is>
          <t>454</t>
        </is>
      </c>
      <c r="B457" s="11" t="inlineStr">
        <is>
          <t>70</t>
        </is>
      </c>
      <c r="C457" s="11" t="inlineStr">
        <is>
          <t>SC</t>
        </is>
      </c>
      <c r="D457" s="11" t="inlineStr">
        <is>
          <t>no</t>
        </is>
      </c>
      <c r="E457" s="11" t="inlineStr">
        <is>
          <t>no</t>
        </is>
      </c>
      <c r="F457" s="11" t="inlineStr">
        <is>
          <t>c4217</t>
        </is>
      </c>
      <c r="G457" s="11" t="inlineStr">
        <is>
          <t>cite</t>
        </is>
      </c>
      <c r="H457" s="11" t="inlineStr">
        <is>
          <t>c7921</t>
        </is>
      </c>
      <c r="I457" s="11" t="inlineStr">
        <is>
          <t>cite</t>
        </is>
      </c>
      <c r="J457" s="11" t="inlineStr">
        <is>
          <t>no</t>
        </is>
      </c>
      <c r="K457" s="11" t="inlineStr">
        <is>
          <t>yes</t>
        </is>
      </c>
      <c r="L457" s="11" t="inlineStr">
        <is>
          <t>tune</t>
        </is>
      </c>
    </row>
    <row r="458">
      <c r="A458" s="11" t="inlineStr">
        <is>
          <t>455</t>
        </is>
      </c>
      <c r="B458" s="11" t="inlineStr">
        <is>
          <t>70</t>
        </is>
      </c>
      <c r="C458" s="11" t="inlineStr">
        <is>
          <t>SC</t>
        </is>
      </c>
      <c r="D458" s="11" t="inlineStr">
        <is>
          <t>no</t>
        </is>
      </c>
      <c r="E458" s="11" t="inlineStr">
        <is>
          <t>no</t>
        </is>
      </c>
      <c r="F458" s="11" t="inlineStr">
        <is>
          <t>c4506</t>
        </is>
      </c>
      <c r="G458" s="11" t="inlineStr">
        <is>
          <t>cite</t>
        </is>
      </c>
      <c r="H458" s="11" t="inlineStr">
        <is>
          <t>c12112</t>
        </is>
      </c>
      <c r="I458" s="11" t="inlineStr">
        <is>
          <t>cite</t>
        </is>
      </c>
      <c r="J458" s="11" t="inlineStr">
        <is>
          <t>no</t>
        </is>
      </c>
      <c r="K458" s="11" t="inlineStr">
        <is>
          <t>yes</t>
        </is>
      </c>
      <c r="L458" s="11" t="inlineStr">
        <is>
          <t>untouched</t>
        </is>
      </c>
    </row>
    <row r="459">
      <c r="A459" s="11" t="inlineStr">
        <is>
          <t>456</t>
        </is>
      </c>
      <c r="B459" s="11" t="inlineStr">
        <is>
          <t>70</t>
        </is>
      </c>
      <c r="C459" s="11" t="inlineStr">
        <is>
          <t>SC</t>
        </is>
      </c>
      <c r="D459" s="11" t="inlineStr">
        <is>
          <t>no</t>
        </is>
      </c>
      <c r="E459" s="11" t="inlineStr">
        <is>
          <t>no</t>
        </is>
      </c>
      <c r="F459" s="11" t="inlineStr">
        <is>
          <t>c20553</t>
        </is>
      </c>
      <c r="G459" s="11" t="inlineStr">
        <is>
          <t>cite</t>
        </is>
      </c>
      <c r="H459" s="11" t="inlineStr"/>
      <c r="I459" s="11" t="inlineStr"/>
      <c r="J459" s="11" t="inlineStr">
        <is>
          <t>no</t>
        </is>
      </c>
      <c r="K459" s="11" t="inlineStr">
        <is>
          <t>no</t>
        </is>
      </c>
      <c r="L459" s="11" t="inlineStr"/>
    </row>
    <row r="460">
      <c r="A460" s="11" t="inlineStr">
        <is>
          <t>457</t>
        </is>
      </c>
      <c r="B460" s="11" t="inlineStr">
        <is>
          <t>71</t>
        </is>
      </c>
      <c r="C460" s="11" t="inlineStr">
        <is>
          <t>SC</t>
        </is>
      </c>
      <c r="D460" s="11" t="inlineStr">
        <is>
          <t>no</t>
        </is>
      </c>
      <c r="E460" s="11" t="inlineStr">
        <is>
          <t>no</t>
        </is>
      </c>
      <c r="F460" s="11" t="inlineStr"/>
      <c r="G460" s="11" t="inlineStr"/>
      <c r="H460" s="11" t="inlineStr">
        <is>
          <t>c5125</t>
        </is>
      </c>
      <c r="I460" s="11" t="inlineStr">
        <is>
          <t>cite</t>
        </is>
      </c>
      <c r="J460" s="11" t="inlineStr">
        <is>
          <t>no</t>
        </is>
      </c>
      <c r="K460" s="11" t="inlineStr">
        <is>
          <t>no</t>
        </is>
      </c>
      <c r="L460" s="11" t="inlineStr"/>
    </row>
    <row r="461">
      <c r="A461" s="11" t="inlineStr">
        <is>
          <t>458</t>
        </is>
      </c>
      <c r="B461" s="11" t="inlineStr">
        <is>
          <t>71</t>
        </is>
      </c>
      <c r="C461" s="11" t="inlineStr">
        <is>
          <t>SC</t>
        </is>
      </c>
      <c r="D461" s="11" t="inlineStr">
        <is>
          <t>no</t>
        </is>
      </c>
      <c r="E461" s="11" t="inlineStr">
        <is>
          <t>no</t>
        </is>
      </c>
      <c r="F461" s="11" t="inlineStr">
        <is>
          <t>c10787</t>
        </is>
      </c>
      <c r="G461" s="11" t="inlineStr">
        <is>
          <t>cite</t>
        </is>
      </c>
      <c r="H461" s="11" t="inlineStr"/>
      <c r="I461" s="11" t="inlineStr"/>
      <c r="J461" s="11" t="inlineStr">
        <is>
          <t>no</t>
        </is>
      </c>
      <c r="K461" s="11" t="inlineStr">
        <is>
          <t>no</t>
        </is>
      </c>
      <c r="L461" s="11" t="inlineStr"/>
    </row>
    <row r="462">
      <c r="A462" s="11" t="inlineStr">
        <is>
          <t>459</t>
        </is>
      </c>
      <c r="B462" s="11" t="inlineStr">
        <is>
          <t>71</t>
        </is>
      </c>
      <c r="C462" s="11" t="inlineStr">
        <is>
          <t>SC</t>
        </is>
      </c>
      <c r="D462" s="11" t="inlineStr">
        <is>
          <t>no</t>
        </is>
      </c>
      <c r="E462" s="11" t="inlineStr">
        <is>
          <t>no</t>
        </is>
      </c>
      <c r="F462" s="11" t="inlineStr">
        <is>
          <t>c8599</t>
        </is>
      </c>
      <c r="G462" s="11" t="inlineStr">
        <is>
          <t>cite</t>
        </is>
      </c>
      <c r="H462" s="11" t="inlineStr">
        <is>
          <t>c13429</t>
        </is>
      </c>
      <c r="I462" s="11" t="inlineStr">
        <is>
          <t>cite</t>
        </is>
      </c>
      <c r="J462" s="11" t="inlineStr">
        <is>
          <t>no</t>
        </is>
      </c>
      <c r="K462" s="11" t="inlineStr">
        <is>
          <t>yes</t>
        </is>
      </c>
      <c r="L462" s="11" t="inlineStr">
        <is>
          <t>untouched</t>
        </is>
      </c>
    </row>
    <row r="463">
      <c r="A463" s="11" t="inlineStr">
        <is>
          <t>460</t>
        </is>
      </c>
      <c r="B463" s="11" t="inlineStr">
        <is>
          <t>71</t>
        </is>
      </c>
      <c r="C463" s="11" t="inlineStr">
        <is>
          <t>SC</t>
        </is>
      </c>
      <c r="D463" s="11" t="inlineStr">
        <is>
          <t>no</t>
        </is>
      </c>
      <c r="E463" s="11" t="inlineStr">
        <is>
          <t>yes</t>
        </is>
      </c>
      <c r="F463" s="11" t="inlineStr">
        <is>
          <t>c2211</t>
        </is>
      </c>
      <c r="G463" s="11" t="inlineStr">
        <is>
          <t>cite</t>
        </is>
      </c>
      <c r="H463" s="11" t="inlineStr">
        <is>
          <t>c2107</t>
        </is>
      </c>
      <c r="I463" s="11" t="inlineStr">
        <is>
          <t>cite</t>
        </is>
      </c>
      <c r="J463" s="11" t="inlineStr">
        <is>
          <t>no</t>
        </is>
      </c>
      <c r="K463" s="11" t="inlineStr">
        <is>
          <t>yes</t>
        </is>
      </c>
      <c r="L463" s="11" t="inlineStr">
        <is>
          <t>tune</t>
        </is>
      </c>
    </row>
    <row r="464">
      <c r="A464" s="11" t="inlineStr">
        <is>
          <t>461</t>
        </is>
      </c>
      <c r="B464" s="11" t="inlineStr">
        <is>
          <t>71</t>
        </is>
      </c>
      <c r="C464" s="11" t="inlineStr">
        <is>
          <t>SC</t>
        </is>
      </c>
      <c r="D464" s="11" t="inlineStr">
        <is>
          <t>no</t>
        </is>
      </c>
      <c r="E464" s="11" t="inlineStr">
        <is>
          <t>no</t>
        </is>
      </c>
      <c r="F464" s="11" t="inlineStr"/>
      <c r="G464" s="11" t="inlineStr"/>
      <c r="H464" s="11" t="inlineStr">
        <is>
          <t>c15118</t>
        </is>
      </c>
      <c r="I464" s="11" t="inlineStr">
        <is>
          <t>name</t>
        </is>
      </c>
      <c r="J464" s="11" t="inlineStr">
        <is>
          <t>no</t>
        </is>
      </c>
      <c r="K464" s="11" t="inlineStr">
        <is>
          <t>no</t>
        </is>
      </c>
      <c r="L464" s="11" t="inlineStr"/>
    </row>
    <row r="465">
      <c r="A465" s="11" t="inlineStr">
        <is>
          <t>462</t>
        </is>
      </c>
      <c r="B465" s="11" t="inlineStr">
        <is>
          <t>71</t>
        </is>
      </c>
      <c r="C465" s="11" t="inlineStr">
        <is>
          <t>SC</t>
        </is>
      </c>
      <c r="D465" s="11" t="inlineStr">
        <is>
          <t>no</t>
        </is>
      </c>
      <c r="E465" s="11" t="inlineStr">
        <is>
          <t>no</t>
        </is>
      </c>
      <c r="F465" s="11" t="inlineStr">
        <is>
          <t>c3892</t>
        </is>
      </c>
      <c r="G465" s="11" t="inlineStr">
        <is>
          <t>cite</t>
        </is>
      </c>
      <c r="H465" s="11" t="inlineStr">
        <is>
          <t>c3801</t>
        </is>
      </c>
      <c r="I465" s="11" t="inlineStr">
        <is>
          <t>cite</t>
        </is>
      </c>
      <c r="J465" s="11" t="inlineStr">
        <is>
          <t>no</t>
        </is>
      </c>
      <c r="K465" s="11" t="inlineStr">
        <is>
          <t>yes</t>
        </is>
      </c>
      <c r="L465" s="11" t="inlineStr">
        <is>
          <t>tune</t>
        </is>
      </c>
    </row>
    <row r="466">
      <c r="A466" s="11" t="inlineStr">
        <is>
          <t>463</t>
        </is>
      </c>
      <c r="B466" s="11" t="inlineStr">
        <is>
          <t>71</t>
        </is>
      </c>
      <c r="C466" s="11" t="inlineStr">
        <is>
          <t>SC</t>
        </is>
      </c>
      <c r="D466" s="11" t="inlineStr">
        <is>
          <t>no</t>
        </is>
      </c>
      <c r="E466" s="11" t="inlineStr">
        <is>
          <t>yes</t>
        </is>
      </c>
      <c r="F466" s="11" t="inlineStr">
        <is>
          <t>c9310</t>
        </is>
      </c>
      <c r="G466" s="11" t="inlineStr">
        <is>
          <t>cite</t>
        </is>
      </c>
      <c r="H466" s="11" t="inlineStr">
        <is>
          <t>c9883</t>
        </is>
      </c>
      <c r="I466" s="11" t="inlineStr">
        <is>
          <t>cite</t>
        </is>
      </c>
      <c r="J466" s="11" t="inlineStr">
        <is>
          <t>no</t>
        </is>
      </c>
      <c r="K466" s="11" t="inlineStr">
        <is>
          <t>no</t>
        </is>
      </c>
      <c r="L466" s="11" t="inlineStr"/>
    </row>
    <row r="467">
      <c r="A467" s="11" t="inlineStr">
        <is>
          <t>464</t>
        </is>
      </c>
      <c r="B467" s="11" t="inlineStr">
        <is>
          <t>72</t>
        </is>
      </c>
      <c r="C467" s="11" t="inlineStr">
        <is>
          <t>SC</t>
        </is>
      </c>
      <c r="D467" s="11" t="inlineStr">
        <is>
          <t>no</t>
        </is>
      </c>
      <c r="E467" s="11" t="inlineStr">
        <is>
          <t>no</t>
        </is>
      </c>
      <c r="F467" s="11" t="inlineStr">
        <is>
          <t>c8747</t>
        </is>
      </c>
      <c r="G467" s="11" t="inlineStr">
        <is>
          <t>cite</t>
        </is>
      </c>
      <c r="H467" s="11" t="inlineStr"/>
      <c r="I467" s="11" t="inlineStr"/>
      <c r="J467" s="11" t="inlineStr">
        <is>
          <t>no</t>
        </is>
      </c>
      <c r="K467" s="11" t="inlineStr">
        <is>
          <t>no</t>
        </is>
      </c>
      <c r="L467" s="11" t="inlineStr"/>
    </row>
    <row r="468">
      <c r="A468" s="11" t="inlineStr">
        <is>
          <t>465</t>
        </is>
      </c>
      <c r="B468" s="11" t="inlineStr">
        <is>
          <t>72</t>
        </is>
      </c>
      <c r="C468" s="11" t="inlineStr">
        <is>
          <t>HC/tribunal/other</t>
        </is>
      </c>
      <c r="D468" s="11" t="inlineStr">
        <is>
          <t>no</t>
        </is>
      </c>
      <c r="E468" s="11" t="inlineStr">
        <is>
          <t>yes</t>
        </is>
      </c>
      <c r="F468" s="11" t="inlineStr"/>
      <c r="G468" s="11" t="inlineStr"/>
      <c r="H468" s="11" t="inlineStr">
        <is>
          <t>c8193</t>
        </is>
      </c>
      <c r="I468" s="11" t="inlineStr">
        <is>
          <t>cite</t>
        </is>
      </c>
      <c r="J468" s="11" t="inlineStr">
        <is>
          <t>no</t>
        </is>
      </c>
      <c r="K468" s="11" t="inlineStr">
        <is>
          <t>no</t>
        </is>
      </c>
      <c r="L468" s="11" t="inlineStr"/>
    </row>
    <row r="469">
      <c r="A469" s="11" t="inlineStr">
        <is>
          <t>466</t>
        </is>
      </c>
      <c r="B469" s="11" t="inlineStr">
        <is>
          <t>72</t>
        </is>
      </c>
      <c r="C469" s="11" t="inlineStr">
        <is>
          <t>SC</t>
        </is>
      </c>
      <c r="D469" s="11" t="inlineStr">
        <is>
          <t>no</t>
        </is>
      </c>
      <c r="E469" s="11" t="inlineStr">
        <is>
          <t>no</t>
        </is>
      </c>
      <c r="F469" s="11" t="inlineStr">
        <is>
          <t>c3130</t>
        </is>
      </c>
      <c r="G469" s="11" t="inlineStr">
        <is>
          <t>cite</t>
        </is>
      </c>
      <c r="H469" s="11" t="inlineStr">
        <is>
          <t>c2449</t>
        </is>
      </c>
      <c r="I469" s="11" t="inlineStr">
        <is>
          <t>cite</t>
        </is>
      </c>
      <c r="J469" s="11" t="inlineStr">
        <is>
          <t>no</t>
        </is>
      </c>
      <c r="K469" s="11" t="inlineStr">
        <is>
          <t>yes</t>
        </is>
      </c>
      <c r="L469" s="11" t="inlineStr">
        <is>
          <t>tune</t>
        </is>
      </c>
    </row>
    <row r="470">
      <c r="A470" s="11" t="inlineStr">
        <is>
          <t>467</t>
        </is>
      </c>
      <c r="B470" s="11" t="inlineStr">
        <is>
          <t>72</t>
        </is>
      </c>
      <c r="C470" s="11" t="inlineStr">
        <is>
          <t>SC</t>
        </is>
      </c>
      <c r="D470" s="11" t="inlineStr">
        <is>
          <t>no</t>
        </is>
      </c>
      <c r="E470" s="11" t="inlineStr">
        <is>
          <t>no</t>
        </is>
      </c>
      <c r="F470" s="11" t="inlineStr"/>
      <c r="G470" s="11" t="inlineStr"/>
      <c r="H470" s="11" t="inlineStr">
        <is>
          <t>c20315</t>
        </is>
      </c>
      <c r="I470" s="11" t="inlineStr">
        <is>
          <t>cite</t>
        </is>
      </c>
      <c r="J470" s="11" t="inlineStr">
        <is>
          <t>no</t>
        </is>
      </c>
      <c r="K470" s="11" t="inlineStr">
        <is>
          <t>no</t>
        </is>
      </c>
      <c r="L470" s="11" t="inlineStr"/>
    </row>
    <row r="471">
      <c r="A471" s="11" t="inlineStr">
        <is>
          <t>468</t>
        </is>
      </c>
      <c r="B471" s="11" t="inlineStr">
        <is>
          <t>72</t>
        </is>
      </c>
      <c r="C471" s="11" t="inlineStr">
        <is>
          <t>SC</t>
        </is>
      </c>
      <c r="D471" s="11" t="inlineStr">
        <is>
          <t>no</t>
        </is>
      </c>
      <c r="E471" s="11" t="inlineStr">
        <is>
          <t>no</t>
        </is>
      </c>
      <c r="F471" s="11" t="inlineStr">
        <is>
          <t>c2918</t>
        </is>
      </c>
      <c r="G471" s="11" t="inlineStr">
        <is>
          <t>cite</t>
        </is>
      </c>
      <c r="H471" s="11" t="inlineStr">
        <is>
          <t>c2418</t>
        </is>
      </c>
      <c r="I471" s="11" t="inlineStr">
        <is>
          <t>cite</t>
        </is>
      </c>
      <c r="J471" s="11" t="inlineStr">
        <is>
          <t>no</t>
        </is>
      </c>
      <c r="K471" s="11" t="inlineStr">
        <is>
          <t>yes</t>
        </is>
      </c>
      <c r="L471" s="11" t="inlineStr">
        <is>
          <t>tune</t>
        </is>
      </c>
    </row>
    <row r="472">
      <c r="A472" s="11" t="inlineStr">
        <is>
          <t>469</t>
        </is>
      </c>
      <c r="B472" s="11" t="inlineStr">
        <is>
          <t>72</t>
        </is>
      </c>
      <c r="C472" s="11" t="inlineStr">
        <is>
          <t>SC</t>
        </is>
      </c>
      <c r="D472" s="11" t="inlineStr">
        <is>
          <t>no</t>
        </is>
      </c>
      <c r="E472" s="11" t="inlineStr">
        <is>
          <t>no</t>
        </is>
      </c>
      <c r="F472" s="11" t="inlineStr">
        <is>
          <t>c12635</t>
        </is>
      </c>
      <c r="G472" s="11" t="inlineStr">
        <is>
          <t>cite</t>
        </is>
      </c>
      <c r="H472" s="11" t="inlineStr"/>
      <c r="I472" s="11" t="inlineStr"/>
      <c r="J472" s="11" t="inlineStr">
        <is>
          <t>no</t>
        </is>
      </c>
      <c r="K472" s="11" t="inlineStr">
        <is>
          <t>no</t>
        </is>
      </c>
      <c r="L472" s="11" t="inlineStr"/>
    </row>
    <row r="473">
      <c r="A473" s="11" t="inlineStr">
        <is>
          <t>470</t>
        </is>
      </c>
      <c r="B473" s="11" t="inlineStr">
        <is>
          <t>73</t>
        </is>
      </c>
      <c r="C473" s="11" t="inlineStr">
        <is>
          <t>SC</t>
        </is>
      </c>
      <c r="D473" s="11" t="inlineStr">
        <is>
          <t>no</t>
        </is>
      </c>
      <c r="E473" s="11" t="inlineStr">
        <is>
          <t>no</t>
        </is>
      </c>
      <c r="F473" s="11" t="inlineStr">
        <is>
          <t>c1174</t>
        </is>
      </c>
      <c r="G473" s="11" t="inlineStr">
        <is>
          <t>cite</t>
        </is>
      </c>
      <c r="H473" s="11" t="inlineStr">
        <is>
          <t>c2449</t>
        </is>
      </c>
      <c r="I473" s="11" t="inlineStr">
        <is>
          <t>cite</t>
        </is>
      </c>
      <c r="J473" s="11" t="inlineStr">
        <is>
          <t>no</t>
        </is>
      </c>
      <c r="K473" s="11" t="inlineStr">
        <is>
          <t>yes</t>
        </is>
      </c>
      <c r="L473" s="11" t="inlineStr">
        <is>
          <t>tune</t>
        </is>
      </c>
    </row>
    <row r="474">
      <c r="A474" s="11" t="inlineStr">
        <is>
          <t>471</t>
        </is>
      </c>
      <c r="B474" s="11" t="inlineStr">
        <is>
          <t>73</t>
        </is>
      </c>
      <c r="C474" s="11" t="inlineStr">
        <is>
          <t>SC</t>
        </is>
      </c>
      <c r="D474" s="11" t="inlineStr">
        <is>
          <t>no</t>
        </is>
      </c>
      <c r="E474" s="11" t="inlineStr">
        <is>
          <t>yes</t>
        </is>
      </c>
      <c r="F474" s="11" t="inlineStr"/>
      <c r="G474" s="11" t="inlineStr"/>
      <c r="H474" s="11" t="inlineStr">
        <is>
          <t>c16009</t>
        </is>
      </c>
      <c r="I474" s="11" t="inlineStr">
        <is>
          <t>cite</t>
        </is>
      </c>
      <c r="J474" s="11" t="inlineStr">
        <is>
          <t>no</t>
        </is>
      </c>
      <c r="K474" s="11" t="inlineStr">
        <is>
          <t>no</t>
        </is>
      </c>
      <c r="L474" s="11" t="inlineStr"/>
    </row>
    <row r="475">
      <c r="A475" s="11" t="inlineStr">
        <is>
          <t>472</t>
        </is>
      </c>
      <c r="B475" s="11" t="inlineStr">
        <is>
          <t>73</t>
        </is>
      </c>
      <c r="C475" s="11" t="inlineStr">
        <is>
          <t>SC</t>
        </is>
      </c>
      <c r="D475" s="11" t="inlineStr">
        <is>
          <t>no</t>
        </is>
      </c>
      <c r="E475" s="11" t="inlineStr">
        <is>
          <t>no</t>
        </is>
      </c>
      <c r="F475" s="11" t="inlineStr">
        <is>
          <t>c9921</t>
        </is>
      </c>
      <c r="G475" s="11" t="inlineStr">
        <is>
          <t>cite</t>
        </is>
      </c>
      <c r="H475" s="11" t="inlineStr"/>
      <c r="I475" s="11" t="inlineStr"/>
      <c r="J475" s="11" t="inlineStr">
        <is>
          <t>no</t>
        </is>
      </c>
      <c r="K475" s="11" t="inlineStr">
        <is>
          <t>no</t>
        </is>
      </c>
      <c r="L475" s="11" t="inlineStr"/>
    </row>
    <row r="476">
      <c r="A476" s="11" t="inlineStr">
        <is>
          <t>473</t>
        </is>
      </c>
      <c r="B476" s="11" t="inlineStr">
        <is>
          <t>73</t>
        </is>
      </c>
      <c r="C476" s="11" t="inlineStr">
        <is>
          <t>SC</t>
        </is>
      </c>
      <c r="D476" s="11" t="inlineStr">
        <is>
          <t>no</t>
        </is>
      </c>
      <c r="E476" s="11" t="inlineStr">
        <is>
          <t>no</t>
        </is>
      </c>
      <c r="F476" s="11" t="inlineStr">
        <is>
          <t>c3509</t>
        </is>
      </c>
      <c r="G476" s="11" t="inlineStr">
        <is>
          <t>cite</t>
        </is>
      </c>
      <c r="H476" s="11" t="inlineStr">
        <is>
          <t>c3427</t>
        </is>
      </c>
      <c r="I476" s="11" t="inlineStr">
        <is>
          <t>cite</t>
        </is>
      </c>
      <c r="J476" s="11" t="inlineStr">
        <is>
          <t>no</t>
        </is>
      </c>
      <c r="K476" s="11" t="inlineStr">
        <is>
          <t>yes</t>
        </is>
      </c>
      <c r="L476" s="11" t="inlineStr">
        <is>
          <t>untouched</t>
        </is>
      </c>
    </row>
    <row r="477">
      <c r="A477" s="11" t="inlineStr">
        <is>
          <t>474</t>
        </is>
      </c>
      <c r="B477" s="11" t="inlineStr">
        <is>
          <t>73</t>
        </is>
      </c>
      <c r="C477" s="11" t="inlineStr">
        <is>
          <t>SC</t>
        </is>
      </c>
      <c r="D477" s="11" t="inlineStr">
        <is>
          <t>no</t>
        </is>
      </c>
      <c r="E477" s="11" t="inlineStr">
        <is>
          <t>no</t>
        </is>
      </c>
      <c r="F477" s="11" t="inlineStr">
        <is>
          <t>c5576</t>
        </is>
      </c>
      <c r="G477" s="11" t="inlineStr">
        <is>
          <t>cite</t>
        </is>
      </c>
      <c r="H477" s="11" t="inlineStr">
        <is>
          <t>c5575</t>
        </is>
      </c>
      <c r="I477" s="11" t="inlineStr">
        <is>
          <t>cite</t>
        </is>
      </c>
      <c r="J477" s="11" t="inlineStr">
        <is>
          <t>no</t>
        </is>
      </c>
      <c r="K477" s="11" t="inlineStr">
        <is>
          <t>yes</t>
        </is>
      </c>
      <c r="L477" s="11" t="inlineStr">
        <is>
          <t>tune</t>
        </is>
      </c>
    </row>
    <row r="478">
      <c r="A478" s="11" t="inlineStr">
        <is>
          <t>475</t>
        </is>
      </c>
      <c r="B478" s="11" t="inlineStr">
        <is>
          <t>73</t>
        </is>
      </c>
      <c r="C478" s="11" t="inlineStr">
        <is>
          <t>HC/tribunal/other</t>
        </is>
      </c>
      <c r="D478" s="11" t="inlineStr">
        <is>
          <t>yes</t>
        </is>
      </c>
      <c r="E478" s="11" t="inlineStr">
        <is>
          <t>no</t>
        </is>
      </c>
      <c r="F478" s="11" t="inlineStr"/>
      <c r="G478" s="11" t="inlineStr"/>
      <c r="H478" s="11" t="inlineStr">
        <is>
          <t>c9599</t>
        </is>
      </c>
      <c r="I478" s="11" t="inlineStr">
        <is>
          <t>cite</t>
        </is>
      </c>
      <c r="J478" s="11" t="inlineStr">
        <is>
          <t>no</t>
        </is>
      </c>
      <c r="K478" s="11" t="inlineStr">
        <is>
          <t>no</t>
        </is>
      </c>
      <c r="L478" s="11" t="inlineStr"/>
    </row>
    <row r="479">
      <c r="A479" s="11" t="inlineStr">
        <is>
          <t>476</t>
        </is>
      </c>
      <c r="B479" s="11" t="inlineStr">
        <is>
          <t>73</t>
        </is>
      </c>
      <c r="C479" s="11" t="inlineStr">
        <is>
          <t>SC</t>
        </is>
      </c>
      <c r="D479" s="11" t="inlineStr">
        <is>
          <t>no</t>
        </is>
      </c>
      <c r="E479" s="11" t="inlineStr">
        <is>
          <t>no</t>
        </is>
      </c>
      <c r="F479" s="11" t="inlineStr"/>
      <c r="G479" s="11" t="inlineStr"/>
      <c r="H479" s="11" t="inlineStr">
        <is>
          <t>c2774</t>
        </is>
      </c>
      <c r="I479" s="11" t="inlineStr">
        <is>
          <t>cite</t>
        </is>
      </c>
      <c r="J479" s="11" t="inlineStr">
        <is>
          <t>no</t>
        </is>
      </c>
      <c r="K479" s="11" t="inlineStr">
        <is>
          <t>no</t>
        </is>
      </c>
      <c r="L479" s="11" t="inlineStr"/>
    </row>
    <row r="480">
      <c r="A480" s="11" t="inlineStr">
        <is>
          <t>477</t>
        </is>
      </c>
      <c r="B480" s="11" t="inlineStr">
        <is>
          <t>73</t>
        </is>
      </c>
      <c r="C480" s="11" t="inlineStr">
        <is>
          <t>SC</t>
        </is>
      </c>
      <c r="D480" s="11" t="inlineStr">
        <is>
          <t>no</t>
        </is>
      </c>
      <c r="E480" s="11" t="inlineStr">
        <is>
          <t>no</t>
        </is>
      </c>
      <c r="F480" s="11" t="inlineStr">
        <is>
          <t>c4924</t>
        </is>
      </c>
      <c r="G480" s="11" t="inlineStr">
        <is>
          <t>cite</t>
        </is>
      </c>
      <c r="H480" s="11" t="inlineStr">
        <is>
          <t>c9510</t>
        </is>
      </c>
      <c r="I480" s="11" t="inlineStr">
        <is>
          <t>cite</t>
        </is>
      </c>
      <c r="J480" s="11" t="inlineStr">
        <is>
          <t>no</t>
        </is>
      </c>
      <c r="K480" s="11" t="inlineStr">
        <is>
          <t>yes</t>
        </is>
      </c>
      <c r="L480" s="11" t="inlineStr">
        <is>
          <t>untouched</t>
        </is>
      </c>
    </row>
    <row r="481">
      <c r="A481" s="11" t="inlineStr">
        <is>
          <t>478</t>
        </is>
      </c>
      <c r="B481" s="11" t="inlineStr">
        <is>
          <t>74</t>
        </is>
      </c>
      <c r="C481" s="11" t="inlineStr">
        <is>
          <t>SC</t>
        </is>
      </c>
      <c r="D481" s="11" t="inlineStr">
        <is>
          <t>no</t>
        </is>
      </c>
      <c r="E481" s="11" t="inlineStr">
        <is>
          <t>yes</t>
        </is>
      </c>
      <c r="F481" s="11" t="inlineStr">
        <is>
          <t>c420</t>
        </is>
      </c>
      <c r="G481" s="11" t="inlineStr">
        <is>
          <t>cite</t>
        </is>
      </c>
      <c r="H481" s="11" t="inlineStr">
        <is>
          <t>c3534</t>
        </is>
      </c>
      <c r="I481" s="11" t="inlineStr">
        <is>
          <t>cite</t>
        </is>
      </c>
      <c r="J481" s="11" t="inlineStr">
        <is>
          <t>no</t>
        </is>
      </c>
      <c r="K481" s="11" t="inlineStr">
        <is>
          <t>yes</t>
        </is>
      </c>
      <c r="L481" s="11" t="inlineStr">
        <is>
          <t>tune</t>
        </is>
      </c>
    </row>
    <row r="482">
      <c r="A482" s="11" t="inlineStr">
        <is>
          <t>479</t>
        </is>
      </c>
      <c r="B482" s="11" t="inlineStr">
        <is>
          <t>74</t>
        </is>
      </c>
      <c r="C482" s="11" t="inlineStr">
        <is>
          <t>SC</t>
        </is>
      </c>
      <c r="D482" s="11" t="inlineStr">
        <is>
          <t>no</t>
        </is>
      </c>
      <c r="E482" s="11" t="inlineStr">
        <is>
          <t>yes</t>
        </is>
      </c>
      <c r="F482" s="11" t="inlineStr">
        <is>
          <t>c792</t>
        </is>
      </c>
      <c r="G482" s="11" t="inlineStr">
        <is>
          <t>cite</t>
        </is>
      </c>
      <c r="H482" s="11" t="inlineStr">
        <is>
          <t>c3465</t>
        </is>
      </c>
      <c r="I482" s="11" t="inlineStr">
        <is>
          <t>cite</t>
        </is>
      </c>
      <c r="J482" s="11" t="inlineStr">
        <is>
          <t>no</t>
        </is>
      </c>
      <c r="K482" s="11" t="inlineStr">
        <is>
          <t>yes</t>
        </is>
      </c>
      <c r="L482" s="11" t="inlineStr">
        <is>
          <t>untouched</t>
        </is>
      </c>
    </row>
    <row r="483">
      <c r="A483" s="11" t="inlineStr">
        <is>
          <t>480</t>
        </is>
      </c>
      <c r="B483" s="11" t="inlineStr">
        <is>
          <t>74</t>
        </is>
      </c>
      <c r="C483" s="11" t="inlineStr">
        <is>
          <t>HC/tribunal/other</t>
        </is>
      </c>
      <c r="D483" s="11" t="inlineStr">
        <is>
          <t>no</t>
        </is>
      </c>
      <c r="E483" s="11" t="inlineStr">
        <is>
          <t>no</t>
        </is>
      </c>
      <c r="F483" s="11" t="inlineStr"/>
      <c r="G483" s="11" t="inlineStr"/>
      <c r="H483" s="11" t="inlineStr">
        <is>
          <t>c1030</t>
        </is>
      </c>
      <c r="I483" s="11" t="inlineStr">
        <is>
          <t>cite</t>
        </is>
      </c>
      <c r="J483" s="11" t="inlineStr">
        <is>
          <t>no</t>
        </is>
      </c>
      <c r="K483" s="11" t="inlineStr">
        <is>
          <t>no</t>
        </is>
      </c>
      <c r="L483" s="11" t="inlineStr"/>
    </row>
    <row r="484">
      <c r="A484" s="11" t="inlineStr">
        <is>
          <t>481</t>
        </is>
      </c>
      <c r="B484" s="11" t="inlineStr">
        <is>
          <t>74</t>
        </is>
      </c>
      <c r="C484" s="11" t="inlineStr">
        <is>
          <t>SC</t>
        </is>
      </c>
      <c r="D484" s="11" t="inlineStr">
        <is>
          <t>no</t>
        </is>
      </c>
      <c r="E484" s="11" t="inlineStr">
        <is>
          <t>no</t>
        </is>
      </c>
      <c r="F484" s="11" t="inlineStr">
        <is>
          <t>c5089</t>
        </is>
      </c>
      <c r="G484" s="11" t="inlineStr">
        <is>
          <t>cite</t>
        </is>
      </c>
      <c r="H484" s="11" t="inlineStr">
        <is>
          <t>c26446</t>
        </is>
      </c>
      <c r="I484" s="11" t="inlineStr">
        <is>
          <t>name</t>
        </is>
      </c>
      <c r="J484" s="11" t="inlineStr">
        <is>
          <t>no</t>
        </is>
      </c>
      <c r="K484" s="11" t="inlineStr">
        <is>
          <t>yes</t>
        </is>
      </c>
      <c r="L484" s="11" t="inlineStr">
        <is>
          <t>untouched</t>
        </is>
      </c>
    </row>
    <row r="485">
      <c r="A485" s="11" t="inlineStr">
        <is>
          <t>482</t>
        </is>
      </c>
      <c r="B485" s="11" t="inlineStr">
        <is>
          <t>74</t>
        </is>
      </c>
      <c r="C485" s="11" t="inlineStr">
        <is>
          <t>SC</t>
        </is>
      </c>
      <c r="D485" s="11" t="inlineStr">
        <is>
          <t>no</t>
        </is>
      </c>
      <c r="E485" s="11" t="inlineStr">
        <is>
          <t>no</t>
        </is>
      </c>
      <c r="F485" s="11" t="inlineStr">
        <is>
          <t>c3838</t>
        </is>
      </c>
      <c r="G485" s="11" t="inlineStr">
        <is>
          <t>cite</t>
        </is>
      </c>
      <c r="H485" s="11" t="inlineStr">
        <is>
          <t>c7921</t>
        </is>
      </c>
      <c r="I485" s="11" t="inlineStr">
        <is>
          <t>cite</t>
        </is>
      </c>
      <c r="J485" s="11" t="inlineStr">
        <is>
          <t>no</t>
        </is>
      </c>
      <c r="K485" s="11" t="inlineStr">
        <is>
          <t>yes</t>
        </is>
      </c>
      <c r="L485" s="11" t="inlineStr">
        <is>
          <t>tune</t>
        </is>
      </c>
    </row>
    <row r="486">
      <c r="A486" s="11" t="inlineStr">
        <is>
          <t>483</t>
        </is>
      </c>
      <c r="B486" s="11" t="inlineStr">
        <is>
          <t>74</t>
        </is>
      </c>
      <c r="C486" s="11" t="inlineStr">
        <is>
          <t>SC</t>
        </is>
      </c>
      <c r="D486" s="11" t="inlineStr">
        <is>
          <t>no</t>
        </is>
      </c>
      <c r="E486" s="11" t="inlineStr">
        <is>
          <t>no</t>
        </is>
      </c>
      <c r="F486" s="11" t="inlineStr"/>
      <c r="G486" s="11" t="inlineStr"/>
      <c r="H486" s="11" t="inlineStr">
        <is>
          <t>c9353</t>
        </is>
      </c>
      <c r="I486" s="11" t="inlineStr">
        <is>
          <t>cite</t>
        </is>
      </c>
      <c r="J486" s="11" t="inlineStr">
        <is>
          <t>no</t>
        </is>
      </c>
      <c r="K486" s="11" t="inlineStr">
        <is>
          <t>no</t>
        </is>
      </c>
      <c r="L486" s="11" t="inlineStr"/>
    </row>
    <row r="487">
      <c r="A487" s="11" t="inlineStr">
        <is>
          <t>484</t>
        </is>
      </c>
      <c r="B487" s="11" t="inlineStr">
        <is>
          <t>74</t>
        </is>
      </c>
      <c r="C487" s="11" t="inlineStr">
        <is>
          <t>SC</t>
        </is>
      </c>
      <c r="D487" s="11" t="inlineStr">
        <is>
          <t>no</t>
        </is>
      </c>
      <c r="E487" s="11" t="inlineStr">
        <is>
          <t>no</t>
        </is>
      </c>
      <c r="F487" s="11" t="inlineStr">
        <is>
          <t>c3365</t>
        </is>
      </c>
      <c r="G487" s="11" t="inlineStr">
        <is>
          <t>cite</t>
        </is>
      </c>
      <c r="H487" s="11" t="inlineStr">
        <is>
          <t>c15118</t>
        </is>
      </c>
      <c r="I487" s="11" t="inlineStr">
        <is>
          <t>name</t>
        </is>
      </c>
      <c r="J487" s="11" t="inlineStr">
        <is>
          <t>no</t>
        </is>
      </c>
      <c r="K487" s="11" t="inlineStr">
        <is>
          <t>yes</t>
        </is>
      </c>
      <c r="L487" s="11" t="inlineStr">
        <is>
          <t>tune</t>
        </is>
      </c>
    </row>
    <row r="488">
      <c r="A488" s="11" t="inlineStr">
        <is>
          <t>485</t>
        </is>
      </c>
      <c r="B488" s="11" t="inlineStr">
        <is>
          <t>75</t>
        </is>
      </c>
      <c r="C488" s="11" t="inlineStr">
        <is>
          <t>SC</t>
        </is>
      </c>
      <c r="D488" s="11" t="inlineStr">
        <is>
          <t>no</t>
        </is>
      </c>
      <c r="E488" s="11" t="inlineStr">
        <is>
          <t>no</t>
        </is>
      </c>
      <c r="F488" s="11" t="inlineStr">
        <is>
          <t>c8346</t>
        </is>
      </c>
      <c r="G488" s="11" t="inlineStr">
        <is>
          <t>cite</t>
        </is>
      </c>
      <c r="H488" s="11" t="inlineStr">
        <is>
          <t>c7921</t>
        </is>
      </c>
      <c r="I488" s="11" t="inlineStr">
        <is>
          <t>cite</t>
        </is>
      </c>
      <c r="J488" s="11" t="inlineStr">
        <is>
          <t>no</t>
        </is>
      </c>
      <c r="K488" s="11" t="inlineStr">
        <is>
          <t>yes</t>
        </is>
      </c>
      <c r="L488" s="11" t="inlineStr">
        <is>
          <t>untouched</t>
        </is>
      </c>
    </row>
    <row r="489">
      <c r="A489" s="11" t="inlineStr">
        <is>
          <t>486</t>
        </is>
      </c>
      <c r="B489" s="11" t="inlineStr">
        <is>
          <t>75</t>
        </is>
      </c>
      <c r="C489" s="11" t="inlineStr">
        <is>
          <t>SC</t>
        </is>
      </c>
      <c r="D489" s="11" t="inlineStr">
        <is>
          <t>no</t>
        </is>
      </c>
      <c r="E489" s="11" t="inlineStr">
        <is>
          <t>no</t>
        </is>
      </c>
      <c r="F489" s="11" t="inlineStr">
        <is>
          <t>c12575</t>
        </is>
      </c>
      <c r="G489" s="11" t="inlineStr">
        <is>
          <t>cite</t>
        </is>
      </c>
      <c r="H489" s="11" t="inlineStr"/>
      <c r="I489" s="11" t="inlineStr"/>
      <c r="J489" s="11" t="inlineStr">
        <is>
          <t>no</t>
        </is>
      </c>
      <c r="K489" s="11" t="inlineStr">
        <is>
          <t>no</t>
        </is>
      </c>
      <c r="L489" s="11" t="inlineStr"/>
    </row>
    <row r="490">
      <c r="A490" s="11" t="inlineStr">
        <is>
          <t>487</t>
        </is>
      </c>
      <c r="B490" s="11" t="inlineStr">
        <is>
          <t>75</t>
        </is>
      </c>
      <c r="C490" s="11" t="inlineStr">
        <is>
          <t>SC</t>
        </is>
      </c>
      <c r="D490" s="11" t="inlineStr">
        <is>
          <t>no</t>
        </is>
      </c>
      <c r="E490" s="11" t="inlineStr">
        <is>
          <t>no</t>
        </is>
      </c>
      <c r="F490" s="11" t="inlineStr">
        <is>
          <t>c13525</t>
        </is>
      </c>
      <c r="G490" s="11" t="inlineStr">
        <is>
          <t>cite</t>
        </is>
      </c>
      <c r="H490" s="11" t="inlineStr">
        <is>
          <t>c17448</t>
        </is>
      </c>
      <c r="I490" s="11" t="inlineStr">
        <is>
          <t>cite</t>
        </is>
      </c>
      <c r="J490" s="11" t="inlineStr">
        <is>
          <t>no</t>
        </is>
      </c>
      <c r="K490" s="11" t="inlineStr">
        <is>
          <t>yes</t>
        </is>
      </c>
      <c r="L490" s="11" t="inlineStr">
        <is>
          <t>untouched</t>
        </is>
      </c>
    </row>
    <row r="491">
      <c r="A491" s="11" t="inlineStr">
        <is>
          <t>488</t>
        </is>
      </c>
      <c r="B491" s="11" t="inlineStr">
        <is>
          <t>75</t>
        </is>
      </c>
      <c r="C491" s="11" t="inlineStr">
        <is>
          <t>SC</t>
        </is>
      </c>
      <c r="D491" s="11" t="inlineStr">
        <is>
          <t>no</t>
        </is>
      </c>
      <c r="E491" s="11" t="inlineStr">
        <is>
          <t>no</t>
        </is>
      </c>
      <c r="F491" s="11" t="inlineStr">
        <is>
          <t>c412</t>
        </is>
      </c>
      <c r="G491" s="11" t="inlineStr">
        <is>
          <t>cite</t>
        </is>
      </c>
      <c r="H491" s="11" t="inlineStr">
        <is>
          <t>c2874</t>
        </is>
      </c>
      <c r="I491" s="11" t="inlineStr">
        <is>
          <t>cite</t>
        </is>
      </c>
      <c r="J491" s="11" t="inlineStr">
        <is>
          <t>no</t>
        </is>
      </c>
      <c r="K491" s="11" t="inlineStr">
        <is>
          <t>yes</t>
        </is>
      </c>
      <c r="L491" s="11" t="inlineStr">
        <is>
          <t>tune</t>
        </is>
      </c>
    </row>
    <row r="492">
      <c r="A492" s="11" t="inlineStr">
        <is>
          <t>489</t>
        </is>
      </c>
      <c r="B492" s="11" t="inlineStr">
        <is>
          <t>75</t>
        </is>
      </c>
      <c r="C492" s="11" t="inlineStr">
        <is>
          <t>SC</t>
        </is>
      </c>
      <c r="D492" s="11" t="inlineStr">
        <is>
          <t>no</t>
        </is>
      </c>
      <c r="E492" s="11" t="inlineStr">
        <is>
          <t>yes</t>
        </is>
      </c>
      <c r="F492" s="11" t="inlineStr">
        <is>
          <t>c708</t>
        </is>
      </c>
      <c r="G492" s="11" t="inlineStr">
        <is>
          <t>cite</t>
        </is>
      </c>
      <c r="H492" s="11" t="inlineStr">
        <is>
          <t>c2107</t>
        </is>
      </c>
      <c r="I492" s="11" t="inlineStr">
        <is>
          <t>cite</t>
        </is>
      </c>
      <c r="J492" s="11" t="inlineStr">
        <is>
          <t>no</t>
        </is>
      </c>
      <c r="K492" s="11" t="inlineStr">
        <is>
          <t>yes</t>
        </is>
      </c>
      <c r="L492" s="11" t="inlineStr">
        <is>
          <t>untouched</t>
        </is>
      </c>
    </row>
    <row r="493">
      <c r="A493" s="11" t="inlineStr">
        <is>
          <t>490</t>
        </is>
      </c>
      <c r="B493" s="11" t="inlineStr">
        <is>
          <t>75</t>
        </is>
      </c>
      <c r="C493" s="11" t="inlineStr">
        <is>
          <t>SC</t>
        </is>
      </c>
      <c r="D493" s="11" t="inlineStr">
        <is>
          <t>no</t>
        </is>
      </c>
      <c r="E493" s="11" t="inlineStr">
        <is>
          <t>no</t>
        </is>
      </c>
      <c r="F493" s="11" t="inlineStr">
        <is>
          <t>c805</t>
        </is>
      </c>
      <c r="G493" s="11" t="inlineStr">
        <is>
          <t>cite</t>
        </is>
      </c>
      <c r="H493" s="11" t="inlineStr">
        <is>
          <t>c429</t>
        </is>
      </c>
      <c r="I493" s="11" t="inlineStr">
        <is>
          <t>cite</t>
        </is>
      </c>
      <c r="J493" s="11" t="inlineStr">
        <is>
          <t>no</t>
        </is>
      </c>
      <c r="K493" s="11" t="inlineStr">
        <is>
          <t>yes</t>
        </is>
      </c>
      <c r="L493" s="11" t="inlineStr">
        <is>
          <t>tune</t>
        </is>
      </c>
    </row>
    <row r="494">
      <c r="A494" s="11" t="inlineStr">
        <is>
          <t>491</t>
        </is>
      </c>
      <c r="B494" s="11" t="inlineStr">
        <is>
          <t>75</t>
        </is>
      </c>
      <c r="C494" s="11" t="inlineStr">
        <is>
          <t>SC</t>
        </is>
      </c>
      <c r="D494" s="11" t="inlineStr">
        <is>
          <t>no</t>
        </is>
      </c>
      <c r="E494" s="11" t="inlineStr">
        <is>
          <t>no</t>
        </is>
      </c>
      <c r="F494" s="11" t="inlineStr">
        <is>
          <t>c1087</t>
        </is>
      </c>
      <c r="G494" s="11" t="inlineStr">
        <is>
          <t>cite</t>
        </is>
      </c>
      <c r="H494" s="11" t="inlineStr">
        <is>
          <t>c5482</t>
        </is>
      </c>
      <c r="I494" s="11" t="inlineStr">
        <is>
          <t>cite</t>
        </is>
      </c>
      <c r="J494" s="11" t="inlineStr">
        <is>
          <t>no</t>
        </is>
      </c>
      <c r="K494" s="11" t="inlineStr">
        <is>
          <t>yes</t>
        </is>
      </c>
      <c r="L494" s="11" t="inlineStr">
        <is>
          <t>untouched</t>
        </is>
      </c>
    </row>
    <row r="495">
      <c r="A495" s="11" t="inlineStr">
        <is>
          <t>492</t>
        </is>
      </c>
      <c r="B495" s="11" t="inlineStr">
        <is>
          <t>76</t>
        </is>
      </c>
      <c r="C495" s="11" t="inlineStr">
        <is>
          <t>SC</t>
        </is>
      </c>
      <c r="D495" s="11" t="inlineStr">
        <is>
          <t>no</t>
        </is>
      </c>
      <c r="E495" s="11" t="inlineStr">
        <is>
          <t>no</t>
        </is>
      </c>
      <c r="F495" s="11" t="inlineStr">
        <is>
          <t>c12613</t>
        </is>
      </c>
      <c r="G495" s="11" t="inlineStr">
        <is>
          <t>cite</t>
        </is>
      </c>
      <c r="H495" s="11" t="inlineStr"/>
      <c r="I495" s="11" t="inlineStr"/>
      <c r="J495" s="11" t="inlineStr">
        <is>
          <t>no</t>
        </is>
      </c>
      <c r="K495" s="11" t="inlineStr">
        <is>
          <t>no</t>
        </is>
      </c>
      <c r="L495" s="11" t="inlineStr"/>
    </row>
    <row r="496">
      <c r="A496" s="11" t="inlineStr">
        <is>
          <t>493</t>
        </is>
      </c>
      <c r="B496" s="11" t="inlineStr">
        <is>
          <t>76</t>
        </is>
      </c>
      <c r="C496" s="11" t="inlineStr">
        <is>
          <t>SC</t>
        </is>
      </c>
      <c r="D496" s="11" t="inlineStr">
        <is>
          <t>no</t>
        </is>
      </c>
      <c r="E496" s="11" t="inlineStr">
        <is>
          <t>no</t>
        </is>
      </c>
      <c r="F496" s="11" t="inlineStr">
        <is>
          <t>c1227</t>
        </is>
      </c>
      <c r="G496" s="11" t="inlineStr">
        <is>
          <t>cite</t>
        </is>
      </c>
      <c r="H496" s="11" t="inlineStr">
        <is>
          <t>c3479</t>
        </is>
      </c>
      <c r="I496" s="11" t="inlineStr">
        <is>
          <t>cite</t>
        </is>
      </c>
      <c r="J496" s="11" t="inlineStr">
        <is>
          <t>no</t>
        </is>
      </c>
      <c r="K496" s="11" t="inlineStr">
        <is>
          <t>yes</t>
        </is>
      </c>
      <c r="L496" s="11" t="inlineStr">
        <is>
          <t>untouched</t>
        </is>
      </c>
    </row>
    <row r="497">
      <c r="A497" s="11" t="inlineStr">
        <is>
          <t>494</t>
        </is>
      </c>
      <c r="B497" s="11" t="inlineStr">
        <is>
          <t>76</t>
        </is>
      </c>
      <c r="C497" s="11" t="inlineStr">
        <is>
          <t>SC</t>
        </is>
      </c>
      <c r="D497" s="11" t="inlineStr">
        <is>
          <t>no</t>
        </is>
      </c>
      <c r="E497" s="11" t="inlineStr">
        <is>
          <t>no</t>
        </is>
      </c>
      <c r="F497" s="11" t="inlineStr">
        <is>
          <t>c1194</t>
        </is>
      </c>
      <c r="G497" s="11" t="inlineStr">
        <is>
          <t>cite</t>
        </is>
      </c>
      <c r="H497" s="11" t="inlineStr">
        <is>
          <t>c5862</t>
        </is>
      </c>
      <c r="I497" s="11" t="inlineStr">
        <is>
          <t>cite</t>
        </is>
      </c>
      <c r="J497" s="11" t="inlineStr">
        <is>
          <t>no</t>
        </is>
      </c>
      <c r="K497" s="11" t="inlineStr">
        <is>
          <t>yes</t>
        </is>
      </c>
      <c r="L497" s="11" t="inlineStr">
        <is>
          <t>tune</t>
        </is>
      </c>
    </row>
    <row r="498">
      <c r="A498" s="11" t="inlineStr">
        <is>
          <t>495</t>
        </is>
      </c>
      <c r="B498" s="11" t="inlineStr">
        <is>
          <t>76</t>
        </is>
      </c>
      <c r="C498" s="11" t="inlineStr">
        <is>
          <t>SC</t>
        </is>
      </c>
      <c r="D498" s="11" t="inlineStr">
        <is>
          <t>no</t>
        </is>
      </c>
      <c r="E498" s="11" t="inlineStr">
        <is>
          <t>yes</t>
        </is>
      </c>
      <c r="F498" s="11" t="inlineStr">
        <is>
          <t>c1245</t>
        </is>
      </c>
      <c r="G498" s="11" t="inlineStr">
        <is>
          <t>cite</t>
        </is>
      </c>
      <c r="H498" s="11" t="inlineStr">
        <is>
          <t>c5403</t>
        </is>
      </c>
      <c r="I498" s="11" t="inlineStr">
        <is>
          <t>cite</t>
        </is>
      </c>
      <c r="J498" s="11" t="inlineStr">
        <is>
          <t>no</t>
        </is>
      </c>
      <c r="K498" s="11" t="inlineStr">
        <is>
          <t>yes</t>
        </is>
      </c>
      <c r="L498" s="11" t="inlineStr">
        <is>
          <t>untouched</t>
        </is>
      </c>
    </row>
    <row r="499">
      <c r="A499" s="11" t="inlineStr">
        <is>
          <t>496</t>
        </is>
      </c>
      <c r="B499" s="11" t="inlineStr">
        <is>
          <t>76</t>
        </is>
      </c>
      <c r="C499" s="11" t="inlineStr">
        <is>
          <t>SC</t>
        </is>
      </c>
      <c r="D499" s="11" t="inlineStr">
        <is>
          <t>no</t>
        </is>
      </c>
      <c r="E499" s="11" t="inlineStr">
        <is>
          <t>no</t>
        </is>
      </c>
      <c r="F499" s="11" t="inlineStr">
        <is>
          <t>c8592</t>
        </is>
      </c>
      <c r="G499" s="11" t="inlineStr">
        <is>
          <t>cite</t>
        </is>
      </c>
      <c r="H499" s="11" t="inlineStr">
        <is>
          <t>c20256</t>
        </is>
      </c>
      <c r="I499" s="11" t="inlineStr">
        <is>
          <t>cite</t>
        </is>
      </c>
      <c r="J499" s="11" t="inlineStr">
        <is>
          <t>no</t>
        </is>
      </c>
      <c r="K499" s="11" t="inlineStr">
        <is>
          <t>yes</t>
        </is>
      </c>
      <c r="L499" s="11" t="inlineStr">
        <is>
          <t>tune</t>
        </is>
      </c>
    </row>
    <row r="500">
      <c r="A500" s="11" t="inlineStr">
        <is>
          <t>497</t>
        </is>
      </c>
      <c r="B500" s="11" t="inlineStr">
        <is>
          <t>76</t>
        </is>
      </c>
      <c r="C500" s="11" t="inlineStr">
        <is>
          <t>SC</t>
        </is>
      </c>
      <c r="D500" s="11" t="inlineStr">
        <is>
          <t>no</t>
        </is>
      </c>
      <c r="E500" s="11" t="inlineStr">
        <is>
          <t>no</t>
        </is>
      </c>
      <c r="F500" s="11" t="inlineStr">
        <is>
          <t>c502</t>
        </is>
      </c>
      <c r="G500" s="11" t="inlineStr">
        <is>
          <t>cite</t>
        </is>
      </c>
      <c r="H500" s="11" t="inlineStr">
        <is>
          <t>c2304</t>
        </is>
      </c>
      <c r="I500" s="11" t="inlineStr">
        <is>
          <t>cite</t>
        </is>
      </c>
      <c r="J500" s="11" t="inlineStr">
        <is>
          <t>no</t>
        </is>
      </c>
      <c r="K500" s="11" t="inlineStr">
        <is>
          <t>yes</t>
        </is>
      </c>
      <c r="L500" s="11" t="inlineStr">
        <is>
          <t>untouched</t>
        </is>
      </c>
    </row>
    <row r="501">
      <c r="A501" s="11" t="inlineStr">
        <is>
          <t>498</t>
        </is>
      </c>
      <c r="B501" s="11" t="inlineStr">
        <is>
          <t>76</t>
        </is>
      </c>
      <c r="C501" s="11" t="inlineStr">
        <is>
          <t>SC</t>
        </is>
      </c>
      <c r="D501" s="11" t="inlineStr">
        <is>
          <t>no</t>
        </is>
      </c>
      <c r="E501" s="11" t="inlineStr">
        <is>
          <t>no</t>
        </is>
      </c>
      <c r="F501" s="11" t="inlineStr">
        <is>
          <t>c6319</t>
        </is>
      </c>
      <c r="G501" s="11" t="inlineStr">
        <is>
          <t>cite</t>
        </is>
      </c>
      <c r="H501" s="11" t="inlineStr">
        <is>
          <t>c14752</t>
        </is>
      </c>
      <c r="I501" s="11" t="inlineStr">
        <is>
          <t>name</t>
        </is>
      </c>
      <c r="J501" s="11" t="inlineStr">
        <is>
          <t>no</t>
        </is>
      </c>
      <c r="K501" s="11" t="inlineStr">
        <is>
          <t>yes</t>
        </is>
      </c>
      <c r="L501" s="11" t="inlineStr">
        <is>
          <t>tune</t>
        </is>
      </c>
    </row>
    <row r="502">
      <c r="A502" s="11" t="inlineStr">
        <is>
          <t>499</t>
        </is>
      </c>
      <c r="B502" s="11" t="inlineStr">
        <is>
          <t>77</t>
        </is>
      </c>
      <c r="C502" s="11" t="inlineStr">
        <is>
          <t>SC</t>
        </is>
      </c>
      <c r="D502" s="11" t="inlineStr">
        <is>
          <t>no</t>
        </is>
      </c>
      <c r="E502" s="11" t="inlineStr">
        <is>
          <t>no</t>
        </is>
      </c>
      <c r="F502" s="11" t="inlineStr">
        <is>
          <t>c1182</t>
        </is>
      </c>
      <c r="G502" s="11" t="inlineStr">
        <is>
          <t>cite</t>
        </is>
      </c>
      <c r="H502" s="11" t="inlineStr">
        <is>
          <t>c7774</t>
        </is>
      </c>
      <c r="I502" s="11" t="inlineStr">
        <is>
          <t>cite</t>
        </is>
      </c>
      <c r="J502" s="11" t="inlineStr">
        <is>
          <t>no</t>
        </is>
      </c>
      <c r="K502" s="11" t="inlineStr">
        <is>
          <t>yes</t>
        </is>
      </c>
      <c r="L502" s="11" t="inlineStr">
        <is>
          <t>untouched</t>
        </is>
      </c>
    </row>
    <row r="503">
      <c r="A503" s="11" t="inlineStr">
        <is>
          <t>500</t>
        </is>
      </c>
      <c r="B503" s="11" t="inlineStr">
        <is>
          <t>77</t>
        </is>
      </c>
      <c r="C503" s="11" t="inlineStr">
        <is>
          <t>SC</t>
        </is>
      </c>
      <c r="D503" s="11" t="inlineStr">
        <is>
          <t>no</t>
        </is>
      </c>
      <c r="E503" s="11" t="inlineStr">
        <is>
          <t>yes</t>
        </is>
      </c>
      <c r="F503" s="11" t="inlineStr">
        <is>
          <t>c1035</t>
        </is>
      </c>
      <c r="G503" s="11" t="inlineStr">
        <is>
          <t>cite</t>
        </is>
      </c>
      <c r="H503" s="11" t="inlineStr">
        <is>
          <t>c2107</t>
        </is>
      </c>
      <c r="I503" s="11" t="inlineStr">
        <is>
          <t>cite</t>
        </is>
      </c>
      <c r="J503" s="11" t="inlineStr">
        <is>
          <t>no</t>
        </is>
      </c>
      <c r="K503" s="11" t="inlineStr">
        <is>
          <t>yes</t>
        </is>
      </c>
      <c r="L503" s="11" t="inlineStr">
        <is>
          <t>tune</t>
        </is>
      </c>
    </row>
    <row r="504">
      <c r="A504" s="11" t="inlineStr">
        <is>
          <t>501</t>
        </is>
      </c>
      <c r="B504" s="11" t="inlineStr">
        <is>
          <t>77</t>
        </is>
      </c>
      <c r="C504" s="11" t="inlineStr">
        <is>
          <t>SC</t>
        </is>
      </c>
      <c r="D504" s="11" t="inlineStr">
        <is>
          <t>no</t>
        </is>
      </c>
      <c r="E504" s="11" t="inlineStr">
        <is>
          <t>no</t>
        </is>
      </c>
      <c r="F504" s="11" t="inlineStr">
        <is>
          <t>c4274</t>
        </is>
      </c>
      <c r="G504" s="11" t="inlineStr">
        <is>
          <t>cite</t>
        </is>
      </c>
      <c r="H504" s="11" t="inlineStr">
        <is>
          <t>c9578</t>
        </is>
      </c>
      <c r="I504" s="11" t="inlineStr">
        <is>
          <t>cite</t>
        </is>
      </c>
      <c r="J504" s="11" t="inlineStr">
        <is>
          <t>no</t>
        </is>
      </c>
      <c r="K504" s="11" t="inlineStr">
        <is>
          <t>yes</t>
        </is>
      </c>
      <c r="L504" s="11" t="inlineStr">
        <is>
          <t>untouched</t>
        </is>
      </c>
    </row>
    <row r="505">
      <c r="A505" s="11" t="inlineStr">
        <is>
          <t>502</t>
        </is>
      </c>
      <c r="B505" s="11" t="inlineStr">
        <is>
          <t>77</t>
        </is>
      </c>
      <c r="C505" s="11" t="inlineStr">
        <is>
          <t>SC</t>
        </is>
      </c>
      <c r="D505" s="11" t="inlineStr">
        <is>
          <t>no</t>
        </is>
      </c>
      <c r="E505" s="11" t="inlineStr">
        <is>
          <t>yes</t>
        </is>
      </c>
      <c r="F505" s="11" t="inlineStr">
        <is>
          <t>c1251</t>
        </is>
      </c>
      <c r="G505" s="11" t="inlineStr">
        <is>
          <t>cite</t>
        </is>
      </c>
      <c r="H505" s="11" t="inlineStr">
        <is>
          <t>c6119</t>
        </is>
      </c>
      <c r="I505" s="11" t="inlineStr">
        <is>
          <t>cite</t>
        </is>
      </c>
      <c r="J505" s="11" t="inlineStr">
        <is>
          <t>no</t>
        </is>
      </c>
      <c r="K505" s="11" t="inlineStr">
        <is>
          <t>yes</t>
        </is>
      </c>
      <c r="L505" s="11" t="inlineStr">
        <is>
          <t>tune</t>
        </is>
      </c>
    </row>
    <row r="506">
      <c r="A506" s="11" t="inlineStr">
        <is>
          <t>503</t>
        </is>
      </c>
      <c r="B506" s="11" t="inlineStr">
        <is>
          <t>77</t>
        </is>
      </c>
      <c r="C506" s="11" t="inlineStr">
        <is>
          <t>SC</t>
        </is>
      </c>
      <c r="D506" s="11" t="inlineStr">
        <is>
          <t>no</t>
        </is>
      </c>
      <c r="E506" s="11" t="inlineStr">
        <is>
          <t>no</t>
        </is>
      </c>
      <c r="F506" s="11" t="inlineStr">
        <is>
          <t>c1146</t>
        </is>
      </c>
      <c r="G506" s="11" t="inlineStr">
        <is>
          <t>cite</t>
        </is>
      </c>
      <c r="H506" s="11" t="inlineStr">
        <is>
          <t>c952</t>
        </is>
      </c>
      <c r="I506" s="11" t="inlineStr">
        <is>
          <t>cite</t>
        </is>
      </c>
      <c r="J506" s="11" t="inlineStr">
        <is>
          <t>no</t>
        </is>
      </c>
      <c r="K506" s="11" t="inlineStr">
        <is>
          <t>yes</t>
        </is>
      </c>
      <c r="L506" s="11" t="inlineStr">
        <is>
          <t>untouched</t>
        </is>
      </c>
    </row>
    <row r="507">
      <c r="A507" s="11" t="inlineStr">
        <is>
          <t>504</t>
        </is>
      </c>
      <c r="B507" s="11" t="inlineStr">
        <is>
          <t>77</t>
        </is>
      </c>
      <c r="C507" s="11" t="inlineStr">
        <is>
          <t>SC</t>
        </is>
      </c>
      <c r="D507" s="11" t="inlineStr">
        <is>
          <t>no</t>
        </is>
      </c>
      <c r="E507" s="11" t="inlineStr">
        <is>
          <t>no</t>
        </is>
      </c>
      <c r="F507" s="11" t="inlineStr">
        <is>
          <t>c9274</t>
        </is>
      </c>
      <c r="G507" s="11" t="inlineStr">
        <is>
          <t>cite</t>
        </is>
      </c>
      <c r="H507" s="11" t="inlineStr">
        <is>
          <t>c18743</t>
        </is>
      </c>
      <c r="I507" s="11" t="inlineStr">
        <is>
          <t>name</t>
        </is>
      </c>
      <c r="J507" s="11" t="inlineStr">
        <is>
          <t>no</t>
        </is>
      </c>
      <c r="K507" s="11" t="inlineStr">
        <is>
          <t>yes</t>
        </is>
      </c>
      <c r="L507" s="11" t="inlineStr">
        <is>
          <t>tune</t>
        </is>
      </c>
    </row>
    <row r="508">
      <c r="A508" s="11" t="inlineStr">
        <is>
          <t>505</t>
        </is>
      </c>
      <c r="B508" s="11" t="inlineStr">
        <is>
          <t>77</t>
        </is>
      </c>
      <c r="C508" s="11" t="inlineStr">
        <is>
          <t>SC</t>
        </is>
      </c>
      <c r="D508" s="11" t="inlineStr">
        <is>
          <t>no</t>
        </is>
      </c>
      <c r="E508" s="11" t="inlineStr">
        <is>
          <t>yes</t>
        </is>
      </c>
      <c r="F508" s="11" t="inlineStr">
        <is>
          <t>c1020</t>
        </is>
      </c>
      <c r="G508" s="11" t="inlineStr">
        <is>
          <t>cite</t>
        </is>
      </c>
      <c r="H508" s="11" t="inlineStr">
        <is>
          <t>c1116</t>
        </is>
      </c>
      <c r="I508" s="11" t="inlineStr">
        <is>
          <t>cite</t>
        </is>
      </c>
      <c r="J508" s="11" t="inlineStr">
        <is>
          <t>no</t>
        </is>
      </c>
      <c r="K508" s="11" t="inlineStr">
        <is>
          <t>no</t>
        </is>
      </c>
      <c r="L508" s="11" t="inlineStr"/>
    </row>
    <row r="509">
      <c r="A509" s="11" t="inlineStr">
        <is>
          <t>506</t>
        </is>
      </c>
      <c r="B509" s="11" t="inlineStr">
        <is>
          <t>77</t>
        </is>
      </c>
      <c r="C509" s="11" t="inlineStr">
        <is>
          <t>SC</t>
        </is>
      </c>
      <c r="D509" s="11" t="inlineStr">
        <is>
          <t>no</t>
        </is>
      </c>
      <c r="E509" s="11" t="inlineStr">
        <is>
          <t>yes</t>
        </is>
      </c>
      <c r="F509" s="11" t="inlineStr">
        <is>
          <t>c2507</t>
        </is>
      </c>
      <c r="G509" s="11" t="inlineStr">
        <is>
          <t>cite</t>
        </is>
      </c>
      <c r="H509" s="11" t="inlineStr">
        <is>
          <t>c151</t>
        </is>
      </c>
      <c r="I509" s="11" t="inlineStr">
        <is>
          <t>cite</t>
        </is>
      </c>
      <c r="J509" s="11" t="inlineStr">
        <is>
          <t>no</t>
        </is>
      </c>
      <c r="K509" s="11" t="inlineStr">
        <is>
          <t>no</t>
        </is>
      </c>
      <c r="L509" s="11" t="inlineStr"/>
    </row>
    <row r="510">
      <c r="A510" s="11" t="inlineStr">
        <is>
          <t>507</t>
        </is>
      </c>
      <c r="B510" s="11" t="inlineStr">
        <is>
          <t>78</t>
        </is>
      </c>
      <c r="C510" s="11" t="inlineStr">
        <is>
          <t>SC</t>
        </is>
      </c>
      <c r="D510" s="11" t="inlineStr">
        <is>
          <t>no</t>
        </is>
      </c>
      <c r="E510" s="11" t="inlineStr">
        <is>
          <t>no</t>
        </is>
      </c>
      <c r="F510" s="11" t="inlineStr">
        <is>
          <t>c924</t>
        </is>
      </c>
      <c r="G510" s="11" t="inlineStr">
        <is>
          <t>cite</t>
        </is>
      </c>
      <c r="H510" s="11" t="inlineStr">
        <is>
          <t>c3352</t>
        </is>
      </c>
      <c r="I510" s="11" t="inlineStr">
        <is>
          <t>cite</t>
        </is>
      </c>
      <c r="J510" s="11" t="inlineStr">
        <is>
          <t>no</t>
        </is>
      </c>
      <c r="K510" s="11" t="inlineStr">
        <is>
          <t>yes</t>
        </is>
      </c>
      <c r="L510" s="11" t="inlineStr">
        <is>
          <t>untouched</t>
        </is>
      </c>
    </row>
    <row r="511">
      <c r="A511" s="11" t="inlineStr">
        <is>
          <t>508</t>
        </is>
      </c>
      <c r="B511" s="11" t="inlineStr">
        <is>
          <t>78</t>
        </is>
      </c>
      <c r="C511" s="11" t="inlineStr">
        <is>
          <t>SC</t>
        </is>
      </c>
      <c r="D511" s="11" t="inlineStr">
        <is>
          <t>no</t>
        </is>
      </c>
      <c r="E511" s="11" t="inlineStr">
        <is>
          <t>no</t>
        </is>
      </c>
      <c r="F511" s="11" t="inlineStr">
        <is>
          <t>c10592</t>
        </is>
      </c>
      <c r="G511" s="11" t="inlineStr">
        <is>
          <t>cite</t>
        </is>
      </c>
      <c r="H511" s="11" t="inlineStr">
        <is>
          <t>c20389</t>
        </is>
      </c>
      <c r="I511" s="11" t="inlineStr">
        <is>
          <t>name</t>
        </is>
      </c>
      <c r="J511" s="11" t="inlineStr">
        <is>
          <t>no</t>
        </is>
      </c>
      <c r="K511" s="11" t="inlineStr">
        <is>
          <t>yes</t>
        </is>
      </c>
      <c r="L511" s="11" t="inlineStr">
        <is>
          <t>tune</t>
        </is>
      </c>
    </row>
    <row r="512">
      <c r="A512" s="11" t="inlineStr">
        <is>
          <t>509</t>
        </is>
      </c>
      <c r="B512" s="11" t="inlineStr">
        <is>
          <t>78</t>
        </is>
      </c>
      <c r="C512" s="11" t="inlineStr">
        <is>
          <t>SC</t>
        </is>
      </c>
      <c r="D512" s="11" t="inlineStr">
        <is>
          <t>no</t>
        </is>
      </c>
      <c r="E512" s="11" t="inlineStr">
        <is>
          <t>no</t>
        </is>
      </c>
      <c r="F512" s="11" t="inlineStr">
        <is>
          <t>c2449</t>
        </is>
      </c>
      <c r="G512" s="11" t="inlineStr">
        <is>
          <t>cite</t>
        </is>
      </c>
      <c r="H512" s="11" t="inlineStr">
        <is>
          <t>c29981</t>
        </is>
      </c>
      <c r="I512" s="11" t="inlineStr">
        <is>
          <t>name</t>
        </is>
      </c>
      <c r="J512" s="11" t="inlineStr">
        <is>
          <t>no</t>
        </is>
      </c>
      <c r="K512" s="11" t="inlineStr">
        <is>
          <t>yes</t>
        </is>
      </c>
      <c r="L512" s="11" t="inlineStr">
        <is>
          <t>untouched</t>
        </is>
      </c>
    </row>
    <row r="513">
      <c r="A513" s="11" t="inlineStr">
        <is>
          <t>510</t>
        </is>
      </c>
      <c r="B513" s="11" t="inlineStr">
        <is>
          <t>78</t>
        </is>
      </c>
      <c r="C513" s="11" t="inlineStr">
        <is>
          <t>SC</t>
        </is>
      </c>
      <c r="D513" s="11" t="inlineStr">
        <is>
          <t>no</t>
        </is>
      </c>
      <c r="E513" s="11" t="inlineStr">
        <is>
          <t>no</t>
        </is>
      </c>
      <c r="F513" s="11" t="inlineStr">
        <is>
          <t>c8230</t>
        </is>
      </c>
      <c r="G513" s="11" t="inlineStr">
        <is>
          <t>cite</t>
        </is>
      </c>
      <c r="H513" s="11" t="inlineStr">
        <is>
          <t>c7921</t>
        </is>
      </c>
      <c r="I513" s="11" t="inlineStr">
        <is>
          <t>cite</t>
        </is>
      </c>
      <c r="J513" s="11" t="inlineStr">
        <is>
          <t>no</t>
        </is>
      </c>
      <c r="K513" s="11" t="inlineStr">
        <is>
          <t>yes</t>
        </is>
      </c>
      <c r="L513" s="11" t="inlineStr">
        <is>
          <t>tune</t>
        </is>
      </c>
    </row>
    <row r="514">
      <c r="A514" s="11" t="inlineStr">
        <is>
          <t>511</t>
        </is>
      </c>
      <c r="B514" s="11" t="inlineStr">
        <is>
          <t>78</t>
        </is>
      </c>
      <c r="C514" s="11" t="inlineStr">
        <is>
          <t>SC</t>
        </is>
      </c>
      <c r="D514" s="11" t="inlineStr">
        <is>
          <t>no</t>
        </is>
      </c>
      <c r="E514" s="11" t="inlineStr">
        <is>
          <t>no</t>
        </is>
      </c>
      <c r="F514" s="11" t="inlineStr">
        <is>
          <t>c5149</t>
        </is>
      </c>
      <c r="G514" s="11" t="inlineStr">
        <is>
          <t>cite</t>
        </is>
      </c>
      <c r="H514" s="11" t="inlineStr">
        <is>
          <t>c14419</t>
        </is>
      </c>
      <c r="I514" s="11" t="inlineStr">
        <is>
          <t>cite</t>
        </is>
      </c>
      <c r="J514" s="11" t="inlineStr">
        <is>
          <t>yes</t>
        </is>
      </c>
      <c r="K514" s="11" t="inlineStr">
        <is>
          <t>no</t>
        </is>
      </c>
      <c r="L514" s="11" t="inlineStr"/>
    </row>
    <row r="515">
      <c r="A515" s="11" t="inlineStr">
        <is>
          <t>512</t>
        </is>
      </c>
      <c r="B515" s="11" t="inlineStr">
        <is>
          <t>78</t>
        </is>
      </c>
      <c r="C515" s="11" t="inlineStr">
        <is>
          <t>SC</t>
        </is>
      </c>
      <c r="D515" s="11" t="inlineStr">
        <is>
          <t>no</t>
        </is>
      </c>
      <c r="E515" s="11" t="inlineStr">
        <is>
          <t>no</t>
        </is>
      </c>
      <c r="F515" s="11" t="inlineStr">
        <is>
          <t>c9199</t>
        </is>
      </c>
      <c r="G515" s="11" t="inlineStr">
        <is>
          <t>cite</t>
        </is>
      </c>
      <c r="H515" s="11" t="inlineStr">
        <is>
          <t>c13429</t>
        </is>
      </c>
      <c r="I515" s="11" t="inlineStr">
        <is>
          <t>cite</t>
        </is>
      </c>
      <c r="J515" s="11" t="inlineStr">
        <is>
          <t>no</t>
        </is>
      </c>
      <c r="K515" s="11" t="inlineStr">
        <is>
          <t>yes</t>
        </is>
      </c>
      <c r="L515" s="11" t="inlineStr">
        <is>
          <t>tune</t>
        </is>
      </c>
    </row>
    <row r="516">
      <c r="A516" s="11" t="inlineStr">
        <is>
          <t>513</t>
        </is>
      </c>
      <c r="B516" s="11" t="inlineStr">
        <is>
          <t>79</t>
        </is>
      </c>
      <c r="C516" s="11" t="inlineStr">
        <is>
          <t>SC</t>
        </is>
      </c>
      <c r="D516" s="11" t="inlineStr">
        <is>
          <t>no</t>
        </is>
      </c>
      <c r="E516" s="11" t="inlineStr">
        <is>
          <t>yes</t>
        </is>
      </c>
      <c r="F516" s="11" t="inlineStr">
        <is>
          <t>c63</t>
        </is>
      </c>
      <c r="G516" s="11" t="inlineStr">
        <is>
          <t>cite</t>
        </is>
      </c>
      <c r="H516" s="11" t="inlineStr"/>
      <c r="I516" s="11" t="inlineStr"/>
      <c r="J516" s="11" t="inlineStr">
        <is>
          <t>no</t>
        </is>
      </c>
      <c r="K516" s="11" t="inlineStr">
        <is>
          <t>no</t>
        </is>
      </c>
      <c r="L516" s="11" t="inlineStr"/>
    </row>
    <row r="517">
      <c r="A517" s="11" t="inlineStr">
        <is>
          <t>514</t>
        </is>
      </c>
      <c r="B517" s="11" t="inlineStr">
        <is>
          <t>79</t>
        </is>
      </c>
      <c r="C517" s="11" t="inlineStr">
        <is>
          <t>SC</t>
        </is>
      </c>
      <c r="D517" s="11" t="inlineStr">
        <is>
          <t>no</t>
        </is>
      </c>
      <c r="E517" s="11" t="inlineStr">
        <is>
          <t>no</t>
        </is>
      </c>
      <c r="F517" s="11" t="inlineStr">
        <is>
          <t>c3731</t>
        </is>
      </c>
      <c r="G517" s="11" t="inlineStr">
        <is>
          <t>cite</t>
        </is>
      </c>
      <c r="H517" s="11" t="inlineStr">
        <is>
          <t>c9510</t>
        </is>
      </c>
      <c r="I517" s="11" t="inlineStr">
        <is>
          <t>cite</t>
        </is>
      </c>
      <c r="J517" s="11" t="inlineStr">
        <is>
          <t>no</t>
        </is>
      </c>
      <c r="K517" s="11" t="inlineStr">
        <is>
          <t>yes</t>
        </is>
      </c>
      <c r="L517" s="11" t="inlineStr">
        <is>
          <t>tune</t>
        </is>
      </c>
    </row>
    <row r="518">
      <c r="A518" s="11" t="inlineStr">
        <is>
          <t>515</t>
        </is>
      </c>
      <c r="B518" s="11" t="inlineStr">
        <is>
          <t>79</t>
        </is>
      </c>
      <c r="C518" s="11" t="inlineStr">
        <is>
          <t>SC</t>
        </is>
      </c>
      <c r="D518" s="11" t="inlineStr">
        <is>
          <t>no</t>
        </is>
      </c>
      <c r="E518" s="11" t="inlineStr">
        <is>
          <t>no</t>
        </is>
      </c>
      <c r="F518" s="11" t="inlineStr">
        <is>
          <t>c1768</t>
        </is>
      </c>
      <c r="G518" s="11" t="inlineStr">
        <is>
          <t>cite</t>
        </is>
      </c>
      <c r="H518" s="11" t="inlineStr"/>
      <c r="I518" s="11" t="inlineStr"/>
      <c r="J518" s="11" t="inlineStr">
        <is>
          <t>no</t>
        </is>
      </c>
      <c r="K518" s="11" t="inlineStr">
        <is>
          <t>no</t>
        </is>
      </c>
      <c r="L518" s="11" t="inlineStr"/>
    </row>
    <row r="519">
      <c r="A519" s="11" t="inlineStr">
        <is>
          <t>516</t>
        </is>
      </c>
      <c r="B519" s="11" t="inlineStr">
        <is>
          <t>79</t>
        </is>
      </c>
      <c r="C519" s="11" t="inlineStr">
        <is>
          <t>SC</t>
        </is>
      </c>
      <c r="D519" s="11" t="inlineStr">
        <is>
          <t>no</t>
        </is>
      </c>
      <c r="E519" s="11" t="inlineStr">
        <is>
          <t>no</t>
        </is>
      </c>
      <c r="F519" s="11" t="inlineStr">
        <is>
          <t>c6900</t>
        </is>
      </c>
      <c r="G519" s="11" t="inlineStr">
        <is>
          <t>cite</t>
        </is>
      </c>
      <c r="H519" s="11" t="inlineStr">
        <is>
          <t>c26752</t>
        </is>
      </c>
      <c r="I519" s="11" t="inlineStr">
        <is>
          <t>name</t>
        </is>
      </c>
      <c r="J519" s="11" t="inlineStr">
        <is>
          <t>no</t>
        </is>
      </c>
      <c r="K519" s="11" t="inlineStr">
        <is>
          <t>yes</t>
        </is>
      </c>
      <c r="L519" s="11" t="inlineStr">
        <is>
          <t>tune</t>
        </is>
      </c>
    </row>
    <row r="520">
      <c r="A520" s="11" t="inlineStr">
        <is>
          <t>517</t>
        </is>
      </c>
      <c r="B520" s="11" t="inlineStr">
        <is>
          <t>79</t>
        </is>
      </c>
      <c r="C520" s="11" t="inlineStr">
        <is>
          <t>SC</t>
        </is>
      </c>
      <c r="D520" s="11" t="inlineStr">
        <is>
          <t>no</t>
        </is>
      </c>
      <c r="E520" s="11" t="inlineStr">
        <is>
          <t>no</t>
        </is>
      </c>
      <c r="F520" s="11" t="inlineStr"/>
      <c r="G520" s="11" t="inlineStr"/>
      <c r="H520" s="11" t="inlineStr">
        <is>
          <t>c20857</t>
        </is>
      </c>
      <c r="I520" s="11" t="inlineStr">
        <is>
          <t>name</t>
        </is>
      </c>
      <c r="J520" s="11" t="inlineStr">
        <is>
          <t>no</t>
        </is>
      </c>
      <c r="K520" s="11" t="inlineStr">
        <is>
          <t>no</t>
        </is>
      </c>
      <c r="L520" s="11" t="inlineStr"/>
    </row>
    <row r="521">
      <c r="A521" s="11" t="inlineStr">
        <is>
          <t>518</t>
        </is>
      </c>
      <c r="B521" s="11" t="inlineStr">
        <is>
          <t>79</t>
        </is>
      </c>
      <c r="C521" s="11" t="inlineStr">
        <is>
          <t>SC</t>
        </is>
      </c>
      <c r="D521" s="11" t="inlineStr">
        <is>
          <t>no</t>
        </is>
      </c>
      <c r="E521" s="11" t="inlineStr">
        <is>
          <t>no</t>
        </is>
      </c>
      <c r="F521" s="11" t="inlineStr">
        <is>
          <t>c7857</t>
        </is>
      </c>
      <c r="G521" s="11" t="inlineStr">
        <is>
          <t>cite</t>
        </is>
      </c>
      <c r="H521" s="11" t="inlineStr">
        <is>
          <t>c8777</t>
        </is>
      </c>
      <c r="I521" s="11" t="inlineStr">
        <is>
          <t>cite</t>
        </is>
      </c>
      <c r="J521" s="11" t="inlineStr">
        <is>
          <t>no</t>
        </is>
      </c>
      <c r="K521" s="11" t="inlineStr">
        <is>
          <t>no</t>
        </is>
      </c>
      <c r="L521" s="11" t="inlineStr"/>
    </row>
    <row r="522">
      <c r="A522" s="11" t="inlineStr">
        <is>
          <t>519</t>
        </is>
      </c>
      <c r="B522" s="11" t="inlineStr">
        <is>
          <t>80</t>
        </is>
      </c>
      <c r="C522" s="11" t="inlineStr">
        <is>
          <t>SC</t>
        </is>
      </c>
      <c r="D522" s="11" t="inlineStr">
        <is>
          <t>no</t>
        </is>
      </c>
      <c r="E522" s="11" t="inlineStr">
        <is>
          <t>no</t>
        </is>
      </c>
      <c r="F522" s="11" t="inlineStr">
        <is>
          <t>c2922</t>
        </is>
      </c>
      <c r="G522" s="11" t="inlineStr">
        <is>
          <t>cite</t>
        </is>
      </c>
      <c r="H522" s="11" t="inlineStr">
        <is>
          <t>c14575</t>
        </is>
      </c>
      <c r="I522" s="11" t="inlineStr">
        <is>
          <t>name</t>
        </is>
      </c>
      <c r="J522" s="11" t="inlineStr">
        <is>
          <t>no</t>
        </is>
      </c>
      <c r="K522" s="11" t="inlineStr">
        <is>
          <t>yes</t>
        </is>
      </c>
      <c r="L522" s="11" t="inlineStr">
        <is>
          <t>untouched</t>
        </is>
      </c>
    </row>
    <row r="523">
      <c r="A523" s="11" t="inlineStr">
        <is>
          <t>520</t>
        </is>
      </c>
      <c r="B523" s="11" t="inlineStr">
        <is>
          <t>80</t>
        </is>
      </c>
      <c r="C523" s="11" t="inlineStr">
        <is>
          <t>SC</t>
        </is>
      </c>
      <c r="D523" s="11" t="inlineStr">
        <is>
          <t>no</t>
        </is>
      </c>
      <c r="E523" s="11" t="inlineStr">
        <is>
          <t>no</t>
        </is>
      </c>
      <c r="F523" s="11" t="inlineStr">
        <is>
          <t>c3975</t>
        </is>
      </c>
      <c r="G523" s="11" t="inlineStr">
        <is>
          <t>cite</t>
        </is>
      </c>
      <c r="H523" s="11" t="inlineStr">
        <is>
          <t>c3500</t>
        </is>
      </c>
      <c r="I523" s="11" t="inlineStr">
        <is>
          <t>cite</t>
        </is>
      </c>
      <c r="J523" s="11" t="inlineStr">
        <is>
          <t>no</t>
        </is>
      </c>
      <c r="K523" s="11" t="inlineStr">
        <is>
          <t>yes</t>
        </is>
      </c>
      <c r="L523" s="11" t="inlineStr">
        <is>
          <t>tune</t>
        </is>
      </c>
    </row>
    <row r="524">
      <c r="A524" s="11" t="inlineStr">
        <is>
          <t>521</t>
        </is>
      </c>
      <c r="B524" s="11" t="inlineStr">
        <is>
          <t>80</t>
        </is>
      </c>
      <c r="C524" s="11" t="inlineStr">
        <is>
          <t>SC</t>
        </is>
      </c>
      <c r="D524" s="11" t="inlineStr">
        <is>
          <t>no</t>
        </is>
      </c>
      <c r="E524" s="11" t="inlineStr">
        <is>
          <t>no</t>
        </is>
      </c>
      <c r="F524" s="11" t="inlineStr"/>
      <c r="G524" s="11" t="inlineStr"/>
      <c r="H524" s="11" t="inlineStr"/>
      <c r="I524" s="11" t="inlineStr"/>
      <c r="J524" s="11" t="inlineStr">
        <is>
          <t>no</t>
        </is>
      </c>
      <c r="K524" s="11" t="inlineStr">
        <is>
          <t>no</t>
        </is>
      </c>
      <c r="L524" s="11" t="inlineStr"/>
    </row>
    <row r="525">
      <c r="A525" s="11" t="inlineStr">
        <is>
          <t>522</t>
        </is>
      </c>
      <c r="B525" s="11" t="inlineStr">
        <is>
          <t>80</t>
        </is>
      </c>
      <c r="C525" s="11" t="inlineStr">
        <is>
          <t>SC</t>
        </is>
      </c>
      <c r="D525" s="11" t="inlineStr">
        <is>
          <t>no</t>
        </is>
      </c>
      <c r="E525" s="11" t="inlineStr">
        <is>
          <t>no</t>
        </is>
      </c>
      <c r="F525" s="11" t="inlineStr">
        <is>
          <t>c6045</t>
        </is>
      </c>
      <c r="G525" s="11" t="inlineStr">
        <is>
          <t>cite</t>
        </is>
      </c>
      <c r="H525" s="11" t="inlineStr">
        <is>
          <t>c26609</t>
        </is>
      </c>
      <c r="I525" s="11" t="inlineStr">
        <is>
          <t>name</t>
        </is>
      </c>
      <c r="J525" s="11" t="inlineStr">
        <is>
          <t>no</t>
        </is>
      </c>
      <c r="K525" s="11" t="inlineStr">
        <is>
          <t>yes</t>
        </is>
      </c>
      <c r="L525" s="11" t="inlineStr">
        <is>
          <t>tune</t>
        </is>
      </c>
    </row>
    <row r="526">
      <c r="A526" s="11" t="inlineStr">
        <is>
          <t>523</t>
        </is>
      </c>
      <c r="B526" s="11" t="inlineStr">
        <is>
          <t>80</t>
        </is>
      </c>
      <c r="C526" s="11" t="inlineStr">
        <is>
          <t>SC</t>
        </is>
      </c>
      <c r="D526" s="11" t="inlineStr">
        <is>
          <t>no</t>
        </is>
      </c>
      <c r="E526" s="11" t="inlineStr">
        <is>
          <t>yes</t>
        </is>
      </c>
      <c r="F526" s="11" t="inlineStr">
        <is>
          <t>c794</t>
        </is>
      </c>
      <c r="G526" s="11" t="inlineStr">
        <is>
          <t>cite</t>
        </is>
      </c>
      <c r="H526" s="11" t="inlineStr">
        <is>
          <t>c7547</t>
        </is>
      </c>
      <c r="I526" s="11" t="inlineStr">
        <is>
          <t>cite</t>
        </is>
      </c>
      <c r="J526" s="11" t="inlineStr">
        <is>
          <t>no</t>
        </is>
      </c>
      <c r="K526" s="11" t="inlineStr">
        <is>
          <t>yes</t>
        </is>
      </c>
      <c r="L526" s="11" t="inlineStr">
        <is>
          <t>untouched</t>
        </is>
      </c>
    </row>
    <row r="527">
      <c r="A527" s="11" t="inlineStr">
        <is>
          <t>524</t>
        </is>
      </c>
      <c r="B527" s="11" t="inlineStr">
        <is>
          <t>80</t>
        </is>
      </c>
      <c r="C527" s="11" t="inlineStr">
        <is>
          <t>SC</t>
        </is>
      </c>
      <c r="D527" s="11" t="inlineStr">
        <is>
          <t>no</t>
        </is>
      </c>
      <c r="E527" s="11" t="inlineStr">
        <is>
          <t>no</t>
        </is>
      </c>
      <c r="F527" s="11" t="inlineStr">
        <is>
          <t>c6371</t>
        </is>
      </c>
      <c r="G527" s="11" t="inlineStr">
        <is>
          <t>cite</t>
        </is>
      </c>
      <c r="H527" s="11" t="inlineStr">
        <is>
          <t>c26664</t>
        </is>
      </c>
      <c r="I527" s="11" t="inlineStr">
        <is>
          <t>name</t>
        </is>
      </c>
      <c r="J527" s="11" t="inlineStr">
        <is>
          <t>no</t>
        </is>
      </c>
      <c r="K527" s="11" t="inlineStr">
        <is>
          <t>yes</t>
        </is>
      </c>
      <c r="L527" s="11" t="inlineStr">
        <is>
          <t>tune</t>
        </is>
      </c>
    </row>
    <row r="528">
      <c r="A528" s="11" t="inlineStr">
        <is>
          <t>525</t>
        </is>
      </c>
      <c r="B528" s="11" t="inlineStr">
        <is>
          <t>80</t>
        </is>
      </c>
      <c r="C528" s="11" t="inlineStr">
        <is>
          <t>SC</t>
        </is>
      </c>
      <c r="D528" s="11" t="inlineStr">
        <is>
          <t>no</t>
        </is>
      </c>
      <c r="E528" s="11" t="inlineStr">
        <is>
          <t>no</t>
        </is>
      </c>
      <c r="F528" s="11" t="inlineStr">
        <is>
          <t>c9530</t>
        </is>
      </c>
      <c r="G528" s="11" t="inlineStr">
        <is>
          <t>cite</t>
        </is>
      </c>
      <c r="H528" s="11" t="inlineStr">
        <is>
          <t>c9531</t>
        </is>
      </c>
      <c r="I528" s="11" t="inlineStr">
        <is>
          <t>cite</t>
        </is>
      </c>
      <c r="J528" s="11" t="inlineStr">
        <is>
          <t>no</t>
        </is>
      </c>
      <c r="K528" s="11" t="inlineStr">
        <is>
          <t>yes</t>
        </is>
      </c>
      <c r="L528" s="11" t="inlineStr">
        <is>
          <t>untouched</t>
        </is>
      </c>
    </row>
    <row r="529">
      <c r="A529" s="11" t="inlineStr">
        <is>
          <t>526</t>
        </is>
      </c>
      <c r="B529" s="11" t="inlineStr">
        <is>
          <t>81</t>
        </is>
      </c>
      <c r="C529" s="11" t="inlineStr">
        <is>
          <t>SC</t>
        </is>
      </c>
      <c r="D529" s="11" t="inlineStr">
        <is>
          <t>no</t>
        </is>
      </c>
      <c r="E529" s="11" t="inlineStr">
        <is>
          <t>no</t>
        </is>
      </c>
      <c r="F529" s="11" t="inlineStr">
        <is>
          <t>c9084</t>
        </is>
      </c>
      <c r="G529" s="11" t="inlineStr">
        <is>
          <t>cite</t>
        </is>
      </c>
      <c r="H529" s="11" t="inlineStr"/>
      <c r="I529" s="11" t="inlineStr"/>
      <c r="J529" s="11" t="inlineStr">
        <is>
          <t>no</t>
        </is>
      </c>
      <c r="K529" s="11" t="inlineStr">
        <is>
          <t>no</t>
        </is>
      </c>
      <c r="L529" s="11" t="inlineStr"/>
    </row>
    <row r="530">
      <c r="A530" s="11" t="inlineStr">
        <is>
          <t>527</t>
        </is>
      </c>
      <c r="B530" s="11" t="inlineStr">
        <is>
          <t>81</t>
        </is>
      </c>
      <c r="C530" s="11" t="inlineStr">
        <is>
          <t>SC</t>
        </is>
      </c>
      <c r="D530" s="11" t="inlineStr">
        <is>
          <t>no</t>
        </is>
      </c>
      <c r="E530" s="11" t="inlineStr">
        <is>
          <t>no</t>
        </is>
      </c>
      <c r="F530" s="11" t="inlineStr">
        <is>
          <t>c13446</t>
        </is>
      </c>
      <c r="G530" s="11" t="inlineStr">
        <is>
          <t>name</t>
        </is>
      </c>
      <c r="H530" s="11" t="inlineStr">
        <is>
          <t>c12904</t>
        </is>
      </c>
      <c r="I530" s="11" t="inlineStr">
        <is>
          <t>name</t>
        </is>
      </c>
      <c r="J530" s="11" t="inlineStr">
        <is>
          <t>no</t>
        </is>
      </c>
      <c r="K530" s="11" t="inlineStr">
        <is>
          <t>yes</t>
        </is>
      </c>
      <c r="L530" s="11" t="inlineStr">
        <is>
          <t>untouched</t>
        </is>
      </c>
    </row>
    <row r="531">
      <c r="A531" s="11" t="inlineStr">
        <is>
          <t>528</t>
        </is>
      </c>
      <c r="B531" s="11" t="inlineStr">
        <is>
          <t>81</t>
        </is>
      </c>
      <c r="C531" s="11" t="inlineStr">
        <is>
          <t>SC</t>
        </is>
      </c>
      <c r="D531" s="11" t="inlineStr">
        <is>
          <t>no</t>
        </is>
      </c>
      <c r="E531" s="11" t="inlineStr">
        <is>
          <t>no</t>
        </is>
      </c>
      <c r="F531" s="11" t="inlineStr">
        <is>
          <t>b1959_1_583_610</t>
        </is>
      </c>
      <c r="G531" s="11" t="inlineStr">
        <is>
          <t>cite</t>
        </is>
      </c>
      <c r="H531" s="11" t="inlineStr">
        <is>
          <t>c3564</t>
        </is>
      </c>
      <c r="I531" s="11" t="inlineStr">
        <is>
          <t>cite</t>
        </is>
      </c>
      <c r="J531" s="11" t="inlineStr">
        <is>
          <t>no</t>
        </is>
      </c>
      <c r="K531" s="11" t="inlineStr">
        <is>
          <t>yes</t>
        </is>
      </c>
      <c r="L531" s="11" t="inlineStr">
        <is>
          <t>tune</t>
        </is>
      </c>
    </row>
    <row r="532">
      <c r="A532" s="11" t="inlineStr">
        <is>
          <t>529</t>
        </is>
      </c>
      <c r="B532" s="11" t="inlineStr">
        <is>
          <t>81</t>
        </is>
      </c>
      <c r="C532" s="11" t="inlineStr">
        <is>
          <t>SC</t>
        </is>
      </c>
      <c r="D532" s="11" t="inlineStr">
        <is>
          <t>no</t>
        </is>
      </c>
      <c r="E532" s="11" t="inlineStr">
        <is>
          <t>no</t>
        </is>
      </c>
      <c r="F532" s="11" t="inlineStr">
        <is>
          <t>c5122</t>
        </is>
      </c>
      <c r="G532" s="11" t="inlineStr">
        <is>
          <t>cite</t>
        </is>
      </c>
      <c r="H532" s="11" t="inlineStr">
        <is>
          <t>c30313</t>
        </is>
      </c>
      <c r="I532" s="11" t="inlineStr">
        <is>
          <t>name</t>
        </is>
      </c>
      <c r="J532" s="11" t="inlineStr">
        <is>
          <t>no</t>
        </is>
      </c>
      <c r="K532" s="11" t="inlineStr">
        <is>
          <t>yes</t>
        </is>
      </c>
      <c r="L532" s="11" t="inlineStr">
        <is>
          <t>untouched</t>
        </is>
      </c>
    </row>
    <row r="533">
      <c r="A533" s="11" t="inlineStr">
        <is>
          <t>530</t>
        </is>
      </c>
      <c r="B533" s="11" t="inlineStr">
        <is>
          <t>81</t>
        </is>
      </c>
      <c r="C533" s="11" t="inlineStr">
        <is>
          <t>SC</t>
        </is>
      </c>
      <c r="D533" s="11" t="inlineStr">
        <is>
          <t>no</t>
        </is>
      </c>
      <c r="E533" s="11" t="inlineStr">
        <is>
          <t>no</t>
        </is>
      </c>
      <c r="F533" s="11" t="inlineStr">
        <is>
          <t>c26929</t>
        </is>
      </c>
      <c r="G533" s="11" t="inlineStr">
        <is>
          <t>cite</t>
        </is>
      </c>
      <c r="H533" s="11" t="inlineStr">
        <is>
          <t>c5665</t>
        </is>
      </c>
      <c r="I533" s="11" t="inlineStr">
        <is>
          <t>cite</t>
        </is>
      </c>
      <c r="J533" s="11" t="inlineStr">
        <is>
          <t>no</t>
        </is>
      </c>
      <c r="K533" s="11" t="inlineStr">
        <is>
          <t>no</t>
        </is>
      </c>
      <c r="L533" s="11" t="inlineStr"/>
    </row>
    <row r="534">
      <c r="A534" s="11" t="inlineStr">
        <is>
          <t>531</t>
        </is>
      </c>
      <c r="B534" s="11" t="inlineStr">
        <is>
          <t>81</t>
        </is>
      </c>
      <c r="C534" s="11" t="inlineStr">
        <is>
          <t>SC</t>
        </is>
      </c>
      <c r="D534" s="11" t="inlineStr">
        <is>
          <t>no</t>
        </is>
      </c>
      <c r="E534" s="11" t="inlineStr">
        <is>
          <t>no</t>
        </is>
      </c>
      <c r="F534" s="11" t="inlineStr">
        <is>
          <t>c1363</t>
        </is>
      </c>
      <c r="G534" s="11" t="inlineStr">
        <is>
          <t>cite</t>
        </is>
      </c>
      <c r="H534" s="11" t="inlineStr">
        <is>
          <t>c27563</t>
        </is>
      </c>
      <c r="I534" s="11" t="inlineStr">
        <is>
          <t>name</t>
        </is>
      </c>
      <c r="J534" s="11" t="inlineStr">
        <is>
          <t>no</t>
        </is>
      </c>
      <c r="K534" s="11" t="inlineStr">
        <is>
          <t>yes</t>
        </is>
      </c>
      <c r="L534" s="11" t="inlineStr">
        <is>
          <t>untouched</t>
        </is>
      </c>
    </row>
    <row r="535">
      <c r="A535" s="11" t="inlineStr">
        <is>
          <t>532</t>
        </is>
      </c>
      <c r="B535" s="11" t="inlineStr">
        <is>
          <t>82</t>
        </is>
      </c>
      <c r="C535" s="11" t="inlineStr">
        <is>
          <t>SC</t>
        </is>
      </c>
      <c r="D535" s="11" t="inlineStr">
        <is>
          <t>yes</t>
        </is>
      </c>
      <c r="E535" s="11" t="inlineStr">
        <is>
          <t>yes</t>
        </is>
      </c>
      <c r="F535" s="11" t="inlineStr">
        <is>
          <t>c91</t>
        </is>
      </c>
      <c r="G535" s="11" t="inlineStr">
        <is>
          <t>cite</t>
        </is>
      </c>
      <c r="H535" s="11" t="inlineStr">
        <is>
          <t>c3476</t>
        </is>
      </c>
      <c r="I535" s="11" t="inlineStr">
        <is>
          <t>cite</t>
        </is>
      </c>
      <c r="J535" s="11" t="inlineStr">
        <is>
          <t>no</t>
        </is>
      </c>
      <c r="K535" s="11" t="inlineStr">
        <is>
          <t>yes</t>
        </is>
      </c>
      <c r="L535" s="11" t="inlineStr">
        <is>
          <t>tune</t>
        </is>
      </c>
    </row>
    <row r="536">
      <c r="A536" s="11" t="inlineStr">
        <is>
          <t>533</t>
        </is>
      </c>
      <c r="B536" s="11" t="inlineStr">
        <is>
          <t>82</t>
        </is>
      </c>
      <c r="C536" s="11" t="inlineStr">
        <is>
          <t>SC</t>
        </is>
      </c>
      <c r="D536" s="11" t="inlineStr">
        <is>
          <t>no</t>
        </is>
      </c>
      <c r="E536" s="11" t="inlineStr">
        <is>
          <t>yes</t>
        </is>
      </c>
      <c r="F536" s="11" t="inlineStr">
        <is>
          <t>c1150</t>
        </is>
      </c>
      <c r="G536" s="11" t="inlineStr">
        <is>
          <t>cite</t>
        </is>
      </c>
      <c r="H536" s="11" t="inlineStr">
        <is>
          <t>c489</t>
        </is>
      </c>
      <c r="I536" s="11" t="inlineStr">
        <is>
          <t>cite</t>
        </is>
      </c>
      <c r="J536" s="11" t="inlineStr">
        <is>
          <t>no</t>
        </is>
      </c>
      <c r="K536" s="11" t="inlineStr">
        <is>
          <t>yes</t>
        </is>
      </c>
      <c r="L536" s="11" t="inlineStr">
        <is>
          <t>untouched</t>
        </is>
      </c>
    </row>
    <row r="537">
      <c r="A537" s="11" t="inlineStr">
        <is>
          <t>534</t>
        </is>
      </c>
      <c r="B537" s="11" t="inlineStr">
        <is>
          <t>82</t>
        </is>
      </c>
      <c r="C537" s="11" t="inlineStr">
        <is>
          <t>SC</t>
        </is>
      </c>
      <c r="D537" s="11" t="inlineStr">
        <is>
          <t>no</t>
        </is>
      </c>
      <c r="E537" s="11" t="inlineStr">
        <is>
          <t>no</t>
        </is>
      </c>
      <c r="F537" s="11" t="inlineStr">
        <is>
          <t>c12549</t>
        </is>
      </c>
      <c r="G537" s="11" t="inlineStr">
        <is>
          <t>cite</t>
        </is>
      </c>
      <c r="H537" s="11" t="inlineStr"/>
      <c r="I537" s="11" t="inlineStr"/>
      <c r="J537" s="11" t="inlineStr">
        <is>
          <t>no</t>
        </is>
      </c>
      <c r="K537" s="11" t="inlineStr">
        <is>
          <t>no</t>
        </is>
      </c>
      <c r="L537" s="11" t="inlineStr"/>
    </row>
    <row r="538">
      <c r="A538" s="11" t="inlineStr">
        <is>
          <t>535</t>
        </is>
      </c>
      <c r="B538" s="11" t="inlineStr">
        <is>
          <t>82</t>
        </is>
      </c>
      <c r="C538" s="11" t="inlineStr">
        <is>
          <t>SC</t>
        </is>
      </c>
      <c r="D538" s="11" t="inlineStr">
        <is>
          <t>no</t>
        </is>
      </c>
      <c r="E538" s="11" t="inlineStr">
        <is>
          <t>yes</t>
        </is>
      </c>
      <c r="F538" s="11" t="inlineStr">
        <is>
          <t>c9883</t>
        </is>
      </c>
      <c r="G538" s="11" t="inlineStr">
        <is>
          <t>cite</t>
        </is>
      </c>
      <c r="H538" s="11" t="inlineStr">
        <is>
          <t>c9310</t>
        </is>
      </c>
      <c r="I538" s="11" t="inlineStr">
        <is>
          <t>cite</t>
        </is>
      </c>
      <c r="J538" s="11" t="inlineStr">
        <is>
          <t>no</t>
        </is>
      </c>
      <c r="K538" s="11" t="inlineStr">
        <is>
          <t>yes</t>
        </is>
      </c>
      <c r="L538" s="11" t="inlineStr">
        <is>
          <t>untouched</t>
        </is>
      </c>
    </row>
    <row r="539">
      <c r="A539" s="11" t="inlineStr">
        <is>
          <t>536</t>
        </is>
      </c>
      <c r="B539" s="11" t="inlineStr">
        <is>
          <t>82</t>
        </is>
      </c>
      <c r="C539" s="11" t="inlineStr">
        <is>
          <t>SC</t>
        </is>
      </c>
      <c r="D539" s="11" t="inlineStr">
        <is>
          <t>no</t>
        </is>
      </c>
      <c r="E539" s="11" t="inlineStr">
        <is>
          <t>no</t>
        </is>
      </c>
      <c r="F539" s="11" t="inlineStr">
        <is>
          <t>c12302</t>
        </is>
      </c>
      <c r="G539" s="11" t="inlineStr">
        <is>
          <t>name</t>
        </is>
      </c>
      <c r="H539" s="11" t="inlineStr">
        <is>
          <t>c13091</t>
        </is>
      </c>
      <c r="I539" s="11" t="inlineStr">
        <is>
          <t>cite</t>
        </is>
      </c>
      <c r="J539" s="11" t="inlineStr">
        <is>
          <t>no</t>
        </is>
      </c>
      <c r="K539" s="11" t="inlineStr">
        <is>
          <t>yes</t>
        </is>
      </c>
      <c r="L539" s="11" t="inlineStr">
        <is>
          <t>tune</t>
        </is>
      </c>
    </row>
    <row r="540">
      <c r="A540" s="11" t="inlineStr">
        <is>
          <t>537</t>
        </is>
      </c>
      <c r="B540" s="11" t="inlineStr">
        <is>
          <t>82</t>
        </is>
      </c>
      <c r="C540" s="11" t="inlineStr">
        <is>
          <t>SC</t>
        </is>
      </c>
      <c r="D540" s="11" t="inlineStr">
        <is>
          <t>no</t>
        </is>
      </c>
      <c r="E540" s="11" t="inlineStr">
        <is>
          <t>no</t>
        </is>
      </c>
      <c r="F540" s="11" t="inlineStr">
        <is>
          <t>c3749</t>
        </is>
      </c>
      <c r="G540" s="11" t="inlineStr">
        <is>
          <t>cite</t>
        </is>
      </c>
      <c r="H540" s="11" t="inlineStr">
        <is>
          <t>c3356</t>
        </is>
      </c>
      <c r="I540" s="11" t="inlineStr">
        <is>
          <t>cite</t>
        </is>
      </c>
      <c r="J540" s="11" t="inlineStr">
        <is>
          <t>no</t>
        </is>
      </c>
      <c r="K540" s="11" t="inlineStr">
        <is>
          <t>yes</t>
        </is>
      </c>
      <c r="L540" s="11" t="inlineStr">
        <is>
          <t>untouched</t>
        </is>
      </c>
    </row>
    <row r="541">
      <c r="A541" s="11" t="inlineStr">
        <is>
          <t>538</t>
        </is>
      </c>
      <c r="B541" s="11" t="inlineStr">
        <is>
          <t>82</t>
        </is>
      </c>
      <c r="C541" s="11" t="inlineStr">
        <is>
          <t>SC</t>
        </is>
      </c>
      <c r="D541" s="11" t="inlineStr">
        <is>
          <t>no</t>
        </is>
      </c>
      <c r="E541" s="11" t="inlineStr">
        <is>
          <t>no</t>
        </is>
      </c>
      <c r="F541" s="11" t="inlineStr">
        <is>
          <t>c812</t>
        </is>
      </c>
      <c r="G541" s="11" t="inlineStr">
        <is>
          <t>cite</t>
        </is>
      </c>
      <c r="H541" s="11" t="inlineStr">
        <is>
          <t>c3148</t>
        </is>
      </c>
      <c r="I541" s="11" t="inlineStr">
        <is>
          <t>cite</t>
        </is>
      </c>
      <c r="J541" s="11" t="inlineStr">
        <is>
          <t>no</t>
        </is>
      </c>
      <c r="K541" s="11" t="inlineStr">
        <is>
          <t>yes</t>
        </is>
      </c>
      <c r="L541" s="11" t="inlineStr">
        <is>
          <t>tune</t>
        </is>
      </c>
    </row>
    <row r="542">
      <c r="A542" s="11" t="inlineStr">
        <is>
          <t>539</t>
        </is>
      </c>
      <c r="B542" s="11" t="inlineStr">
        <is>
          <t>82</t>
        </is>
      </c>
      <c r="C542" s="11" t="inlineStr">
        <is>
          <t>SC</t>
        </is>
      </c>
      <c r="D542" s="11" t="inlineStr">
        <is>
          <t>no</t>
        </is>
      </c>
      <c r="E542" s="11" t="inlineStr">
        <is>
          <t>no</t>
        </is>
      </c>
      <c r="F542" s="11" t="inlineStr">
        <is>
          <t>c9148</t>
        </is>
      </c>
      <c r="G542" s="11" t="inlineStr">
        <is>
          <t>cite</t>
        </is>
      </c>
      <c r="H542" s="11" t="inlineStr">
        <is>
          <t>c14639</t>
        </is>
      </c>
      <c r="I542" s="11" t="inlineStr">
        <is>
          <t>name</t>
        </is>
      </c>
      <c r="J542" s="11" t="inlineStr">
        <is>
          <t>no</t>
        </is>
      </c>
      <c r="K542" s="11" t="inlineStr">
        <is>
          <t>yes</t>
        </is>
      </c>
      <c r="L542" s="11" t="inlineStr">
        <is>
          <t>untouched</t>
        </is>
      </c>
    </row>
    <row r="543">
      <c r="A543" s="11" t="inlineStr">
        <is>
          <t>540</t>
        </is>
      </c>
      <c r="B543" s="11" t="inlineStr">
        <is>
          <t>83</t>
        </is>
      </c>
      <c r="C543" s="11" t="inlineStr">
        <is>
          <t>SC</t>
        </is>
      </c>
      <c r="D543" s="11" t="inlineStr">
        <is>
          <t>no</t>
        </is>
      </c>
      <c r="E543" s="11" t="inlineStr">
        <is>
          <t>no</t>
        </is>
      </c>
      <c r="F543" s="11" t="inlineStr">
        <is>
          <t>c2935</t>
        </is>
      </c>
      <c r="G543" s="11" t="inlineStr">
        <is>
          <t>cite</t>
        </is>
      </c>
      <c r="H543" s="11" t="inlineStr">
        <is>
          <t>c2438</t>
        </is>
      </c>
      <c r="I543" s="11" t="inlineStr">
        <is>
          <t>cite</t>
        </is>
      </c>
      <c r="J543" s="11" t="inlineStr">
        <is>
          <t>no</t>
        </is>
      </c>
      <c r="K543" s="11" t="inlineStr">
        <is>
          <t>yes</t>
        </is>
      </c>
      <c r="L543" s="11" t="inlineStr">
        <is>
          <t>tune</t>
        </is>
      </c>
    </row>
    <row r="544">
      <c r="A544" s="11" t="inlineStr">
        <is>
          <t>541</t>
        </is>
      </c>
      <c r="B544" s="11" t="inlineStr">
        <is>
          <t>83</t>
        </is>
      </c>
      <c r="C544" s="11" t="inlineStr">
        <is>
          <t>SC</t>
        </is>
      </c>
      <c r="D544" s="11" t="inlineStr">
        <is>
          <t>no</t>
        </is>
      </c>
      <c r="E544" s="11" t="inlineStr">
        <is>
          <t>yes</t>
        </is>
      </c>
      <c r="F544" s="11" t="inlineStr">
        <is>
          <t>c4858</t>
        </is>
      </c>
      <c r="G544" s="11" t="inlineStr">
        <is>
          <t>cite</t>
        </is>
      </c>
      <c r="H544" s="11" t="inlineStr">
        <is>
          <t>c9886</t>
        </is>
      </c>
      <c r="I544" s="11" t="inlineStr">
        <is>
          <t>cite</t>
        </is>
      </c>
      <c r="J544" s="11" t="inlineStr">
        <is>
          <t>no</t>
        </is>
      </c>
      <c r="K544" s="11" t="inlineStr">
        <is>
          <t>yes</t>
        </is>
      </c>
      <c r="L544" s="11" t="inlineStr">
        <is>
          <t>untouched</t>
        </is>
      </c>
    </row>
    <row r="545">
      <c r="A545" s="11" t="inlineStr">
        <is>
          <t>542</t>
        </is>
      </c>
      <c r="B545" s="11" t="inlineStr">
        <is>
          <t>83</t>
        </is>
      </c>
      <c r="C545" s="11" t="inlineStr">
        <is>
          <t>SC</t>
        </is>
      </c>
      <c r="D545" s="11" t="inlineStr">
        <is>
          <t>no</t>
        </is>
      </c>
      <c r="E545" s="11" t="inlineStr">
        <is>
          <t>no</t>
        </is>
      </c>
      <c r="F545" s="11" t="inlineStr">
        <is>
          <t>c3442</t>
        </is>
      </c>
      <c r="G545" s="11" t="inlineStr">
        <is>
          <t>cite</t>
        </is>
      </c>
      <c r="H545" s="11" t="inlineStr">
        <is>
          <t>c3373</t>
        </is>
      </c>
      <c r="I545" s="11" t="inlineStr">
        <is>
          <t>cite</t>
        </is>
      </c>
      <c r="J545" s="11" t="inlineStr">
        <is>
          <t>no</t>
        </is>
      </c>
      <c r="K545" s="11" t="inlineStr">
        <is>
          <t>yes</t>
        </is>
      </c>
      <c r="L545" s="11" t="inlineStr">
        <is>
          <t>tune</t>
        </is>
      </c>
    </row>
    <row r="546">
      <c r="A546" s="11" t="inlineStr">
        <is>
          <t>543</t>
        </is>
      </c>
      <c r="B546" s="11" t="inlineStr">
        <is>
          <t>83</t>
        </is>
      </c>
      <c r="C546" s="11" t="inlineStr">
        <is>
          <t>SC</t>
        </is>
      </c>
      <c r="D546" s="11" t="inlineStr">
        <is>
          <t>no</t>
        </is>
      </c>
      <c r="E546" s="11" t="inlineStr">
        <is>
          <t>yes</t>
        </is>
      </c>
      <c r="F546" s="11" t="inlineStr">
        <is>
          <t>c9432</t>
        </is>
      </c>
      <c r="G546" s="11" t="inlineStr">
        <is>
          <t>cite</t>
        </is>
      </c>
      <c r="H546" s="11" t="inlineStr">
        <is>
          <t>c8050</t>
        </is>
      </c>
      <c r="I546" s="11" t="inlineStr">
        <is>
          <t>name</t>
        </is>
      </c>
      <c r="J546" s="11" t="inlineStr">
        <is>
          <t>no</t>
        </is>
      </c>
      <c r="K546" s="11" t="inlineStr">
        <is>
          <t>yes</t>
        </is>
      </c>
      <c r="L546" s="11" t="inlineStr">
        <is>
          <t>untouched</t>
        </is>
      </c>
    </row>
    <row r="547">
      <c r="A547" s="11" t="inlineStr">
        <is>
          <t>544</t>
        </is>
      </c>
      <c r="B547" s="11" t="inlineStr">
        <is>
          <t>83</t>
        </is>
      </c>
      <c r="C547" s="11" t="inlineStr">
        <is>
          <t>SC</t>
        </is>
      </c>
      <c r="D547" s="11" t="inlineStr">
        <is>
          <t>no</t>
        </is>
      </c>
      <c r="E547" s="11" t="inlineStr">
        <is>
          <t>no</t>
        </is>
      </c>
      <c r="F547" s="11" t="inlineStr">
        <is>
          <t>c476</t>
        </is>
      </c>
      <c r="G547" s="11" t="inlineStr">
        <is>
          <t>cite</t>
        </is>
      </c>
      <c r="H547" s="11" t="inlineStr">
        <is>
          <t>c3225</t>
        </is>
      </c>
      <c r="I547" s="11" t="inlineStr">
        <is>
          <t>cite</t>
        </is>
      </c>
      <c r="J547" s="11" t="inlineStr">
        <is>
          <t>no</t>
        </is>
      </c>
      <c r="K547" s="11" t="inlineStr">
        <is>
          <t>yes</t>
        </is>
      </c>
      <c r="L547" s="11" t="inlineStr">
        <is>
          <t>tune</t>
        </is>
      </c>
    </row>
    <row r="548">
      <c r="A548" s="11" t="inlineStr">
        <is>
          <t>545</t>
        </is>
      </c>
      <c r="B548" s="11" t="inlineStr">
        <is>
          <t>83</t>
        </is>
      </c>
      <c r="C548" s="11" t="inlineStr">
        <is>
          <t>SC</t>
        </is>
      </c>
      <c r="D548" s="11" t="inlineStr">
        <is>
          <t>no</t>
        </is>
      </c>
      <c r="E548" s="11" t="inlineStr">
        <is>
          <t>yes</t>
        </is>
      </c>
      <c r="F548" s="11" t="inlineStr"/>
      <c r="G548" s="11" t="inlineStr"/>
      <c r="H548" s="11" t="inlineStr">
        <is>
          <t>c4903</t>
        </is>
      </c>
      <c r="I548" s="11" t="inlineStr">
        <is>
          <t>cite</t>
        </is>
      </c>
      <c r="J548" s="11" t="inlineStr">
        <is>
          <t>no</t>
        </is>
      </c>
      <c r="K548" s="11" t="inlineStr">
        <is>
          <t>no</t>
        </is>
      </c>
      <c r="L548" s="11" t="inlineStr"/>
    </row>
    <row r="549">
      <c r="A549" s="11" t="inlineStr">
        <is>
          <t>546</t>
        </is>
      </c>
      <c r="B549" s="11" t="inlineStr">
        <is>
          <t>83</t>
        </is>
      </c>
      <c r="C549" s="11" t="inlineStr">
        <is>
          <t>SC</t>
        </is>
      </c>
      <c r="D549" s="11" t="inlineStr">
        <is>
          <t>no</t>
        </is>
      </c>
      <c r="E549" s="11" t="inlineStr">
        <is>
          <t>no</t>
        </is>
      </c>
      <c r="F549" s="11" t="inlineStr">
        <is>
          <t>c910</t>
        </is>
      </c>
      <c r="G549" s="11" t="inlineStr">
        <is>
          <t>cite</t>
        </is>
      </c>
      <c r="H549" s="11" t="inlineStr">
        <is>
          <t>c3148</t>
        </is>
      </c>
      <c r="I549" s="11" t="inlineStr">
        <is>
          <t>cite</t>
        </is>
      </c>
      <c r="J549" s="11" t="inlineStr">
        <is>
          <t>no</t>
        </is>
      </c>
      <c r="K549" s="11" t="inlineStr">
        <is>
          <t>yes</t>
        </is>
      </c>
      <c r="L549" s="11" t="inlineStr">
        <is>
          <t>tune</t>
        </is>
      </c>
    </row>
    <row r="550">
      <c r="A550" s="11" t="inlineStr">
        <is>
          <t>547</t>
        </is>
      </c>
      <c r="B550" s="11" t="inlineStr">
        <is>
          <t>84</t>
        </is>
      </c>
      <c r="C550" s="11" t="inlineStr">
        <is>
          <t>SC</t>
        </is>
      </c>
      <c r="D550" s="11" t="inlineStr">
        <is>
          <t>no</t>
        </is>
      </c>
      <c r="E550" s="11" t="inlineStr">
        <is>
          <t>yes</t>
        </is>
      </c>
      <c r="F550" s="11" t="inlineStr">
        <is>
          <t>c4942</t>
        </is>
      </c>
      <c r="G550" s="11" t="inlineStr">
        <is>
          <t>cite</t>
        </is>
      </c>
      <c r="H550" s="11" t="inlineStr">
        <is>
          <t>c17906</t>
        </is>
      </c>
      <c r="I550" s="11" t="inlineStr">
        <is>
          <t>name</t>
        </is>
      </c>
      <c r="J550" s="11" t="inlineStr">
        <is>
          <t>no</t>
        </is>
      </c>
      <c r="K550" s="11" t="inlineStr">
        <is>
          <t>yes</t>
        </is>
      </c>
      <c r="L550" s="11" t="inlineStr">
        <is>
          <t>untouched</t>
        </is>
      </c>
    </row>
    <row r="551">
      <c r="A551" s="11" t="inlineStr">
        <is>
          <t>548</t>
        </is>
      </c>
      <c r="B551" s="11" t="inlineStr">
        <is>
          <t>84</t>
        </is>
      </c>
      <c r="C551" s="11" t="inlineStr">
        <is>
          <t>SC</t>
        </is>
      </c>
      <c r="D551" s="11" t="inlineStr">
        <is>
          <t>no</t>
        </is>
      </c>
      <c r="E551" s="11" t="inlineStr">
        <is>
          <t>no</t>
        </is>
      </c>
      <c r="F551" s="11" t="inlineStr">
        <is>
          <t>b1960_1_902_908</t>
        </is>
      </c>
      <c r="G551" s="11" t="inlineStr">
        <is>
          <t>cite</t>
        </is>
      </c>
      <c r="H551" s="11" t="inlineStr"/>
      <c r="I551" s="11" t="inlineStr"/>
      <c r="J551" s="11" t="inlineStr">
        <is>
          <t>no</t>
        </is>
      </c>
      <c r="K551" s="11" t="inlineStr">
        <is>
          <t>no</t>
        </is>
      </c>
      <c r="L551" s="11" t="inlineStr"/>
    </row>
    <row r="552">
      <c r="A552" s="11" t="inlineStr">
        <is>
          <t>549</t>
        </is>
      </c>
      <c r="B552" s="11" t="inlineStr">
        <is>
          <t>84</t>
        </is>
      </c>
      <c r="C552" s="11" t="inlineStr">
        <is>
          <t>SC</t>
        </is>
      </c>
      <c r="D552" s="11" t="inlineStr">
        <is>
          <t>no</t>
        </is>
      </c>
      <c r="E552" s="11" t="inlineStr">
        <is>
          <t>yes</t>
        </is>
      </c>
      <c r="F552" s="11" t="inlineStr">
        <is>
          <t>c7140</t>
        </is>
      </c>
      <c r="G552" s="11" t="inlineStr">
        <is>
          <t>cite</t>
        </is>
      </c>
      <c r="H552" s="11" t="inlineStr">
        <is>
          <t>c4932</t>
        </is>
      </c>
      <c r="I552" s="11" t="inlineStr">
        <is>
          <t>cite</t>
        </is>
      </c>
      <c r="J552" s="11" t="inlineStr">
        <is>
          <t>no</t>
        </is>
      </c>
      <c r="K552" s="11" t="inlineStr">
        <is>
          <t>yes</t>
        </is>
      </c>
      <c r="L552" s="11" t="inlineStr">
        <is>
          <t>untouched</t>
        </is>
      </c>
    </row>
    <row r="553">
      <c r="A553" s="11" t="inlineStr">
        <is>
          <t>550</t>
        </is>
      </c>
      <c r="B553" s="11" t="inlineStr">
        <is>
          <t>84</t>
        </is>
      </c>
      <c r="C553" s="11" t="inlineStr">
        <is>
          <t>SC</t>
        </is>
      </c>
      <c r="D553" s="11" t="inlineStr">
        <is>
          <t>no</t>
        </is>
      </c>
      <c r="E553" s="11" t="inlineStr">
        <is>
          <t>no</t>
        </is>
      </c>
      <c r="F553" s="11" t="inlineStr">
        <is>
          <t>c2752</t>
        </is>
      </c>
      <c r="G553" s="11" t="inlineStr">
        <is>
          <t>cite</t>
        </is>
      </c>
      <c r="H553" s="11" t="inlineStr">
        <is>
          <t>c6845</t>
        </is>
      </c>
      <c r="I553" s="11" t="inlineStr">
        <is>
          <t>cite</t>
        </is>
      </c>
      <c r="J553" s="11" t="inlineStr">
        <is>
          <t>no</t>
        </is>
      </c>
      <c r="K553" s="11" t="inlineStr">
        <is>
          <t>yes</t>
        </is>
      </c>
      <c r="L553" s="11" t="inlineStr">
        <is>
          <t>tune</t>
        </is>
      </c>
    </row>
    <row r="554">
      <c r="A554" s="11" t="inlineStr">
        <is>
          <t>551</t>
        </is>
      </c>
      <c r="B554" s="11" t="inlineStr">
        <is>
          <t>84</t>
        </is>
      </c>
      <c r="C554" s="11" t="inlineStr">
        <is>
          <t>SC</t>
        </is>
      </c>
      <c r="D554" s="11" t="inlineStr">
        <is>
          <t>no</t>
        </is>
      </c>
      <c r="E554" s="11" t="inlineStr">
        <is>
          <t>yes</t>
        </is>
      </c>
      <c r="F554" s="11" t="inlineStr">
        <is>
          <t>c17482</t>
        </is>
      </c>
      <c r="G554" s="11" t="inlineStr">
        <is>
          <t>cite</t>
        </is>
      </c>
      <c r="H554" s="11" t="inlineStr">
        <is>
          <t>c17898</t>
        </is>
      </c>
      <c r="I554" s="11" t="inlineStr">
        <is>
          <t>name</t>
        </is>
      </c>
      <c r="J554" s="11" t="inlineStr">
        <is>
          <t>no</t>
        </is>
      </c>
      <c r="K554" s="11" t="inlineStr">
        <is>
          <t>yes</t>
        </is>
      </c>
      <c r="L554" s="11" t="inlineStr">
        <is>
          <t>untouched</t>
        </is>
      </c>
    </row>
    <row r="555">
      <c r="A555" s="11" t="inlineStr">
        <is>
          <t>552</t>
        </is>
      </c>
      <c r="B555" s="11" t="inlineStr">
        <is>
          <t>84</t>
        </is>
      </c>
      <c r="C555" s="11" t="inlineStr">
        <is>
          <t>SC</t>
        </is>
      </c>
      <c r="D555" s="11" t="inlineStr">
        <is>
          <t>no</t>
        </is>
      </c>
      <c r="E555" s="11" t="inlineStr">
        <is>
          <t>no</t>
        </is>
      </c>
      <c r="F555" s="11" t="inlineStr">
        <is>
          <t>c512</t>
        </is>
      </c>
      <c r="G555" s="11" t="inlineStr">
        <is>
          <t>cite</t>
        </is>
      </c>
      <c r="H555" s="11" t="inlineStr">
        <is>
          <t>c3432</t>
        </is>
      </c>
      <c r="I555" s="11" t="inlineStr">
        <is>
          <t>cite</t>
        </is>
      </c>
      <c r="J555" s="11" t="inlineStr">
        <is>
          <t>no</t>
        </is>
      </c>
      <c r="K555" s="11" t="inlineStr">
        <is>
          <t>yes</t>
        </is>
      </c>
      <c r="L555" s="11" t="inlineStr">
        <is>
          <t>tune</t>
        </is>
      </c>
    </row>
    <row r="556">
      <c r="A556" s="11" t="inlineStr">
        <is>
          <t>553</t>
        </is>
      </c>
      <c r="B556" s="11" t="inlineStr">
        <is>
          <t>84</t>
        </is>
      </c>
      <c r="C556" s="11" t="inlineStr">
        <is>
          <t>SC</t>
        </is>
      </c>
      <c r="D556" s="11" t="inlineStr">
        <is>
          <t>no</t>
        </is>
      </c>
      <c r="E556" s="11" t="inlineStr">
        <is>
          <t>yes</t>
        </is>
      </c>
      <c r="F556" s="11" t="inlineStr">
        <is>
          <t>c611</t>
        </is>
      </c>
      <c r="G556" s="11" t="inlineStr">
        <is>
          <t>cite</t>
        </is>
      </c>
      <c r="H556" s="11" t="inlineStr">
        <is>
          <t>c4976</t>
        </is>
      </c>
      <c r="I556" s="11" t="inlineStr">
        <is>
          <t>cite</t>
        </is>
      </c>
      <c r="J556" s="11" t="inlineStr">
        <is>
          <t>no</t>
        </is>
      </c>
      <c r="K556" s="11" t="inlineStr">
        <is>
          <t>yes</t>
        </is>
      </c>
      <c r="L556" s="11" t="inlineStr">
        <is>
          <t>untouched</t>
        </is>
      </c>
    </row>
    <row r="557">
      <c r="A557" s="11" t="inlineStr">
        <is>
          <t>554</t>
        </is>
      </c>
      <c r="B557" s="11" t="inlineStr">
        <is>
          <t>84</t>
        </is>
      </c>
      <c r="C557" s="11" t="inlineStr">
        <is>
          <t>HC/tribunal/other</t>
        </is>
      </c>
      <c r="D557" s="11" t="inlineStr">
        <is>
          <t>no</t>
        </is>
      </c>
      <c r="E557" s="11" t="inlineStr">
        <is>
          <t>no</t>
        </is>
      </c>
      <c r="F557" s="11" t="inlineStr"/>
      <c r="G557" s="11" t="inlineStr"/>
      <c r="H557" s="11" t="inlineStr">
        <is>
          <t>c705</t>
        </is>
      </c>
      <c r="I557" s="11" t="inlineStr">
        <is>
          <t>cite</t>
        </is>
      </c>
      <c r="J557" s="11" t="inlineStr">
        <is>
          <t>no</t>
        </is>
      </c>
      <c r="K557" s="11" t="inlineStr">
        <is>
          <t>no</t>
        </is>
      </c>
      <c r="L557" s="11" t="inlineStr"/>
    </row>
    <row r="558">
      <c r="A558" s="11" t="inlineStr">
        <is>
          <t>555</t>
        </is>
      </c>
      <c r="B558" s="11" t="inlineStr">
        <is>
          <t>85</t>
        </is>
      </c>
      <c r="C558" s="11" t="inlineStr">
        <is>
          <t>HC/tribunal/other</t>
        </is>
      </c>
      <c r="D558" s="11" t="inlineStr">
        <is>
          <t>no</t>
        </is>
      </c>
      <c r="E558" s="11" t="inlineStr">
        <is>
          <t>yes</t>
        </is>
      </c>
      <c r="F558" s="11" t="inlineStr"/>
      <c r="G558" s="11" t="inlineStr"/>
      <c r="H558" s="11" t="inlineStr">
        <is>
          <t>c17747</t>
        </is>
      </c>
      <c r="I558" s="11" t="inlineStr">
        <is>
          <t>cite</t>
        </is>
      </c>
      <c r="J558" s="11" t="inlineStr">
        <is>
          <t>no</t>
        </is>
      </c>
      <c r="K558" s="11" t="inlineStr">
        <is>
          <t>no</t>
        </is>
      </c>
      <c r="L558" s="11" t="inlineStr"/>
    </row>
    <row r="559">
      <c r="A559" s="11" t="inlineStr">
        <is>
          <t>556</t>
        </is>
      </c>
      <c r="B559" s="11" t="inlineStr">
        <is>
          <t>85</t>
        </is>
      </c>
      <c r="C559" s="11" t="inlineStr">
        <is>
          <t>SC</t>
        </is>
      </c>
      <c r="D559" s="11" t="inlineStr">
        <is>
          <t>no</t>
        </is>
      </c>
      <c r="E559" s="11" t="inlineStr">
        <is>
          <t>no</t>
        </is>
      </c>
      <c r="F559" s="11" t="inlineStr">
        <is>
          <t>c490</t>
        </is>
      </c>
      <c r="G559" s="11" t="inlineStr">
        <is>
          <t>cite</t>
        </is>
      </c>
      <c r="H559" s="11" t="inlineStr">
        <is>
          <t>c15118</t>
        </is>
      </c>
      <c r="I559" s="11" t="inlineStr">
        <is>
          <t>name</t>
        </is>
      </c>
      <c r="J559" s="11" t="inlineStr">
        <is>
          <t>no</t>
        </is>
      </c>
      <c r="K559" s="11" t="inlineStr">
        <is>
          <t>yes</t>
        </is>
      </c>
      <c r="L559" s="11" t="inlineStr">
        <is>
          <t>tune</t>
        </is>
      </c>
    </row>
    <row r="560">
      <c r="A560" s="11" t="inlineStr">
        <is>
          <t>557</t>
        </is>
      </c>
      <c r="B560" s="11" t="inlineStr">
        <is>
          <t>85</t>
        </is>
      </c>
      <c r="C560" s="11" t="inlineStr">
        <is>
          <t>SC</t>
        </is>
      </c>
      <c r="D560" s="11" t="inlineStr">
        <is>
          <t>no</t>
        </is>
      </c>
      <c r="E560" s="11" t="inlineStr">
        <is>
          <t>no</t>
        </is>
      </c>
      <c r="F560" s="11" t="inlineStr">
        <is>
          <t>c3207</t>
        </is>
      </c>
      <c r="G560" s="11" t="inlineStr">
        <is>
          <t>cite</t>
        </is>
      </c>
      <c r="H560" s="11" t="inlineStr">
        <is>
          <t>c2135</t>
        </is>
      </c>
      <c r="I560" s="11" t="inlineStr">
        <is>
          <t>cite</t>
        </is>
      </c>
      <c r="J560" s="11" t="inlineStr">
        <is>
          <t>no</t>
        </is>
      </c>
      <c r="K560" s="11" t="inlineStr">
        <is>
          <t>yes</t>
        </is>
      </c>
      <c r="L560" s="11" t="inlineStr">
        <is>
          <t>untouched</t>
        </is>
      </c>
    </row>
    <row r="561">
      <c r="A561" s="11" t="inlineStr">
        <is>
          <t>558</t>
        </is>
      </c>
      <c r="B561" s="11" t="inlineStr">
        <is>
          <t>85</t>
        </is>
      </c>
      <c r="C561" s="11" t="inlineStr">
        <is>
          <t>SC</t>
        </is>
      </c>
      <c r="D561" s="11" t="inlineStr">
        <is>
          <t>no</t>
        </is>
      </c>
      <c r="E561" s="11" t="inlineStr">
        <is>
          <t>no</t>
        </is>
      </c>
      <c r="F561" s="11" t="inlineStr">
        <is>
          <t>c12497</t>
        </is>
      </c>
      <c r="G561" s="11" t="inlineStr">
        <is>
          <t>cite</t>
        </is>
      </c>
      <c r="H561" s="11" t="inlineStr">
        <is>
          <t>c29332</t>
        </is>
      </c>
      <c r="I561" s="11" t="inlineStr">
        <is>
          <t>cite</t>
        </is>
      </c>
      <c r="J561" s="11" t="inlineStr">
        <is>
          <t>no</t>
        </is>
      </c>
      <c r="K561" s="11" t="inlineStr">
        <is>
          <t>yes</t>
        </is>
      </c>
      <c r="L561" s="11" t="inlineStr">
        <is>
          <t>tune</t>
        </is>
      </c>
    </row>
    <row r="562">
      <c r="A562" s="11" t="inlineStr">
        <is>
          <t>559</t>
        </is>
      </c>
      <c r="B562" s="11" t="inlineStr">
        <is>
          <t>85</t>
        </is>
      </c>
      <c r="C562" s="11" t="inlineStr">
        <is>
          <t>SC</t>
        </is>
      </c>
      <c r="D562" s="11" t="inlineStr">
        <is>
          <t>no</t>
        </is>
      </c>
      <c r="E562" s="11" t="inlineStr">
        <is>
          <t>no</t>
        </is>
      </c>
      <c r="F562" s="11" t="inlineStr">
        <is>
          <t>c505</t>
        </is>
      </c>
      <c r="G562" s="11" t="inlineStr">
        <is>
          <t>cite</t>
        </is>
      </c>
      <c r="H562" s="11" t="inlineStr"/>
      <c r="I562" s="11" t="inlineStr"/>
      <c r="J562" s="11" t="inlineStr">
        <is>
          <t>no</t>
        </is>
      </c>
      <c r="K562" s="11" t="inlineStr">
        <is>
          <t>no</t>
        </is>
      </c>
      <c r="L562" s="11" t="inlineStr"/>
    </row>
    <row r="563">
      <c r="A563" s="11" t="inlineStr">
        <is>
          <t>560</t>
        </is>
      </c>
      <c r="B563" s="11" t="inlineStr">
        <is>
          <t>85</t>
        </is>
      </c>
      <c r="C563" s="11" t="inlineStr">
        <is>
          <t>SC</t>
        </is>
      </c>
      <c r="D563" s="11" t="inlineStr">
        <is>
          <t>no</t>
        </is>
      </c>
      <c r="E563" s="11" t="inlineStr">
        <is>
          <t>yes</t>
        </is>
      </c>
      <c r="F563" s="11" t="inlineStr"/>
      <c r="G563" s="11" t="inlineStr"/>
      <c r="H563" s="11" t="inlineStr">
        <is>
          <t>c13473</t>
        </is>
      </c>
      <c r="I563" s="11" t="inlineStr">
        <is>
          <t>cite</t>
        </is>
      </c>
      <c r="J563" s="11" t="inlineStr">
        <is>
          <t>no</t>
        </is>
      </c>
      <c r="K563" s="11" t="inlineStr">
        <is>
          <t>no</t>
        </is>
      </c>
      <c r="L563" s="11" t="inlineStr"/>
    </row>
    <row r="564">
      <c r="A564" s="11" t="inlineStr">
        <is>
          <t>561</t>
        </is>
      </c>
      <c r="B564" s="11" t="inlineStr">
        <is>
          <t>85</t>
        </is>
      </c>
      <c r="C564" s="11" t="inlineStr">
        <is>
          <t>SC</t>
        </is>
      </c>
      <c r="D564" s="11" t="inlineStr">
        <is>
          <t>no</t>
        </is>
      </c>
      <c r="E564" s="11" t="inlineStr">
        <is>
          <t>no</t>
        </is>
      </c>
      <c r="F564" s="11" t="inlineStr">
        <is>
          <t>c9221</t>
        </is>
      </c>
      <c r="G564" s="11" t="inlineStr">
        <is>
          <t>cite</t>
        </is>
      </c>
      <c r="H564" s="11" t="inlineStr">
        <is>
          <t>c17166</t>
        </is>
      </c>
      <c r="I564" s="11" t="inlineStr">
        <is>
          <t>name</t>
        </is>
      </c>
      <c r="J564" s="11" t="inlineStr">
        <is>
          <t>no</t>
        </is>
      </c>
      <c r="K564" s="11" t="inlineStr">
        <is>
          <t>yes</t>
        </is>
      </c>
      <c r="L564" s="11" t="inlineStr">
        <is>
          <t>untouched</t>
        </is>
      </c>
    </row>
    <row r="565">
      <c r="A565" s="11" t="inlineStr">
        <is>
          <t>562</t>
        </is>
      </c>
      <c r="B565" s="11" t="inlineStr">
        <is>
          <t>86</t>
        </is>
      </c>
      <c r="C565" s="11" t="inlineStr">
        <is>
          <t>SC</t>
        </is>
      </c>
      <c r="D565" s="11" t="inlineStr">
        <is>
          <t>no</t>
        </is>
      </c>
      <c r="E565" s="11" t="inlineStr">
        <is>
          <t>no</t>
        </is>
      </c>
      <c r="F565" s="11" t="inlineStr"/>
      <c r="G565" s="11" t="inlineStr"/>
      <c r="H565" s="11" t="inlineStr">
        <is>
          <t>c13091</t>
        </is>
      </c>
      <c r="I565" s="11" t="inlineStr">
        <is>
          <t>cite</t>
        </is>
      </c>
      <c r="J565" s="11" t="inlineStr">
        <is>
          <t>no</t>
        </is>
      </c>
      <c r="K565" s="11" t="inlineStr">
        <is>
          <t>no</t>
        </is>
      </c>
      <c r="L565" s="11" t="inlineStr"/>
    </row>
    <row r="566">
      <c r="A566" s="11" t="inlineStr">
        <is>
          <t>563</t>
        </is>
      </c>
      <c r="B566" s="11" t="inlineStr">
        <is>
          <t>86</t>
        </is>
      </c>
      <c r="C566" s="11" t="inlineStr">
        <is>
          <t>SC</t>
        </is>
      </c>
      <c r="D566" s="11" t="inlineStr">
        <is>
          <t>no</t>
        </is>
      </c>
      <c r="E566" s="11" t="inlineStr">
        <is>
          <t>no</t>
        </is>
      </c>
      <c r="F566" s="11" t="inlineStr"/>
      <c r="G566" s="11" t="inlineStr"/>
      <c r="H566" s="11" t="inlineStr">
        <is>
          <t>c7902</t>
        </is>
      </c>
      <c r="I566" s="11" t="inlineStr">
        <is>
          <t>cite</t>
        </is>
      </c>
      <c r="J566" s="11" t="inlineStr">
        <is>
          <t>no</t>
        </is>
      </c>
      <c r="K566" s="11" t="inlineStr">
        <is>
          <t>no</t>
        </is>
      </c>
      <c r="L566" s="11" t="inlineStr"/>
    </row>
    <row r="567">
      <c r="A567" s="11" t="inlineStr">
        <is>
          <t>564</t>
        </is>
      </c>
      <c r="B567" s="11" t="inlineStr">
        <is>
          <t>86</t>
        </is>
      </c>
      <c r="C567" s="11" t="inlineStr">
        <is>
          <t>SC</t>
        </is>
      </c>
      <c r="D567" s="11" t="inlineStr">
        <is>
          <t>no</t>
        </is>
      </c>
      <c r="E567" s="11" t="inlineStr">
        <is>
          <t>no</t>
        </is>
      </c>
      <c r="F567" s="11" t="inlineStr"/>
      <c r="G567" s="11" t="inlineStr"/>
      <c r="H567" s="11" t="inlineStr">
        <is>
          <t>c18985</t>
        </is>
      </c>
      <c r="I567" s="11" t="inlineStr">
        <is>
          <t>cite</t>
        </is>
      </c>
      <c r="J567" s="11" t="inlineStr">
        <is>
          <t>no</t>
        </is>
      </c>
      <c r="K567" s="11" t="inlineStr">
        <is>
          <t>no</t>
        </is>
      </c>
      <c r="L567" s="11" t="inlineStr"/>
    </row>
    <row r="568">
      <c r="A568" s="11" t="inlineStr">
        <is>
          <t>565</t>
        </is>
      </c>
      <c r="B568" s="11" t="inlineStr">
        <is>
          <t>86</t>
        </is>
      </c>
      <c r="C568" s="11" t="inlineStr">
        <is>
          <t>SC</t>
        </is>
      </c>
      <c r="D568" s="11" t="inlineStr">
        <is>
          <t>no</t>
        </is>
      </c>
      <c r="E568" s="11" t="inlineStr">
        <is>
          <t>no</t>
        </is>
      </c>
      <c r="F568" s="11" t="inlineStr"/>
      <c r="G568" s="11" t="inlineStr"/>
      <c r="H568" s="11" t="inlineStr"/>
      <c r="I568" s="11" t="inlineStr"/>
      <c r="J568" s="11" t="inlineStr">
        <is>
          <t>no</t>
        </is>
      </c>
      <c r="K568" s="11" t="inlineStr">
        <is>
          <t>no</t>
        </is>
      </c>
      <c r="L568" s="11" t="inlineStr"/>
    </row>
    <row r="569">
      <c r="A569" s="11" t="inlineStr">
        <is>
          <t>566</t>
        </is>
      </c>
      <c r="B569" s="11" t="inlineStr">
        <is>
          <t>86</t>
        </is>
      </c>
      <c r="C569" s="11" t="inlineStr">
        <is>
          <t>SC</t>
        </is>
      </c>
      <c r="D569" s="11" t="inlineStr">
        <is>
          <t>no</t>
        </is>
      </c>
      <c r="E569" s="11" t="inlineStr">
        <is>
          <t>no</t>
        </is>
      </c>
      <c r="F569" s="11" t="inlineStr"/>
      <c r="G569" s="11" t="inlineStr"/>
      <c r="H569" s="11" t="inlineStr"/>
      <c r="I569" s="11" t="inlineStr"/>
      <c r="J569" s="11" t="inlineStr">
        <is>
          <t>no</t>
        </is>
      </c>
      <c r="K569" s="11" t="inlineStr">
        <is>
          <t>no</t>
        </is>
      </c>
      <c r="L569" s="11" t="inlineStr"/>
    </row>
    <row r="570">
      <c r="A570" s="11" t="inlineStr">
        <is>
          <t>567</t>
        </is>
      </c>
      <c r="B570" s="11" t="inlineStr">
        <is>
          <t>87</t>
        </is>
      </c>
      <c r="C570" s="11" t="inlineStr">
        <is>
          <t>SC</t>
        </is>
      </c>
      <c r="D570" s="11" t="inlineStr">
        <is>
          <t>no</t>
        </is>
      </c>
      <c r="E570" s="11" t="inlineStr">
        <is>
          <t>no</t>
        </is>
      </c>
      <c r="F570" s="11" t="inlineStr">
        <is>
          <t>c3556</t>
        </is>
      </c>
      <c r="G570" s="11" t="inlineStr">
        <is>
          <t>cite</t>
        </is>
      </c>
      <c r="H570" s="11" t="inlineStr">
        <is>
          <t>c13678</t>
        </is>
      </c>
      <c r="I570" s="11" t="inlineStr">
        <is>
          <t>name</t>
        </is>
      </c>
      <c r="J570" s="11" t="inlineStr">
        <is>
          <t>no</t>
        </is>
      </c>
      <c r="K570" s="11" t="inlineStr">
        <is>
          <t>yes</t>
        </is>
      </c>
      <c r="L570" s="11" t="inlineStr">
        <is>
          <t>untouched</t>
        </is>
      </c>
    </row>
    <row r="571">
      <c r="A571" s="11" t="inlineStr">
        <is>
          <t>568</t>
        </is>
      </c>
      <c r="B571" s="11" t="inlineStr">
        <is>
          <t>87</t>
        </is>
      </c>
      <c r="C571" s="11" t="inlineStr">
        <is>
          <t>SC</t>
        </is>
      </c>
      <c r="D571" s="11" t="inlineStr">
        <is>
          <t>no</t>
        </is>
      </c>
      <c r="E571" s="11" t="inlineStr">
        <is>
          <t>yes</t>
        </is>
      </c>
      <c r="F571" s="11" t="inlineStr"/>
      <c r="G571" s="11" t="inlineStr"/>
      <c r="H571" s="11" t="inlineStr"/>
      <c r="I571" s="11" t="inlineStr"/>
      <c r="J571" s="11" t="inlineStr">
        <is>
          <t>no</t>
        </is>
      </c>
      <c r="K571" s="11" t="inlineStr">
        <is>
          <t>no</t>
        </is>
      </c>
      <c r="L571" s="11" t="inlineStr"/>
    </row>
    <row r="572">
      <c r="A572" s="11" t="inlineStr">
        <is>
          <t>569</t>
        </is>
      </c>
      <c r="B572" s="11" t="inlineStr">
        <is>
          <t>87</t>
        </is>
      </c>
      <c r="C572" s="11" t="inlineStr">
        <is>
          <t>SC</t>
        </is>
      </c>
      <c r="D572" s="11" t="inlineStr">
        <is>
          <t>no</t>
        </is>
      </c>
      <c r="E572" s="11" t="inlineStr">
        <is>
          <t>no</t>
        </is>
      </c>
      <c r="F572" s="11" t="inlineStr"/>
      <c r="G572" s="11" t="inlineStr"/>
      <c r="H572" s="11" t="inlineStr"/>
      <c r="I572" s="11" t="inlineStr"/>
      <c r="J572" s="11" t="inlineStr">
        <is>
          <t>no</t>
        </is>
      </c>
      <c r="K572" s="11" t="inlineStr">
        <is>
          <t>no</t>
        </is>
      </c>
      <c r="L572" s="11" t="inlineStr"/>
    </row>
    <row r="573">
      <c r="A573" s="11" t="inlineStr">
        <is>
          <t>570</t>
        </is>
      </c>
      <c r="B573" s="11" t="inlineStr">
        <is>
          <t>87</t>
        </is>
      </c>
      <c r="C573" s="11" t="inlineStr">
        <is>
          <t>SC</t>
        </is>
      </c>
      <c r="D573" s="11" t="inlineStr">
        <is>
          <t>no</t>
        </is>
      </c>
      <c r="E573" s="11" t="inlineStr">
        <is>
          <t>no</t>
        </is>
      </c>
      <c r="F573" s="11" t="inlineStr">
        <is>
          <t>c8991</t>
        </is>
      </c>
      <c r="G573" s="11" t="inlineStr">
        <is>
          <t>cite</t>
        </is>
      </c>
      <c r="H573" s="11" t="inlineStr">
        <is>
          <t>c27500</t>
        </is>
      </c>
      <c r="I573" s="11" t="inlineStr">
        <is>
          <t>name</t>
        </is>
      </c>
      <c r="J573" s="11" t="inlineStr">
        <is>
          <t>no</t>
        </is>
      </c>
      <c r="K573" s="11" t="inlineStr">
        <is>
          <t>yes</t>
        </is>
      </c>
      <c r="L573" s="11" t="inlineStr">
        <is>
          <t>tune</t>
        </is>
      </c>
    </row>
    <row r="574">
      <c r="A574" s="11" t="inlineStr">
        <is>
          <t>571</t>
        </is>
      </c>
      <c r="B574" s="11" t="inlineStr">
        <is>
          <t>87</t>
        </is>
      </c>
      <c r="C574" s="11" t="inlineStr">
        <is>
          <t>SC</t>
        </is>
      </c>
      <c r="D574" s="11" t="inlineStr">
        <is>
          <t>no</t>
        </is>
      </c>
      <c r="E574" s="11" t="inlineStr">
        <is>
          <t>yes</t>
        </is>
      </c>
      <c r="F574" s="11" t="inlineStr">
        <is>
          <t>c6124</t>
        </is>
      </c>
      <c r="G574" s="11" t="inlineStr">
        <is>
          <t>cite</t>
        </is>
      </c>
      <c r="H574" s="11" t="inlineStr">
        <is>
          <t>c9718</t>
        </is>
      </c>
      <c r="I574" s="11" t="inlineStr">
        <is>
          <t>cite</t>
        </is>
      </c>
      <c r="J574" s="11" t="inlineStr">
        <is>
          <t>no</t>
        </is>
      </c>
      <c r="K574" s="11" t="inlineStr">
        <is>
          <t>yes</t>
        </is>
      </c>
      <c r="L574" s="11" t="inlineStr">
        <is>
          <t>untouched</t>
        </is>
      </c>
    </row>
    <row r="575">
      <c r="A575" s="11" t="inlineStr">
        <is>
          <t>572</t>
        </is>
      </c>
      <c r="B575" s="11" t="inlineStr">
        <is>
          <t>88</t>
        </is>
      </c>
      <c r="C575" s="11" t="inlineStr">
        <is>
          <t>SC</t>
        </is>
      </c>
      <c r="D575" s="11" t="inlineStr">
        <is>
          <t>no</t>
        </is>
      </c>
      <c r="E575" s="11" t="inlineStr">
        <is>
          <t>no</t>
        </is>
      </c>
      <c r="F575" s="11" t="inlineStr">
        <is>
          <t>c13396</t>
        </is>
      </c>
      <c r="G575" s="11" t="inlineStr">
        <is>
          <t>cite</t>
        </is>
      </c>
      <c r="H575" s="11" t="inlineStr"/>
      <c r="I575" s="11" t="inlineStr"/>
      <c r="J575" s="11" t="inlineStr">
        <is>
          <t>no</t>
        </is>
      </c>
      <c r="K575" s="11" t="inlineStr">
        <is>
          <t>no</t>
        </is>
      </c>
      <c r="L575" s="11" t="inlineStr"/>
    </row>
    <row r="576">
      <c r="A576" s="11" t="inlineStr">
        <is>
          <t>573</t>
        </is>
      </c>
      <c r="B576" s="11" t="inlineStr">
        <is>
          <t>88</t>
        </is>
      </c>
      <c r="C576" s="11" t="inlineStr">
        <is>
          <t>SC</t>
        </is>
      </c>
      <c r="D576" s="11" t="inlineStr">
        <is>
          <t>no</t>
        </is>
      </c>
      <c r="E576" s="11" t="inlineStr">
        <is>
          <t>no</t>
        </is>
      </c>
      <c r="F576" s="11" t="inlineStr">
        <is>
          <t>c7369</t>
        </is>
      </c>
      <c r="G576" s="11" t="inlineStr">
        <is>
          <t>cite</t>
        </is>
      </c>
      <c r="H576" s="11" t="inlineStr"/>
      <c r="I576" s="11" t="inlineStr"/>
      <c r="J576" s="11" t="inlineStr">
        <is>
          <t>no</t>
        </is>
      </c>
      <c r="K576" s="11" t="inlineStr">
        <is>
          <t>no</t>
        </is>
      </c>
      <c r="L576" s="11" t="inlineStr"/>
    </row>
    <row r="577">
      <c r="A577" s="11" t="inlineStr">
        <is>
          <t>574</t>
        </is>
      </c>
      <c r="B577" s="11" t="inlineStr">
        <is>
          <t>88</t>
        </is>
      </c>
      <c r="C577" s="11" t="inlineStr">
        <is>
          <t>SC</t>
        </is>
      </c>
      <c r="D577" s="11" t="inlineStr">
        <is>
          <t>no</t>
        </is>
      </c>
      <c r="E577" s="11" t="inlineStr">
        <is>
          <t>no</t>
        </is>
      </c>
      <c r="F577" s="11" t="inlineStr">
        <is>
          <t>c9593</t>
        </is>
      </c>
      <c r="G577" s="11" t="inlineStr">
        <is>
          <t>cite</t>
        </is>
      </c>
      <c r="H577" s="11" t="inlineStr">
        <is>
          <t>c26664</t>
        </is>
      </c>
      <c r="I577" s="11" t="inlineStr">
        <is>
          <t>name</t>
        </is>
      </c>
      <c r="J577" s="11" t="inlineStr">
        <is>
          <t>no</t>
        </is>
      </c>
      <c r="K577" s="11" t="inlineStr">
        <is>
          <t>yes</t>
        </is>
      </c>
      <c r="L577" s="11" t="inlineStr">
        <is>
          <t>tune</t>
        </is>
      </c>
    </row>
    <row r="578">
      <c r="A578" s="11" t="inlineStr">
        <is>
          <t>575</t>
        </is>
      </c>
      <c r="B578" s="11" t="inlineStr">
        <is>
          <t>88</t>
        </is>
      </c>
      <c r="C578" s="11" t="inlineStr">
        <is>
          <t>SC</t>
        </is>
      </c>
      <c r="D578" s="11" t="inlineStr">
        <is>
          <t>no</t>
        </is>
      </c>
      <c r="E578" s="11" t="inlineStr">
        <is>
          <t>no</t>
        </is>
      </c>
      <c r="F578" s="11" t="inlineStr">
        <is>
          <t>c14809</t>
        </is>
      </c>
      <c r="G578" s="11" t="inlineStr">
        <is>
          <t>name</t>
        </is>
      </c>
      <c r="H578" s="11" t="inlineStr"/>
      <c r="I578" s="11" t="inlineStr"/>
      <c r="J578" s="11" t="inlineStr">
        <is>
          <t>no</t>
        </is>
      </c>
      <c r="K578" s="11" t="inlineStr">
        <is>
          <t>no</t>
        </is>
      </c>
      <c r="L578" s="11" t="inlineStr"/>
    </row>
    <row r="579">
      <c r="A579" s="11" t="inlineStr">
        <is>
          <t>576</t>
        </is>
      </c>
      <c r="B579" s="11" t="inlineStr">
        <is>
          <t>88</t>
        </is>
      </c>
      <c r="C579" s="11" t="inlineStr">
        <is>
          <t>SC</t>
        </is>
      </c>
      <c r="D579" s="11" t="inlineStr">
        <is>
          <t>no</t>
        </is>
      </c>
      <c r="E579" s="11" t="inlineStr">
        <is>
          <t>no</t>
        </is>
      </c>
      <c r="F579" s="11" t="inlineStr">
        <is>
          <t>c2989</t>
        </is>
      </c>
      <c r="G579" s="11" t="inlineStr">
        <is>
          <t>cite</t>
        </is>
      </c>
      <c r="H579" s="11" t="inlineStr">
        <is>
          <t>c9510</t>
        </is>
      </c>
      <c r="I579" s="11" t="inlineStr">
        <is>
          <t>cite</t>
        </is>
      </c>
      <c r="J579" s="11" t="inlineStr">
        <is>
          <t>no</t>
        </is>
      </c>
      <c r="K579" s="11" t="inlineStr">
        <is>
          <t>yes</t>
        </is>
      </c>
      <c r="L579" s="11" t="inlineStr">
        <is>
          <t>tune</t>
        </is>
      </c>
    </row>
    <row r="580">
      <c r="A580" s="11" t="inlineStr">
        <is>
          <t>577</t>
        </is>
      </c>
      <c r="B580" s="11" t="inlineStr">
        <is>
          <t>88</t>
        </is>
      </c>
      <c r="C580" s="11" t="inlineStr">
        <is>
          <t>SC</t>
        </is>
      </c>
      <c r="D580" s="11" t="inlineStr">
        <is>
          <t>no</t>
        </is>
      </c>
      <c r="E580" s="11" t="inlineStr">
        <is>
          <t>no</t>
        </is>
      </c>
      <c r="F580" s="11" t="inlineStr">
        <is>
          <t>c7674</t>
        </is>
      </c>
      <c r="G580" s="11" t="inlineStr">
        <is>
          <t>cite</t>
        </is>
      </c>
      <c r="H580" s="11" t="inlineStr">
        <is>
          <t>c13429</t>
        </is>
      </c>
      <c r="I580" s="11" t="inlineStr">
        <is>
          <t>cite</t>
        </is>
      </c>
      <c r="J580" s="11" t="inlineStr">
        <is>
          <t>no</t>
        </is>
      </c>
      <c r="K580" s="11" t="inlineStr">
        <is>
          <t>yes</t>
        </is>
      </c>
      <c r="L580" s="11" t="inlineStr">
        <is>
          <t>untouched</t>
        </is>
      </c>
    </row>
    <row r="581">
      <c r="A581" s="11" t="inlineStr">
        <is>
          <t>578</t>
        </is>
      </c>
      <c r="B581" s="11" t="inlineStr">
        <is>
          <t>89</t>
        </is>
      </c>
      <c r="C581" s="11" t="inlineStr">
        <is>
          <t>SC</t>
        </is>
      </c>
      <c r="D581" s="11" t="inlineStr">
        <is>
          <t>no</t>
        </is>
      </c>
      <c r="E581" s="11" t="inlineStr">
        <is>
          <t>no</t>
        </is>
      </c>
      <c r="F581" s="11" t="inlineStr">
        <is>
          <t>c7635</t>
        </is>
      </c>
      <c r="G581" s="11" t="inlineStr">
        <is>
          <t>cite</t>
        </is>
      </c>
      <c r="H581" s="11" t="inlineStr">
        <is>
          <t>c10160</t>
        </is>
      </c>
      <c r="I581" s="11" t="inlineStr">
        <is>
          <t>cite</t>
        </is>
      </c>
      <c r="J581" s="11" t="inlineStr">
        <is>
          <t>no</t>
        </is>
      </c>
      <c r="K581" s="11" t="inlineStr">
        <is>
          <t>yes</t>
        </is>
      </c>
      <c r="L581" s="11" t="inlineStr">
        <is>
          <t>tune</t>
        </is>
      </c>
    </row>
    <row r="582">
      <c r="A582" s="11" t="inlineStr">
        <is>
          <t>579</t>
        </is>
      </c>
      <c r="B582" s="11" t="inlineStr">
        <is>
          <t>89</t>
        </is>
      </c>
      <c r="C582" s="11" t="inlineStr">
        <is>
          <t>SC</t>
        </is>
      </c>
      <c r="D582" s="11" t="inlineStr">
        <is>
          <t>no</t>
        </is>
      </c>
      <c r="E582" s="11" t="inlineStr">
        <is>
          <t>no</t>
        </is>
      </c>
      <c r="F582" s="11" t="inlineStr">
        <is>
          <t>c396</t>
        </is>
      </c>
      <c r="G582" s="11" t="inlineStr">
        <is>
          <t>name</t>
        </is>
      </c>
      <c r="H582" s="11" t="inlineStr">
        <is>
          <t>c7246</t>
        </is>
      </c>
      <c r="I582" s="11" t="inlineStr">
        <is>
          <t>cite</t>
        </is>
      </c>
      <c r="J582" s="11" t="inlineStr">
        <is>
          <t>no</t>
        </is>
      </c>
      <c r="K582" s="11" t="inlineStr">
        <is>
          <t>yes</t>
        </is>
      </c>
      <c r="L582" s="11" t="inlineStr">
        <is>
          <t>untouched</t>
        </is>
      </c>
    </row>
    <row r="583">
      <c r="A583" s="11" t="inlineStr">
        <is>
          <t>580</t>
        </is>
      </c>
      <c r="B583" s="11" t="inlineStr">
        <is>
          <t>89</t>
        </is>
      </c>
      <c r="C583" s="11" t="inlineStr">
        <is>
          <t>SC</t>
        </is>
      </c>
      <c r="D583" s="11" t="inlineStr">
        <is>
          <t>no</t>
        </is>
      </c>
      <c r="E583" s="11" t="inlineStr">
        <is>
          <t>no</t>
        </is>
      </c>
      <c r="F583" s="11" t="inlineStr">
        <is>
          <t>c16475</t>
        </is>
      </c>
      <c r="G583" s="11" t="inlineStr">
        <is>
          <t>name</t>
        </is>
      </c>
      <c r="H583" s="11" t="inlineStr">
        <is>
          <t>c27014</t>
        </is>
      </c>
      <c r="I583" s="11" t="inlineStr">
        <is>
          <t>cite</t>
        </is>
      </c>
      <c r="J583" s="11" t="inlineStr">
        <is>
          <t>no</t>
        </is>
      </c>
      <c r="K583" s="11" t="inlineStr">
        <is>
          <t>yes</t>
        </is>
      </c>
      <c r="L583" s="11" t="inlineStr">
        <is>
          <t>tune</t>
        </is>
      </c>
    </row>
    <row r="584">
      <c r="A584" s="11" t="inlineStr">
        <is>
          <t>581</t>
        </is>
      </c>
      <c r="B584" s="11" t="inlineStr">
        <is>
          <t>89</t>
        </is>
      </c>
      <c r="C584" s="11" t="inlineStr">
        <is>
          <t>SC</t>
        </is>
      </c>
      <c r="D584" s="11" t="inlineStr">
        <is>
          <t>no</t>
        </is>
      </c>
      <c r="E584" s="11" t="inlineStr">
        <is>
          <t>yes</t>
        </is>
      </c>
      <c r="F584" s="11" t="inlineStr">
        <is>
          <t>c57</t>
        </is>
      </c>
      <c r="G584" s="11" t="inlineStr">
        <is>
          <t>name</t>
        </is>
      </c>
      <c r="H584" s="11" t="inlineStr">
        <is>
          <t>c6215</t>
        </is>
      </c>
      <c r="I584" s="11" t="inlineStr">
        <is>
          <t>cite</t>
        </is>
      </c>
      <c r="J584" s="11" t="inlineStr">
        <is>
          <t>no</t>
        </is>
      </c>
      <c r="K584" s="11" t="inlineStr">
        <is>
          <t>yes</t>
        </is>
      </c>
      <c r="L584" s="11" t="inlineStr">
        <is>
          <t>untouched</t>
        </is>
      </c>
    </row>
    <row r="585">
      <c r="A585" s="11" t="inlineStr">
        <is>
          <t>582</t>
        </is>
      </c>
      <c r="B585" s="11" t="inlineStr">
        <is>
          <t>89</t>
        </is>
      </c>
      <c r="C585" s="11" t="inlineStr">
        <is>
          <t>SC</t>
        </is>
      </c>
      <c r="D585" s="11" t="inlineStr">
        <is>
          <t>no</t>
        </is>
      </c>
      <c r="E585" s="11" t="inlineStr">
        <is>
          <t>no</t>
        </is>
      </c>
      <c r="F585" s="11" t="inlineStr">
        <is>
          <t>c1539</t>
        </is>
      </c>
      <c r="G585" s="11" t="inlineStr">
        <is>
          <t>cite</t>
        </is>
      </c>
      <c r="H585" s="11" t="inlineStr"/>
      <c r="I585" s="11" t="inlineStr"/>
      <c r="J585" s="11" t="inlineStr">
        <is>
          <t>no</t>
        </is>
      </c>
      <c r="K585" s="11" t="inlineStr">
        <is>
          <t>no</t>
        </is>
      </c>
      <c r="L585" s="11" t="inlineStr"/>
    </row>
    <row r="586">
      <c r="A586" s="11" t="inlineStr">
        <is>
          <t>583</t>
        </is>
      </c>
      <c r="B586" s="11" t="inlineStr">
        <is>
          <t>89</t>
        </is>
      </c>
      <c r="C586" s="11" t="inlineStr">
        <is>
          <t>SC</t>
        </is>
      </c>
      <c r="D586" s="11" t="inlineStr">
        <is>
          <t>no</t>
        </is>
      </c>
      <c r="E586" s="11" t="inlineStr">
        <is>
          <t>no</t>
        </is>
      </c>
      <c r="F586" s="11" t="inlineStr">
        <is>
          <t>c8777</t>
        </is>
      </c>
      <c r="G586" s="11" t="inlineStr">
        <is>
          <t>cite</t>
        </is>
      </c>
      <c r="H586" s="11" t="inlineStr">
        <is>
          <t>c12487</t>
        </is>
      </c>
      <c r="I586" s="11" t="inlineStr">
        <is>
          <t>cite</t>
        </is>
      </c>
      <c r="J586" s="11" t="inlineStr">
        <is>
          <t>no</t>
        </is>
      </c>
      <c r="K586" s="11" t="inlineStr">
        <is>
          <t>yes</t>
        </is>
      </c>
      <c r="L586" s="11" t="inlineStr">
        <is>
          <t>untouched</t>
        </is>
      </c>
    </row>
    <row r="587">
      <c r="A587" s="11" t="inlineStr">
        <is>
          <t>584</t>
        </is>
      </c>
      <c r="B587" s="11" t="inlineStr">
        <is>
          <t>89</t>
        </is>
      </c>
      <c r="C587" s="11" t="inlineStr">
        <is>
          <t>SC</t>
        </is>
      </c>
      <c r="D587" s="11" t="inlineStr">
        <is>
          <t>no</t>
        </is>
      </c>
      <c r="E587" s="11" t="inlineStr">
        <is>
          <t>yes</t>
        </is>
      </c>
      <c r="F587" s="11" t="inlineStr"/>
      <c r="G587" s="11" t="inlineStr"/>
      <c r="H587" s="11" t="inlineStr">
        <is>
          <t>c10819</t>
        </is>
      </c>
      <c r="I587" s="11" t="inlineStr">
        <is>
          <t>name</t>
        </is>
      </c>
      <c r="J587" s="11" t="inlineStr">
        <is>
          <t>no</t>
        </is>
      </c>
      <c r="K587" s="11" t="inlineStr">
        <is>
          <t>no</t>
        </is>
      </c>
      <c r="L587" s="11" t="inlineStr"/>
    </row>
    <row r="588">
      <c r="A588" s="11" t="inlineStr">
        <is>
          <t>585</t>
        </is>
      </c>
      <c r="B588" s="11" t="inlineStr">
        <is>
          <t>90</t>
        </is>
      </c>
      <c r="C588" s="11" t="inlineStr">
        <is>
          <t>SC</t>
        </is>
      </c>
      <c r="D588" s="11" t="inlineStr">
        <is>
          <t>no</t>
        </is>
      </c>
      <c r="E588" s="11" t="inlineStr">
        <is>
          <t>yes</t>
        </is>
      </c>
      <c r="F588" s="11" t="inlineStr">
        <is>
          <t>c5250</t>
        </is>
      </c>
      <c r="G588" s="11" t="inlineStr">
        <is>
          <t>cite</t>
        </is>
      </c>
      <c r="H588" s="11" t="inlineStr">
        <is>
          <t>c4745</t>
        </is>
      </c>
      <c r="I588" s="11" t="inlineStr">
        <is>
          <t>cite</t>
        </is>
      </c>
      <c r="J588" s="11" t="inlineStr">
        <is>
          <t>no</t>
        </is>
      </c>
      <c r="K588" s="11" t="inlineStr">
        <is>
          <t>yes</t>
        </is>
      </c>
      <c r="L588" s="11" t="inlineStr">
        <is>
          <t>untouched</t>
        </is>
      </c>
    </row>
    <row r="589">
      <c r="A589" s="11" t="inlineStr">
        <is>
          <t>586</t>
        </is>
      </c>
      <c r="B589" s="11" t="inlineStr">
        <is>
          <t>90</t>
        </is>
      </c>
      <c r="C589" s="11" t="inlineStr">
        <is>
          <t>SC</t>
        </is>
      </c>
      <c r="D589" s="11" t="inlineStr">
        <is>
          <t>no</t>
        </is>
      </c>
      <c r="E589" s="11" t="inlineStr">
        <is>
          <t>no</t>
        </is>
      </c>
      <c r="F589" s="11" t="inlineStr">
        <is>
          <t>c8462</t>
        </is>
      </c>
      <c r="G589" s="11" t="inlineStr">
        <is>
          <t>cite</t>
        </is>
      </c>
      <c r="H589" s="11" t="inlineStr">
        <is>
          <t>c16578</t>
        </is>
      </c>
      <c r="I589" s="11" t="inlineStr">
        <is>
          <t>name</t>
        </is>
      </c>
      <c r="J589" s="11" t="inlineStr">
        <is>
          <t>no</t>
        </is>
      </c>
      <c r="K589" s="11" t="inlineStr">
        <is>
          <t>yes</t>
        </is>
      </c>
      <c r="L589" s="11" t="inlineStr">
        <is>
          <t>tune</t>
        </is>
      </c>
    </row>
    <row r="590">
      <c r="A590" s="11" t="inlineStr">
        <is>
          <t>587</t>
        </is>
      </c>
      <c r="B590" s="11" t="inlineStr">
        <is>
          <t>90</t>
        </is>
      </c>
      <c r="C590" s="11" t="inlineStr">
        <is>
          <t>SC</t>
        </is>
      </c>
      <c r="D590" s="11" t="inlineStr">
        <is>
          <t>no</t>
        </is>
      </c>
      <c r="E590" s="11" t="inlineStr">
        <is>
          <t>yes</t>
        </is>
      </c>
      <c r="F590" s="11" t="inlineStr">
        <is>
          <t>c6365</t>
        </is>
      </c>
      <c r="G590" s="11" t="inlineStr">
        <is>
          <t>cite</t>
        </is>
      </c>
      <c r="H590" s="11" t="inlineStr">
        <is>
          <t>c15367</t>
        </is>
      </c>
      <c r="I590" s="11" t="inlineStr">
        <is>
          <t>cite</t>
        </is>
      </c>
      <c r="J590" s="11" t="inlineStr">
        <is>
          <t>no</t>
        </is>
      </c>
      <c r="K590" s="11" t="inlineStr">
        <is>
          <t>yes</t>
        </is>
      </c>
      <c r="L590" s="11" t="inlineStr">
        <is>
          <t>untouched</t>
        </is>
      </c>
    </row>
    <row r="591">
      <c r="A591" s="11" t="inlineStr">
        <is>
          <t>588</t>
        </is>
      </c>
      <c r="B591" s="11" t="inlineStr">
        <is>
          <t>90</t>
        </is>
      </c>
      <c r="C591" s="11" t="inlineStr">
        <is>
          <t>SC</t>
        </is>
      </c>
      <c r="D591" s="11" t="inlineStr">
        <is>
          <t>no</t>
        </is>
      </c>
      <c r="E591" s="11" t="inlineStr">
        <is>
          <t>yes</t>
        </is>
      </c>
      <c r="F591" s="11" t="inlineStr"/>
      <c r="G591" s="11" t="inlineStr"/>
      <c r="H591" s="11" t="inlineStr">
        <is>
          <t>c31862</t>
        </is>
      </c>
      <c r="I591" s="11" t="inlineStr">
        <is>
          <t>cite</t>
        </is>
      </c>
      <c r="J591" s="11" t="inlineStr">
        <is>
          <t>no</t>
        </is>
      </c>
      <c r="K591" s="11" t="inlineStr">
        <is>
          <t>no</t>
        </is>
      </c>
      <c r="L591" s="11" t="inlineStr"/>
    </row>
    <row r="592">
      <c r="A592" s="11" t="inlineStr">
        <is>
          <t>589</t>
        </is>
      </c>
      <c r="B592" s="11" t="inlineStr">
        <is>
          <t>90</t>
        </is>
      </c>
      <c r="C592" s="11" t="inlineStr">
        <is>
          <t>SC</t>
        </is>
      </c>
      <c r="D592" s="11" t="inlineStr">
        <is>
          <t>no</t>
        </is>
      </c>
      <c r="E592" s="11" t="inlineStr">
        <is>
          <t>no</t>
        </is>
      </c>
      <c r="F592" s="11" t="inlineStr">
        <is>
          <t>c1788</t>
        </is>
      </c>
      <c r="G592" s="11" t="inlineStr">
        <is>
          <t>cite</t>
        </is>
      </c>
      <c r="H592" s="11" t="inlineStr">
        <is>
          <t>c14809</t>
        </is>
      </c>
      <c r="I592" s="11" t="inlineStr">
        <is>
          <t>name</t>
        </is>
      </c>
      <c r="J592" s="11" t="inlineStr">
        <is>
          <t>no</t>
        </is>
      </c>
      <c r="K592" s="11" t="inlineStr">
        <is>
          <t>yes</t>
        </is>
      </c>
      <c r="L592" s="11" t="inlineStr">
        <is>
          <t>untouched</t>
        </is>
      </c>
    </row>
    <row r="593">
      <c r="A593" s="11" t="inlineStr">
        <is>
          <t>590</t>
        </is>
      </c>
      <c r="B593" s="11" t="inlineStr">
        <is>
          <t>90</t>
        </is>
      </c>
      <c r="C593" s="11" t="inlineStr">
        <is>
          <t>SC</t>
        </is>
      </c>
      <c r="D593" s="11" t="inlineStr">
        <is>
          <t>no</t>
        </is>
      </c>
      <c r="E593" s="11" t="inlineStr">
        <is>
          <t>no</t>
        </is>
      </c>
      <c r="F593" s="11" t="inlineStr">
        <is>
          <t>c5311</t>
        </is>
      </c>
      <c r="G593" s="11" t="inlineStr">
        <is>
          <t>cite</t>
        </is>
      </c>
      <c r="H593" s="11" t="inlineStr"/>
      <c r="I593" s="11" t="inlineStr"/>
      <c r="J593" s="11" t="inlineStr">
        <is>
          <t>no</t>
        </is>
      </c>
      <c r="K593" s="11" t="inlineStr">
        <is>
          <t>no</t>
        </is>
      </c>
      <c r="L593" s="11" t="inlineStr"/>
    </row>
    <row r="594">
      <c r="A594" s="11" t="inlineStr">
        <is>
          <t>591</t>
        </is>
      </c>
      <c r="B594" s="11" t="inlineStr">
        <is>
          <t>91</t>
        </is>
      </c>
      <c r="C594" s="11" t="inlineStr">
        <is>
          <t>SC</t>
        </is>
      </c>
      <c r="D594" s="11" t="inlineStr">
        <is>
          <t>no</t>
        </is>
      </c>
      <c r="E594" s="11" t="inlineStr">
        <is>
          <t>no</t>
        </is>
      </c>
      <c r="F594" s="11" t="inlineStr">
        <is>
          <t>c9355</t>
        </is>
      </c>
      <c r="G594" s="11" t="inlineStr">
        <is>
          <t>cite</t>
        </is>
      </c>
      <c r="H594" s="11" t="inlineStr">
        <is>
          <t>c10841</t>
        </is>
      </c>
      <c r="I594" s="11" t="inlineStr">
        <is>
          <t>cite</t>
        </is>
      </c>
      <c r="J594" s="11" t="inlineStr">
        <is>
          <t>no</t>
        </is>
      </c>
      <c r="K594" s="11" t="inlineStr">
        <is>
          <t>yes</t>
        </is>
      </c>
      <c r="L594" s="11" t="inlineStr">
        <is>
          <t>untouched</t>
        </is>
      </c>
    </row>
    <row r="595">
      <c r="A595" s="11" t="inlineStr">
        <is>
          <t>592</t>
        </is>
      </c>
      <c r="B595" s="11" t="inlineStr">
        <is>
          <t>91</t>
        </is>
      </c>
      <c r="C595" s="11" t="inlineStr">
        <is>
          <t>SC</t>
        </is>
      </c>
      <c r="D595" s="11" t="inlineStr">
        <is>
          <t>no</t>
        </is>
      </c>
      <c r="E595" s="11" t="inlineStr">
        <is>
          <t>no</t>
        </is>
      </c>
      <c r="F595" s="11" t="inlineStr">
        <is>
          <t>c5781</t>
        </is>
      </c>
      <c r="G595" s="11" t="inlineStr">
        <is>
          <t>cite</t>
        </is>
      </c>
      <c r="H595" s="11" t="inlineStr">
        <is>
          <t>c4751</t>
        </is>
      </c>
      <c r="I595" s="11" t="inlineStr">
        <is>
          <t>cite</t>
        </is>
      </c>
      <c r="J595" s="11" t="inlineStr">
        <is>
          <t>no</t>
        </is>
      </c>
      <c r="K595" s="11" t="inlineStr">
        <is>
          <t>yes</t>
        </is>
      </c>
      <c r="L595" s="11" t="inlineStr">
        <is>
          <t>tune</t>
        </is>
      </c>
    </row>
    <row r="596">
      <c r="A596" s="11" t="inlineStr">
        <is>
          <t>593</t>
        </is>
      </c>
      <c r="B596" s="11" t="inlineStr">
        <is>
          <t>91</t>
        </is>
      </c>
      <c r="C596" s="11" t="inlineStr">
        <is>
          <t>SC</t>
        </is>
      </c>
      <c r="D596" s="11" t="inlineStr">
        <is>
          <t>no</t>
        </is>
      </c>
      <c r="E596" s="11" t="inlineStr">
        <is>
          <t>yes</t>
        </is>
      </c>
      <c r="F596" s="11" t="inlineStr"/>
      <c r="G596" s="11" t="inlineStr"/>
      <c r="H596" s="11" t="inlineStr">
        <is>
          <t>c20656</t>
        </is>
      </c>
      <c r="I596" s="11" t="inlineStr">
        <is>
          <t>name</t>
        </is>
      </c>
      <c r="J596" s="11" t="inlineStr">
        <is>
          <t>no</t>
        </is>
      </c>
      <c r="K596" s="11" t="inlineStr">
        <is>
          <t>no</t>
        </is>
      </c>
      <c r="L596" s="11" t="inlineStr"/>
    </row>
    <row r="597">
      <c r="A597" s="11" t="inlineStr">
        <is>
          <t>594</t>
        </is>
      </c>
      <c r="B597" s="11" t="inlineStr">
        <is>
          <t>91</t>
        </is>
      </c>
      <c r="C597" s="11" t="inlineStr">
        <is>
          <t>SC</t>
        </is>
      </c>
      <c r="D597" s="11" t="inlineStr">
        <is>
          <t>no</t>
        </is>
      </c>
      <c r="E597" s="11" t="inlineStr">
        <is>
          <t>no</t>
        </is>
      </c>
      <c r="F597" s="11" t="inlineStr">
        <is>
          <t>c5575</t>
        </is>
      </c>
      <c r="G597" s="11" t="inlineStr">
        <is>
          <t>cite</t>
        </is>
      </c>
      <c r="H597" s="11" t="inlineStr">
        <is>
          <t>c5576</t>
        </is>
      </c>
      <c r="I597" s="11" t="inlineStr">
        <is>
          <t>cite</t>
        </is>
      </c>
      <c r="J597" s="11" t="inlineStr">
        <is>
          <t>no</t>
        </is>
      </c>
      <c r="K597" s="11" t="inlineStr">
        <is>
          <t>yes</t>
        </is>
      </c>
      <c r="L597" s="11" t="inlineStr">
        <is>
          <t>tune</t>
        </is>
      </c>
    </row>
    <row r="598">
      <c r="A598" s="11" t="inlineStr">
        <is>
          <t>595</t>
        </is>
      </c>
      <c r="B598" s="11" t="inlineStr">
        <is>
          <t>91</t>
        </is>
      </c>
      <c r="C598" s="11" t="inlineStr">
        <is>
          <t>SC</t>
        </is>
      </c>
      <c r="D598" s="11" t="inlineStr">
        <is>
          <t>no</t>
        </is>
      </c>
      <c r="E598" s="11" t="inlineStr">
        <is>
          <t>no</t>
        </is>
      </c>
      <c r="F598" s="11" t="inlineStr">
        <is>
          <t>c3424</t>
        </is>
      </c>
      <c r="G598" s="11" t="inlineStr">
        <is>
          <t>cite</t>
        </is>
      </c>
      <c r="H598" s="11" t="inlineStr">
        <is>
          <t>c4751</t>
        </is>
      </c>
      <c r="I598" s="11" t="inlineStr">
        <is>
          <t>cite</t>
        </is>
      </c>
      <c r="J598" s="11" t="inlineStr">
        <is>
          <t>no</t>
        </is>
      </c>
      <c r="K598" s="11" t="inlineStr">
        <is>
          <t>yes</t>
        </is>
      </c>
      <c r="L598" s="11" t="inlineStr">
        <is>
          <t>untouched</t>
        </is>
      </c>
    </row>
    <row r="599">
      <c r="A599" s="11" t="inlineStr">
        <is>
          <t>596</t>
        </is>
      </c>
      <c r="B599" s="11" t="inlineStr">
        <is>
          <t>91</t>
        </is>
      </c>
      <c r="C599" s="11" t="inlineStr">
        <is>
          <t>SC</t>
        </is>
      </c>
      <c r="D599" s="11" t="inlineStr">
        <is>
          <t>no</t>
        </is>
      </c>
      <c r="E599" s="11" t="inlineStr">
        <is>
          <t>yes</t>
        </is>
      </c>
      <c r="F599" s="11" t="inlineStr">
        <is>
          <t>c9879</t>
        </is>
      </c>
      <c r="G599" s="11" t="inlineStr">
        <is>
          <t>cite</t>
        </is>
      </c>
      <c r="H599" s="11" t="inlineStr">
        <is>
          <t>c14899</t>
        </is>
      </c>
      <c r="I599" s="11" t="inlineStr">
        <is>
          <t>name</t>
        </is>
      </c>
      <c r="J599" s="11" t="inlineStr">
        <is>
          <t>no</t>
        </is>
      </c>
      <c r="K599" s="11" t="inlineStr">
        <is>
          <t>yes</t>
        </is>
      </c>
      <c r="L599" s="11" t="inlineStr">
        <is>
          <t>tune</t>
        </is>
      </c>
    </row>
    <row r="600">
      <c r="A600" s="11" t="inlineStr">
        <is>
          <t>597</t>
        </is>
      </c>
      <c r="B600" s="11" t="inlineStr">
        <is>
          <t>91</t>
        </is>
      </c>
      <c r="C600" s="11" t="inlineStr">
        <is>
          <t>SC</t>
        </is>
      </c>
      <c r="D600" s="11" t="inlineStr">
        <is>
          <t>no</t>
        </is>
      </c>
      <c r="E600" s="11" t="inlineStr">
        <is>
          <t>no</t>
        </is>
      </c>
      <c r="F600" s="11" t="inlineStr">
        <is>
          <t>c2266</t>
        </is>
      </c>
      <c r="G600" s="11" t="inlineStr">
        <is>
          <t>cite</t>
        </is>
      </c>
      <c r="H600" s="11" t="inlineStr">
        <is>
          <t>c5125</t>
        </is>
      </c>
      <c r="I600" s="11" t="inlineStr">
        <is>
          <t>cite</t>
        </is>
      </c>
      <c r="J600" s="11" t="inlineStr">
        <is>
          <t>no</t>
        </is>
      </c>
      <c r="K600" s="11" t="inlineStr">
        <is>
          <t>yes</t>
        </is>
      </c>
      <c r="L600" s="11" t="inlineStr">
        <is>
          <t>untouched</t>
        </is>
      </c>
    </row>
    <row r="601">
      <c r="A601" s="11" t="inlineStr">
        <is>
          <t>598</t>
        </is>
      </c>
      <c r="B601" s="11" t="inlineStr">
        <is>
          <t>92</t>
        </is>
      </c>
      <c r="C601" s="11" t="inlineStr">
        <is>
          <t>SC</t>
        </is>
      </c>
      <c r="D601" s="11" t="inlineStr">
        <is>
          <t>no</t>
        </is>
      </c>
      <c r="E601" s="11" t="inlineStr">
        <is>
          <t>no</t>
        </is>
      </c>
      <c r="F601" s="11" t="inlineStr">
        <is>
          <t>c3346</t>
        </is>
      </c>
      <c r="G601" s="11" t="inlineStr">
        <is>
          <t>cite</t>
        </is>
      </c>
      <c r="H601" s="11" t="inlineStr">
        <is>
          <t>c7773</t>
        </is>
      </c>
      <c r="I601" s="11" t="inlineStr">
        <is>
          <t>cite</t>
        </is>
      </c>
      <c r="J601" s="11" t="inlineStr">
        <is>
          <t>no</t>
        </is>
      </c>
      <c r="K601" s="11" t="inlineStr">
        <is>
          <t>yes</t>
        </is>
      </c>
      <c r="L601" s="11" t="inlineStr">
        <is>
          <t>tune</t>
        </is>
      </c>
    </row>
    <row r="602">
      <c r="A602" s="11" t="inlineStr">
        <is>
          <t>599</t>
        </is>
      </c>
      <c r="B602" s="11" t="inlineStr">
        <is>
          <t>92</t>
        </is>
      </c>
      <c r="C602" s="11" t="inlineStr">
        <is>
          <t>SC</t>
        </is>
      </c>
      <c r="D602" s="11" t="inlineStr">
        <is>
          <t>no</t>
        </is>
      </c>
      <c r="E602" s="11" t="inlineStr">
        <is>
          <t>yes</t>
        </is>
      </c>
      <c r="F602" s="11" t="inlineStr">
        <is>
          <t>c8628</t>
        </is>
      </c>
      <c r="G602" s="11" t="inlineStr">
        <is>
          <t>cite</t>
        </is>
      </c>
      <c r="H602" s="11" t="inlineStr">
        <is>
          <t>c8465</t>
        </is>
      </c>
      <c r="I602" s="11" t="inlineStr">
        <is>
          <t>cite</t>
        </is>
      </c>
      <c r="J602" s="11" t="inlineStr">
        <is>
          <t>no</t>
        </is>
      </c>
      <c r="K602" s="11" t="inlineStr">
        <is>
          <t>yes</t>
        </is>
      </c>
      <c r="L602" s="11" t="inlineStr">
        <is>
          <t>untouched</t>
        </is>
      </c>
    </row>
    <row r="603">
      <c r="A603" s="11" t="inlineStr">
        <is>
          <t>600</t>
        </is>
      </c>
      <c r="B603" s="11" t="inlineStr">
        <is>
          <t>92</t>
        </is>
      </c>
      <c r="C603" s="11" t="inlineStr">
        <is>
          <t>SC</t>
        </is>
      </c>
      <c r="D603" s="11" t="inlineStr">
        <is>
          <t>no</t>
        </is>
      </c>
      <c r="E603" s="11" t="inlineStr">
        <is>
          <t>no</t>
        </is>
      </c>
      <c r="F603" s="11" t="inlineStr">
        <is>
          <t>c3447</t>
        </is>
      </c>
      <c r="G603" s="11" t="inlineStr">
        <is>
          <t>cite</t>
        </is>
      </c>
      <c r="H603" s="11" t="inlineStr">
        <is>
          <t>c7515</t>
        </is>
      </c>
      <c r="I603" s="11" t="inlineStr">
        <is>
          <t>cite</t>
        </is>
      </c>
      <c r="J603" s="11" t="inlineStr">
        <is>
          <t>no</t>
        </is>
      </c>
      <c r="K603" s="11" t="inlineStr">
        <is>
          <t>yes</t>
        </is>
      </c>
      <c r="L603" s="11" t="inlineStr">
        <is>
          <t>tune</t>
        </is>
      </c>
    </row>
    <row r="604">
      <c r="A604" s="11" t="inlineStr">
        <is>
          <t>601</t>
        </is>
      </c>
      <c r="B604" s="11" t="inlineStr">
        <is>
          <t>92</t>
        </is>
      </c>
      <c r="C604" s="11" t="inlineStr">
        <is>
          <t>SC</t>
        </is>
      </c>
      <c r="D604" s="11" t="inlineStr">
        <is>
          <t>no</t>
        </is>
      </c>
      <c r="E604" s="11" t="inlineStr">
        <is>
          <t>no</t>
        </is>
      </c>
      <c r="F604" s="11" t="inlineStr">
        <is>
          <t>c4162</t>
        </is>
      </c>
      <c r="G604" s="11" t="inlineStr">
        <is>
          <t>cite</t>
        </is>
      </c>
      <c r="H604" s="11" t="inlineStr">
        <is>
          <t>c2635</t>
        </is>
      </c>
      <c r="I604" s="11" t="inlineStr">
        <is>
          <t>cite</t>
        </is>
      </c>
      <c r="J604" s="11" t="inlineStr">
        <is>
          <t>no</t>
        </is>
      </c>
      <c r="K604" s="11" t="inlineStr">
        <is>
          <t>yes</t>
        </is>
      </c>
      <c r="L604" s="11" t="inlineStr">
        <is>
          <t>untouched</t>
        </is>
      </c>
    </row>
    <row r="605">
      <c r="A605" s="11" t="inlineStr">
        <is>
          <t>602</t>
        </is>
      </c>
      <c r="B605" s="11" t="inlineStr">
        <is>
          <t>92</t>
        </is>
      </c>
      <c r="C605" s="11" t="inlineStr">
        <is>
          <t>SC</t>
        </is>
      </c>
      <c r="D605" s="11" t="inlineStr">
        <is>
          <t>no</t>
        </is>
      </c>
      <c r="E605" s="11" t="inlineStr">
        <is>
          <t>no</t>
        </is>
      </c>
      <c r="F605" s="11" t="inlineStr">
        <is>
          <t>c6531</t>
        </is>
      </c>
      <c r="G605" s="11" t="inlineStr">
        <is>
          <t>cite</t>
        </is>
      </c>
      <c r="H605" s="11" t="inlineStr">
        <is>
          <t>c5940</t>
        </is>
      </c>
      <c r="I605" s="11" t="inlineStr">
        <is>
          <t>cite</t>
        </is>
      </c>
      <c r="J605" s="11" t="inlineStr">
        <is>
          <t>no</t>
        </is>
      </c>
      <c r="K605" s="11" t="inlineStr">
        <is>
          <t>yes</t>
        </is>
      </c>
      <c r="L605" s="11" t="inlineStr">
        <is>
          <t>tune</t>
        </is>
      </c>
    </row>
    <row r="606">
      <c r="A606" s="11" t="inlineStr">
        <is>
          <t>603</t>
        </is>
      </c>
      <c r="B606" s="11" t="inlineStr">
        <is>
          <t>92</t>
        </is>
      </c>
      <c r="C606" s="11" t="inlineStr">
        <is>
          <t>SC</t>
        </is>
      </c>
      <c r="D606" s="11" t="inlineStr">
        <is>
          <t>no</t>
        </is>
      </c>
      <c r="E606" s="11" t="inlineStr">
        <is>
          <t>no</t>
        </is>
      </c>
      <c r="F606" s="11" t="inlineStr">
        <is>
          <t>c5375</t>
        </is>
      </c>
      <c r="G606" s="11" t="inlineStr">
        <is>
          <t>cite</t>
        </is>
      </c>
      <c r="H606" s="11" t="inlineStr">
        <is>
          <t>c8689</t>
        </is>
      </c>
      <c r="I606" s="11" t="inlineStr">
        <is>
          <t>cite</t>
        </is>
      </c>
      <c r="J606" s="11" t="inlineStr">
        <is>
          <t>no</t>
        </is>
      </c>
      <c r="K606" s="11" t="inlineStr">
        <is>
          <t>yes</t>
        </is>
      </c>
      <c r="L606" s="11" t="inlineStr">
        <is>
          <t>untouched</t>
        </is>
      </c>
    </row>
    <row r="607">
      <c r="A607" s="11" t="inlineStr">
        <is>
          <t>604</t>
        </is>
      </c>
      <c r="B607" s="11" t="inlineStr">
        <is>
          <t>92</t>
        </is>
      </c>
      <c r="C607" s="11" t="inlineStr">
        <is>
          <t>SC</t>
        </is>
      </c>
      <c r="D607" s="11" t="inlineStr">
        <is>
          <t>no</t>
        </is>
      </c>
      <c r="E607" s="11" t="inlineStr">
        <is>
          <t>no</t>
        </is>
      </c>
      <c r="F607" s="11" t="inlineStr">
        <is>
          <t>c2587</t>
        </is>
      </c>
      <c r="G607" s="11" t="inlineStr">
        <is>
          <t>cite</t>
        </is>
      </c>
      <c r="H607" s="11" t="inlineStr">
        <is>
          <t>c4751</t>
        </is>
      </c>
      <c r="I607" s="11" t="inlineStr">
        <is>
          <t>cite</t>
        </is>
      </c>
      <c r="J607" s="11" t="inlineStr">
        <is>
          <t>no</t>
        </is>
      </c>
      <c r="K607" s="11" t="inlineStr">
        <is>
          <t>yes</t>
        </is>
      </c>
      <c r="L607" s="11" t="inlineStr">
        <is>
          <t>tune</t>
        </is>
      </c>
    </row>
    <row r="608">
      <c r="A608" s="11" t="inlineStr">
        <is>
          <t>605</t>
        </is>
      </c>
      <c r="B608" s="11" t="inlineStr">
        <is>
          <t>92</t>
        </is>
      </c>
      <c r="C608" s="11" t="inlineStr">
        <is>
          <t>SC</t>
        </is>
      </c>
      <c r="D608" s="11" t="inlineStr">
        <is>
          <t>no</t>
        </is>
      </c>
      <c r="E608" s="11" t="inlineStr">
        <is>
          <t>no</t>
        </is>
      </c>
      <c r="F608" s="11" t="inlineStr">
        <is>
          <t>c5870</t>
        </is>
      </c>
      <c r="G608" s="11" t="inlineStr">
        <is>
          <t>cite</t>
        </is>
      </c>
      <c r="H608" s="11" t="inlineStr">
        <is>
          <t>c4665</t>
        </is>
      </c>
      <c r="I608" s="11" t="inlineStr">
        <is>
          <t>cite</t>
        </is>
      </c>
      <c r="J608" s="11" t="inlineStr">
        <is>
          <t>no</t>
        </is>
      </c>
      <c r="K608" s="11" t="inlineStr">
        <is>
          <t>yes</t>
        </is>
      </c>
      <c r="L608" s="11" t="inlineStr">
        <is>
          <t>untouched</t>
        </is>
      </c>
    </row>
    <row r="609">
      <c r="A609" s="11" t="inlineStr">
        <is>
          <t>606</t>
        </is>
      </c>
      <c r="B609" s="11" t="inlineStr">
        <is>
          <t>93</t>
        </is>
      </c>
      <c r="C609" s="11" t="inlineStr">
        <is>
          <t>SC</t>
        </is>
      </c>
      <c r="D609" s="11" t="inlineStr">
        <is>
          <t>no</t>
        </is>
      </c>
      <c r="E609" s="11" t="inlineStr">
        <is>
          <t>no</t>
        </is>
      </c>
      <c r="F609" s="11" t="inlineStr">
        <is>
          <t>c5289</t>
        </is>
      </c>
      <c r="G609" s="11" t="inlineStr">
        <is>
          <t>cite</t>
        </is>
      </c>
      <c r="H609" s="11" t="inlineStr">
        <is>
          <t>c4892</t>
        </is>
      </c>
      <c r="I609" s="11" t="inlineStr">
        <is>
          <t>cite</t>
        </is>
      </c>
      <c r="J609" s="11" t="inlineStr">
        <is>
          <t>no</t>
        </is>
      </c>
      <c r="K609" s="11" t="inlineStr">
        <is>
          <t>yes</t>
        </is>
      </c>
      <c r="L609" s="11" t="inlineStr">
        <is>
          <t>tune</t>
        </is>
      </c>
    </row>
    <row r="610">
      <c r="A610" s="11" t="inlineStr">
        <is>
          <t>607</t>
        </is>
      </c>
      <c r="B610" s="11" t="inlineStr">
        <is>
          <t>93</t>
        </is>
      </c>
      <c r="C610" s="11" t="inlineStr">
        <is>
          <t>SC</t>
        </is>
      </c>
      <c r="D610" s="11" t="inlineStr">
        <is>
          <t>no</t>
        </is>
      </c>
      <c r="E610" s="11" t="inlineStr">
        <is>
          <t>no</t>
        </is>
      </c>
      <c r="F610" s="11" t="inlineStr">
        <is>
          <t>c19028</t>
        </is>
      </c>
      <c r="G610" s="11" t="inlineStr">
        <is>
          <t>cite</t>
        </is>
      </c>
      <c r="H610" s="11" t="inlineStr">
        <is>
          <t>c27701</t>
        </is>
      </c>
      <c r="I610" s="11" t="inlineStr">
        <is>
          <t>name</t>
        </is>
      </c>
      <c r="J610" s="11" t="inlineStr">
        <is>
          <t>no</t>
        </is>
      </c>
      <c r="K610" s="11" t="inlineStr">
        <is>
          <t>yes</t>
        </is>
      </c>
      <c r="L610" s="11" t="inlineStr">
        <is>
          <t>untouched</t>
        </is>
      </c>
    </row>
    <row r="611">
      <c r="A611" s="11" t="inlineStr">
        <is>
          <t>608</t>
        </is>
      </c>
      <c r="B611" s="11" t="inlineStr">
        <is>
          <t>93</t>
        </is>
      </c>
      <c r="C611" s="11" t="inlineStr">
        <is>
          <t>SC</t>
        </is>
      </c>
      <c r="D611" s="11" t="inlineStr">
        <is>
          <t>no</t>
        </is>
      </c>
      <c r="E611" s="11" t="inlineStr">
        <is>
          <t>no</t>
        </is>
      </c>
      <c r="F611" s="11" t="inlineStr">
        <is>
          <t>c142</t>
        </is>
      </c>
      <c r="G611" s="11" t="inlineStr">
        <is>
          <t>cite</t>
        </is>
      </c>
      <c r="H611" s="11" t="inlineStr">
        <is>
          <t>c15675</t>
        </is>
      </c>
      <c r="I611" s="11" t="inlineStr">
        <is>
          <t>cite</t>
        </is>
      </c>
      <c r="J611" s="11" t="inlineStr">
        <is>
          <t>no</t>
        </is>
      </c>
      <c r="K611" s="11" t="inlineStr">
        <is>
          <t>yes</t>
        </is>
      </c>
      <c r="L611" s="11" t="inlineStr">
        <is>
          <t>tune</t>
        </is>
      </c>
    </row>
    <row r="612">
      <c r="A612" s="11" t="inlineStr">
        <is>
          <t>609</t>
        </is>
      </c>
      <c r="B612" s="11" t="inlineStr">
        <is>
          <t>93</t>
        </is>
      </c>
      <c r="C612" s="11" t="inlineStr">
        <is>
          <t>SC</t>
        </is>
      </c>
      <c r="D612" s="11" t="inlineStr">
        <is>
          <t>no</t>
        </is>
      </c>
      <c r="E612" s="11" t="inlineStr">
        <is>
          <t>no</t>
        </is>
      </c>
      <c r="F612" s="11" t="inlineStr">
        <is>
          <t>c3453</t>
        </is>
      </c>
      <c r="G612" s="11" t="inlineStr">
        <is>
          <t>cite</t>
        </is>
      </c>
      <c r="H612" s="11" t="inlineStr"/>
      <c r="I612" s="11" t="inlineStr"/>
      <c r="J612" s="11" t="inlineStr">
        <is>
          <t>no</t>
        </is>
      </c>
      <c r="K612" s="11" t="inlineStr">
        <is>
          <t>no</t>
        </is>
      </c>
      <c r="L612" s="11" t="inlineStr"/>
    </row>
    <row r="613">
      <c r="A613" s="11" t="inlineStr">
        <is>
          <t>610</t>
        </is>
      </c>
      <c r="B613" s="11" t="inlineStr">
        <is>
          <t>93</t>
        </is>
      </c>
      <c r="C613" s="11" t="inlineStr">
        <is>
          <t>SC</t>
        </is>
      </c>
      <c r="D613" s="11" t="inlineStr">
        <is>
          <t>no</t>
        </is>
      </c>
      <c r="E613" s="11" t="inlineStr">
        <is>
          <t>no</t>
        </is>
      </c>
      <c r="F613" s="11" t="inlineStr">
        <is>
          <t>c20319</t>
        </is>
      </c>
      <c r="G613" s="11" t="inlineStr">
        <is>
          <t>cite</t>
        </is>
      </c>
      <c r="H613" s="11" t="inlineStr"/>
      <c r="I613" s="11" t="inlineStr"/>
      <c r="J613" s="11" t="inlineStr">
        <is>
          <t>no</t>
        </is>
      </c>
      <c r="K613" s="11" t="inlineStr">
        <is>
          <t>no</t>
        </is>
      </c>
      <c r="L613" s="11" t="inlineStr"/>
    </row>
    <row r="614">
      <c r="A614" s="11" t="inlineStr">
        <is>
          <t>611</t>
        </is>
      </c>
      <c r="B614" s="11" t="inlineStr">
        <is>
          <t>93</t>
        </is>
      </c>
      <c r="C614" s="11" t="inlineStr">
        <is>
          <t>SC</t>
        </is>
      </c>
      <c r="D614" s="11" t="inlineStr">
        <is>
          <t>no</t>
        </is>
      </c>
      <c r="E614" s="11" t="inlineStr">
        <is>
          <t>no</t>
        </is>
      </c>
      <c r="F614" s="11" t="inlineStr">
        <is>
          <t>c89</t>
        </is>
      </c>
      <c r="G614" s="11" t="inlineStr">
        <is>
          <t>cite</t>
        </is>
      </c>
      <c r="H614" s="11" t="inlineStr">
        <is>
          <t>c2774</t>
        </is>
      </c>
      <c r="I614" s="11" t="inlineStr">
        <is>
          <t>cite</t>
        </is>
      </c>
      <c r="J614" s="11" t="inlineStr">
        <is>
          <t>no</t>
        </is>
      </c>
      <c r="K614" s="11" t="inlineStr">
        <is>
          <t>yes</t>
        </is>
      </c>
      <c r="L614" s="11" t="inlineStr">
        <is>
          <t>untouched</t>
        </is>
      </c>
    </row>
    <row r="615">
      <c r="A615" s="11" t="inlineStr">
        <is>
          <t>612</t>
        </is>
      </c>
      <c r="B615" s="11" t="inlineStr">
        <is>
          <t>94</t>
        </is>
      </c>
      <c r="C615" s="11" t="inlineStr">
        <is>
          <t>HC/tribunal/other</t>
        </is>
      </c>
      <c r="D615" s="11" t="inlineStr">
        <is>
          <t>no</t>
        </is>
      </c>
      <c r="E615" s="11" t="inlineStr">
        <is>
          <t>no</t>
        </is>
      </c>
      <c r="F615" s="11" t="inlineStr"/>
      <c r="G615" s="11" t="inlineStr"/>
      <c r="H615" s="11" t="inlineStr">
        <is>
          <t>c1722</t>
        </is>
      </c>
      <c r="I615" s="11" t="inlineStr">
        <is>
          <t>cite</t>
        </is>
      </c>
      <c r="J615" s="11" t="inlineStr">
        <is>
          <t>no</t>
        </is>
      </c>
      <c r="K615" s="11" t="inlineStr">
        <is>
          <t>no</t>
        </is>
      </c>
      <c r="L615" s="11" t="inlineStr"/>
    </row>
    <row r="616">
      <c r="A616" s="11" t="inlineStr">
        <is>
          <t>613</t>
        </is>
      </c>
      <c r="B616" s="11" t="inlineStr">
        <is>
          <t>94</t>
        </is>
      </c>
      <c r="C616" s="11" t="inlineStr">
        <is>
          <t>SC</t>
        </is>
      </c>
      <c r="D616" s="11" t="inlineStr">
        <is>
          <t>no</t>
        </is>
      </c>
      <c r="E616" s="11" t="inlineStr">
        <is>
          <t>no</t>
        </is>
      </c>
      <c r="F616" s="11" t="inlineStr">
        <is>
          <t>c3233</t>
        </is>
      </c>
      <c r="G616" s="11" t="inlineStr">
        <is>
          <t>cite</t>
        </is>
      </c>
      <c r="H616" s="11" t="inlineStr">
        <is>
          <t>c14072</t>
        </is>
      </c>
      <c r="I616" s="11" t="inlineStr">
        <is>
          <t>cite</t>
        </is>
      </c>
      <c r="J616" s="11" t="inlineStr">
        <is>
          <t>no</t>
        </is>
      </c>
      <c r="K616" s="11" t="inlineStr">
        <is>
          <t>yes</t>
        </is>
      </c>
      <c r="L616" s="11" t="inlineStr">
        <is>
          <t>untouched</t>
        </is>
      </c>
    </row>
    <row r="617">
      <c r="A617" s="11" t="inlineStr">
        <is>
          <t>614</t>
        </is>
      </c>
      <c r="B617" s="11" t="inlineStr">
        <is>
          <t>94</t>
        </is>
      </c>
      <c r="C617" s="11" t="inlineStr">
        <is>
          <t>SC</t>
        </is>
      </c>
      <c r="D617" s="11" t="inlineStr">
        <is>
          <t>no</t>
        </is>
      </c>
      <c r="E617" s="11" t="inlineStr">
        <is>
          <t>yes</t>
        </is>
      </c>
      <c r="F617" s="11" t="inlineStr">
        <is>
          <t>c4803</t>
        </is>
      </c>
      <c r="G617" s="11" t="inlineStr">
        <is>
          <t>cite</t>
        </is>
      </c>
      <c r="H617" s="11" t="inlineStr">
        <is>
          <t>c12844</t>
        </is>
      </c>
      <c r="I617" s="11" t="inlineStr">
        <is>
          <t>cite</t>
        </is>
      </c>
      <c r="J617" s="11" t="inlineStr">
        <is>
          <t>no</t>
        </is>
      </c>
      <c r="K617" s="11" t="inlineStr">
        <is>
          <t>yes</t>
        </is>
      </c>
      <c r="L617" s="11" t="inlineStr">
        <is>
          <t>tune</t>
        </is>
      </c>
    </row>
    <row r="618">
      <c r="A618" s="11" t="inlineStr">
        <is>
          <t>615</t>
        </is>
      </c>
      <c r="B618" s="11" t="inlineStr">
        <is>
          <t>94</t>
        </is>
      </c>
      <c r="C618" s="11" t="inlineStr">
        <is>
          <t>SC</t>
        </is>
      </c>
      <c r="D618" s="11" t="inlineStr">
        <is>
          <t>no</t>
        </is>
      </c>
      <c r="E618" s="11" t="inlineStr">
        <is>
          <t>no</t>
        </is>
      </c>
      <c r="F618" s="11" t="inlineStr">
        <is>
          <t>c4507</t>
        </is>
      </c>
      <c r="G618" s="11" t="inlineStr">
        <is>
          <t>cite</t>
        </is>
      </c>
      <c r="H618" s="11" t="inlineStr">
        <is>
          <t>c9438</t>
        </is>
      </c>
      <c r="I618" s="11" t="inlineStr">
        <is>
          <t>cite</t>
        </is>
      </c>
      <c r="J618" s="11" t="inlineStr">
        <is>
          <t>no</t>
        </is>
      </c>
      <c r="K618" s="11" t="inlineStr">
        <is>
          <t>yes</t>
        </is>
      </c>
      <c r="L618" s="11" t="inlineStr">
        <is>
          <t>untouched</t>
        </is>
      </c>
    </row>
    <row r="619">
      <c r="A619" s="11" t="inlineStr">
        <is>
          <t>616</t>
        </is>
      </c>
      <c r="B619" s="11" t="inlineStr">
        <is>
          <t>94</t>
        </is>
      </c>
      <c r="C619" s="11" t="inlineStr">
        <is>
          <t>SC</t>
        </is>
      </c>
      <c r="D619" s="11" t="inlineStr">
        <is>
          <t>no</t>
        </is>
      </c>
      <c r="E619" s="11" t="inlineStr">
        <is>
          <t>no</t>
        </is>
      </c>
      <c r="F619" s="11" t="inlineStr">
        <is>
          <t>c9691</t>
        </is>
      </c>
      <c r="G619" s="11" t="inlineStr">
        <is>
          <t>cite</t>
        </is>
      </c>
      <c r="H619" s="11" t="inlineStr">
        <is>
          <t>c7921</t>
        </is>
      </c>
      <c r="I619" s="11" t="inlineStr">
        <is>
          <t>cite</t>
        </is>
      </c>
      <c r="J619" s="11" t="inlineStr">
        <is>
          <t>no</t>
        </is>
      </c>
      <c r="K619" s="11" t="inlineStr">
        <is>
          <t>yes</t>
        </is>
      </c>
      <c r="L619" s="11" t="inlineStr">
        <is>
          <t>tune</t>
        </is>
      </c>
    </row>
    <row r="620">
      <c r="A620" s="11" t="inlineStr">
        <is>
          <t>617</t>
        </is>
      </c>
      <c r="B620" s="11" t="inlineStr">
        <is>
          <t>94</t>
        </is>
      </c>
      <c r="C620" s="11" t="inlineStr">
        <is>
          <t>SC</t>
        </is>
      </c>
      <c r="D620" s="11" t="inlineStr">
        <is>
          <t>no</t>
        </is>
      </c>
      <c r="E620" s="11" t="inlineStr">
        <is>
          <t>no</t>
        </is>
      </c>
      <c r="F620" s="11" t="inlineStr">
        <is>
          <t>c1680</t>
        </is>
      </c>
      <c r="G620" s="11" t="inlineStr">
        <is>
          <t>cite</t>
        </is>
      </c>
      <c r="H620" s="11" t="inlineStr">
        <is>
          <t>c7423</t>
        </is>
      </c>
      <c r="I620" s="11" t="inlineStr">
        <is>
          <t>cite</t>
        </is>
      </c>
      <c r="J620" s="11" t="inlineStr">
        <is>
          <t>no</t>
        </is>
      </c>
      <c r="K620" s="11" t="inlineStr">
        <is>
          <t>yes</t>
        </is>
      </c>
      <c r="L620" s="11" t="inlineStr">
        <is>
          <t>untouched</t>
        </is>
      </c>
    </row>
    <row r="621">
      <c r="A621" s="11" t="inlineStr">
        <is>
          <t>618</t>
        </is>
      </c>
      <c r="B621" s="11" t="inlineStr">
        <is>
          <t>94</t>
        </is>
      </c>
      <c r="C621" s="11" t="inlineStr">
        <is>
          <t>SC</t>
        </is>
      </c>
      <c r="D621" s="11" t="inlineStr">
        <is>
          <t>no</t>
        </is>
      </c>
      <c r="E621" s="11" t="inlineStr">
        <is>
          <t>yes</t>
        </is>
      </c>
      <c r="F621" s="11" t="inlineStr">
        <is>
          <t>c7898</t>
        </is>
      </c>
      <c r="G621" s="11" t="inlineStr">
        <is>
          <t>cite</t>
        </is>
      </c>
      <c r="H621" s="11" t="inlineStr"/>
      <c r="I621" s="11" t="inlineStr"/>
      <c r="J621" s="11" t="inlineStr">
        <is>
          <t>no</t>
        </is>
      </c>
      <c r="K621" s="11" t="inlineStr">
        <is>
          <t>no</t>
        </is>
      </c>
      <c r="L621" s="11" t="inlineStr"/>
    </row>
    <row r="622">
      <c r="A622" s="11" t="inlineStr">
        <is>
          <t>619</t>
        </is>
      </c>
      <c r="B622" s="11" t="inlineStr">
        <is>
          <t>95</t>
        </is>
      </c>
      <c r="C622" s="11" t="inlineStr">
        <is>
          <t>SC</t>
        </is>
      </c>
      <c r="D622" s="11" t="inlineStr">
        <is>
          <t>no</t>
        </is>
      </c>
      <c r="E622" s="11" t="inlineStr">
        <is>
          <t>no</t>
        </is>
      </c>
      <c r="F622" s="11" t="inlineStr">
        <is>
          <t>c5876</t>
        </is>
      </c>
      <c r="G622" s="11" t="inlineStr">
        <is>
          <t>cite</t>
        </is>
      </c>
      <c r="H622" s="11" t="inlineStr">
        <is>
          <t>c9242</t>
        </is>
      </c>
      <c r="I622" s="11" t="inlineStr">
        <is>
          <t>cite</t>
        </is>
      </c>
      <c r="J622" s="11" t="inlineStr">
        <is>
          <t>no</t>
        </is>
      </c>
      <c r="K622" s="11" t="inlineStr">
        <is>
          <t>yes</t>
        </is>
      </c>
      <c r="L622" s="11" t="inlineStr">
        <is>
          <t>untouched</t>
        </is>
      </c>
    </row>
    <row r="623">
      <c r="A623" s="11" t="inlineStr">
        <is>
          <t>620</t>
        </is>
      </c>
      <c r="B623" s="11" t="inlineStr">
        <is>
          <t>95</t>
        </is>
      </c>
      <c r="C623" s="11" t="inlineStr">
        <is>
          <t>SC</t>
        </is>
      </c>
      <c r="D623" s="11" t="inlineStr">
        <is>
          <t>no</t>
        </is>
      </c>
      <c r="E623" s="11" t="inlineStr">
        <is>
          <t>no</t>
        </is>
      </c>
      <c r="F623" s="11" t="inlineStr">
        <is>
          <t>c17143</t>
        </is>
      </c>
      <c r="G623" s="11" t="inlineStr">
        <is>
          <t>name</t>
        </is>
      </c>
      <c r="H623" s="11" t="inlineStr"/>
      <c r="I623" s="11" t="inlineStr"/>
      <c r="J623" s="11" t="inlineStr">
        <is>
          <t>no</t>
        </is>
      </c>
      <c r="K623" s="11" t="inlineStr">
        <is>
          <t>no</t>
        </is>
      </c>
      <c r="L623" s="11" t="inlineStr"/>
    </row>
    <row r="624">
      <c r="A624" s="11" t="inlineStr">
        <is>
          <t>621</t>
        </is>
      </c>
      <c r="B624" s="11" t="inlineStr">
        <is>
          <t>95</t>
        </is>
      </c>
      <c r="C624" s="11" t="inlineStr">
        <is>
          <t>SC</t>
        </is>
      </c>
      <c r="D624" s="11" t="inlineStr">
        <is>
          <t>no</t>
        </is>
      </c>
      <c r="E624" s="11" t="inlineStr">
        <is>
          <t>no</t>
        </is>
      </c>
      <c r="F624" s="11" t="inlineStr">
        <is>
          <t>c4870</t>
        </is>
      </c>
      <c r="G624" s="11" t="inlineStr">
        <is>
          <t>cite</t>
        </is>
      </c>
      <c r="H624" s="11" t="inlineStr">
        <is>
          <t>c7649</t>
        </is>
      </c>
      <c r="I624" s="11" t="inlineStr">
        <is>
          <t>cite</t>
        </is>
      </c>
      <c r="J624" s="11" t="inlineStr">
        <is>
          <t>no</t>
        </is>
      </c>
      <c r="K624" s="11" t="inlineStr">
        <is>
          <t>yes</t>
        </is>
      </c>
      <c r="L624" s="11" t="inlineStr">
        <is>
          <t>untouched</t>
        </is>
      </c>
    </row>
    <row r="625">
      <c r="A625" s="11" t="inlineStr">
        <is>
          <t>622</t>
        </is>
      </c>
      <c r="B625" s="11" t="inlineStr">
        <is>
          <t>95</t>
        </is>
      </c>
      <c r="C625" s="11" t="inlineStr">
        <is>
          <t>HC/tribunal/other</t>
        </is>
      </c>
      <c r="D625" s="11" t="inlineStr">
        <is>
          <t>no</t>
        </is>
      </c>
      <c r="E625" s="11" t="inlineStr">
        <is>
          <t>no</t>
        </is>
      </c>
      <c r="F625" s="11" t="inlineStr"/>
      <c r="G625" s="11" t="inlineStr"/>
      <c r="H625" s="11" t="inlineStr">
        <is>
          <t>c5030</t>
        </is>
      </c>
      <c r="I625" s="11" t="inlineStr">
        <is>
          <t>cite</t>
        </is>
      </c>
      <c r="J625" s="11" t="inlineStr">
        <is>
          <t>no</t>
        </is>
      </c>
      <c r="K625" s="11" t="inlineStr">
        <is>
          <t>no</t>
        </is>
      </c>
      <c r="L625" s="11" t="inlineStr"/>
    </row>
    <row r="626">
      <c r="A626" s="11" t="inlineStr">
        <is>
          <t>623</t>
        </is>
      </c>
      <c r="B626" s="11" t="inlineStr">
        <is>
          <t>95</t>
        </is>
      </c>
      <c r="C626" s="11" t="inlineStr">
        <is>
          <t>SC</t>
        </is>
      </c>
      <c r="D626" s="11" t="inlineStr">
        <is>
          <t>no</t>
        </is>
      </c>
      <c r="E626" s="11" t="inlineStr">
        <is>
          <t>no</t>
        </is>
      </c>
      <c r="F626" s="11" t="inlineStr">
        <is>
          <t>c1378</t>
        </is>
      </c>
      <c r="G626" s="11" t="inlineStr">
        <is>
          <t>cite</t>
        </is>
      </c>
      <c r="H626" s="11" t="inlineStr">
        <is>
          <t>c14544</t>
        </is>
      </c>
      <c r="I626" s="11" t="inlineStr">
        <is>
          <t>cite</t>
        </is>
      </c>
      <c r="J626" s="11" t="inlineStr">
        <is>
          <t>no</t>
        </is>
      </c>
      <c r="K626" s="11" t="inlineStr">
        <is>
          <t>yes</t>
        </is>
      </c>
      <c r="L626" s="11" t="inlineStr">
        <is>
          <t>untouched</t>
        </is>
      </c>
    </row>
    <row r="627">
      <c r="A627" s="11" t="inlineStr">
        <is>
          <t>624</t>
        </is>
      </c>
      <c r="B627" s="11" t="inlineStr">
        <is>
          <t>95</t>
        </is>
      </c>
      <c r="C627" s="11" t="inlineStr">
        <is>
          <t>SC</t>
        </is>
      </c>
      <c r="D627" s="11" t="inlineStr">
        <is>
          <t>no</t>
        </is>
      </c>
      <c r="E627" s="11" t="inlineStr">
        <is>
          <t>no</t>
        </is>
      </c>
      <c r="F627" s="11" t="inlineStr">
        <is>
          <t>c1348</t>
        </is>
      </c>
      <c r="G627" s="11" t="inlineStr">
        <is>
          <t>cite</t>
        </is>
      </c>
      <c r="H627" s="11" t="inlineStr">
        <is>
          <t>c12470</t>
        </is>
      </c>
      <c r="I627" s="11" t="inlineStr">
        <is>
          <t>cite</t>
        </is>
      </c>
      <c r="J627" s="11" t="inlineStr">
        <is>
          <t>no</t>
        </is>
      </c>
      <c r="K627" s="11" t="inlineStr">
        <is>
          <t>yes</t>
        </is>
      </c>
      <c r="L627" s="11" t="inlineStr">
        <is>
          <t>tune</t>
        </is>
      </c>
    </row>
    <row r="628">
      <c r="A628" s="11" t="inlineStr">
        <is>
          <t>625</t>
        </is>
      </c>
      <c r="B628" s="11" t="inlineStr">
        <is>
          <t>96</t>
        </is>
      </c>
      <c r="C628" s="11" t="inlineStr">
        <is>
          <t>SC</t>
        </is>
      </c>
      <c r="D628" s="11" t="inlineStr">
        <is>
          <t>no</t>
        </is>
      </c>
      <c r="E628" s="11" t="inlineStr">
        <is>
          <t>no</t>
        </is>
      </c>
      <c r="F628" s="11" t="inlineStr">
        <is>
          <t>b1995_3_765_772</t>
        </is>
      </c>
      <c r="G628" s="11" t="inlineStr">
        <is>
          <t>cite</t>
        </is>
      </c>
      <c r="H628" s="11" t="inlineStr">
        <is>
          <t>c10258</t>
        </is>
      </c>
      <c r="I628" s="11" t="inlineStr">
        <is>
          <t>cite</t>
        </is>
      </c>
      <c r="J628" s="11" t="inlineStr">
        <is>
          <t>no</t>
        </is>
      </c>
      <c r="K628" s="11" t="inlineStr">
        <is>
          <t>yes</t>
        </is>
      </c>
      <c r="L628" s="11" t="inlineStr">
        <is>
          <t>untouched</t>
        </is>
      </c>
    </row>
    <row r="629">
      <c r="A629" s="11" t="inlineStr">
        <is>
          <t>626</t>
        </is>
      </c>
      <c r="B629" s="11" t="inlineStr">
        <is>
          <t>96</t>
        </is>
      </c>
      <c r="C629" s="11" t="inlineStr">
        <is>
          <t>SC</t>
        </is>
      </c>
      <c r="D629" s="11" t="inlineStr">
        <is>
          <t>no</t>
        </is>
      </c>
      <c r="E629" s="11" t="inlineStr">
        <is>
          <t>no</t>
        </is>
      </c>
      <c r="F629" s="11" t="inlineStr">
        <is>
          <t>c10145</t>
        </is>
      </c>
      <c r="G629" s="11" t="inlineStr">
        <is>
          <t>cite</t>
        </is>
      </c>
      <c r="H629" s="11" t="inlineStr"/>
      <c r="I629" s="11" t="inlineStr"/>
      <c r="J629" s="11" t="inlineStr">
        <is>
          <t>no</t>
        </is>
      </c>
      <c r="K629" s="11" t="inlineStr">
        <is>
          <t>no</t>
        </is>
      </c>
      <c r="L629" s="11" t="inlineStr"/>
    </row>
    <row r="630">
      <c r="A630" s="11" t="inlineStr">
        <is>
          <t>627</t>
        </is>
      </c>
      <c r="B630" s="11" t="inlineStr">
        <is>
          <t>96</t>
        </is>
      </c>
      <c r="C630" s="11" t="inlineStr">
        <is>
          <t>SC</t>
        </is>
      </c>
      <c r="D630" s="11" t="inlineStr">
        <is>
          <t>no</t>
        </is>
      </c>
      <c r="E630" s="11" t="inlineStr">
        <is>
          <t>no</t>
        </is>
      </c>
      <c r="F630" s="11" t="inlineStr">
        <is>
          <t>c8041</t>
        </is>
      </c>
      <c r="G630" s="11" t="inlineStr">
        <is>
          <t>cite</t>
        </is>
      </c>
      <c r="H630" s="11" t="inlineStr">
        <is>
          <t>c10920</t>
        </is>
      </c>
      <c r="I630" s="11" t="inlineStr">
        <is>
          <t>cite</t>
        </is>
      </c>
      <c r="J630" s="11" t="inlineStr">
        <is>
          <t>no</t>
        </is>
      </c>
      <c r="K630" s="11" t="inlineStr">
        <is>
          <t>yes</t>
        </is>
      </c>
      <c r="L630" s="11" t="inlineStr">
        <is>
          <t>untouched</t>
        </is>
      </c>
    </row>
    <row r="631">
      <c r="A631" s="11" t="inlineStr">
        <is>
          <t>628</t>
        </is>
      </c>
      <c r="B631" s="11" t="inlineStr">
        <is>
          <t>96</t>
        </is>
      </c>
      <c r="C631" s="11" t="inlineStr">
        <is>
          <t>SC</t>
        </is>
      </c>
      <c r="D631" s="11" t="inlineStr">
        <is>
          <t>no</t>
        </is>
      </c>
      <c r="E631" s="11" t="inlineStr">
        <is>
          <t>no</t>
        </is>
      </c>
      <c r="F631" s="11" t="inlineStr">
        <is>
          <t>c6248</t>
        </is>
      </c>
      <c r="G631" s="11" t="inlineStr">
        <is>
          <t>cite</t>
        </is>
      </c>
      <c r="H631" s="11" t="inlineStr">
        <is>
          <t>c9164</t>
        </is>
      </c>
      <c r="I631" s="11" t="inlineStr">
        <is>
          <t>cite</t>
        </is>
      </c>
      <c r="J631" s="11" t="inlineStr">
        <is>
          <t>no</t>
        </is>
      </c>
      <c r="K631" s="11" t="inlineStr">
        <is>
          <t>yes</t>
        </is>
      </c>
      <c r="L631" s="11" t="inlineStr">
        <is>
          <t>tune</t>
        </is>
      </c>
    </row>
    <row r="632">
      <c r="A632" s="11" t="inlineStr">
        <is>
          <t>629</t>
        </is>
      </c>
      <c r="B632" s="11" t="inlineStr">
        <is>
          <t>96</t>
        </is>
      </c>
      <c r="C632" s="11" t="inlineStr">
        <is>
          <t>SC</t>
        </is>
      </c>
      <c r="D632" s="11" t="inlineStr">
        <is>
          <t>no</t>
        </is>
      </c>
      <c r="E632" s="11" t="inlineStr">
        <is>
          <t>no</t>
        </is>
      </c>
      <c r="F632" s="11" t="inlineStr">
        <is>
          <t>c9633</t>
        </is>
      </c>
      <c r="G632" s="11" t="inlineStr">
        <is>
          <t>cite</t>
        </is>
      </c>
      <c r="H632" s="11" t="inlineStr">
        <is>
          <t>c13429</t>
        </is>
      </c>
      <c r="I632" s="11" t="inlineStr">
        <is>
          <t>cite</t>
        </is>
      </c>
      <c r="J632" s="11" t="inlineStr">
        <is>
          <t>no</t>
        </is>
      </c>
      <c r="K632" s="11" t="inlineStr">
        <is>
          <t>yes</t>
        </is>
      </c>
      <c r="L632" s="11" t="inlineStr">
        <is>
          <t>untouched</t>
        </is>
      </c>
    </row>
    <row r="633">
      <c r="A633" s="11" t="inlineStr">
        <is>
          <t>630</t>
        </is>
      </c>
      <c r="B633" s="11" t="inlineStr">
        <is>
          <t>96</t>
        </is>
      </c>
      <c r="C633" s="11" t="inlineStr">
        <is>
          <t>SC</t>
        </is>
      </c>
      <c r="D633" s="11" t="inlineStr">
        <is>
          <t>no</t>
        </is>
      </c>
      <c r="E633" s="11" t="inlineStr">
        <is>
          <t>no</t>
        </is>
      </c>
      <c r="F633" s="11" t="inlineStr">
        <is>
          <t>c2008</t>
        </is>
      </c>
      <c r="G633" s="11" t="inlineStr">
        <is>
          <t>cite</t>
        </is>
      </c>
      <c r="H633" s="11" t="inlineStr">
        <is>
          <t>c5125</t>
        </is>
      </c>
      <c r="I633" s="11" t="inlineStr">
        <is>
          <t>cite</t>
        </is>
      </c>
      <c r="J633" s="11" t="inlineStr">
        <is>
          <t>no</t>
        </is>
      </c>
      <c r="K633" s="11" t="inlineStr">
        <is>
          <t>yes</t>
        </is>
      </c>
      <c r="L633" s="11" t="inlineStr">
        <is>
          <t>tune</t>
        </is>
      </c>
    </row>
    <row r="634">
      <c r="A634" s="11" t="inlineStr">
        <is>
          <t>631</t>
        </is>
      </c>
      <c r="B634" s="11" t="inlineStr">
        <is>
          <t>97</t>
        </is>
      </c>
      <c r="C634" s="11" t="inlineStr">
        <is>
          <t>SC</t>
        </is>
      </c>
      <c r="D634" s="11" t="inlineStr">
        <is>
          <t>no</t>
        </is>
      </c>
      <c r="E634" s="11" t="inlineStr">
        <is>
          <t>no</t>
        </is>
      </c>
      <c r="F634" s="11" t="inlineStr">
        <is>
          <t>c7921</t>
        </is>
      </c>
      <c r="G634" s="11" t="inlineStr">
        <is>
          <t>cite</t>
        </is>
      </c>
      <c r="H634" s="11" t="inlineStr">
        <is>
          <t>c13429</t>
        </is>
      </c>
      <c r="I634" s="11" t="inlineStr">
        <is>
          <t>cite</t>
        </is>
      </c>
      <c r="J634" s="11" t="inlineStr">
        <is>
          <t>no</t>
        </is>
      </c>
      <c r="K634" s="11" t="inlineStr">
        <is>
          <t>yes</t>
        </is>
      </c>
      <c r="L634" s="11" t="inlineStr">
        <is>
          <t>untouched</t>
        </is>
      </c>
    </row>
    <row r="635">
      <c r="A635" s="11" t="inlineStr">
        <is>
          <t>632</t>
        </is>
      </c>
      <c r="B635" s="11" t="inlineStr">
        <is>
          <t>97</t>
        </is>
      </c>
      <c r="C635" s="11" t="inlineStr">
        <is>
          <t>SC</t>
        </is>
      </c>
      <c r="D635" s="11" t="inlineStr">
        <is>
          <t>no</t>
        </is>
      </c>
      <c r="E635" s="11" t="inlineStr">
        <is>
          <t>no</t>
        </is>
      </c>
      <c r="F635" s="11" t="inlineStr">
        <is>
          <t>c4226</t>
        </is>
      </c>
      <c r="G635" s="11" t="inlineStr">
        <is>
          <t>cite</t>
        </is>
      </c>
      <c r="H635" s="11" t="inlineStr">
        <is>
          <t>c2906</t>
        </is>
      </c>
      <c r="I635" s="11" t="inlineStr">
        <is>
          <t>cite</t>
        </is>
      </c>
      <c r="J635" s="11" t="inlineStr">
        <is>
          <t>no</t>
        </is>
      </c>
      <c r="K635" s="11" t="inlineStr">
        <is>
          <t>yes</t>
        </is>
      </c>
      <c r="L635" s="11" t="inlineStr">
        <is>
          <t>tune</t>
        </is>
      </c>
    </row>
    <row r="636">
      <c r="A636" s="11" t="inlineStr">
        <is>
          <t>633</t>
        </is>
      </c>
      <c r="B636" s="11" t="inlineStr">
        <is>
          <t>97</t>
        </is>
      </c>
      <c r="C636" s="11" t="inlineStr">
        <is>
          <t>SC</t>
        </is>
      </c>
      <c r="D636" s="11" t="inlineStr">
        <is>
          <t>no</t>
        </is>
      </c>
      <c r="E636" s="11" t="inlineStr">
        <is>
          <t>no</t>
        </is>
      </c>
      <c r="F636" s="11" t="inlineStr">
        <is>
          <t>c4545</t>
        </is>
      </c>
      <c r="G636" s="11" t="inlineStr">
        <is>
          <t>cite</t>
        </is>
      </c>
      <c r="H636" s="11" t="inlineStr">
        <is>
          <t>c9186</t>
        </is>
      </c>
      <c r="I636" s="11" t="inlineStr">
        <is>
          <t>cite</t>
        </is>
      </c>
      <c r="J636" s="11" t="inlineStr">
        <is>
          <t>no</t>
        </is>
      </c>
      <c r="K636" s="11" t="inlineStr">
        <is>
          <t>yes</t>
        </is>
      </c>
      <c r="L636" s="11" t="inlineStr">
        <is>
          <t>untouched</t>
        </is>
      </c>
    </row>
    <row r="637">
      <c r="A637" s="11" t="inlineStr">
        <is>
          <t>634</t>
        </is>
      </c>
      <c r="B637" s="11" t="inlineStr">
        <is>
          <t>97</t>
        </is>
      </c>
      <c r="C637" s="11" t="inlineStr">
        <is>
          <t>SC</t>
        </is>
      </c>
      <c r="D637" s="11" t="inlineStr">
        <is>
          <t>no</t>
        </is>
      </c>
      <c r="E637" s="11" t="inlineStr">
        <is>
          <t>no</t>
        </is>
      </c>
      <c r="F637" s="11" t="inlineStr"/>
      <c r="G637" s="11" t="inlineStr"/>
      <c r="H637" s="11" t="inlineStr">
        <is>
          <t>c16161</t>
        </is>
      </c>
      <c r="I637" s="11" t="inlineStr">
        <is>
          <t>cite</t>
        </is>
      </c>
      <c r="J637" s="11" t="inlineStr">
        <is>
          <t>no</t>
        </is>
      </c>
      <c r="K637" s="11" t="inlineStr">
        <is>
          <t>no</t>
        </is>
      </c>
      <c r="L637" s="11" t="inlineStr"/>
    </row>
    <row r="638">
      <c r="A638" s="11" t="inlineStr">
        <is>
          <t>635</t>
        </is>
      </c>
      <c r="B638" s="11" t="inlineStr">
        <is>
          <t>97</t>
        </is>
      </c>
      <c r="C638" s="11" t="inlineStr">
        <is>
          <t>SC</t>
        </is>
      </c>
      <c r="D638" s="11" t="inlineStr">
        <is>
          <t>no</t>
        </is>
      </c>
      <c r="E638" s="11" t="inlineStr">
        <is>
          <t>no</t>
        </is>
      </c>
      <c r="F638" s="11" t="inlineStr">
        <is>
          <t>bS_1991_3_112_116</t>
        </is>
      </c>
      <c r="G638" s="11" t="inlineStr">
        <is>
          <t>name</t>
        </is>
      </c>
      <c r="H638" s="11" t="inlineStr">
        <is>
          <t>c31845</t>
        </is>
      </c>
      <c r="I638" s="11" t="inlineStr">
        <is>
          <t>name</t>
        </is>
      </c>
      <c r="J638" s="11" t="inlineStr">
        <is>
          <t>no</t>
        </is>
      </c>
      <c r="K638" s="11" t="inlineStr">
        <is>
          <t>yes</t>
        </is>
      </c>
      <c r="L638" s="11" t="inlineStr">
        <is>
          <t>untouched</t>
        </is>
      </c>
    </row>
    <row r="639">
      <c r="A639" s="11" t="inlineStr">
        <is>
          <t>636</t>
        </is>
      </c>
      <c r="B639" s="11" t="inlineStr">
        <is>
          <t>97</t>
        </is>
      </c>
      <c r="C639" s="11" t="inlineStr">
        <is>
          <t>SC</t>
        </is>
      </c>
      <c r="D639" s="11" t="inlineStr">
        <is>
          <t>no</t>
        </is>
      </c>
      <c r="E639" s="11" t="inlineStr">
        <is>
          <t>no</t>
        </is>
      </c>
      <c r="F639" s="11" t="inlineStr">
        <is>
          <t>c3684</t>
        </is>
      </c>
      <c r="G639" s="11" t="inlineStr">
        <is>
          <t>cite</t>
        </is>
      </c>
      <c r="H639" s="11" t="inlineStr">
        <is>
          <t>c5174</t>
        </is>
      </c>
      <c r="I639" s="11" t="inlineStr">
        <is>
          <t>cite</t>
        </is>
      </c>
      <c r="J639" s="11" t="inlineStr">
        <is>
          <t>no</t>
        </is>
      </c>
      <c r="K639" s="11" t="inlineStr">
        <is>
          <t>yes</t>
        </is>
      </c>
      <c r="L639" s="11" t="inlineStr">
        <is>
          <t>tune</t>
        </is>
      </c>
    </row>
    <row r="640">
      <c r="A640" s="11" t="inlineStr">
        <is>
          <t>637</t>
        </is>
      </c>
      <c r="B640" s="11" t="inlineStr">
        <is>
          <t>97</t>
        </is>
      </c>
      <c r="C640" s="11" t="inlineStr">
        <is>
          <t>SC</t>
        </is>
      </c>
      <c r="D640" s="11" t="inlineStr">
        <is>
          <t>no</t>
        </is>
      </c>
      <c r="E640" s="11" t="inlineStr">
        <is>
          <t>yes</t>
        </is>
      </c>
      <c r="F640" s="11" t="inlineStr"/>
      <c r="G640" s="11" t="inlineStr"/>
      <c r="H640" s="11" t="inlineStr"/>
      <c r="I640" s="11" t="inlineStr"/>
      <c r="J640" s="11" t="inlineStr">
        <is>
          <t>no</t>
        </is>
      </c>
      <c r="K640" s="11" t="inlineStr">
        <is>
          <t>no</t>
        </is>
      </c>
      <c r="L640" s="11" t="inlineStr"/>
    </row>
    <row r="641">
      <c r="A641" s="11" t="inlineStr">
        <is>
          <t>638</t>
        </is>
      </c>
      <c r="B641" s="11" t="inlineStr">
        <is>
          <t>98</t>
        </is>
      </c>
      <c r="C641" s="11" t="inlineStr">
        <is>
          <t>SC</t>
        </is>
      </c>
      <c r="D641" s="11" t="inlineStr">
        <is>
          <t>no</t>
        </is>
      </c>
      <c r="E641" s="11" t="inlineStr">
        <is>
          <t>yes</t>
        </is>
      </c>
      <c r="F641" s="11" t="inlineStr">
        <is>
          <t>c16806</t>
        </is>
      </c>
      <c r="G641" s="11" t="inlineStr">
        <is>
          <t>cite</t>
        </is>
      </c>
      <c r="H641" s="11" t="inlineStr"/>
      <c r="I641" s="11" t="inlineStr"/>
      <c r="J641" s="11" t="inlineStr">
        <is>
          <t>no</t>
        </is>
      </c>
      <c r="K641" s="11" t="inlineStr">
        <is>
          <t>no</t>
        </is>
      </c>
      <c r="L641" s="11" t="inlineStr"/>
    </row>
    <row r="642">
      <c r="A642" s="11" t="inlineStr">
        <is>
          <t>639</t>
        </is>
      </c>
      <c r="B642" s="11" t="inlineStr">
        <is>
          <t>98</t>
        </is>
      </c>
      <c r="C642" s="11" t="inlineStr">
        <is>
          <t>SC</t>
        </is>
      </c>
      <c r="D642" s="11" t="inlineStr">
        <is>
          <t>no</t>
        </is>
      </c>
      <c r="E642" s="11" t="inlineStr">
        <is>
          <t>no</t>
        </is>
      </c>
      <c r="F642" s="11" t="inlineStr">
        <is>
          <t>c8887</t>
        </is>
      </c>
      <c r="G642" s="11" t="inlineStr">
        <is>
          <t>cite</t>
        </is>
      </c>
      <c r="H642" s="11" t="inlineStr">
        <is>
          <t>c20683</t>
        </is>
      </c>
      <c r="I642" s="11" t="inlineStr">
        <is>
          <t>cite</t>
        </is>
      </c>
      <c r="J642" s="11" t="inlineStr">
        <is>
          <t>no</t>
        </is>
      </c>
      <c r="K642" s="11" t="inlineStr">
        <is>
          <t>yes</t>
        </is>
      </c>
      <c r="L642" s="11" t="inlineStr">
        <is>
          <t>untouched</t>
        </is>
      </c>
    </row>
    <row r="643">
      <c r="A643" s="11" t="inlineStr">
        <is>
          <t>640</t>
        </is>
      </c>
      <c r="B643" s="11" t="inlineStr">
        <is>
          <t>98</t>
        </is>
      </c>
      <c r="C643" s="11" t="inlineStr">
        <is>
          <t>SC</t>
        </is>
      </c>
      <c r="D643" s="11" t="inlineStr">
        <is>
          <t>no</t>
        </is>
      </c>
      <c r="E643" s="11" t="inlineStr">
        <is>
          <t>yes</t>
        </is>
      </c>
      <c r="F643" s="11" t="inlineStr">
        <is>
          <t>c5272</t>
        </is>
      </c>
      <c r="G643" s="11" t="inlineStr">
        <is>
          <t>cite</t>
        </is>
      </c>
      <c r="H643" s="11" t="inlineStr">
        <is>
          <t>c9950</t>
        </is>
      </c>
      <c r="I643" s="11" t="inlineStr">
        <is>
          <t>cite</t>
        </is>
      </c>
      <c r="J643" s="11" t="inlineStr">
        <is>
          <t>no</t>
        </is>
      </c>
      <c r="K643" s="11" t="inlineStr">
        <is>
          <t>yes</t>
        </is>
      </c>
      <c r="L643" s="11" t="inlineStr">
        <is>
          <t>tune</t>
        </is>
      </c>
    </row>
    <row r="644">
      <c r="A644" s="11" t="inlineStr">
        <is>
          <t>641</t>
        </is>
      </c>
      <c r="B644" s="11" t="inlineStr">
        <is>
          <t>98</t>
        </is>
      </c>
      <c r="C644" s="11" t="inlineStr">
        <is>
          <t>SC</t>
        </is>
      </c>
      <c r="D644" s="11" t="inlineStr">
        <is>
          <t>no</t>
        </is>
      </c>
      <c r="E644" s="11" t="inlineStr">
        <is>
          <t>no</t>
        </is>
      </c>
      <c r="F644" s="11" t="inlineStr">
        <is>
          <t>c3816</t>
        </is>
      </c>
      <c r="G644" s="11" t="inlineStr">
        <is>
          <t>cite</t>
        </is>
      </c>
      <c r="H644" s="11" t="inlineStr">
        <is>
          <t>c4751</t>
        </is>
      </c>
      <c r="I644" s="11" t="inlineStr">
        <is>
          <t>cite</t>
        </is>
      </c>
      <c r="J644" s="11" t="inlineStr">
        <is>
          <t>no</t>
        </is>
      </c>
      <c r="K644" s="11" t="inlineStr">
        <is>
          <t>yes</t>
        </is>
      </c>
      <c r="L644" s="11" t="inlineStr">
        <is>
          <t>untouched</t>
        </is>
      </c>
    </row>
    <row r="645">
      <c r="A645" s="11" t="inlineStr">
        <is>
          <t>642</t>
        </is>
      </c>
      <c r="B645" s="11" t="inlineStr">
        <is>
          <t>98</t>
        </is>
      </c>
      <c r="C645" s="11" t="inlineStr">
        <is>
          <t>SC</t>
        </is>
      </c>
      <c r="D645" s="11" t="inlineStr">
        <is>
          <t>no</t>
        </is>
      </c>
      <c r="E645" s="11" t="inlineStr">
        <is>
          <t>no</t>
        </is>
      </c>
      <c r="F645" s="11" t="inlineStr">
        <is>
          <t>c9386</t>
        </is>
      </c>
      <c r="G645" s="11" t="inlineStr">
        <is>
          <t>cite</t>
        </is>
      </c>
      <c r="H645" s="11" t="inlineStr">
        <is>
          <t>c10223</t>
        </is>
      </c>
      <c r="I645" s="11" t="inlineStr">
        <is>
          <t>cite</t>
        </is>
      </c>
      <c r="J645" s="11" t="inlineStr">
        <is>
          <t>no</t>
        </is>
      </c>
      <c r="K645" s="11" t="inlineStr">
        <is>
          <t>yes</t>
        </is>
      </c>
      <c r="L645" s="11" t="inlineStr">
        <is>
          <t>tune</t>
        </is>
      </c>
    </row>
    <row r="646">
      <c r="A646" s="11" t="inlineStr">
        <is>
          <t>643</t>
        </is>
      </c>
      <c r="B646" s="11" t="inlineStr">
        <is>
          <t>98</t>
        </is>
      </c>
      <c r="C646" s="11" t="inlineStr">
        <is>
          <t>SC</t>
        </is>
      </c>
      <c r="D646" s="11" t="inlineStr">
        <is>
          <t>no</t>
        </is>
      </c>
      <c r="E646" s="11" t="inlineStr">
        <is>
          <t>yes</t>
        </is>
      </c>
      <c r="F646" s="11" t="inlineStr">
        <is>
          <t>c20261</t>
        </is>
      </c>
      <c r="G646" s="11" t="inlineStr">
        <is>
          <t>cite</t>
        </is>
      </c>
      <c r="H646" s="11" t="inlineStr"/>
      <c r="I646" s="11" t="inlineStr"/>
      <c r="J646" s="11" t="inlineStr">
        <is>
          <t>yes</t>
        </is>
      </c>
      <c r="K646" s="11" t="inlineStr">
        <is>
          <t>no</t>
        </is>
      </c>
      <c r="L646" s="11" t="inlineStr"/>
    </row>
    <row r="647">
      <c r="A647" s="11" t="inlineStr">
        <is>
          <t>644</t>
        </is>
      </c>
      <c r="B647" s="11" t="inlineStr">
        <is>
          <t>99</t>
        </is>
      </c>
      <c r="C647" s="11" t="inlineStr">
        <is>
          <t>SC</t>
        </is>
      </c>
      <c r="D647" s="11" t="inlineStr">
        <is>
          <t>no</t>
        </is>
      </c>
      <c r="E647" s="11" t="inlineStr">
        <is>
          <t>no</t>
        </is>
      </c>
      <c r="F647" s="11" t="inlineStr">
        <is>
          <t>c12154</t>
        </is>
      </c>
      <c r="G647" s="11" t="inlineStr">
        <is>
          <t>cite</t>
        </is>
      </c>
      <c r="H647" s="11" t="inlineStr"/>
      <c r="I647" s="11" t="inlineStr"/>
      <c r="J647" s="11" t="inlineStr">
        <is>
          <t>no</t>
        </is>
      </c>
      <c r="K647" s="11" t="inlineStr">
        <is>
          <t>no</t>
        </is>
      </c>
      <c r="L647" s="11" t="inlineStr"/>
    </row>
    <row r="648">
      <c r="A648" s="11" t="inlineStr">
        <is>
          <t>645</t>
        </is>
      </c>
      <c r="B648" s="11" t="inlineStr">
        <is>
          <t>99</t>
        </is>
      </c>
      <c r="C648" s="11" t="inlineStr">
        <is>
          <t>SC</t>
        </is>
      </c>
      <c r="D648" s="11" t="inlineStr">
        <is>
          <t>no</t>
        </is>
      </c>
      <c r="E648" s="11" t="inlineStr">
        <is>
          <t>no</t>
        </is>
      </c>
      <c r="F648" s="11" t="inlineStr">
        <is>
          <t>c9336</t>
        </is>
      </c>
      <c r="G648" s="11" t="inlineStr">
        <is>
          <t>cite</t>
        </is>
      </c>
      <c r="H648" s="11" t="inlineStr">
        <is>
          <t>c5665</t>
        </is>
      </c>
      <c r="I648" s="11" t="inlineStr">
        <is>
          <t>cite</t>
        </is>
      </c>
      <c r="J648" s="11" t="inlineStr">
        <is>
          <t>no</t>
        </is>
      </c>
      <c r="K648" s="11" t="inlineStr">
        <is>
          <t>no</t>
        </is>
      </c>
      <c r="L648" s="11" t="inlineStr"/>
    </row>
    <row r="649">
      <c r="A649" s="11" t="inlineStr">
        <is>
          <t>646</t>
        </is>
      </c>
      <c r="B649" s="11" t="inlineStr">
        <is>
          <t>99</t>
        </is>
      </c>
      <c r="C649" s="11" t="inlineStr">
        <is>
          <t>SC</t>
        </is>
      </c>
      <c r="D649" s="11" t="inlineStr">
        <is>
          <t>no</t>
        </is>
      </c>
      <c r="E649" s="11" t="inlineStr">
        <is>
          <t>no</t>
        </is>
      </c>
      <c r="F649" s="11" t="inlineStr">
        <is>
          <t>c5812</t>
        </is>
      </c>
      <c r="G649" s="11" t="inlineStr">
        <is>
          <t>cite</t>
        </is>
      </c>
      <c r="H649" s="11" t="inlineStr"/>
      <c r="I649" s="11" t="inlineStr"/>
      <c r="J649" s="11" t="inlineStr">
        <is>
          <t>no</t>
        </is>
      </c>
      <c r="K649" s="11" t="inlineStr">
        <is>
          <t>no</t>
        </is>
      </c>
      <c r="L649" s="11" t="inlineStr"/>
    </row>
    <row r="650">
      <c r="A650" s="11" t="inlineStr">
        <is>
          <t>647</t>
        </is>
      </c>
      <c r="B650" s="11" t="inlineStr">
        <is>
          <t>99</t>
        </is>
      </c>
      <c r="C650" s="11" t="inlineStr">
        <is>
          <t>SC</t>
        </is>
      </c>
      <c r="D650" s="11" t="inlineStr">
        <is>
          <t>no</t>
        </is>
      </c>
      <c r="E650" s="11" t="inlineStr">
        <is>
          <t>no</t>
        </is>
      </c>
      <c r="F650" s="11" t="inlineStr">
        <is>
          <t>c9299</t>
        </is>
      </c>
      <c r="G650" s="11" t="inlineStr">
        <is>
          <t>cite</t>
        </is>
      </c>
      <c r="H650" s="11" t="inlineStr">
        <is>
          <t>c11008</t>
        </is>
      </c>
      <c r="I650" s="11" t="inlineStr">
        <is>
          <t>cite</t>
        </is>
      </c>
      <c r="J650" s="11" t="inlineStr">
        <is>
          <t>no</t>
        </is>
      </c>
      <c r="K650" s="11" t="inlineStr">
        <is>
          <t>yes</t>
        </is>
      </c>
      <c r="L650" s="11" t="inlineStr">
        <is>
          <t>untouched</t>
        </is>
      </c>
    </row>
    <row r="651">
      <c r="A651" s="11" t="inlineStr">
        <is>
          <t>648</t>
        </is>
      </c>
      <c r="B651" s="11" t="inlineStr">
        <is>
          <t>99</t>
        </is>
      </c>
      <c r="C651" s="11" t="inlineStr">
        <is>
          <t>SC</t>
        </is>
      </c>
      <c r="D651" s="11" t="inlineStr">
        <is>
          <t>no</t>
        </is>
      </c>
      <c r="E651" s="11" t="inlineStr">
        <is>
          <t>no</t>
        </is>
      </c>
      <c r="F651" s="11" t="inlineStr">
        <is>
          <t>c4263</t>
        </is>
      </c>
      <c r="G651" s="11" t="inlineStr">
        <is>
          <t>cite</t>
        </is>
      </c>
      <c r="H651" s="11" t="inlineStr">
        <is>
          <t>c4946</t>
        </is>
      </c>
      <c r="I651" s="11" t="inlineStr">
        <is>
          <t>cite</t>
        </is>
      </c>
      <c r="J651" s="11" t="inlineStr">
        <is>
          <t>no</t>
        </is>
      </c>
      <c r="K651" s="11" t="inlineStr">
        <is>
          <t>yes</t>
        </is>
      </c>
      <c r="L651" s="11" t="inlineStr">
        <is>
          <t>tune</t>
        </is>
      </c>
    </row>
    <row r="652">
      <c r="A652" s="11" t="inlineStr">
        <is>
          <t>649</t>
        </is>
      </c>
      <c r="B652" s="11" t="inlineStr">
        <is>
          <t>99</t>
        </is>
      </c>
      <c r="C652" s="11" t="inlineStr">
        <is>
          <t>SC</t>
        </is>
      </c>
      <c r="D652" s="11" t="inlineStr">
        <is>
          <t>no</t>
        </is>
      </c>
      <c r="E652" s="11" t="inlineStr">
        <is>
          <t>no</t>
        </is>
      </c>
      <c r="F652" s="11" t="inlineStr">
        <is>
          <t>c6226</t>
        </is>
      </c>
      <c r="G652" s="11" t="inlineStr">
        <is>
          <t>cite</t>
        </is>
      </c>
      <c r="H652" s="11" t="inlineStr">
        <is>
          <t>c4751</t>
        </is>
      </c>
      <c r="I652" s="11" t="inlineStr">
        <is>
          <t>cite</t>
        </is>
      </c>
      <c r="J652" s="11" t="inlineStr">
        <is>
          <t>no</t>
        </is>
      </c>
      <c r="K652" s="11" t="inlineStr">
        <is>
          <t>yes</t>
        </is>
      </c>
      <c r="L652" s="11" t="inlineStr">
        <is>
          <t>untouched</t>
        </is>
      </c>
    </row>
    <row r="653">
      <c r="A653" s="11" t="inlineStr">
        <is>
          <t>650</t>
        </is>
      </c>
      <c r="B653" s="11" t="inlineStr">
        <is>
          <t>99</t>
        </is>
      </c>
      <c r="C653" s="11" t="inlineStr">
        <is>
          <t>SC</t>
        </is>
      </c>
      <c r="D653" s="11" t="inlineStr">
        <is>
          <t>no</t>
        </is>
      </c>
      <c r="E653" s="11" t="inlineStr">
        <is>
          <t>no</t>
        </is>
      </c>
      <c r="F653" s="11" t="inlineStr">
        <is>
          <t>c6166</t>
        </is>
      </c>
      <c r="G653" s="11" t="inlineStr">
        <is>
          <t>cite</t>
        </is>
      </c>
      <c r="H653" s="11" t="inlineStr">
        <is>
          <t>c4751</t>
        </is>
      </c>
      <c r="I653" s="11" t="inlineStr">
        <is>
          <t>cite</t>
        </is>
      </c>
      <c r="J653" s="11" t="inlineStr">
        <is>
          <t>no</t>
        </is>
      </c>
      <c r="K653" s="11" t="inlineStr">
        <is>
          <t>yes</t>
        </is>
      </c>
      <c r="L653" s="11" t="inlineStr">
        <is>
          <t>tune</t>
        </is>
      </c>
    </row>
    <row r="654">
      <c r="A654" s="11" t="inlineStr">
        <is>
          <t>651</t>
        </is>
      </c>
      <c r="B654" s="11" t="inlineStr">
        <is>
          <t>100</t>
        </is>
      </c>
      <c r="C654" s="11" t="inlineStr">
        <is>
          <t>SC</t>
        </is>
      </c>
      <c r="D654" s="11" t="inlineStr">
        <is>
          <t>no</t>
        </is>
      </c>
      <c r="E654" s="11" t="inlineStr">
        <is>
          <t>no</t>
        </is>
      </c>
      <c r="F654" s="11" t="inlineStr">
        <is>
          <t>c6001</t>
        </is>
      </c>
      <c r="G654" s="11" t="inlineStr">
        <is>
          <t>cite</t>
        </is>
      </c>
      <c r="H654" s="11" t="inlineStr">
        <is>
          <t>c4751</t>
        </is>
      </c>
      <c r="I654" s="11" t="inlineStr">
        <is>
          <t>cite</t>
        </is>
      </c>
      <c r="J654" s="11" t="inlineStr">
        <is>
          <t>no</t>
        </is>
      </c>
      <c r="K654" s="11" t="inlineStr">
        <is>
          <t>yes</t>
        </is>
      </c>
      <c r="L654" s="11" t="inlineStr">
        <is>
          <t>untouched</t>
        </is>
      </c>
    </row>
    <row r="655">
      <c r="A655" s="11" t="inlineStr">
        <is>
          <t>652</t>
        </is>
      </c>
      <c r="B655" s="11" t="inlineStr">
        <is>
          <t>100</t>
        </is>
      </c>
      <c r="C655" s="11" t="inlineStr">
        <is>
          <t>SC</t>
        </is>
      </c>
      <c r="D655" s="11" t="inlineStr">
        <is>
          <t>no</t>
        </is>
      </c>
      <c r="E655" s="11" t="inlineStr">
        <is>
          <t>no</t>
        </is>
      </c>
      <c r="F655" s="11" t="inlineStr">
        <is>
          <t>c4509</t>
        </is>
      </c>
      <c r="G655" s="11" t="inlineStr">
        <is>
          <t>cite</t>
        </is>
      </c>
      <c r="H655" s="11" t="inlineStr">
        <is>
          <t>c9063</t>
        </is>
      </c>
      <c r="I655" s="11" t="inlineStr">
        <is>
          <t>cite</t>
        </is>
      </c>
      <c r="J655" s="11" t="inlineStr">
        <is>
          <t>no</t>
        </is>
      </c>
      <c r="K655" s="11" t="inlineStr">
        <is>
          <t>yes</t>
        </is>
      </c>
      <c r="L655" s="11" t="inlineStr">
        <is>
          <t>tune</t>
        </is>
      </c>
    </row>
    <row r="656">
      <c r="A656" s="11" t="inlineStr">
        <is>
          <t>653</t>
        </is>
      </c>
      <c r="B656" s="11" t="inlineStr">
        <is>
          <t>100</t>
        </is>
      </c>
      <c r="C656" s="11" t="inlineStr">
        <is>
          <t>SC</t>
        </is>
      </c>
      <c r="D656" s="11" t="inlineStr">
        <is>
          <t>no</t>
        </is>
      </c>
      <c r="E656" s="11" t="inlineStr">
        <is>
          <t>no</t>
        </is>
      </c>
      <c r="F656" s="11" t="inlineStr">
        <is>
          <t>c10004</t>
        </is>
      </c>
      <c r="G656" s="11" t="inlineStr">
        <is>
          <t>cite</t>
        </is>
      </c>
      <c r="H656" s="11" t="inlineStr">
        <is>
          <t>c17675</t>
        </is>
      </c>
      <c r="I656" s="11" t="inlineStr">
        <is>
          <t>cite</t>
        </is>
      </c>
      <c r="J656" s="11" t="inlineStr">
        <is>
          <t>no</t>
        </is>
      </c>
      <c r="K656" s="11" t="inlineStr">
        <is>
          <t>yes</t>
        </is>
      </c>
      <c r="L656" s="11" t="inlineStr">
        <is>
          <t>untouched</t>
        </is>
      </c>
    </row>
    <row r="657">
      <c r="A657" s="11" t="inlineStr">
        <is>
          <t>654</t>
        </is>
      </c>
      <c r="B657" s="11" t="inlineStr">
        <is>
          <t>100</t>
        </is>
      </c>
      <c r="C657" s="11" t="inlineStr">
        <is>
          <t>SC</t>
        </is>
      </c>
      <c r="D657" s="11" t="inlineStr">
        <is>
          <t>no</t>
        </is>
      </c>
      <c r="E657" s="11" t="inlineStr">
        <is>
          <t>no</t>
        </is>
      </c>
      <c r="F657" s="11" t="inlineStr"/>
      <c r="G657" s="11" t="inlineStr"/>
      <c r="H657" s="11" t="inlineStr">
        <is>
          <t>c13197</t>
        </is>
      </c>
      <c r="I657" s="11" t="inlineStr">
        <is>
          <t>cite</t>
        </is>
      </c>
      <c r="J657" s="11" t="inlineStr">
        <is>
          <t>no</t>
        </is>
      </c>
      <c r="K657" s="11" t="inlineStr">
        <is>
          <t>no</t>
        </is>
      </c>
      <c r="L657" s="11" t="inlineStr"/>
    </row>
    <row r="658">
      <c r="A658" s="11" t="inlineStr">
        <is>
          <t>655</t>
        </is>
      </c>
      <c r="B658" s="11" t="inlineStr">
        <is>
          <t>100</t>
        </is>
      </c>
      <c r="C658" s="11" t="inlineStr">
        <is>
          <t>SC</t>
        </is>
      </c>
      <c r="D658" s="11" t="inlineStr">
        <is>
          <t>no</t>
        </is>
      </c>
      <c r="E658" s="11" t="inlineStr">
        <is>
          <t>no</t>
        </is>
      </c>
      <c r="F658" s="11" t="inlineStr"/>
      <c r="G658" s="11" t="inlineStr"/>
      <c r="H658" s="11" t="inlineStr">
        <is>
          <t>c17693</t>
        </is>
      </c>
      <c r="I658" s="11" t="inlineStr">
        <is>
          <t>cite</t>
        </is>
      </c>
      <c r="J658" s="11" t="inlineStr">
        <is>
          <t>no</t>
        </is>
      </c>
      <c r="K658" s="11" t="inlineStr">
        <is>
          <t>no</t>
        </is>
      </c>
      <c r="L658" s="11" t="inlineStr"/>
    </row>
    <row r="659">
      <c r="A659" s="11" t="inlineStr">
        <is>
          <t>656</t>
        </is>
      </c>
      <c r="B659" s="11" t="inlineStr">
        <is>
          <t>100</t>
        </is>
      </c>
      <c r="C659" s="11" t="inlineStr">
        <is>
          <t>SC</t>
        </is>
      </c>
      <c r="D659" s="11" t="inlineStr">
        <is>
          <t>no</t>
        </is>
      </c>
      <c r="E659" s="11" t="inlineStr">
        <is>
          <t>no</t>
        </is>
      </c>
      <c r="F659" s="11" t="inlineStr">
        <is>
          <t>c7281</t>
        </is>
      </c>
      <c r="G659" s="11" t="inlineStr">
        <is>
          <t>cite</t>
        </is>
      </c>
      <c r="H659" s="11" t="inlineStr">
        <is>
          <t>c20253</t>
        </is>
      </c>
      <c r="I659" s="11" t="inlineStr">
        <is>
          <t>cite</t>
        </is>
      </c>
      <c r="J659" s="11" t="inlineStr">
        <is>
          <t>no</t>
        </is>
      </c>
      <c r="K659" s="11" t="inlineStr">
        <is>
          <t>yes</t>
        </is>
      </c>
      <c r="L659" s="11" t="inlineStr">
        <is>
          <t>tune</t>
        </is>
      </c>
    </row>
    <row r="660">
      <c r="A660" s="11" t="inlineStr">
        <is>
          <t>657</t>
        </is>
      </c>
      <c r="B660" s="11" t="inlineStr">
        <is>
          <t>101</t>
        </is>
      </c>
      <c r="C660" s="11" t="inlineStr">
        <is>
          <t>SC</t>
        </is>
      </c>
      <c r="D660" s="11" t="inlineStr">
        <is>
          <t>no</t>
        </is>
      </c>
      <c r="E660" s="11" t="inlineStr">
        <is>
          <t>no</t>
        </is>
      </c>
      <c r="F660" s="11" t="inlineStr"/>
      <c r="G660" s="11" t="inlineStr"/>
      <c r="H660" s="11" t="inlineStr"/>
      <c r="I660" s="11" t="inlineStr"/>
      <c r="J660" s="11" t="inlineStr">
        <is>
          <t>no</t>
        </is>
      </c>
      <c r="K660" s="11" t="inlineStr">
        <is>
          <t>no</t>
        </is>
      </c>
      <c r="L660" s="11" t="inlineStr"/>
    </row>
    <row r="661">
      <c r="A661" s="11" t="inlineStr">
        <is>
          <t>658</t>
        </is>
      </c>
      <c r="B661" s="11" t="inlineStr">
        <is>
          <t>101</t>
        </is>
      </c>
      <c r="C661" s="11" t="inlineStr">
        <is>
          <t>SC</t>
        </is>
      </c>
      <c r="D661" s="11" t="inlineStr">
        <is>
          <t>no</t>
        </is>
      </c>
      <c r="E661" s="11" t="inlineStr">
        <is>
          <t>yes</t>
        </is>
      </c>
      <c r="F661" s="11" t="inlineStr">
        <is>
          <t>c6294</t>
        </is>
      </c>
      <c r="G661" s="11" t="inlineStr">
        <is>
          <t>cite</t>
        </is>
      </c>
      <c r="H661" s="11" t="inlineStr">
        <is>
          <t>c6219</t>
        </is>
      </c>
      <c r="I661" s="11" t="inlineStr">
        <is>
          <t>cite</t>
        </is>
      </c>
      <c r="J661" s="11" t="inlineStr">
        <is>
          <t>no</t>
        </is>
      </c>
      <c r="K661" s="11" t="inlineStr">
        <is>
          <t>yes</t>
        </is>
      </c>
      <c r="L661" s="11" t="inlineStr">
        <is>
          <t>tune</t>
        </is>
      </c>
    </row>
    <row r="662">
      <c r="A662" s="11" t="inlineStr">
        <is>
          <t>659</t>
        </is>
      </c>
      <c r="B662" s="11" t="inlineStr">
        <is>
          <t>101</t>
        </is>
      </c>
      <c r="C662" s="11" t="inlineStr">
        <is>
          <t>SC</t>
        </is>
      </c>
      <c r="D662" s="11" t="inlineStr">
        <is>
          <t>no</t>
        </is>
      </c>
      <c r="E662" s="11" t="inlineStr">
        <is>
          <t>no</t>
        </is>
      </c>
      <c r="F662" s="11" t="inlineStr">
        <is>
          <t>c12596</t>
        </is>
      </c>
      <c r="G662" s="11" t="inlineStr">
        <is>
          <t>cite</t>
        </is>
      </c>
      <c r="H662" s="11" t="inlineStr">
        <is>
          <t>c18806</t>
        </is>
      </c>
      <c r="I662" s="11" t="inlineStr">
        <is>
          <t>name</t>
        </is>
      </c>
      <c r="J662" s="11" t="inlineStr">
        <is>
          <t>no</t>
        </is>
      </c>
      <c r="K662" s="11" t="inlineStr">
        <is>
          <t>yes</t>
        </is>
      </c>
      <c r="L662" s="11" t="inlineStr">
        <is>
          <t>untouched</t>
        </is>
      </c>
    </row>
    <row r="663">
      <c r="A663" s="11" t="inlineStr">
        <is>
          <t>660</t>
        </is>
      </c>
      <c r="B663" s="11" t="inlineStr">
        <is>
          <t>101</t>
        </is>
      </c>
      <c r="C663" s="11" t="inlineStr">
        <is>
          <t>SC</t>
        </is>
      </c>
      <c r="D663" s="11" t="inlineStr">
        <is>
          <t>no</t>
        </is>
      </c>
      <c r="E663" s="11" t="inlineStr">
        <is>
          <t>no</t>
        </is>
      </c>
      <c r="F663" s="11" t="inlineStr">
        <is>
          <t>c1513</t>
        </is>
      </c>
      <c r="G663" s="11" t="inlineStr">
        <is>
          <t>cite</t>
        </is>
      </c>
      <c r="H663" s="11" t="inlineStr">
        <is>
          <t>c8918</t>
        </is>
      </c>
      <c r="I663" s="11" t="inlineStr">
        <is>
          <t>cite</t>
        </is>
      </c>
      <c r="J663" s="11" t="inlineStr">
        <is>
          <t>no</t>
        </is>
      </c>
      <c r="K663" s="11" t="inlineStr">
        <is>
          <t>yes</t>
        </is>
      </c>
      <c r="L663" s="11" t="inlineStr">
        <is>
          <t>tune</t>
        </is>
      </c>
    </row>
    <row r="664">
      <c r="A664" s="11" t="inlineStr">
        <is>
          <t>661</t>
        </is>
      </c>
      <c r="B664" s="11" t="inlineStr">
        <is>
          <t>101</t>
        </is>
      </c>
      <c r="C664" s="11" t="inlineStr">
        <is>
          <t>SC</t>
        </is>
      </c>
      <c r="D664" s="11" t="inlineStr">
        <is>
          <t>no</t>
        </is>
      </c>
      <c r="E664" s="11" t="inlineStr">
        <is>
          <t>no</t>
        </is>
      </c>
      <c r="F664" s="11" t="inlineStr">
        <is>
          <t>c12663</t>
        </is>
      </c>
      <c r="G664" s="11" t="inlineStr">
        <is>
          <t>cite</t>
        </is>
      </c>
      <c r="H664" s="11" t="inlineStr">
        <is>
          <t>c17635</t>
        </is>
      </c>
      <c r="I664" s="11" t="inlineStr">
        <is>
          <t>cite</t>
        </is>
      </c>
      <c r="J664" s="11" t="inlineStr">
        <is>
          <t>no</t>
        </is>
      </c>
      <c r="K664" s="11" t="inlineStr">
        <is>
          <t>yes</t>
        </is>
      </c>
      <c r="L664" s="11" t="inlineStr">
        <is>
          <t>untouched</t>
        </is>
      </c>
    </row>
    <row r="665">
      <c r="A665" s="11" t="inlineStr">
        <is>
          <t>662</t>
        </is>
      </c>
      <c r="B665" s="11" t="inlineStr">
        <is>
          <t>101</t>
        </is>
      </c>
      <c r="C665" s="11" t="inlineStr">
        <is>
          <t>SC</t>
        </is>
      </c>
      <c r="D665" s="11" t="inlineStr">
        <is>
          <t>no</t>
        </is>
      </c>
      <c r="E665" s="11" t="inlineStr">
        <is>
          <t>no</t>
        </is>
      </c>
      <c r="F665" s="11" t="inlineStr">
        <is>
          <t>bS_1999_1_82_86</t>
        </is>
      </c>
      <c r="G665" s="11" t="inlineStr">
        <is>
          <t>name</t>
        </is>
      </c>
      <c r="H665" s="11" t="inlineStr"/>
      <c r="I665" s="11" t="inlineStr"/>
      <c r="J665" s="11" t="inlineStr">
        <is>
          <t>no</t>
        </is>
      </c>
      <c r="K665" s="11" t="inlineStr">
        <is>
          <t>no</t>
        </is>
      </c>
      <c r="L665" s="11" t="inlineStr"/>
    </row>
    <row r="666">
      <c r="A666" s="11" t="inlineStr">
        <is>
          <t>663</t>
        </is>
      </c>
      <c r="B666" s="11" t="inlineStr">
        <is>
          <t>102</t>
        </is>
      </c>
      <c r="C666" s="11" t="inlineStr">
        <is>
          <t>SC</t>
        </is>
      </c>
      <c r="D666" s="11" t="inlineStr">
        <is>
          <t>no</t>
        </is>
      </c>
      <c r="E666" s="11" t="inlineStr">
        <is>
          <t>no</t>
        </is>
      </c>
      <c r="F666" s="11" t="inlineStr">
        <is>
          <t>c5600</t>
        </is>
      </c>
      <c r="G666" s="11" t="inlineStr">
        <is>
          <t>cite</t>
        </is>
      </c>
      <c r="H666" s="11" t="inlineStr">
        <is>
          <t>c7515</t>
        </is>
      </c>
      <c r="I666" s="11" t="inlineStr">
        <is>
          <t>cite</t>
        </is>
      </c>
      <c r="J666" s="11" t="inlineStr">
        <is>
          <t>no</t>
        </is>
      </c>
      <c r="K666" s="11" t="inlineStr">
        <is>
          <t>yes</t>
        </is>
      </c>
      <c r="L666" s="11" t="inlineStr">
        <is>
          <t>untouched</t>
        </is>
      </c>
    </row>
    <row r="667">
      <c r="A667" s="11" t="inlineStr">
        <is>
          <t>664</t>
        </is>
      </c>
      <c r="B667" s="11" t="inlineStr">
        <is>
          <t>102</t>
        </is>
      </c>
      <c r="C667" s="11" t="inlineStr">
        <is>
          <t>SC</t>
        </is>
      </c>
      <c r="D667" s="11" t="inlineStr">
        <is>
          <t>no</t>
        </is>
      </c>
      <c r="E667" s="11" t="inlineStr">
        <is>
          <t>no</t>
        </is>
      </c>
      <c r="F667" s="11" t="inlineStr"/>
      <c r="G667" s="11" t="inlineStr"/>
      <c r="H667" s="11" t="inlineStr">
        <is>
          <t>c26927</t>
        </is>
      </c>
      <c r="I667" s="11" t="inlineStr">
        <is>
          <t>name</t>
        </is>
      </c>
      <c r="J667" s="11" t="inlineStr">
        <is>
          <t>no</t>
        </is>
      </c>
      <c r="K667" s="11" t="inlineStr">
        <is>
          <t>no</t>
        </is>
      </c>
      <c r="L667" s="11" t="inlineStr"/>
    </row>
    <row r="668">
      <c r="A668" s="11" t="inlineStr">
        <is>
          <t>665</t>
        </is>
      </c>
      <c r="B668" s="11" t="inlineStr">
        <is>
          <t>102</t>
        </is>
      </c>
      <c r="C668" s="11" t="inlineStr">
        <is>
          <t>SC</t>
        </is>
      </c>
      <c r="D668" s="11" t="inlineStr">
        <is>
          <t>no</t>
        </is>
      </c>
      <c r="E668" s="11" t="inlineStr">
        <is>
          <t>no</t>
        </is>
      </c>
      <c r="F668" s="11" t="inlineStr">
        <is>
          <t>c8920</t>
        </is>
      </c>
      <c r="G668" s="11" t="inlineStr">
        <is>
          <t>cite</t>
        </is>
      </c>
      <c r="H668" s="11" t="inlineStr">
        <is>
          <t>c13368</t>
        </is>
      </c>
      <c r="I668" s="11" t="inlineStr">
        <is>
          <t>cite</t>
        </is>
      </c>
      <c r="J668" s="11" t="inlineStr">
        <is>
          <t>no</t>
        </is>
      </c>
      <c r="K668" s="11" t="inlineStr">
        <is>
          <t>yes</t>
        </is>
      </c>
      <c r="L668" s="11" t="inlineStr">
        <is>
          <t>untouched</t>
        </is>
      </c>
    </row>
    <row r="669">
      <c r="A669" s="11" t="inlineStr">
        <is>
          <t>666</t>
        </is>
      </c>
      <c r="B669" s="11" t="inlineStr">
        <is>
          <t>102</t>
        </is>
      </c>
      <c r="C669" s="11" t="inlineStr">
        <is>
          <t>SC</t>
        </is>
      </c>
      <c r="D669" s="11" t="inlineStr">
        <is>
          <t>no</t>
        </is>
      </c>
      <c r="E669" s="11" t="inlineStr">
        <is>
          <t>yes</t>
        </is>
      </c>
      <c r="F669" s="11" t="inlineStr">
        <is>
          <t>c8200</t>
        </is>
      </c>
      <c r="G669" s="11" t="inlineStr">
        <is>
          <t>cite</t>
        </is>
      </c>
      <c r="H669" s="11" t="inlineStr">
        <is>
          <t>c31856</t>
        </is>
      </c>
      <c r="I669" s="11" t="inlineStr">
        <is>
          <t>cite</t>
        </is>
      </c>
      <c r="J669" s="11" t="inlineStr">
        <is>
          <t>no</t>
        </is>
      </c>
      <c r="K669" s="11" t="inlineStr">
        <is>
          <t>yes</t>
        </is>
      </c>
      <c r="L669" s="11" t="inlineStr">
        <is>
          <t>tune</t>
        </is>
      </c>
    </row>
    <row r="670">
      <c r="A670" s="11" t="inlineStr">
        <is>
          <t>667</t>
        </is>
      </c>
      <c r="B670" s="11" t="inlineStr">
        <is>
          <t>102</t>
        </is>
      </c>
      <c r="C670" s="11" t="inlineStr">
        <is>
          <t>SC</t>
        </is>
      </c>
      <c r="D670" s="11" t="inlineStr">
        <is>
          <t>no</t>
        </is>
      </c>
      <c r="E670" s="11" t="inlineStr">
        <is>
          <t>no</t>
        </is>
      </c>
      <c r="F670" s="11" t="inlineStr">
        <is>
          <t>c1607</t>
        </is>
      </c>
      <c r="G670" s="11" t="inlineStr">
        <is>
          <t>cite</t>
        </is>
      </c>
      <c r="H670" s="11" t="inlineStr">
        <is>
          <t>c8149</t>
        </is>
      </c>
      <c r="I670" s="11" t="inlineStr">
        <is>
          <t>cite</t>
        </is>
      </c>
      <c r="J670" s="11" t="inlineStr">
        <is>
          <t>no</t>
        </is>
      </c>
      <c r="K670" s="11" t="inlineStr">
        <is>
          <t>yes</t>
        </is>
      </c>
      <c r="L670" s="11" t="inlineStr">
        <is>
          <t>untouched</t>
        </is>
      </c>
    </row>
    <row r="671">
      <c r="A671" s="11" t="inlineStr">
        <is>
          <t>668</t>
        </is>
      </c>
      <c r="B671" s="11" t="inlineStr">
        <is>
          <t>102</t>
        </is>
      </c>
      <c r="C671" s="11" t="inlineStr">
        <is>
          <t>SC</t>
        </is>
      </c>
      <c r="D671" s="11" t="inlineStr">
        <is>
          <t>no</t>
        </is>
      </c>
      <c r="E671" s="11" t="inlineStr">
        <is>
          <t>no</t>
        </is>
      </c>
      <c r="F671" s="11" t="inlineStr">
        <is>
          <t>c8976</t>
        </is>
      </c>
      <c r="G671" s="11" t="inlineStr">
        <is>
          <t>cite</t>
        </is>
      </c>
      <c r="H671" s="11" t="inlineStr">
        <is>
          <t>c27049</t>
        </is>
      </c>
      <c r="I671" s="11" t="inlineStr">
        <is>
          <t>name</t>
        </is>
      </c>
      <c r="J671" s="11" t="inlineStr">
        <is>
          <t>no</t>
        </is>
      </c>
      <c r="K671" s="11" t="inlineStr">
        <is>
          <t>yes</t>
        </is>
      </c>
      <c r="L671" s="11" t="inlineStr">
        <is>
          <t>tune</t>
        </is>
      </c>
    </row>
    <row r="672">
      <c r="A672" s="11" t="inlineStr">
        <is>
          <t>669</t>
        </is>
      </c>
      <c r="B672" s="11" t="inlineStr">
        <is>
          <t>103</t>
        </is>
      </c>
      <c r="C672" s="11" t="inlineStr">
        <is>
          <t>SC</t>
        </is>
      </c>
      <c r="D672" s="11" t="inlineStr">
        <is>
          <t>no</t>
        </is>
      </c>
      <c r="E672" s="11" t="inlineStr">
        <is>
          <t>no</t>
        </is>
      </c>
      <c r="F672" s="11" t="inlineStr"/>
      <c r="G672" s="11" t="inlineStr"/>
      <c r="H672" s="11" t="inlineStr">
        <is>
          <t>c16817</t>
        </is>
      </c>
      <c r="I672" s="11" t="inlineStr">
        <is>
          <t>cite</t>
        </is>
      </c>
      <c r="J672" s="11" t="inlineStr">
        <is>
          <t>no</t>
        </is>
      </c>
      <c r="K672" s="11" t="inlineStr">
        <is>
          <t>no</t>
        </is>
      </c>
      <c r="L672" s="11" t="inlineStr"/>
    </row>
    <row r="673">
      <c r="A673" s="11" t="inlineStr">
        <is>
          <t>670</t>
        </is>
      </c>
      <c r="B673" s="11" t="inlineStr">
        <is>
          <t>103</t>
        </is>
      </c>
      <c r="C673" s="11" t="inlineStr">
        <is>
          <t>SC</t>
        </is>
      </c>
      <c r="D673" s="11" t="inlineStr">
        <is>
          <t>no</t>
        </is>
      </c>
      <c r="E673" s="11" t="inlineStr">
        <is>
          <t>no</t>
        </is>
      </c>
      <c r="F673" s="11" t="inlineStr">
        <is>
          <t>c44357</t>
        </is>
      </c>
      <c r="G673" s="11" t="inlineStr">
        <is>
          <t>cite</t>
        </is>
      </c>
      <c r="H673" s="11" t="inlineStr">
        <is>
          <t>c20589</t>
        </is>
      </c>
      <c r="I673" s="11" t="inlineStr">
        <is>
          <t>cite</t>
        </is>
      </c>
      <c r="J673" s="11" t="inlineStr">
        <is>
          <t>yes</t>
        </is>
      </c>
      <c r="K673" s="11" t="inlineStr">
        <is>
          <t>no</t>
        </is>
      </c>
      <c r="L673" s="11" t="inlineStr"/>
    </row>
    <row r="674">
      <c r="A674" s="11" t="inlineStr">
        <is>
          <t>671</t>
        </is>
      </c>
      <c r="B674" s="11" t="inlineStr">
        <is>
          <t>103</t>
        </is>
      </c>
      <c r="C674" s="11" t="inlineStr">
        <is>
          <t>SC</t>
        </is>
      </c>
      <c r="D674" s="11" t="inlineStr">
        <is>
          <t>no</t>
        </is>
      </c>
      <c r="E674" s="11" t="inlineStr">
        <is>
          <t>no</t>
        </is>
      </c>
      <c r="F674" s="11" t="inlineStr">
        <is>
          <t>c14229</t>
        </is>
      </c>
      <c r="G674" s="11" t="inlineStr">
        <is>
          <t>cite</t>
        </is>
      </c>
      <c r="H674" s="11" t="inlineStr">
        <is>
          <t>c30319</t>
        </is>
      </c>
      <c r="I674" s="11" t="inlineStr">
        <is>
          <t>cite</t>
        </is>
      </c>
      <c r="J674" s="11" t="inlineStr">
        <is>
          <t>no</t>
        </is>
      </c>
      <c r="K674" s="11" t="inlineStr">
        <is>
          <t>yes</t>
        </is>
      </c>
      <c r="L674" s="11" t="inlineStr">
        <is>
          <t>untouched</t>
        </is>
      </c>
    </row>
    <row r="675">
      <c r="A675" s="11" t="inlineStr">
        <is>
          <t>672</t>
        </is>
      </c>
      <c r="B675" s="11" t="inlineStr">
        <is>
          <t>103</t>
        </is>
      </c>
      <c r="C675" s="11" t="inlineStr">
        <is>
          <t>SC</t>
        </is>
      </c>
      <c r="D675" s="11" t="inlineStr">
        <is>
          <t>no</t>
        </is>
      </c>
      <c r="E675" s="11" t="inlineStr">
        <is>
          <t>no</t>
        </is>
      </c>
      <c r="F675" s="11" t="inlineStr">
        <is>
          <t>c13745</t>
        </is>
      </c>
      <c r="G675" s="11" t="inlineStr">
        <is>
          <t>name</t>
        </is>
      </c>
      <c r="H675" s="11" t="inlineStr">
        <is>
          <t>c16392</t>
        </is>
      </c>
      <c r="I675" s="11" t="inlineStr">
        <is>
          <t>name</t>
        </is>
      </c>
      <c r="J675" s="11" t="inlineStr">
        <is>
          <t>no</t>
        </is>
      </c>
      <c r="K675" s="11" t="inlineStr">
        <is>
          <t>yes</t>
        </is>
      </c>
      <c r="L675" s="11" t="inlineStr">
        <is>
          <t>tune</t>
        </is>
      </c>
    </row>
    <row r="676">
      <c r="A676" s="11" t="inlineStr">
        <is>
          <t>673</t>
        </is>
      </c>
      <c r="B676" s="11" t="inlineStr">
        <is>
          <t>103</t>
        </is>
      </c>
      <c r="C676" s="11" t="inlineStr">
        <is>
          <t>SC</t>
        </is>
      </c>
      <c r="D676" s="11" t="inlineStr">
        <is>
          <t>no</t>
        </is>
      </c>
      <c r="E676" s="11" t="inlineStr">
        <is>
          <t>no</t>
        </is>
      </c>
      <c r="F676" s="11" t="inlineStr">
        <is>
          <t>c12040</t>
        </is>
      </c>
      <c r="G676" s="11" t="inlineStr">
        <is>
          <t>cite</t>
        </is>
      </c>
      <c r="H676" s="11" t="inlineStr">
        <is>
          <t>c26522</t>
        </is>
      </c>
      <c r="I676" s="11" t="inlineStr">
        <is>
          <t>name</t>
        </is>
      </c>
      <c r="J676" s="11" t="inlineStr">
        <is>
          <t>no</t>
        </is>
      </c>
      <c r="K676" s="11" t="inlineStr">
        <is>
          <t>yes</t>
        </is>
      </c>
      <c r="L676" s="11" t="inlineStr">
        <is>
          <t>untouched</t>
        </is>
      </c>
    </row>
    <row r="677">
      <c r="A677" s="11" t="inlineStr">
        <is>
          <t>674</t>
        </is>
      </c>
      <c r="B677" s="11" t="inlineStr">
        <is>
          <t>103</t>
        </is>
      </c>
      <c r="C677" s="11" t="inlineStr">
        <is>
          <t>SC</t>
        </is>
      </c>
      <c r="D677" s="11" t="inlineStr">
        <is>
          <t>no</t>
        </is>
      </c>
      <c r="E677" s="11" t="inlineStr">
        <is>
          <t>no</t>
        </is>
      </c>
      <c r="F677" s="11" t="inlineStr">
        <is>
          <t>c12004</t>
        </is>
      </c>
      <c r="G677" s="11" t="inlineStr">
        <is>
          <t>cite</t>
        </is>
      </c>
      <c r="H677" s="11" t="inlineStr"/>
      <c r="I677" s="11" t="inlineStr"/>
      <c r="J677" s="11" t="inlineStr">
        <is>
          <t>no</t>
        </is>
      </c>
      <c r="K677" s="11" t="inlineStr">
        <is>
          <t>no</t>
        </is>
      </c>
      <c r="L677" s="11" t="inlineStr"/>
    </row>
    <row r="678">
      <c r="A678" s="11" t="inlineStr">
        <is>
          <t>675</t>
        </is>
      </c>
      <c r="B678" s="11" t="inlineStr">
        <is>
          <t>104</t>
        </is>
      </c>
      <c r="C678" s="11" t="inlineStr">
        <is>
          <t>SC</t>
        </is>
      </c>
      <c r="D678" s="11" t="inlineStr">
        <is>
          <t>no</t>
        </is>
      </c>
      <c r="E678" s="11" t="inlineStr">
        <is>
          <t>no</t>
        </is>
      </c>
      <c r="F678" s="11" t="inlineStr">
        <is>
          <t>c4809</t>
        </is>
      </c>
      <c r="G678" s="11" t="inlineStr">
        <is>
          <t>cite</t>
        </is>
      </c>
      <c r="H678" s="11" t="inlineStr"/>
      <c r="I678" s="11" t="inlineStr"/>
      <c r="J678" s="11" t="inlineStr">
        <is>
          <t>no</t>
        </is>
      </c>
      <c r="K678" s="11" t="inlineStr">
        <is>
          <t>no</t>
        </is>
      </c>
      <c r="L678" s="11" t="inlineStr"/>
    </row>
    <row r="679">
      <c r="A679" s="11" t="inlineStr">
        <is>
          <t>676</t>
        </is>
      </c>
      <c r="B679" s="11" t="inlineStr">
        <is>
          <t>104</t>
        </is>
      </c>
      <c r="C679" s="11" t="inlineStr">
        <is>
          <t>SC</t>
        </is>
      </c>
      <c r="D679" s="11" t="inlineStr">
        <is>
          <t>no</t>
        </is>
      </c>
      <c r="E679" s="11" t="inlineStr">
        <is>
          <t>no</t>
        </is>
      </c>
      <c r="F679" s="11" t="inlineStr">
        <is>
          <t>c5554</t>
        </is>
      </c>
      <c r="G679" s="11" t="inlineStr">
        <is>
          <t>cite</t>
        </is>
      </c>
      <c r="H679" s="11" t="inlineStr">
        <is>
          <t>c8651</t>
        </is>
      </c>
      <c r="I679" s="11" t="inlineStr">
        <is>
          <t>cite</t>
        </is>
      </c>
      <c r="J679" s="11" t="inlineStr">
        <is>
          <t>no</t>
        </is>
      </c>
      <c r="K679" s="11" t="inlineStr">
        <is>
          <t>yes</t>
        </is>
      </c>
      <c r="L679" s="11" t="inlineStr">
        <is>
          <t>tune</t>
        </is>
      </c>
    </row>
    <row r="680">
      <c r="A680" s="11" t="inlineStr">
        <is>
          <t>677</t>
        </is>
      </c>
      <c r="B680" s="11" t="inlineStr">
        <is>
          <t>104</t>
        </is>
      </c>
      <c r="C680" s="11" t="inlineStr">
        <is>
          <t>SC</t>
        </is>
      </c>
      <c r="D680" s="11" t="inlineStr">
        <is>
          <t>no</t>
        </is>
      </c>
      <c r="E680" s="11" t="inlineStr">
        <is>
          <t>no</t>
        </is>
      </c>
      <c r="F680" s="11" t="inlineStr">
        <is>
          <t>c16087</t>
        </is>
      </c>
      <c r="G680" s="11" t="inlineStr">
        <is>
          <t>cite</t>
        </is>
      </c>
      <c r="H680" s="11" t="inlineStr"/>
      <c r="I680" s="11" t="inlineStr"/>
      <c r="J680" s="11" t="inlineStr">
        <is>
          <t>no</t>
        </is>
      </c>
      <c r="K680" s="11" t="inlineStr">
        <is>
          <t>no</t>
        </is>
      </c>
      <c r="L680" s="11" t="inlineStr"/>
    </row>
    <row r="681">
      <c r="A681" s="11" t="inlineStr">
        <is>
          <t>678</t>
        </is>
      </c>
      <c r="B681" s="11" t="inlineStr">
        <is>
          <t>104</t>
        </is>
      </c>
      <c r="C681" s="11" t="inlineStr">
        <is>
          <t>SC</t>
        </is>
      </c>
      <c r="D681" s="11" t="inlineStr">
        <is>
          <t>no</t>
        </is>
      </c>
      <c r="E681" s="11" t="inlineStr">
        <is>
          <t>yes</t>
        </is>
      </c>
      <c r="F681" s="11" t="inlineStr">
        <is>
          <t>c8394</t>
        </is>
      </c>
      <c r="G681" s="11" t="inlineStr">
        <is>
          <t>cite</t>
        </is>
      </c>
      <c r="H681" s="11" t="inlineStr">
        <is>
          <t>c12101</t>
        </is>
      </c>
      <c r="I681" s="11" t="inlineStr">
        <is>
          <t>cite</t>
        </is>
      </c>
      <c r="J681" s="11" t="inlineStr">
        <is>
          <t>yes</t>
        </is>
      </c>
      <c r="K681" s="11" t="inlineStr">
        <is>
          <t>no</t>
        </is>
      </c>
      <c r="L681" s="11" t="inlineStr"/>
    </row>
    <row r="682">
      <c r="A682" s="11" t="inlineStr">
        <is>
          <t>679</t>
        </is>
      </c>
      <c r="B682" s="11" t="inlineStr">
        <is>
          <t>104</t>
        </is>
      </c>
      <c r="C682" s="11" t="inlineStr">
        <is>
          <t>SC</t>
        </is>
      </c>
      <c r="D682" s="11" t="inlineStr">
        <is>
          <t>no</t>
        </is>
      </c>
      <c r="E682" s="11" t="inlineStr">
        <is>
          <t>no</t>
        </is>
      </c>
      <c r="F682" s="11" t="inlineStr">
        <is>
          <t>c6658</t>
        </is>
      </c>
      <c r="G682" s="11" t="inlineStr">
        <is>
          <t>cite</t>
        </is>
      </c>
      <c r="H682" s="11" t="inlineStr">
        <is>
          <t>c5174</t>
        </is>
      </c>
      <c r="I682" s="11" t="inlineStr">
        <is>
          <t>cite</t>
        </is>
      </c>
      <c r="J682" s="11" t="inlineStr">
        <is>
          <t>no</t>
        </is>
      </c>
      <c r="K682" s="11" t="inlineStr">
        <is>
          <t>yes</t>
        </is>
      </c>
      <c r="L682" s="11" t="inlineStr">
        <is>
          <t>untouched</t>
        </is>
      </c>
    </row>
    <row r="683">
      <c r="A683" s="11" t="inlineStr">
        <is>
          <t>680</t>
        </is>
      </c>
      <c r="B683" s="11" t="inlineStr">
        <is>
          <t>104</t>
        </is>
      </c>
      <c r="C683" s="11" t="inlineStr">
        <is>
          <t>SC</t>
        </is>
      </c>
      <c r="D683" s="11" t="inlineStr">
        <is>
          <t>no</t>
        </is>
      </c>
      <c r="E683" s="11" t="inlineStr">
        <is>
          <t>no</t>
        </is>
      </c>
      <c r="F683" s="11" t="inlineStr">
        <is>
          <t>c26289</t>
        </is>
      </c>
      <c r="G683" s="11" t="inlineStr">
        <is>
          <t>name</t>
        </is>
      </c>
      <c r="H683" s="11" t="inlineStr">
        <is>
          <t>c26727</t>
        </is>
      </c>
      <c r="I683" s="11" t="inlineStr">
        <is>
          <t>name</t>
        </is>
      </c>
      <c r="J683" s="11" t="inlineStr">
        <is>
          <t>no</t>
        </is>
      </c>
      <c r="K683" s="11" t="inlineStr">
        <is>
          <t>yes</t>
        </is>
      </c>
      <c r="L683" s="11" t="inlineStr">
        <is>
          <t>tune</t>
        </is>
      </c>
    </row>
    <row r="684">
      <c r="A684" s="11" t="inlineStr">
        <is>
          <t>681</t>
        </is>
      </c>
      <c r="B684" s="11" t="inlineStr">
        <is>
          <t>104</t>
        </is>
      </c>
      <c r="C684" s="11" t="inlineStr">
        <is>
          <t>SC</t>
        </is>
      </c>
      <c r="D684" s="11" t="inlineStr">
        <is>
          <t>no</t>
        </is>
      </c>
      <c r="E684" s="11" t="inlineStr">
        <is>
          <t>no</t>
        </is>
      </c>
      <c r="F684" s="11" t="inlineStr">
        <is>
          <t>c11170</t>
        </is>
      </c>
      <c r="G684" s="11" t="inlineStr">
        <is>
          <t>name</t>
        </is>
      </c>
      <c r="H684" s="11" t="inlineStr">
        <is>
          <t>c10687</t>
        </is>
      </c>
      <c r="I684" s="11" t="inlineStr">
        <is>
          <t>cite</t>
        </is>
      </c>
      <c r="J684" s="11" t="inlineStr">
        <is>
          <t>no</t>
        </is>
      </c>
      <c r="K684" s="11" t="inlineStr">
        <is>
          <t>yes</t>
        </is>
      </c>
      <c r="L684" s="11" t="inlineStr">
        <is>
          <t>untouched</t>
        </is>
      </c>
    </row>
    <row r="685">
      <c r="A685" s="11" t="inlineStr">
        <is>
          <t>682</t>
        </is>
      </c>
      <c r="B685" s="11" t="inlineStr">
        <is>
          <t>105</t>
        </is>
      </c>
      <c r="C685" s="11" t="inlineStr">
        <is>
          <t>SC</t>
        </is>
      </c>
      <c r="D685" s="11" t="inlineStr">
        <is>
          <t>no</t>
        </is>
      </c>
      <c r="E685" s="11" t="inlineStr">
        <is>
          <t>yes</t>
        </is>
      </c>
      <c r="F685" s="11" t="inlineStr">
        <is>
          <t>c8446</t>
        </is>
      </c>
      <c r="G685" s="11" t="inlineStr">
        <is>
          <t>cite</t>
        </is>
      </c>
      <c r="H685" s="11" t="inlineStr">
        <is>
          <t>c10832</t>
        </is>
      </c>
      <c r="I685" s="11" t="inlineStr">
        <is>
          <t>cite</t>
        </is>
      </c>
      <c r="J685" s="11" t="inlineStr">
        <is>
          <t>no</t>
        </is>
      </c>
      <c r="K685" s="11" t="inlineStr">
        <is>
          <t>yes</t>
        </is>
      </c>
      <c r="L685" s="11" t="inlineStr">
        <is>
          <t>tune</t>
        </is>
      </c>
    </row>
    <row r="686">
      <c r="A686" s="11" t="inlineStr">
        <is>
          <t>683</t>
        </is>
      </c>
      <c r="B686" s="11" t="inlineStr">
        <is>
          <t>105</t>
        </is>
      </c>
      <c r="C686" s="11" t="inlineStr">
        <is>
          <t>SC</t>
        </is>
      </c>
      <c r="D686" s="11" t="inlineStr">
        <is>
          <t>no</t>
        </is>
      </c>
      <c r="E686" s="11" t="inlineStr">
        <is>
          <t>no</t>
        </is>
      </c>
      <c r="F686" s="11" t="inlineStr"/>
      <c r="G686" s="11" t="inlineStr"/>
      <c r="H686" s="11" t="inlineStr"/>
      <c r="I686" s="11" t="inlineStr"/>
      <c r="J686" s="11" t="inlineStr">
        <is>
          <t>no</t>
        </is>
      </c>
      <c r="K686" s="11" t="inlineStr">
        <is>
          <t>no</t>
        </is>
      </c>
      <c r="L686" s="11" t="inlineStr"/>
    </row>
    <row r="687">
      <c r="A687" s="11" t="inlineStr">
        <is>
          <t>684</t>
        </is>
      </c>
      <c r="B687" s="11" t="inlineStr">
        <is>
          <t>105</t>
        </is>
      </c>
      <c r="C687" s="11" t="inlineStr">
        <is>
          <t>SC</t>
        </is>
      </c>
      <c r="D687" s="11" t="inlineStr">
        <is>
          <t>no</t>
        </is>
      </c>
      <c r="E687" s="11" t="inlineStr">
        <is>
          <t>no</t>
        </is>
      </c>
      <c r="F687" s="11" t="inlineStr">
        <is>
          <t>c6691</t>
        </is>
      </c>
      <c r="G687" s="11" t="inlineStr">
        <is>
          <t>cite</t>
        </is>
      </c>
      <c r="H687" s="11" t="inlineStr"/>
      <c r="I687" s="11" t="inlineStr"/>
      <c r="J687" s="11" t="inlineStr">
        <is>
          <t>no</t>
        </is>
      </c>
      <c r="K687" s="11" t="inlineStr">
        <is>
          <t>no</t>
        </is>
      </c>
      <c r="L687" s="11" t="inlineStr"/>
    </row>
    <row r="688">
      <c r="A688" s="11" t="inlineStr">
        <is>
          <t>685</t>
        </is>
      </c>
      <c r="B688" s="11" t="inlineStr">
        <is>
          <t>105</t>
        </is>
      </c>
      <c r="C688" s="11" t="inlineStr">
        <is>
          <t>SC</t>
        </is>
      </c>
      <c r="D688" s="11" t="inlineStr">
        <is>
          <t>no</t>
        </is>
      </c>
      <c r="E688" s="11" t="inlineStr">
        <is>
          <t>no</t>
        </is>
      </c>
      <c r="F688" s="11" t="inlineStr">
        <is>
          <t>c7727</t>
        </is>
      </c>
      <c r="G688" s="11" t="inlineStr">
        <is>
          <t>cite</t>
        </is>
      </c>
      <c r="H688" s="11" t="inlineStr"/>
      <c r="I688" s="11" t="inlineStr"/>
      <c r="J688" s="11" t="inlineStr">
        <is>
          <t>no</t>
        </is>
      </c>
      <c r="K688" s="11" t="inlineStr">
        <is>
          <t>no</t>
        </is>
      </c>
      <c r="L688" s="11" t="inlineStr"/>
    </row>
    <row r="689">
      <c r="A689" s="11" t="inlineStr">
        <is>
          <t>686</t>
        </is>
      </c>
      <c r="B689" s="11" t="inlineStr">
        <is>
          <t>105</t>
        </is>
      </c>
      <c r="C689" s="11" t="inlineStr">
        <is>
          <t>SC</t>
        </is>
      </c>
      <c r="D689" s="11" t="inlineStr">
        <is>
          <t>no</t>
        </is>
      </c>
      <c r="E689" s="11" t="inlineStr">
        <is>
          <t>yes</t>
        </is>
      </c>
      <c r="F689" s="11" t="inlineStr"/>
      <c r="G689" s="11" t="inlineStr"/>
      <c r="H689" s="11" t="inlineStr">
        <is>
          <t>c41801</t>
        </is>
      </c>
      <c r="I689" s="11" t="inlineStr">
        <is>
          <t>name</t>
        </is>
      </c>
      <c r="J689" s="11" t="inlineStr">
        <is>
          <t>no</t>
        </is>
      </c>
      <c r="K689" s="11" t="inlineStr">
        <is>
          <t>no</t>
        </is>
      </c>
      <c r="L689" s="11" t="inlineStr"/>
    </row>
    <row r="690">
      <c r="A690" s="11" t="inlineStr">
        <is>
          <t>687</t>
        </is>
      </c>
      <c r="B690" s="11" t="inlineStr">
        <is>
          <t>105</t>
        </is>
      </c>
      <c r="C690" s="11" t="inlineStr">
        <is>
          <t>SC</t>
        </is>
      </c>
      <c r="D690" s="11" t="inlineStr">
        <is>
          <t>no</t>
        </is>
      </c>
      <c r="E690" s="11" t="inlineStr">
        <is>
          <t>no</t>
        </is>
      </c>
      <c r="F690" s="11" t="inlineStr">
        <is>
          <t>c16124</t>
        </is>
      </c>
      <c r="G690" s="11" t="inlineStr">
        <is>
          <t>name</t>
        </is>
      </c>
      <c r="H690" s="11" t="inlineStr"/>
      <c r="I690" s="11" t="inlineStr"/>
      <c r="J690" s="11" t="inlineStr">
        <is>
          <t>no</t>
        </is>
      </c>
      <c r="K690" s="11" t="inlineStr">
        <is>
          <t>no</t>
        </is>
      </c>
      <c r="L690" s="11" t="inlineStr"/>
    </row>
    <row r="691">
      <c r="A691" s="11" t="inlineStr">
        <is>
          <t>688</t>
        </is>
      </c>
      <c r="B691" s="11" t="inlineStr">
        <is>
          <t>106</t>
        </is>
      </c>
      <c r="C691" s="11" t="inlineStr">
        <is>
          <t>SC</t>
        </is>
      </c>
      <c r="D691" s="11" t="inlineStr">
        <is>
          <t>no</t>
        </is>
      </c>
      <c r="E691" s="11" t="inlineStr">
        <is>
          <t>yes</t>
        </is>
      </c>
      <c r="F691" s="11" t="inlineStr"/>
      <c r="G691" s="11" t="inlineStr"/>
      <c r="H691" s="11" t="inlineStr"/>
      <c r="I691" s="11" t="inlineStr"/>
      <c r="J691" s="11" t="inlineStr">
        <is>
          <t>no</t>
        </is>
      </c>
      <c r="K691" s="11" t="inlineStr">
        <is>
          <t>no</t>
        </is>
      </c>
      <c r="L691" s="11" t="inlineStr"/>
    </row>
    <row r="692">
      <c r="A692" s="11" t="inlineStr">
        <is>
          <t>689</t>
        </is>
      </c>
      <c r="B692" s="11" t="inlineStr">
        <is>
          <t>106</t>
        </is>
      </c>
      <c r="C692" s="11" t="inlineStr">
        <is>
          <t>SC</t>
        </is>
      </c>
      <c r="D692" s="11" t="inlineStr">
        <is>
          <t>no</t>
        </is>
      </c>
      <c r="E692" s="11" t="inlineStr">
        <is>
          <t>no</t>
        </is>
      </c>
      <c r="F692" s="11" t="inlineStr">
        <is>
          <t>c7166</t>
        </is>
      </c>
      <c r="G692" s="11" t="inlineStr">
        <is>
          <t>cite</t>
        </is>
      </c>
      <c r="H692" s="11" t="inlineStr">
        <is>
          <t>c6044</t>
        </is>
      </c>
      <c r="I692" s="11" t="inlineStr">
        <is>
          <t>cite</t>
        </is>
      </c>
      <c r="J692" s="11" t="inlineStr">
        <is>
          <t>no</t>
        </is>
      </c>
      <c r="K692" s="11" t="inlineStr">
        <is>
          <t>yes</t>
        </is>
      </c>
      <c r="L692" s="11" t="inlineStr">
        <is>
          <t>untouched</t>
        </is>
      </c>
    </row>
    <row r="693">
      <c r="A693" s="11" t="inlineStr">
        <is>
          <t>690</t>
        </is>
      </c>
      <c r="B693" s="11" t="inlineStr">
        <is>
          <t>106</t>
        </is>
      </c>
      <c r="C693" s="11" t="inlineStr">
        <is>
          <t>SC</t>
        </is>
      </c>
      <c r="D693" s="11" t="inlineStr">
        <is>
          <t>no</t>
        </is>
      </c>
      <c r="E693" s="11" t="inlineStr">
        <is>
          <t>no</t>
        </is>
      </c>
      <c r="F693" s="11" t="inlineStr">
        <is>
          <t>c8577</t>
        </is>
      </c>
      <c r="G693" s="11" t="inlineStr">
        <is>
          <t>cite</t>
        </is>
      </c>
      <c r="H693" s="11" t="inlineStr">
        <is>
          <t>c12747</t>
        </is>
      </c>
      <c r="I693" s="11" t="inlineStr">
        <is>
          <t>cite</t>
        </is>
      </c>
      <c r="J693" s="11" t="inlineStr">
        <is>
          <t>no</t>
        </is>
      </c>
      <c r="K693" s="11" t="inlineStr">
        <is>
          <t>yes</t>
        </is>
      </c>
      <c r="L693" s="11" t="inlineStr">
        <is>
          <t>tune</t>
        </is>
      </c>
    </row>
    <row r="694">
      <c r="A694" s="11" t="inlineStr">
        <is>
          <t>691</t>
        </is>
      </c>
      <c r="B694" s="11" t="inlineStr">
        <is>
          <t>106</t>
        </is>
      </c>
      <c r="C694" s="11" t="inlineStr">
        <is>
          <t>SC</t>
        </is>
      </c>
      <c r="D694" s="11" t="inlineStr">
        <is>
          <t>no</t>
        </is>
      </c>
      <c r="E694" s="11" t="inlineStr">
        <is>
          <t>no</t>
        </is>
      </c>
      <c r="F694" s="11" t="inlineStr">
        <is>
          <t>c7242</t>
        </is>
      </c>
      <c r="G694" s="11" t="inlineStr">
        <is>
          <t>cite</t>
        </is>
      </c>
      <c r="H694" s="11" t="inlineStr">
        <is>
          <t>b1994_2_51_61</t>
        </is>
      </c>
      <c r="I694" s="11" t="inlineStr">
        <is>
          <t>cite</t>
        </is>
      </c>
      <c r="J694" s="11" t="inlineStr">
        <is>
          <t>no</t>
        </is>
      </c>
      <c r="K694" s="11" t="inlineStr">
        <is>
          <t>yes</t>
        </is>
      </c>
      <c r="L694" s="11" t="inlineStr">
        <is>
          <t>untouched</t>
        </is>
      </c>
    </row>
    <row r="695">
      <c r="A695" s="11" t="inlineStr">
        <is>
          <t>692</t>
        </is>
      </c>
      <c r="B695" s="11" t="inlineStr">
        <is>
          <t>106</t>
        </is>
      </c>
      <c r="C695" s="11" t="inlineStr">
        <is>
          <t>SC</t>
        </is>
      </c>
      <c r="D695" s="11" t="inlineStr">
        <is>
          <t>no</t>
        </is>
      </c>
      <c r="E695" s="11" t="inlineStr">
        <is>
          <t>no</t>
        </is>
      </c>
      <c r="F695" s="11" t="inlineStr"/>
      <c r="G695" s="11" t="inlineStr"/>
      <c r="H695" s="11" t="inlineStr">
        <is>
          <t>c31861</t>
        </is>
      </c>
      <c r="I695" s="11" t="inlineStr">
        <is>
          <t>cite</t>
        </is>
      </c>
      <c r="J695" s="11" t="inlineStr">
        <is>
          <t>no</t>
        </is>
      </c>
      <c r="K695" s="11" t="inlineStr">
        <is>
          <t>no</t>
        </is>
      </c>
      <c r="L695" s="11" t="inlineStr"/>
    </row>
    <row r="696">
      <c r="A696" s="11" t="inlineStr">
        <is>
          <t>693</t>
        </is>
      </c>
      <c r="B696" s="11" t="inlineStr">
        <is>
          <t>106</t>
        </is>
      </c>
      <c r="C696" s="11" t="inlineStr">
        <is>
          <t>SC</t>
        </is>
      </c>
      <c r="D696" s="11" t="inlineStr">
        <is>
          <t>no</t>
        </is>
      </c>
      <c r="E696" s="11" t="inlineStr">
        <is>
          <t>no</t>
        </is>
      </c>
      <c r="F696" s="11" t="inlineStr">
        <is>
          <t>c14043</t>
        </is>
      </c>
      <c r="G696" s="11" t="inlineStr">
        <is>
          <t>cite</t>
        </is>
      </c>
      <c r="H696" s="11" t="inlineStr">
        <is>
          <t>c26522</t>
        </is>
      </c>
      <c r="I696" s="11" t="inlineStr">
        <is>
          <t>name</t>
        </is>
      </c>
      <c r="J696" s="11" t="inlineStr">
        <is>
          <t>no</t>
        </is>
      </c>
      <c r="K696" s="11" t="inlineStr">
        <is>
          <t>yes</t>
        </is>
      </c>
      <c r="L696" s="11" t="inlineStr">
        <is>
          <t>untouched</t>
        </is>
      </c>
    </row>
    <row r="697">
      <c r="A697" s="11" t="inlineStr">
        <is>
          <t>694</t>
        </is>
      </c>
      <c r="B697" s="11" t="inlineStr">
        <is>
          <t>107</t>
        </is>
      </c>
      <c r="C697" s="11" t="inlineStr">
        <is>
          <t>SC</t>
        </is>
      </c>
      <c r="D697" s="11" t="inlineStr">
        <is>
          <t>no</t>
        </is>
      </c>
      <c r="E697" s="11" t="inlineStr">
        <is>
          <t>no</t>
        </is>
      </c>
      <c r="F697" s="11" t="inlineStr">
        <is>
          <t>b1995_2_379_385</t>
        </is>
      </c>
      <c r="G697" s="11" t="inlineStr">
        <is>
          <t>cite</t>
        </is>
      </c>
      <c r="H697" s="11" t="inlineStr">
        <is>
          <t>c26522</t>
        </is>
      </c>
      <c r="I697" s="11" t="inlineStr">
        <is>
          <t>name</t>
        </is>
      </c>
      <c r="J697" s="11" t="inlineStr">
        <is>
          <t>no</t>
        </is>
      </c>
      <c r="K697" s="11" t="inlineStr">
        <is>
          <t>yes</t>
        </is>
      </c>
      <c r="L697" s="11" t="inlineStr">
        <is>
          <t>tune</t>
        </is>
      </c>
    </row>
    <row r="698">
      <c r="A698" s="11" t="inlineStr">
        <is>
          <t>695</t>
        </is>
      </c>
      <c r="B698" s="11" t="inlineStr">
        <is>
          <t>107</t>
        </is>
      </c>
      <c r="C698" s="11" t="inlineStr">
        <is>
          <t>SC</t>
        </is>
      </c>
      <c r="D698" s="11" t="inlineStr">
        <is>
          <t>no</t>
        </is>
      </c>
      <c r="E698" s="11" t="inlineStr">
        <is>
          <t>no</t>
        </is>
      </c>
      <c r="F698" s="11" t="inlineStr">
        <is>
          <t>c26393</t>
        </is>
      </c>
      <c r="G698" s="11" t="inlineStr">
        <is>
          <t>name</t>
        </is>
      </c>
      <c r="H698" s="11" t="inlineStr">
        <is>
          <t>c27426</t>
        </is>
      </c>
      <c r="I698" s="11" t="inlineStr">
        <is>
          <t>cite</t>
        </is>
      </c>
      <c r="J698" s="11" t="inlineStr">
        <is>
          <t>no</t>
        </is>
      </c>
      <c r="K698" s="11" t="inlineStr">
        <is>
          <t>yes</t>
        </is>
      </c>
      <c r="L698" s="11" t="inlineStr">
        <is>
          <t>untouched</t>
        </is>
      </c>
    </row>
    <row r="699">
      <c r="A699" s="11" t="inlineStr">
        <is>
          <t>696</t>
        </is>
      </c>
      <c r="B699" s="11" t="inlineStr">
        <is>
          <t>107</t>
        </is>
      </c>
      <c r="C699" s="11" t="inlineStr">
        <is>
          <t>SC</t>
        </is>
      </c>
      <c r="D699" s="11" t="inlineStr">
        <is>
          <t>no</t>
        </is>
      </c>
      <c r="E699" s="11" t="inlineStr">
        <is>
          <t>no</t>
        </is>
      </c>
      <c r="F699" s="11" t="inlineStr">
        <is>
          <t>c8783</t>
        </is>
      </c>
      <c r="G699" s="11" t="inlineStr">
        <is>
          <t>cite</t>
        </is>
      </c>
      <c r="H699" s="11" t="inlineStr">
        <is>
          <t>b1994_1_377_386</t>
        </is>
      </c>
      <c r="I699" s="11" t="inlineStr">
        <is>
          <t>cite</t>
        </is>
      </c>
      <c r="J699" s="11" t="inlineStr">
        <is>
          <t>no</t>
        </is>
      </c>
      <c r="K699" s="11" t="inlineStr">
        <is>
          <t>yes</t>
        </is>
      </c>
      <c r="L699" s="11" t="inlineStr">
        <is>
          <t>tune</t>
        </is>
      </c>
    </row>
    <row r="700">
      <c r="A700" s="11" t="inlineStr">
        <is>
          <t>697</t>
        </is>
      </c>
      <c r="B700" s="11" t="inlineStr">
        <is>
          <t>107</t>
        </is>
      </c>
      <c r="C700" s="11" t="inlineStr">
        <is>
          <t>SC</t>
        </is>
      </c>
      <c r="D700" s="11" t="inlineStr">
        <is>
          <t>no</t>
        </is>
      </c>
      <c r="E700" s="11" t="inlineStr">
        <is>
          <t>no</t>
        </is>
      </c>
      <c r="F700" s="11" t="inlineStr"/>
      <c r="G700" s="11" t="inlineStr"/>
      <c r="H700" s="11" t="inlineStr">
        <is>
          <t>c18915</t>
        </is>
      </c>
      <c r="I700" s="11" t="inlineStr">
        <is>
          <t>cite</t>
        </is>
      </c>
      <c r="J700" s="11" t="inlineStr">
        <is>
          <t>no</t>
        </is>
      </c>
      <c r="K700" s="11" t="inlineStr">
        <is>
          <t>no</t>
        </is>
      </c>
      <c r="L700" s="11" t="inlineStr"/>
    </row>
    <row r="701">
      <c r="A701" s="11" t="inlineStr">
        <is>
          <t>698</t>
        </is>
      </c>
      <c r="B701" s="11" t="inlineStr">
        <is>
          <t>107</t>
        </is>
      </c>
      <c r="C701" s="11" t="inlineStr">
        <is>
          <t>SC</t>
        </is>
      </c>
      <c r="D701" s="11" t="inlineStr">
        <is>
          <t>no</t>
        </is>
      </c>
      <c r="E701" s="11" t="inlineStr">
        <is>
          <t>yes</t>
        </is>
      </c>
      <c r="F701" s="11" t="inlineStr">
        <is>
          <t>b1994_3_592_607</t>
        </is>
      </c>
      <c r="G701" s="11" t="inlineStr">
        <is>
          <t>cite</t>
        </is>
      </c>
      <c r="H701" s="11" t="inlineStr">
        <is>
          <t>c27430</t>
        </is>
      </c>
      <c r="I701" s="11" t="inlineStr">
        <is>
          <t>cite</t>
        </is>
      </c>
      <c r="J701" s="11" t="inlineStr">
        <is>
          <t>no</t>
        </is>
      </c>
      <c r="K701" s="11" t="inlineStr">
        <is>
          <t>yes</t>
        </is>
      </c>
      <c r="L701" s="11" t="inlineStr">
        <is>
          <t>tune</t>
        </is>
      </c>
    </row>
    <row r="702">
      <c r="A702" s="11" t="inlineStr">
        <is>
          <t>699</t>
        </is>
      </c>
      <c r="B702" s="11" t="inlineStr">
        <is>
          <t>108</t>
        </is>
      </c>
      <c r="C702" s="11" t="inlineStr">
        <is>
          <t>SC</t>
        </is>
      </c>
      <c r="D702" s="11" t="inlineStr">
        <is>
          <t>no</t>
        </is>
      </c>
      <c r="E702" s="11" t="inlineStr">
        <is>
          <t>yes</t>
        </is>
      </c>
      <c r="F702" s="11" t="inlineStr">
        <is>
          <t>c14075</t>
        </is>
      </c>
      <c r="G702" s="11" t="inlineStr">
        <is>
          <t>cite</t>
        </is>
      </c>
      <c r="H702" s="11" t="inlineStr">
        <is>
          <t>c26073</t>
        </is>
      </c>
      <c r="I702" s="11" t="inlineStr">
        <is>
          <t>cite</t>
        </is>
      </c>
      <c r="J702" s="11" t="inlineStr">
        <is>
          <t>no</t>
        </is>
      </c>
      <c r="K702" s="11" t="inlineStr">
        <is>
          <t>yes</t>
        </is>
      </c>
      <c r="L702" s="11" t="inlineStr">
        <is>
          <t>untouched</t>
        </is>
      </c>
    </row>
    <row r="703">
      <c r="A703" s="11" t="inlineStr">
        <is>
          <t>700</t>
        </is>
      </c>
      <c r="B703" s="11" t="inlineStr">
        <is>
          <t>108</t>
        </is>
      </c>
      <c r="C703" s="11" t="inlineStr">
        <is>
          <t>SC</t>
        </is>
      </c>
      <c r="D703" s="11" t="inlineStr">
        <is>
          <t>no</t>
        </is>
      </c>
      <c r="E703" s="11" t="inlineStr">
        <is>
          <t>no</t>
        </is>
      </c>
      <c r="F703" s="11" t="inlineStr"/>
      <c r="G703" s="11" t="inlineStr"/>
      <c r="H703" s="11" t="inlineStr">
        <is>
          <t>c41760</t>
        </is>
      </c>
      <c r="I703" s="11" t="inlineStr">
        <is>
          <t>name</t>
        </is>
      </c>
      <c r="J703" s="11" t="inlineStr">
        <is>
          <t>no</t>
        </is>
      </c>
      <c r="K703" s="11" t="inlineStr">
        <is>
          <t>no</t>
        </is>
      </c>
      <c r="L703" s="11" t="inlineStr"/>
    </row>
    <row r="704">
      <c r="A704" s="11" t="inlineStr">
        <is>
          <t>701</t>
        </is>
      </c>
      <c r="B704" s="11" t="inlineStr">
        <is>
          <t>108</t>
        </is>
      </c>
      <c r="C704" s="11" t="inlineStr">
        <is>
          <t>SC</t>
        </is>
      </c>
      <c r="D704" s="11" t="inlineStr">
        <is>
          <t>no</t>
        </is>
      </c>
      <c r="E704" s="11" t="inlineStr">
        <is>
          <t>no</t>
        </is>
      </c>
      <c r="F704" s="11" t="inlineStr">
        <is>
          <t>bS_1997_3_624_635</t>
        </is>
      </c>
      <c r="G704" s="11" t="inlineStr">
        <is>
          <t>name</t>
        </is>
      </c>
      <c r="H704" s="11" t="inlineStr">
        <is>
          <t>c17914</t>
        </is>
      </c>
      <c r="I704" s="11" t="inlineStr">
        <is>
          <t>name</t>
        </is>
      </c>
      <c r="J704" s="11" t="inlineStr">
        <is>
          <t>no</t>
        </is>
      </c>
      <c r="K704" s="11" t="inlineStr">
        <is>
          <t>yes</t>
        </is>
      </c>
      <c r="L704" s="11" t="inlineStr">
        <is>
          <t>untouched</t>
        </is>
      </c>
    </row>
    <row r="705">
      <c r="A705" s="11" t="inlineStr">
        <is>
          <t>702</t>
        </is>
      </c>
      <c r="B705" s="11" t="inlineStr">
        <is>
          <t>108</t>
        </is>
      </c>
      <c r="C705" s="11" t="inlineStr">
        <is>
          <t>SC</t>
        </is>
      </c>
      <c r="D705" s="11" t="inlineStr">
        <is>
          <t>no</t>
        </is>
      </c>
      <c r="E705" s="11" t="inlineStr">
        <is>
          <t>yes</t>
        </is>
      </c>
      <c r="F705" s="11" t="inlineStr">
        <is>
          <t>c14191</t>
        </is>
      </c>
      <c r="G705" s="11" t="inlineStr">
        <is>
          <t>cite</t>
        </is>
      </c>
      <c r="H705" s="11" t="inlineStr"/>
      <c r="I705" s="11" t="inlineStr"/>
      <c r="J705" s="11" t="inlineStr">
        <is>
          <t>yes</t>
        </is>
      </c>
      <c r="K705" s="11" t="inlineStr">
        <is>
          <t>no</t>
        </is>
      </c>
      <c r="L705" s="11" t="inlineStr"/>
    </row>
    <row r="706">
      <c r="A706" s="11" t="inlineStr">
        <is>
          <t>703</t>
        </is>
      </c>
      <c r="B706" s="11" t="inlineStr">
        <is>
          <t>108</t>
        </is>
      </c>
      <c r="C706" s="11" t="inlineStr">
        <is>
          <t>SC</t>
        </is>
      </c>
      <c r="D706" s="11" t="inlineStr">
        <is>
          <t>no</t>
        </is>
      </c>
      <c r="E706" s="11" t="inlineStr">
        <is>
          <t>yes</t>
        </is>
      </c>
      <c r="F706" s="11" t="inlineStr"/>
      <c r="G706" s="11" t="inlineStr"/>
      <c r="H706" s="11" t="inlineStr">
        <is>
          <t>b1999_2_1005_1009</t>
        </is>
      </c>
      <c r="I706" s="11" t="inlineStr">
        <is>
          <t>cite</t>
        </is>
      </c>
      <c r="J706" s="11" t="inlineStr">
        <is>
          <t>no</t>
        </is>
      </c>
      <c r="K706" s="11" t="inlineStr">
        <is>
          <t>no</t>
        </is>
      </c>
      <c r="L706" s="11" t="inlineStr"/>
    </row>
    <row r="707">
      <c r="A707" s="11" t="inlineStr">
        <is>
          <t>704</t>
        </is>
      </c>
      <c r="B707" s="11" t="inlineStr">
        <is>
          <t>108</t>
        </is>
      </c>
      <c r="C707" s="11" t="inlineStr">
        <is>
          <t>SC</t>
        </is>
      </c>
      <c r="D707" s="11" t="inlineStr">
        <is>
          <t>yes</t>
        </is>
      </c>
      <c r="E707" s="11" t="inlineStr">
        <is>
          <t>no</t>
        </is>
      </c>
      <c r="F707" s="11" t="inlineStr"/>
      <c r="G707" s="11" t="inlineStr"/>
      <c r="H707" s="11" t="inlineStr">
        <is>
          <t>c30319</t>
        </is>
      </c>
      <c r="I707" s="11" t="inlineStr">
        <is>
          <t>cite</t>
        </is>
      </c>
      <c r="J707" s="11" t="inlineStr">
        <is>
          <t>no</t>
        </is>
      </c>
      <c r="K707" s="11" t="inlineStr">
        <is>
          <t>no</t>
        </is>
      </c>
      <c r="L707" s="11" t="inlineStr"/>
    </row>
    <row r="708">
      <c r="A708" s="11" t="inlineStr">
        <is>
          <t>705</t>
        </is>
      </c>
      <c r="B708" s="11" t="inlineStr">
        <is>
          <t>109</t>
        </is>
      </c>
      <c r="C708" s="11" t="inlineStr">
        <is>
          <t>HC/tribunal/other</t>
        </is>
      </c>
      <c r="D708" s="11" t="inlineStr">
        <is>
          <t>yes</t>
        </is>
      </c>
      <c r="E708" s="11" t="inlineStr">
        <is>
          <t>no</t>
        </is>
      </c>
      <c r="F708" s="11" t="inlineStr"/>
      <c r="G708" s="11" t="inlineStr"/>
      <c r="H708" s="11" t="inlineStr">
        <is>
          <t>c28360</t>
        </is>
      </c>
      <c r="I708" s="11" t="inlineStr">
        <is>
          <t>name</t>
        </is>
      </c>
      <c r="J708" s="11" t="inlineStr">
        <is>
          <t>no</t>
        </is>
      </c>
      <c r="K708" s="11" t="inlineStr">
        <is>
          <t>no</t>
        </is>
      </c>
      <c r="L708" s="11" t="inlineStr"/>
    </row>
    <row r="709">
      <c r="A709" s="11" t="inlineStr">
        <is>
          <t>706</t>
        </is>
      </c>
      <c r="B709" s="11" t="inlineStr">
        <is>
          <t>109</t>
        </is>
      </c>
      <c r="C709" s="11" t="inlineStr">
        <is>
          <t>SC</t>
        </is>
      </c>
      <c r="D709" s="11" t="inlineStr">
        <is>
          <t>no</t>
        </is>
      </c>
      <c r="E709" s="11" t="inlineStr">
        <is>
          <t>yes</t>
        </is>
      </c>
      <c r="F709" s="11" t="inlineStr"/>
      <c r="G709" s="11" t="inlineStr"/>
      <c r="H709" s="11" t="inlineStr">
        <is>
          <t>c14191</t>
        </is>
      </c>
      <c r="I709" s="11" t="inlineStr">
        <is>
          <t>cite</t>
        </is>
      </c>
      <c r="J709" s="11" t="inlineStr">
        <is>
          <t>yes</t>
        </is>
      </c>
      <c r="K709" s="11" t="inlineStr">
        <is>
          <t>no</t>
        </is>
      </c>
      <c r="L709" s="11" t="inlineStr"/>
    </row>
    <row r="710">
      <c r="A710" s="11" t="inlineStr">
        <is>
          <t>707</t>
        </is>
      </c>
      <c r="B710" s="11" t="inlineStr">
        <is>
          <t>109</t>
        </is>
      </c>
      <c r="C710" s="11" t="inlineStr">
        <is>
          <t>SC</t>
        </is>
      </c>
      <c r="D710" s="11" t="inlineStr">
        <is>
          <t>no</t>
        </is>
      </c>
      <c r="E710" s="11" t="inlineStr">
        <is>
          <t>yes</t>
        </is>
      </c>
      <c r="F710" s="11" t="inlineStr"/>
      <c r="G710" s="11" t="inlineStr"/>
      <c r="H710" s="11" t="inlineStr"/>
      <c r="I710" s="11" t="inlineStr"/>
      <c r="J710" s="11" t="inlineStr">
        <is>
          <t>no</t>
        </is>
      </c>
      <c r="K710" s="11" t="inlineStr">
        <is>
          <t>no</t>
        </is>
      </c>
      <c r="L710" s="11" t="inlineStr"/>
    </row>
    <row r="711">
      <c r="A711" s="11" t="inlineStr">
        <is>
          <t>708</t>
        </is>
      </c>
      <c r="B711" s="11" t="inlineStr">
        <is>
          <t>109</t>
        </is>
      </c>
      <c r="C711" s="11" t="inlineStr">
        <is>
          <t>SC</t>
        </is>
      </c>
      <c r="D711" s="11" t="inlineStr">
        <is>
          <t>no</t>
        </is>
      </c>
      <c r="E711" s="11" t="inlineStr">
        <is>
          <t>yes</t>
        </is>
      </c>
      <c r="F711" s="11" t="inlineStr"/>
      <c r="G711" s="11" t="inlineStr"/>
      <c r="H711" s="11" t="inlineStr"/>
      <c r="I711" s="11" t="inlineStr"/>
      <c r="J711" s="11" t="inlineStr">
        <is>
          <t>no</t>
        </is>
      </c>
      <c r="K711" s="11" t="inlineStr">
        <is>
          <t>no</t>
        </is>
      </c>
      <c r="L711" s="11" t="inlineStr"/>
    </row>
    <row r="712">
      <c r="A712" s="11" t="inlineStr">
        <is>
          <t>709</t>
        </is>
      </c>
      <c r="B712" s="11" t="inlineStr">
        <is>
          <t>109</t>
        </is>
      </c>
      <c r="C712" s="11" t="inlineStr">
        <is>
          <t>SC</t>
        </is>
      </c>
      <c r="D712" s="11" t="inlineStr">
        <is>
          <t>no</t>
        </is>
      </c>
      <c r="E712" s="11" t="inlineStr">
        <is>
          <t>no</t>
        </is>
      </c>
      <c r="F712" s="11" t="inlineStr">
        <is>
          <t>c16156</t>
        </is>
      </c>
      <c r="G712" s="11" t="inlineStr">
        <is>
          <t>cite</t>
        </is>
      </c>
      <c r="H712" s="11" t="inlineStr">
        <is>
          <t>c20427</t>
        </is>
      </c>
      <c r="I712" s="11" t="inlineStr">
        <is>
          <t>name</t>
        </is>
      </c>
      <c r="J712" s="11" t="inlineStr">
        <is>
          <t>no</t>
        </is>
      </c>
      <c r="K712" s="11" t="inlineStr">
        <is>
          <t>yes</t>
        </is>
      </c>
      <c r="L712" s="11" t="inlineStr">
        <is>
          <t>untouched</t>
        </is>
      </c>
    </row>
    <row r="713">
      <c r="A713" s="11" t="inlineStr">
        <is>
          <t>710</t>
        </is>
      </c>
      <c r="B713" s="11" t="inlineStr">
        <is>
          <t>110</t>
        </is>
      </c>
      <c r="C713" s="11" t="inlineStr">
        <is>
          <t>SC</t>
        </is>
      </c>
      <c r="D713" s="11" t="inlineStr">
        <is>
          <t>no</t>
        </is>
      </c>
      <c r="E713" s="11" t="inlineStr">
        <is>
          <t>no</t>
        </is>
      </c>
      <c r="F713" s="11" t="inlineStr">
        <is>
          <t>c16115</t>
        </is>
      </c>
      <c r="G713" s="11" t="inlineStr">
        <is>
          <t>cite</t>
        </is>
      </c>
      <c r="H713" s="11" t="inlineStr"/>
      <c r="I713" s="11" t="inlineStr"/>
      <c r="J713" s="11" t="inlineStr">
        <is>
          <t>no</t>
        </is>
      </c>
      <c r="K713" s="11" t="inlineStr">
        <is>
          <t>no</t>
        </is>
      </c>
      <c r="L713" s="11" t="inlineStr"/>
    </row>
    <row r="714">
      <c r="A714" s="11" t="inlineStr">
        <is>
          <t>711</t>
        </is>
      </c>
      <c r="B714" s="11" t="inlineStr">
        <is>
          <t>110</t>
        </is>
      </c>
      <c r="C714" s="11" t="inlineStr">
        <is>
          <t>SC</t>
        </is>
      </c>
      <c r="D714" s="11" t="inlineStr">
        <is>
          <t>no</t>
        </is>
      </c>
      <c r="E714" s="11" t="inlineStr">
        <is>
          <t>no</t>
        </is>
      </c>
      <c r="F714" s="11" t="inlineStr">
        <is>
          <t>c16167</t>
        </is>
      </c>
      <c r="G714" s="11" t="inlineStr">
        <is>
          <t>cite</t>
        </is>
      </c>
      <c r="H714" s="11" t="inlineStr">
        <is>
          <t>c18319</t>
        </is>
      </c>
      <c r="I714" s="11" t="inlineStr">
        <is>
          <t>cite</t>
        </is>
      </c>
      <c r="J714" s="11" t="inlineStr">
        <is>
          <t>no</t>
        </is>
      </c>
      <c r="K714" s="11" t="inlineStr">
        <is>
          <t>yes</t>
        </is>
      </c>
      <c r="L714" s="11" t="inlineStr">
        <is>
          <t>untouched</t>
        </is>
      </c>
    </row>
    <row r="715">
      <c r="A715" s="11" t="inlineStr">
        <is>
          <t>712</t>
        </is>
      </c>
      <c r="B715" s="11" t="inlineStr">
        <is>
          <t>110</t>
        </is>
      </c>
      <c r="C715" s="11" t="inlineStr">
        <is>
          <t>SC</t>
        </is>
      </c>
      <c r="D715" s="11" t="inlineStr">
        <is>
          <t>no</t>
        </is>
      </c>
      <c r="E715" s="11" t="inlineStr">
        <is>
          <t>no</t>
        </is>
      </c>
      <c r="F715" s="11" t="inlineStr"/>
      <c r="G715" s="11" t="inlineStr"/>
      <c r="H715" s="11" t="inlineStr">
        <is>
          <t>c17448</t>
        </is>
      </c>
      <c r="I715" s="11" t="inlineStr">
        <is>
          <t>cite</t>
        </is>
      </c>
      <c r="J715" s="11" t="inlineStr">
        <is>
          <t>no</t>
        </is>
      </c>
      <c r="K715" s="11" t="inlineStr">
        <is>
          <t>no</t>
        </is>
      </c>
      <c r="L715" s="11" t="inlineStr"/>
    </row>
    <row r="716">
      <c r="A716" s="11" t="inlineStr">
        <is>
          <t>713</t>
        </is>
      </c>
      <c r="B716" s="11" t="inlineStr">
        <is>
          <t>110</t>
        </is>
      </c>
      <c r="C716" s="11" t="inlineStr">
        <is>
          <t>SC</t>
        </is>
      </c>
      <c r="D716" s="11" t="inlineStr">
        <is>
          <t>no</t>
        </is>
      </c>
      <c r="E716" s="11" t="inlineStr">
        <is>
          <t>no</t>
        </is>
      </c>
      <c r="F716" s="11" t="inlineStr">
        <is>
          <t>c14200</t>
        </is>
      </c>
      <c r="G716" s="11" t="inlineStr">
        <is>
          <t>cite</t>
        </is>
      </c>
      <c r="H716" s="11" t="inlineStr"/>
      <c r="I716" s="11" t="inlineStr"/>
      <c r="J716" s="11" t="inlineStr">
        <is>
          <t>no</t>
        </is>
      </c>
      <c r="K716" s="11" t="inlineStr">
        <is>
          <t>no</t>
        </is>
      </c>
      <c r="L716" s="11" t="inlineStr"/>
    </row>
    <row r="717">
      <c r="A717" s="11" t="inlineStr">
        <is>
          <t>714</t>
        </is>
      </c>
      <c r="B717" s="11" t="inlineStr">
        <is>
          <t>110</t>
        </is>
      </c>
      <c r="C717" s="11" t="inlineStr">
        <is>
          <t>SC</t>
        </is>
      </c>
      <c r="D717" s="11" t="inlineStr">
        <is>
          <t>no</t>
        </is>
      </c>
      <c r="E717" s="11" t="inlineStr">
        <is>
          <t>no</t>
        </is>
      </c>
      <c r="F717" s="11" t="inlineStr"/>
      <c r="G717" s="11" t="inlineStr"/>
      <c r="H717" s="11" t="inlineStr">
        <is>
          <t>c13456</t>
        </is>
      </c>
      <c r="I717" s="11" t="inlineStr">
        <is>
          <t>cite</t>
        </is>
      </c>
      <c r="J717" s="11" t="inlineStr">
        <is>
          <t>no</t>
        </is>
      </c>
      <c r="K717" s="11" t="inlineStr">
        <is>
          <t>no</t>
        </is>
      </c>
      <c r="L717" s="11" t="inlineStr"/>
    </row>
    <row r="718">
      <c r="A718" s="11" t="inlineStr">
        <is>
          <t>715</t>
        </is>
      </c>
      <c r="B718" s="11" t="inlineStr">
        <is>
          <t>110</t>
        </is>
      </c>
      <c r="C718" s="11" t="inlineStr">
        <is>
          <t>SC</t>
        </is>
      </c>
      <c r="D718" s="11" t="inlineStr">
        <is>
          <t>no</t>
        </is>
      </c>
      <c r="E718" s="11" t="inlineStr">
        <is>
          <t>yes</t>
        </is>
      </c>
      <c r="F718" s="11" t="inlineStr">
        <is>
          <t>c14968</t>
        </is>
      </c>
      <c r="G718" s="11" t="inlineStr">
        <is>
          <t>name</t>
        </is>
      </c>
      <c r="H718" s="11" t="inlineStr">
        <is>
          <t>c13382</t>
        </is>
      </c>
      <c r="I718" s="11" t="inlineStr">
        <is>
          <t>cite</t>
        </is>
      </c>
      <c r="J718" s="11" t="inlineStr">
        <is>
          <t>no</t>
        </is>
      </c>
      <c r="K718" s="11" t="inlineStr">
        <is>
          <t>yes</t>
        </is>
      </c>
      <c r="L718" s="11" t="inlineStr">
        <is>
          <t>untouched</t>
        </is>
      </c>
    </row>
    <row r="719">
      <c r="A719" s="11" t="inlineStr">
        <is>
          <t>716</t>
        </is>
      </c>
      <c r="B719" s="11" t="inlineStr">
        <is>
          <t>111</t>
        </is>
      </c>
      <c r="C719" s="11" t="inlineStr">
        <is>
          <t>SC</t>
        </is>
      </c>
      <c r="D719" s="11" t="inlineStr">
        <is>
          <t>no</t>
        </is>
      </c>
      <c r="E719" s="11" t="inlineStr">
        <is>
          <t>no</t>
        </is>
      </c>
      <c r="F719" s="11" t="inlineStr"/>
      <c r="G719" s="11" t="inlineStr"/>
      <c r="H719" s="11" t="inlineStr">
        <is>
          <t>c41774</t>
        </is>
      </c>
      <c r="I719" s="11" t="inlineStr">
        <is>
          <t>name</t>
        </is>
      </c>
      <c r="J719" s="11" t="inlineStr">
        <is>
          <t>no</t>
        </is>
      </c>
      <c r="K719" s="11" t="inlineStr">
        <is>
          <t>no</t>
        </is>
      </c>
      <c r="L719" s="11" t="inlineStr"/>
    </row>
    <row r="720">
      <c r="A720" s="11" t="inlineStr">
        <is>
          <t>717</t>
        </is>
      </c>
      <c r="B720" s="11" t="inlineStr">
        <is>
          <t>111</t>
        </is>
      </c>
      <c r="C720" s="11" t="inlineStr">
        <is>
          <t>SC</t>
        </is>
      </c>
      <c r="D720" s="11" t="inlineStr">
        <is>
          <t>no</t>
        </is>
      </c>
      <c r="E720" s="11" t="inlineStr">
        <is>
          <t>yes</t>
        </is>
      </c>
      <c r="F720" s="11" t="inlineStr">
        <is>
          <t>c13737</t>
        </is>
      </c>
      <c r="G720" s="11" t="inlineStr">
        <is>
          <t>name</t>
        </is>
      </c>
      <c r="H720" s="11" t="inlineStr">
        <is>
          <t>c39584</t>
        </is>
      </c>
      <c r="I720" s="11" t="inlineStr">
        <is>
          <t>name</t>
        </is>
      </c>
      <c r="J720" s="11" t="inlineStr">
        <is>
          <t>no</t>
        </is>
      </c>
      <c r="K720" s="11" t="inlineStr">
        <is>
          <t>yes</t>
        </is>
      </c>
      <c r="L720" s="11" t="inlineStr">
        <is>
          <t>untouched</t>
        </is>
      </c>
    </row>
    <row r="721">
      <c r="A721" s="11" t="inlineStr">
        <is>
          <t>718</t>
        </is>
      </c>
      <c r="B721" s="11" t="inlineStr">
        <is>
          <t>111</t>
        </is>
      </c>
      <c r="C721" s="11" t="inlineStr">
        <is>
          <t>SC</t>
        </is>
      </c>
      <c r="D721" s="11" t="inlineStr">
        <is>
          <t>no</t>
        </is>
      </c>
      <c r="E721" s="11" t="inlineStr">
        <is>
          <t>no</t>
        </is>
      </c>
      <c r="F721" s="11" t="inlineStr">
        <is>
          <t>c14339</t>
        </is>
      </c>
      <c r="G721" s="11" t="inlineStr">
        <is>
          <t>cite</t>
        </is>
      </c>
      <c r="H721" s="11" t="inlineStr">
        <is>
          <t>c31827</t>
        </is>
      </c>
      <c r="I721" s="11" t="inlineStr">
        <is>
          <t>cite</t>
        </is>
      </c>
      <c r="J721" s="11" t="inlineStr">
        <is>
          <t>yes</t>
        </is>
      </c>
      <c r="K721" s="11" t="inlineStr">
        <is>
          <t>no</t>
        </is>
      </c>
      <c r="L721" s="11" t="inlineStr"/>
    </row>
    <row r="722">
      <c r="A722" s="11" t="inlineStr">
        <is>
          <t>719</t>
        </is>
      </c>
      <c r="B722" s="11" t="inlineStr">
        <is>
          <t>111</t>
        </is>
      </c>
      <c r="C722" s="11" t="inlineStr">
        <is>
          <t>SC</t>
        </is>
      </c>
      <c r="D722" s="11" t="inlineStr">
        <is>
          <t>no</t>
        </is>
      </c>
      <c r="E722" s="11" t="inlineStr">
        <is>
          <t>no</t>
        </is>
      </c>
      <c r="F722" s="11" t="inlineStr"/>
      <c r="G722" s="11" t="inlineStr"/>
      <c r="H722" s="11" t="inlineStr">
        <is>
          <t>c18358</t>
        </is>
      </c>
      <c r="I722" s="11" t="inlineStr">
        <is>
          <t>cite</t>
        </is>
      </c>
      <c r="J722" s="11" t="inlineStr">
        <is>
          <t>no</t>
        </is>
      </c>
      <c r="K722" s="11" t="inlineStr">
        <is>
          <t>no</t>
        </is>
      </c>
      <c r="L722" s="11" t="inlineStr"/>
    </row>
    <row r="723">
      <c r="A723" s="11" t="inlineStr">
        <is>
          <t>720</t>
        </is>
      </c>
      <c r="B723" s="11" t="inlineStr">
        <is>
          <t>111</t>
        </is>
      </c>
      <c r="C723" s="11" t="inlineStr">
        <is>
          <t>SC</t>
        </is>
      </c>
      <c r="D723" s="11" t="inlineStr">
        <is>
          <t>no</t>
        </is>
      </c>
      <c r="E723" s="11" t="inlineStr">
        <is>
          <t>no</t>
        </is>
      </c>
      <c r="F723" s="11" t="inlineStr">
        <is>
          <t>c15123</t>
        </is>
      </c>
      <c r="G723" s="11" t="inlineStr">
        <is>
          <t>name</t>
        </is>
      </c>
      <c r="H723" s="11" t="inlineStr"/>
      <c r="I723" s="11" t="inlineStr"/>
      <c r="J723" s="11" t="inlineStr">
        <is>
          <t>no</t>
        </is>
      </c>
      <c r="K723" s="11" t="inlineStr">
        <is>
          <t>no</t>
        </is>
      </c>
      <c r="L723" s="11" t="inlineStr"/>
    </row>
    <row r="724">
      <c r="A724" s="11" t="inlineStr">
        <is>
          <t>721</t>
        </is>
      </c>
      <c r="B724" s="11" t="inlineStr">
        <is>
          <t>111</t>
        </is>
      </c>
      <c r="C724" s="11" t="inlineStr">
        <is>
          <t>SC</t>
        </is>
      </c>
      <c r="D724" s="11" t="inlineStr">
        <is>
          <t>no</t>
        </is>
      </c>
      <c r="E724" s="11" t="inlineStr">
        <is>
          <t>yes</t>
        </is>
      </c>
      <c r="F724" s="11" t="inlineStr"/>
      <c r="G724" s="11" t="inlineStr"/>
      <c r="H724" s="11" t="inlineStr">
        <is>
          <t>c31862</t>
        </is>
      </c>
      <c r="I724" s="11" t="inlineStr">
        <is>
          <t>cite</t>
        </is>
      </c>
      <c r="J724" s="11" t="inlineStr">
        <is>
          <t>no</t>
        </is>
      </c>
      <c r="K724" s="11" t="inlineStr">
        <is>
          <t>no</t>
        </is>
      </c>
      <c r="L724" s="11" t="inlineStr"/>
    </row>
    <row r="725">
      <c r="A725" s="11" t="inlineStr">
        <is>
          <t>722</t>
        </is>
      </c>
      <c r="B725" s="11" t="inlineStr">
        <is>
          <t>112</t>
        </is>
      </c>
      <c r="C725" s="11" t="inlineStr">
        <is>
          <t>SC</t>
        </is>
      </c>
      <c r="D725" s="11" t="inlineStr">
        <is>
          <t>no</t>
        </is>
      </c>
      <c r="E725" s="11" t="inlineStr">
        <is>
          <t>no</t>
        </is>
      </c>
      <c r="F725" s="11" t="inlineStr"/>
      <c r="G725" s="11" t="inlineStr"/>
      <c r="H725" s="11" t="inlineStr">
        <is>
          <t>c20736</t>
        </is>
      </c>
      <c r="I725" s="11" t="inlineStr">
        <is>
          <t>cite</t>
        </is>
      </c>
      <c r="J725" s="11" t="inlineStr">
        <is>
          <t>no</t>
        </is>
      </c>
      <c r="K725" s="11" t="inlineStr">
        <is>
          <t>no</t>
        </is>
      </c>
      <c r="L725" s="11" t="inlineStr"/>
    </row>
    <row r="726">
      <c r="A726" s="11" t="inlineStr">
        <is>
          <t>723</t>
        </is>
      </c>
      <c r="B726" s="11" t="inlineStr">
        <is>
          <t>112</t>
        </is>
      </c>
      <c r="C726" s="11" t="inlineStr">
        <is>
          <t>SC</t>
        </is>
      </c>
      <c r="D726" s="11" t="inlineStr">
        <is>
          <t>no</t>
        </is>
      </c>
      <c r="E726" s="11" t="inlineStr">
        <is>
          <t>no</t>
        </is>
      </c>
      <c r="F726" s="11" t="inlineStr"/>
      <c r="G726" s="11" t="inlineStr"/>
      <c r="H726" s="11" t="inlineStr">
        <is>
          <t>c13091</t>
        </is>
      </c>
      <c r="I726" s="11" t="inlineStr">
        <is>
          <t>cite</t>
        </is>
      </c>
      <c r="J726" s="11" t="inlineStr">
        <is>
          <t>no</t>
        </is>
      </c>
      <c r="K726" s="11" t="inlineStr">
        <is>
          <t>no</t>
        </is>
      </c>
      <c r="L726" s="11" t="inlineStr"/>
    </row>
    <row r="727">
      <c r="A727" s="11" t="inlineStr">
        <is>
          <t>724</t>
        </is>
      </c>
      <c r="B727" s="11" t="inlineStr">
        <is>
          <t>112</t>
        </is>
      </c>
      <c r="C727" s="11" t="inlineStr">
        <is>
          <t>SC</t>
        </is>
      </c>
      <c r="D727" s="11" t="inlineStr">
        <is>
          <t>no</t>
        </is>
      </c>
      <c r="E727" s="11" t="inlineStr">
        <is>
          <t>no</t>
        </is>
      </c>
      <c r="F727" s="11" t="inlineStr"/>
      <c r="G727" s="11" t="inlineStr"/>
      <c r="H727" s="11" t="inlineStr">
        <is>
          <t>c18893</t>
        </is>
      </c>
      <c r="I727" s="11" t="inlineStr">
        <is>
          <t>cite</t>
        </is>
      </c>
      <c r="J727" s="11" t="inlineStr">
        <is>
          <t>no</t>
        </is>
      </c>
      <c r="K727" s="11" t="inlineStr">
        <is>
          <t>no</t>
        </is>
      </c>
      <c r="L727" s="11" t="inlineStr"/>
    </row>
    <row r="728">
      <c r="A728" s="11" t="inlineStr">
        <is>
          <t>725</t>
        </is>
      </c>
      <c r="B728" s="11" t="inlineStr">
        <is>
          <t>112</t>
        </is>
      </c>
      <c r="C728" s="11" t="inlineStr">
        <is>
          <t>SC</t>
        </is>
      </c>
      <c r="D728" s="11" t="inlineStr">
        <is>
          <t>no</t>
        </is>
      </c>
      <c r="E728" s="11" t="inlineStr">
        <is>
          <t>no</t>
        </is>
      </c>
      <c r="F728" s="11" t="inlineStr"/>
      <c r="G728" s="11" t="inlineStr"/>
      <c r="H728" s="11" t="inlineStr">
        <is>
          <t>c12502</t>
        </is>
      </c>
      <c r="I728" s="11" t="inlineStr">
        <is>
          <t>cite</t>
        </is>
      </c>
      <c r="J728" s="11" t="inlineStr">
        <is>
          <t>no</t>
        </is>
      </c>
      <c r="K728" s="11" t="inlineStr">
        <is>
          <t>no</t>
        </is>
      </c>
      <c r="L728" s="11" t="inlineStr"/>
    </row>
    <row r="729">
      <c r="A729" s="11" t="inlineStr">
        <is>
          <t>726</t>
        </is>
      </c>
      <c r="B729" s="11" t="inlineStr">
        <is>
          <t>112</t>
        </is>
      </c>
      <c r="C729" s="11" t="inlineStr">
        <is>
          <t>SC</t>
        </is>
      </c>
      <c r="D729" s="11" t="inlineStr">
        <is>
          <t>no</t>
        </is>
      </c>
      <c r="E729" s="11" t="inlineStr">
        <is>
          <t>no</t>
        </is>
      </c>
      <c r="F729" s="11" t="inlineStr"/>
      <c r="G729" s="11" t="inlineStr"/>
      <c r="H729" s="11" t="inlineStr">
        <is>
          <t>c11198</t>
        </is>
      </c>
      <c r="I729" s="11" t="inlineStr">
        <is>
          <t>cite</t>
        </is>
      </c>
      <c r="J729" s="11" t="inlineStr">
        <is>
          <t>no</t>
        </is>
      </c>
      <c r="K729" s="11" t="inlineStr">
        <is>
          <t>no</t>
        </is>
      </c>
      <c r="L729" s="11" t="inlineStr"/>
    </row>
    <row r="730">
      <c r="A730" s="11" t="inlineStr">
        <is>
          <t>727</t>
        </is>
      </c>
      <c r="B730" s="11" t="inlineStr">
        <is>
          <t>112</t>
        </is>
      </c>
      <c r="C730" s="11" t="inlineStr">
        <is>
          <t>SC</t>
        </is>
      </c>
      <c r="D730" s="11" t="inlineStr">
        <is>
          <t>no</t>
        </is>
      </c>
      <c r="E730" s="11" t="inlineStr">
        <is>
          <t>no</t>
        </is>
      </c>
      <c r="F730" s="11" t="inlineStr">
        <is>
          <t>c5774</t>
        </is>
      </c>
      <c r="G730" s="11" t="inlineStr">
        <is>
          <t>cite</t>
        </is>
      </c>
      <c r="H730" s="11" t="inlineStr">
        <is>
          <t>c12797</t>
        </is>
      </c>
      <c r="I730" s="11" t="inlineStr">
        <is>
          <t>cite</t>
        </is>
      </c>
      <c r="J730" s="11" t="inlineStr">
        <is>
          <t>no</t>
        </is>
      </c>
      <c r="K730" s="11" t="inlineStr">
        <is>
          <t>yes</t>
        </is>
      </c>
      <c r="L730" s="11" t="inlineStr">
        <is>
          <t>untouched</t>
        </is>
      </c>
    </row>
    <row r="731">
      <c r="A731" s="11" t="inlineStr">
        <is>
          <t>728</t>
        </is>
      </c>
      <c r="B731" s="11" t="inlineStr">
        <is>
          <t>113</t>
        </is>
      </c>
      <c r="C731" s="11" t="inlineStr">
        <is>
          <t>SC</t>
        </is>
      </c>
      <c r="D731" s="11" t="inlineStr">
        <is>
          <t>no</t>
        </is>
      </c>
      <c r="E731" s="11" t="inlineStr">
        <is>
          <t>no</t>
        </is>
      </c>
      <c r="F731" s="11" t="inlineStr"/>
      <c r="G731" s="11" t="inlineStr"/>
      <c r="H731" s="11" t="inlineStr">
        <is>
          <t>c12502</t>
        </is>
      </c>
      <c r="I731" s="11" t="inlineStr">
        <is>
          <t>cite</t>
        </is>
      </c>
      <c r="J731" s="11" t="inlineStr">
        <is>
          <t>no</t>
        </is>
      </c>
      <c r="K731" s="11" t="inlineStr">
        <is>
          <t>no</t>
        </is>
      </c>
      <c r="L731" s="11" t="inlineStr"/>
    </row>
    <row r="732">
      <c r="A732" s="11" t="inlineStr">
        <is>
          <t>729</t>
        </is>
      </c>
      <c r="B732" s="11" t="inlineStr">
        <is>
          <t>113</t>
        </is>
      </c>
      <c r="C732" s="11" t="inlineStr">
        <is>
          <t>SC</t>
        </is>
      </c>
      <c r="D732" s="11" t="inlineStr">
        <is>
          <t>no</t>
        </is>
      </c>
      <c r="E732" s="11" t="inlineStr">
        <is>
          <t>no</t>
        </is>
      </c>
      <c r="F732" s="11" t="inlineStr"/>
      <c r="G732" s="11" t="inlineStr"/>
      <c r="H732" s="11" t="inlineStr">
        <is>
          <t>c12502</t>
        </is>
      </c>
      <c r="I732" s="11" t="inlineStr">
        <is>
          <t>cite</t>
        </is>
      </c>
      <c r="J732" s="11" t="inlineStr">
        <is>
          <t>no</t>
        </is>
      </c>
      <c r="K732" s="11" t="inlineStr">
        <is>
          <t>no</t>
        </is>
      </c>
      <c r="L732" s="11" t="inlineStr"/>
    </row>
    <row r="733">
      <c r="A733" s="11" t="inlineStr">
        <is>
          <t>730</t>
        </is>
      </c>
      <c r="B733" s="11" t="inlineStr">
        <is>
          <t>113</t>
        </is>
      </c>
      <c r="C733" s="11" t="inlineStr">
        <is>
          <t>SC</t>
        </is>
      </c>
      <c r="D733" s="11" t="inlineStr">
        <is>
          <t>no</t>
        </is>
      </c>
      <c r="E733" s="11" t="inlineStr">
        <is>
          <t>no</t>
        </is>
      </c>
      <c r="F733" s="11" t="inlineStr"/>
      <c r="G733" s="11" t="inlineStr"/>
      <c r="H733" s="11" t="inlineStr">
        <is>
          <t>c16466</t>
        </is>
      </c>
      <c r="I733" s="11" t="inlineStr">
        <is>
          <t>cite</t>
        </is>
      </c>
      <c r="J733" s="11" t="inlineStr">
        <is>
          <t>no</t>
        </is>
      </c>
      <c r="K733" s="11" t="inlineStr">
        <is>
          <t>no</t>
        </is>
      </c>
      <c r="L733" s="11" t="inlineStr"/>
    </row>
    <row r="734">
      <c r="A734" s="11" t="inlineStr">
        <is>
          <t>731</t>
        </is>
      </c>
      <c r="B734" s="11" t="inlineStr">
        <is>
          <t>113</t>
        </is>
      </c>
      <c r="C734" s="11" t="inlineStr">
        <is>
          <t>SC</t>
        </is>
      </c>
      <c r="D734" s="11" t="inlineStr">
        <is>
          <t>no</t>
        </is>
      </c>
      <c r="E734" s="11" t="inlineStr">
        <is>
          <t>no</t>
        </is>
      </c>
      <c r="F734" s="11" t="inlineStr"/>
      <c r="G734" s="11" t="inlineStr"/>
      <c r="H734" s="11" t="inlineStr">
        <is>
          <t>c14328</t>
        </is>
      </c>
      <c r="I734" s="11" t="inlineStr">
        <is>
          <t>cite</t>
        </is>
      </c>
      <c r="J734" s="11" t="inlineStr">
        <is>
          <t>no</t>
        </is>
      </c>
      <c r="K734" s="11" t="inlineStr">
        <is>
          <t>no</t>
        </is>
      </c>
      <c r="L734" s="11" t="inlineStr"/>
    </row>
    <row r="735">
      <c r="A735" s="11" t="inlineStr">
        <is>
          <t>732</t>
        </is>
      </c>
      <c r="B735" s="11" t="inlineStr">
        <is>
          <t>113</t>
        </is>
      </c>
      <c r="C735" s="11" t="inlineStr">
        <is>
          <t>HC/tribunal/other</t>
        </is>
      </c>
      <c r="D735" s="11" t="inlineStr">
        <is>
          <t>no</t>
        </is>
      </c>
      <c r="E735" s="11" t="inlineStr">
        <is>
          <t>no</t>
        </is>
      </c>
      <c r="F735" s="11" t="inlineStr"/>
      <c r="G735" s="11" t="inlineStr"/>
      <c r="H735" s="11" t="inlineStr">
        <is>
          <t>c36204</t>
        </is>
      </c>
      <c r="I735" s="11" t="inlineStr">
        <is>
          <t>name</t>
        </is>
      </c>
      <c r="J735" s="11" t="inlineStr">
        <is>
          <t>no</t>
        </is>
      </c>
      <c r="K735" s="11" t="inlineStr">
        <is>
          <t>no</t>
        </is>
      </c>
      <c r="L735" s="11" t="inlineStr"/>
    </row>
    <row r="736">
      <c r="A736" s="11" t="inlineStr">
        <is>
          <t>733</t>
        </is>
      </c>
      <c r="B736" s="11" t="inlineStr">
        <is>
          <t>113</t>
        </is>
      </c>
      <c r="C736" s="11" t="inlineStr">
        <is>
          <t>HC/tribunal/other</t>
        </is>
      </c>
      <c r="D736" s="11" t="inlineStr">
        <is>
          <t>no</t>
        </is>
      </c>
      <c r="E736" s="11" t="inlineStr">
        <is>
          <t>yes</t>
        </is>
      </c>
      <c r="F736" s="11" t="inlineStr"/>
      <c r="G736" s="11" t="inlineStr"/>
      <c r="H736" s="11" t="inlineStr">
        <is>
          <t>c28835</t>
        </is>
      </c>
      <c r="I736" s="11" t="inlineStr">
        <is>
          <t>cite</t>
        </is>
      </c>
      <c r="J736" s="11" t="inlineStr">
        <is>
          <t>no</t>
        </is>
      </c>
      <c r="K736" s="11" t="inlineStr">
        <is>
          <t>no</t>
        </is>
      </c>
      <c r="L736" s="11" t="inlineStr"/>
    </row>
    <row r="737">
      <c r="A737" s="11" t="inlineStr">
        <is>
          <t>734</t>
        </is>
      </c>
      <c r="B737" s="11" t="inlineStr">
        <is>
          <t>114</t>
        </is>
      </c>
      <c r="C737" s="11" t="inlineStr">
        <is>
          <t>HC/tribunal/other</t>
        </is>
      </c>
      <c r="D737" s="11" t="inlineStr">
        <is>
          <t>no</t>
        </is>
      </c>
      <c r="E737" s="11" t="inlineStr">
        <is>
          <t>yes</t>
        </is>
      </c>
      <c r="F737" s="11" t="inlineStr"/>
      <c r="G737" s="11" t="inlineStr"/>
      <c r="H737" s="11" t="inlineStr">
        <is>
          <t>b1965_2_457_476</t>
        </is>
      </c>
      <c r="I737" s="11" t="inlineStr">
        <is>
          <t>cite</t>
        </is>
      </c>
      <c r="J737" s="11" t="inlineStr">
        <is>
          <t>no</t>
        </is>
      </c>
      <c r="K737" s="11" t="inlineStr">
        <is>
          <t>no</t>
        </is>
      </c>
      <c r="L737" s="11" t="inlineStr"/>
    </row>
    <row r="738">
      <c r="A738" s="11" t="inlineStr">
        <is>
          <t>735</t>
        </is>
      </c>
      <c r="B738" s="11" t="inlineStr">
        <is>
          <t>114</t>
        </is>
      </c>
      <c r="C738" s="11" t="inlineStr">
        <is>
          <t>HC/tribunal/other</t>
        </is>
      </c>
      <c r="D738" s="11" t="inlineStr">
        <is>
          <t>no</t>
        </is>
      </c>
      <c r="E738" s="11" t="inlineStr">
        <is>
          <t>no</t>
        </is>
      </c>
      <c r="F738" s="11" t="inlineStr"/>
      <c r="G738" s="11" t="inlineStr"/>
      <c r="H738" s="11" t="inlineStr">
        <is>
          <t>c14741</t>
        </is>
      </c>
      <c r="I738" s="11" t="inlineStr">
        <is>
          <t>name</t>
        </is>
      </c>
      <c r="J738" s="11" t="inlineStr">
        <is>
          <t>no</t>
        </is>
      </c>
      <c r="K738" s="11" t="inlineStr">
        <is>
          <t>no</t>
        </is>
      </c>
      <c r="L738" s="11" t="inlineStr"/>
    </row>
    <row r="739">
      <c r="A739" s="11" t="inlineStr">
        <is>
          <t>736</t>
        </is>
      </c>
      <c r="B739" s="11" t="inlineStr">
        <is>
          <t>114</t>
        </is>
      </c>
      <c r="C739" s="11" t="inlineStr">
        <is>
          <t>HC/tribunal/other</t>
        </is>
      </c>
      <c r="D739" s="11" t="inlineStr">
        <is>
          <t>yes</t>
        </is>
      </c>
      <c r="E739" s="11" t="inlineStr">
        <is>
          <t>no</t>
        </is>
      </c>
      <c r="F739" s="11" t="inlineStr"/>
      <c r="G739" s="11" t="inlineStr"/>
      <c r="H739" s="11" t="inlineStr">
        <is>
          <t>c31250</t>
        </is>
      </c>
      <c r="I739" s="11" t="inlineStr">
        <is>
          <t>name</t>
        </is>
      </c>
      <c r="J739" s="11" t="inlineStr">
        <is>
          <t>no</t>
        </is>
      </c>
      <c r="K739" s="11" t="inlineStr">
        <is>
          <t>no</t>
        </is>
      </c>
      <c r="L739" s="11" t="inlineStr"/>
    </row>
    <row r="740">
      <c r="A740" s="11" t="inlineStr">
        <is>
          <t>737</t>
        </is>
      </c>
      <c r="B740" s="11" t="inlineStr">
        <is>
          <t>114</t>
        </is>
      </c>
      <c r="C740" s="11" t="inlineStr">
        <is>
          <t>HC/tribunal/other</t>
        </is>
      </c>
      <c r="D740" s="11" t="inlineStr">
        <is>
          <t>yes</t>
        </is>
      </c>
      <c r="E740" s="11" t="inlineStr">
        <is>
          <t>no</t>
        </is>
      </c>
      <c r="F740" s="11" t="inlineStr"/>
      <c r="G740" s="11" t="inlineStr"/>
      <c r="H740" s="11" t="inlineStr">
        <is>
          <t>c38743</t>
        </is>
      </c>
      <c r="I740" s="11" t="inlineStr">
        <is>
          <t>name</t>
        </is>
      </c>
      <c r="J740" s="11" t="inlineStr">
        <is>
          <t>no</t>
        </is>
      </c>
      <c r="K740" s="11" t="inlineStr">
        <is>
          <t>no</t>
        </is>
      </c>
      <c r="L740" s="11" t="inlineStr"/>
    </row>
    <row r="741">
      <c r="A741" s="11" t="inlineStr">
        <is>
          <t>738</t>
        </is>
      </c>
      <c r="B741" s="11" t="inlineStr">
        <is>
          <t>114</t>
        </is>
      </c>
      <c r="C741" s="11" t="inlineStr">
        <is>
          <t>HC/tribunal/other</t>
        </is>
      </c>
      <c r="D741" s="11" t="inlineStr">
        <is>
          <t>no</t>
        </is>
      </c>
      <c r="E741" s="11" t="inlineStr">
        <is>
          <t>no</t>
        </is>
      </c>
      <c r="F741" s="11" t="inlineStr"/>
      <c r="G741" s="11" t="inlineStr"/>
      <c r="H741" s="11" t="inlineStr">
        <is>
          <t>c31119</t>
        </is>
      </c>
      <c r="I741" s="11" t="inlineStr">
        <is>
          <t>cite</t>
        </is>
      </c>
      <c r="J741" s="11" t="inlineStr">
        <is>
          <t>no</t>
        </is>
      </c>
      <c r="K741" s="11" t="inlineStr">
        <is>
          <t>no</t>
        </is>
      </c>
      <c r="L741" s="11" t="inlineStr"/>
    </row>
    <row r="742">
      <c r="A742" s="11" t="inlineStr">
        <is>
          <t>739</t>
        </is>
      </c>
      <c r="B742" s="11" t="inlineStr">
        <is>
          <t>114</t>
        </is>
      </c>
      <c r="C742" s="11" t="inlineStr">
        <is>
          <t>HC/tribunal/other</t>
        </is>
      </c>
      <c r="D742" s="11" t="inlineStr">
        <is>
          <t>yes</t>
        </is>
      </c>
      <c r="E742" s="11" t="inlineStr">
        <is>
          <t>no</t>
        </is>
      </c>
      <c r="F742" s="11" t="inlineStr"/>
      <c r="G742" s="11" t="inlineStr"/>
      <c r="H742" s="11" t="inlineStr">
        <is>
          <t>c18054</t>
        </is>
      </c>
      <c r="I742" s="11" t="inlineStr">
        <is>
          <t>name</t>
        </is>
      </c>
      <c r="J742" s="11" t="inlineStr">
        <is>
          <t>no</t>
        </is>
      </c>
      <c r="K742" s="11" t="inlineStr">
        <is>
          <t>no</t>
        </is>
      </c>
      <c r="L742" s="11" t="inlineStr"/>
    </row>
    <row r="743">
      <c r="A743" s="11" t="inlineStr">
        <is>
          <t>740</t>
        </is>
      </c>
      <c r="B743" s="11" t="inlineStr">
        <is>
          <t>114</t>
        </is>
      </c>
      <c r="C743" s="11" t="inlineStr">
        <is>
          <t>HC/tribunal/other</t>
        </is>
      </c>
      <c r="D743" s="11" t="inlineStr">
        <is>
          <t>yes</t>
        </is>
      </c>
      <c r="E743" s="11" t="inlineStr">
        <is>
          <t>no</t>
        </is>
      </c>
      <c r="F743" s="11" t="inlineStr"/>
      <c r="G743" s="11" t="inlineStr"/>
      <c r="H743" s="11" t="inlineStr">
        <is>
          <t>c4981</t>
        </is>
      </c>
      <c r="I743" s="11" t="inlineStr">
        <is>
          <t>cite</t>
        </is>
      </c>
      <c r="J743" s="11" t="inlineStr">
        <is>
          <t>no</t>
        </is>
      </c>
      <c r="K743" s="11" t="inlineStr">
        <is>
          <t>no</t>
        </is>
      </c>
      <c r="L743" s="11" t="inlineStr"/>
    </row>
    <row r="744">
      <c r="A744" s="11" t="inlineStr">
        <is>
          <t>741</t>
        </is>
      </c>
      <c r="B744" s="11" t="inlineStr">
        <is>
          <t>115</t>
        </is>
      </c>
      <c r="C744" s="11" t="inlineStr">
        <is>
          <t>HC/tribunal/other</t>
        </is>
      </c>
      <c r="D744" s="11" t="inlineStr">
        <is>
          <t>no</t>
        </is>
      </c>
      <c r="E744" s="11" t="inlineStr">
        <is>
          <t>no</t>
        </is>
      </c>
      <c r="F744" s="11" t="inlineStr"/>
      <c r="G744" s="11" t="inlineStr"/>
      <c r="H744" s="11" t="inlineStr">
        <is>
          <t>c5598</t>
        </is>
      </c>
      <c r="I744" s="11" t="inlineStr">
        <is>
          <t>cite</t>
        </is>
      </c>
      <c r="J744" s="11" t="inlineStr">
        <is>
          <t>no</t>
        </is>
      </c>
      <c r="K744" s="11" t="inlineStr">
        <is>
          <t>no</t>
        </is>
      </c>
      <c r="L744" s="11" t="inlineStr"/>
    </row>
    <row r="745">
      <c r="A745" s="11" t="inlineStr">
        <is>
          <t>742</t>
        </is>
      </c>
      <c r="B745" s="11" t="inlineStr">
        <is>
          <t>115</t>
        </is>
      </c>
      <c r="C745" s="11" t="inlineStr">
        <is>
          <t>HC/tribunal/other</t>
        </is>
      </c>
      <c r="D745" s="11" t="inlineStr">
        <is>
          <t>no</t>
        </is>
      </c>
      <c r="E745" s="11" t="inlineStr">
        <is>
          <t>no</t>
        </is>
      </c>
      <c r="F745" s="11" t="inlineStr"/>
      <c r="G745" s="11" t="inlineStr"/>
      <c r="H745" s="11" t="inlineStr">
        <is>
          <t>c7515</t>
        </is>
      </c>
      <c r="I745" s="11" t="inlineStr">
        <is>
          <t>cite</t>
        </is>
      </c>
      <c r="J745" s="11" t="inlineStr">
        <is>
          <t>no</t>
        </is>
      </c>
      <c r="K745" s="11" t="inlineStr">
        <is>
          <t>no</t>
        </is>
      </c>
      <c r="L745" s="11" t="inlineStr"/>
    </row>
    <row r="746">
      <c r="A746" s="11" t="inlineStr">
        <is>
          <t>743</t>
        </is>
      </c>
      <c r="B746" s="11" t="inlineStr">
        <is>
          <t>115</t>
        </is>
      </c>
      <c r="C746" s="11" t="inlineStr">
        <is>
          <t>HC/tribunal/other</t>
        </is>
      </c>
      <c r="D746" s="11" t="inlineStr">
        <is>
          <t>yes</t>
        </is>
      </c>
      <c r="E746" s="11" t="inlineStr">
        <is>
          <t>no</t>
        </is>
      </c>
      <c r="F746" s="11" t="inlineStr"/>
      <c r="G746" s="11" t="inlineStr"/>
      <c r="H746" s="11" t="inlineStr">
        <is>
          <t>c19373</t>
        </is>
      </c>
      <c r="I746" s="11" t="inlineStr">
        <is>
          <t>name</t>
        </is>
      </c>
      <c r="J746" s="11" t="inlineStr">
        <is>
          <t>no</t>
        </is>
      </c>
      <c r="K746" s="11" t="inlineStr">
        <is>
          <t>no</t>
        </is>
      </c>
      <c r="L746" s="11" t="inlineStr"/>
    </row>
    <row r="747">
      <c r="A747" s="11" t="inlineStr">
        <is>
          <t>744</t>
        </is>
      </c>
      <c r="B747" s="11" t="inlineStr">
        <is>
          <t>115</t>
        </is>
      </c>
      <c r="C747" s="11" t="inlineStr">
        <is>
          <t>HC/tribunal/other</t>
        </is>
      </c>
      <c r="D747" s="11" t="inlineStr">
        <is>
          <t>no</t>
        </is>
      </c>
      <c r="E747" s="11" t="inlineStr">
        <is>
          <t>no</t>
        </is>
      </c>
      <c r="F747" s="11" t="inlineStr"/>
      <c r="G747" s="11" t="inlineStr"/>
      <c r="H747" s="11" t="inlineStr">
        <is>
          <t>c837</t>
        </is>
      </c>
      <c r="I747" s="11" t="inlineStr">
        <is>
          <t>cite</t>
        </is>
      </c>
      <c r="J747" s="11" t="inlineStr">
        <is>
          <t>no</t>
        </is>
      </c>
      <c r="K747" s="11" t="inlineStr">
        <is>
          <t>no</t>
        </is>
      </c>
      <c r="L747" s="11" t="inlineStr"/>
    </row>
    <row r="748">
      <c r="A748" s="11" t="inlineStr">
        <is>
          <t>745</t>
        </is>
      </c>
      <c r="B748" s="11" t="inlineStr">
        <is>
          <t>115</t>
        </is>
      </c>
      <c r="C748" s="11" t="inlineStr">
        <is>
          <t>HC/tribunal/other</t>
        </is>
      </c>
      <c r="D748" s="11" t="inlineStr">
        <is>
          <t>no</t>
        </is>
      </c>
      <c r="E748" s="11" t="inlineStr">
        <is>
          <t>no</t>
        </is>
      </c>
      <c r="F748" s="11" t="inlineStr"/>
      <c r="G748" s="11" t="inlineStr"/>
      <c r="H748" s="11" t="inlineStr">
        <is>
          <t>c18195</t>
        </is>
      </c>
      <c r="I748" s="11" t="inlineStr">
        <is>
          <t>cite</t>
        </is>
      </c>
      <c r="J748" s="11" t="inlineStr">
        <is>
          <t>no</t>
        </is>
      </c>
      <c r="K748" s="11" t="inlineStr">
        <is>
          <t>no</t>
        </is>
      </c>
      <c r="L748" s="11" t="inlineStr"/>
    </row>
    <row r="749">
      <c r="A749" s="11" t="inlineStr">
        <is>
          <t>746</t>
        </is>
      </c>
      <c r="B749" s="11" t="inlineStr">
        <is>
          <t>115</t>
        </is>
      </c>
      <c r="C749" s="11" t="inlineStr">
        <is>
          <t>HC/tribunal/other</t>
        </is>
      </c>
      <c r="D749" s="11" t="inlineStr">
        <is>
          <t>no</t>
        </is>
      </c>
      <c r="E749" s="11" t="inlineStr">
        <is>
          <t>no</t>
        </is>
      </c>
      <c r="F749" s="11" t="inlineStr"/>
      <c r="G749" s="11" t="inlineStr"/>
      <c r="H749" s="11" t="inlineStr">
        <is>
          <t>c8595</t>
        </is>
      </c>
      <c r="I749" s="11" t="inlineStr">
        <is>
          <t>cite</t>
        </is>
      </c>
      <c r="J749" s="11" t="inlineStr">
        <is>
          <t>yes</t>
        </is>
      </c>
      <c r="K749" s="11" t="inlineStr">
        <is>
          <t>no</t>
        </is>
      </c>
      <c r="L749" s="11" t="inlineStr"/>
    </row>
    <row r="750">
      <c r="A750" s="11" t="inlineStr">
        <is>
          <t>747</t>
        </is>
      </c>
      <c r="B750" s="11" t="inlineStr">
        <is>
          <t>115</t>
        </is>
      </c>
      <c r="C750" s="11" t="inlineStr">
        <is>
          <t>HC/tribunal/other</t>
        </is>
      </c>
      <c r="D750" s="11" t="inlineStr">
        <is>
          <t>no</t>
        </is>
      </c>
      <c r="E750" s="11" t="inlineStr">
        <is>
          <t>no</t>
        </is>
      </c>
      <c r="F750" s="11" t="inlineStr"/>
      <c r="G750" s="11" t="inlineStr"/>
      <c r="H750" s="11" t="inlineStr">
        <is>
          <t>c17672</t>
        </is>
      </c>
      <c r="I750" s="11" t="inlineStr">
        <is>
          <t>cite</t>
        </is>
      </c>
      <c r="J750" s="11" t="inlineStr">
        <is>
          <t>no</t>
        </is>
      </c>
      <c r="K750" s="11" t="inlineStr">
        <is>
          <t>no</t>
        </is>
      </c>
      <c r="L750" s="11" t="inlineStr"/>
    </row>
    <row r="751">
      <c r="A751" s="11" t="inlineStr">
        <is>
          <t>748</t>
        </is>
      </c>
      <c r="B751" s="11" t="inlineStr">
        <is>
          <t>115</t>
        </is>
      </c>
      <c r="C751" s="11" t="inlineStr">
        <is>
          <t>HC/tribunal/other</t>
        </is>
      </c>
      <c r="D751" s="11" t="inlineStr">
        <is>
          <t>yes</t>
        </is>
      </c>
      <c r="E751" s="11" t="inlineStr">
        <is>
          <t>no</t>
        </is>
      </c>
      <c r="F751" s="11" t="inlineStr"/>
      <c r="G751" s="11" t="inlineStr"/>
      <c r="H751" s="11" t="inlineStr"/>
      <c r="I751" s="11" t="inlineStr"/>
      <c r="J751" s="11" t="inlineStr">
        <is>
          <t>no</t>
        </is>
      </c>
      <c r="K751" s="11" t="inlineStr">
        <is>
          <t>no</t>
        </is>
      </c>
      <c r="L751" s="11" t="inlineStr"/>
    </row>
    <row r="752">
      <c r="A752" s="11" t="inlineStr">
        <is>
          <t>749</t>
        </is>
      </c>
      <c r="B752" s="11" t="inlineStr">
        <is>
          <t>116</t>
        </is>
      </c>
      <c r="C752" s="11" t="inlineStr">
        <is>
          <t>HC/tribunal/other</t>
        </is>
      </c>
      <c r="D752" s="11" t="inlineStr">
        <is>
          <t>no</t>
        </is>
      </c>
      <c r="E752" s="11" t="inlineStr">
        <is>
          <t>no</t>
        </is>
      </c>
      <c r="F752" s="11" t="inlineStr"/>
      <c r="G752" s="11" t="inlineStr"/>
      <c r="H752" s="11" t="inlineStr">
        <is>
          <t>c18859</t>
        </is>
      </c>
      <c r="I752" s="11" t="inlineStr">
        <is>
          <t>cite</t>
        </is>
      </c>
      <c r="J752" s="11" t="inlineStr">
        <is>
          <t>no</t>
        </is>
      </c>
      <c r="K752" s="11" t="inlineStr">
        <is>
          <t>no</t>
        </is>
      </c>
      <c r="L752" s="11" t="inlineStr"/>
    </row>
    <row r="753">
      <c r="A753" s="11" t="inlineStr">
        <is>
          <t>750</t>
        </is>
      </c>
      <c r="B753" s="11" t="inlineStr">
        <is>
          <t>116</t>
        </is>
      </c>
      <c r="C753" s="11" t="inlineStr">
        <is>
          <t>HC/tribunal/other</t>
        </is>
      </c>
      <c r="D753" s="11" t="inlineStr">
        <is>
          <t>no</t>
        </is>
      </c>
      <c r="E753" s="11" t="inlineStr">
        <is>
          <t>yes</t>
        </is>
      </c>
      <c r="F753" s="11" t="inlineStr"/>
      <c r="G753" s="11" t="inlineStr"/>
      <c r="H753" s="11" t="inlineStr">
        <is>
          <t>c19048</t>
        </is>
      </c>
      <c r="I753" s="11" t="inlineStr">
        <is>
          <t>name</t>
        </is>
      </c>
      <c r="J753" s="11" t="inlineStr">
        <is>
          <t>no</t>
        </is>
      </c>
      <c r="K753" s="11" t="inlineStr">
        <is>
          <t>no</t>
        </is>
      </c>
      <c r="L753" s="11" t="inlineStr"/>
    </row>
    <row r="754">
      <c r="A754" s="11" t="inlineStr">
        <is>
          <t>751</t>
        </is>
      </c>
      <c r="B754" s="11" t="inlineStr">
        <is>
          <t>116</t>
        </is>
      </c>
      <c r="C754" s="11" t="inlineStr">
        <is>
          <t>HC/tribunal/other</t>
        </is>
      </c>
      <c r="D754" s="11" t="inlineStr">
        <is>
          <t>yes</t>
        </is>
      </c>
      <c r="E754" s="11" t="inlineStr">
        <is>
          <t>no</t>
        </is>
      </c>
      <c r="F754" s="11" t="inlineStr"/>
      <c r="G754" s="11" t="inlineStr"/>
      <c r="H754" s="11" t="inlineStr">
        <is>
          <t>c7048</t>
        </is>
      </c>
      <c r="I754" s="11" t="inlineStr">
        <is>
          <t>cite</t>
        </is>
      </c>
      <c r="J754" s="11" t="inlineStr">
        <is>
          <t>no</t>
        </is>
      </c>
      <c r="K754" s="11" t="inlineStr">
        <is>
          <t>no</t>
        </is>
      </c>
      <c r="L754" s="11" t="inlineStr"/>
    </row>
    <row r="755">
      <c r="A755" s="11" t="inlineStr">
        <is>
          <t>752</t>
        </is>
      </c>
      <c r="B755" s="11" t="inlineStr">
        <is>
          <t>116</t>
        </is>
      </c>
      <c r="C755" s="11" t="inlineStr">
        <is>
          <t>HC/tribunal/other</t>
        </is>
      </c>
      <c r="D755" s="11" t="inlineStr">
        <is>
          <t>no</t>
        </is>
      </c>
      <c r="E755" s="11" t="inlineStr">
        <is>
          <t>no</t>
        </is>
      </c>
      <c r="F755" s="11" t="inlineStr"/>
      <c r="G755" s="11" t="inlineStr"/>
      <c r="H755" s="11" t="inlineStr">
        <is>
          <t>c7506</t>
        </is>
      </c>
      <c r="I755" s="11" t="inlineStr">
        <is>
          <t>cite</t>
        </is>
      </c>
      <c r="J755" s="11" t="inlineStr">
        <is>
          <t>no</t>
        </is>
      </c>
      <c r="K755" s="11" t="inlineStr">
        <is>
          <t>no</t>
        </is>
      </c>
      <c r="L755" s="11" t="inlineStr"/>
    </row>
    <row r="756">
      <c r="A756" s="11" t="inlineStr">
        <is>
          <t>753</t>
        </is>
      </c>
      <c r="B756" s="11" t="inlineStr">
        <is>
          <t>116</t>
        </is>
      </c>
      <c r="C756" s="11" t="inlineStr">
        <is>
          <t>HC/tribunal/other</t>
        </is>
      </c>
      <c r="D756" s="11" t="inlineStr">
        <is>
          <t>no</t>
        </is>
      </c>
      <c r="E756" s="11" t="inlineStr">
        <is>
          <t>no</t>
        </is>
      </c>
      <c r="F756" s="11" t="inlineStr"/>
      <c r="G756" s="11" t="inlineStr"/>
      <c r="H756" s="11" t="inlineStr">
        <is>
          <t>c5259</t>
        </is>
      </c>
      <c r="I756" s="11" t="inlineStr">
        <is>
          <t>cite</t>
        </is>
      </c>
      <c r="J756" s="11" t="inlineStr">
        <is>
          <t>no</t>
        </is>
      </c>
      <c r="K756" s="11" t="inlineStr">
        <is>
          <t>no</t>
        </is>
      </c>
      <c r="L756" s="11" t="inlineStr"/>
    </row>
    <row r="757">
      <c r="A757" s="11" t="inlineStr">
        <is>
          <t>754</t>
        </is>
      </c>
      <c r="B757" s="11" t="inlineStr">
        <is>
          <t>116</t>
        </is>
      </c>
      <c r="C757" s="11" t="inlineStr">
        <is>
          <t>HC/tribunal/other</t>
        </is>
      </c>
      <c r="D757" s="11" t="inlineStr">
        <is>
          <t>no</t>
        </is>
      </c>
      <c r="E757" s="11" t="inlineStr">
        <is>
          <t>yes</t>
        </is>
      </c>
      <c r="F757" s="11" t="inlineStr"/>
      <c r="G757" s="11" t="inlineStr"/>
      <c r="H757" s="11" t="inlineStr">
        <is>
          <t>c3552</t>
        </is>
      </c>
      <c r="I757" s="11" t="inlineStr">
        <is>
          <t>cite</t>
        </is>
      </c>
      <c r="J757" s="11" t="inlineStr">
        <is>
          <t>no</t>
        </is>
      </c>
      <c r="K757" s="11" t="inlineStr">
        <is>
          <t>no</t>
        </is>
      </c>
      <c r="L757" s="11" t="inlineStr"/>
    </row>
    <row r="758">
      <c r="A758" s="11" t="inlineStr">
        <is>
          <t>755</t>
        </is>
      </c>
      <c r="B758" s="11" t="inlineStr">
        <is>
          <t>117</t>
        </is>
      </c>
      <c r="C758" s="11" t="inlineStr">
        <is>
          <t>HC/tribunal/other</t>
        </is>
      </c>
      <c r="D758" s="11" t="inlineStr">
        <is>
          <t>yes</t>
        </is>
      </c>
      <c r="E758" s="11" t="inlineStr">
        <is>
          <t>yes</t>
        </is>
      </c>
      <c r="F758" s="11" t="inlineStr"/>
      <c r="G758" s="11" t="inlineStr"/>
      <c r="H758" s="11" t="inlineStr">
        <is>
          <t>c36077</t>
        </is>
      </c>
      <c r="I758" s="11" t="inlineStr">
        <is>
          <t>cite</t>
        </is>
      </c>
      <c r="J758" s="11" t="inlineStr">
        <is>
          <t>no</t>
        </is>
      </c>
      <c r="K758" s="11" t="inlineStr">
        <is>
          <t>no</t>
        </is>
      </c>
      <c r="L758" s="11" t="inlineStr"/>
    </row>
    <row r="759">
      <c r="A759" s="11" t="inlineStr">
        <is>
          <t>756</t>
        </is>
      </c>
      <c r="B759" s="11" t="inlineStr">
        <is>
          <t>117</t>
        </is>
      </c>
      <c r="C759" s="11" t="inlineStr">
        <is>
          <t>HC/tribunal/other</t>
        </is>
      </c>
      <c r="D759" s="11" t="inlineStr">
        <is>
          <t>no</t>
        </is>
      </c>
      <c r="E759" s="11" t="inlineStr">
        <is>
          <t>yes</t>
        </is>
      </c>
      <c r="F759" s="11" t="inlineStr"/>
      <c r="G759" s="11" t="inlineStr"/>
      <c r="H759" s="11" t="inlineStr">
        <is>
          <t>c6390</t>
        </is>
      </c>
      <c r="I759" s="11" t="inlineStr">
        <is>
          <t>cite</t>
        </is>
      </c>
      <c r="J759" s="11" t="inlineStr">
        <is>
          <t>no</t>
        </is>
      </c>
      <c r="K759" s="11" t="inlineStr">
        <is>
          <t>no</t>
        </is>
      </c>
      <c r="L759" s="11" t="inlineStr"/>
    </row>
    <row r="760">
      <c r="A760" s="11" t="inlineStr">
        <is>
          <t>757</t>
        </is>
      </c>
      <c r="B760" s="11" t="inlineStr">
        <is>
          <t>117</t>
        </is>
      </c>
      <c r="C760" s="11" t="inlineStr">
        <is>
          <t>HC/tribunal/other</t>
        </is>
      </c>
      <c r="D760" s="11" t="inlineStr">
        <is>
          <t>yes</t>
        </is>
      </c>
      <c r="E760" s="11" t="inlineStr">
        <is>
          <t>no</t>
        </is>
      </c>
      <c r="F760" s="11" t="inlineStr"/>
      <c r="G760" s="11" t="inlineStr"/>
      <c r="H760" s="11" t="inlineStr">
        <is>
          <t>c5129</t>
        </is>
      </c>
      <c r="I760" s="11" t="inlineStr">
        <is>
          <t>cite</t>
        </is>
      </c>
      <c r="J760" s="11" t="inlineStr">
        <is>
          <t>no</t>
        </is>
      </c>
      <c r="K760" s="11" t="inlineStr">
        <is>
          <t>no</t>
        </is>
      </c>
      <c r="L760" s="11" t="inlineStr"/>
    </row>
    <row r="761">
      <c r="A761" s="11" t="inlineStr">
        <is>
          <t>758</t>
        </is>
      </c>
      <c r="B761" s="11" t="inlineStr">
        <is>
          <t>117</t>
        </is>
      </c>
      <c r="C761" s="11" t="inlineStr">
        <is>
          <t>HC/tribunal/other</t>
        </is>
      </c>
      <c r="D761" s="11" t="inlineStr">
        <is>
          <t>yes</t>
        </is>
      </c>
      <c r="E761" s="11" t="inlineStr">
        <is>
          <t>no</t>
        </is>
      </c>
      <c r="F761" s="11" t="inlineStr"/>
      <c r="G761" s="11" t="inlineStr"/>
      <c r="H761" s="11" t="inlineStr">
        <is>
          <t>c17296</t>
        </is>
      </c>
      <c r="I761" s="11" t="inlineStr">
        <is>
          <t>name</t>
        </is>
      </c>
      <c r="J761" s="11" t="inlineStr">
        <is>
          <t>no</t>
        </is>
      </c>
      <c r="K761" s="11" t="inlineStr">
        <is>
          <t>no</t>
        </is>
      </c>
      <c r="L761" s="11" t="inlineStr"/>
    </row>
    <row r="762">
      <c r="A762" s="11" t="inlineStr">
        <is>
          <t>759</t>
        </is>
      </c>
      <c r="B762" s="11" t="inlineStr">
        <is>
          <t>117</t>
        </is>
      </c>
      <c r="C762" s="11" t="inlineStr">
        <is>
          <t>HC/tribunal/other</t>
        </is>
      </c>
      <c r="D762" s="11" t="inlineStr">
        <is>
          <t>no</t>
        </is>
      </c>
      <c r="E762" s="11" t="inlineStr">
        <is>
          <t>no</t>
        </is>
      </c>
      <c r="F762" s="11" t="inlineStr"/>
      <c r="G762" s="11" t="inlineStr"/>
      <c r="H762" s="11" t="inlineStr">
        <is>
          <t>c25889</t>
        </is>
      </c>
      <c r="I762" s="11" t="inlineStr">
        <is>
          <t>name</t>
        </is>
      </c>
      <c r="J762" s="11" t="inlineStr">
        <is>
          <t>no</t>
        </is>
      </c>
      <c r="K762" s="11" t="inlineStr">
        <is>
          <t>no</t>
        </is>
      </c>
      <c r="L762" s="11" t="inlineStr"/>
    </row>
    <row r="763">
      <c r="A763" s="11" t="inlineStr">
        <is>
          <t>760</t>
        </is>
      </c>
      <c r="B763" s="11" t="inlineStr">
        <is>
          <t>117</t>
        </is>
      </c>
      <c r="C763" s="11" t="inlineStr">
        <is>
          <t>HC/tribunal/other</t>
        </is>
      </c>
      <c r="D763" s="11" t="inlineStr">
        <is>
          <t>yes</t>
        </is>
      </c>
      <c r="E763" s="11" t="inlineStr">
        <is>
          <t>no</t>
        </is>
      </c>
      <c r="F763" s="11" t="inlineStr"/>
      <c r="G763" s="11" t="inlineStr"/>
      <c r="H763" s="11" t="inlineStr">
        <is>
          <t>c11451</t>
        </is>
      </c>
      <c r="I763" s="11" t="inlineStr">
        <is>
          <t>cite</t>
        </is>
      </c>
      <c r="J763" s="11" t="inlineStr">
        <is>
          <t>no</t>
        </is>
      </c>
      <c r="K763" s="11" t="inlineStr">
        <is>
          <t>no</t>
        </is>
      </c>
      <c r="L763" s="11" t="inlineStr"/>
    </row>
    <row r="764">
      <c r="A764" s="11" t="inlineStr">
        <is>
          <t>761</t>
        </is>
      </c>
      <c r="B764" s="11" t="inlineStr">
        <is>
          <t>117</t>
        </is>
      </c>
      <c r="C764" s="11" t="inlineStr">
        <is>
          <t>HC/tribunal/other</t>
        </is>
      </c>
      <c r="D764" s="11" t="inlineStr">
        <is>
          <t>no</t>
        </is>
      </c>
      <c r="E764" s="11" t="inlineStr">
        <is>
          <t>yes</t>
        </is>
      </c>
      <c r="F764" s="11" t="inlineStr"/>
      <c r="G764" s="11" t="inlineStr"/>
      <c r="H764" s="11" t="inlineStr">
        <is>
          <t>c33798</t>
        </is>
      </c>
      <c r="I764" s="11" t="inlineStr">
        <is>
          <t>name</t>
        </is>
      </c>
      <c r="J764" s="11" t="inlineStr">
        <is>
          <t>no</t>
        </is>
      </c>
      <c r="K764" s="11" t="inlineStr">
        <is>
          <t>no</t>
        </is>
      </c>
      <c r="L764" s="11" t="inlineStr"/>
    </row>
    <row r="765">
      <c r="A765" s="11" t="inlineStr">
        <is>
          <t>762</t>
        </is>
      </c>
      <c r="B765" s="11" t="inlineStr">
        <is>
          <t>118</t>
        </is>
      </c>
      <c r="C765" s="11" t="inlineStr">
        <is>
          <t>HC/tribunal/other</t>
        </is>
      </c>
      <c r="D765" s="11" t="inlineStr">
        <is>
          <t>no</t>
        </is>
      </c>
      <c r="E765" s="11" t="inlineStr">
        <is>
          <t>no</t>
        </is>
      </c>
      <c r="F765" s="11" t="inlineStr"/>
      <c r="G765" s="11" t="inlineStr"/>
      <c r="H765" s="11" t="inlineStr"/>
      <c r="I765" s="11" t="inlineStr"/>
      <c r="J765" s="11" t="inlineStr">
        <is>
          <t>no</t>
        </is>
      </c>
      <c r="K765" s="11" t="inlineStr">
        <is>
          <t>no</t>
        </is>
      </c>
      <c r="L765" s="11" t="inlineStr"/>
    </row>
    <row r="766">
      <c r="A766" s="11" t="inlineStr">
        <is>
          <t>763</t>
        </is>
      </c>
      <c r="B766" s="11" t="inlineStr">
        <is>
          <t>118</t>
        </is>
      </c>
      <c r="C766" s="11" t="inlineStr">
        <is>
          <t>HC/tribunal/other</t>
        </is>
      </c>
      <c r="D766" s="11" t="inlineStr">
        <is>
          <t>no</t>
        </is>
      </c>
      <c r="E766" s="11" t="inlineStr">
        <is>
          <t>no</t>
        </is>
      </c>
      <c r="F766" s="11" t="inlineStr"/>
      <c r="G766" s="11" t="inlineStr"/>
      <c r="H766" s="11" t="inlineStr">
        <is>
          <t>c37777</t>
        </is>
      </c>
      <c r="I766" s="11" t="inlineStr">
        <is>
          <t>name</t>
        </is>
      </c>
      <c r="J766" s="11" t="inlineStr">
        <is>
          <t>no</t>
        </is>
      </c>
      <c r="K766" s="11" t="inlineStr">
        <is>
          <t>no</t>
        </is>
      </c>
      <c r="L766" s="11" t="inlineStr"/>
    </row>
    <row r="767">
      <c r="A767" s="11" t="inlineStr">
        <is>
          <t>764</t>
        </is>
      </c>
      <c r="B767" s="11" t="inlineStr">
        <is>
          <t>118</t>
        </is>
      </c>
      <c r="C767" s="11" t="inlineStr">
        <is>
          <t>HC/tribunal/other</t>
        </is>
      </c>
      <c r="D767" s="11" t="inlineStr">
        <is>
          <t>no</t>
        </is>
      </c>
      <c r="E767" s="11" t="inlineStr">
        <is>
          <t>no</t>
        </is>
      </c>
      <c r="F767" s="11" t="inlineStr"/>
      <c r="G767" s="11" t="inlineStr"/>
      <c r="H767" s="11" t="inlineStr"/>
      <c r="I767" s="11" t="inlineStr"/>
      <c r="J767" s="11" t="inlineStr">
        <is>
          <t>no</t>
        </is>
      </c>
      <c r="K767" s="11" t="inlineStr">
        <is>
          <t>no</t>
        </is>
      </c>
      <c r="L767" s="11" t="inlineStr"/>
    </row>
    <row r="768">
      <c r="A768" s="11" t="inlineStr">
        <is>
          <t>765</t>
        </is>
      </c>
      <c r="B768" s="11" t="inlineStr">
        <is>
          <t>118</t>
        </is>
      </c>
      <c r="C768" s="11" t="inlineStr">
        <is>
          <t>HC/tribunal/other</t>
        </is>
      </c>
      <c r="D768" s="11" t="inlineStr">
        <is>
          <t>no</t>
        </is>
      </c>
      <c r="E768" s="11" t="inlineStr">
        <is>
          <t>no</t>
        </is>
      </c>
      <c r="F768" s="11" t="inlineStr"/>
      <c r="G768" s="11" t="inlineStr"/>
      <c r="H768" s="11" t="inlineStr">
        <is>
          <t>c5706</t>
        </is>
      </c>
      <c r="I768" s="11" t="inlineStr">
        <is>
          <t>cite</t>
        </is>
      </c>
      <c r="J768" s="11" t="inlineStr">
        <is>
          <t>no</t>
        </is>
      </c>
      <c r="K768" s="11" t="inlineStr">
        <is>
          <t>no</t>
        </is>
      </c>
      <c r="L768" s="11" t="inlineStr"/>
    </row>
    <row r="769">
      <c r="A769" s="11" t="inlineStr">
        <is>
          <t>766</t>
        </is>
      </c>
      <c r="B769" s="11" t="inlineStr">
        <is>
          <t>118</t>
        </is>
      </c>
      <c r="C769" s="11" t="inlineStr">
        <is>
          <t>HC/tribunal/other</t>
        </is>
      </c>
      <c r="D769" s="11" t="inlineStr">
        <is>
          <t>no</t>
        </is>
      </c>
      <c r="E769" s="11" t="inlineStr">
        <is>
          <t>no</t>
        </is>
      </c>
      <c r="F769" s="11" t="inlineStr"/>
      <c r="G769" s="11" t="inlineStr"/>
      <c r="H769" s="11" t="inlineStr">
        <is>
          <t>c30934</t>
        </is>
      </c>
      <c r="I769" s="11" t="inlineStr">
        <is>
          <t>name</t>
        </is>
      </c>
      <c r="J769" s="11" t="inlineStr">
        <is>
          <t>no</t>
        </is>
      </c>
      <c r="K769" s="11" t="inlineStr">
        <is>
          <t>no</t>
        </is>
      </c>
      <c r="L769" s="11" t="inlineStr"/>
    </row>
    <row r="770">
      <c r="A770" s="11" t="inlineStr">
        <is>
          <t>767</t>
        </is>
      </c>
      <c r="B770" s="11" t="inlineStr">
        <is>
          <t>118</t>
        </is>
      </c>
      <c r="C770" s="11" t="inlineStr">
        <is>
          <t>HC/tribunal/other</t>
        </is>
      </c>
      <c r="D770" s="11" t="inlineStr">
        <is>
          <t>yes</t>
        </is>
      </c>
      <c r="E770" s="11" t="inlineStr">
        <is>
          <t>no</t>
        </is>
      </c>
      <c r="F770" s="11" t="inlineStr"/>
      <c r="G770" s="11" t="inlineStr"/>
      <c r="H770" s="11" t="inlineStr">
        <is>
          <t>c31379</t>
        </is>
      </c>
      <c r="I770" s="11" t="inlineStr">
        <is>
          <t>name</t>
        </is>
      </c>
      <c r="J770" s="11" t="inlineStr">
        <is>
          <t>no</t>
        </is>
      </c>
      <c r="K770" s="11" t="inlineStr">
        <is>
          <t>no</t>
        </is>
      </c>
      <c r="L770" s="11" t="inlineStr"/>
    </row>
    <row r="771">
      <c r="A771" s="11" t="inlineStr">
        <is>
          <t>768</t>
        </is>
      </c>
      <c r="B771" s="11" t="inlineStr">
        <is>
          <t>118</t>
        </is>
      </c>
      <c r="C771" s="11" t="inlineStr">
        <is>
          <t>HC/tribunal/other</t>
        </is>
      </c>
      <c r="D771" s="11" t="inlineStr">
        <is>
          <t>yes</t>
        </is>
      </c>
      <c r="E771" s="11" t="inlineStr">
        <is>
          <t>no</t>
        </is>
      </c>
      <c r="F771" s="11" t="inlineStr"/>
      <c r="G771" s="11" t="inlineStr"/>
      <c r="H771" s="11" t="inlineStr"/>
      <c r="I771" s="11" t="inlineStr"/>
      <c r="J771" s="11" t="inlineStr">
        <is>
          <t>no</t>
        </is>
      </c>
      <c r="K771" s="11" t="inlineStr">
        <is>
          <t>no</t>
        </is>
      </c>
      <c r="L771" s="11" t="inlineStr"/>
    </row>
    <row r="772">
      <c r="A772" s="11" t="inlineStr">
        <is>
          <t>769</t>
        </is>
      </c>
      <c r="B772" s="11" t="inlineStr">
        <is>
          <t>119</t>
        </is>
      </c>
      <c r="C772" s="11" t="inlineStr">
        <is>
          <t>HC/tribunal/other</t>
        </is>
      </c>
      <c r="D772" s="11" t="inlineStr">
        <is>
          <t>no</t>
        </is>
      </c>
      <c r="E772" s="11" t="inlineStr">
        <is>
          <t>no</t>
        </is>
      </c>
      <c r="F772" s="11" t="inlineStr"/>
      <c r="G772" s="11" t="inlineStr"/>
      <c r="H772" s="11" t="inlineStr">
        <is>
          <t>c25994</t>
        </is>
      </c>
      <c r="I772" s="11" t="inlineStr">
        <is>
          <t>cite</t>
        </is>
      </c>
      <c r="J772" s="11" t="inlineStr">
        <is>
          <t>no</t>
        </is>
      </c>
      <c r="K772" s="11" t="inlineStr">
        <is>
          <t>no</t>
        </is>
      </c>
      <c r="L772" s="11" t="inlineStr"/>
    </row>
    <row r="773">
      <c r="A773" s="11" t="inlineStr">
        <is>
          <t>770</t>
        </is>
      </c>
      <c r="B773" s="11" t="inlineStr">
        <is>
          <t>119</t>
        </is>
      </c>
      <c r="C773" s="11" t="inlineStr">
        <is>
          <t>HC/tribunal/other</t>
        </is>
      </c>
      <c r="D773" s="11" t="inlineStr">
        <is>
          <t>yes</t>
        </is>
      </c>
      <c r="E773" s="11" t="inlineStr">
        <is>
          <t>no</t>
        </is>
      </c>
      <c r="F773" s="11" t="inlineStr"/>
      <c r="G773" s="11" t="inlineStr"/>
      <c r="H773" s="11" t="inlineStr">
        <is>
          <t>c33505</t>
        </is>
      </c>
      <c r="I773" s="11" t="inlineStr">
        <is>
          <t>cite</t>
        </is>
      </c>
      <c r="J773" s="11" t="inlineStr">
        <is>
          <t>no</t>
        </is>
      </c>
      <c r="K773" s="11" t="inlineStr">
        <is>
          <t>no</t>
        </is>
      </c>
      <c r="L773" s="11" t="inlineStr"/>
    </row>
    <row r="774">
      <c r="A774" s="11" t="inlineStr">
        <is>
          <t>771</t>
        </is>
      </c>
      <c r="B774" s="11" t="inlineStr">
        <is>
          <t>119</t>
        </is>
      </c>
      <c r="C774" s="11" t="inlineStr">
        <is>
          <t>HC/tribunal/other</t>
        </is>
      </c>
      <c r="D774" s="11" t="inlineStr">
        <is>
          <t>yes</t>
        </is>
      </c>
      <c r="E774" s="11" t="inlineStr">
        <is>
          <t>no</t>
        </is>
      </c>
      <c r="F774" s="11" t="inlineStr"/>
      <c r="G774" s="11" t="inlineStr"/>
      <c r="H774" s="11" t="inlineStr">
        <is>
          <t>c29913</t>
        </is>
      </c>
      <c r="I774" s="11" t="inlineStr">
        <is>
          <t>cite</t>
        </is>
      </c>
      <c r="J774" s="11" t="inlineStr">
        <is>
          <t>no</t>
        </is>
      </c>
      <c r="K774" s="11" t="inlineStr">
        <is>
          <t>no</t>
        </is>
      </c>
      <c r="L774" s="11" t="inlineStr"/>
    </row>
    <row r="775">
      <c r="A775" s="11" t="inlineStr">
        <is>
          <t>772</t>
        </is>
      </c>
      <c r="B775" s="11" t="inlineStr">
        <is>
          <t>119</t>
        </is>
      </c>
      <c r="C775" s="11" t="inlineStr">
        <is>
          <t>HC/tribunal/other</t>
        </is>
      </c>
      <c r="D775" s="11" t="inlineStr">
        <is>
          <t>no</t>
        </is>
      </c>
      <c r="E775" s="11" t="inlineStr">
        <is>
          <t>no</t>
        </is>
      </c>
      <c r="F775" s="11" t="inlineStr"/>
      <c r="G775" s="11" t="inlineStr"/>
      <c r="H775" s="11" t="inlineStr">
        <is>
          <t>c18376</t>
        </is>
      </c>
      <c r="I775" s="11" t="inlineStr">
        <is>
          <t>name</t>
        </is>
      </c>
      <c r="J775" s="11" t="inlineStr">
        <is>
          <t>no</t>
        </is>
      </c>
      <c r="K775" s="11" t="inlineStr">
        <is>
          <t>no</t>
        </is>
      </c>
      <c r="L775" s="11" t="inlineStr"/>
    </row>
    <row r="776">
      <c r="A776" s="11" t="inlineStr">
        <is>
          <t>773</t>
        </is>
      </c>
      <c r="B776" s="11" t="inlineStr">
        <is>
          <t>119</t>
        </is>
      </c>
      <c r="C776" s="11" t="inlineStr">
        <is>
          <t>HC/tribunal/other</t>
        </is>
      </c>
      <c r="D776" s="11" t="inlineStr">
        <is>
          <t>yes</t>
        </is>
      </c>
      <c r="E776" s="11" t="inlineStr">
        <is>
          <t>no</t>
        </is>
      </c>
      <c r="F776" s="11" t="inlineStr"/>
      <c r="G776" s="11" t="inlineStr"/>
      <c r="H776" s="11" t="inlineStr">
        <is>
          <t>c37577</t>
        </is>
      </c>
      <c r="I776" s="11" t="inlineStr">
        <is>
          <t>cite</t>
        </is>
      </c>
      <c r="J776" s="11" t="inlineStr">
        <is>
          <t>no</t>
        </is>
      </c>
      <c r="K776" s="11" t="inlineStr">
        <is>
          <t>no</t>
        </is>
      </c>
      <c r="L776" s="11" t="inlineStr"/>
    </row>
    <row r="777">
      <c r="A777" s="11" t="inlineStr">
        <is>
          <t>774</t>
        </is>
      </c>
      <c r="B777" s="11" t="inlineStr">
        <is>
          <t>119</t>
        </is>
      </c>
      <c r="C777" s="11" t="inlineStr">
        <is>
          <t>HC/tribunal/other</t>
        </is>
      </c>
      <c r="D777" s="11" t="inlineStr">
        <is>
          <t>yes</t>
        </is>
      </c>
      <c r="E777" s="11" t="inlineStr">
        <is>
          <t>yes</t>
        </is>
      </c>
      <c r="F777" s="11" t="inlineStr"/>
      <c r="G777" s="11" t="inlineStr"/>
      <c r="H777" s="11" t="inlineStr">
        <is>
          <t>c35044</t>
        </is>
      </c>
      <c r="I777" s="11" t="inlineStr">
        <is>
          <t>name</t>
        </is>
      </c>
      <c r="J777" s="11" t="inlineStr">
        <is>
          <t>no</t>
        </is>
      </c>
      <c r="K777" s="11" t="inlineStr">
        <is>
          <t>no</t>
        </is>
      </c>
      <c r="L777" s="11" t="inlineStr"/>
    </row>
    <row r="778">
      <c r="A778" s="11" t="inlineStr">
        <is>
          <t>775</t>
        </is>
      </c>
      <c r="B778" s="11" t="inlineStr">
        <is>
          <t>119</t>
        </is>
      </c>
      <c r="C778" s="11" t="inlineStr">
        <is>
          <t>HC/tribunal/other</t>
        </is>
      </c>
      <c r="D778" s="11" t="inlineStr">
        <is>
          <t>no</t>
        </is>
      </c>
      <c r="E778" s="11" t="inlineStr">
        <is>
          <t>yes</t>
        </is>
      </c>
      <c r="F778" s="11" t="inlineStr"/>
      <c r="G778" s="11" t="inlineStr"/>
      <c r="H778" s="11" t="inlineStr">
        <is>
          <t>c10144</t>
        </is>
      </c>
      <c r="I778" s="11" t="inlineStr">
        <is>
          <t>cite</t>
        </is>
      </c>
      <c r="J778" s="11" t="inlineStr">
        <is>
          <t>no</t>
        </is>
      </c>
      <c r="K778" s="11" t="inlineStr">
        <is>
          <t>no</t>
        </is>
      </c>
      <c r="L778" s="11" t="inlineStr"/>
    </row>
    <row r="779">
      <c r="A779" s="11" t="inlineStr">
        <is>
          <t>776</t>
        </is>
      </c>
      <c r="B779" s="11" t="inlineStr">
        <is>
          <t>120</t>
        </is>
      </c>
      <c r="C779" s="11" t="inlineStr">
        <is>
          <t>HC/tribunal/other</t>
        </is>
      </c>
      <c r="D779" s="11" t="inlineStr">
        <is>
          <t>yes</t>
        </is>
      </c>
      <c r="E779" s="11" t="inlineStr">
        <is>
          <t>no</t>
        </is>
      </c>
      <c r="F779" s="11" t="inlineStr"/>
      <c r="G779" s="11" t="inlineStr"/>
      <c r="H779" s="11" t="inlineStr">
        <is>
          <t>c28027</t>
        </is>
      </c>
      <c r="I779" s="11" t="inlineStr">
        <is>
          <t>name</t>
        </is>
      </c>
      <c r="J779" s="11" t="inlineStr">
        <is>
          <t>no</t>
        </is>
      </c>
      <c r="K779" s="11" t="inlineStr">
        <is>
          <t>no</t>
        </is>
      </c>
      <c r="L779" s="11" t="inlineStr"/>
    </row>
    <row r="780">
      <c r="A780" s="11" t="inlineStr">
        <is>
          <t>777</t>
        </is>
      </c>
      <c r="B780" s="11" t="inlineStr">
        <is>
          <t>120</t>
        </is>
      </c>
      <c r="C780" s="11" t="inlineStr">
        <is>
          <t>HC/tribunal/other</t>
        </is>
      </c>
      <c r="D780" s="11" t="inlineStr">
        <is>
          <t>no</t>
        </is>
      </c>
      <c r="E780" s="11" t="inlineStr">
        <is>
          <t>no</t>
        </is>
      </c>
      <c r="F780" s="11" t="inlineStr"/>
      <c r="G780" s="11" t="inlineStr"/>
      <c r="H780" s="11" t="inlineStr">
        <is>
          <t>c17677</t>
        </is>
      </c>
      <c r="I780" s="11" t="inlineStr">
        <is>
          <t>cite</t>
        </is>
      </c>
      <c r="J780" s="11" t="inlineStr">
        <is>
          <t>no</t>
        </is>
      </c>
      <c r="K780" s="11" t="inlineStr">
        <is>
          <t>no</t>
        </is>
      </c>
      <c r="L780" s="11" t="inlineStr"/>
    </row>
    <row r="781">
      <c r="A781" s="11" t="inlineStr">
        <is>
          <t>778</t>
        </is>
      </c>
      <c r="B781" s="11" t="inlineStr">
        <is>
          <t>120</t>
        </is>
      </c>
      <c r="C781" s="11" t="inlineStr">
        <is>
          <t>HC/tribunal/other</t>
        </is>
      </c>
      <c r="D781" s="11" t="inlineStr">
        <is>
          <t>yes</t>
        </is>
      </c>
      <c r="E781" s="11" t="inlineStr">
        <is>
          <t>no</t>
        </is>
      </c>
      <c r="F781" s="11" t="inlineStr"/>
      <c r="G781" s="11" t="inlineStr"/>
      <c r="H781" s="11" t="inlineStr">
        <is>
          <t>c27049</t>
        </is>
      </c>
      <c r="I781" s="11" t="inlineStr">
        <is>
          <t>name</t>
        </is>
      </c>
      <c r="J781" s="11" t="inlineStr">
        <is>
          <t>no</t>
        </is>
      </c>
      <c r="K781" s="11" t="inlineStr">
        <is>
          <t>no</t>
        </is>
      </c>
      <c r="L781" s="11" t="inlineStr"/>
    </row>
    <row r="782">
      <c r="A782" s="11" t="inlineStr">
        <is>
          <t>779</t>
        </is>
      </c>
      <c r="B782" s="11" t="inlineStr">
        <is>
          <t>120</t>
        </is>
      </c>
      <c r="C782" s="11" t="inlineStr">
        <is>
          <t>HC/tribunal/other</t>
        </is>
      </c>
      <c r="D782" s="11" t="inlineStr">
        <is>
          <t>yes</t>
        </is>
      </c>
      <c r="E782" s="11" t="inlineStr">
        <is>
          <t>no</t>
        </is>
      </c>
      <c r="F782" s="11" t="inlineStr"/>
      <c r="G782" s="11" t="inlineStr"/>
      <c r="H782" s="11" t="inlineStr">
        <is>
          <t>c33907</t>
        </is>
      </c>
      <c r="I782" s="11" t="inlineStr">
        <is>
          <t>cite</t>
        </is>
      </c>
      <c r="J782" s="11" t="inlineStr">
        <is>
          <t>no</t>
        </is>
      </c>
      <c r="K782" s="11" t="inlineStr">
        <is>
          <t>no</t>
        </is>
      </c>
      <c r="L782" s="11" t="inlineStr"/>
    </row>
    <row r="783">
      <c r="A783" s="11" t="inlineStr">
        <is>
          <t>780</t>
        </is>
      </c>
      <c r="B783" s="11" t="inlineStr">
        <is>
          <t>120</t>
        </is>
      </c>
      <c r="C783" s="11" t="inlineStr">
        <is>
          <t>HC/tribunal/other</t>
        </is>
      </c>
      <c r="D783" s="11" t="inlineStr">
        <is>
          <t>yes</t>
        </is>
      </c>
      <c r="E783" s="11" t="inlineStr">
        <is>
          <t>no</t>
        </is>
      </c>
      <c r="F783" s="11" t="inlineStr"/>
      <c r="G783" s="11" t="inlineStr"/>
      <c r="H783" s="11" t="inlineStr">
        <is>
          <t>c36003</t>
        </is>
      </c>
      <c r="I783" s="11" t="inlineStr">
        <is>
          <t>cite</t>
        </is>
      </c>
      <c r="J783" s="11" t="inlineStr">
        <is>
          <t>no</t>
        </is>
      </c>
      <c r="K783" s="11" t="inlineStr">
        <is>
          <t>no</t>
        </is>
      </c>
      <c r="L783" s="11" t="inlineStr"/>
    </row>
    <row r="784">
      <c r="A784" s="11" t="inlineStr">
        <is>
          <t>781</t>
        </is>
      </c>
      <c r="B784" s="11" t="inlineStr">
        <is>
          <t>120</t>
        </is>
      </c>
      <c r="C784" s="11" t="inlineStr">
        <is>
          <t>HC/tribunal/other</t>
        </is>
      </c>
      <c r="D784" s="11" t="inlineStr">
        <is>
          <t>yes</t>
        </is>
      </c>
      <c r="E784" s="11" t="inlineStr">
        <is>
          <t>yes</t>
        </is>
      </c>
      <c r="F784" s="11" t="inlineStr"/>
      <c r="G784" s="11" t="inlineStr"/>
      <c r="H784" s="11" t="inlineStr">
        <is>
          <t>c31078</t>
        </is>
      </c>
      <c r="I784" s="11" t="inlineStr">
        <is>
          <t>name</t>
        </is>
      </c>
      <c r="J784" s="11" t="inlineStr">
        <is>
          <t>no</t>
        </is>
      </c>
      <c r="K784" s="11" t="inlineStr">
        <is>
          <t>no</t>
        </is>
      </c>
      <c r="L784" s="11" t="inlineStr"/>
    </row>
    <row r="785">
      <c r="A785" s="11" t="inlineStr">
        <is>
          <t>782</t>
        </is>
      </c>
      <c r="B785" s="11" t="inlineStr">
        <is>
          <t>121</t>
        </is>
      </c>
      <c r="C785" s="11" t="inlineStr">
        <is>
          <t>HC/tribunal/other</t>
        </is>
      </c>
      <c r="D785" s="11" t="inlineStr">
        <is>
          <t>yes</t>
        </is>
      </c>
      <c r="E785" s="11" t="inlineStr">
        <is>
          <t>no</t>
        </is>
      </c>
      <c r="F785" s="11" t="inlineStr"/>
      <c r="G785" s="11" t="inlineStr"/>
      <c r="H785" s="11" t="inlineStr">
        <is>
          <t>c30107</t>
        </is>
      </c>
      <c r="I785" s="11" t="inlineStr">
        <is>
          <t>name</t>
        </is>
      </c>
      <c r="J785" s="11" t="inlineStr">
        <is>
          <t>no</t>
        </is>
      </c>
      <c r="K785" s="11" t="inlineStr">
        <is>
          <t>no</t>
        </is>
      </c>
      <c r="L785" s="11" t="inlineStr"/>
    </row>
    <row r="786">
      <c r="A786" s="11" t="inlineStr">
        <is>
          <t>783</t>
        </is>
      </c>
      <c r="B786" s="11" t="inlineStr">
        <is>
          <t>121</t>
        </is>
      </c>
      <c r="C786" s="11" t="inlineStr">
        <is>
          <t>HC/tribunal/other</t>
        </is>
      </c>
      <c r="D786" s="11" t="inlineStr">
        <is>
          <t>yes</t>
        </is>
      </c>
      <c r="E786" s="11" t="inlineStr">
        <is>
          <t>no</t>
        </is>
      </c>
      <c r="F786" s="11" t="inlineStr"/>
      <c r="G786" s="11" t="inlineStr"/>
      <c r="H786" s="11" t="inlineStr"/>
      <c r="I786" s="11" t="inlineStr"/>
      <c r="J786" s="11" t="inlineStr">
        <is>
          <t>no</t>
        </is>
      </c>
      <c r="K786" s="11" t="inlineStr">
        <is>
          <t>no</t>
        </is>
      </c>
      <c r="L786" s="11" t="inlineStr"/>
    </row>
    <row r="787">
      <c r="A787" s="11" t="inlineStr">
        <is>
          <t>784</t>
        </is>
      </c>
      <c r="B787" s="11" t="inlineStr">
        <is>
          <t>121</t>
        </is>
      </c>
      <c r="C787" s="11" t="inlineStr">
        <is>
          <t>HC/tribunal/other</t>
        </is>
      </c>
      <c r="D787" s="11" t="inlineStr">
        <is>
          <t>yes</t>
        </is>
      </c>
      <c r="E787" s="11" t="inlineStr">
        <is>
          <t>no</t>
        </is>
      </c>
      <c r="F787" s="11" t="inlineStr"/>
      <c r="G787" s="11" t="inlineStr"/>
      <c r="H787" s="11" t="inlineStr">
        <is>
          <t>c29178</t>
        </is>
      </c>
      <c r="I787" s="11" t="inlineStr">
        <is>
          <t>name</t>
        </is>
      </c>
      <c r="J787" s="11" t="inlineStr">
        <is>
          <t>no</t>
        </is>
      </c>
      <c r="K787" s="11" t="inlineStr">
        <is>
          <t>no</t>
        </is>
      </c>
      <c r="L787" s="11" t="inlineStr"/>
    </row>
    <row r="788">
      <c r="A788" s="11" t="inlineStr">
        <is>
          <t>785</t>
        </is>
      </c>
      <c r="B788" s="11" t="inlineStr">
        <is>
          <t>121</t>
        </is>
      </c>
      <c r="C788" s="11" t="inlineStr">
        <is>
          <t>HC/tribunal/other</t>
        </is>
      </c>
      <c r="D788" s="11" t="inlineStr">
        <is>
          <t>yes</t>
        </is>
      </c>
      <c r="E788" s="11" t="inlineStr">
        <is>
          <t>no</t>
        </is>
      </c>
      <c r="F788" s="11" t="inlineStr"/>
      <c r="G788" s="11" t="inlineStr"/>
      <c r="H788" s="11" t="inlineStr">
        <is>
          <t>c29814</t>
        </is>
      </c>
      <c r="I788" s="11" t="inlineStr">
        <is>
          <t>name</t>
        </is>
      </c>
      <c r="J788" s="11" t="inlineStr">
        <is>
          <t>no</t>
        </is>
      </c>
      <c r="K788" s="11" t="inlineStr">
        <is>
          <t>no</t>
        </is>
      </c>
      <c r="L788" s="11" t="inlineStr"/>
    </row>
    <row r="789">
      <c r="A789" s="11" t="inlineStr">
        <is>
          <t>786</t>
        </is>
      </c>
      <c r="B789" s="11" t="inlineStr">
        <is>
          <t>121</t>
        </is>
      </c>
      <c r="C789" s="11" t="inlineStr">
        <is>
          <t>HC/tribunal/other</t>
        </is>
      </c>
      <c r="D789" s="11" t="inlineStr">
        <is>
          <t>yes</t>
        </is>
      </c>
      <c r="E789" s="11" t="inlineStr">
        <is>
          <t>yes</t>
        </is>
      </c>
      <c r="F789" s="11" t="inlineStr"/>
      <c r="G789" s="11" t="inlineStr"/>
      <c r="H789" s="11" t="inlineStr">
        <is>
          <t>c28147</t>
        </is>
      </c>
      <c r="I789" s="11" t="inlineStr">
        <is>
          <t>name</t>
        </is>
      </c>
      <c r="J789" s="11" t="inlineStr">
        <is>
          <t>no</t>
        </is>
      </c>
      <c r="K789" s="11" t="inlineStr">
        <is>
          <t>no</t>
        </is>
      </c>
      <c r="L789" s="11" t="inlineStr"/>
    </row>
    <row r="790">
      <c r="A790" s="11" t="inlineStr">
        <is>
          <t>787</t>
        </is>
      </c>
      <c r="B790" s="11" t="inlineStr">
        <is>
          <t>121</t>
        </is>
      </c>
      <c r="C790" s="11" t="inlineStr">
        <is>
          <t>HC/tribunal/other</t>
        </is>
      </c>
      <c r="D790" s="11" t="inlineStr">
        <is>
          <t>yes</t>
        </is>
      </c>
      <c r="E790" s="11" t="inlineStr">
        <is>
          <t>no</t>
        </is>
      </c>
      <c r="F790" s="11" t="inlineStr"/>
      <c r="G790" s="11" t="inlineStr"/>
      <c r="H790" s="11" t="inlineStr">
        <is>
          <t>c14112</t>
        </is>
      </c>
      <c r="I790" s="11" t="inlineStr">
        <is>
          <t>cite</t>
        </is>
      </c>
      <c r="J790" s="11" t="inlineStr">
        <is>
          <t>no</t>
        </is>
      </c>
      <c r="K790" s="11" t="inlineStr">
        <is>
          <t>no</t>
        </is>
      </c>
      <c r="L790" s="11" t="inlineStr"/>
    </row>
    <row r="791">
      <c r="A791" s="11" t="inlineStr">
        <is>
          <t>788</t>
        </is>
      </c>
      <c r="B791" s="11" t="inlineStr">
        <is>
          <t>121</t>
        </is>
      </c>
      <c r="C791" s="11" t="inlineStr">
        <is>
          <t>HC/tribunal/other</t>
        </is>
      </c>
      <c r="D791" s="11" t="inlineStr">
        <is>
          <t>yes</t>
        </is>
      </c>
      <c r="E791" s="11" t="inlineStr">
        <is>
          <t>no</t>
        </is>
      </c>
      <c r="F791" s="11" t="inlineStr"/>
      <c r="G791" s="11" t="inlineStr"/>
      <c r="H791" s="11" t="inlineStr">
        <is>
          <t>c12332</t>
        </is>
      </c>
      <c r="I791" s="11" t="inlineStr">
        <is>
          <t>cite</t>
        </is>
      </c>
      <c r="J791" s="11" t="inlineStr">
        <is>
          <t>no</t>
        </is>
      </c>
      <c r="K791" s="11" t="inlineStr">
        <is>
          <t>no</t>
        </is>
      </c>
      <c r="L791" s="11" t="inlineStr"/>
    </row>
    <row r="792">
      <c r="A792" s="11" t="inlineStr">
        <is>
          <t>789</t>
        </is>
      </c>
      <c r="B792" s="11" t="inlineStr">
        <is>
          <t>122</t>
        </is>
      </c>
      <c r="C792" s="11" t="inlineStr">
        <is>
          <t>HC/tribunal/other</t>
        </is>
      </c>
      <c r="D792" s="11" t="inlineStr">
        <is>
          <t>yes</t>
        </is>
      </c>
      <c r="E792" s="11" t="inlineStr">
        <is>
          <t>yes</t>
        </is>
      </c>
      <c r="F792" s="11" t="inlineStr"/>
      <c r="G792" s="11" t="inlineStr"/>
      <c r="H792" s="11" t="inlineStr">
        <is>
          <t>c28611</t>
        </is>
      </c>
      <c r="I792" s="11" t="inlineStr">
        <is>
          <t>cite</t>
        </is>
      </c>
      <c r="J792" s="11" t="inlineStr">
        <is>
          <t>no</t>
        </is>
      </c>
      <c r="K792" s="11" t="inlineStr">
        <is>
          <t>no</t>
        </is>
      </c>
      <c r="L792" s="11" t="inlineStr"/>
    </row>
    <row r="793">
      <c r="A793" s="11" t="inlineStr">
        <is>
          <t>790</t>
        </is>
      </c>
      <c r="B793" s="11" t="inlineStr">
        <is>
          <t>122</t>
        </is>
      </c>
      <c r="C793" s="11" t="inlineStr">
        <is>
          <t>HC/tribunal/other</t>
        </is>
      </c>
      <c r="D793" s="11" t="inlineStr">
        <is>
          <t>no</t>
        </is>
      </c>
      <c r="E793" s="11" t="inlineStr">
        <is>
          <t>no</t>
        </is>
      </c>
      <c r="F793" s="11" t="inlineStr"/>
      <c r="G793" s="11" t="inlineStr"/>
      <c r="H793" s="11" t="inlineStr">
        <is>
          <t>c28380</t>
        </is>
      </c>
      <c r="I793" s="11" t="inlineStr">
        <is>
          <t>name</t>
        </is>
      </c>
      <c r="J793" s="11" t="inlineStr">
        <is>
          <t>no</t>
        </is>
      </c>
      <c r="K793" s="11" t="inlineStr">
        <is>
          <t>no</t>
        </is>
      </c>
      <c r="L793" s="11" t="inlineStr"/>
    </row>
    <row r="794">
      <c r="A794" s="11" t="inlineStr">
        <is>
          <t>791</t>
        </is>
      </c>
      <c r="B794" s="11" t="inlineStr">
        <is>
          <t>122</t>
        </is>
      </c>
      <c r="C794" s="11" t="inlineStr">
        <is>
          <t>HC/tribunal/other</t>
        </is>
      </c>
      <c r="D794" s="11" t="inlineStr">
        <is>
          <t>no</t>
        </is>
      </c>
      <c r="E794" s="11" t="inlineStr">
        <is>
          <t>yes</t>
        </is>
      </c>
      <c r="F794" s="11" t="inlineStr"/>
      <c r="G794" s="11" t="inlineStr"/>
      <c r="H794" s="11" t="inlineStr">
        <is>
          <t>c12101</t>
        </is>
      </c>
      <c r="I794" s="11" t="inlineStr">
        <is>
          <t>cite</t>
        </is>
      </c>
      <c r="J794" s="11" t="inlineStr">
        <is>
          <t>yes</t>
        </is>
      </c>
      <c r="K794" s="11" t="inlineStr">
        <is>
          <t>no</t>
        </is>
      </c>
      <c r="L794" s="11" t="inlineStr"/>
    </row>
    <row r="795">
      <c r="A795" s="11" t="inlineStr">
        <is>
          <t>792</t>
        </is>
      </c>
      <c r="B795" s="11" t="inlineStr">
        <is>
          <t>122</t>
        </is>
      </c>
      <c r="C795" s="11" t="inlineStr">
        <is>
          <t>HC/tribunal/other</t>
        </is>
      </c>
      <c r="D795" s="11" t="inlineStr">
        <is>
          <t>no</t>
        </is>
      </c>
      <c r="E795" s="11" t="inlineStr">
        <is>
          <t>no</t>
        </is>
      </c>
      <c r="F795" s="11" t="inlineStr"/>
      <c r="G795" s="11" t="inlineStr"/>
      <c r="H795" s="11" t="inlineStr">
        <is>
          <t>c27938</t>
        </is>
      </c>
      <c r="I795" s="11" t="inlineStr">
        <is>
          <t>name</t>
        </is>
      </c>
      <c r="J795" s="11" t="inlineStr">
        <is>
          <t>no</t>
        </is>
      </c>
      <c r="K795" s="11" t="inlineStr">
        <is>
          <t>no</t>
        </is>
      </c>
      <c r="L795" s="11" t="inlineStr"/>
    </row>
    <row r="796">
      <c r="A796" s="11" t="inlineStr">
        <is>
          <t>793</t>
        </is>
      </c>
      <c r="B796" s="11" t="inlineStr">
        <is>
          <t>122</t>
        </is>
      </c>
      <c r="C796" s="11" t="inlineStr">
        <is>
          <t>HC/tribunal/other</t>
        </is>
      </c>
      <c r="D796" s="11" t="inlineStr">
        <is>
          <t>no</t>
        </is>
      </c>
      <c r="E796" s="11" t="inlineStr">
        <is>
          <t>no</t>
        </is>
      </c>
      <c r="F796" s="11" t="inlineStr"/>
      <c r="G796" s="11" t="inlineStr"/>
      <c r="H796" s="11" t="inlineStr">
        <is>
          <t>c12567</t>
        </is>
      </c>
      <c r="I796" s="11" t="inlineStr">
        <is>
          <t>cite</t>
        </is>
      </c>
      <c r="J796" s="11" t="inlineStr">
        <is>
          <t>no</t>
        </is>
      </c>
      <c r="K796" s="11" t="inlineStr">
        <is>
          <t>no</t>
        </is>
      </c>
      <c r="L796" s="11" t="inlineStr"/>
    </row>
    <row r="797">
      <c r="A797" s="11" t="inlineStr">
        <is>
          <t>794</t>
        </is>
      </c>
      <c r="B797" s="11" t="inlineStr">
        <is>
          <t>122</t>
        </is>
      </c>
      <c r="C797" s="11" t="inlineStr">
        <is>
          <t>HC/tribunal/other</t>
        </is>
      </c>
      <c r="D797" s="11" t="inlineStr">
        <is>
          <t>no</t>
        </is>
      </c>
      <c r="E797" s="11" t="inlineStr">
        <is>
          <t>no</t>
        </is>
      </c>
      <c r="F797" s="11" t="inlineStr"/>
      <c r="G797" s="11" t="inlineStr"/>
      <c r="H797" s="11" t="inlineStr">
        <is>
          <t>c771</t>
        </is>
      </c>
      <c r="I797" s="11" t="inlineStr">
        <is>
          <t>cite</t>
        </is>
      </c>
      <c r="J797" s="11" t="inlineStr">
        <is>
          <t>no</t>
        </is>
      </c>
      <c r="K797" s="11" t="inlineStr">
        <is>
          <t>no</t>
        </is>
      </c>
      <c r="L797" s="11" t="inlineStr"/>
    </row>
    <row r="798">
      <c r="A798" s="11" t="inlineStr">
        <is>
          <t>795</t>
        </is>
      </c>
      <c r="B798" s="11" t="inlineStr">
        <is>
          <t>123</t>
        </is>
      </c>
      <c r="C798" s="11" t="inlineStr">
        <is>
          <t>HC/tribunal/other</t>
        </is>
      </c>
      <c r="D798" s="11" t="inlineStr">
        <is>
          <t>yes</t>
        </is>
      </c>
      <c r="E798" s="11" t="inlineStr">
        <is>
          <t>no</t>
        </is>
      </c>
      <c r="F798" s="11" t="inlineStr"/>
      <c r="G798" s="11" t="inlineStr"/>
      <c r="H798" s="11" t="inlineStr">
        <is>
          <t>c9468</t>
        </is>
      </c>
      <c r="I798" s="11" t="inlineStr">
        <is>
          <t>cite</t>
        </is>
      </c>
      <c r="J798" s="11" t="inlineStr">
        <is>
          <t>no</t>
        </is>
      </c>
      <c r="K798" s="11" t="inlineStr">
        <is>
          <t>no</t>
        </is>
      </c>
      <c r="L798" s="11" t="inlineStr"/>
    </row>
    <row r="799">
      <c r="A799" s="11" t="inlineStr">
        <is>
          <t>796</t>
        </is>
      </c>
      <c r="B799" s="11" t="inlineStr">
        <is>
          <t>123</t>
        </is>
      </c>
      <c r="C799" s="11" t="inlineStr">
        <is>
          <t>HC/tribunal/other</t>
        </is>
      </c>
      <c r="D799" s="11" t="inlineStr">
        <is>
          <t>yes</t>
        </is>
      </c>
      <c r="E799" s="11" t="inlineStr">
        <is>
          <t>no</t>
        </is>
      </c>
      <c r="F799" s="11" t="inlineStr"/>
      <c r="G799" s="11" t="inlineStr"/>
      <c r="H799" s="11" t="inlineStr">
        <is>
          <t>c36132</t>
        </is>
      </c>
      <c r="I799" s="11" t="inlineStr">
        <is>
          <t>name</t>
        </is>
      </c>
      <c r="J799" s="11" t="inlineStr">
        <is>
          <t>no</t>
        </is>
      </c>
      <c r="K799" s="11" t="inlineStr">
        <is>
          <t>no</t>
        </is>
      </c>
      <c r="L799" s="11" t="inlineStr"/>
    </row>
    <row r="800">
      <c r="A800" s="11" t="inlineStr">
        <is>
          <t>797</t>
        </is>
      </c>
      <c r="B800" s="11" t="inlineStr">
        <is>
          <t>123</t>
        </is>
      </c>
      <c r="C800" s="11" t="inlineStr">
        <is>
          <t>HC/tribunal/other</t>
        </is>
      </c>
      <c r="D800" s="11" t="inlineStr">
        <is>
          <t>no</t>
        </is>
      </c>
      <c r="E800" s="11" t="inlineStr">
        <is>
          <t>no</t>
        </is>
      </c>
      <c r="F800" s="11" t="inlineStr"/>
      <c r="G800" s="11" t="inlineStr"/>
      <c r="H800" s="11" t="inlineStr">
        <is>
          <t>c12359</t>
        </is>
      </c>
      <c r="I800" s="11" t="inlineStr">
        <is>
          <t>name</t>
        </is>
      </c>
      <c r="J800" s="11" t="inlineStr">
        <is>
          <t>no</t>
        </is>
      </c>
      <c r="K800" s="11" t="inlineStr">
        <is>
          <t>no</t>
        </is>
      </c>
      <c r="L800" s="11" t="inlineStr"/>
    </row>
    <row r="801">
      <c r="A801" s="11" t="inlineStr">
        <is>
          <t>798</t>
        </is>
      </c>
      <c r="B801" s="11" t="inlineStr">
        <is>
          <t>123</t>
        </is>
      </c>
      <c r="C801" s="11" t="inlineStr">
        <is>
          <t>HC/tribunal/other</t>
        </is>
      </c>
      <c r="D801" s="11" t="inlineStr">
        <is>
          <t>yes</t>
        </is>
      </c>
      <c r="E801" s="11" t="inlineStr">
        <is>
          <t>no</t>
        </is>
      </c>
      <c r="F801" s="11" t="inlineStr"/>
      <c r="G801" s="11" t="inlineStr"/>
      <c r="H801" s="11" t="inlineStr"/>
      <c r="I801" s="11" t="inlineStr"/>
      <c r="J801" s="11" t="inlineStr">
        <is>
          <t>no</t>
        </is>
      </c>
      <c r="K801" s="11" t="inlineStr">
        <is>
          <t>no</t>
        </is>
      </c>
      <c r="L801" s="11" t="inlineStr"/>
    </row>
    <row r="802">
      <c r="A802" s="11" t="inlineStr">
        <is>
          <t>799</t>
        </is>
      </c>
      <c r="B802" s="11" t="inlineStr">
        <is>
          <t>123</t>
        </is>
      </c>
      <c r="C802" s="11" t="inlineStr">
        <is>
          <t>HC/tribunal/other</t>
        </is>
      </c>
      <c r="D802" s="11" t="inlineStr">
        <is>
          <t>yes</t>
        </is>
      </c>
      <c r="E802" s="11" t="inlineStr">
        <is>
          <t>no</t>
        </is>
      </c>
      <c r="F802" s="11" t="inlineStr"/>
      <c r="G802" s="11" t="inlineStr"/>
      <c r="H802" s="11" t="inlineStr">
        <is>
          <t>c6480</t>
        </is>
      </c>
      <c r="I802" s="11" t="inlineStr">
        <is>
          <t>cite</t>
        </is>
      </c>
      <c r="J802" s="11" t="inlineStr">
        <is>
          <t>no</t>
        </is>
      </c>
      <c r="K802" s="11" t="inlineStr">
        <is>
          <t>no</t>
        </is>
      </c>
      <c r="L802" s="11" t="inlineStr"/>
    </row>
    <row r="803">
      <c r="A803" s="11" t="inlineStr">
        <is>
          <t>800</t>
        </is>
      </c>
      <c r="B803" s="11" t="inlineStr">
        <is>
          <t>123</t>
        </is>
      </c>
      <c r="C803" s="11" t="inlineStr">
        <is>
          <t>HC/tribunal/other</t>
        </is>
      </c>
      <c r="D803" s="11" t="inlineStr">
        <is>
          <t>no</t>
        </is>
      </c>
      <c r="E803" s="11" t="inlineStr">
        <is>
          <t>no</t>
        </is>
      </c>
      <c r="F803" s="11" t="inlineStr"/>
      <c r="G803" s="11" t="inlineStr"/>
      <c r="H803" s="11" t="inlineStr">
        <is>
          <t>c18097</t>
        </is>
      </c>
      <c r="I803" s="11" t="inlineStr">
        <is>
          <t>name</t>
        </is>
      </c>
      <c r="J803" s="11" t="inlineStr">
        <is>
          <t>no</t>
        </is>
      </c>
      <c r="K803" s="11" t="inlineStr">
        <is>
          <t>no</t>
        </is>
      </c>
      <c r="L803" s="11" t="inlineStr"/>
    </row>
    <row r="804">
      <c r="A804" s="11" t="inlineStr">
        <is>
          <t>801</t>
        </is>
      </c>
      <c r="B804" s="11" t="inlineStr">
        <is>
          <t>123</t>
        </is>
      </c>
      <c r="C804" s="11" t="inlineStr">
        <is>
          <t>HC/tribunal/other</t>
        </is>
      </c>
      <c r="D804" s="11" t="inlineStr">
        <is>
          <t>no</t>
        </is>
      </c>
      <c r="E804" s="11" t="inlineStr">
        <is>
          <t>no</t>
        </is>
      </c>
      <c r="F804" s="11" t="inlineStr"/>
      <c r="G804" s="11" t="inlineStr"/>
      <c r="H804" s="11" t="inlineStr">
        <is>
          <t>c10334</t>
        </is>
      </c>
      <c r="I804" s="11" t="inlineStr">
        <is>
          <t>name</t>
        </is>
      </c>
      <c r="J804" s="11" t="inlineStr">
        <is>
          <t>no</t>
        </is>
      </c>
      <c r="K804" s="11" t="inlineStr">
        <is>
          <t>no</t>
        </is>
      </c>
      <c r="L804" s="11" t="inlineStr"/>
    </row>
    <row r="805">
      <c r="A805" s="11" t="inlineStr">
        <is>
          <t>802</t>
        </is>
      </c>
      <c r="B805" s="11" t="inlineStr">
        <is>
          <t>124</t>
        </is>
      </c>
      <c r="C805" s="11" t="inlineStr">
        <is>
          <t>HC/tribunal/other</t>
        </is>
      </c>
      <c r="D805" s="11" t="inlineStr">
        <is>
          <t>yes</t>
        </is>
      </c>
      <c r="E805" s="11" t="inlineStr">
        <is>
          <t>no</t>
        </is>
      </c>
      <c r="F805" s="11" t="inlineStr"/>
      <c r="G805" s="11" t="inlineStr"/>
      <c r="H805" s="11" t="inlineStr">
        <is>
          <t>c5809</t>
        </is>
      </c>
      <c r="I805" s="11" t="inlineStr">
        <is>
          <t>cite</t>
        </is>
      </c>
      <c r="J805" s="11" t="inlineStr">
        <is>
          <t>no</t>
        </is>
      </c>
      <c r="K805" s="11" t="inlineStr">
        <is>
          <t>no</t>
        </is>
      </c>
      <c r="L805" s="11" t="inlineStr"/>
    </row>
    <row r="806">
      <c r="A806" s="11" t="inlineStr">
        <is>
          <t>803</t>
        </is>
      </c>
      <c r="B806" s="11" t="inlineStr">
        <is>
          <t>124</t>
        </is>
      </c>
      <c r="C806" s="11" t="inlineStr">
        <is>
          <t>HC/tribunal/other</t>
        </is>
      </c>
      <c r="D806" s="11" t="inlineStr">
        <is>
          <t>no</t>
        </is>
      </c>
      <c r="E806" s="11" t="inlineStr">
        <is>
          <t>no</t>
        </is>
      </c>
      <c r="F806" s="11" t="inlineStr"/>
      <c r="G806" s="11" t="inlineStr"/>
      <c r="H806" s="11" t="inlineStr">
        <is>
          <t>c20767</t>
        </is>
      </c>
      <c r="I806" s="11" t="inlineStr">
        <is>
          <t>cite</t>
        </is>
      </c>
      <c r="J806" s="11" t="inlineStr">
        <is>
          <t>no</t>
        </is>
      </c>
      <c r="K806" s="11" t="inlineStr">
        <is>
          <t>no</t>
        </is>
      </c>
      <c r="L806" s="11" t="inlineStr"/>
    </row>
    <row r="807">
      <c r="A807" s="11" t="inlineStr">
        <is>
          <t>804</t>
        </is>
      </c>
      <c r="B807" s="11" t="inlineStr">
        <is>
          <t>124</t>
        </is>
      </c>
      <c r="C807" s="11" t="inlineStr">
        <is>
          <t>HC/tribunal/other</t>
        </is>
      </c>
      <c r="D807" s="11" t="inlineStr">
        <is>
          <t>no</t>
        </is>
      </c>
      <c r="E807" s="11" t="inlineStr">
        <is>
          <t>no</t>
        </is>
      </c>
      <c r="F807" s="11" t="inlineStr"/>
      <c r="G807" s="11" t="inlineStr"/>
      <c r="H807" s="11" t="inlineStr">
        <is>
          <t>c7506</t>
        </is>
      </c>
      <c r="I807" s="11" t="inlineStr">
        <is>
          <t>cite</t>
        </is>
      </c>
      <c r="J807" s="11" t="inlineStr">
        <is>
          <t>no</t>
        </is>
      </c>
      <c r="K807" s="11" t="inlineStr">
        <is>
          <t>no</t>
        </is>
      </c>
      <c r="L807" s="11" t="inlineStr"/>
    </row>
    <row r="808">
      <c r="A808" s="11" t="inlineStr">
        <is>
          <t>805</t>
        </is>
      </c>
      <c r="B808" s="11" t="inlineStr">
        <is>
          <t>124</t>
        </is>
      </c>
      <c r="C808" s="11" t="inlineStr">
        <is>
          <t>HC/tribunal/other</t>
        </is>
      </c>
      <c r="D808" s="11" t="inlineStr">
        <is>
          <t>no</t>
        </is>
      </c>
      <c r="E808" s="11" t="inlineStr">
        <is>
          <t>no</t>
        </is>
      </c>
      <c r="F808" s="11" t="inlineStr"/>
      <c r="G808" s="11" t="inlineStr"/>
      <c r="H808" s="11" t="inlineStr">
        <is>
          <t>c17687</t>
        </is>
      </c>
      <c r="I808" s="11" t="inlineStr">
        <is>
          <t>cite</t>
        </is>
      </c>
      <c r="J808" s="11" t="inlineStr">
        <is>
          <t>no</t>
        </is>
      </c>
      <c r="K808" s="11" t="inlineStr">
        <is>
          <t>no</t>
        </is>
      </c>
      <c r="L808" s="11" t="inlineStr"/>
    </row>
    <row r="809">
      <c r="A809" s="11" t="inlineStr">
        <is>
          <t>806</t>
        </is>
      </c>
      <c r="B809" s="11" t="inlineStr">
        <is>
          <t>124</t>
        </is>
      </c>
      <c r="C809" s="11" t="inlineStr">
        <is>
          <t>HC/tribunal/other</t>
        </is>
      </c>
      <c r="D809" s="11" t="inlineStr">
        <is>
          <t>no</t>
        </is>
      </c>
      <c r="E809" s="11" t="inlineStr">
        <is>
          <t>no</t>
        </is>
      </c>
      <c r="F809" s="11" t="inlineStr"/>
      <c r="G809" s="11" t="inlineStr"/>
      <c r="H809" s="11" t="inlineStr">
        <is>
          <t>c9488</t>
        </is>
      </c>
      <c r="I809" s="11" t="inlineStr">
        <is>
          <t>cite</t>
        </is>
      </c>
      <c r="J809" s="11" t="inlineStr">
        <is>
          <t>no</t>
        </is>
      </c>
      <c r="K809" s="11" t="inlineStr">
        <is>
          <t>no</t>
        </is>
      </c>
      <c r="L809" s="11" t="inlineStr"/>
    </row>
    <row r="810">
      <c r="A810" s="11" t="inlineStr">
        <is>
          <t>807</t>
        </is>
      </c>
      <c r="B810" s="11" t="inlineStr">
        <is>
          <t>124</t>
        </is>
      </c>
      <c r="C810" s="11" t="inlineStr">
        <is>
          <t>HC/tribunal/other</t>
        </is>
      </c>
      <c r="D810" s="11" t="inlineStr">
        <is>
          <t>yes</t>
        </is>
      </c>
      <c r="E810" s="11" t="inlineStr">
        <is>
          <t>no</t>
        </is>
      </c>
      <c r="F810" s="11" t="inlineStr"/>
      <c r="G810" s="11" t="inlineStr"/>
      <c r="H810" s="11" t="inlineStr"/>
      <c r="I810" s="11" t="inlineStr"/>
      <c r="J810" s="11" t="inlineStr">
        <is>
          <t>no</t>
        </is>
      </c>
      <c r="K810" s="11" t="inlineStr">
        <is>
          <t>no</t>
        </is>
      </c>
      <c r="L810" s="11" t="inlineStr"/>
    </row>
    <row r="811">
      <c r="A811" s="11" t="inlineStr">
        <is>
          <t>808</t>
        </is>
      </c>
      <c r="B811" s="11" t="inlineStr">
        <is>
          <t>125</t>
        </is>
      </c>
      <c r="C811" s="11" t="inlineStr">
        <is>
          <t>HC/tribunal/other</t>
        </is>
      </c>
      <c r="D811" s="11" t="inlineStr">
        <is>
          <t>no</t>
        </is>
      </c>
      <c r="E811" s="11" t="inlineStr">
        <is>
          <t>no</t>
        </is>
      </c>
      <c r="F811" s="11" t="inlineStr"/>
      <c r="G811" s="11" t="inlineStr"/>
      <c r="H811" s="11" t="inlineStr">
        <is>
          <t>c7618</t>
        </is>
      </c>
      <c r="I811" s="11" t="inlineStr">
        <is>
          <t>cite</t>
        </is>
      </c>
      <c r="J811" s="11" t="inlineStr">
        <is>
          <t>no</t>
        </is>
      </c>
      <c r="K811" s="11" t="inlineStr">
        <is>
          <t>no</t>
        </is>
      </c>
      <c r="L811" s="11" t="inlineStr"/>
    </row>
    <row r="812">
      <c r="A812" s="11" t="inlineStr">
        <is>
          <t>809</t>
        </is>
      </c>
      <c r="B812" s="11" t="inlineStr">
        <is>
          <t>125</t>
        </is>
      </c>
      <c r="C812" s="11" t="inlineStr">
        <is>
          <t>HC/tribunal/other</t>
        </is>
      </c>
      <c r="D812" s="11" t="inlineStr">
        <is>
          <t>no</t>
        </is>
      </c>
      <c r="E812" s="11" t="inlineStr">
        <is>
          <t>no</t>
        </is>
      </c>
      <c r="F812" s="11" t="inlineStr"/>
      <c r="G812" s="11" t="inlineStr"/>
      <c r="H812" s="11" t="inlineStr">
        <is>
          <t>c18485</t>
        </is>
      </c>
      <c r="I812" s="11" t="inlineStr">
        <is>
          <t>cite</t>
        </is>
      </c>
      <c r="J812" s="11" t="inlineStr">
        <is>
          <t>no</t>
        </is>
      </c>
      <c r="K812" s="11" t="inlineStr">
        <is>
          <t>no</t>
        </is>
      </c>
      <c r="L812" s="11" t="inlineStr"/>
    </row>
    <row r="813">
      <c r="A813" s="11" t="inlineStr">
        <is>
          <t>810</t>
        </is>
      </c>
      <c r="B813" s="11" t="inlineStr">
        <is>
          <t>125</t>
        </is>
      </c>
      <c r="C813" s="11" t="inlineStr">
        <is>
          <t>HC/tribunal/other</t>
        </is>
      </c>
      <c r="D813" s="11" t="inlineStr">
        <is>
          <t>no</t>
        </is>
      </c>
      <c r="E813" s="11" t="inlineStr">
        <is>
          <t>no</t>
        </is>
      </c>
      <c r="F813" s="11" t="inlineStr"/>
      <c r="G813" s="11" t="inlineStr"/>
      <c r="H813" s="11" t="inlineStr">
        <is>
          <t>c12411</t>
        </is>
      </c>
      <c r="I813" s="11" t="inlineStr">
        <is>
          <t>cite</t>
        </is>
      </c>
      <c r="J813" s="11" t="inlineStr">
        <is>
          <t>no</t>
        </is>
      </c>
      <c r="K813" s="11" t="inlineStr">
        <is>
          <t>no</t>
        </is>
      </c>
      <c r="L813" s="11" t="inlineStr"/>
    </row>
    <row r="814">
      <c r="A814" s="11" t="inlineStr">
        <is>
          <t>811</t>
        </is>
      </c>
      <c r="B814" s="11" t="inlineStr">
        <is>
          <t>125</t>
        </is>
      </c>
      <c r="C814" s="11" t="inlineStr">
        <is>
          <t>HC/tribunal/other</t>
        </is>
      </c>
      <c r="D814" s="11" t="inlineStr">
        <is>
          <t>no</t>
        </is>
      </c>
      <c r="E814" s="11" t="inlineStr">
        <is>
          <t>no</t>
        </is>
      </c>
      <c r="F814" s="11" t="inlineStr"/>
      <c r="G814" s="11" t="inlineStr"/>
      <c r="H814" s="11" t="inlineStr">
        <is>
          <t>c16038</t>
        </is>
      </c>
      <c r="I814" s="11" t="inlineStr">
        <is>
          <t>cite</t>
        </is>
      </c>
      <c r="J814" s="11" t="inlineStr">
        <is>
          <t>no</t>
        </is>
      </c>
      <c r="K814" s="11" t="inlineStr">
        <is>
          <t>no</t>
        </is>
      </c>
      <c r="L814" s="11" t="inlineStr"/>
    </row>
    <row r="815">
      <c r="A815" s="11" t="inlineStr">
        <is>
          <t>812</t>
        </is>
      </c>
      <c r="B815" s="11" t="inlineStr">
        <is>
          <t>125</t>
        </is>
      </c>
      <c r="C815" s="11" t="inlineStr">
        <is>
          <t>HC/tribunal/other</t>
        </is>
      </c>
      <c r="D815" s="11" t="inlineStr">
        <is>
          <t>no</t>
        </is>
      </c>
      <c r="E815" s="11" t="inlineStr">
        <is>
          <t>no</t>
        </is>
      </c>
      <c r="F815" s="11" t="inlineStr"/>
      <c r="G815" s="11" t="inlineStr"/>
      <c r="H815" s="11" t="inlineStr">
        <is>
          <t>c678</t>
        </is>
      </c>
      <c r="I815" s="11" t="inlineStr">
        <is>
          <t>cite</t>
        </is>
      </c>
      <c r="J815" s="11" t="inlineStr">
        <is>
          <t>no</t>
        </is>
      </c>
      <c r="K815" s="11" t="inlineStr">
        <is>
          <t>no</t>
        </is>
      </c>
      <c r="L815" s="11" t="inlineStr"/>
    </row>
    <row r="816">
      <c r="A816" s="11" t="inlineStr">
        <is>
          <t>813</t>
        </is>
      </c>
      <c r="B816" s="11" t="inlineStr">
        <is>
          <t>125</t>
        </is>
      </c>
      <c r="C816" s="11" t="inlineStr">
        <is>
          <t>HC/tribunal/other</t>
        </is>
      </c>
      <c r="D816" s="11" t="inlineStr">
        <is>
          <t>yes</t>
        </is>
      </c>
      <c r="E816" s="11" t="inlineStr">
        <is>
          <t>no</t>
        </is>
      </c>
      <c r="F816" s="11" t="inlineStr"/>
      <c r="G816" s="11" t="inlineStr"/>
      <c r="H816" s="11" t="inlineStr">
        <is>
          <t>c5016</t>
        </is>
      </c>
      <c r="I816" s="11" t="inlineStr">
        <is>
          <t>cite</t>
        </is>
      </c>
      <c r="J816" s="11" t="inlineStr">
        <is>
          <t>no</t>
        </is>
      </c>
      <c r="K816" s="11" t="inlineStr">
        <is>
          <t>no</t>
        </is>
      </c>
      <c r="L816" s="11" t="inlineStr"/>
    </row>
    <row r="817">
      <c r="A817" s="11" t="inlineStr">
        <is>
          <t>814</t>
        </is>
      </c>
      <c r="B817" s="11" t="inlineStr">
        <is>
          <t>126</t>
        </is>
      </c>
      <c r="C817" s="11" t="inlineStr">
        <is>
          <t>HC/tribunal/other</t>
        </is>
      </c>
      <c r="D817" s="11" t="inlineStr">
        <is>
          <t>yes</t>
        </is>
      </c>
      <c r="E817" s="11" t="inlineStr">
        <is>
          <t>no</t>
        </is>
      </c>
      <c r="F817" s="11" t="inlineStr"/>
      <c r="G817" s="11" t="inlineStr"/>
      <c r="H817" s="11" t="inlineStr"/>
      <c r="I817" s="11" t="inlineStr"/>
      <c r="J817" s="11" t="inlineStr">
        <is>
          <t>no</t>
        </is>
      </c>
      <c r="K817" s="11" t="inlineStr">
        <is>
          <t>no</t>
        </is>
      </c>
      <c r="L817" s="11" t="inlineStr"/>
    </row>
    <row r="818">
      <c r="A818" s="11" t="inlineStr">
        <is>
          <t>815</t>
        </is>
      </c>
      <c r="B818" s="11" t="inlineStr">
        <is>
          <t>126</t>
        </is>
      </c>
      <c r="C818" s="11" t="inlineStr">
        <is>
          <t>HC/tribunal/other</t>
        </is>
      </c>
      <c r="D818" s="11" t="inlineStr">
        <is>
          <t>no</t>
        </is>
      </c>
      <c r="E818" s="11" t="inlineStr">
        <is>
          <t>no</t>
        </is>
      </c>
      <c r="F818" s="11" t="inlineStr"/>
      <c r="G818" s="11" t="inlineStr"/>
      <c r="H818" s="11" t="inlineStr">
        <is>
          <t>c9488</t>
        </is>
      </c>
      <c r="I818" s="11" t="inlineStr">
        <is>
          <t>cite</t>
        </is>
      </c>
      <c r="J818" s="11" t="inlineStr">
        <is>
          <t>no</t>
        </is>
      </c>
      <c r="K818" s="11" t="inlineStr">
        <is>
          <t>no</t>
        </is>
      </c>
      <c r="L818" s="11" t="inlineStr"/>
    </row>
    <row r="819">
      <c r="A819" s="11" t="inlineStr">
        <is>
          <t>816</t>
        </is>
      </c>
      <c r="B819" s="11" t="inlineStr">
        <is>
          <t>126</t>
        </is>
      </c>
      <c r="C819" s="11" t="inlineStr">
        <is>
          <t>HC/tribunal/other</t>
        </is>
      </c>
      <c r="D819" s="11" t="inlineStr">
        <is>
          <t>yes</t>
        </is>
      </c>
      <c r="E819" s="11" t="inlineStr">
        <is>
          <t>no</t>
        </is>
      </c>
      <c r="F819" s="11" t="inlineStr"/>
      <c r="G819" s="11" t="inlineStr"/>
      <c r="H819" s="11" t="inlineStr">
        <is>
          <t>c4855</t>
        </is>
      </c>
      <c r="I819" s="11" t="inlineStr">
        <is>
          <t>cite</t>
        </is>
      </c>
      <c r="J819" s="11" t="inlineStr">
        <is>
          <t>no</t>
        </is>
      </c>
      <c r="K819" s="11" t="inlineStr">
        <is>
          <t>no</t>
        </is>
      </c>
      <c r="L819" s="11" t="inlineStr"/>
    </row>
    <row r="820">
      <c r="A820" s="11" t="inlineStr">
        <is>
          <t>817</t>
        </is>
      </c>
      <c r="B820" s="11" t="inlineStr">
        <is>
          <t>126</t>
        </is>
      </c>
      <c r="C820" s="11" t="inlineStr">
        <is>
          <t>HC/tribunal/other</t>
        </is>
      </c>
      <c r="D820" s="11" t="inlineStr">
        <is>
          <t>yes</t>
        </is>
      </c>
      <c r="E820" s="11" t="inlineStr">
        <is>
          <t>no</t>
        </is>
      </c>
      <c r="F820" s="11" t="inlineStr"/>
      <c r="G820" s="11" t="inlineStr"/>
      <c r="H820" s="11" t="inlineStr"/>
      <c r="I820" s="11" t="inlineStr"/>
      <c r="J820" s="11" t="inlineStr">
        <is>
          <t>no</t>
        </is>
      </c>
      <c r="K820" s="11" t="inlineStr">
        <is>
          <t>no</t>
        </is>
      </c>
      <c r="L820" s="11" t="inlineStr"/>
    </row>
    <row r="821">
      <c r="A821" s="11" t="inlineStr">
        <is>
          <t>818</t>
        </is>
      </c>
      <c r="B821" s="11" t="inlineStr">
        <is>
          <t>126</t>
        </is>
      </c>
      <c r="C821" s="11" t="inlineStr">
        <is>
          <t>HC/tribunal/other</t>
        </is>
      </c>
      <c r="D821" s="11" t="inlineStr">
        <is>
          <t>no</t>
        </is>
      </c>
      <c r="E821" s="11" t="inlineStr">
        <is>
          <t>no</t>
        </is>
      </c>
      <c r="F821" s="11" t="inlineStr"/>
      <c r="G821" s="11" t="inlineStr"/>
      <c r="H821" s="11" t="inlineStr"/>
      <c r="I821" s="11" t="inlineStr"/>
      <c r="J821" s="11" t="inlineStr">
        <is>
          <t>no</t>
        </is>
      </c>
      <c r="K821" s="11" t="inlineStr">
        <is>
          <t>no</t>
        </is>
      </c>
      <c r="L821" s="11" t="inlineStr"/>
    </row>
    <row r="822">
      <c r="A822" s="11" t="inlineStr">
        <is>
          <t>819</t>
        </is>
      </c>
      <c r="B822" s="11" t="inlineStr">
        <is>
          <t>126</t>
        </is>
      </c>
      <c r="C822" s="11" t="inlineStr">
        <is>
          <t>HC/tribunal/other</t>
        </is>
      </c>
      <c r="D822" s="11" t="inlineStr">
        <is>
          <t>yes</t>
        </is>
      </c>
      <c r="E822" s="11" t="inlineStr">
        <is>
          <t>yes</t>
        </is>
      </c>
      <c r="F822" s="11" t="inlineStr"/>
      <c r="G822" s="11" t="inlineStr"/>
      <c r="H822" s="11" t="inlineStr">
        <is>
          <t>c20666</t>
        </is>
      </c>
      <c r="I822" s="11" t="inlineStr">
        <is>
          <t>name</t>
        </is>
      </c>
      <c r="J822" s="11" t="inlineStr">
        <is>
          <t>no</t>
        </is>
      </c>
      <c r="K822" s="11" t="inlineStr">
        <is>
          <t>no</t>
        </is>
      </c>
      <c r="L822" s="11" t="inlineStr"/>
    </row>
    <row r="823">
      <c r="A823" s="11" t="inlineStr">
        <is>
          <t>820</t>
        </is>
      </c>
      <c r="B823" s="11" t="inlineStr">
        <is>
          <t>126</t>
        </is>
      </c>
      <c r="C823" s="11" t="inlineStr">
        <is>
          <t>HC/tribunal/other</t>
        </is>
      </c>
      <c r="D823" s="11" t="inlineStr">
        <is>
          <t>no</t>
        </is>
      </c>
      <c r="E823" s="11" t="inlineStr">
        <is>
          <t>no</t>
        </is>
      </c>
      <c r="F823" s="11" t="inlineStr"/>
      <c r="G823" s="11" t="inlineStr"/>
      <c r="H823" s="11" t="inlineStr">
        <is>
          <t>c15501</t>
        </is>
      </c>
      <c r="I823" s="11" t="inlineStr">
        <is>
          <t>name</t>
        </is>
      </c>
      <c r="J823" s="11" t="inlineStr">
        <is>
          <t>no</t>
        </is>
      </c>
      <c r="K823" s="11" t="inlineStr">
        <is>
          <t>no</t>
        </is>
      </c>
      <c r="L823" s="11" t="inlineStr"/>
    </row>
    <row r="824">
      <c r="A824" s="11" t="inlineStr">
        <is>
          <t>821</t>
        </is>
      </c>
      <c r="B824" s="11" t="inlineStr">
        <is>
          <t>126</t>
        </is>
      </c>
      <c r="C824" s="11" t="inlineStr">
        <is>
          <t>HC/tribunal/other</t>
        </is>
      </c>
      <c r="D824" s="11" t="inlineStr">
        <is>
          <t>yes</t>
        </is>
      </c>
      <c r="E824" s="11" t="inlineStr">
        <is>
          <t>no</t>
        </is>
      </c>
      <c r="F824" s="11" t="inlineStr"/>
      <c r="G824" s="11" t="inlineStr"/>
      <c r="H824" s="11" t="inlineStr">
        <is>
          <t>c6774</t>
        </is>
      </c>
      <c r="I824" s="11" t="inlineStr">
        <is>
          <t>cite</t>
        </is>
      </c>
      <c r="J824" s="11" t="inlineStr">
        <is>
          <t>no</t>
        </is>
      </c>
      <c r="K824" s="11" t="inlineStr">
        <is>
          <t>no</t>
        </is>
      </c>
      <c r="L824" s="11" t="inlineStr"/>
    </row>
    <row r="825">
      <c r="A825" s="11" t="inlineStr">
        <is>
          <t>822</t>
        </is>
      </c>
      <c r="B825" s="11" t="inlineStr">
        <is>
          <t>127</t>
        </is>
      </c>
      <c r="C825" s="11" t="inlineStr">
        <is>
          <t>HC/tribunal/other</t>
        </is>
      </c>
      <c r="D825" s="11" t="inlineStr">
        <is>
          <t>no</t>
        </is>
      </c>
      <c r="E825" s="11" t="inlineStr">
        <is>
          <t>no</t>
        </is>
      </c>
      <c r="F825" s="11" t="inlineStr"/>
      <c r="G825" s="11" t="inlineStr"/>
      <c r="H825" s="11" t="inlineStr">
        <is>
          <t>c20354</t>
        </is>
      </c>
      <c r="I825" s="11" t="inlineStr">
        <is>
          <t>name</t>
        </is>
      </c>
      <c r="J825" s="11" t="inlineStr">
        <is>
          <t>no</t>
        </is>
      </c>
      <c r="K825" s="11" t="inlineStr">
        <is>
          <t>no</t>
        </is>
      </c>
      <c r="L825" s="11" t="inlineStr"/>
    </row>
    <row r="826">
      <c r="A826" s="11" t="inlineStr">
        <is>
          <t>823</t>
        </is>
      </c>
      <c r="B826" s="11" t="inlineStr">
        <is>
          <t>127</t>
        </is>
      </c>
      <c r="C826" s="11" t="inlineStr">
        <is>
          <t>HC/tribunal/other</t>
        </is>
      </c>
      <c r="D826" s="11" t="inlineStr">
        <is>
          <t>no</t>
        </is>
      </c>
      <c r="E826" s="11" t="inlineStr">
        <is>
          <t>no</t>
        </is>
      </c>
      <c r="F826" s="11" t="inlineStr"/>
      <c r="G826" s="11" t="inlineStr"/>
      <c r="H826" s="11" t="inlineStr">
        <is>
          <t>c20636</t>
        </is>
      </c>
      <c r="I826" s="11" t="inlineStr">
        <is>
          <t>name</t>
        </is>
      </c>
      <c r="J826" s="11" t="inlineStr">
        <is>
          <t>no</t>
        </is>
      </c>
      <c r="K826" s="11" t="inlineStr">
        <is>
          <t>no</t>
        </is>
      </c>
      <c r="L826" s="11" t="inlineStr"/>
    </row>
    <row r="827">
      <c r="A827" s="11" t="inlineStr">
        <is>
          <t>824</t>
        </is>
      </c>
      <c r="B827" s="11" t="inlineStr">
        <is>
          <t>127</t>
        </is>
      </c>
      <c r="C827" s="11" t="inlineStr">
        <is>
          <t>HC/tribunal/other</t>
        </is>
      </c>
      <c r="D827" s="11" t="inlineStr">
        <is>
          <t>no</t>
        </is>
      </c>
      <c r="E827" s="11" t="inlineStr">
        <is>
          <t>no</t>
        </is>
      </c>
      <c r="F827" s="11" t="inlineStr"/>
      <c r="G827" s="11" t="inlineStr"/>
      <c r="H827" s="11" t="inlineStr">
        <is>
          <t>c9360</t>
        </is>
      </c>
      <c r="I827" s="11" t="inlineStr">
        <is>
          <t>cite</t>
        </is>
      </c>
      <c r="J827" s="11" t="inlineStr">
        <is>
          <t>no</t>
        </is>
      </c>
      <c r="K827" s="11" t="inlineStr">
        <is>
          <t>no</t>
        </is>
      </c>
      <c r="L827" s="11" t="inlineStr"/>
    </row>
    <row r="828">
      <c r="A828" s="11" t="inlineStr">
        <is>
          <t>825</t>
        </is>
      </c>
      <c r="B828" s="11" t="inlineStr">
        <is>
          <t>127</t>
        </is>
      </c>
      <c r="C828" s="11" t="inlineStr">
        <is>
          <t>HC/tribunal/other</t>
        </is>
      </c>
      <c r="D828" s="11" t="inlineStr">
        <is>
          <t>yes</t>
        </is>
      </c>
      <c r="E828" s="11" t="inlineStr">
        <is>
          <t>yes</t>
        </is>
      </c>
      <c r="F828" s="11" t="inlineStr"/>
      <c r="G828" s="11" t="inlineStr"/>
      <c r="H828" s="11" t="inlineStr">
        <is>
          <t>c6180</t>
        </is>
      </c>
      <c r="I828" s="11" t="inlineStr">
        <is>
          <t>cite</t>
        </is>
      </c>
      <c r="J828" s="11" t="inlineStr">
        <is>
          <t>no</t>
        </is>
      </c>
      <c r="K828" s="11" t="inlineStr">
        <is>
          <t>no</t>
        </is>
      </c>
      <c r="L828" s="11" t="inlineStr"/>
    </row>
    <row r="829">
      <c r="A829" s="11" t="inlineStr">
        <is>
          <t>826</t>
        </is>
      </c>
      <c r="B829" s="11" t="inlineStr">
        <is>
          <t>127</t>
        </is>
      </c>
      <c r="C829" s="11" t="inlineStr">
        <is>
          <t>HC/tribunal/other</t>
        </is>
      </c>
      <c r="D829" s="11" t="inlineStr">
        <is>
          <t>no</t>
        </is>
      </c>
      <c r="E829" s="11" t="inlineStr">
        <is>
          <t>no</t>
        </is>
      </c>
      <c r="F829" s="11" t="inlineStr"/>
      <c r="G829" s="11" t="inlineStr"/>
      <c r="H829" s="11" t="inlineStr">
        <is>
          <t>c10994</t>
        </is>
      </c>
      <c r="I829" s="11" t="inlineStr">
        <is>
          <t>cite</t>
        </is>
      </c>
      <c r="J829" s="11" t="inlineStr">
        <is>
          <t>yes</t>
        </is>
      </c>
      <c r="K829" s="11" t="inlineStr">
        <is>
          <t>no</t>
        </is>
      </c>
      <c r="L829" s="11" t="inlineStr"/>
    </row>
    <row r="830">
      <c r="A830" s="11" t="inlineStr">
        <is>
          <t>827</t>
        </is>
      </c>
      <c r="B830" s="11" t="inlineStr">
        <is>
          <t>127</t>
        </is>
      </c>
      <c r="C830" s="11" t="inlineStr">
        <is>
          <t>HC/tribunal/other</t>
        </is>
      </c>
      <c r="D830" s="11" t="inlineStr">
        <is>
          <t>yes</t>
        </is>
      </c>
      <c r="E830" s="11" t="inlineStr">
        <is>
          <t>no</t>
        </is>
      </c>
      <c r="F830" s="11" t="inlineStr"/>
      <c r="G830" s="11" t="inlineStr"/>
      <c r="H830" s="11" t="inlineStr">
        <is>
          <t>c15816</t>
        </is>
      </c>
      <c r="I830" s="11" t="inlineStr">
        <is>
          <t>cite</t>
        </is>
      </c>
      <c r="J830" s="11" t="inlineStr">
        <is>
          <t>no</t>
        </is>
      </c>
      <c r="K830" s="11" t="inlineStr">
        <is>
          <t>no</t>
        </is>
      </c>
      <c r="L830" s="11" t="inlineStr"/>
    </row>
    <row r="831">
      <c r="A831" s="11" t="inlineStr">
        <is>
          <t>828</t>
        </is>
      </c>
      <c r="B831" s="11" t="inlineStr">
        <is>
          <t>127</t>
        </is>
      </c>
      <c r="C831" s="11" t="inlineStr">
        <is>
          <t>HC/tribunal/other</t>
        </is>
      </c>
      <c r="D831" s="11" t="inlineStr">
        <is>
          <t>yes</t>
        </is>
      </c>
      <c r="E831" s="11" t="inlineStr">
        <is>
          <t>no</t>
        </is>
      </c>
      <c r="F831" s="11" t="inlineStr"/>
      <c r="G831" s="11" t="inlineStr"/>
      <c r="H831" s="11" t="inlineStr">
        <is>
          <t>c5751</t>
        </is>
      </c>
      <c r="I831" s="11" t="inlineStr">
        <is>
          <t>cite</t>
        </is>
      </c>
      <c r="J831" s="11" t="inlineStr">
        <is>
          <t>no</t>
        </is>
      </c>
      <c r="K831" s="11" t="inlineStr">
        <is>
          <t>no</t>
        </is>
      </c>
      <c r="L831" s="11" t="inlineStr"/>
    </row>
    <row r="832">
      <c r="A832" s="11" t="inlineStr">
        <is>
          <t>829</t>
        </is>
      </c>
      <c r="B832" s="11" t="inlineStr">
        <is>
          <t>128</t>
        </is>
      </c>
      <c r="C832" s="11" t="inlineStr">
        <is>
          <t>HC/tribunal/other</t>
        </is>
      </c>
      <c r="D832" s="11" t="inlineStr">
        <is>
          <t>no</t>
        </is>
      </c>
      <c r="E832" s="11" t="inlineStr">
        <is>
          <t>no</t>
        </is>
      </c>
      <c r="F832" s="11" t="inlineStr"/>
      <c r="G832" s="11" t="inlineStr"/>
      <c r="H832" s="11" t="inlineStr">
        <is>
          <t>c12236</t>
        </is>
      </c>
      <c r="I832" s="11" t="inlineStr">
        <is>
          <t>cite</t>
        </is>
      </c>
      <c r="J832" s="11" t="inlineStr">
        <is>
          <t>no</t>
        </is>
      </c>
      <c r="K832" s="11" t="inlineStr">
        <is>
          <t>no</t>
        </is>
      </c>
      <c r="L832" s="11" t="inlineStr"/>
    </row>
    <row r="833">
      <c r="A833" s="11" t="inlineStr">
        <is>
          <t>830</t>
        </is>
      </c>
      <c r="B833" s="11" t="inlineStr">
        <is>
          <t>128</t>
        </is>
      </c>
      <c r="C833" s="11" t="inlineStr">
        <is>
          <t>HC/tribunal/other</t>
        </is>
      </c>
      <c r="D833" s="11" t="inlineStr">
        <is>
          <t>no</t>
        </is>
      </c>
      <c r="E833" s="11" t="inlineStr">
        <is>
          <t>yes</t>
        </is>
      </c>
      <c r="F833" s="11" t="inlineStr"/>
      <c r="G833" s="11" t="inlineStr"/>
      <c r="H833" s="11" t="inlineStr">
        <is>
          <t>c16854</t>
        </is>
      </c>
      <c r="I833" s="11" t="inlineStr">
        <is>
          <t>cite</t>
        </is>
      </c>
      <c r="J833" s="11" t="inlineStr">
        <is>
          <t>no</t>
        </is>
      </c>
      <c r="K833" s="11" t="inlineStr">
        <is>
          <t>no</t>
        </is>
      </c>
      <c r="L833" s="11" t="inlineStr"/>
    </row>
    <row r="834">
      <c r="A834" s="11" t="inlineStr">
        <is>
          <t>831</t>
        </is>
      </c>
      <c r="B834" s="11" t="inlineStr">
        <is>
          <t>128</t>
        </is>
      </c>
      <c r="C834" s="11" t="inlineStr">
        <is>
          <t>HC/tribunal/other</t>
        </is>
      </c>
      <c r="D834" s="11" t="inlineStr">
        <is>
          <t>no</t>
        </is>
      </c>
      <c r="E834" s="11" t="inlineStr">
        <is>
          <t>yes</t>
        </is>
      </c>
      <c r="F834" s="11" t="inlineStr"/>
      <c r="G834" s="11" t="inlineStr"/>
      <c r="H834" s="11" t="inlineStr">
        <is>
          <t>c39348</t>
        </is>
      </c>
      <c r="I834" s="11" t="inlineStr">
        <is>
          <t>name</t>
        </is>
      </c>
      <c r="J834" s="11" t="inlineStr">
        <is>
          <t>no</t>
        </is>
      </c>
      <c r="K834" s="11" t="inlineStr">
        <is>
          <t>no</t>
        </is>
      </c>
      <c r="L834" s="11" t="inlineStr"/>
    </row>
    <row r="835">
      <c r="A835" s="11" t="inlineStr">
        <is>
          <t>832</t>
        </is>
      </c>
      <c r="B835" s="11" t="inlineStr">
        <is>
          <t>128</t>
        </is>
      </c>
      <c r="C835" s="11" t="inlineStr">
        <is>
          <t>HC/tribunal/other</t>
        </is>
      </c>
      <c r="D835" s="11" t="inlineStr">
        <is>
          <t>no</t>
        </is>
      </c>
      <c r="E835" s="11" t="inlineStr">
        <is>
          <t>no</t>
        </is>
      </c>
      <c r="F835" s="11" t="inlineStr"/>
      <c r="G835" s="11" t="inlineStr"/>
      <c r="H835" s="11" t="inlineStr"/>
      <c r="I835" s="11" t="inlineStr"/>
      <c r="J835" s="11" t="inlineStr">
        <is>
          <t>no</t>
        </is>
      </c>
      <c r="K835" s="11" t="inlineStr">
        <is>
          <t>no</t>
        </is>
      </c>
      <c r="L835" s="11" t="inlineStr"/>
    </row>
    <row r="836">
      <c r="A836" s="11" t="inlineStr">
        <is>
          <t>833</t>
        </is>
      </c>
      <c r="B836" s="11" t="inlineStr">
        <is>
          <t>128</t>
        </is>
      </c>
      <c r="C836" s="11" t="inlineStr">
        <is>
          <t>HC/tribunal/other</t>
        </is>
      </c>
      <c r="D836" s="11" t="inlineStr">
        <is>
          <t>yes</t>
        </is>
      </c>
      <c r="E836" s="11" t="inlineStr">
        <is>
          <t>no</t>
        </is>
      </c>
      <c r="F836" s="11" t="inlineStr"/>
      <c r="G836" s="11" t="inlineStr"/>
      <c r="H836" s="11" t="inlineStr">
        <is>
          <t>c5635</t>
        </is>
      </c>
      <c r="I836" s="11" t="inlineStr">
        <is>
          <t>cite</t>
        </is>
      </c>
      <c r="J836" s="11" t="inlineStr">
        <is>
          <t>no</t>
        </is>
      </c>
      <c r="K836" s="11" t="inlineStr">
        <is>
          <t>no</t>
        </is>
      </c>
      <c r="L836" s="11" t="inlineStr"/>
    </row>
    <row r="837">
      <c r="A837" s="11" t="inlineStr">
        <is>
          <t>834</t>
        </is>
      </c>
      <c r="B837" s="11" t="inlineStr">
        <is>
          <t>128</t>
        </is>
      </c>
      <c r="C837" s="11" t="inlineStr">
        <is>
          <t>HC/tribunal/other</t>
        </is>
      </c>
      <c r="D837" s="11" t="inlineStr">
        <is>
          <t>no</t>
        </is>
      </c>
      <c r="E837" s="11" t="inlineStr">
        <is>
          <t>yes</t>
        </is>
      </c>
      <c r="F837" s="11" t="inlineStr"/>
      <c r="G837" s="11" t="inlineStr"/>
      <c r="H837" s="11" t="inlineStr"/>
      <c r="I837" s="11" t="inlineStr"/>
      <c r="J837" s="11" t="inlineStr">
        <is>
          <t>no</t>
        </is>
      </c>
      <c r="K837" s="11" t="inlineStr">
        <is>
          <t>no</t>
        </is>
      </c>
      <c r="L837" s="11" t="inlineStr"/>
    </row>
    <row r="838">
      <c r="A838" s="11" t="inlineStr">
        <is>
          <t>835</t>
        </is>
      </c>
      <c r="B838" s="11" t="inlineStr">
        <is>
          <t>128</t>
        </is>
      </c>
      <c r="C838" s="11" t="inlineStr">
        <is>
          <t>HC/tribunal/other</t>
        </is>
      </c>
      <c r="D838" s="11" t="inlineStr">
        <is>
          <t>no</t>
        </is>
      </c>
      <c r="E838" s="11" t="inlineStr">
        <is>
          <t>no</t>
        </is>
      </c>
      <c r="F838" s="11" t="inlineStr"/>
      <c r="G838" s="11" t="inlineStr"/>
      <c r="H838" s="11" t="inlineStr"/>
      <c r="I838" s="11" t="inlineStr"/>
      <c r="J838" s="11" t="inlineStr">
        <is>
          <t>no</t>
        </is>
      </c>
      <c r="K838" s="11" t="inlineStr">
        <is>
          <t>no</t>
        </is>
      </c>
      <c r="L838" s="11" t="inlineStr"/>
    </row>
    <row r="839">
      <c r="A839" s="11" t="inlineStr">
        <is>
          <t>836</t>
        </is>
      </c>
      <c r="B839" s="11" t="inlineStr">
        <is>
          <t>128</t>
        </is>
      </c>
      <c r="C839" s="11" t="inlineStr">
        <is>
          <t>HC/tribunal/other</t>
        </is>
      </c>
      <c r="D839" s="11" t="inlineStr">
        <is>
          <t>yes</t>
        </is>
      </c>
      <c r="E839" s="11" t="inlineStr">
        <is>
          <t>no</t>
        </is>
      </c>
      <c r="F839" s="11" t="inlineStr"/>
      <c r="G839" s="11" t="inlineStr"/>
      <c r="H839" s="11" t="inlineStr"/>
      <c r="I839" s="11" t="inlineStr"/>
      <c r="J839" s="11" t="inlineStr">
        <is>
          <t>no</t>
        </is>
      </c>
      <c r="K839" s="11" t="inlineStr">
        <is>
          <t>no</t>
        </is>
      </c>
      <c r="L839" s="11" t="inlineStr"/>
    </row>
    <row r="840">
      <c r="A840" s="11" t="inlineStr">
        <is>
          <t>837</t>
        </is>
      </c>
      <c r="B840" s="11" t="inlineStr">
        <is>
          <t>129</t>
        </is>
      </c>
      <c r="C840" s="11" t="inlineStr">
        <is>
          <t>HC/tribunal/other</t>
        </is>
      </c>
      <c r="D840" s="11" t="inlineStr">
        <is>
          <t>yes</t>
        </is>
      </c>
      <c r="E840" s="11" t="inlineStr">
        <is>
          <t>no</t>
        </is>
      </c>
      <c r="F840" s="11" t="inlineStr"/>
      <c r="G840" s="11" t="inlineStr"/>
      <c r="H840" s="11" t="inlineStr">
        <is>
          <t>c30876</t>
        </is>
      </c>
      <c r="I840" s="11" t="inlineStr">
        <is>
          <t>name</t>
        </is>
      </c>
      <c r="J840" s="11" t="inlineStr">
        <is>
          <t>no</t>
        </is>
      </c>
      <c r="K840" s="11" t="inlineStr">
        <is>
          <t>no</t>
        </is>
      </c>
      <c r="L840" s="11" t="inlineStr"/>
    </row>
    <row r="841">
      <c r="A841" s="11" t="inlineStr">
        <is>
          <t>838</t>
        </is>
      </c>
      <c r="B841" s="11" t="inlineStr">
        <is>
          <t>129</t>
        </is>
      </c>
      <c r="C841" s="11" t="inlineStr">
        <is>
          <t>HC/tribunal/other</t>
        </is>
      </c>
      <c r="D841" s="11" t="inlineStr">
        <is>
          <t>no</t>
        </is>
      </c>
      <c r="E841" s="11" t="inlineStr">
        <is>
          <t>no</t>
        </is>
      </c>
      <c r="F841" s="11" t="inlineStr"/>
      <c r="G841" s="11" t="inlineStr"/>
      <c r="H841" s="11" t="inlineStr">
        <is>
          <t>c591</t>
        </is>
      </c>
      <c r="I841" s="11" t="inlineStr">
        <is>
          <t>cite</t>
        </is>
      </c>
      <c r="J841" s="11" t="inlineStr">
        <is>
          <t>no</t>
        </is>
      </c>
      <c r="K841" s="11" t="inlineStr">
        <is>
          <t>no</t>
        </is>
      </c>
      <c r="L841" s="11" t="inlineStr"/>
    </row>
    <row r="842">
      <c r="A842" s="11" t="inlineStr">
        <is>
          <t>839</t>
        </is>
      </c>
      <c r="B842" s="11" t="inlineStr">
        <is>
          <t>129</t>
        </is>
      </c>
      <c r="C842" s="11" t="inlineStr">
        <is>
          <t>HC/tribunal/other</t>
        </is>
      </c>
      <c r="D842" s="11" t="inlineStr">
        <is>
          <t>no</t>
        </is>
      </c>
      <c r="E842" s="11" t="inlineStr">
        <is>
          <t>no</t>
        </is>
      </c>
      <c r="F842" s="11" t="inlineStr"/>
      <c r="G842" s="11" t="inlineStr"/>
      <c r="H842" s="11" t="inlineStr">
        <is>
          <t>c26767</t>
        </is>
      </c>
      <c r="I842" s="11" t="inlineStr">
        <is>
          <t>name</t>
        </is>
      </c>
      <c r="J842" s="11" t="inlineStr">
        <is>
          <t>no</t>
        </is>
      </c>
      <c r="K842" s="11" t="inlineStr">
        <is>
          <t>no</t>
        </is>
      </c>
      <c r="L842" s="11" t="inlineStr"/>
    </row>
    <row r="843">
      <c r="A843" s="11" t="inlineStr">
        <is>
          <t>840</t>
        </is>
      </c>
      <c r="B843" s="11" t="inlineStr">
        <is>
          <t>129</t>
        </is>
      </c>
      <c r="C843" s="11" t="inlineStr">
        <is>
          <t>HC/tribunal/other</t>
        </is>
      </c>
      <c r="D843" s="11" t="inlineStr">
        <is>
          <t>no</t>
        </is>
      </c>
      <c r="E843" s="11" t="inlineStr">
        <is>
          <t>no</t>
        </is>
      </c>
      <c r="F843" s="11" t="inlineStr"/>
      <c r="G843" s="11" t="inlineStr"/>
      <c r="H843" s="11" t="inlineStr">
        <is>
          <t>c16006</t>
        </is>
      </c>
      <c r="I843" s="11" t="inlineStr">
        <is>
          <t>cite</t>
        </is>
      </c>
      <c r="J843" s="11" t="inlineStr">
        <is>
          <t>no</t>
        </is>
      </c>
      <c r="K843" s="11" t="inlineStr">
        <is>
          <t>no</t>
        </is>
      </c>
      <c r="L843" s="11" t="inlineStr"/>
    </row>
    <row r="844">
      <c r="A844" s="11" t="inlineStr">
        <is>
          <t>841</t>
        </is>
      </c>
      <c r="B844" s="11" t="inlineStr">
        <is>
          <t>129</t>
        </is>
      </c>
      <c r="C844" s="11" t="inlineStr">
        <is>
          <t>HC/tribunal/other</t>
        </is>
      </c>
      <c r="D844" s="11" t="inlineStr">
        <is>
          <t>yes</t>
        </is>
      </c>
      <c r="E844" s="11" t="inlineStr">
        <is>
          <t>no</t>
        </is>
      </c>
      <c r="F844" s="11" t="inlineStr"/>
      <c r="G844" s="11" t="inlineStr"/>
      <c r="H844" s="11" t="inlineStr">
        <is>
          <t>c6692</t>
        </is>
      </c>
      <c r="I844" s="11" t="inlineStr">
        <is>
          <t>cite</t>
        </is>
      </c>
      <c r="J844" s="11" t="inlineStr">
        <is>
          <t>no</t>
        </is>
      </c>
      <c r="K844" s="11" t="inlineStr">
        <is>
          <t>no</t>
        </is>
      </c>
      <c r="L844" s="11" t="inlineStr"/>
    </row>
    <row r="845">
      <c r="A845" s="11" t="inlineStr">
        <is>
          <t>842</t>
        </is>
      </c>
      <c r="B845" s="11" t="inlineStr">
        <is>
          <t>129</t>
        </is>
      </c>
      <c r="C845" s="11" t="inlineStr">
        <is>
          <t>HC/tribunal/other</t>
        </is>
      </c>
      <c r="D845" s="11" t="inlineStr">
        <is>
          <t>no</t>
        </is>
      </c>
      <c r="E845" s="11" t="inlineStr">
        <is>
          <t>no</t>
        </is>
      </c>
      <c r="F845" s="11" t="inlineStr"/>
      <c r="G845" s="11" t="inlineStr"/>
      <c r="H845" s="11" t="inlineStr">
        <is>
          <t>c1851</t>
        </is>
      </c>
      <c r="I845" s="11" t="inlineStr">
        <is>
          <t>cite</t>
        </is>
      </c>
      <c r="J845" s="11" t="inlineStr">
        <is>
          <t>no</t>
        </is>
      </c>
      <c r="K845" s="11" t="inlineStr">
        <is>
          <t>no</t>
        </is>
      </c>
      <c r="L845" s="11" t="inlineStr"/>
    </row>
    <row r="846">
      <c r="A846" s="11" t="inlineStr">
        <is>
          <t>843</t>
        </is>
      </c>
      <c r="B846" s="11" t="inlineStr">
        <is>
          <t>129</t>
        </is>
      </c>
      <c r="C846" s="11" t="inlineStr">
        <is>
          <t>HC/tribunal/other</t>
        </is>
      </c>
      <c r="D846" s="11" t="inlineStr">
        <is>
          <t>yes</t>
        </is>
      </c>
      <c r="E846" s="11" t="inlineStr">
        <is>
          <t>no</t>
        </is>
      </c>
      <c r="F846" s="11" t="inlineStr"/>
      <c r="G846" s="11" t="inlineStr"/>
      <c r="H846" s="11" t="inlineStr">
        <is>
          <t>c1275</t>
        </is>
      </c>
      <c r="I846" s="11" t="inlineStr">
        <is>
          <t>cite</t>
        </is>
      </c>
      <c r="J846" s="11" t="inlineStr">
        <is>
          <t>no</t>
        </is>
      </c>
      <c r="K846" s="11" t="inlineStr">
        <is>
          <t>no</t>
        </is>
      </c>
      <c r="L846" s="11" t="inlineStr"/>
    </row>
    <row r="847">
      <c r="A847" s="11" t="inlineStr">
        <is>
          <t>844</t>
        </is>
      </c>
      <c r="B847" s="11" t="inlineStr">
        <is>
          <t>130</t>
        </is>
      </c>
      <c r="C847" s="11" t="inlineStr">
        <is>
          <t>HC/tribunal/other</t>
        </is>
      </c>
      <c r="D847" s="11" t="inlineStr">
        <is>
          <t>no</t>
        </is>
      </c>
      <c r="E847" s="11" t="inlineStr">
        <is>
          <t>no</t>
        </is>
      </c>
      <c r="F847" s="11" t="inlineStr"/>
      <c r="G847" s="11" t="inlineStr"/>
      <c r="H847" s="11" t="inlineStr"/>
      <c r="I847" s="11" t="inlineStr"/>
      <c r="J847" s="11" t="inlineStr">
        <is>
          <t>no</t>
        </is>
      </c>
      <c r="K847" s="11" t="inlineStr">
        <is>
          <t>no</t>
        </is>
      </c>
      <c r="L847" s="11" t="inlineStr"/>
    </row>
    <row r="848">
      <c r="A848" s="11" t="inlineStr">
        <is>
          <t>845</t>
        </is>
      </c>
      <c r="B848" s="11" t="inlineStr">
        <is>
          <t>130</t>
        </is>
      </c>
      <c r="C848" s="11" t="inlineStr">
        <is>
          <t>HC/tribunal/other</t>
        </is>
      </c>
      <c r="D848" s="11" t="inlineStr">
        <is>
          <t>yes</t>
        </is>
      </c>
      <c r="E848" s="11" t="inlineStr">
        <is>
          <t>no</t>
        </is>
      </c>
      <c r="F848" s="11" t="inlineStr"/>
      <c r="G848" s="11" t="inlineStr"/>
      <c r="H848" s="11" t="inlineStr">
        <is>
          <t>c15856</t>
        </is>
      </c>
      <c r="I848" s="11" t="inlineStr">
        <is>
          <t>cite</t>
        </is>
      </c>
      <c r="J848" s="11" t="inlineStr">
        <is>
          <t>no</t>
        </is>
      </c>
      <c r="K848" s="11" t="inlineStr">
        <is>
          <t>no</t>
        </is>
      </c>
      <c r="L848" s="11" t="inlineStr"/>
    </row>
    <row r="849">
      <c r="A849" s="11" t="inlineStr">
        <is>
          <t>846</t>
        </is>
      </c>
      <c r="B849" s="11" t="inlineStr">
        <is>
          <t>130</t>
        </is>
      </c>
      <c r="C849" s="11" t="inlineStr">
        <is>
          <t>HC/tribunal/other</t>
        </is>
      </c>
      <c r="D849" s="11" t="inlineStr">
        <is>
          <t>no</t>
        </is>
      </c>
      <c r="E849" s="11" t="inlineStr">
        <is>
          <t>no</t>
        </is>
      </c>
      <c r="F849" s="11" t="inlineStr"/>
      <c r="G849" s="11" t="inlineStr"/>
      <c r="H849" s="11" t="inlineStr"/>
      <c r="I849" s="11" t="inlineStr"/>
      <c r="J849" s="11" t="inlineStr">
        <is>
          <t>no</t>
        </is>
      </c>
      <c r="K849" s="11" t="inlineStr">
        <is>
          <t>no</t>
        </is>
      </c>
      <c r="L849" s="11" t="inlineStr"/>
    </row>
    <row r="850">
      <c r="A850" s="11" t="inlineStr">
        <is>
          <t>847</t>
        </is>
      </c>
      <c r="B850" s="11" t="inlineStr">
        <is>
          <t>130</t>
        </is>
      </c>
      <c r="C850" s="11" t="inlineStr">
        <is>
          <t>HC/tribunal/other</t>
        </is>
      </c>
      <c r="D850" s="11" t="inlineStr">
        <is>
          <t>no</t>
        </is>
      </c>
      <c r="E850" s="11" t="inlineStr">
        <is>
          <t>yes</t>
        </is>
      </c>
      <c r="F850" s="11" t="inlineStr"/>
      <c r="G850" s="11" t="inlineStr"/>
      <c r="H850" s="11" t="inlineStr">
        <is>
          <t>c10832</t>
        </is>
      </c>
      <c r="I850" s="11" t="inlineStr">
        <is>
          <t>cite</t>
        </is>
      </c>
      <c r="J850" s="11" t="inlineStr">
        <is>
          <t>no</t>
        </is>
      </c>
      <c r="K850" s="11" t="inlineStr">
        <is>
          <t>no</t>
        </is>
      </c>
      <c r="L850" s="11" t="inlineStr"/>
    </row>
    <row r="851">
      <c r="A851" s="11" t="inlineStr">
        <is>
          <t>848</t>
        </is>
      </c>
      <c r="B851" s="11" t="inlineStr">
        <is>
          <t>130</t>
        </is>
      </c>
      <c r="C851" s="11" t="inlineStr">
        <is>
          <t>HC/tribunal/other</t>
        </is>
      </c>
      <c r="D851" s="11" t="inlineStr">
        <is>
          <t>yes</t>
        </is>
      </c>
      <c r="E851" s="11" t="inlineStr">
        <is>
          <t>no</t>
        </is>
      </c>
      <c r="F851" s="11" t="inlineStr"/>
      <c r="G851" s="11" t="inlineStr"/>
      <c r="H851" s="11" t="inlineStr">
        <is>
          <t>c9249</t>
        </is>
      </c>
      <c r="I851" s="11" t="inlineStr">
        <is>
          <t>cite</t>
        </is>
      </c>
      <c r="J851" s="11" t="inlineStr">
        <is>
          <t>no</t>
        </is>
      </c>
      <c r="K851" s="11" t="inlineStr">
        <is>
          <t>no</t>
        </is>
      </c>
      <c r="L851" s="11" t="inlineStr"/>
    </row>
    <row r="852">
      <c r="A852" s="11" t="inlineStr">
        <is>
          <t>849</t>
        </is>
      </c>
      <c r="B852" s="11" t="inlineStr">
        <is>
          <t>130</t>
        </is>
      </c>
      <c r="C852" s="11" t="inlineStr">
        <is>
          <t>HC/tribunal/other</t>
        </is>
      </c>
      <c r="D852" s="11" t="inlineStr">
        <is>
          <t>no</t>
        </is>
      </c>
      <c r="E852" s="11" t="inlineStr">
        <is>
          <t>no</t>
        </is>
      </c>
      <c r="F852" s="11" t="inlineStr"/>
      <c r="G852" s="11" t="inlineStr"/>
      <c r="H852" s="11" t="inlineStr">
        <is>
          <t>c9131</t>
        </is>
      </c>
      <c r="I852" s="11" t="inlineStr">
        <is>
          <t>cite</t>
        </is>
      </c>
      <c r="J852" s="11" t="inlineStr">
        <is>
          <t>no</t>
        </is>
      </c>
      <c r="K852" s="11" t="inlineStr">
        <is>
          <t>no</t>
        </is>
      </c>
      <c r="L852" s="11" t="inlineStr"/>
    </row>
    <row r="853">
      <c r="A853" s="11" t="inlineStr">
        <is>
          <t>850</t>
        </is>
      </c>
      <c r="B853" s="11" t="inlineStr">
        <is>
          <t>130</t>
        </is>
      </c>
      <c r="C853" s="11" t="inlineStr">
        <is>
          <t>HC/tribunal/other</t>
        </is>
      </c>
      <c r="D853" s="11" t="inlineStr">
        <is>
          <t>yes</t>
        </is>
      </c>
      <c r="E853" s="11" t="inlineStr">
        <is>
          <t>no</t>
        </is>
      </c>
      <c r="F853" s="11" t="inlineStr"/>
      <c r="G853" s="11" t="inlineStr"/>
      <c r="H853" s="11" t="inlineStr">
        <is>
          <t>c9342</t>
        </is>
      </c>
      <c r="I853" s="11" t="inlineStr">
        <is>
          <t>cite</t>
        </is>
      </c>
      <c r="J853" s="11" t="inlineStr">
        <is>
          <t>no</t>
        </is>
      </c>
      <c r="K853" s="11" t="inlineStr">
        <is>
          <t>no</t>
        </is>
      </c>
      <c r="L853" s="11" t="inlineStr"/>
    </row>
    <row r="854">
      <c r="A854" s="11" t="inlineStr">
        <is>
          <t>851</t>
        </is>
      </c>
      <c r="B854" s="11" t="inlineStr">
        <is>
          <t>131</t>
        </is>
      </c>
      <c r="C854" s="11" t="inlineStr">
        <is>
          <t>HC/tribunal/other</t>
        </is>
      </c>
      <c r="D854" s="11" t="inlineStr">
        <is>
          <t>no</t>
        </is>
      </c>
      <c r="E854" s="11" t="inlineStr">
        <is>
          <t>no</t>
        </is>
      </c>
      <c r="F854" s="11" t="inlineStr"/>
      <c r="G854" s="11" t="inlineStr"/>
      <c r="H854" s="11" t="inlineStr"/>
      <c r="I854" s="11" t="inlineStr"/>
      <c r="J854" s="11" t="inlineStr">
        <is>
          <t>no</t>
        </is>
      </c>
      <c r="K854" s="11" t="inlineStr">
        <is>
          <t>no</t>
        </is>
      </c>
      <c r="L854" s="11" t="inlineStr"/>
    </row>
    <row r="855">
      <c r="A855" s="11" t="inlineStr">
        <is>
          <t>852</t>
        </is>
      </c>
      <c r="B855" s="11" t="inlineStr">
        <is>
          <t>131</t>
        </is>
      </c>
      <c r="C855" s="11" t="inlineStr">
        <is>
          <t>HC/tribunal/other</t>
        </is>
      </c>
      <c r="D855" s="11" t="inlineStr">
        <is>
          <t>no</t>
        </is>
      </c>
      <c r="E855" s="11" t="inlineStr">
        <is>
          <t>no</t>
        </is>
      </c>
      <c r="F855" s="11" t="inlineStr"/>
      <c r="G855" s="11" t="inlineStr"/>
      <c r="H855" s="11" t="inlineStr">
        <is>
          <t>c12050</t>
        </is>
      </c>
      <c r="I855" s="11" t="inlineStr">
        <is>
          <t>cite</t>
        </is>
      </c>
      <c r="J855" s="11" t="inlineStr">
        <is>
          <t>no</t>
        </is>
      </c>
      <c r="K855" s="11" t="inlineStr">
        <is>
          <t>no</t>
        </is>
      </c>
      <c r="L855" s="11" t="inlineStr"/>
    </row>
    <row r="856">
      <c r="A856" s="11" t="inlineStr">
        <is>
          <t>853</t>
        </is>
      </c>
      <c r="B856" s="11" t="inlineStr">
        <is>
          <t>131</t>
        </is>
      </c>
      <c r="C856" s="11" t="inlineStr">
        <is>
          <t>HC/tribunal/other</t>
        </is>
      </c>
      <c r="D856" s="11" t="inlineStr">
        <is>
          <t>no</t>
        </is>
      </c>
      <c r="E856" s="11" t="inlineStr">
        <is>
          <t>no</t>
        </is>
      </c>
      <c r="F856" s="11" t="inlineStr"/>
      <c r="G856" s="11" t="inlineStr"/>
      <c r="H856" s="11" t="inlineStr">
        <is>
          <t>c12236</t>
        </is>
      </c>
      <c r="I856" s="11" t="inlineStr">
        <is>
          <t>cite</t>
        </is>
      </c>
      <c r="J856" s="11" t="inlineStr">
        <is>
          <t>no</t>
        </is>
      </c>
      <c r="K856" s="11" t="inlineStr">
        <is>
          <t>no</t>
        </is>
      </c>
      <c r="L856" s="11" t="inlineStr"/>
    </row>
    <row r="857">
      <c r="A857" s="11" t="inlineStr">
        <is>
          <t>854</t>
        </is>
      </c>
      <c r="B857" s="11" t="inlineStr">
        <is>
          <t>131</t>
        </is>
      </c>
      <c r="C857" s="11" t="inlineStr">
        <is>
          <t>HC/tribunal/other</t>
        </is>
      </c>
      <c r="D857" s="11" t="inlineStr">
        <is>
          <t>no</t>
        </is>
      </c>
      <c r="E857" s="11" t="inlineStr">
        <is>
          <t>no</t>
        </is>
      </c>
      <c r="F857" s="11" t="inlineStr"/>
      <c r="G857" s="11" t="inlineStr"/>
      <c r="H857" s="11" t="inlineStr">
        <is>
          <t>c19516</t>
        </is>
      </c>
      <c r="I857" s="11" t="inlineStr">
        <is>
          <t>name</t>
        </is>
      </c>
      <c r="J857" s="11" t="inlineStr">
        <is>
          <t>no</t>
        </is>
      </c>
      <c r="K857" s="11" t="inlineStr">
        <is>
          <t>no</t>
        </is>
      </c>
      <c r="L857" s="11" t="inlineStr"/>
    </row>
    <row r="858">
      <c r="A858" s="11" t="inlineStr">
        <is>
          <t>855</t>
        </is>
      </c>
      <c r="B858" s="11" t="inlineStr">
        <is>
          <t>131</t>
        </is>
      </c>
      <c r="C858" s="11" t="inlineStr">
        <is>
          <t>HC/tribunal/other</t>
        </is>
      </c>
      <c r="D858" s="11" t="inlineStr">
        <is>
          <t>yes</t>
        </is>
      </c>
      <c r="E858" s="11" t="inlineStr">
        <is>
          <t>no</t>
        </is>
      </c>
      <c r="F858" s="11" t="inlineStr"/>
      <c r="G858" s="11" t="inlineStr"/>
      <c r="H858" s="11" t="inlineStr">
        <is>
          <t>c26661</t>
        </is>
      </c>
      <c r="I858" s="11" t="inlineStr">
        <is>
          <t>name</t>
        </is>
      </c>
      <c r="J858" s="11" t="inlineStr">
        <is>
          <t>no</t>
        </is>
      </c>
      <c r="K858" s="11" t="inlineStr">
        <is>
          <t>no</t>
        </is>
      </c>
      <c r="L858" s="11" t="inlineStr"/>
    </row>
    <row r="859">
      <c r="A859" s="11" t="inlineStr">
        <is>
          <t>856</t>
        </is>
      </c>
      <c r="B859" s="11" t="inlineStr">
        <is>
          <t>131</t>
        </is>
      </c>
      <c r="C859" s="11" t="inlineStr">
        <is>
          <t>HC/tribunal/other</t>
        </is>
      </c>
      <c r="D859" s="11" t="inlineStr">
        <is>
          <t>no</t>
        </is>
      </c>
      <c r="E859" s="11" t="inlineStr">
        <is>
          <t>no</t>
        </is>
      </c>
      <c r="F859" s="11" t="inlineStr"/>
      <c r="G859" s="11" t="inlineStr"/>
      <c r="H859" s="11" t="inlineStr"/>
      <c r="I859" s="11" t="inlineStr"/>
      <c r="J859" s="11" t="inlineStr">
        <is>
          <t>no</t>
        </is>
      </c>
      <c r="K859" s="11" t="inlineStr">
        <is>
          <t>no</t>
        </is>
      </c>
      <c r="L859" s="11" t="inlineStr"/>
    </row>
    <row r="860">
      <c r="A860" s="11" t="inlineStr">
        <is>
          <t>857</t>
        </is>
      </c>
      <c r="B860" s="11" t="inlineStr">
        <is>
          <t>131</t>
        </is>
      </c>
      <c r="C860" s="11" t="inlineStr">
        <is>
          <t>HC/tribunal/other</t>
        </is>
      </c>
      <c r="D860" s="11" t="inlineStr">
        <is>
          <t>yes</t>
        </is>
      </c>
      <c r="E860" s="11" t="inlineStr">
        <is>
          <t>no</t>
        </is>
      </c>
      <c r="F860" s="11" t="inlineStr"/>
      <c r="G860" s="11" t="inlineStr"/>
      <c r="H860" s="11" t="inlineStr">
        <is>
          <t>bS_1992_1_732_763</t>
        </is>
      </c>
      <c r="I860" s="11" t="inlineStr">
        <is>
          <t>name</t>
        </is>
      </c>
      <c r="J860" s="11" t="inlineStr">
        <is>
          <t>no</t>
        </is>
      </c>
      <c r="K860" s="11" t="inlineStr">
        <is>
          <t>no</t>
        </is>
      </c>
      <c r="L860" s="11" t="inlineStr"/>
    </row>
    <row r="861">
      <c r="A861" s="11" t="inlineStr">
        <is>
          <t>858</t>
        </is>
      </c>
      <c r="B861" s="11" t="inlineStr">
        <is>
          <t>132</t>
        </is>
      </c>
      <c r="C861" s="11" t="inlineStr">
        <is>
          <t>HC/tribunal/other</t>
        </is>
      </c>
      <c r="D861" s="11" t="inlineStr">
        <is>
          <t>no</t>
        </is>
      </c>
      <c r="E861" s="11" t="inlineStr">
        <is>
          <t>no</t>
        </is>
      </c>
      <c r="F861" s="11" t="inlineStr"/>
      <c r="G861" s="11" t="inlineStr"/>
      <c r="H861" s="11" t="inlineStr">
        <is>
          <t>c17946</t>
        </is>
      </c>
      <c r="I861" s="11" t="inlineStr">
        <is>
          <t>name</t>
        </is>
      </c>
      <c r="J861" s="11" t="inlineStr">
        <is>
          <t>no</t>
        </is>
      </c>
      <c r="K861" s="11" t="inlineStr">
        <is>
          <t>no</t>
        </is>
      </c>
      <c r="L861" s="11" t="inlineStr"/>
    </row>
    <row r="862">
      <c r="A862" s="11" t="inlineStr">
        <is>
          <t>859</t>
        </is>
      </c>
      <c r="B862" s="11" t="inlineStr">
        <is>
          <t>132</t>
        </is>
      </c>
      <c r="C862" s="11" t="inlineStr">
        <is>
          <t>HC/tribunal/other</t>
        </is>
      </c>
      <c r="D862" s="11" t="inlineStr">
        <is>
          <t>yes</t>
        </is>
      </c>
      <c r="E862" s="11" t="inlineStr">
        <is>
          <t>no</t>
        </is>
      </c>
      <c r="F862" s="11" t="inlineStr"/>
      <c r="G862" s="11" t="inlineStr"/>
      <c r="H862" s="11" t="inlineStr">
        <is>
          <t>c29786</t>
        </is>
      </c>
      <c r="I862" s="11" t="inlineStr">
        <is>
          <t>cite</t>
        </is>
      </c>
      <c r="J862" s="11" t="inlineStr">
        <is>
          <t>no</t>
        </is>
      </c>
      <c r="K862" s="11" t="inlineStr">
        <is>
          <t>no</t>
        </is>
      </c>
      <c r="L862" s="11" t="inlineStr"/>
    </row>
    <row r="863">
      <c r="A863" s="11" t="inlineStr">
        <is>
          <t>860</t>
        </is>
      </c>
      <c r="B863" s="11" t="inlineStr">
        <is>
          <t>132</t>
        </is>
      </c>
      <c r="C863" s="11" t="inlineStr">
        <is>
          <t>HC/tribunal/other</t>
        </is>
      </c>
      <c r="D863" s="11" t="inlineStr">
        <is>
          <t>no</t>
        </is>
      </c>
      <c r="E863" s="11" t="inlineStr">
        <is>
          <t>no</t>
        </is>
      </c>
      <c r="F863" s="11" t="inlineStr"/>
      <c r="G863" s="11" t="inlineStr"/>
      <c r="H863" s="11" t="inlineStr">
        <is>
          <t>c4837</t>
        </is>
      </c>
      <c r="I863" s="11" t="inlineStr">
        <is>
          <t>cite</t>
        </is>
      </c>
      <c r="J863" s="11" t="inlineStr">
        <is>
          <t>no</t>
        </is>
      </c>
      <c r="K863" s="11" t="inlineStr">
        <is>
          <t>no</t>
        </is>
      </c>
      <c r="L863" s="11" t="inlineStr"/>
    </row>
    <row r="864">
      <c r="A864" s="11" t="inlineStr">
        <is>
          <t>861</t>
        </is>
      </c>
      <c r="B864" s="11" t="inlineStr">
        <is>
          <t>132</t>
        </is>
      </c>
      <c r="C864" s="11" t="inlineStr">
        <is>
          <t>HC/tribunal/other</t>
        </is>
      </c>
      <c r="D864" s="11" t="inlineStr">
        <is>
          <t>yes</t>
        </is>
      </c>
      <c r="E864" s="11" t="inlineStr">
        <is>
          <t>no</t>
        </is>
      </c>
      <c r="F864" s="11" t="inlineStr"/>
      <c r="G864" s="11" t="inlineStr"/>
      <c r="H864" s="11" t="inlineStr">
        <is>
          <t>c1627</t>
        </is>
      </c>
      <c r="I864" s="11" t="inlineStr">
        <is>
          <t>cite</t>
        </is>
      </c>
      <c r="J864" s="11" t="inlineStr">
        <is>
          <t>no</t>
        </is>
      </c>
      <c r="K864" s="11" t="inlineStr">
        <is>
          <t>no</t>
        </is>
      </c>
      <c r="L864" s="11" t="inlineStr"/>
    </row>
    <row r="865">
      <c r="A865" s="11" t="inlineStr">
        <is>
          <t>862</t>
        </is>
      </c>
      <c r="B865" s="11" t="inlineStr">
        <is>
          <t>132</t>
        </is>
      </c>
      <c r="C865" s="11" t="inlineStr">
        <is>
          <t>HC/tribunal/other</t>
        </is>
      </c>
      <c r="D865" s="11" t="inlineStr">
        <is>
          <t>yes</t>
        </is>
      </c>
      <c r="E865" s="11" t="inlineStr">
        <is>
          <t>no</t>
        </is>
      </c>
      <c r="F865" s="11" t="inlineStr"/>
      <c r="G865" s="11" t="inlineStr"/>
      <c r="H865" s="11" t="inlineStr">
        <is>
          <t>c26514</t>
        </is>
      </c>
      <c r="I865" s="11" t="inlineStr">
        <is>
          <t>name</t>
        </is>
      </c>
      <c r="J865" s="11" t="inlineStr">
        <is>
          <t>no</t>
        </is>
      </c>
      <c r="K865" s="11" t="inlineStr">
        <is>
          <t>no</t>
        </is>
      </c>
      <c r="L865" s="11" t="inlineStr"/>
    </row>
    <row r="866">
      <c r="A866" s="11" t="inlineStr">
        <is>
          <t>863</t>
        </is>
      </c>
      <c r="B866" s="11" t="inlineStr">
        <is>
          <t>132</t>
        </is>
      </c>
      <c r="C866" s="11" t="inlineStr">
        <is>
          <t>HC/tribunal/other</t>
        </is>
      </c>
      <c r="D866" s="11" t="inlineStr">
        <is>
          <t>no</t>
        </is>
      </c>
      <c r="E866" s="11" t="inlineStr">
        <is>
          <t>no</t>
        </is>
      </c>
      <c r="F866" s="11" t="inlineStr"/>
      <c r="G866" s="11" t="inlineStr"/>
      <c r="H866" s="11" t="inlineStr">
        <is>
          <t>c12304</t>
        </is>
      </c>
      <c r="I866" s="11" t="inlineStr">
        <is>
          <t>name</t>
        </is>
      </c>
      <c r="J866" s="11" t="inlineStr">
        <is>
          <t>no</t>
        </is>
      </c>
      <c r="K866" s="11" t="inlineStr">
        <is>
          <t>no</t>
        </is>
      </c>
      <c r="L866" s="11" t="inlineStr"/>
    </row>
    <row r="867">
      <c r="A867" s="11" t="inlineStr">
        <is>
          <t>864</t>
        </is>
      </c>
      <c r="B867" s="11" t="inlineStr">
        <is>
          <t>133</t>
        </is>
      </c>
      <c r="C867" s="11" t="inlineStr">
        <is>
          <t>HC/tribunal/other</t>
        </is>
      </c>
      <c r="D867" s="11" t="inlineStr">
        <is>
          <t>yes</t>
        </is>
      </c>
      <c r="E867" s="11" t="inlineStr">
        <is>
          <t>no</t>
        </is>
      </c>
      <c r="F867" s="11" t="inlineStr"/>
      <c r="G867" s="11" t="inlineStr"/>
      <c r="H867" s="11" t="inlineStr">
        <is>
          <t>c33584</t>
        </is>
      </c>
      <c r="I867" s="11" t="inlineStr">
        <is>
          <t>name</t>
        </is>
      </c>
      <c r="J867" s="11" t="inlineStr">
        <is>
          <t>no</t>
        </is>
      </c>
      <c r="K867" s="11" t="inlineStr">
        <is>
          <t>no</t>
        </is>
      </c>
      <c r="L867" s="11" t="inlineStr"/>
    </row>
    <row r="868">
      <c r="A868" s="11" t="inlineStr">
        <is>
          <t>865</t>
        </is>
      </c>
      <c r="B868" s="11" t="inlineStr">
        <is>
          <t>133</t>
        </is>
      </c>
      <c r="C868" s="11" t="inlineStr">
        <is>
          <t>HC/tribunal/other</t>
        </is>
      </c>
      <c r="D868" s="11" t="inlineStr">
        <is>
          <t>no</t>
        </is>
      </c>
      <c r="E868" s="11" t="inlineStr">
        <is>
          <t>no</t>
        </is>
      </c>
      <c r="F868" s="11" t="inlineStr"/>
      <c r="G868" s="11" t="inlineStr"/>
      <c r="H868" s="11" t="inlineStr">
        <is>
          <t>c33482</t>
        </is>
      </c>
      <c r="I868" s="11" t="inlineStr">
        <is>
          <t>cite</t>
        </is>
      </c>
      <c r="J868" s="11" t="inlineStr">
        <is>
          <t>no</t>
        </is>
      </c>
      <c r="K868" s="11" t="inlineStr">
        <is>
          <t>no</t>
        </is>
      </c>
      <c r="L868" s="11" t="inlineStr"/>
    </row>
    <row r="869">
      <c r="A869" s="11" t="inlineStr">
        <is>
          <t>866</t>
        </is>
      </c>
      <c r="B869" s="11" t="inlineStr">
        <is>
          <t>133</t>
        </is>
      </c>
      <c r="C869" s="11" t="inlineStr">
        <is>
          <t>HC/tribunal/other</t>
        </is>
      </c>
      <c r="D869" s="11" t="inlineStr">
        <is>
          <t>no</t>
        </is>
      </c>
      <c r="E869" s="11" t="inlineStr">
        <is>
          <t>no</t>
        </is>
      </c>
      <c r="F869" s="11" t="inlineStr"/>
      <c r="G869" s="11" t="inlineStr"/>
      <c r="H869" s="11" t="inlineStr">
        <is>
          <t>c33857</t>
        </is>
      </c>
      <c r="I869" s="11" t="inlineStr">
        <is>
          <t>cite</t>
        </is>
      </c>
      <c r="J869" s="11" t="inlineStr">
        <is>
          <t>no</t>
        </is>
      </c>
      <c r="K869" s="11" t="inlineStr">
        <is>
          <t>no</t>
        </is>
      </c>
      <c r="L869" s="11" t="inlineStr"/>
    </row>
    <row r="870">
      <c r="A870" s="11" t="inlineStr">
        <is>
          <t>867</t>
        </is>
      </c>
      <c r="B870" s="11" t="inlineStr">
        <is>
          <t>133</t>
        </is>
      </c>
      <c r="C870" s="11" t="inlineStr">
        <is>
          <t>HC/tribunal/other</t>
        </is>
      </c>
      <c r="D870" s="11" t="inlineStr">
        <is>
          <t>no</t>
        </is>
      </c>
      <c r="E870" s="11" t="inlineStr">
        <is>
          <t>yes</t>
        </is>
      </c>
      <c r="F870" s="11" t="inlineStr"/>
      <c r="G870" s="11" t="inlineStr"/>
      <c r="H870" s="11" t="inlineStr"/>
      <c r="I870" s="11" t="inlineStr"/>
      <c r="J870" s="11" t="inlineStr">
        <is>
          <t>no</t>
        </is>
      </c>
      <c r="K870" s="11" t="inlineStr">
        <is>
          <t>no</t>
        </is>
      </c>
      <c r="L870" s="11" t="inlineStr"/>
    </row>
    <row r="871">
      <c r="A871" s="11" t="inlineStr">
        <is>
          <t>868</t>
        </is>
      </c>
      <c r="B871" s="11" t="inlineStr">
        <is>
          <t>133</t>
        </is>
      </c>
      <c r="C871" s="11" t="inlineStr">
        <is>
          <t>HC/tribunal/other</t>
        </is>
      </c>
      <c r="D871" s="11" t="inlineStr">
        <is>
          <t>no</t>
        </is>
      </c>
      <c r="E871" s="11" t="inlineStr">
        <is>
          <t>no</t>
        </is>
      </c>
      <c r="F871" s="11" t="inlineStr"/>
      <c r="G871" s="11" t="inlineStr"/>
      <c r="H871" s="11" t="inlineStr">
        <is>
          <t>c31474</t>
        </is>
      </c>
      <c r="I871" s="11" t="inlineStr">
        <is>
          <t>name</t>
        </is>
      </c>
      <c r="J871" s="11" t="inlineStr">
        <is>
          <t>no</t>
        </is>
      </c>
      <c r="K871" s="11" t="inlineStr">
        <is>
          <t>no</t>
        </is>
      </c>
      <c r="L871" s="11" t="inlineStr"/>
    </row>
    <row r="872">
      <c r="A872" s="11" t="inlineStr">
        <is>
          <t>869</t>
        </is>
      </c>
      <c r="B872" s="11" t="inlineStr">
        <is>
          <t>133</t>
        </is>
      </c>
      <c r="C872" s="11" t="inlineStr">
        <is>
          <t>HC/tribunal/other</t>
        </is>
      </c>
      <c r="D872" s="11" t="inlineStr">
        <is>
          <t>yes</t>
        </is>
      </c>
      <c r="E872" s="11" t="inlineStr">
        <is>
          <t>no</t>
        </is>
      </c>
      <c r="F872" s="11" t="inlineStr"/>
      <c r="G872" s="11" t="inlineStr"/>
      <c r="H872" s="11" t="inlineStr">
        <is>
          <t>c30369</t>
        </is>
      </c>
      <c r="I872" s="11" t="inlineStr">
        <is>
          <t>name</t>
        </is>
      </c>
      <c r="J872" s="11" t="inlineStr">
        <is>
          <t>no</t>
        </is>
      </c>
      <c r="K872" s="11" t="inlineStr">
        <is>
          <t>no</t>
        </is>
      </c>
      <c r="L872" s="11" t="inlineStr"/>
    </row>
    <row r="873">
      <c r="A873" s="11" t="inlineStr">
        <is>
          <t>870</t>
        </is>
      </c>
      <c r="B873" s="11" t="inlineStr">
        <is>
          <t>133</t>
        </is>
      </c>
      <c r="C873" s="11" t="inlineStr">
        <is>
          <t>HC/tribunal/other</t>
        </is>
      </c>
      <c r="D873" s="11" t="inlineStr">
        <is>
          <t>no</t>
        </is>
      </c>
      <c r="E873" s="11" t="inlineStr">
        <is>
          <t>no</t>
        </is>
      </c>
      <c r="F873" s="11" t="inlineStr"/>
      <c r="G873" s="11" t="inlineStr"/>
      <c r="H873" s="11" t="inlineStr">
        <is>
          <t>c28310</t>
        </is>
      </c>
      <c r="I873" s="11" t="inlineStr">
        <is>
          <t>name</t>
        </is>
      </c>
      <c r="J873" s="11" t="inlineStr">
        <is>
          <t>no</t>
        </is>
      </c>
      <c r="K873" s="11" t="inlineStr">
        <is>
          <t>no</t>
        </is>
      </c>
      <c r="L873" s="11" t="inlineStr"/>
    </row>
    <row r="874">
      <c r="A874" s="11" t="inlineStr">
        <is>
          <t>871</t>
        </is>
      </c>
      <c r="B874" s="11" t="inlineStr">
        <is>
          <t>134</t>
        </is>
      </c>
      <c r="C874" s="11" t="inlineStr">
        <is>
          <t>HC/tribunal/other</t>
        </is>
      </c>
      <c r="D874" s="11" t="inlineStr">
        <is>
          <t>no</t>
        </is>
      </c>
      <c r="E874" s="11" t="inlineStr">
        <is>
          <t>no</t>
        </is>
      </c>
      <c r="F874" s="11" t="inlineStr"/>
      <c r="G874" s="11" t="inlineStr"/>
      <c r="H874" s="11" t="inlineStr">
        <is>
          <t>c10346</t>
        </is>
      </c>
      <c r="I874" s="11" t="inlineStr">
        <is>
          <t>cite</t>
        </is>
      </c>
      <c r="J874" s="11" t="inlineStr">
        <is>
          <t>no</t>
        </is>
      </c>
      <c r="K874" s="11" t="inlineStr">
        <is>
          <t>no</t>
        </is>
      </c>
      <c r="L874" s="11" t="inlineStr"/>
    </row>
    <row r="875">
      <c r="A875" s="11" t="inlineStr">
        <is>
          <t>872</t>
        </is>
      </c>
      <c r="B875" s="11" t="inlineStr">
        <is>
          <t>134</t>
        </is>
      </c>
      <c r="C875" s="11" t="inlineStr">
        <is>
          <t>HC/tribunal/other</t>
        </is>
      </c>
      <c r="D875" s="11" t="inlineStr">
        <is>
          <t>no</t>
        </is>
      </c>
      <c r="E875" s="11" t="inlineStr">
        <is>
          <t>no</t>
        </is>
      </c>
      <c r="F875" s="11" t="inlineStr"/>
      <c r="G875" s="11" t="inlineStr"/>
      <c r="H875" s="11" t="inlineStr">
        <is>
          <t>c28208</t>
        </is>
      </c>
      <c r="I875" s="11" t="inlineStr">
        <is>
          <t>name</t>
        </is>
      </c>
      <c r="J875" s="11" t="inlineStr">
        <is>
          <t>no</t>
        </is>
      </c>
      <c r="K875" s="11" t="inlineStr">
        <is>
          <t>no</t>
        </is>
      </c>
      <c r="L875" s="11" t="inlineStr"/>
    </row>
    <row r="876">
      <c r="A876" s="11" t="inlineStr">
        <is>
          <t>873</t>
        </is>
      </c>
      <c r="B876" s="11" t="inlineStr">
        <is>
          <t>134</t>
        </is>
      </c>
      <c r="C876" s="11" t="inlineStr">
        <is>
          <t>HC/tribunal/other</t>
        </is>
      </c>
      <c r="D876" s="11" t="inlineStr">
        <is>
          <t>yes</t>
        </is>
      </c>
      <c r="E876" s="11" t="inlineStr">
        <is>
          <t>no</t>
        </is>
      </c>
      <c r="F876" s="11" t="inlineStr"/>
      <c r="G876" s="11" t="inlineStr"/>
      <c r="H876" s="11" t="inlineStr">
        <is>
          <t>c35901</t>
        </is>
      </c>
      <c r="I876" s="11" t="inlineStr">
        <is>
          <t>cite</t>
        </is>
      </c>
      <c r="J876" s="11" t="inlineStr">
        <is>
          <t>no</t>
        </is>
      </c>
      <c r="K876" s="11" t="inlineStr">
        <is>
          <t>no</t>
        </is>
      </c>
      <c r="L876" s="11" t="inlineStr"/>
    </row>
    <row r="877">
      <c r="A877" s="11" t="inlineStr">
        <is>
          <t>874</t>
        </is>
      </c>
      <c r="B877" s="11" t="inlineStr">
        <is>
          <t>134</t>
        </is>
      </c>
      <c r="C877" s="11" t="inlineStr">
        <is>
          <t>HC/tribunal/other</t>
        </is>
      </c>
      <c r="D877" s="11" t="inlineStr">
        <is>
          <t>yes</t>
        </is>
      </c>
      <c r="E877" s="11" t="inlineStr">
        <is>
          <t>no</t>
        </is>
      </c>
      <c r="F877" s="11" t="inlineStr"/>
      <c r="G877" s="11" t="inlineStr"/>
      <c r="H877" s="11" t="inlineStr">
        <is>
          <t>c38936</t>
        </is>
      </c>
      <c r="I877" s="11" t="inlineStr">
        <is>
          <t>cite</t>
        </is>
      </c>
      <c r="J877" s="11" t="inlineStr">
        <is>
          <t>no</t>
        </is>
      </c>
      <c r="K877" s="11" t="inlineStr">
        <is>
          <t>no</t>
        </is>
      </c>
      <c r="L877" s="11" t="inlineStr"/>
    </row>
    <row r="878">
      <c r="A878" s="11" t="inlineStr">
        <is>
          <t>875</t>
        </is>
      </c>
      <c r="B878" s="11" t="inlineStr">
        <is>
          <t>134</t>
        </is>
      </c>
      <c r="C878" s="11" t="inlineStr">
        <is>
          <t>HC/tribunal/other</t>
        </is>
      </c>
      <c r="D878" s="11" t="inlineStr">
        <is>
          <t>no</t>
        </is>
      </c>
      <c r="E878" s="11" t="inlineStr">
        <is>
          <t>no</t>
        </is>
      </c>
      <c r="F878" s="11" t="inlineStr"/>
      <c r="G878" s="11" t="inlineStr"/>
      <c r="H878" s="11" t="inlineStr">
        <is>
          <t>c12567</t>
        </is>
      </c>
      <c r="I878" s="11" t="inlineStr">
        <is>
          <t>cite</t>
        </is>
      </c>
      <c r="J878" s="11" t="inlineStr">
        <is>
          <t>no</t>
        </is>
      </c>
      <c r="K878" s="11" t="inlineStr">
        <is>
          <t>no</t>
        </is>
      </c>
      <c r="L878" s="11" t="inlineStr"/>
    </row>
    <row r="879">
      <c r="A879" s="11" t="inlineStr">
        <is>
          <t>876</t>
        </is>
      </c>
      <c r="B879" s="11" t="inlineStr">
        <is>
          <t>134</t>
        </is>
      </c>
      <c r="C879" s="11" t="inlineStr">
        <is>
          <t>HC/tribunal/other</t>
        </is>
      </c>
      <c r="D879" s="11" t="inlineStr">
        <is>
          <t>yes</t>
        </is>
      </c>
      <c r="E879" s="11" t="inlineStr">
        <is>
          <t>no</t>
        </is>
      </c>
      <c r="F879" s="11" t="inlineStr"/>
      <c r="G879" s="11" t="inlineStr"/>
      <c r="H879" s="11" t="inlineStr">
        <is>
          <t>c20696</t>
        </is>
      </c>
      <c r="I879" s="11" t="inlineStr">
        <is>
          <t>cite</t>
        </is>
      </c>
      <c r="J879" s="11" t="inlineStr">
        <is>
          <t>no</t>
        </is>
      </c>
      <c r="K879" s="11" t="inlineStr">
        <is>
          <t>no</t>
        </is>
      </c>
      <c r="L879" s="11" t="inlineStr"/>
    </row>
    <row r="880">
      <c r="A880" s="11" t="inlineStr">
        <is>
          <t>877</t>
        </is>
      </c>
      <c r="B880" s="11" t="inlineStr">
        <is>
          <t>134</t>
        </is>
      </c>
      <c r="C880" s="11" t="inlineStr">
        <is>
          <t>HC/tribunal/other</t>
        </is>
      </c>
      <c r="D880" s="11" t="inlineStr">
        <is>
          <t>yes</t>
        </is>
      </c>
      <c r="E880" s="11" t="inlineStr">
        <is>
          <t>no</t>
        </is>
      </c>
      <c r="F880" s="11" t="inlineStr"/>
      <c r="G880" s="11" t="inlineStr"/>
      <c r="H880" s="11" t="inlineStr">
        <is>
          <t>c26787</t>
        </is>
      </c>
      <c r="I880" s="11" t="inlineStr">
        <is>
          <t>name</t>
        </is>
      </c>
      <c r="J880" s="11" t="inlineStr">
        <is>
          <t>no</t>
        </is>
      </c>
      <c r="K880" s="11" t="inlineStr">
        <is>
          <t>no</t>
        </is>
      </c>
      <c r="L880" s="11" t="inlineStr"/>
    </row>
    <row r="881">
      <c r="A881" s="11" t="inlineStr">
        <is>
          <t>878</t>
        </is>
      </c>
      <c r="B881" s="11" t="inlineStr">
        <is>
          <t>135</t>
        </is>
      </c>
      <c r="C881" s="11" t="inlineStr">
        <is>
          <t>HC/tribunal/other</t>
        </is>
      </c>
      <c r="D881" s="11" t="inlineStr">
        <is>
          <t>yes</t>
        </is>
      </c>
      <c r="E881" s="11" t="inlineStr">
        <is>
          <t>no</t>
        </is>
      </c>
      <c r="F881" s="11" t="inlineStr"/>
      <c r="G881" s="11" t="inlineStr"/>
      <c r="H881" s="11" t="inlineStr">
        <is>
          <t>c29695</t>
        </is>
      </c>
      <c r="I881" s="11" t="inlineStr">
        <is>
          <t>cite</t>
        </is>
      </c>
      <c r="J881" s="11" t="inlineStr">
        <is>
          <t>no</t>
        </is>
      </c>
      <c r="K881" s="11" t="inlineStr">
        <is>
          <t>no</t>
        </is>
      </c>
      <c r="L881" s="11" t="inlineStr"/>
    </row>
    <row r="882">
      <c r="A882" s="11" t="inlineStr">
        <is>
          <t>879</t>
        </is>
      </c>
      <c r="B882" s="11" t="inlineStr">
        <is>
          <t>135</t>
        </is>
      </c>
      <c r="C882" s="11" t="inlineStr">
        <is>
          <t>HC/tribunal/other</t>
        </is>
      </c>
      <c r="D882" s="11" t="inlineStr">
        <is>
          <t>yes</t>
        </is>
      </c>
      <c r="E882" s="11" t="inlineStr">
        <is>
          <t>no</t>
        </is>
      </c>
      <c r="F882" s="11" t="inlineStr"/>
      <c r="G882" s="11" t="inlineStr"/>
      <c r="H882" s="11" t="inlineStr">
        <is>
          <t>c5253</t>
        </is>
      </c>
      <c r="I882" s="11" t="inlineStr">
        <is>
          <t>cite</t>
        </is>
      </c>
      <c r="J882" s="11" t="inlineStr">
        <is>
          <t>no</t>
        </is>
      </c>
      <c r="K882" s="11" t="inlineStr">
        <is>
          <t>no</t>
        </is>
      </c>
      <c r="L882" s="11" t="inlineStr"/>
    </row>
    <row r="883">
      <c r="A883" s="11" t="inlineStr">
        <is>
          <t>880</t>
        </is>
      </c>
      <c r="B883" s="11" t="inlineStr">
        <is>
          <t>135</t>
        </is>
      </c>
      <c r="C883" s="11" t="inlineStr">
        <is>
          <t>HC/tribunal/other</t>
        </is>
      </c>
      <c r="D883" s="11" t="inlineStr">
        <is>
          <t>no</t>
        </is>
      </c>
      <c r="E883" s="11" t="inlineStr">
        <is>
          <t>no</t>
        </is>
      </c>
      <c r="F883" s="11" t="inlineStr"/>
      <c r="G883" s="11" t="inlineStr"/>
      <c r="H883" s="11" t="inlineStr">
        <is>
          <t>c26562</t>
        </is>
      </c>
      <c r="I883" s="11" t="inlineStr">
        <is>
          <t>name</t>
        </is>
      </c>
      <c r="J883" s="11" t="inlineStr">
        <is>
          <t>no</t>
        </is>
      </c>
      <c r="K883" s="11" t="inlineStr">
        <is>
          <t>no</t>
        </is>
      </c>
      <c r="L883" s="11" t="inlineStr"/>
    </row>
    <row r="884">
      <c r="A884" s="11" t="inlineStr">
        <is>
          <t>881</t>
        </is>
      </c>
      <c r="B884" s="11" t="inlineStr">
        <is>
          <t>135</t>
        </is>
      </c>
      <c r="C884" s="11" t="inlineStr">
        <is>
          <t>HC/tribunal/other</t>
        </is>
      </c>
      <c r="D884" s="11" t="inlineStr">
        <is>
          <t>yes</t>
        </is>
      </c>
      <c r="E884" s="11" t="inlineStr">
        <is>
          <t>no</t>
        </is>
      </c>
      <c r="F884" s="11" t="inlineStr"/>
      <c r="G884" s="11" t="inlineStr"/>
      <c r="H884" s="11" t="inlineStr"/>
      <c r="I884" s="11" t="inlineStr"/>
      <c r="J884" s="11" t="inlineStr">
        <is>
          <t>no</t>
        </is>
      </c>
      <c r="K884" s="11" t="inlineStr">
        <is>
          <t>no</t>
        </is>
      </c>
      <c r="L884" s="11" t="inlineStr"/>
    </row>
    <row r="885">
      <c r="A885" s="11" t="inlineStr">
        <is>
          <t>882</t>
        </is>
      </c>
      <c r="B885" s="11" t="inlineStr">
        <is>
          <t>135</t>
        </is>
      </c>
      <c r="C885" s="11" t="inlineStr">
        <is>
          <t>HC/tribunal/other</t>
        </is>
      </c>
      <c r="D885" s="11" t="inlineStr">
        <is>
          <t>no</t>
        </is>
      </c>
      <c r="E885" s="11" t="inlineStr">
        <is>
          <t>no</t>
        </is>
      </c>
      <c r="F885" s="11" t="inlineStr"/>
      <c r="G885" s="11" t="inlineStr"/>
      <c r="H885" s="11" t="inlineStr">
        <is>
          <t>bS_1998_2_18_23</t>
        </is>
      </c>
      <c r="I885" s="11" t="inlineStr">
        <is>
          <t>name</t>
        </is>
      </c>
      <c r="J885" s="11" t="inlineStr">
        <is>
          <t>no</t>
        </is>
      </c>
      <c r="K885" s="11" t="inlineStr">
        <is>
          <t>no</t>
        </is>
      </c>
      <c r="L885" s="11" t="inlineStr"/>
    </row>
    <row r="886">
      <c r="A886" s="11" t="inlineStr">
        <is>
          <t>883</t>
        </is>
      </c>
      <c r="B886" s="11" t="inlineStr">
        <is>
          <t>135</t>
        </is>
      </c>
      <c r="C886" s="11" t="inlineStr">
        <is>
          <t>HC/tribunal/other</t>
        </is>
      </c>
      <c r="D886" s="11" t="inlineStr">
        <is>
          <t>yes</t>
        </is>
      </c>
      <c r="E886" s="11" t="inlineStr">
        <is>
          <t>yes</t>
        </is>
      </c>
      <c r="F886" s="11" t="inlineStr"/>
      <c r="G886" s="11" t="inlineStr"/>
      <c r="H886" s="11" t="inlineStr">
        <is>
          <t>c39777</t>
        </is>
      </c>
      <c r="I886" s="11" t="inlineStr">
        <is>
          <t>name</t>
        </is>
      </c>
      <c r="J886" s="11" t="inlineStr">
        <is>
          <t>no</t>
        </is>
      </c>
      <c r="K886" s="11" t="inlineStr">
        <is>
          <t>no</t>
        </is>
      </c>
      <c r="L886" s="11" t="inlineStr"/>
    </row>
    <row r="887">
      <c r="A887" s="11" t="inlineStr">
        <is>
          <t>884</t>
        </is>
      </c>
      <c r="B887" s="11" t="inlineStr">
        <is>
          <t>135</t>
        </is>
      </c>
      <c r="C887" s="11" t="inlineStr">
        <is>
          <t>HC/tribunal/other</t>
        </is>
      </c>
      <c r="D887" s="11" t="inlineStr">
        <is>
          <t>no</t>
        </is>
      </c>
      <c r="E887" s="11" t="inlineStr">
        <is>
          <t>no</t>
        </is>
      </c>
      <c r="F887" s="11" t="inlineStr"/>
      <c r="G887" s="11" t="inlineStr"/>
      <c r="H887" s="11" t="inlineStr">
        <is>
          <t>c38799</t>
        </is>
      </c>
      <c r="I887" s="11" t="inlineStr">
        <is>
          <t>name</t>
        </is>
      </c>
      <c r="J887" s="11" t="inlineStr">
        <is>
          <t>no</t>
        </is>
      </c>
      <c r="K887" s="11" t="inlineStr">
        <is>
          <t>no</t>
        </is>
      </c>
      <c r="L887" s="11" t="inlineStr"/>
    </row>
    <row r="888">
      <c r="A888" s="11" t="inlineStr">
        <is>
          <t>885</t>
        </is>
      </c>
      <c r="B888" s="11" t="inlineStr">
        <is>
          <t>136</t>
        </is>
      </c>
      <c r="C888" s="11" t="inlineStr">
        <is>
          <t>HC/tribunal/other</t>
        </is>
      </c>
      <c r="D888" s="11" t="inlineStr">
        <is>
          <t>no</t>
        </is>
      </c>
      <c r="E888" s="11" t="inlineStr">
        <is>
          <t>yes</t>
        </is>
      </c>
      <c r="F888" s="11" t="inlineStr"/>
      <c r="G888" s="11" t="inlineStr"/>
      <c r="H888" s="11" t="inlineStr">
        <is>
          <t>c29259</t>
        </is>
      </c>
      <c r="I888" s="11" t="inlineStr">
        <is>
          <t>cite</t>
        </is>
      </c>
      <c r="J888" s="11" t="inlineStr">
        <is>
          <t>no</t>
        </is>
      </c>
      <c r="K888" s="11" t="inlineStr">
        <is>
          <t>no</t>
        </is>
      </c>
      <c r="L888" s="11" t="inlineStr"/>
    </row>
    <row r="889">
      <c r="A889" s="11" t="inlineStr">
        <is>
          <t>886</t>
        </is>
      </c>
      <c r="B889" s="11" t="inlineStr">
        <is>
          <t>136</t>
        </is>
      </c>
      <c r="C889" s="11" t="inlineStr">
        <is>
          <t>HC/tribunal/other</t>
        </is>
      </c>
      <c r="D889" s="11" t="inlineStr">
        <is>
          <t>no</t>
        </is>
      </c>
      <c r="E889" s="11" t="inlineStr">
        <is>
          <t>no</t>
        </is>
      </c>
      <c r="F889" s="11" t="inlineStr"/>
      <c r="G889" s="11" t="inlineStr"/>
      <c r="H889" s="11" t="inlineStr">
        <is>
          <t>c7276</t>
        </is>
      </c>
      <c r="I889" s="11" t="inlineStr">
        <is>
          <t>cite</t>
        </is>
      </c>
      <c r="J889" s="11" t="inlineStr">
        <is>
          <t>no</t>
        </is>
      </c>
      <c r="K889" s="11" t="inlineStr">
        <is>
          <t>no</t>
        </is>
      </c>
      <c r="L889" s="11" t="inlineStr"/>
    </row>
    <row r="890">
      <c r="A890" s="11" t="inlineStr">
        <is>
          <t>887</t>
        </is>
      </c>
      <c r="B890" s="11" t="inlineStr">
        <is>
          <t>136</t>
        </is>
      </c>
      <c r="C890" s="11" t="inlineStr">
        <is>
          <t>HC/tribunal/other</t>
        </is>
      </c>
      <c r="D890" s="11" t="inlineStr">
        <is>
          <t>yes</t>
        </is>
      </c>
      <c r="E890" s="11" t="inlineStr">
        <is>
          <t>no</t>
        </is>
      </c>
      <c r="F890" s="11" t="inlineStr"/>
      <c r="G890" s="11" t="inlineStr"/>
      <c r="H890" s="11" t="inlineStr">
        <is>
          <t>c27127</t>
        </is>
      </c>
      <c r="I890" s="11" t="inlineStr">
        <is>
          <t>name</t>
        </is>
      </c>
      <c r="J890" s="11" t="inlineStr">
        <is>
          <t>no</t>
        </is>
      </c>
      <c r="K890" s="11" t="inlineStr">
        <is>
          <t>no</t>
        </is>
      </c>
      <c r="L890" s="11" t="inlineStr"/>
    </row>
    <row r="891">
      <c r="A891" s="11" t="inlineStr">
        <is>
          <t>888</t>
        </is>
      </c>
      <c r="B891" s="11" t="inlineStr">
        <is>
          <t>136</t>
        </is>
      </c>
      <c r="C891" s="11" t="inlineStr">
        <is>
          <t>HC/tribunal/other</t>
        </is>
      </c>
      <c r="D891" s="11" t="inlineStr">
        <is>
          <t>no</t>
        </is>
      </c>
      <c r="E891" s="11" t="inlineStr">
        <is>
          <t>yes</t>
        </is>
      </c>
      <c r="F891" s="11" t="inlineStr"/>
      <c r="G891" s="11" t="inlineStr"/>
      <c r="H891" s="11" t="inlineStr">
        <is>
          <t>c5403</t>
        </is>
      </c>
      <c r="I891" s="11" t="inlineStr">
        <is>
          <t>cite</t>
        </is>
      </c>
      <c r="J891" s="11" t="inlineStr">
        <is>
          <t>no</t>
        </is>
      </c>
      <c r="K891" s="11" t="inlineStr">
        <is>
          <t>no</t>
        </is>
      </c>
      <c r="L891" s="11" t="inlineStr"/>
    </row>
    <row r="892">
      <c r="A892" s="11" t="inlineStr">
        <is>
          <t>889</t>
        </is>
      </c>
      <c r="B892" s="11" t="inlineStr">
        <is>
          <t>136</t>
        </is>
      </c>
      <c r="C892" s="11" t="inlineStr">
        <is>
          <t>HC/tribunal/other</t>
        </is>
      </c>
      <c r="D892" s="11" t="inlineStr">
        <is>
          <t>yes</t>
        </is>
      </c>
      <c r="E892" s="11" t="inlineStr">
        <is>
          <t>no</t>
        </is>
      </c>
      <c r="F892" s="11" t="inlineStr"/>
      <c r="G892" s="11" t="inlineStr"/>
      <c r="H892" s="11" t="inlineStr">
        <is>
          <t>c9003</t>
        </is>
      </c>
      <c r="I892" s="11" t="inlineStr">
        <is>
          <t>cite</t>
        </is>
      </c>
      <c r="J892" s="11" t="inlineStr">
        <is>
          <t>no</t>
        </is>
      </c>
      <c r="K892" s="11" t="inlineStr">
        <is>
          <t>no</t>
        </is>
      </c>
      <c r="L892" s="11" t="inlineStr"/>
    </row>
    <row r="893">
      <c r="A893" s="11" t="inlineStr">
        <is>
          <t>890</t>
        </is>
      </c>
      <c r="B893" s="11" t="inlineStr">
        <is>
          <t>136</t>
        </is>
      </c>
      <c r="C893" s="11" t="inlineStr">
        <is>
          <t>HC/tribunal/other</t>
        </is>
      </c>
      <c r="D893" s="11" t="inlineStr">
        <is>
          <t>no</t>
        </is>
      </c>
      <c r="E893" s="11" t="inlineStr">
        <is>
          <t>no</t>
        </is>
      </c>
      <c r="F893" s="11" t="inlineStr"/>
      <c r="G893" s="11" t="inlineStr"/>
      <c r="H893" s="11" t="inlineStr">
        <is>
          <t>c7684</t>
        </is>
      </c>
      <c r="I893" s="11" t="inlineStr">
        <is>
          <t>cite</t>
        </is>
      </c>
      <c r="J893" s="11" t="inlineStr">
        <is>
          <t>no</t>
        </is>
      </c>
      <c r="K893" s="11" t="inlineStr">
        <is>
          <t>no</t>
        </is>
      </c>
      <c r="L893" s="11" t="inlineStr"/>
    </row>
    <row r="894">
      <c r="A894" s="11" t="inlineStr">
        <is>
          <t>891</t>
        </is>
      </c>
      <c r="B894" s="11" t="inlineStr">
        <is>
          <t>137</t>
        </is>
      </c>
      <c r="C894" s="11" t="inlineStr">
        <is>
          <t>HC/tribunal/other</t>
        </is>
      </c>
      <c r="D894" s="11" t="inlineStr">
        <is>
          <t>no</t>
        </is>
      </c>
      <c r="E894" s="11" t="inlineStr">
        <is>
          <t>no</t>
        </is>
      </c>
      <c r="F894" s="11" t="inlineStr"/>
      <c r="G894" s="11" t="inlineStr"/>
      <c r="H894" s="11" t="inlineStr"/>
      <c r="I894" s="11" t="inlineStr"/>
      <c r="J894" s="11" t="inlineStr">
        <is>
          <t>no</t>
        </is>
      </c>
      <c r="K894" s="11" t="inlineStr">
        <is>
          <t>no</t>
        </is>
      </c>
      <c r="L894" s="11" t="inlineStr"/>
    </row>
    <row r="895">
      <c r="A895" s="11" t="inlineStr">
        <is>
          <t>892</t>
        </is>
      </c>
      <c r="B895" s="11" t="inlineStr">
        <is>
          <t>137</t>
        </is>
      </c>
      <c r="C895" s="11" t="inlineStr">
        <is>
          <t>HC/tribunal/other</t>
        </is>
      </c>
      <c r="D895" s="11" t="inlineStr">
        <is>
          <t>yes</t>
        </is>
      </c>
      <c r="E895" s="11" t="inlineStr">
        <is>
          <t>no</t>
        </is>
      </c>
      <c r="F895" s="11" t="inlineStr"/>
      <c r="G895" s="11" t="inlineStr"/>
      <c r="H895" s="11" t="inlineStr"/>
      <c r="I895" s="11" t="inlineStr"/>
      <c r="J895" s="11" t="inlineStr">
        <is>
          <t>no</t>
        </is>
      </c>
      <c r="K895" s="11" t="inlineStr">
        <is>
          <t>no</t>
        </is>
      </c>
      <c r="L895" s="11" t="inlineStr"/>
    </row>
    <row r="896">
      <c r="A896" s="11" t="inlineStr">
        <is>
          <t>893</t>
        </is>
      </c>
      <c r="B896" s="11" t="inlineStr">
        <is>
          <t>137</t>
        </is>
      </c>
      <c r="C896" s="11" t="inlineStr">
        <is>
          <t>HC/tribunal/other</t>
        </is>
      </c>
      <c r="D896" s="11" t="inlineStr">
        <is>
          <t>yes</t>
        </is>
      </c>
      <c r="E896" s="11" t="inlineStr">
        <is>
          <t>no</t>
        </is>
      </c>
      <c r="F896" s="11" t="inlineStr"/>
      <c r="G896" s="11" t="inlineStr"/>
      <c r="H896" s="11" t="inlineStr">
        <is>
          <t>c8810</t>
        </is>
      </c>
      <c r="I896" s="11" t="inlineStr">
        <is>
          <t>cite</t>
        </is>
      </c>
      <c r="J896" s="11" t="inlineStr">
        <is>
          <t>no</t>
        </is>
      </c>
      <c r="K896" s="11" t="inlineStr">
        <is>
          <t>no</t>
        </is>
      </c>
      <c r="L896" s="11" t="inlineStr"/>
    </row>
    <row r="897">
      <c r="A897" s="11" t="inlineStr">
        <is>
          <t>894</t>
        </is>
      </c>
      <c r="B897" s="11" t="inlineStr">
        <is>
          <t>137</t>
        </is>
      </c>
      <c r="C897" s="11" t="inlineStr">
        <is>
          <t>HC/tribunal/other</t>
        </is>
      </c>
      <c r="D897" s="11" t="inlineStr">
        <is>
          <t>no</t>
        </is>
      </c>
      <c r="E897" s="11" t="inlineStr">
        <is>
          <t>no</t>
        </is>
      </c>
      <c r="F897" s="11" t="inlineStr"/>
      <c r="G897" s="11" t="inlineStr"/>
      <c r="H897" s="11" t="inlineStr">
        <is>
          <t>c8341</t>
        </is>
      </c>
      <c r="I897" s="11" t="inlineStr">
        <is>
          <t>cite</t>
        </is>
      </c>
      <c r="J897" s="11" t="inlineStr">
        <is>
          <t>no</t>
        </is>
      </c>
      <c r="K897" s="11" t="inlineStr">
        <is>
          <t>no</t>
        </is>
      </c>
      <c r="L897" s="11" t="inlineStr"/>
    </row>
    <row r="898">
      <c r="A898" s="11" t="inlineStr">
        <is>
          <t>895</t>
        </is>
      </c>
      <c r="B898" s="11" t="inlineStr">
        <is>
          <t>137</t>
        </is>
      </c>
      <c r="C898" s="11" t="inlineStr">
        <is>
          <t>HC/tribunal/other</t>
        </is>
      </c>
      <c r="D898" s="11" t="inlineStr">
        <is>
          <t>no</t>
        </is>
      </c>
      <c r="E898" s="11" t="inlineStr">
        <is>
          <t>no</t>
        </is>
      </c>
      <c r="F898" s="11" t="inlineStr"/>
      <c r="G898" s="11" t="inlineStr"/>
      <c r="H898" s="11" t="inlineStr">
        <is>
          <t>c16079</t>
        </is>
      </c>
      <c r="I898" s="11" t="inlineStr">
        <is>
          <t>cite</t>
        </is>
      </c>
      <c r="J898" s="11" t="inlineStr">
        <is>
          <t>no</t>
        </is>
      </c>
      <c r="K898" s="11" t="inlineStr">
        <is>
          <t>no</t>
        </is>
      </c>
      <c r="L898" s="11" t="inlineStr"/>
    </row>
    <row r="899">
      <c r="A899" s="11" t="inlineStr">
        <is>
          <t>896</t>
        </is>
      </c>
      <c r="B899" s="11" t="inlineStr">
        <is>
          <t>137</t>
        </is>
      </c>
      <c r="C899" s="11" t="inlineStr">
        <is>
          <t>HC/tribunal/other</t>
        </is>
      </c>
      <c r="D899" s="11" t="inlineStr">
        <is>
          <t>no</t>
        </is>
      </c>
      <c r="E899" s="11" t="inlineStr">
        <is>
          <t>no</t>
        </is>
      </c>
      <c r="F899" s="11" t="inlineStr"/>
      <c r="G899" s="11" t="inlineStr"/>
      <c r="H899" s="11" t="inlineStr">
        <is>
          <t>c9356</t>
        </is>
      </c>
      <c r="I899" s="11" t="inlineStr">
        <is>
          <t>cite</t>
        </is>
      </c>
      <c r="J899" s="11" t="inlineStr">
        <is>
          <t>no</t>
        </is>
      </c>
      <c r="K899" s="11" t="inlineStr">
        <is>
          <t>no</t>
        </is>
      </c>
      <c r="L899" s="11" t="inlineStr"/>
    </row>
    <row r="900">
      <c r="A900" s="11" t="inlineStr">
        <is>
          <t>897</t>
        </is>
      </c>
      <c r="B900" s="11" t="inlineStr">
        <is>
          <t>137</t>
        </is>
      </c>
      <c r="C900" s="11" t="inlineStr">
        <is>
          <t>HC/tribunal/other</t>
        </is>
      </c>
      <c r="D900" s="11" t="inlineStr">
        <is>
          <t>no</t>
        </is>
      </c>
      <c r="E900" s="11" t="inlineStr">
        <is>
          <t>yes</t>
        </is>
      </c>
      <c r="F900" s="11" t="inlineStr"/>
      <c r="G900" s="11" t="inlineStr"/>
      <c r="H900" s="11" t="inlineStr">
        <is>
          <t>c15367</t>
        </is>
      </c>
      <c r="I900" s="11" t="inlineStr">
        <is>
          <t>cite</t>
        </is>
      </c>
      <c r="J900" s="11" t="inlineStr">
        <is>
          <t>no</t>
        </is>
      </c>
      <c r="K900" s="11" t="inlineStr">
        <is>
          <t>no</t>
        </is>
      </c>
      <c r="L900" s="11" t="inlineStr"/>
    </row>
    <row r="901">
      <c r="A901" s="11" t="inlineStr">
        <is>
          <t>898</t>
        </is>
      </c>
      <c r="B901" s="11" t="inlineStr">
        <is>
          <t>138</t>
        </is>
      </c>
      <c r="C901" s="11" t="inlineStr">
        <is>
          <t>HC/tribunal/other</t>
        </is>
      </c>
      <c r="D901" s="11" t="inlineStr">
        <is>
          <t>no</t>
        </is>
      </c>
      <c r="E901" s="11" t="inlineStr">
        <is>
          <t>no</t>
        </is>
      </c>
      <c r="F901" s="11" t="inlineStr"/>
      <c r="G901" s="11" t="inlineStr"/>
      <c r="H901" s="11" t="inlineStr">
        <is>
          <t>bS_1991_3_230_238</t>
        </is>
      </c>
      <c r="I901" s="11" t="inlineStr">
        <is>
          <t>name</t>
        </is>
      </c>
      <c r="J901" s="11" t="inlineStr">
        <is>
          <t>no</t>
        </is>
      </c>
      <c r="K901" s="11" t="inlineStr">
        <is>
          <t>no</t>
        </is>
      </c>
      <c r="L901" s="11" t="inlineStr"/>
    </row>
    <row r="902">
      <c r="A902" s="11" t="inlineStr">
        <is>
          <t>899</t>
        </is>
      </c>
      <c r="B902" s="11" t="inlineStr">
        <is>
          <t>138</t>
        </is>
      </c>
      <c r="C902" s="11" t="inlineStr">
        <is>
          <t>HC/tribunal/other</t>
        </is>
      </c>
      <c r="D902" s="11" t="inlineStr">
        <is>
          <t>no</t>
        </is>
      </c>
      <c r="E902" s="11" t="inlineStr">
        <is>
          <t>no</t>
        </is>
      </c>
      <c r="F902" s="11" t="inlineStr"/>
      <c r="G902" s="11" t="inlineStr"/>
      <c r="H902" s="11" t="inlineStr">
        <is>
          <t>c2463</t>
        </is>
      </c>
      <c r="I902" s="11" t="inlineStr">
        <is>
          <t>cite</t>
        </is>
      </c>
      <c r="J902" s="11" t="inlineStr">
        <is>
          <t>no</t>
        </is>
      </c>
      <c r="K902" s="11" t="inlineStr">
        <is>
          <t>no</t>
        </is>
      </c>
      <c r="L902" s="11" t="inlineStr"/>
    </row>
    <row r="903">
      <c r="A903" s="11" t="inlineStr">
        <is>
          <t>900</t>
        </is>
      </c>
      <c r="B903" s="11" t="inlineStr">
        <is>
          <t>138</t>
        </is>
      </c>
      <c r="C903" s="11" t="inlineStr">
        <is>
          <t>HC/tribunal/other</t>
        </is>
      </c>
      <c r="D903" s="11" t="inlineStr">
        <is>
          <t>no</t>
        </is>
      </c>
      <c r="E903" s="11" t="inlineStr">
        <is>
          <t>no</t>
        </is>
      </c>
      <c r="F903" s="11" t="inlineStr"/>
      <c r="G903" s="11" t="inlineStr"/>
      <c r="H903" s="11" t="inlineStr">
        <is>
          <t>c12750</t>
        </is>
      </c>
      <c r="I903" s="11" t="inlineStr">
        <is>
          <t>cite</t>
        </is>
      </c>
      <c r="J903" s="11" t="inlineStr">
        <is>
          <t>no</t>
        </is>
      </c>
      <c r="K903" s="11" t="inlineStr">
        <is>
          <t>no</t>
        </is>
      </c>
      <c r="L903" s="11" t="inlineStr"/>
    </row>
    <row r="904">
      <c r="A904" s="11" t="inlineStr">
        <is>
          <t>901</t>
        </is>
      </c>
      <c r="B904" s="11" t="inlineStr">
        <is>
          <t>138</t>
        </is>
      </c>
      <c r="C904" s="11" t="inlineStr">
        <is>
          <t>HC/tribunal/other</t>
        </is>
      </c>
      <c r="D904" s="11" t="inlineStr">
        <is>
          <t>no</t>
        </is>
      </c>
      <c r="E904" s="11" t="inlineStr">
        <is>
          <t>no</t>
        </is>
      </c>
      <c r="F904" s="11" t="inlineStr"/>
      <c r="G904" s="11" t="inlineStr"/>
      <c r="H904" s="11" t="inlineStr">
        <is>
          <t>c14493</t>
        </is>
      </c>
      <c r="I904" s="11" t="inlineStr">
        <is>
          <t>cite</t>
        </is>
      </c>
      <c r="J904" s="11" t="inlineStr">
        <is>
          <t>no</t>
        </is>
      </c>
      <c r="K904" s="11" t="inlineStr">
        <is>
          <t>no</t>
        </is>
      </c>
      <c r="L904" s="11" t="inlineStr"/>
    </row>
    <row r="905">
      <c r="A905" s="11" t="inlineStr">
        <is>
          <t>902</t>
        </is>
      </c>
      <c r="B905" s="11" t="inlineStr">
        <is>
          <t>138</t>
        </is>
      </c>
      <c r="C905" s="11" t="inlineStr">
        <is>
          <t>HC/tribunal/other</t>
        </is>
      </c>
      <c r="D905" s="11" t="inlineStr">
        <is>
          <t>no</t>
        </is>
      </c>
      <c r="E905" s="11" t="inlineStr">
        <is>
          <t>no</t>
        </is>
      </c>
      <c r="F905" s="11" t="inlineStr"/>
      <c r="G905" s="11" t="inlineStr"/>
      <c r="H905" s="11" t="inlineStr">
        <is>
          <t>c10687</t>
        </is>
      </c>
      <c r="I905" s="11" t="inlineStr">
        <is>
          <t>cite</t>
        </is>
      </c>
      <c r="J905" s="11" t="inlineStr">
        <is>
          <t>no</t>
        </is>
      </c>
      <c r="K905" s="11" t="inlineStr">
        <is>
          <t>no</t>
        </is>
      </c>
      <c r="L905" s="11" t="inlineStr"/>
    </row>
    <row r="906">
      <c r="A906" s="11" t="inlineStr">
        <is>
          <t>903</t>
        </is>
      </c>
      <c r="B906" s="11" t="inlineStr">
        <is>
          <t>138</t>
        </is>
      </c>
      <c r="C906" s="11" t="inlineStr">
        <is>
          <t>HC/tribunal/other</t>
        </is>
      </c>
      <c r="D906" s="11" t="inlineStr">
        <is>
          <t>no</t>
        </is>
      </c>
      <c r="E906" s="11" t="inlineStr">
        <is>
          <t>no</t>
        </is>
      </c>
      <c r="F906" s="11" t="inlineStr"/>
      <c r="G906" s="11" t="inlineStr"/>
      <c r="H906" s="11" t="inlineStr">
        <is>
          <t>c8760</t>
        </is>
      </c>
      <c r="I906" s="11" t="inlineStr">
        <is>
          <t>cite</t>
        </is>
      </c>
      <c r="J906" s="11" t="inlineStr">
        <is>
          <t>no</t>
        </is>
      </c>
      <c r="K906" s="11" t="inlineStr">
        <is>
          <t>no</t>
        </is>
      </c>
      <c r="L906" s="11" t="inlineStr"/>
    </row>
    <row r="907">
      <c r="A907" s="11" t="inlineStr">
        <is>
          <t>904</t>
        </is>
      </c>
      <c r="B907" s="11" t="inlineStr">
        <is>
          <t>139</t>
        </is>
      </c>
      <c r="C907" s="11" t="inlineStr">
        <is>
          <t>HC/tribunal/other</t>
        </is>
      </c>
      <c r="D907" s="11" t="inlineStr">
        <is>
          <t>no</t>
        </is>
      </c>
      <c r="E907" s="11" t="inlineStr">
        <is>
          <t>no</t>
        </is>
      </c>
      <c r="F907" s="11" t="inlineStr"/>
      <c r="G907" s="11" t="inlineStr"/>
      <c r="H907" s="11" t="inlineStr">
        <is>
          <t>c5715</t>
        </is>
      </c>
      <c r="I907" s="11" t="inlineStr">
        <is>
          <t>cite</t>
        </is>
      </c>
      <c r="J907" s="11" t="inlineStr">
        <is>
          <t>no</t>
        </is>
      </c>
      <c r="K907" s="11" t="inlineStr">
        <is>
          <t>no</t>
        </is>
      </c>
      <c r="L907" s="11" t="inlineStr"/>
    </row>
    <row r="908">
      <c r="A908" s="11" t="inlineStr">
        <is>
          <t>905</t>
        </is>
      </c>
      <c r="B908" s="11" t="inlineStr">
        <is>
          <t>139</t>
        </is>
      </c>
      <c r="C908" s="11" t="inlineStr">
        <is>
          <t>HC/tribunal/other</t>
        </is>
      </c>
      <c r="D908" s="11" t="inlineStr">
        <is>
          <t>no</t>
        </is>
      </c>
      <c r="E908" s="11" t="inlineStr">
        <is>
          <t>no</t>
        </is>
      </c>
      <c r="F908" s="11" t="inlineStr"/>
      <c r="G908" s="11" t="inlineStr"/>
      <c r="H908" s="11" t="inlineStr">
        <is>
          <t>c9360</t>
        </is>
      </c>
      <c r="I908" s="11" t="inlineStr">
        <is>
          <t>cite</t>
        </is>
      </c>
      <c r="J908" s="11" t="inlineStr">
        <is>
          <t>no</t>
        </is>
      </c>
      <c r="K908" s="11" t="inlineStr">
        <is>
          <t>no</t>
        </is>
      </c>
      <c r="L908" s="11" t="inlineStr"/>
    </row>
    <row r="909">
      <c r="A909" s="11" t="inlineStr">
        <is>
          <t>906</t>
        </is>
      </c>
      <c r="B909" s="11" t="inlineStr">
        <is>
          <t>139</t>
        </is>
      </c>
      <c r="C909" s="11" t="inlineStr">
        <is>
          <t>HC/tribunal/other</t>
        </is>
      </c>
      <c r="D909" s="11" t="inlineStr">
        <is>
          <t>no</t>
        </is>
      </c>
      <c r="E909" s="11" t="inlineStr">
        <is>
          <t>no</t>
        </is>
      </c>
      <c r="F909" s="11" t="inlineStr"/>
      <c r="G909" s="11" t="inlineStr"/>
      <c r="H909" s="11" t="inlineStr">
        <is>
          <t>c12649</t>
        </is>
      </c>
      <c r="I909" s="11" t="inlineStr">
        <is>
          <t>cite</t>
        </is>
      </c>
      <c r="J909" s="11" t="inlineStr">
        <is>
          <t>no</t>
        </is>
      </c>
      <c r="K909" s="11" t="inlineStr">
        <is>
          <t>no</t>
        </is>
      </c>
      <c r="L909" s="11" t="inlineStr"/>
    </row>
    <row r="910">
      <c r="A910" s="11" t="inlineStr">
        <is>
          <t>907</t>
        </is>
      </c>
      <c r="B910" s="11" t="inlineStr">
        <is>
          <t>139</t>
        </is>
      </c>
      <c r="C910" s="11" t="inlineStr">
        <is>
          <t>HC/tribunal/other</t>
        </is>
      </c>
      <c r="D910" s="11" t="inlineStr">
        <is>
          <t>no</t>
        </is>
      </c>
      <c r="E910" s="11" t="inlineStr">
        <is>
          <t>no</t>
        </is>
      </c>
      <c r="F910" s="11" t="inlineStr"/>
      <c r="G910" s="11" t="inlineStr"/>
      <c r="H910" s="11" t="inlineStr">
        <is>
          <t>c8733</t>
        </is>
      </c>
      <c r="I910" s="11" t="inlineStr">
        <is>
          <t>cite</t>
        </is>
      </c>
      <c r="J910" s="11" t="inlineStr">
        <is>
          <t>no</t>
        </is>
      </c>
      <c r="K910" s="11" t="inlineStr">
        <is>
          <t>no</t>
        </is>
      </c>
      <c r="L910" s="11" t="inlineStr"/>
    </row>
    <row r="911">
      <c r="A911" s="11" t="inlineStr">
        <is>
          <t>908</t>
        </is>
      </c>
      <c r="B911" s="11" t="inlineStr">
        <is>
          <t>139</t>
        </is>
      </c>
      <c r="C911" s="11" t="inlineStr">
        <is>
          <t>HC/tribunal/other</t>
        </is>
      </c>
      <c r="D911" s="11" t="inlineStr">
        <is>
          <t>no</t>
        </is>
      </c>
      <c r="E911" s="11" t="inlineStr">
        <is>
          <t>no</t>
        </is>
      </c>
      <c r="F911" s="11" t="inlineStr"/>
      <c r="G911" s="11" t="inlineStr"/>
      <c r="H911" s="11" t="inlineStr"/>
      <c r="I911" s="11" t="inlineStr"/>
      <c r="J911" s="11" t="inlineStr">
        <is>
          <t>no</t>
        </is>
      </c>
      <c r="K911" s="11" t="inlineStr">
        <is>
          <t>no</t>
        </is>
      </c>
      <c r="L911" s="11" t="inlineStr"/>
    </row>
    <row r="912">
      <c r="A912" s="11" t="inlineStr">
        <is>
          <t>909</t>
        </is>
      </c>
      <c r="B912" s="11" t="inlineStr">
        <is>
          <t>139</t>
        </is>
      </c>
      <c r="C912" s="11" t="inlineStr">
        <is>
          <t>HC/tribunal/other</t>
        </is>
      </c>
      <c r="D912" s="11" t="inlineStr">
        <is>
          <t>no</t>
        </is>
      </c>
      <c r="E912" s="11" t="inlineStr">
        <is>
          <t>yes</t>
        </is>
      </c>
      <c r="F912" s="11" t="inlineStr"/>
      <c r="G912" s="11" t="inlineStr"/>
      <c r="H912" s="11" t="inlineStr">
        <is>
          <t>c36202</t>
        </is>
      </c>
      <c r="I912" s="11" t="inlineStr">
        <is>
          <t>name</t>
        </is>
      </c>
      <c r="J912" s="11" t="inlineStr">
        <is>
          <t>no</t>
        </is>
      </c>
      <c r="K912" s="11" t="inlineStr">
        <is>
          <t>no</t>
        </is>
      </c>
      <c r="L912" s="11" t="inlineStr"/>
    </row>
    <row r="913">
      <c r="A913" s="11" t="inlineStr">
        <is>
          <t>910</t>
        </is>
      </c>
      <c r="B913" s="11" t="inlineStr">
        <is>
          <t>139</t>
        </is>
      </c>
      <c r="C913" s="11" t="inlineStr">
        <is>
          <t>HC/tribunal/other</t>
        </is>
      </c>
      <c r="D913" s="11" t="inlineStr">
        <is>
          <t>no</t>
        </is>
      </c>
      <c r="E913" s="11" t="inlineStr">
        <is>
          <t>no</t>
        </is>
      </c>
      <c r="F913" s="11" t="inlineStr"/>
      <c r="G913" s="11" t="inlineStr"/>
      <c r="H913" s="11" t="inlineStr">
        <is>
          <t>c9832</t>
        </is>
      </c>
      <c r="I913" s="11" t="inlineStr">
        <is>
          <t>cite</t>
        </is>
      </c>
      <c r="J913" s="11" t="inlineStr">
        <is>
          <t>no</t>
        </is>
      </c>
      <c r="K913" s="11" t="inlineStr">
        <is>
          <t>no</t>
        </is>
      </c>
      <c r="L913" s="11" t="inlineStr"/>
    </row>
    <row r="914">
      <c r="A914" s="11" t="inlineStr">
        <is>
          <t>911</t>
        </is>
      </c>
      <c r="B914" s="11" t="inlineStr">
        <is>
          <t>139</t>
        </is>
      </c>
      <c r="C914" s="11" t="inlineStr">
        <is>
          <t>HC/tribunal/other</t>
        </is>
      </c>
      <c r="D914" s="11" t="inlineStr">
        <is>
          <t>no</t>
        </is>
      </c>
      <c r="E914" s="11" t="inlineStr">
        <is>
          <t>yes</t>
        </is>
      </c>
      <c r="F914" s="11" t="inlineStr"/>
      <c r="G914" s="11" t="inlineStr"/>
      <c r="H914" s="11" t="inlineStr">
        <is>
          <t>c15367</t>
        </is>
      </c>
      <c r="I914" s="11" t="inlineStr">
        <is>
          <t>cite</t>
        </is>
      </c>
      <c r="J914" s="11" t="inlineStr">
        <is>
          <t>no</t>
        </is>
      </c>
      <c r="K914" s="11" t="inlineStr">
        <is>
          <t>no</t>
        </is>
      </c>
      <c r="L914" s="11" t="inlineStr"/>
    </row>
    <row r="915">
      <c r="A915" s="11" t="inlineStr">
        <is>
          <t>912</t>
        </is>
      </c>
      <c r="B915" s="11" t="inlineStr">
        <is>
          <t>140</t>
        </is>
      </c>
      <c r="C915" s="11" t="inlineStr">
        <is>
          <t>HC/tribunal/other</t>
        </is>
      </c>
      <c r="D915" s="11" t="inlineStr">
        <is>
          <t>no</t>
        </is>
      </c>
      <c r="E915" s="11" t="inlineStr">
        <is>
          <t>no</t>
        </is>
      </c>
      <c r="F915" s="11" t="inlineStr"/>
      <c r="G915" s="11" t="inlineStr"/>
      <c r="H915" s="11" t="inlineStr">
        <is>
          <t>c20802</t>
        </is>
      </c>
      <c r="I915" s="11" t="inlineStr">
        <is>
          <t>name</t>
        </is>
      </c>
      <c r="J915" s="11" t="inlineStr">
        <is>
          <t>no</t>
        </is>
      </c>
      <c r="K915" s="11" t="inlineStr">
        <is>
          <t>no</t>
        </is>
      </c>
      <c r="L915" s="11" t="inlineStr"/>
    </row>
    <row r="916">
      <c r="A916" s="11" t="inlineStr">
        <is>
          <t>913</t>
        </is>
      </c>
      <c r="B916" s="11" t="inlineStr">
        <is>
          <t>140</t>
        </is>
      </c>
      <c r="C916" s="11" t="inlineStr">
        <is>
          <t>HC/tribunal/other</t>
        </is>
      </c>
      <c r="D916" s="11" t="inlineStr">
        <is>
          <t>no</t>
        </is>
      </c>
      <c r="E916" s="11" t="inlineStr">
        <is>
          <t>no</t>
        </is>
      </c>
      <c r="F916" s="11" t="inlineStr"/>
      <c r="G916" s="11" t="inlineStr"/>
      <c r="H916" s="11" t="inlineStr">
        <is>
          <t>c28705</t>
        </is>
      </c>
      <c r="I916" s="11" t="inlineStr">
        <is>
          <t>cite</t>
        </is>
      </c>
      <c r="J916" s="11" t="inlineStr">
        <is>
          <t>no</t>
        </is>
      </c>
      <c r="K916" s="11" t="inlineStr">
        <is>
          <t>no</t>
        </is>
      </c>
      <c r="L916" s="11" t="inlineStr"/>
    </row>
    <row r="917">
      <c r="A917" s="11" t="inlineStr">
        <is>
          <t>914</t>
        </is>
      </c>
      <c r="B917" s="11" t="inlineStr">
        <is>
          <t>140</t>
        </is>
      </c>
      <c r="C917" s="11" t="inlineStr">
        <is>
          <t>HC/tribunal/other</t>
        </is>
      </c>
      <c r="D917" s="11" t="inlineStr">
        <is>
          <t>yes</t>
        </is>
      </c>
      <c r="E917" s="11" t="inlineStr">
        <is>
          <t>yes</t>
        </is>
      </c>
      <c r="F917" s="11" t="inlineStr"/>
      <c r="G917" s="11" t="inlineStr"/>
      <c r="H917" s="11" t="inlineStr">
        <is>
          <t>c26311</t>
        </is>
      </c>
      <c r="I917" s="11" t="inlineStr">
        <is>
          <t>name</t>
        </is>
      </c>
      <c r="J917" s="11" t="inlineStr">
        <is>
          <t>no</t>
        </is>
      </c>
      <c r="K917" s="11" t="inlineStr">
        <is>
          <t>no</t>
        </is>
      </c>
      <c r="L917" s="11" t="inlineStr"/>
    </row>
    <row r="918">
      <c r="A918" s="11" t="inlineStr">
        <is>
          <t>915</t>
        </is>
      </c>
      <c r="B918" s="11" t="inlineStr">
        <is>
          <t>140</t>
        </is>
      </c>
      <c r="C918" s="11" t="inlineStr">
        <is>
          <t>HC/tribunal/other</t>
        </is>
      </c>
      <c r="D918" s="11" t="inlineStr">
        <is>
          <t>yes</t>
        </is>
      </c>
      <c r="E918" s="11" t="inlineStr">
        <is>
          <t>no</t>
        </is>
      </c>
      <c r="F918" s="11" t="inlineStr"/>
      <c r="G918" s="11" t="inlineStr"/>
      <c r="H918" s="11" t="inlineStr">
        <is>
          <t>c38908</t>
        </is>
      </c>
      <c r="I918" s="11" t="inlineStr">
        <is>
          <t>name</t>
        </is>
      </c>
      <c r="J918" s="11" t="inlineStr">
        <is>
          <t>no</t>
        </is>
      </c>
      <c r="K918" s="11" t="inlineStr">
        <is>
          <t>no</t>
        </is>
      </c>
      <c r="L918" s="11" t="inlineStr"/>
    </row>
    <row r="919">
      <c r="A919" s="11" t="inlineStr">
        <is>
          <t>916</t>
        </is>
      </c>
      <c r="B919" s="11" t="inlineStr">
        <is>
          <t>140</t>
        </is>
      </c>
      <c r="C919" s="11" t="inlineStr">
        <is>
          <t>HC/tribunal/other</t>
        </is>
      </c>
      <c r="D919" s="11" t="inlineStr">
        <is>
          <t>yes</t>
        </is>
      </c>
      <c r="E919" s="11" t="inlineStr">
        <is>
          <t>yes</t>
        </is>
      </c>
      <c r="F919" s="11" t="inlineStr"/>
      <c r="G919" s="11" t="inlineStr"/>
      <c r="H919" s="11" t="inlineStr">
        <is>
          <t>c18596</t>
        </is>
      </c>
      <c r="I919" s="11" t="inlineStr">
        <is>
          <t>name</t>
        </is>
      </c>
      <c r="J919" s="11" t="inlineStr">
        <is>
          <t>no</t>
        </is>
      </c>
      <c r="K919" s="11" t="inlineStr">
        <is>
          <t>no</t>
        </is>
      </c>
      <c r="L919" s="11" t="inlineStr"/>
    </row>
    <row r="920">
      <c r="A920" s="11" t="inlineStr">
        <is>
          <t>917</t>
        </is>
      </c>
      <c r="B920" s="11" t="inlineStr">
        <is>
          <t>140</t>
        </is>
      </c>
      <c r="C920" s="11" t="inlineStr">
        <is>
          <t>HC/tribunal/other</t>
        </is>
      </c>
      <c r="D920" s="11" t="inlineStr">
        <is>
          <t>no</t>
        </is>
      </c>
      <c r="E920" s="11" t="inlineStr">
        <is>
          <t>no</t>
        </is>
      </c>
      <c r="F920" s="11" t="inlineStr"/>
      <c r="G920" s="11" t="inlineStr"/>
      <c r="H920" s="11" t="inlineStr">
        <is>
          <t>c39424</t>
        </is>
      </c>
      <c r="I920" s="11" t="inlineStr">
        <is>
          <t>name</t>
        </is>
      </c>
      <c r="J920" s="11" t="inlineStr">
        <is>
          <t>no</t>
        </is>
      </c>
      <c r="K920" s="11" t="inlineStr">
        <is>
          <t>no</t>
        </is>
      </c>
      <c r="L920" s="11" t="inlineStr"/>
    </row>
    <row r="921">
      <c r="A921" s="11" t="inlineStr">
        <is>
          <t>918</t>
        </is>
      </c>
      <c r="B921" s="11" t="inlineStr">
        <is>
          <t>141</t>
        </is>
      </c>
      <c r="C921" s="11" t="inlineStr">
        <is>
          <t>HC/tribunal/other</t>
        </is>
      </c>
      <c r="D921" s="11" t="inlineStr">
        <is>
          <t>no</t>
        </is>
      </c>
      <c r="E921" s="11" t="inlineStr">
        <is>
          <t>yes</t>
        </is>
      </c>
      <c r="F921" s="11" t="inlineStr"/>
      <c r="G921" s="11" t="inlineStr"/>
      <c r="H921" s="11" t="inlineStr">
        <is>
          <t>c7598</t>
        </is>
      </c>
      <c r="I921" s="11" t="inlineStr">
        <is>
          <t>cite</t>
        </is>
      </c>
      <c r="J921" s="11" t="inlineStr">
        <is>
          <t>no</t>
        </is>
      </c>
      <c r="K921" s="11" t="inlineStr">
        <is>
          <t>no</t>
        </is>
      </c>
      <c r="L921" s="11" t="inlineStr"/>
    </row>
    <row r="922">
      <c r="A922" s="11" t="inlineStr">
        <is>
          <t>919</t>
        </is>
      </c>
      <c r="B922" s="11" t="inlineStr">
        <is>
          <t>141</t>
        </is>
      </c>
      <c r="C922" s="11" t="inlineStr">
        <is>
          <t>HC/tribunal/other</t>
        </is>
      </c>
      <c r="D922" s="11" t="inlineStr">
        <is>
          <t>yes</t>
        </is>
      </c>
      <c r="E922" s="11" t="inlineStr">
        <is>
          <t>yes</t>
        </is>
      </c>
      <c r="F922" s="11" t="inlineStr"/>
      <c r="G922" s="11" t="inlineStr"/>
      <c r="H922" s="11" t="inlineStr">
        <is>
          <t>c39409</t>
        </is>
      </c>
      <c r="I922" s="11" t="inlineStr">
        <is>
          <t>name</t>
        </is>
      </c>
      <c r="J922" s="11" t="inlineStr">
        <is>
          <t>no</t>
        </is>
      </c>
      <c r="K922" s="11" t="inlineStr">
        <is>
          <t>no</t>
        </is>
      </c>
      <c r="L922" s="11" t="inlineStr"/>
    </row>
    <row r="923">
      <c r="A923" s="11" t="inlineStr">
        <is>
          <t>920</t>
        </is>
      </c>
      <c r="B923" s="11" t="inlineStr">
        <is>
          <t>141</t>
        </is>
      </c>
      <c r="C923" s="11" t="inlineStr">
        <is>
          <t>HC/tribunal/other</t>
        </is>
      </c>
      <c r="D923" s="11" t="inlineStr">
        <is>
          <t>no</t>
        </is>
      </c>
      <c r="E923" s="11" t="inlineStr">
        <is>
          <t>no</t>
        </is>
      </c>
      <c r="F923" s="11" t="inlineStr"/>
      <c r="G923" s="11" t="inlineStr"/>
      <c r="H923" s="11" t="inlineStr">
        <is>
          <t>c36274</t>
        </is>
      </c>
      <c r="I923" s="11" t="inlineStr">
        <is>
          <t>name</t>
        </is>
      </c>
      <c r="J923" s="11" t="inlineStr">
        <is>
          <t>no</t>
        </is>
      </c>
      <c r="K923" s="11" t="inlineStr">
        <is>
          <t>no</t>
        </is>
      </c>
      <c r="L923" s="11" t="inlineStr"/>
    </row>
    <row r="924">
      <c r="A924" s="11" t="inlineStr">
        <is>
          <t>921</t>
        </is>
      </c>
      <c r="B924" s="11" t="inlineStr">
        <is>
          <t>141</t>
        </is>
      </c>
      <c r="C924" s="11" t="inlineStr">
        <is>
          <t>HC/tribunal/other</t>
        </is>
      </c>
      <c r="D924" s="11" t="inlineStr">
        <is>
          <t>no</t>
        </is>
      </c>
      <c r="E924" s="11" t="inlineStr">
        <is>
          <t>no</t>
        </is>
      </c>
      <c r="F924" s="11" t="inlineStr"/>
      <c r="G924" s="11" t="inlineStr"/>
      <c r="H924" s="11" t="inlineStr">
        <is>
          <t>c31998</t>
        </is>
      </c>
      <c r="I924" s="11" t="inlineStr">
        <is>
          <t>name</t>
        </is>
      </c>
      <c r="J924" s="11" t="inlineStr">
        <is>
          <t>no</t>
        </is>
      </c>
      <c r="K924" s="11" t="inlineStr">
        <is>
          <t>no</t>
        </is>
      </c>
      <c r="L924" s="11" t="inlineStr"/>
    </row>
    <row r="925">
      <c r="A925" s="11" t="inlineStr">
        <is>
          <t>922</t>
        </is>
      </c>
      <c r="B925" s="11" t="inlineStr">
        <is>
          <t>141</t>
        </is>
      </c>
      <c r="C925" s="11" t="inlineStr">
        <is>
          <t>HC/tribunal/other</t>
        </is>
      </c>
      <c r="D925" s="11" t="inlineStr">
        <is>
          <t>yes</t>
        </is>
      </c>
      <c r="E925" s="11" t="inlineStr">
        <is>
          <t>no</t>
        </is>
      </c>
      <c r="F925" s="11" t="inlineStr"/>
      <c r="G925" s="11" t="inlineStr"/>
      <c r="H925" s="11" t="inlineStr">
        <is>
          <t>c39003</t>
        </is>
      </c>
      <c r="I925" s="11" t="inlineStr">
        <is>
          <t>name</t>
        </is>
      </c>
      <c r="J925" s="11" t="inlineStr">
        <is>
          <t>no</t>
        </is>
      </c>
      <c r="K925" s="11" t="inlineStr">
        <is>
          <t>no</t>
        </is>
      </c>
      <c r="L925" s="11" t="inlineStr"/>
    </row>
    <row r="926">
      <c r="A926" s="11" t="inlineStr">
        <is>
          <t>923</t>
        </is>
      </c>
      <c r="B926" s="11" t="inlineStr">
        <is>
          <t>141</t>
        </is>
      </c>
      <c r="C926" s="11" t="inlineStr">
        <is>
          <t>HC/tribunal/other</t>
        </is>
      </c>
      <c r="D926" s="11" t="inlineStr">
        <is>
          <t>no</t>
        </is>
      </c>
      <c r="E926" s="11" t="inlineStr">
        <is>
          <t>yes</t>
        </is>
      </c>
      <c r="F926" s="11" t="inlineStr"/>
      <c r="G926" s="11" t="inlineStr"/>
      <c r="H926" s="11" t="inlineStr">
        <is>
          <t>c5337</t>
        </is>
      </c>
      <c r="I926" s="11" t="inlineStr">
        <is>
          <t>cite</t>
        </is>
      </c>
      <c r="J926" s="11" t="inlineStr">
        <is>
          <t>no</t>
        </is>
      </c>
      <c r="K926" s="11" t="inlineStr">
        <is>
          <t>no</t>
        </is>
      </c>
      <c r="L926" s="11" t="inlineStr"/>
    </row>
    <row r="927">
      <c r="A927" s="11" t="inlineStr">
        <is>
          <t>924</t>
        </is>
      </c>
      <c r="B927" s="11" t="inlineStr">
        <is>
          <t>142</t>
        </is>
      </c>
      <c r="C927" s="11" t="inlineStr">
        <is>
          <t>HC/tribunal/other</t>
        </is>
      </c>
      <c r="D927" s="11" t="inlineStr">
        <is>
          <t>no</t>
        </is>
      </c>
      <c r="E927" s="11" t="inlineStr">
        <is>
          <t>no</t>
        </is>
      </c>
      <c r="F927" s="11" t="inlineStr"/>
      <c r="G927" s="11" t="inlineStr"/>
      <c r="H927" s="11" t="inlineStr">
        <is>
          <t>c8239</t>
        </is>
      </c>
      <c r="I927" s="11" t="inlineStr">
        <is>
          <t>cite</t>
        </is>
      </c>
      <c r="J927" s="11" t="inlineStr">
        <is>
          <t>no</t>
        </is>
      </c>
      <c r="K927" s="11" t="inlineStr">
        <is>
          <t>no</t>
        </is>
      </c>
      <c r="L927" s="11" t="inlineStr"/>
    </row>
    <row r="928">
      <c r="A928" s="11" t="inlineStr">
        <is>
          <t>925</t>
        </is>
      </c>
      <c r="B928" s="11" t="inlineStr">
        <is>
          <t>142</t>
        </is>
      </c>
      <c r="C928" s="11" t="inlineStr">
        <is>
          <t>HC/tribunal/other</t>
        </is>
      </c>
      <c r="D928" s="11" t="inlineStr">
        <is>
          <t>yes</t>
        </is>
      </c>
      <c r="E928" s="11" t="inlineStr">
        <is>
          <t>no</t>
        </is>
      </c>
      <c r="F928" s="11" t="inlineStr"/>
      <c r="G928" s="11" t="inlineStr"/>
      <c r="H928" s="11" t="inlineStr"/>
      <c r="I928" s="11" t="inlineStr"/>
      <c r="J928" s="11" t="inlineStr">
        <is>
          <t>no</t>
        </is>
      </c>
      <c r="K928" s="11" t="inlineStr">
        <is>
          <t>no</t>
        </is>
      </c>
      <c r="L928" s="11" t="inlineStr"/>
    </row>
    <row r="929">
      <c r="A929" s="11" t="inlineStr">
        <is>
          <t>926</t>
        </is>
      </c>
      <c r="B929" s="11" t="inlineStr">
        <is>
          <t>142</t>
        </is>
      </c>
      <c r="C929" s="11" t="inlineStr">
        <is>
          <t>HC/tribunal/other</t>
        </is>
      </c>
      <c r="D929" s="11" t="inlineStr">
        <is>
          <t>yes</t>
        </is>
      </c>
      <c r="E929" s="11" t="inlineStr">
        <is>
          <t>no</t>
        </is>
      </c>
      <c r="F929" s="11" t="inlineStr"/>
      <c r="G929" s="11" t="inlineStr"/>
      <c r="H929" s="11" t="inlineStr">
        <is>
          <t>c27741</t>
        </is>
      </c>
      <c r="I929" s="11" t="inlineStr">
        <is>
          <t>name</t>
        </is>
      </c>
      <c r="J929" s="11" t="inlineStr">
        <is>
          <t>no</t>
        </is>
      </c>
      <c r="K929" s="11" t="inlineStr">
        <is>
          <t>no</t>
        </is>
      </c>
      <c r="L929" s="11" t="inlineStr"/>
    </row>
    <row r="930">
      <c r="A930" s="11" t="inlineStr">
        <is>
          <t>927</t>
        </is>
      </c>
      <c r="B930" s="11" t="inlineStr">
        <is>
          <t>142</t>
        </is>
      </c>
      <c r="C930" s="11" t="inlineStr">
        <is>
          <t>HC/tribunal/other</t>
        </is>
      </c>
      <c r="D930" s="11" t="inlineStr">
        <is>
          <t>yes</t>
        </is>
      </c>
      <c r="E930" s="11" t="inlineStr">
        <is>
          <t>yes</t>
        </is>
      </c>
      <c r="F930" s="11" t="inlineStr"/>
      <c r="G930" s="11" t="inlineStr"/>
      <c r="H930" s="11" t="inlineStr"/>
      <c r="I930" s="11" t="inlineStr"/>
      <c r="J930" s="11" t="inlineStr">
        <is>
          <t>no</t>
        </is>
      </c>
      <c r="K930" s="11" t="inlineStr">
        <is>
          <t>no</t>
        </is>
      </c>
      <c r="L930" s="11" t="inlineStr"/>
    </row>
    <row r="931">
      <c r="A931" s="11" t="inlineStr">
        <is>
          <t>928</t>
        </is>
      </c>
      <c r="B931" s="11" t="inlineStr">
        <is>
          <t>142</t>
        </is>
      </c>
      <c r="C931" s="11" t="inlineStr">
        <is>
          <t>HC/tribunal/other</t>
        </is>
      </c>
      <c r="D931" s="11" t="inlineStr">
        <is>
          <t>no</t>
        </is>
      </c>
      <c r="E931" s="11" t="inlineStr">
        <is>
          <t>no</t>
        </is>
      </c>
      <c r="F931" s="11" t="inlineStr"/>
      <c r="G931" s="11" t="inlineStr"/>
      <c r="H931" s="11" t="inlineStr">
        <is>
          <t>c29131</t>
        </is>
      </c>
      <c r="I931" s="11" t="inlineStr">
        <is>
          <t>name</t>
        </is>
      </c>
      <c r="J931" s="11" t="inlineStr">
        <is>
          <t>no</t>
        </is>
      </c>
      <c r="K931" s="11" t="inlineStr">
        <is>
          <t>no</t>
        </is>
      </c>
      <c r="L931" s="11" t="inlineStr"/>
    </row>
    <row r="932">
      <c r="A932" s="11" t="inlineStr">
        <is>
          <t>929</t>
        </is>
      </c>
      <c r="B932" s="11" t="inlineStr">
        <is>
          <t>142</t>
        </is>
      </c>
      <c r="C932" s="11" t="inlineStr">
        <is>
          <t>HC/tribunal/other</t>
        </is>
      </c>
      <c r="D932" s="11" t="inlineStr">
        <is>
          <t>no</t>
        </is>
      </c>
      <c r="E932" s="11" t="inlineStr">
        <is>
          <t>no</t>
        </is>
      </c>
      <c r="F932" s="11" t="inlineStr"/>
      <c r="G932" s="11" t="inlineStr"/>
      <c r="H932" s="11" t="inlineStr">
        <is>
          <t>c27560</t>
        </is>
      </c>
      <c r="I932" s="11" t="inlineStr">
        <is>
          <t>name</t>
        </is>
      </c>
      <c r="J932" s="11" t="inlineStr">
        <is>
          <t>no</t>
        </is>
      </c>
      <c r="K932" s="11" t="inlineStr">
        <is>
          <t>no</t>
        </is>
      </c>
      <c r="L932" s="11" t="inlineStr"/>
    </row>
    <row r="933">
      <c r="A933" s="11" t="inlineStr">
        <is>
          <t>930</t>
        </is>
      </c>
      <c r="B933" s="11" t="inlineStr">
        <is>
          <t>143</t>
        </is>
      </c>
      <c r="C933" s="11" t="inlineStr">
        <is>
          <t>HC/tribunal/other</t>
        </is>
      </c>
      <c r="D933" s="11" t="inlineStr">
        <is>
          <t>no</t>
        </is>
      </c>
      <c r="E933" s="11" t="inlineStr">
        <is>
          <t>no</t>
        </is>
      </c>
      <c r="F933" s="11" t="inlineStr"/>
      <c r="G933" s="11" t="inlineStr"/>
      <c r="H933" s="11" t="inlineStr">
        <is>
          <t>c29574</t>
        </is>
      </c>
      <c r="I933" s="11" t="inlineStr">
        <is>
          <t>cite</t>
        </is>
      </c>
      <c r="J933" s="11" t="inlineStr">
        <is>
          <t>no</t>
        </is>
      </c>
      <c r="K933" s="11" t="inlineStr">
        <is>
          <t>no</t>
        </is>
      </c>
      <c r="L933" s="11" t="inlineStr"/>
    </row>
    <row r="934">
      <c r="A934" s="11" t="inlineStr">
        <is>
          <t>931</t>
        </is>
      </c>
      <c r="B934" s="11" t="inlineStr">
        <is>
          <t>143</t>
        </is>
      </c>
      <c r="C934" s="11" t="inlineStr">
        <is>
          <t>HC/tribunal/other</t>
        </is>
      </c>
      <c r="D934" s="11" t="inlineStr">
        <is>
          <t>no</t>
        </is>
      </c>
      <c r="E934" s="11" t="inlineStr">
        <is>
          <t>no</t>
        </is>
      </c>
      <c r="F934" s="11" t="inlineStr"/>
      <c r="G934" s="11" t="inlineStr"/>
      <c r="H934" s="11" t="inlineStr">
        <is>
          <t>c27618</t>
        </is>
      </c>
      <c r="I934" s="11" t="inlineStr">
        <is>
          <t>name</t>
        </is>
      </c>
      <c r="J934" s="11" t="inlineStr">
        <is>
          <t>no</t>
        </is>
      </c>
      <c r="K934" s="11" t="inlineStr">
        <is>
          <t>no</t>
        </is>
      </c>
      <c r="L934" s="11" t="inlineStr"/>
    </row>
    <row r="935">
      <c r="A935" s="11" t="inlineStr">
        <is>
          <t>932</t>
        </is>
      </c>
      <c r="B935" s="11" t="inlineStr">
        <is>
          <t>143</t>
        </is>
      </c>
      <c r="C935" s="11" t="inlineStr">
        <is>
          <t>HC/tribunal/other</t>
        </is>
      </c>
      <c r="D935" s="11" t="inlineStr">
        <is>
          <t>yes</t>
        </is>
      </c>
      <c r="E935" s="11" t="inlineStr">
        <is>
          <t>no</t>
        </is>
      </c>
      <c r="F935" s="11" t="inlineStr"/>
      <c r="G935" s="11" t="inlineStr"/>
      <c r="H935" s="11" t="inlineStr"/>
      <c r="I935" s="11" t="inlineStr"/>
      <c r="J935" s="11" t="inlineStr">
        <is>
          <t>no</t>
        </is>
      </c>
      <c r="K935" s="11" t="inlineStr">
        <is>
          <t>no</t>
        </is>
      </c>
      <c r="L935" s="11" t="inlineStr"/>
    </row>
    <row r="936">
      <c r="A936" s="11" t="inlineStr">
        <is>
          <t>933</t>
        </is>
      </c>
      <c r="B936" s="11" t="inlineStr">
        <is>
          <t>143</t>
        </is>
      </c>
      <c r="C936" s="11" t="inlineStr">
        <is>
          <t>HC/tribunal/other</t>
        </is>
      </c>
      <c r="D936" s="11" t="inlineStr">
        <is>
          <t>no</t>
        </is>
      </c>
      <c r="E936" s="11" t="inlineStr">
        <is>
          <t>no</t>
        </is>
      </c>
      <c r="F936" s="11" t="inlineStr"/>
      <c r="G936" s="11" t="inlineStr"/>
      <c r="H936" s="11" t="inlineStr">
        <is>
          <t>c12031</t>
        </is>
      </c>
      <c r="I936" s="11" t="inlineStr">
        <is>
          <t>cite</t>
        </is>
      </c>
      <c r="J936" s="11" t="inlineStr">
        <is>
          <t>no</t>
        </is>
      </c>
      <c r="K936" s="11" t="inlineStr">
        <is>
          <t>no</t>
        </is>
      </c>
      <c r="L936" s="11" t="inlineStr"/>
    </row>
    <row r="937">
      <c r="A937" s="11" t="inlineStr">
        <is>
          <t>934</t>
        </is>
      </c>
      <c r="B937" s="11" t="inlineStr">
        <is>
          <t>143</t>
        </is>
      </c>
      <c r="C937" s="11" t="inlineStr">
        <is>
          <t>HC/tribunal/other</t>
        </is>
      </c>
      <c r="D937" s="11" t="inlineStr">
        <is>
          <t>no</t>
        </is>
      </c>
      <c r="E937" s="11" t="inlineStr">
        <is>
          <t>yes</t>
        </is>
      </c>
      <c r="F937" s="11" t="inlineStr"/>
      <c r="G937" s="11" t="inlineStr"/>
      <c r="H937" s="11" t="inlineStr">
        <is>
          <t>bS_1999_3_641_646</t>
        </is>
      </c>
      <c r="I937" s="11" t="inlineStr">
        <is>
          <t>name</t>
        </is>
      </c>
      <c r="J937" s="11" t="inlineStr">
        <is>
          <t>no</t>
        </is>
      </c>
      <c r="K937" s="11" t="inlineStr">
        <is>
          <t>no</t>
        </is>
      </c>
      <c r="L937" s="11" t="inlineStr"/>
    </row>
    <row r="938">
      <c r="A938" s="11" t="inlineStr">
        <is>
          <t>935</t>
        </is>
      </c>
      <c r="B938" s="11" t="inlineStr">
        <is>
          <t>143</t>
        </is>
      </c>
      <c r="C938" s="11" t="inlineStr">
        <is>
          <t>HC/tribunal/other</t>
        </is>
      </c>
      <c r="D938" s="11" t="inlineStr">
        <is>
          <t>no</t>
        </is>
      </c>
      <c r="E938" s="11" t="inlineStr">
        <is>
          <t>no</t>
        </is>
      </c>
      <c r="F938" s="11" t="inlineStr"/>
      <c r="G938" s="11" t="inlineStr"/>
      <c r="H938" s="11" t="inlineStr">
        <is>
          <t>c27827</t>
        </is>
      </c>
      <c r="I938" s="11" t="inlineStr">
        <is>
          <t>name</t>
        </is>
      </c>
      <c r="J938" s="11" t="inlineStr">
        <is>
          <t>no</t>
        </is>
      </c>
      <c r="K938" s="11" t="inlineStr">
        <is>
          <t>no</t>
        </is>
      </c>
      <c r="L938" s="11" t="inlineStr"/>
    </row>
    <row r="939">
      <c r="A939" s="11" t="inlineStr">
        <is>
          <t>936</t>
        </is>
      </c>
      <c r="B939" s="11" t="inlineStr">
        <is>
          <t>144</t>
        </is>
      </c>
      <c r="C939" s="11" t="inlineStr">
        <is>
          <t>HC/tribunal/other</t>
        </is>
      </c>
      <c r="D939" s="11" t="inlineStr">
        <is>
          <t>no</t>
        </is>
      </c>
      <c r="E939" s="11" t="inlineStr">
        <is>
          <t>no</t>
        </is>
      </c>
      <c r="F939" s="11" t="inlineStr"/>
      <c r="G939" s="11" t="inlineStr"/>
      <c r="H939" s="11" t="inlineStr">
        <is>
          <t>c17952</t>
        </is>
      </c>
      <c r="I939" s="11" t="inlineStr">
        <is>
          <t>name</t>
        </is>
      </c>
      <c r="J939" s="11" t="inlineStr">
        <is>
          <t>no</t>
        </is>
      </c>
      <c r="K939" s="11" t="inlineStr">
        <is>
          <t>no</t>
        </is>
      </c>
      <c r="L939" s="11" t="inlineStr"/>
    </row>
    <row r="940">
      <c r="A940" s="11" t="inlineStr">
        <is>
          <t>937</t>
        </is>
      </c>
      <c r="B940" s="11" t="inlineStr">
        <is>
          <t>144</t>
        </is>
      </c>
      <c r="C940" s="11" t="inlineStr">
        <is>
          <t>HC/tribunal/other</t>
        </is>
      </c>
      <c r="D940" s="11" t="inlineStr">
        <is>
          <t>yes</t>
        </is>
      </c>
      <c r="E940" s="11" t="inlineStr">
        <is>
          <t>no</t>
        </is>
      </c>
      <c r="F940" s="11" t="inlineStr"/>
      <c r="G940" s="11" t="inlineStr"/>
      <c r="H940" s="11" t="inlineStr">
        <is>
          <t>bS_1995_1_90_99</t>
        </is>
      </c>
      <c r="I940" s="11" t="inlineStr">
        <is>
          <t>name</t>
        </is>
      </c>
      <c r="J940" s="11" t="inlineStr">
        <is>
          <t>no</t>
        </is>
      </c>
      <c r="K940" s="11" t="inlineStr">
        <is>
          <t>no</t>
        </is>
      </c>
      <c r="L940" s="11" t="inlineStr"/>
    </row>
    <row r="941">
      <c r="A941" s="11" t="inlineStr">
        <is>
          <t>938</t>
        </is>
      </c>
      <c r="B941" s="11" t="inlineStr">
        <is>
          <t>144</t>
        </is>
      </c>
      <c r="C941" s="11" t="inlineStr">
        <is>
          <t>HC/tribunal/other</t>
        </is>
      </c>
      <c r="D941" s="11" t="inlineStr">
        <is>
          <t>no</t>
        </is>
      </c>
      <c r="E941" s="11" t="inlineStr">
        <is>
          <t>no</t>
        </is>
      </c>
      <c r="F941" s="11" t="inlineStr"/>
      <c r="G941" s="11" t="inlineStr"/>
      <c r="H941" s="11" t="inlineStr">
        <is>
          <t>c27485</t>
        </is>
      </c>
      <c r="I941" s="11" t="inlineStr">
        <is>
          <t>name</t>
        </is>
      </c>
      <c r="J941" s="11" t="inlineStr">
        <is>
          <t>no</t>
        </is>
      </c>
      <c r="K941" s="11" t="inlineStr">
        <is>
          <t>no</t>
        </is>
      </c>
      <c r="L941" s="11" t="inlineStr"/>
    </row>
    <row r="942">
      <c r="A942" s="11" t="inlineStr">
        <is>
          <t>939</t>
        </is>
      </c>
      <c r="B942" s="11" t="inlineStr">
        <is>
          <t>144</t>
        </is>
      </c>
      <c r="C942" s="11" t="inlineStr">
        <is>
          <t>HC/tribunal/other</t>
        </is>
      </c>
      <c r="D942" s="11" t="inlineStr">
        <is>
          <t>no</t>
        </is>
      </c>
      <c r="E942" s="11" t="inlineStr">
        <is>
          <t>no</t>
        </is>
      </c>
      <c r="F942" s="11" t="inlineStr"/>
      <c r="G942" s="11" t="inlineStr"/>
      <c r="H942" s="11" t="inlineStr">
        <is>
          <t>c7303</t>
        </is>
      </c>
      <c r="I942" s="11" t="inlineStr">
        <is>
          <t>name</t>
        </is>
      </c>
      <c r="J942" s="11" t="inlineStr">
        <is>
          <t>no</t>
        </is>
      </c>
      <c r="K942" s="11" t="inlineStr">
        <is>
          <t>no</t>
        </is>
      </c>
      <c r="L942" s="11" t="inlineStr"/>
    </row>
    <row r="943">
      <c r="A943" s="11" t="inlineStr">
        <is>
          <t>940</t>
        </is>
      </c>
      <c r="B943" s="11" t="inlineStr">
        <is>
          <t>144</t>
        </is>
      </c>
      <c r="C943" s="11" t="inlineStr">
        <is>
          <t>HC/tribunal/other</t>
        </is>
      </c>
      <c r="D943" s="11" t="inlineStr">
        <is>
          <t>no</t>
        </is>
      </c>
      <c r="E943" s="11" t="inlineStr">
        <is>
          <t>no</t>
        </is>
      </c>
      <c r="F943" s="11" t="inlineStr"/>
      <c r="G943" s="11" t="inlineStr"/>
      <c r="H943" s="11" t="inlineStr">
        <is>
          <t>c19157</t>
        </is>
      </c>
      <c r="I943" s="11" t="inlineStr">
        <is>
          <t>name</t>
        </is>
      </c>
      <c r="J943" s="11" t="inlineStr">
        <is>
          <t>no</t>
        </is>
      </c>
      <c r="K943" s="11" t="inlineStr">
        <is>
          <t>no</t>
        </is>
      </c>
      <c r="L943" s="11" t="inlineStr"/>
    </row>
    <row r="944">
      <c r="A944" s="11" t="inlineStr">
        <is>
          <t>941</t>
        </is>
      </c>
      <c r="B944" s="11" t="inlineStr">
        <is>
          <t>144</t>
        </is>
      </c>
      <c r="C944" s="11" t="inlineStr">
        <is>
          <t>HC/tribunal/other</t>
        </is>
      </c>
      <c r="D944" s="11" t="inlineStr">
        <is>
          <t>no</t>
        </is>
      </c>
      <c r="E944" s="11" t="inlineStr">
        <is>
          <t>no</t>
        </is>
      </c>
      <c r="F944" s="11" t="inlineStr"/>
      <c r="G944" s="11" t="inlineStr"/>
      <c r="H944" s="11" t="inlineStr">
        <is>
          <t>bS_1999_4_184_188</t>
        </is>
      </c>
      <c r="I944" s="11" t="inlineStr">
        <is>
          <t>name</t>
        </is>
      </c>
      <c r="J944" s="11" t="inlineStr">
        <is>
          <t>no</t>
        </is>
      </c>
      <c r="K944" s="11" t="inlineStr">
        <is>
          <t>no</t>
        </is>
      </c>
      <c r="L944" s="11" t="inlineStr"/>
    </row>
    <row r="945">
      <c r="A945" s="11" t="inlineStr">
        <is>
          <t>942</t>
        </is>
      </c>
      <c r="B945" s="11" t="inlineStr">
        <is>
          <t>145</t>
        </is>
      </c>
      <c r="C945" s="11" t="inlineStr">
        <is>
          <t>HC/tribunal/other</t>
        </is>
      </c>
      <c r="D945" s="11" t="inlineStr">
        <is>
          <t>no</t>
        </is>
      </c>
      <c r="E945" s="11" t="inlineStr">
        <is>
          <t>no</t>
        </is>
      </c>
      <c r="F945" s="11" t="inlineStr"/>
      <c r="G945" s="11" t="inlineStr"/>
      <c r="H945" s="11" t="inlineStr">
        <is>
          <t>c7441</t>
        </is>
      </c>
      <c r="I945" s="11" t="inlineStr">
        <is>
          <t>cite</t>
        </is>
      </c>
      <c r="J945" s="11" t="inlineStr">
        <is>
          <t>no</t>
        </is>
      </c>
      <c r="K945" s="11" t="inlineStr">
        <is>
          <t>no</t>
        </is>
      </c>
      <c r="L945" s="11" t="inlineStr"/>
    </row>
    <row r="946">
      <c r="A946" s="11" t="inlineStr">
        <is>
          <t>943</t>
        </is>
      </c>
      <c r="B946" s="11" t="inlineStr">
        <is>
          <t>145</t>
        </is>
      </c>
      <c r="C946" s="11" t="inlineStr">
        <is>
          <t>HC/tribunal/other</t>
        </is>
      </c>
      <c r="D946" s="11" t="inlineStr">
        <is>
          <t>no</t>
        </is>
      </c>
      <c r="E946" s="11" t="inlineStr">
        <is>
          <t>no</t>
        </is>
      </c>
      <c r="F946" s="11" t="inlineStr"/>
      <c r="G946" s="11" t="inlineStr"/>
      <c r="H946" s="11" t="inlineStr">
        <is>
          <t>c28445</t>
        </is>
      </c>
      <c r="I946" s="11" t="inlineStr">
        <is>
          <t>cite</t>
        </is>
      </c>
      <c r="J946" s="11" t="inlineStr">
        <is>
          <t>no</t>
        </is>
      </c>
      <c r="K946" s="11" t="inlineStr">
        <is>
          <t>no</t>
        </is>
      </c>
      <c r="L946" s="11" t="inlineStr"/>
    </row>
    <row r="947">
      <c r="A947" s="11" t="inlineStr">
        <is>
          <t>944</t>
        </is>
      </c>
      <c r="B947" s="11" t="inlineStr">
        <is>
          <t>145</t>
        </is>
      </c>
      <c r="C947" s="11" t="inlineStr">
        <is>
          <t>HC/tribunal/other</t>
        </is>
      </c>
      <c r="D947" s="11" t="inlineStr">
        <is>
          <t>no</t>
        </is>
      </c>
      <c r="E947" s="11" t="inlineStr">
        <is>
          <t>no</t>
        </is>
      </c>
      <c r="F947" s="11" t="inlineStr"/>
      <c r="G947" s="11" t="inlineStr"/>
      <c r="H947" s="11" t="inlineStr">
        <is>
          <t>c3710</t>
        </is>
      </c>
      <c r="I947" s="11" t="inlineStr">
        <is>
          <t>cite</t>
        </is>
      </c>
      <c r="J947" s="11" t="inlineStr">
        <is>
          <t>no</t>
        </is>
      </c>
      <c r="K947" s="11" t="inlineStr">
        <is>
          <t>no</t>
        </is>
      </c>
      <c r="L947" s="11" t="inlineStr"/>
    </row>
    <row r="948">
      <c r="A948" s="11" t="inlineStr">
        <is>
          <t>945</t>
        </is>
      </c>
      <c r="B948" s="11" t="inlineStr">
        <is>
          <t>145</t>
        </is>
      </c>
      <c r="C948" s="11" t="inlineStr">
        <is>
          <t>HC/tribunal/other</t>
        </is>
      </c>
      <c r="D948" s="11" t="inlineStr">
        <is>
          <t>no</t>
        </is>
      </c>
      <c r="E948" s="11" t="inlineStr">
        <is>
          <t>no</t>
        </is>
      </c>
      <c r="F948" s="11" t="inlineStr"/>
      <c r="G948" s="11" t="inlineStr"/>
      <c r="H948" s="11" t="inlineStr">
        <is>
          <t>c6706</t>
        </is>
      </c>
      <c r="I948" s="11" t="inlineStr">
        <is>
          <t>cite</t>
        </is>
      </c>
      <c r="J948" s="11" t="inlineStr">
        <is>
          <t>no</t>
        </is>
      </c>
      <c r="K948" s="11" t="inlineStr">
        <is>
          <t>no</t>
        </is>
      </c>
      <c r="L948" s="11" t="inlineStr"/>
    </row>
    <row r="949">
      <c r="A949" s="11" t="inlineStr">
        <is>
          <t>946</t>
        </is>
      </c>
      <c r="B949" s="11" t="inlineStr">
        <is>
          <t>145</t>
        </is>
      </c>
      <c r="C949" s="11" t="inlineStr">
        <is>
          <t>HC/tribunal/other</t>
        </is>
      </c>
      <c r="D949" s="11" t="inlineStr">
        <is>
          <t>yes</t>
        </is>
      </c>
      <c r="E949" s="11" t="inlineStr">
        <is>
          <t>no</t>
        </is>
      </c>
      <c r="F949" s="11" t="inlineStr"/>
      <c r="G949" s="11" t="inlineStr"/>
      <c r="H949" s="11" t="inlineStr">
        <is>
          <t>c5458</t>
        </is>
      </c>
      <c r="I949" s="11" t="inlineStr">
        <is>
          <t>cite</t>
        </is>
      </c>
      <c r="J949" s="11" t="inlineStr">
        <is>
          <t>no</t>
        </is>
      </c>
      <c r="K949" s="11" t="inlineStr">
        <is>
          <t>no</t>
        </is>
      </c>
      <c r="L949" s="11" t="inlineStr"/>
    </row>
    <row r="950">
      <c r="A950" s="11" t="inlineStr">
        <is>
          <t>947</t>
        </is>
      </c>
      <c r="B950" s="11" t="inlineStr">
        <is>
          <t>145</t>
        </is>
      </c>
      <c r="C950" s="11" t="inlineStr">
        <is>
          <t>HC/tribunal/other</t>
        </is>
      </c>
      <c r="D950" s="11" t="inlineStr">
        <is>
          <t>no</t>
        </is>
      </c>
      <c r="E950" s="11" t="inlineStr">
        <is>
          <t>no</t>
        </is>
      </c>
      <c r="F950" s="11" t="inlineStr"/>
      <c r="G950" s="11" t="inlineStr"/>
      <c r="H950" s="11" t="inlineStr"/>
      <c r="I950" s="11" t="inlineStr"/>
      <c r="J950" s="11" t="inlineStr">
        <is>
          <t>no</t>
        </is>
      </c>
      <c r="K950" s="11" t="inlineStr">
        <is>
          <t>no</t>
        </is>
      </c>
      <c r="L950" s="11" t="inlineStr"/>
    </row>
    <row r="951">
      <c r="A951" s="11" t="inlineStr">
        <is>
          <t>948</t>
        </is>
      </c>
      <c r="B951" s="11" t="inlineStr">
        <is>
          <t>145</t>
        </is>
      </c>
      <c r="C951" s="11" t="inlineStr">
        <is>
          <t>HC/tribunal/other</t>
        </is>
      </c>
      <c r="D951" s="11" t="inlineStr">
        <is>
          <t>yes</t>
        </is>
      </c>
      <c r="E951" s="11" t="inlineStr">
        <is>
          <t>no</t>
        </is>
      </c>
      <c r="F951" s="11" t="inlineStr"/>
      <c r="G951" s="11" t="inlineStr"/>
      <c r="H951" s="11" t="inlineStr">
        <is>
          <t>c26858</t>
        </is>
      </c>
      <c r="I951" s="11" t="inlineStr">
        <is>
          <t>name</t>
        </is>
      </c>
      <c r="J951" s="11" t="inlineStr">
        <is>
          <t>no</t>
        </is>
      </c>
      <c r="K951" s="11" t="inlineStr">
        <is>
          <t>no</t>
        </is>
      </c>
      <c r="L951" s="11" t="inlineStr"/>
    </row>
    <row r="952">
      <c r="A952" s="11" t="inlineStr">
        <is>
          <t>949</t>
        </is>
      </c>
      <c r="B952" s="11" t="inlineStr">
        <is>
          <t>146</t>
        </is>
      </c>
      <c r="C952" s="11" t="inlineStr">
        <is>
          <t>HC/tribunal/other</t>
        </is>
      </c>
      <c r="D952" s="11" t="inlineStr">
        <is>
          <t>no</t>
        </is>
      </c>
      <c r="E952" s="11" t="inlineStr">
        <is>
          <t>no</t>
        </is>
      </c>
      <c r="F952" s="11" t="inlineStr"/>
      <c r="G952" s="11" t="inlineStr"/>
      <c r="H952" s="11" t="inlineStr">
        <is>
          <t>c12549</t>
        </is>
      </c>
      <c r="I952" s="11" t="inlineStr">
        <is>
          <t>cite</t>
        </is>
      </c>
      <c r="J952" s="11" t="inlineStr">
        <is>
          <t>no</t>
        </is>
      </c>
      <c r="K952" s="11" t="inlineStr">
        <is>
          <t>no</t>
        </is>
      </c>
      <c r="L952" s="11" t="inlineStr"/>
    </row>
    <row r="953">
      <c r="A953" s="11" t="inlineStr">
        <is>
          <t>950</t>
        </is>
      </c>
      <c r="B953" s="11" t="inlineStr">
        <is>
          <t>146</t>
        </is>
      </c>
      <c r="C953" s="11" t="inlineStr">
        <is>
          <t>HC/tribunal/other</t>
        </is>
      </c>
      <c r="D953" s="11" t="inlineStr">
        <is>
          <t>no</t>
        </is>
      </c>
      <c r="E953" s="11" t="inlineStr">
        <is>
          <t>no</t>
        </is>
      </c>
      <c r="F953" s="11" t="inlineStr"/>
      <c r="G953" s="11" t="inlineStr"/>
      <c r="H953" s="11" t="inlineStr">
        <is>
          <t>c16609</t>
        </is>
      </c>
      <c r="I953" s="11" t="inlineStr">
        <is>
          <t>name</t>
        </is>
      </c>
      <c r="J953" s="11" t="inlineStr">
        <is>
          <t>no</t>
        </is>
      </c>
      <c r="K953" s="11" t="inlineStr">
        <is>
          <t>no</t>
        </is>
      </c>
      <c r="L953" s="11" t="inlineStr"/>
    </row>
    <row r="954">
      <c r="A954" s="11" t="inlineStr">
        <is>
          <t>951</t>
        </is>
      </c>
      <c r="B954" s="11" t="inlineStr">
        <is>
          <t>146</t>
        </is>
      </c>
      <c r="C954" s="11" t="inlineStr">
        <is>
          <t>HC/tribunal/other</t>
        </is>
      </c>
      <c r="D954" s="11" t="inlineStr">
        <is>
          <t>no</t>
        </is>
      </c>
      <c r="E954" s="11" t="inlineStr">
        <is>
          <t>no</t>
        </is>
      </c>
      <c r="F954" s="11" t="inlineStr"/>
      <c r="G954" s="11" t="inlineStr"/>
      <c r="H954" s="11" t="inlineStr">
        <is>
          <t>c272</t>
        </is>
      </c>
      <c r="I954" s="11" t="inlineStr">
        <is>
          <t>cite</t>
        </is>
      </c>
      <c r="J954" s="11" t="inlineStr">
        <is>
          <t>no</t>
        </is>
      </c>
      <c r="K954" s="11" t="inlineStr">
        <is>
          <t>no</t>
        </is>
      </c>
      <c r="L954" s="11" t="inlineStr"/>
    </row>
    <row r="955">
      <c r="A955" s="11" t="inlineStr">
        <is>
          <t>952</t>
        </is>
      </c>
      <c r="B955" s="11" t="inlineStr">
        <is>
          <t>146</t>
        </is>
      </c>
      <c r="C955" s="11" t="inlineStr">
        <is>
          <t>HC/tribunal/other</t>
        </is>
      </c>
      <c r="D955" s="11" t="inlineStr">
        <is>
          <t>yes</t>
        </is>
      </c>
      <c r="E955" s="11" t="inlineStr">
        <is>
          <t>no</t>
        </is>
      </c>
      <c r="F955" s="11" t="inlineStr"/>
      <c r="G955" s="11" t="inlineStr"/>
      <c r="H955" s="11" t="inlineStr">
        <is>
          <t>c10034</t>
        </is>
      </c>
      <c r="I955" s="11" t="inlineStr">
        <is>
          <t>cite</t>
        </is>
      </c>
      <c r="J955" s="11" t="inlineStr">
        <is>
          <t>no</t>
        </is>
      </c>
      <c r="K955" s="11" t="inlineStr">
        <is>
          <t>no</t>
        </is>
      </c>
      <c r="L955" s="11" t="inlineStr"/>
    </row>
    <row r="956">
      <c r="A956" s="11" t="inlineStr">
        <is>
          <t>953</t>
        </is>
      </c>
      <c r="B956" s="11" t="inlineStr">
        <is>
          <t>146</t>
        </is>
      </c>
      <c r="C956" s="11" t="inlineStr">
        <is>
          <t>HC/tribunal/other</t>
        </is>
      </c>
      <c r="D956" s="11" t="inlineStr">
        <is>
          <t>no</t>
        </is>
      </c>
      <c r="E956" s="11" t="inlineStr">
        <is>
          <t>yes</t>
        </is>
      </c>
      <c r="F956" s="11" t="inlineStr"/>
      <c r="G956" s="11" t="inlineStr"/>
      <c r="H956" s="11" t="inlineStr">
        <is>
          <t>c3193</t>
        </is>
      </c>
      <c r="I956" s="11" t="inlineStr">
        <is>
          <t>cite</t>
        </is>
      </c>
      <c r="J956" s="11" t="inlineStr">
        <is>
          <t>no</t>
        </is>
      </c>
      <c r="K956" s="11" t="inlineStr">
        <is>
          <t>no</t>
        </is>
      </c>
      <c r="L956" s="11" t="inlineStr"/>
    </row>
    <row r="957">
      <c r="A957" s="11" t="inlineStr">
        <is>
          <t>954</t>
        </is>
      </c>
      <c r="B957" s="11" t="inlineStr">
        <is>
          <t>146</t>
        </is>
      </c>
      <c r="C957" s="11" t="inlineStr">
        <is>
          <t>HC/tribunal/other</t>
        </is>
      </c>
      <c r="D957" s="11" t="inlineStr">
        <is>
          <t>no</t>
        </is>
      </c>
      <c r="E957" s="11" t="inlineStr">
        <is>
          <t>no</t>
        </is>
      </c>
      <c r="F957" s="11" t="inlineStr"/>
      <c r="G957" s="11" t="inlineStr"/>
      <c r="H957" s="11" t="inlineStr">
        <is>
          <t>b1999_1_400_407</t>
        </is>
      </c>
      <c r="I957" s="11" t="inlineStr">
        <is>
          <t>cite</t>
        </is>
      </c>
      <c r="J957" s="11" t="inlineStr">
        <is>
          <t>no</t>
        </is>
      </c>
      <c r="K957" s="11" t="inlineStr">
        <is>
          <t>no</t>
        </is>
      </c>
      <c r="L957" s="11" t="inlineStr"/>
    </row>
    <row r="958">
      <c r="A958" s="11" t="inlineStr">
        <is>
          <t>955</t>
        </is>
      </c>
      <c r="B958" s="11" t="inlineStr">
        <is>
          <t>146</t>
        </is>
      </c>
      <c r="C958" s="11" t="inlineStr">
        <is>
          <t>HC/tribunal/other</t>
        </is>
      </c>
      <c r="D958" s="11" t="inlineStr">
        <is>
          <t>no</t>
        </is>
      </c>
      <c r="E958" s="11" t="inlineStr">
        <is>
          <t>no</t>
        </is>
      </c>
      <c r="F958" s="11" t="inlineStr"/>
      <c r="G958" s="11" t="inlineStr"/>
      <c r="H958" s="11" t="inlineStr">
        <is>
          <t>c4779</t>
        </is>
      </c>
      <c r="I958" s="11" t="inlineStr">
        <is>
          <t>cite</t>
        </is>
      </c>
      <c r="J958" s="11" t="inlineStr">
        <is>
          <t>no</t>
        </is>
      </c>
      <c r="K958" s="11" t="inlineStr">
        <is>
          <t>no</t>
        </is>
      </c>
      <c r="L958" s="11" t="inlineStr"/>
    </row>
    <row r="959">
      <c r="A959" s="11" t="inlineStr">
        <is>
          <t>956</t>
        </is>
      </c>
      <c r="B959" s="11" t="inlineStr">
        <is>
          <t>147</t>
        </is>
      </c>
      <c r="C959" s="11" t="inlineStr">
        <is>
          <t>HC/tribunal/other</t>
        </is>
      </c>
      <c r="D959" s="11" t="inlineStr">
        <is>
          <t>no</t>
        </is>
      </c>
      <c r="E959" s="11" t="inlineStr">
        <is>
          <t>no</t>
        </is>
      </c>
      <c r="F959" s="11" t="inlineStr"/>
      <c r="G959" s="11" t="inlineStr"/>
      <c r="H959" s="11" t="inlineStr">
        <is>
          <t>c10116</t>
        </is>
      </c>
      <c r="I959" s="11" t="inlineStr">
        <is>
          <t>cite</t>
        </is>
      </c>
      <c r="J959" s="11" t="inlineStr">
        <is>
          <t>no</t>
        </is>
      </c>
      <c r="K959" s="11" t="inlineStr">
        <is>
          <t>no</t>
        </is>
      </c>
      <c r="L959" s="11" t="inlineStr"/>
    </row>
    <row r="960">
      <c r="A960" s="11" t="inlineStr">
        <is>
          <t>957</t>
        </is>
      </c>
      <c r="B960" s="11" t="inlineStr">
        <is>
          <t>147</t>
        </is>
      </c>
      <c r="C960" s="11" t="inlineStr">
        <is>
          <t>HC/tribunal/other</t>
        </is>
      </c>
      <c r="D960" s="11" t="inlineStr">
        <is>
          <t>no</t>
        </is>
      </c>
      <c r="E960" s="11" t="inlineStr">
        <is>
          <t>no</t>
        </is>
      </c>
      <c r="F960" s="11" t="inlineStr"/>
      <c r="G960" s="11" t="inlineStr"/>
      <c r="H960" s="11" t="inlineStr">
        <is>
          <t>c17946</t>
        </is>
      </c>
      <c r="I960" s="11" t="inlineStr">
        <is>
          <t>name</t>
        </is>
      </c>
      <c r="J960" s="11" t="inlineStr">
        <is>
          <t>no</t>
        </is>
      </c>
      <c r="K960" s="11" t="inlineStr">
        <is>
          <t>no</t>
        </is>
      </c>
      <c r="L960" s="11" t="inlineStr"/>
    </row>
    <row r="961">
      <c r="A961" s="11" t="inlineStr">
        <is>
          <t>958</t>
        </is>
      </c>
      <c r="B961" s="11" t="inlineStr">
        <is>
          <t>147</t>
        </is>
      </c>
      <c r="C961" s="11" t="inlineStr">
        <is>
          <t>HC/tribunal/other</t>
        </is>
      </c>
      <c r="D961" s="11" t="inlineStr">
        <is>
          <t>no</t>
        </is>
      </c>
      <c r="E961" s="11" t="inlineStr">
        <is>
          <t>no</t>
        </is>
      </c>
      <c r="F961" s="11" t="inlineStr"/>
      <c r="G961" s="11" t="inlineStr"/>
      <c r="H961" s="11" t="inlineStr">
        <is>
          <t>c14750</t>
        </is>
      </c>
      <c r="I961" s="11" t="inlineStr">
        <is>
          <t>name</t>
        </is>
      </c>
      <c r="J961" s="11" t="inlineStr">
        <is>
          <t>no</t>
        </is>
      </c>
      <c r="K961" s="11" t="inlineStr">
        <is>
          <t>no</t>
        </is>
      </c>
      <c r="L961" s="11" t="inlineStr"/>
    </row>
    <row r="962">
      <c r="A962" s="11" t="inlineStr">
        <is>
          <t>959</t>
        </is>
      </c>
      <c r="B962" s="11" t="inlineStr">
        <is>
          <t>147</t>
        </is>
      </c>
      <c r="C962" s="11" t="inlineStr">
        <is>
          <t>HC/tribunal/other</t>
        </is>
      </c>
      <c r="D962" s="11" t="inlineStr">
        <is>
          <t>no</t>
        </is>
      </c>
      <c r="E962" s="11" t="inlineStr">
        <is>
          <t>no</t>
        </is>
      </c>
      <c r="F962" s="11" t="inlineStr"/>
      <c r="G962" s="11" t="inlineStr"/>
      <c r="H962" s="11" t="inlineStr">
        <is>
          <t>c10467</t>
        </is>
      </c>
      <c r="I962" s="11" t="inlineStr">
        <is>
          <t>cite</t>
        </is>
      </c>
      <c r="J962" s="11" t="inlineStr">
        <is>
          <t>no</t>
        </is>
      </c>
      <c r="K962" s="11" t="inlineStr">
        <is>
          <t>no</t>
        </is>
      </c>
      <c r="L962" s="11" t="inlineStr"/>
    </row>
    <row r="963">
      <c r="A963" s="11" t="inlineStr">
        <is>
          <t>960</t>
        </is>
      </c>
      <c r="B963" s="11" t="inlineStr">
        <is>
          <t>147</t>
        </is>
      </c>
      <c r="C963" s="11" t="inlineStr">
        <is>
          <t>HC/tribunal/other</t>
        </is>
      </c>
      <c r="D963" s="11" t="inlineStr">
        <is>
          <t>no</t>
        </is>
      </c>
      <c r="E963" s="11" t="inlineStr">
        <is>
          <t>no</t>
        </is>
      </c>
      <c r="F963" s="11" t="inlineStr"/>
      <c r="G963" s="11" t="inlineStr"/>
      <c r="H963" s="11" t="inlineStr"/>
      <c r="I963" s="11" t="inlineStr"/>
      <c r="J963" s="11" t="inlineStr">
        <is>
          <t>no</t>
        </is>
      </c>
      <c r="K963" s="11" t="inlineStr">
        <is>
          <t>no</t>
        </is>
      </c>
      <c r="L963" s="11" t="inlineStr"/>
    </row>
    <row r="964">
      <c r="A964" s="11" t="inlineStr">
        <is>
          <t>961</t>
        </is>
      </c>
      <c r="B964" s="11" t="inlineStr">
        <is>
          <t>147</t>
        </is>
      </c>
      <c r="C964" s="11" t="inlineStr">
        <is>
          <t>HC/tribunal/other</t>
        </is>
      </c>
      <c r="D964" s="11" t="inlineStr">
        <is>
          <t>no</t>
        </is>
      </c>
      <c r="E964" s="11" t="inlineStr">
        <is>
          <t>no</t>
        </is>
      </c>
      <c r="F964" s="11" t="inlineStr"/>
      <c r="G964" s="11" t="inlineStr"/>
      <c r="H964" s="11" t="inlineStr">
        <is>
          <t>c3161</t>
        </is>
      </c>
      <c r="I964" s="11" t="inlineStr">
        <is>
          <t>cite</t>
        </is>
      </c>
      <c r="J964" s="11" t="inlineStr">
        <is>
          <t>no</t>
        </is>
      </c>
      <c r="K964" s="11" t="inlineStr">
        <is>
          <t>no</t>
        </is>
      </c>
      <c r="L964" s="11" t="inlineStr"/>
    </row>
    <row r="965">
      <c r="A965" s="11" t="inlineStr">
        <is>
          <t>962</t>
        </is>
      </c>
      <c r="B965" s="11" t="inlineStr">
        <is>
          <t>148</t>
        </is>
      </c>
      <c r="C965" s="11" t="inlineStr">
        <is>
          <t>HC/tribunal/other</t>
        </is>
      </c>
      <c r="D965" s="11" t="inlineStr">
        <is>
          <t>no</t>
        </is>
      </c>
      <c r="E965" s="11" t="inlineStr">
        <is>
          <t>no</t>
        </is>
      </c>
      <c r="F965" s="11" t="inlineStr"/>
      <c r="G965" s="11" t="inlineStr"/>
      <c r="H965" s="11" t="inlineStr">
        <is>
          <t>c5143</t>
        </is>
      </c>
      <c r="I965" s="11" t="inlineStr">
        <is>
          <t>cite</t>
        </is>
      </c>
      <c r="J965" s="11" t="inlineStr">
        <is>
          <t>no</t>
        </is>
      </c>
      <c r="K965" s="11" t="inlineStr">
        <is>
          <t>no</t>
        </is>
      </c>
      <c r="L965" s="11" t="inlineStr"/>
    </row>
    <row r="966">
      <c r="A966" s="11" t="inlineStr">
        <is>
          <t>963</t>
        </is>
      </c>
      <c r="B966" s="11" t="inlineStr">
        <is>
          <t>148</t>
        </is>
      </c>
      <c r="C966" s="11" t="inlineStr">
        <is>
          <t>HC/tribunal/other</t>
        </is>
      </c>
      <c r="D966" s="11" t="inlineStr">
        <is>
          <t>no</t>
        </is>
      </c>
      <c r="E966" s="11" t="inlineStr">
        <is>
          <t>yes</t>
        </is>
      </c>
      <c r="F966" s="11" t="inlineStr"/>
      <c r="G966" s="11" t="inlineStr"/>
      <c r="H966" s="11" t="inlineStr">
        <is>
          <t>c4452</t>
        </is>
      </c>
      <c r="I966" s="11" t="inlineStr">
        <is>
          <t>cite</t>
        </is>
      </c>
      <c r="J966" s="11" t="inlineStr">
        <is>
          <t>no</t>
        </is>
      </c>
      <c r="K966" s="11" t="inlineStr">
        <is>
          <t>no</t>
        </is>
      </c>
      <c r="L966" s="11" t="inlineStr"/>
    </row>
    <row r="967">
      <c r="A967" s="11" t="inlineStr">
        <is>
          <t>964</t>
        </is>
      </c>
      <c r="B967" s="11" t="inlineStr">
        <is>
          <t>148</t>
        </is>
      </c>
      <c r="C967" s="11" t="inlineStr">
        <is>
          <t>HC/tribunal/other</t>
        </is>
      </c>
      <c r="D967" s="11" t="inlineStr">
        <is>
          <t>no</t>
        </is>
      </c>
      <c r="E967" s="11" t="inlineStr">
        <is>
          <t>no</t>
        </is>
      </c>
      <c r="F967" s="11" t="inlineStr"/>
      <c r="G967" s="11" t="inlineStr"/>
      <c r="H967" s="11" t="inlineStr">
        <is>
          <t>c5233</t>
        </is>
      </c>
      <c r="I967" s="11" t="inlineStr">
        <is>
          <t>cite</t>
        </is>
      </c>
      <c r="J967" s="11" t="inlineStr">
        <is>
          <t>no</t>
        </is>
      </c>
      <c r="K967" s="11" t="inlineStr">
        <is>
          <t>no</t>
        </is>
      </c>
      <c r="L967" s="11" t="inlineStr"/>
    </row>
    <row r="968">
      <c r="A968" s="11" t="inlineStr">
        <is>
          <t>965</t>
        </is>
      </c>
      <c r="B968" s="11" t="inlineStr">
        <is>
          <t>148</t>
        </is>
      </c>
      <c r="C968" s="11" t="inlineStr">
        <is>
          <t>HC/tribunal/other</t>
        </is>
      </c>
      <c r="D968" s="11" t="inlineStr">
        <is>
          <t>yes</t>
        </is>
      </c>
      <c r="E968" s="11" t="inlineStr">
        <is>
          <t>no</t>
        </is>
      </c>
      <c r="F968" s="11" t="inlineStr"/>
      <c r="G968" s="11" t="inlineStr"/>
      <c r="H968" s="11" t="inlineStr">
        <is>
          <t>c26729</t>
        </is>
      </c>
      <c r="I968" s="11" t="inlineStr">
        <is>
          <t>cite</t>
        </is>
      </c>
      <c r="J968" s="11" t="inlineStr">
        <is>
          <t>no</t>
        </is>
      </c>
      <c r="K968" s="11" t="inlineStr">
        <is>
          <t>no</t>
        </is>
      </c>
      <c r="L968" s="11" t="inlineStr"/>
    </row>
    <row r="969">
      <c r="A969" s="11" t="inlineStr">
        <is>
          <t>966</t>
        </is>
      </c>
      <c r="B969" s="11" t="inlineStr">
        <is>
          <t>148</t>
        </is>
      </c>
      <c r="C969" s="11" t="inlineStr">
        <is>
          <t>HC/tribunal/other</t>
        </is>
      </c>
      <c r="D969" s="11" t="inlineStr">
        <is>
          <t>no</t>
        </is>
      </c>
      <c r="E969" s="11" t="inlineStr">
        <is>
          <t>no</t>
        </is>
      </c>
      <c r="F969" s="11" t="inlineStr"/>
      <c r="G969" s="11" t="inlineStr"/>
      <c r="H969" s="11" t="inlineStr">
        <is>
          <t>c32371</t>
        </is>
      </c>
      <c r="I969" s="11" t="inlineStr">
        <is>
          <t>name</t>
        </is>
      </c>
      <c r="J969" s="11" t="inlineStr">
        <is>
          <t>no</t>
        </is>
      </c>
      <c r="K969" s="11" t="inlineStr">
        <is>
          <t>no</t>
        </is>
      </c>
      <c r="L969" s="11" t="inlineStr"/>
    </row>
    <row r="970">
      <c r="A970" s="11" t="inlineStr">
        <is>
          <t>967</t>
        </is>
      </c>
      <c r="B970" s="11" t="inlineStr">
        <is>
          <t>148</t>
        </is>
      </c>
      <c r="C970" s="11" t="inlineStr">
        <is>
          <t>HC/tribunal/other</t>
        </is>
      </c>
      <c r="D970" s="11" t="inlineStr">
        <is>
          <t>no</t>
        </is>
      </c>
      <c r="E970" s="11" t="inlineStr">
        <is>
          <t>yes</t>
        </is>
      </c>
      <c r="F970" s="11" t="inlineStr"/>
      <c r="G970" s="11" t="inlineStr"/>
      <c r="H970" s="11" t="inlineStr">
        <is>
          <t>c14250</t>
        </is>
      </c>
      <c r="I970" s="11" t="inlineStr">
        <is>
          <t>cite</t>
        </is>
      </c>
      <c r="J970" s="11" t="inlineStr">
        <is>
          <t>no</t>
        </is>
      </c>
      <c r="K970" s="11" t="inlineStr">
        <is>
          <t>no</t>
        </is>
      </c>
      <c r="L970" s="11" t="inlineStr"/>
    </row>
    <row r="971">
      <c r="A971" s="11" t="inlineStr">
        <is>
          <t>968</t>
        </is>
      </c>
      <c r="B971" s="11" t="inlineStr">
        <is>
          <t>148</t>
        </is>
      </c>
      <c r="C971" s="11" t="inlineStr">
        <is>
          <t>HC/tribunal/other</t>
        </is>
      </c>
      <c r="D971" s="11" t="inlineStr">
        <is>
          <t>no</t>
        </is>
      </c>
      <c r="E971" s="11" t="inlineStr">
        <is>
          <t>no</t>
        </is>
      </c>
      <c r="F971" s="11" t="inlineStr"/>
      <c r="G971" s="11" t="inlineStr"/>
      <c r="H971" s="11" t="inlineStr">
        <is>
          <t>c5726</t>
        </is>
      </c>
      <c r="I971" s="11" t="inlineStr">
        <is>
          <t>cite</t>
        </is>
      </c>
      <c r="J971" s="11" t="inlineStr">
        <is>
          <t>no</t>
        </is>
      </c>
      <c r="K971" s="11" t="inlineStr">
        <is>
          <t>no</t>
        </is>
      </c>
      <c r="L971" s="11" t="inlineStr"/>
    </row>
    <row r="972">
      <c r="A972" s="11" t="inlineStr">
        <is>
          <t>969</t>
        </is>
      </c>
      <c r="B972" s="11" t="inlineStr">
        <is>
          <t>149</t>
        </is>
      </c>
      <c r="C972" s="11" t="inlineStr">
        <is>
          <t>HC/tribunal/other</t>
        </is>
      </c>
      <c r="D972" s="11" t="inlineStr">
        <is>
          <t>no</t>
        </is>
      </c>
      <c r="E972" s="11" t="inlineStr">
        <is>
          <t>no</t>
        </is>
      </c>
      <c r="F972" s="11" t="inlineStr"/>
      <c r="G972" s="11" t="inlineStr"/>
      <c r="H972" s="11" t="inlineStr">
        <is>
          <t>c12411</t>
        </is>
      </c>
      <c r="I972" s="11" t="inlineStr">
        <is>
          <t>cite</t>
        </is>
      </c>
      <c r="J972" s="11" t="inlineStr">
        <is>
          <t>no</t>
        </is>
      </c>
      <c r="K972" s="11" t="inlineStr">
        <is>
          <t>no</t>
        </is>
      </c>
      <c r="L972" s="11" t="inlineStr"/>
    </row>
    <row r="973">
      <c r="A973" s="11" t="inlineStr">
        <is>
          <t>970</t>
        </is>
      </c>
      <c r="B973" s="11" t="inlineStr">
        <is>
          <t>149</t>
        </is>
      </c>
      <c r="C973" s="11" t="inlineStr">
        <is>
          <t>HC/tribunal/other</t>
        </is>
      </c>
      <c r="D973" s="11" t="inlineStr">
        <is>
          <t>no</t>
        </is>
      </c>
      <c r="E973" s="11" t="inlineStr">
        <is>
          <t>no</t>
        </is>
      </c>
      <c r="F973" s="11" t="inlineStr"/>
      <c r="G973" s="11" t="inlineStr"/>
      <c r="H973" s="11" t="inlineStr">
        <is>
          <t>c5856</t>
        </is>
      </c>
      <c r="I973" s="11" t="inlineStr">
        <is>
          <t>cite</t>
        </is>
      </c>
      <c r="J973" s="11" t="inlineStr">
        <is>
          <t>no</t>
        </is>
      </c>
      <c r="K973" s="11" t="inlineStr">
        <is>
          <t>no</t>
        </is>
      </c>
      <c r="L973" s="11" t="inlineStr"/>
    </row>
    <row r="974">
      <c r="A974" s="11" t="inlineStr">
        <is>
          <t>971</t>
        </is>
      </c>
      <c r="B974" s="11" t="inlineStr">
        <is>
          <t>149</t>
        </is>
      </c>
      <c r="C974" s="11" t="inlineStr">
        <is>
          <t>HC/tribunal/other</t>
        </is>
      </c>
      <c r="D974" s="11" t="inlineStr">
        <is>
          <t>yes</t>
        </is>
      </c>
      <c r="E974" s="11" t="inlineStr">
        <is>
          <t>no</t>
        </is>
      </c>
      <c r="F974" s="11" t="inlineStr"/>
      <c r="G974" s="11" t="inlineStr"/>
      <c r="H974" s="11" t="inlineStr">
        <is>
          <t>c27441</t>
        </is>
      </c>
      <c r="I974" s="11" t="inlineStr">
        <is>
          <t>cite</t>
        </is>
      </c>
      <c r="J974" s="11" t="inlineStr">
        <is>
          <t>no</t>
        </is>
      </c>
      <c r="K974" s="11" t="inlineStr">
        <is>
          <t>no</t>
        </is>
      </c>
      <c r="L974" s="11" t="inlineStr"/>
    </row>
    <row r="975">
      <c r="A975" s="11" t="inlineStr">
        <is>
          <t>972</t>
        </is>
      </c>
      <c r="B975" s="11" t="inlineStr">
        <is>
          <t>149</t>
        </is>
      </c>
      <c r="C975" s="11" t="inlineStr">
        <is>
          <t>HC/tribunal/other</t>
        </is>
      </c>
      <c r="D975" s="11" t="inlineStr">
        <is>
          <t>yes</t>
        </is>
      </c>
      <c r="E975" s="11" t="inlineStr">
        <is>
          <t>no</t>
        </is>
      </c>
      <c r="F975" s="11" t="inlineStr"/>
      <c r="G975" s="11" t="inlineStr"/>
      <c r="H975" s="11" t="inlineStr">
        <is>
          <t>c1421</t>
        </is>
      </c>
      <c r="I975" s="11" t="inlineStr">
        <is>
          <t>cite</t>
        </is>
      </c>
      <c r="J975" s="11" t="inlineStr">
        <is>
          <t>no</t>
        </is>
      </c>
      <c r="K975" s="11" t="inlineStr">
        <is>
          <t>no</t>
        </is>
      </c>
      <c r="L975" s="11" t="inlineStr"/>
    </row>
    <row r="976">
      <c r="A976" s="11" t="inlineStr">
        <is>
          <t>973</t>
        </is>
      </c>
      <c r="B976" s="11" t="inlineStr">
        <is>
          <t>149</t>
        </is>
      </c>
      <c r="C976" s="11" t="inlineStr">
        <is>
          <t>HC/tribunal/other</t>
        </is>
      </c>
      <c r="D976" s="11" t="inlineStr">
        <is>
          <t>yes</t>
        </is>
      </c>
      <c r="E976" s="11" t="inlineStr">
        <is>
          <t>no</t>
        </is>
      </c>
      <c r="F976" s="11" t="inlineStr"/>
      <c r="G976" s="11" t="inlineStr"/>
      <c r="H976" s="11" t="inlineStr">
        <is>
          <t>c4450</t>
        </is>
      </c>
      <c r="I976" s="11" t="inlineStr">
        <is>
          <t>cite</t>
        </is>
      </c>
      <c r="J976" s="11" t="inlineStr">
        <is>
          <t>no</t>
        </is>
      </c>
      <c r="K976" s="11" t="inlineStr">
        <is>
          <t>no</t>
        </is>
      </c>
      <c r="L976" s="11" t="inlineStr"/>
    </row>
    <row r="977">
      <c r="A977" s="11" t="inlineStr">
        <is>
          <t>974</t>
        </is>
      </c>
      <c r="B977" s="11" t="inlineStr">
        <is>
          <t>149</t>
        </is>
      </c>
      <c r="C977" s="11" t="inlineStr">
        <is>
          <t>HC/tribunal/other</t>
        </is>
      </c>
      <c r="D977" s="11" t="inlineStr">
        <is>
          <t>no</t>
        </is>
      </c>
      <c r="E977" s="11" t="inlineStr">
        <is>
          <t>yes</t>
        </is>
      </c>
      <c r="F977" s="11" t="inlineStr"/>
      <c r="G977" s="11" t="inlineStr"/>
      <c r="H977" s="11" t="inlineStr">
        <is>
          <t>c16865</t>
        </is>
      </c>
      <c r="I977" s="11" t="inlineStr">
        <is>
          <t>cite</t>
        </is>
      </c>
      <c r="J977" s="11" t="inlineStr">
        <is>
          <t>no</t>
        </is>
      </c>
      <c r="K977" s="11" t="inlineStr">
        <is>
          <t>no</t>
        </is>
      </c>
      <c r="L977" s="11" t="inlineStr"/>
    </row>
    <row r="978">
      <c r="A978" s="11" t="inlineStr">
        <is>
          <t>975</t>
        </is>
      </c>
      <c r="B978" s="11" t="inlineStr">
        <is>
          <t>150</t>
        </is>
      </c>
      <c r="C978" s="11" t="inlineStr">
        <is>
          <t>HC/tribunal/other</t>
        </is>
      </c>
      <c r="D978" s="11" t="inlineStr">
        <is>
          <t>no</t>
        </is>
      </c>
      <c r="E978" s="11" t="inlineStr">
        <is>
          <t>no</t>
        </is>
      </c>
      <c r="F978" s="11" t="inlineStr"/>
      <c r="G978" s="11" t="inlineStr"/>
      <c r="H978" s="11" t="inlineStr">
        <is>
          <t>c192</t>
        </is>
      </c>
      <c r="I978" s="11" t="inlineStr">
        <is>
          <t>cite</t>
        </is>
      </c>
      <c r="J978" s="11" t="inlineStr">
        <is>
          <t>no</t>
        </is>
      </c>
      <c r="K978" s="11" t="inlineStr">
        <is>
          <t>no</t>
        </is>
      </c>
      <c r="L978" s="11" t="inlineStr"/>
    </row>
    <row r="979">
      <c r="A979" s="11" t="inlineStr">
        <is>
          <t>976</t>
        </is>
      </c>
      <c r="B979" s="11" t="inlineStr">
        <is>
          <t>150</t>
        </is>
      </c>
      <c r="C979" s="11" t="inlineStr">
        <is>
          <t>HC/tribunal/other</t>
        </is>
      </c>
      <c r="D979" s="11" t="inlineStr">
        <is>
          <t>no</t>
        </is>
      </c>
      <c r="E979" s="11" t="inlineStr">
        <is>
          <t>no</t>
        </is>
      </c>
      <c r="F979" s="11" t="inlineStr"/>
      <c r="G979" s="11" t="inlineStr"/>
      <c r="H979" s="11" t="inlineStr">
        <is>
          <t>c9469</t>
        </is>
      </c>
      <c r="I979" s="11" t="inlineStr">
        <is>
          <t>cite</t>
        </is>
      </c>
      <c r="J979" s="11" t="inlineStr">
        <is>
          <t>no</t>
        </is>
      </c>
      <c r="K979" s="11" t="inlineStr">
        <is>
          <t>no</t>
        </is>
      </c>
      <c r="L979" s="11" t="inlineStr"/>
    </row>
    <row r="980">
      <c r="A980" s="11" t="inlineStr">
        <is>
          <t>977</t>
        </is>
      </c>
      <c r="B980" s="11" t="inlineStr">
        <is>
          <t>150</t>
        </is>
      </c>
      <c r="C980" s="11" t="inlineStr">
        <is>
          <t>HC/tribunal/other</t>
        </is>
      </c>
      <c r="D980" s="11" t="inlineStr">
        <is>
          <t>yes</t>
        </is>
      </c>
      <c r="E980" s="11" t="inlineStr">
        <is>
          <t>no</t>
        </is>
      </c>
      <c r="F980" s="11" t="inlineStr"/>
      <c r="G980" s="11" t="inlineStr"/>
      <c r="H980" s="11" t="inlineStr">
        <is>
          <t>c12413</t>
        </is>
      </c>
      <c r="I980" s="11" t="inlineStr">
        <is>
          <t>cite</t>
        </is>
      </c>
      <c r="J980" s="11" t="inlineStr">
        <is>
          <t>no</t>
        </is>
      </c>
      <c r="K980" s="11" t="inlineStr">
        <is>
          <t>no</t>
        </is>
      </c>
      <c r="L980" s="11" t="inlineStr"/>
    </row>
    <row r="981">
      <c r="A981" s="11" t="inlineStr">
        <is>
          <t>978</t>
        </is>
      </c>
      <c r="B981" s="11" t="inlineStr">
        <is>
          <t>150</t>
        </is>
      </c>
      <c r="C981" s="11" t="inlineStr">
        <is>
          <t>HC/tribunal/other</t>
        </is>
      </c>
      <c r="D981" s="11" t="inlineStr">
        <is>
          <t>yes</t>
        </is>
      </c>
      <c r="E981" s="11" t="inlineStr">
        <is>
          <t>no</t>
        </is>
      </c>
      <c r="F981" s="11" t="inlineStr"/>
      <c r="G981" s="11" t="inlineStr"/>
      <c r="H981" s="11" t="inlineStr">
        <is>
          <t>c13398</t>
        </is>
      </c>
      <c r="I981" s="11" t="inlineStr">
        <is>
          <t>cite</t>
        </is>
      </c>
      <c r="J981" s="11" t="inlineStr">
        <is>
          <t>no</t>
        </is>
      </c>
      <c r="K981" s="11" t="inlineStr">
        <is>
          <t>no</t>
        </is>
      </c>
      <c r="L981" s="11" t="inlineStr"/>
    </row>
    <row r="982">
      <c r="A982" s="11" t="inlineStr">
        <is>
          <t>979</t>
        </is>
      </c>
      <c r="B982" s="11" t="inlineStr">
        <is>
          <t>150</t>
        </is>
      </c>
      <c r="C982" s="11" t="inlineStr">
        <is>
          <t>HC/tribunal/other</t>
        </is>
      </c>
      <c r="D982" s="11" t="inlineStr">
        <is>
          <t>no</t>
        </is>
      </c>
      <c r="E982" s="11" t="inlineStr">
        <is>
          <t>no</t>
        </is>
      </c>
      <c r="F982" s="11" t="inlineStr"/>
      <c r="G982" s="11" t="inlineStr"/>
      <c r="H982" s="11" t="inlineStr">
        <is>
          <t>c9624</t>
        </is>
      </c>
      <c r="I982" s="11" t="inlineStr">
        <is>
          <t>cite</t>
        </is>
      </c>
      <c r="J982" s="11" t="inlineStr">
        <is>
          <t>no</t>
        </is>
      </c>
      <c r="K982" s="11" t="inlineStr">
        <is>
          <t>no</t>
        </is>
      </c>
      <c r="L982" s="11" t="inlineStr"/>
    </row>
    <row r="983">
      <c r="A983" s="11" t="inlineStr">
        <is>
          <t>980</t>
        </is>
      </c>
      <c r="B983" s="11" t="inlineStr">
        <is>
          <t>150</t>
        </is>
      </c>
      <c r="C983" s="11" t="inlineStr">
        <is>
          <t>HC/tribunal/other</t>
        </is>
      </c>
      <c r="D983" s="11" t="inlineStr">
        <is>
          <t>no</t>
        </is>
      </c>
      <c r="E983" s="11" t="inlineStr">
        <is>
          <t>no</t>
        </is>
      </c>
      <c r="F983" s="11" t="inlineStr"/>
      <c r="G983" s="11" t="inlineStr"/>
      <c r="H983" s="11" t="inlineStr">
        <is>
          <t>c31857</t>
        </is>
      </c>
      <c r="I983" s="11" t="inlineStr">
        <is>
          <t>name</t>
        </is>
      </c>
      <c r="J983" s="11" t="inlineStr">
        <is>
          <t>no</t>
        </is>
      </c>
      <c r="K983" s="11" t="inlineStr">
        <is>
          <t>no</t>
        </is>
      </c>
      <c r="L983" s="11" t="inlineStr"/>
    </row>
    <row r="984">
      <c r="A984" s="11" t="inlineStr">
        <is>
          <t>981</t>
        </is>
      </c>
      <c r="B984" s="11" t="inlineStr">
        <is>
          <t>151</t>
        </is>
      </c>
      <c r="C984" s="11" t="inlineStr">
        <is>
          <t>HC/tribunal/other</t>
        </is>
      </c>
      <c r="D984" s="11" t="inlineStr">
        <is>
          <t>no</t>
        </is>
      </c>
      <c r="E984" s="11" t="inlineStr">
        <is>
          <t>no</t>
        </is>
      </c>
      <c r="F984" s="11" t="inlineStr"/>
      <c r="G984" s="11" t="inlineStr"/>
      <c r="H984" s="11" t="inlineStr">
        <is>
          <t>c6852</t>
        </is>
      </c>
      <c r="I984" s="11" t="inlineStr">
        <is>
          <t>name</t>
        </is>
      </c>
      <c r="J984" s="11" t="inlineStr">
        <is>
          <t>no</t>
        </is>
      </c>
      <c r="K984" s="11" t="inlineStr">
        <is>
          <t>no</t>
        </is>
      </c>
      <c r="L984" s="11" t="inlineStr"/>
    </row>
    <row r="985">
      <c r="A985" s="11" t="inlineStr">
        <is>
          <t>982</t>
        </is>
      </c>
      <c r="B985" s="11" t="inlineStr">
        <is>
          <t>151</t>
        </is>
      </c>
      <c r="C985" s="11" t="inlineStr">
        <is>
          <t>HC/tribunal/other</t>
        </is>
      </c>
      <c r="D985" s="11" t="inlineStr">
        <is>
          <t>no</t>
        </is>
      </c>
      <c r="E985" s="11" t="inlineStr">
        <is>
          <t>yes</t>
        </is>
      </c>
      <c r="F985" s="11" t="inlineStr"/>
      <c r="G985" s="11" t="inlineStr"/>
      <c r="H985" s="11" t="inlineStr">
        <is>
          <t>c6146</t>
        </is>
      </c>
      <c r="I985" s="11" t="inlineStr">
        <is>
          <t>cite</t>
        </is>
      </c>
      <c r="J985" s="11" t="inlineStr">
        <is>
          <t>no</t>
        </is>
      </c>
      <c r="K985" s="11" t="inlineStr">
        <is>
          <t>no</t>
        </is>
      </c>
      <c r="L985" s="11" t="inlineStr"/>
    </row>
    <row r="986">
      <c r="A986" s="11" t="inlineStr">
        <is>
          <t>983</t>
        </is>
      </c>
      <c r="B986" s="11" t="inlineStr">
        <is>
          <t>151</t>
        </is>
      </c>
      <c r="C986" s="11" t="inlineStr">
        <is>
          <t>HC/tribunal/other</t>
        </is>
      </c>
      <c r="D986" s="11" t="inlineStr">
        <is>
          <t>no</t>
        </is>
      </c>
      <c r="E986" s="11" t="inlineStr">
        <is>
          <t>no</t>
        </is>
      </c>
      <c r="F986" s="11" t="inlineStr"/>
      <c r="G986" s="11" t="inlineStr"/>
      <c r="H986" s="11" t="inlineStr">
        <is>
          <t>c12359</t>
        </is>
      </c>
      <c r="I986" s="11" t="inlineStr">
        <is>
          <t>name</t>
        </is>
      </c>
      <c r="J986" s="11" t="inlineStr">
        <is>
          <t>no</t>
        </is>
      </c>
      <c r="K986" s="11" t="inlineStr">
        <is>
          <t>no</t>
        </is>
      </c>
      <c r="L986" s="11" t="inlineStr"/>
    </row>
    <row r="987">
      <c r="A987" s="11" t="inlineStr">
        <is>
          <t>984</t>
        </is>
      </c>
      <c r="B987" s="11" t="inlineStr">
        <is>
          <t>151</t>
        </is>
      </c>
      <c r="C987" s="11" t="inlineStr">
        <is>
          <t>HC/tribunal/other</t>
        </is>
      </c>
      <c r="D987" s="11" t="inlineStr">
        <is>
          <t>no</t>
        </is>
      </c>
      <c r="E987" s="11" t="inlineStr">
        <is>
          <t>no</t>
        </is>
      </c>
      <c r="F987" s="11" t="inlineStr"/>
      <c r="G987" s="11" t="inlineStr"/>
      <c r="H987" s="11" t="inlineStr">
        <is>
          <t>c11004</t>
        </is>
      </c>
      <c r="I987" s="11" t="inlineStr">
        <is>
          <t>cite</t>
        </is>
      </c>
      <c r="J987" s="11" t="inlineStr">
        <is>
          <t>no</t>
        </is>
      </c>
      <c r="K987" s="11" t="inlineStr">
        <is>
          <t>no</t>
        </is>
      </c>
      <c r="L987" s="11" t="inlineStr"/>
    </row>
    <row r="988">
      <c r="A988" s="11" t="inlineStr">
        <is>
          <t>985</t>
        </is>
      </c>
      <c r="B988" s="11" t="inlineStr">
        <is>
          <t>151</t>
        </is>
      </c>
      <c r="C988" s="11" t="inlineStr">
        <is>
          <t>HC/tribunal/other</t>
        </is>
      </c>
      <c r="D988" s="11" t="inlineStr">
        <is>
          <t>yes</t>
        </is>
      </c>
      <c r="E988" s="11" t="inlineStr">
        <is>
          <t>no</t>
        </is>
      </c>
      <c r="F988" s="11" t="inlineStr"/>
      <c r="G988" s="11" t="inlineStr"/>
      <c r="H988" s="11" t="inlineStr">
        <is>
          <t>b1999_3_1056_1059</t>
        </is>
      </c>
      <c r="I988" s="11" t="inlineStr">
        <is>
          <t>cite</t>
        </is>
      </c>
      <c r="J988" s="11" t="inlineStr">
        <is>
          <t>no</t>
        </is>
      </c>
      <c r="K988" s="11" t="inlineStr">
        <is>
          <t>no</t>
        </is>
      </c>
      <c r="L988" s="11" t="inlineStr"/>
    </row>
    <row r="989">
      <c r="A989" s="11" t="inlineStr">
        <is>
          <t>986</t>
        </is>
      </c>
      <c r="B989" s="11" t="inlineStr">
        <is>
          <t>151</t>
        </is>
      </c>
      <c r="C989" s="11" t="inlineStr">
        <is>
          <t>HC/tribunal/other</t>
        </is>
      </c>
      <c r="D989" s="11" t="inlineStr">
        <is>
          <t>no</t>
        </is>
      </c>
      <c r="E989" s="11" t="inlineStr">
        <is>
          <t>no</t>
        </is>
      </c>
      <c r="F989" s="11" t="inlineStr"/>
      <c r="G989" s="11" t="inlineStr"/>
      <c r="H989" s="11" t="inlineStr">
        <is>
          <t>c5726</t>
        </is>
      </c>
      <c r="I989" s="11" t="inlineStr">
        <is>
          <t>cite</t>
        </is>
      </c>
      <c r="J989" s="11" t="inlineStr">
        <is>
          <t>no</t>
        </is>
      </c>
      <c r="K989" s="11" t="inlineStr">
        <is>
          <t>no</t>
        </is>
      </c>
      <c r="L989" s="11" t="inlineStr"/>
    </row>
    <row r="990">
      <c r="A990" s="11" t="inlineStr">
        <is>
          <t>987</t>
        </is>
      </c>
      <c r="B990" s="11" t="inlineStr">
        <is>
          <t>151</t>
        </is>
      </c>
      <c r="C990" s="11" t="inlineStr">
        <is>
          <t>HC/tribunal/other</t>
        </is>
      </c>
      <c r="D990" s="11" t="inlineStr">
        <is>
          <t>no</t>
        </is>
      </c>
      <c r="E990" s="11" t="inlineStr">
        <is>
          <t>no</t>
        </is>
      </c>
      <c r="F990" s="11" t="inlineStr"/>
      <c r="G990" s="11" t="inlineStr"/>
      <c r="H990" s="11" t="inlineStr">
        <is>
          <t>c29344</t>
        </is>
      </c>
      <c r="I990" s="11" t="inlineStr">
        <is>
          <t>cite</t>
        </is>
      </c>
      <c r="J990" s="11" t="inlineStr">
        <is>
          <t>no</t>
        </is>
      </c>
      <c r="K990" s="11" t="inlineStr">
        <is>
          <t>no</t>
        </is>
      </c>
      <c r="L990" s="11" t="inlineStr"/>
    </row>
    <row r="991">
      <c r="A991" s="11" t="inlineStr">
        <is>
          <t>988</t>
        </is>
      </c>
      <c r="B991" s="11" t="inlineStr">
        <is>
          <t>152</t>
        </is>
      </c>
      <c r="C991" s="11" t="inlineStr">
        <is>
          <t>HC/tribunal/other</t>
        </is>
      </c>
      <c r="D991" s="11" t="inlineStr">
        <is>
          <t>yes</t>
        </is>
      </c>
      <c r="E991" s="11" t="inlineStr">
        <is>
          <t>no</t>
        </is>
      </c>
      <c r="F991" s="11" t="inlineStr"/>
      <c r="G991" s="11" t="inlineStr"/>
      <c r="H991" s="11" t="inlineStr">
        <is>
          <t>c28339</t>
        </is>
      </c>
      <c r="I991" s="11" t="inlineStr">
        <is>
          <t>name</t>
        </is>
      </c>
      <c r="J991" s="11" t="inlineStr">
        <is>
          <t>no</t>
        </is>
      </c>
      <c r="K991" s="11" t="inlineStr">
        <is>
          <t>no</t>
        </is>
      </c>
      <c r="L991" s="11" t="inlineStr"/>
    </row>
    <row r="992">
      <c r="A992" s="11" t="inlineStr">
        <is>
          <t>989</t>
        </is>
      </c>
      <c r="B992" s="11" t="inlineStr">
        <is>
          <t>152</t>
        </is>
      </c>
      <c r="C992" s="11" t="inlineStr">
        <is>
          <t>HC/tribunal/other</t>
        </is>
      </c>
      <c r="D992" s="11" t="inlineStr">
        <is>
          <t>no</t>
        </is>
      </c>
      <c r="E992" s="11" t="inlineStr">
        <is>
          <t>no</t>
        </is>
      </c>
      <c r="F992" s="11" t="inlineStr"/>
      <c r="G992" s="11" t="inlineStr"/>
      <c r="H992" s="11" t="inlineStr">
        <is>
          <t>c9338</t>
        </is>
      </c>
      <c r="I992" s="11" t="inlineStr">
        <is>
          <t>cite</t>
        </is>
      </c>
      <c r="J992" s="11" t="inlineStr">
        <is>
          <t>no</t>
        </is>
      </c>
      <c r="K992" s="11" t="inlineStr">
        <is>
          <t>no</t>
        </is>
      </c>
      <c r="L992" s="11" t="inlineStr"/>
    </row>
    <row r="993">
      <c r="A993" s="11" t="inlineStr">
        <is>
          <t>990</t>
        </is>
      </c>
      <c r="B993" s="11" t="inlineStr">
        <is>
          <t>152</t>
        </is>
      </c>
      <c r="C993" s="11" t="inlineStr">
        <is>
          <t>HC/tribunal/other</t>
        </is>
      </c>
      <c r="D993" s="11" t="inlineStr">
        <is>
          <t>yes</t>
        </is>
      </c>
      <c r="E993" s="11" t="inlineStr">
        <is>
          <t>yes</t>
        </is>
      </c>
      <c r="F993" s="11" t="inlineStr"/>
      <c r="G993" s="11" t="inlineStr"/>
      <c r="H993" s="11" t="inlineStr">
        <is>
          <t>bS_1996_5_358_360</t>
        </is>
      </c>
      <c r="I993" s="11" t="inlineStr">
        <is>
          <t>name</t>
        </is>
      </c>
      <c r="J993" s="11" t="inlineStr">
        <is>
          <t>no</t>
        </is>
      </c>
      <c r="K993" s="11" t="inlineStr">
        <is>
          <t>no</t>
        </is>
      </c>
      <c r="L993" s="11" t="inlineStr"/>
    </row>
    <row r="994">
      <c r="A994" s="11" t="inlineStr">
        <is>
          <t>991</t>
        </is>
      </c>
      <c r="B994" s="11" t="inlineStr">
        <is>
          <t>152</t>
        </is>
      </c>
      <c r="C994" s="11" t="inlineStr">
        <is>
          <t>HC/tribunal/other</t>
        </is>
      </c>
      <c r="D994" s="11" t="inlineStr">
        <is>
          <t>no</t>
        </is>
      </c>
      <c r="E994" s="11" t="inlineStr">
        <is>
          <t>no</t>
        </is>
      </c>
      <c r="F994" s="11" t="inlineStr"/>
      <c r="G994" s="11" t="inlineStr"/>
      <c r="H994" s="11" t="inlineStr">
        <is>
          <t>c11004</t>
        </is>
      </c>
      <c r="I994" s="11" t="inlineStr">
        <is>
          <t>cite</t>
        </is>
      </c>
      <c r="J994" s="11" t="inlineStr">
        <is>
          <t>no</t>
        </is>
      </c>
      <c r="K994" s="11" t="inlineStr">
        <is>
          <t>no</t>
        </is>
      </c>
      <c r="L994" s="11" t="inlineStr"/>
    </row>
    <row r="995">
      <c r="A995" s="11" t="inlineStr">
        <is>
          <t>992</t>
        </is>
      </c>
      <c r="B995" s="11" t="inlineStr">
        <is>
          <t>152</t>
        </is>
      </c>
      <c r="C995" s="11" t="inlineStr">
        <is>
          <t>HC/tribunal/other</t>
        </is>
      </c>
      <c r="D995" s="11" t="inlineStr">
        <is>
          <t>no</t>
        </is>
      </c>
      <c r="E995" s="11" t="inlineStr">
        <is>
          <t>no</t>
        </is>
      </c>
      <c r="F995" s="11" t="inlineStr"/>
      <c r="G995" s="11" t="inlineStr"/>
      <c r="H995" s="11" t="inlineStr">
        <is>
          <t>c6706</t>
        </is>
      </c>
      <c r="I995" s="11" t="inlineStr">
        <is>
          <t>cite</t>
        </is>
      </c>
      <c r="J995" s="11" t="inlineStr">
        <is>
          <t>no</t>
        </is>
      </c>
      <c r="K995" s="11" t="inlineStr">
        <is>
          <t>no</t>
        </is>
      </c>
      <c r="L995" s="11" t="inlineStr"/>
    </row>
    <row r="996">
      <c r="A996" s="11" t="inlineStr">
        <is>
          <t>993</t>
        </is>
      </c>
      <c r="B996" s="11" t="inlineStr">
        <is>
          <t>152</t>
        </is>
      </c>
      <c r="C996" s="11" t="inlineStr">
        <is>
          <t>HC/tribunal/other</t>
        </is>
      </c>
      <c r="D996" s="11" t="inlineStr">
        <is>
          <t>no</t>
        </is>
      </c>
      <c r="E996" s="11" t="inlineStr">
        <is>
          <t>no</t>
        </is>
      </c>
      <c r="F996" s="11" t="inlineStr"/>
      <c r="G996" s="11" t="inlineStr"/>
      <c r="H996" s="11" t="inlineStr">
        <is>
          <t>c4796</t>
        </is>
      </c>
      <c r="I996" s="11" t="inlineStr">
        <is>
          <t>cite</t>
        </is>
      </c>
      <c r="J996" s="11" t="inlineStr">
        <is>
          <t>no</t>
        </is>
      </c>
      <c r="K996" s="11" t="inlineStr">
        <is>
          <t>no</t>
        </is>
      </c>
      <c r="L996" s="11" t="inlineStr"/>
    </row>
    <row r="997">
      <c r="A997" s="11" t="inlineStr">
        <is>
          <t>994</t>
        </is>
      </c>
      <c r="B997" s="11" t="inlineStr">
        <is>
          <t>153</t>
        </is>
      </c>
      <c r="C997" s="11" t="inlineStr">
        <is>
          <t>HC/tribunal/other</t>
        </is>
      </c>
      <c r="D997" s="11" t="inlineStr">
        <is>
          <t>no</t>
        </is>
      </c>
      <c r="E997" s="11" t="inlineStr">
        <is>
          <t>no</t>
        </is>
      </c>
      <c r="F997" s="11" t="inlineStr"/>
      <c r="G997" s="11" t="inlineStr"/>
      <c r="H997" s="11" t="inlineStr"/>
      <c r="I997" s="11" t="inlineStr"/>
      <c r="J997" s="11" t="inlineStr">
        <is>
          <t>no</t>
        </is>
      </c>
      <c r="K997" s="11" t="inlineStr">
        <is>
          <t>no</t>
        </is>
      </c>
      <c r="L997" s="11" t="inlineStr"/>
    </row>
    <row r="998">
      <c r="A998" s="11" t="inlineStr">
        <is>
          <t>995</t>
        </is>
      </c>
      <c r="B998" s="11" t="inlineStr">
        <is>
          <t>153</t>
        </is>
      </c>
      <c r="C998" s="11" t="inlineStr">
        <is>
          <t>HC/tribunal/other</t>
        </is>
      </c>
      <c r="D998" s="11" t="inlineStr">
        <is>
          <t>yes</t>
        </is>
      </c>
      <c r="E998" s="11" t="inlineStr">
        <is>
          <t>no</t>
        </is>
      </c>
      <c r="F998" s="11" t="inlineStr"/>
      <c r="G998" s="11" t="inlineStr"/>
      <c r="H998" s="11" t="inlineStr">
        <is>
          <t>c26795</t>
        </is>
      </c>
      <c r="I998" s="11" t="inlineStr">
        <is>
          <t>name</t>
        </is>
      </c>
      <c r="J998" s="11" t="inlineStr">
        <is>
          <t>no</t>
        </is>
      </c>
      <c r="K998" s="11" t="inlineStr">
        <is>
          <t>no</t>
        </is>
      </c>
      <c r="L998" s="11" t="inlineStr"/>
    </row>
    <row r="999">
      <c r="A999" s="11" t="inlineStr">
        <is>
          <t>996</t>
        </is>
      </c>
      <c r="B999" s="11" t="inlineStr">
        <is>
          <t>153</t>
        </is>
      </c>
      <c r="C999" s="11" t="inlineStr">
        <is>
          <t>HC/tribunal/other</t>
        </is>
      </c>
      <c r="D999" s="11" t="inlineStr">
        <is>
          <t>no</t>
        </is>
      </c>
      <c r="E999" s="11" t="inlineStr">
        <is>
          <t>no</t>
        </is>
      </c>
      <c r="F999" s="11" t="inlineStr"/>
      <c r="G999" s="11" t="inlineStr"/>
      <c r="H999" s="11" t="inlineStr">
        <is>
          <t>c10266</t>
        </is>
      </c>
      <c r="I999" s="11" t="inlineStr">
        <is>
          <t>cite</t>
        </is>
      </c>
      <c r="J999" s="11" t="inlineStr">
        <is>
          <t>no</t>
        </is>
      </c>
      <c r="K999" s="11" t="inlineStr">
        <is>
          <t>no</t>
        </is>
      </c>
      <c r="L999" s="11" t="inlineStr"/>
    </row>
    <row r="1000">
      <c r="A1000" s="11" t="inlineStr">
        <is>
          <t>997</t>
        </is>
      </c>
      <c r="B1000" s="11" t="inlineStr">
        <is>
          <t>153</t>
        </is>
      </c>
      <c r="C1000" s="11" t="inlineStr">
        <is>
          <t>HC/tribunal/other</t>
        </is>
      </c>
      <c r="D1000" s="11" t="inlineStr">
        <is>
          <t>no</t>
        </is>
      </c>
      <c r="E1000" s="11" t="inlineStr">
        <is>
          <t>no</t>
        </is>
      </c>
      <c r="F1000" s="11" t="inlineStr"/>
      <c r="G1000" s="11" t="inlineStr"/>
      <c r="H1000" s="11" t="inlineStr">
        <is>
          <t>c10467</t>
        </is>
      </c>
      <c r="I1000" s="11" t="inlineStr">
        <is>
          <t>cite</t>
        </is>
      </c>
      <c r="J1000" s="11" t="inlineStr">
        <is>
          <t>no</t>
        </is>
      </c>
      <c r="K1000" s="11" t="inlineStr">
        <is>
          <t>no</t>
        </is>
      </c>
      <c r="L1000" s="11" t="inlineStr"/>
    </row>
    <row r="1001">
      <c r="A1001" s="11" t="inlineStr">
        <is>
          <t>998</t>
        </is>
      </c>
      <c r="B1001" s="11" t="inlineStr">
        <is>
          <t>153</t>
        </is>
      </c>
      <c r="C1001" s="11" t="inlineStr">
        <is>
          <t>HC/tribunal/other</t>
        </is>
      </c>
      <c r="D1001" s="11" t="inlineStr">
        <is>
          <t>no</t>
        </is>
      </c>
      <c r="E1001" s="11" t="inlineStr">
        <is>
          <t>no</t>
        </is>
      </c>
      <c r="F1001" s="11" t="inlineStr"/>
      <c r="G1001" s="11" t="inlineStr"/>
      <c r="H1001" s="11" t="inlineStr">
        <is>
          <t>c3134</t>
        </is>
      </c>
      <c r="I1001" s="11" t="inlineStr">
        <is>
          <t>cite</t>
        </is>
      </c>
      <c r="J1001" s="11" t="inlineStr">
        <is>
          <t>no</t>
        </is>
      </c>
      <c r="K1001" s="11" t="inlineStr">
        <is>
          <t>no</t>
        </is>
      </c>
      <c r="L1001" s="11" t="inlineStr"/>
    </row>
    <row r="1002">
      <c r="A1002" s="11" t="inlineStr">
        <is>
          <t>999</t>
        </is>
      </c>
      <c r="B1002" s="11" t="inlineStr">
        <is>
          <t>153</t>
        </is>
      </c>
      <c r="C1002" s="11" t="inlineStr">
        <is>
          <t>HC/tribunal/other</t>
        </is>
      </c>
      <c r="D1002" s="11" t="inlineStr">
        <is>
          <t>no</t>
        </is>
      </c>
      <c r="E1002" s="11" t="inlineStr">
        <is>
          <t>no</t>
        </is>
      </c>
      <c r="F1002" s="11" t="inlineStr"/>
      <c r="G1002" s="11" t="inlineStr"/>
      <c r="H1002" s="11" t="inlineStr">
        <is>
          <t>c30693</t>
        </is>
      </c>
      <c r="I1002" s="11" t="inlineStr">
        <is>
          <t>name</t>
        </is>
      </c>
      <c r="J1002" s="11" t="inlineStr">
        <is>
          <t>no</t>
        </is>
      </c>
      <c r="K1002" s="11" t="inlineStr">
        <is>
          <t>no</t>
        </is>
      </c>
      <c r="L1002" s="11" t="inlineStr"/>
    </row>
    <row r="1003">
      <c r="A1003" s="11" t="inlineStr">
        <is>
          <t>1000</t>
        </is>
      </c>
      <c r="B1003" s="11" t="inlineStr">
        <is>
          <t>153</t>
        </is>
      </c>
      <c r="C1003" s="11" t="inlineStr">
        <is>
          <t>HC/tribunal/other</t>
        </is>
      </c>
      <c r="D1003" s="11" t="inlineStr">
        <is>
          <t>no</t>
        </is>
      </c>
      <c r="E1003" s="11" t="inlineStr">
        <is>
          <t>no</t>
        </is>
      </c>
      <c r="F1003" s="11" t="inlineStr"/>
      <c r="G1003" s="11" t="inlineStr"/>
      <c r="H1003" s="11" t="inlineStr"/>
      <c r="I1003" s="11" t="inlineStr"/>
      <c r="J1003" s="11" t="inlineStr">
        <is>
          <t>no</t>
        </is>
      </c>
      <c r="K1003" s="11" t="inlineStr">
        <is>
          <t>no</t>
        </is>
      </c>
      <c r="L1003" s="11" t="inlineStr"/>
    </row>
    <row r="1004">
      <c r="A1004" s="11" t="inlineStr">
        <is>
          <t>1001</t>
        </is>
      </c>
      <c r="B1004" s="11" t="inlineStr">
        <is>
          <t>154</t>
        </is>
      </c>
      <c r="C1004" s="11" t="inlineStr">
        <is>
          <t>HC/tribunal/other</t>
        </is>
      </c>
      <c r="D1004" s="11" t="inlineStr">
        <is>
          <t>yes</t>
        </is>
      </c>
      <c r="E1004" s="11" t="inlineStr">
        <is>
          <t>no</t>
        </is>
      </c>
      <c r="F1004" s="11" t="inlineStr"/>
      <c r="G1004" s="11" t="inlineStr"/>
      <c r="H1004" s="11" t="inlineStr">
        <is>
          <t>c14197</t>
        </is>
      </c>
      <c r="I1004" s="11" t="inlineStr">
        <is>
          <t>cite</t>
        </is>
      </c>
      <c r="J1004" s="11" t="inlineStr">
        <is>
          <t>no</t>
        </is>
      </c>
      <c r="K1004" s="11" t="inlineStr">
        <is>
          <t>no</t>
        </is>
      </c>
      <c r="L1004" s="11" t="inlineStr"/>
    </row>
    <row r="1005">
      <c r="A1005" s="11" t="inlineStr">
        <is>
          <t>1002</t>
        </is>
      </c>
      <c r="B1005" s="11" t="inlineStr">
        <is>
          <t>154</t>
        </is>
      </c>
      <c r="C1005" s="11" t="inlineStr">
        <is>
          <t>HC/tribunal/other</t>
        </is>
      </c>
      <c r="D1005" s="11" t="inlineStr">
        <is>
          <t>no</t>
        </is>
      </c>
      <c r="E1005" s="11" t="inlineStr">
        <is>
          <t>no</t>
        </is>
      </c>
      <c r="F1005" s="11" t="inlineStr"/>
      <c r="G1005" s="11" t="inlineStr"/>
      <c r="H1005" s="11" t="inlineStr">
        <is>
          <t>c4469</t>
        </is>
      </c>
      <c r="I1005" s="11" t="inlineStr">
        <is>
          <t>cite</t>
        </is>
      </c>
      <c r="J1005" s="11" t="inlineStr">
        <is>
          <t>no</t>
        </is>
      </c>
      <c r="K1005" s="11" t="inlineStr">
        <is>
          <t>no</t>
        </is>
      </c>
      <c r="L1005" s="11" t="inlineStr"/>
    </row>
    <row r="1006">
      <c r="A1006" s="11" t="inlineStr">
        <is>
          <t>1003</t>
        </is>
      </c>
      <c r="B1006" s="11" t="inlineStr">
        <is>
          <t>154</t>
        </is>
      </c>
      <c r="C1006" s="11" t="inlineStr">
        <is>
          <t>HC/tribunal/other</t>
        </is>
      </c>
      <c r="D1006" s="11" t="inlineStr">
        <is>
          <t>no</t>
        </is>
      </c>
      <c r="E1006" s="11" t="inlineStr">
        <is>
          <t>no</t>
        </is>
      </c>
      <c r="F1006" s="11" t="inlineStr"/>
      <c r="G1006" s="11" t="inlineStr"/>
      <c r="H1006" s="11" t="inlineStr">
        <is>
          <t>bS_1993_1_169_184</t>
        </is>
      </c>
      <c r="I1006" s="11" t="inlineStr">
        <is>
          <t>name</t>
        </is>
      </c>
      <c r="J1006" s="11" t="inlineStr">
        <is>
          <t>no</t>
        </is>
      </c>
      <c r="K1006" s="11" t="inlineStr">
        <is>
          <t>no</t>
        </is>
      </c>
      <c r="L1006" s="11" t="inlineStr"/>
    </row>
    <row r="1007">
      <c r="A1007" s="11" t="inlineStr">
        <is>
          <t>1004</t>
        </is>
      </c>
      <c r="B1007" s="11" t="inlineStr">
        <is>
          <t>154</t>
        </is>
      </c>
      <c r="C1007" s="11" t="inlineStr">
        <is>
          <t>HC/tribunal/other</t>
        </is>
      </c>
      <c r="D1007" s="11" t="inlineStr">
        <is>
          <t>no</t>
        </is>
      </c>
      <c r="E1007" s="11" t="inlineStr">
        <is>
          <t>no</t>
        </is>
      </c>
      <c r="F1007" s="11" t="inlineStr"/>
      <c r="G1007" s="11" t="inlineStr"/>
      <c r="H1007" s="11" t="inlineStr">
        <is>
          <t>c28542</t>
        </is>
      </c>
      <c r="I1007" s="11" t="inlineStr">
        <is>
          <t>cite</t>
        </is>
      </c>
      <c r="J1007" s="11" t="inlineStr">
        <is>
          <t>no</t>
        </is>
      </c>
      <c r="K1007" s="11" t="inlineStr">
        <is>
          <t>no</t>
        </is>
      </c>
      <c r="L1007" s="11" t="inlineStr"/>
    </row>
    <row r="1008">
      <c r="A1008" s="11" t="inlineStr">
        <is>
          <t>1005</t>
        </is>
      </c>
      <c r="B1008" s="11" t="inlineStr">
        <is>
          <t>154</t>
        </is>
      </c>
      <c r="C1008" s="11" t="inlineStr">
        <is>
          <t>HC/tribunal/other</t>
        </is>
      </c>
      <c r="D1008" s="11" t="inlineStr">
        <is>
          <t>yes</t>
        </is>
      </c>
      <c r="E1008" s="11" t="inlineStr">
        <is>
          <t>no</t>
        </is>
      </c>
      <c r="F1008" s="11" t="inlineStr"/>
      <c r="G1008" s="11" t="inlineStr"/>
      <c r="H1008" s="11" t="inlineStr">
        <is>
          <t>c34365</t>
        </is>
      </c>
      <c r="I1008" s="11" t="inlineStr">
        <is>
          <t>cite</t>
        </is>
      </c>
      <c r="J1008" s="11" t="inlineStr">
        <is>
          <t>no</t>
        </is>
      </c>
      <c r="K1008" s="11" t="inlineStr">
        <is>
          <t>no</t>
        </is>
      </c>
      <c r="L1008" s="11" t="inlineStr"/>
    </row>
    <row r="1009">
      <c r="A1009" s="11" t="inlineStr">
        <is>
          <t>1006</t>
        </is>
      </c>
      <c r="B1009" s="11" t="inlineStr">
        <is>
          <t>154</t>
        </is>
      </c>
      <c r="C1009" s="11" t="inlineStr">
        <is>
          <t>HC/tribunal/other</t>
        </is>
      </c>
      <c r="D1009" s="11" t="inlineStr">
        <is>
          <t>no</t>
        </is>
      </c>
      <c r="E1009" s="11" t="inlineStr">
        <is>
          <t>no</t>
        </is>
      </c>
      <c r="F1009" s="11" t="inlineStr"/>
      <c r="G1009" s="11" t="inlineStr"/>
      <c r="H1009" s="11" t="inlineStr">
        <is>
          <t>c9931</t>
        </is>
      </c>
      <c r="I1009" s="11" t="inlineStr">
        <is>
          <t>cite</t>
        </is>
      </c>
      <c r="J1009" s="11" t="inlineStr">
        <is>
          <t>no</t>
        </is>
      </c>
      <c r="K1009" s="11" t="inlineStr">
        <is>
          <t>no</t>
        </is>
      </c>
      <c r="L1009" s="11" t="inlineStr"/>
    </row>
    <row r="1010">
      <c r="A1010" s="11" t="inlineStr">
        <is>
          <t>1007</t>
        </is>
      </c>
      <c r="B1010" s="11" t="inlineStr">
        <is>
          <t>155</t>
        </is>
      </c>
      <c r="C1010" s="11" t="inlineStr">
        <is>
          <t>HC/tribunal/other</t>
        </is>
      </c>
      <c r="D1010" s="11" t="inlineStr">
        <is>
          <t>yes</t>
        </is>
      </c>
      <c r="E1010" s="11" t="inlineStr">
        <is>
          <t>no</t>
        </is>
      </c>
      <c r="F1010" s="11" t="inlineStr"/>
      <c r="G1010" s="11" t="inlineStr"/>
      <c r="H1010" s="11" t="inlineStr">
        <is>
          <t>c29771</t>
        </is>
      </c>
      <c r="I1010" s="11" t="inlineStr">
        <is>
          <t>name</t>
        </is>
      </c>
      <c r="J1010" s="11" t="inlineStr">
        <is>
          <t>no</t>
        </is>
      </c>
      <c r="K1010" s="11" t="inlineStr">
        <is>
          <t>no</t>
        </is>
      </c>
      <c r="L1010" s="11" t="inlineStr"/>
    </row>
    <row r="1011">
      <c r="A1011" s="11" t="inlineStr">
        <is>
          <t>1008</t>
        </is>
      </c>
      <c r="B1011" s="11" t="inlineStr">
        <is>
          <t>155</t>
        </is>
      </c>
      <c r="C1011" s="11" t="inlineStr">
        <is>
          <t>HC/tribunal/other</t>
        </is>
      </c>
      <c r="D1011" s="11" t="inlineStr">
        <is>
          <t>no</t>
        </is>
      </c>
      <c r="E1011" s="11" t="inlineStr">
        <is>
          <t>no</t>
        </is>
      </c>
      <c r="F1011" s="11" t="inlineStr"/>
      <c r="G1011" s="11" t="inlineStr"/>
      <c r="H1011" s="11" t="inlineStr">
        <is>
          <t>c14419</t>
        </is>
      </c>
      <c r="I1011" s="11" t="inlineStr">
        <is>
          <t>cite</t>
        </is>
      </c>
      <c r="J1011" s="11" t="inlineStr">
        <is>
          <t>yes</t>
        </is>
      </c>
      <c r="K1011" s="11" t="inlineStr">
        <is>
          <t>no</t>
        </is>
      </c>
      <c r="L1011" s="11" t="inlineStr"/>
    </row>
    <row r="1012">
      <c r="A1012" s="11" t="inlineStr">
        <is>
          <t>1009</t>
        </is>
      </c>
      <c r="B1012" s="11" t="inlineStr">
        <is>
          <t>155</t>
        </is>
      </c>
      <c r="C1012" s="11" t="inlineStr">
        <is>
          <t>HC/tribunal/other</t>
        </is>
      </c>
      <c r="D1012" s="11" t="inlineStr">
        <is>
          <t>no</t>
        </is>
      </c>
      <c r="E1012" s="11" t="inlineStr">
        <is>
          <t>no</t>
        </is>
      </c>
      <c r="F1012" s="11" t="inlineStr"/>
      <c r="G1012" s="11" t="inlineStr"/>
      <c r="H1012" s="11" t="inlineStr"/>
      <c r="I1012" s="11" t="inlineStr"/>
      <c r="J1012" s="11" t="inlineStr">
        <is>
          <t>no</t>
        </is>
      </c>
      <c r="K1012" s="11" t="inlineStr">
        <is>
          <t>no</t>
        </is>
      </c>
      <c r="L1012" s="11" t="inlineStr"/>
    </row>
    <row r="1013">
      <c r="A1013" s="11" t="inlineStr">
        <is>
          <t>1010</t>
        </is>
      </c>
      <c r="B1013" s="11" t="inlineStr">
        <is>
          <t>155</t>
        </is>
      </c>
      <c r="C1013" s="11" t="inlineStr">
        <is>
          <t>HC/tribunal/other</t>
        </is>
      </c>
      <c r="D1013" s="11" t="inlineStr">
        <is>
          <t>no</t>
        </is>
      </c>
      <c r="E1013" s="11" t="inlineStr">
        <is>
          <t>no</t>
        </is>
      </c>
      <c r="F1013" s="11" t="inlineStr"/>
      <c r="G1013" s="11" t="inlineStr"/>
      <c r="H1013" s="11" t="inlineStr">
        <is>
          <t>c2553</t>
        </is>
      </c>
      <c r="I1013" s="11" t="inlineStr">
        <is>
          <t>cite</t>
        </is>
      </c>
      <c r="J1013" s="11" t="inlineStr">
        <is>
          <t>no</t>
        </is>
      </c>
      <c r="K1013" s="11" t="inlineStr">
        <is>
          <t>no</t>
        </is>
      </c>
      <c r="L1013" s="11" t="inlineStr"/>
    </row>
    <row r="1014">
      <c r="A1014" s="11" t="inlineStr">
        <is>
          <t>1011</t>
        </is>
      </c>
      <c r="B1014" s="11" t="inlineStr">
        <is>
          <t>155</t>
        </is>
      </c>
      <c r="C1014" s="11" t="inlineStr">
        <is>
          <t>HC/tribunal/other</t>
        </is>
      </c>
      <c r="D1014" s="11" t="inlineStr">
        <is>
          <t>no</t>
        </is>
      </c>
      <c r="E1014" s="11" t="inlineStr">
        <is>
          <t>no</t>
        </is>
      </c>
      <c r="F1014" s="11" t="inlineStr"/>
      <c r="G1014" s="11" t="inlineStr"/>
      <c r="H1014" s="11" t="inlineStr">
        <is>
          <t>c6528</t>
        </is>
      </c>
      <c r="I1014" s="11" t="inlineStr">
        <is>
          <t>cite</t>
        </is>
      </c>
      <c r="J1014" s="11" t="inlineStr">
        <is>
          <t>no</t>
        </is>
      </c>
      <c r="K1014" s="11" t="inlineStr">
        <is>
          <t>no</t>
        </is>
      </c>
      <c r="L1014" s="11" t="inlineStr"/>
    </row>
    <row r="1015">
      <c r="A1015" s="11" t="inlineStr">
        <is>
          <t>1012</t>
        </is>
      </c>
      <c r="B1015" s="11" t="inlineStr">
        <is>
          <t>155</t>
        </is>
      </c>
      <c r="C1015" s="11" t="inlineStr">
        <is>
          <t>HC/tribunal/other</t>
        </is>
      </c>
      <c r="D1015" s="11" t="inlineStr">
        <is>
          <t>no</t>
        </is>
      </c>
      <c r="E1015" s="11" t="inlineStr">
        <is>
          <t>no</t>
        </is>
      </c>
      <c r="F1015" s="11" t="inlineStr"/>
      <c r="G1015" s="11" t="inlineStr"/>
      <c r="H1015" s="11" t="inlineStr">
        <is>
          <t>c28105</t>
        </is>
      </c>
      <c r="I1015" s="11" t="inlineStr">
        <is>
          <t>name</t>
        </is>
      </c>
      <c r="J1015" s="11" t="inlineStr">
        <is>
          <t>no</t>
        </is>
      </c>
      <c r="K1015" s="11" t="inlineStr">
        <is>
          <t>no</t>
        </is>
      </c>
      <c r="L1015" s="11" t="inlineStr"/>
    </row>
    <row r="1016">
      <c r="A1016" s="11" t="inlineStr">
        <is>
          <t>1013</t>
        </is>
      </c>
      <c r="B1016" s="11" t="inlineStr">
        <is>
          <t>155</t>
        </is>
      </c>
      <c r="C1016" s="11" t="inlineStr">
        <is>
          <t>HC/tribunal/other</t>
        </is>
      </c>
      <c r="D1016" s="11" t="inlineStr">
        <is>
          <t>no</t>
        </is>
      </c>
      <c r="E1016" s="11" t="inlineStr">
        <is>
          <t>no</t>
        </is>
      </c>
      <c r="F1016" s="11" t="inlineStr"/>
      <c r="G1016" s="11" t="inlineStr"/>
      <c r="H1016" s="11" t="inlineStr">
        <is>
          <t>c6869</t>
        </is>
      </c>
      <c r="I1016" s="11" t="inlineStr">
        <is>
          <t>cite</t>
        </is>
      </c>
      <c r="J1016" s="11" t="inlineStr">
        <is>
          <t>no</t>
        </is>
      </c>
      <c r="K1016" s="11" t="inlineStr">
        <is>
          <t>no</t>
        </is>
      </c>
      <c r="L1016" s="11" t="inlineStr"/>
    </row>
    <row r="1017">
      <c r="A1017" s="11" t="inlineStr">
        <is>
          <t>1014</t>
        </is>
      </c>
      <c r="B1017" s="11" t="inlineStr">
        <is>
          <t>156</t>
        </is>
      </c>
      <c r="C1017" s="11" t="inlineStr">
        <is>
          <t>HC/tribunal/other</t>
        </is>
      </c>
      <c r="D1017" s="11" t="inlineStr">
        <is>
          <t>yes</t>
        </is>
      </c>
      <c r="E1017" s="11" t="inlineStr">
        <is>
          <t>yes</t>
        </is>
      </c>
      <c r="F1017" s="11" t="inlineStr"/>
      <c r="G1017" s="11" t="inlineStr"/>
      <c r="H1017" s="11" t="inlineStr">
        <is>
          <t>c15234</t>
        </is>
      </c>
      <c r="I1017" s="11" t="inlineStr">
        <is>
          <t>name</t>
        </is>
      </c>
      <c r="J1017" s="11" t="inlineStr">
        <is>
          <t>no</t>
        </is>
      </c>
      <c r="K1017" s="11" t="inlineStr">
        <is>
          <t>no</t>
        </is>
      </c>
      <c r="L1017" s="11" t="inlineStr"/>
    </row>
    <row r="1018">
      <c r="A1018" s="11" t="inlineStr">
        <is>
          <t>1015</t>
        </is>
      </c>
      <c r="B1018" s="11" t="inlineStr">
        <is>
          <t>156</t>
        </is>
      </c>
      <c r="C1018" s="11" t="inlineStr">
        <is>
          <t>HC/tribunal/other</t>
        </is>
      </c>
      <c r="D1018" s="11" t="inlineStr">
        <is>
          <t>no</t>
        </is>
      </c>
      <c r="E1018" s="11" t="inlineStr">
        <is>
          <t>no</t>
        </is>
      </c>
      <c r="F1018" s="11" t="inlineStr"/>
      <c r="G1018" s="11" t="inlineStr"/>
      <c r="H1018" s="11" t="inlineStr">
        <is>
          <t>c7130</t>
        </is>
      </c>
      <c r="I1018" s="11" t="inlineStr">
        <is>
          <t>cite</t>
        </is>
      </c>
      <c r="J1018" s="11" t="inlineStr">
        <is>
          <t>no</t>
        </is>
      </c>
      <c r="K1018" s="11" t="inlineStr">
        <is>
          <t>no</t>
        </is>
      </c>
      <c r="L1018" s="11" t="inlineStr"/>
    </row>
    <row r="1019">
      <c r="A1019" s="11" t="inlineStr">
        <is>
          <t>1016</t>
        </is>
      </c>
      <c r="B1019" s="11" t="inlineStr">
        <is>
          <t>156</t>
        </is>
      </c>
      <c r="C1019" s="11" t="inlineStr">
        <is>
          <t>HC/tribunal/other</t>
        </is>
      </c>
      <c r="D1019" s="11" t="inlineStr">
        <is>
          <t>no</t>
        </is>
      </c>
      <c r="E1019" s="11" t="inlineStr">
        <is>
          <t>no</t>
        </is>
      </c>
      <c r="F1019" s="11" t="inlineStr"/>
      <c r="G1019" s="11" t="inlineStr"/>
      <c r="H1019" s="11" t="inlineStr">
        <is>
          <t>c2691</t>
        </is>
      </c>
      <c r="I1019" s="11" t="inlineStr">
        <is>
          <t>cite</t>
        </is>
      </c>
      <c r="J1019" s="11" t="inlineStr">
        <is>
          <t>no</t>
        </is>
      </c>
      <c r="K1019" s="11" t="inlineStr">
        <is>
          <t>no</t>
        </is>
      </c>
      <c r="L1019" s="11" t="inlineStr"/>
    </row>
    <row r="1020">
      <c r="A1020" s="11" t="inlineStr">
        <is>
          <t>1017</t>
        </is>
      </c>
      <c r="B1020" s="11" t="inlineStr">
        <is>
          <t>156</t>
        </is>
      </c>
      <c r="C1020" s="11" t="inlineStr">
        <is>
          <t>HC/tribunal/other</t>
        </is>
      </c>
      <c r="D1020" s="11" t="inlineStr">
        <is>
          <t>no</t>
        </is>
      </c>
      <c r="E1020" s="11" t="inlineStr">
        <is>
          <t>no</t>
        </is>
      </c>
      <c r="F1020" s="11" t="inlineStr"/>
      <c r="G1020" s="11" t="inlineStr"/>
      <c r="H1020" s="11" t="inlineStr">
        <is>
          <t>c2691</t>
        </is>
      </c>
      <c r="I1020" s="11" t="inlineStr">
        <is>
          <t>cite</t>
        </is>
      </c>
      <c r="J1020" s="11" t="inlineStr">
        <is>
          <t>no</t>
        </is>
      </c>
      <c r="K1020" s="11" t="inlineStr">
        <is>
          <t>no</t>
        </is>
      </c>
      <c r="L1020" s="11" t="inlineStr"/>
    </row>
    <row r="1021">
      <c r="A1021" s="11" t="inlineStr">
        <is>
          <t>1018</t>
        </is>
      </c>
      <c r="B1021" s="11" t="inlineStr">
        <is>
          <t>156</t>
        </is>
      </c>
      <c r="C1021" s="11" t="inlineStr">
        <is>
          <t>HC/tribunal/other</t>
        </is>
      </c>
      <c r="D1021" s="11" t="inlineStr">
        <is>
          <t>no</t>
        </is>
      </c>
      <c r="E1021" s="11" t="inlineStr">
        <is>
          <t>no</t>
        </is>
      </c>
      <c r="F1021" s="11" t="inlineStr"/>
      <c r="G1021" s="11" t="inlineStr"/>
      <c r="H1021" s="11" t="inlineStr"/>
      <c r="I1021" s="11" t="inlineStr"/>
      <c r="J1021" s="11" t="inlineStr">
        <is>
          <t>no</t>
        </is>
      </c>
      <c r="K1021" s="11" t="inlineStr">
        <is>
          <t>no</t>
        </is>
      </c>
      <c r="L1021" s="11" t="inlineStr"/>
    </row>
    <row r="1022">
      <c r="A1022" s="11" t="inlineStr">
        <is>
          <t>1019</t>
        </is>
      </c>
      <c r="B1022" s="11" t="inlineStr">
        <is>
          <t>156</t>
        </is>
      </c>
      <c r="C1022" s="11" t="inlineStr">
        <is>
          <t>HC/tribunal/other</t>
        </is>
      </c>
      <c r="D1022" s="11" t="inlineStr">
        <is>
          <t>yes</t>
        </is>
      </c>
      <c r="E1022" s="11" t="inlineStr">
        <is>
          <t>no</t>
        </is>
      </c>
      <c r="F1022" s="11" t="inlineStr"/>
      <c r="G1022" s="11" t="inlineStr"/>
      <c r="H1022" s="11" t="inlineStr">
        <is>
          <t>c35889</t>
        </is>
      </c>
      <c r="I1022" s="11" t="inlineStr">
        <is>
          <t>name</t>
        </is>
      </c>
      <c r="J1022" s="11" t="inlineStr">
        <is>
          <t>no</t>
        </is>
      </c>
      <c r="K1022" s="11" t="inlineStr">
        <is>
          <t>no</t>
        </is>
      </c>
      <c r="L1022" s="11" t="inlineStr"/>
    </row>
    <row r="1023">
      <c r="A1023" s="11" t="inlineStr">
        <is>
          <t>1020</t>
        </is>
      </c>
      <c r="B1023" s="11" t="inlineStr">
        <is>
          <t>156</t>
        </is>
      </c>
      <c r="C1023" s="11" t="inlineStr">
        <is>
          <t>HC/tribunal/other</t>
        </is>
      </c>
      <c r="D1023" s="11" t="inlineStr">
        <is>
          <t>yes</t>
        </is>
      </c>
      <c r="E1023" s="11" t="inlineStr">
        <is>
          <t>no</t>
        </is>
      </c>
      <c r="F1023" s="11" t="inlineStr"/>
      <c r="G1023" s="11" t="inlineStr"/>
      <c r="H1023" s="11" t="inlineStr">
        <is>
          <t>c7305</t>
        </is>
      </c>
      <c r="I1023" s="11" t="inlineStr">
        <is>
          <t>cite</t>
        </is>
      </c>
      <c r="J1023" s="11" t="inlineStr">
        <is>
          <t>no</t>
        </is>
      </c>
      <c r="K1023" s="11" t="inlineStr">
        <is>
          <t>no</t>
        </is>
      </c>
      <c r="L1023" s="11" t="inlineStr"/>
    </row>
    <row r="1024">
      <c r="A1024" s="11" t="inlineStr">
        <is>
          <t>1021</t>
        </is>
      </c>
      <c r="B1024" s="11" t="inlineStr">
        <is>
          <t>157</t>
        </is>
      </c>
      <c r="C1024" s="11" t="inlineStr">
        <is>
          <t>HC/tribunal/other</t>
        </is>
      </c>
      <c r="D1024" s="11" t="inlineStr">
        <is>
          <t>no</t>
        </is>
      </c>
      <c r="E1024" s="11" t="inlineStr">
        <is>
          <t>no</t>
        </is>
      </c>
      <c r="F1024" s="11" t="inlineStr"/>
      <c r="G1024" s="11" t="inlineStr"/>
      <c r="H1024" s="11" t="inlineStr">
        <is>
          <t>c9519</t>
        </is>
      </c>
      <c r="I1024" s="11" t="inlineStr">
        <is>
          <t>cite</t>
        </is>
      </c>
      <c r="J1024" s="11" t="inlineStr">
        <is>
          <t>no</t>
        </is>
      </c>
      <c r="K1024" s="11" t="inlineStr">
        <is>
          <t>no</t>
        </is>
      </c>
      <c r="L1024" s="11" t="inlineStr"/>
    </row>
    <row r="1025">
      <c r="A1025" s="11" t="inlineStr">
        <is>
          <t>1022</t>
        </is>
      </c>
      <c r="B1025" s="11" t="inlineStr">
        <is>
          <t>157</t>
        </is>
      </c>
      <c r="C1025" s="11" t="inlineStr">
        <is>
          <t>HC/tribunal/other</t>
        </is>
      </c>
      <c r="D1025" s="11" t="inlineStr">
        <is>
          <t>no</t>
        </is>
      </c>
      <c r="E1025" s="11" t="inlineStr">
        <is>
          <t>no</t>
        </is>
      </c>
      <c r="F1025" s="11" t="inlineStr"/>
      <c r="G1025" s="11" t="inlineStr"/>
      <c r="H1025" s="11" t="inlineStr">
        <is>
          <t>c7506</t>
        </is>
      </c>
      <c r="I1025" s="11" t="inlineStr">
        <is>
          <t>cite</t>
        </is>
      </c>
      <c r="J1025" s="11" t="inlineStr">
        <is>
          <t>no</t>
        </is>
      </c>
      <c r="K1025" s="11" t="inlineStr">
        <is>
          <t>no</t>
        </is>
      </c>
      <c r="L1025" s="11" t="inlineStr"/>
    </row>
    <row r="1026">
      <c r="A1026" s="11" t="inlineStr">
        <is>
          <t>1023</t>
        </is>
      </c>
      <c r="B1026" s="11" t="inlineStr">
        <is>
          <t>157</t>
        </is>
      </c>
      <c r="C1026" s="11" t="inlineStr">
        <is>
          <t>HC/tribunal/other</t>
        </is>
      </c>
      <c r="D1026" s="11" t="inlineStr">
        <is>
          <t>yes</t>
        </is>
      </c>
      <c r="E1026" s="11" t="inlineStr">
        <is>
          <t>no</t>
        </is>
      </c>
      <c r="F1026" s="11" t="inlineStr"/>
      <c r="G1026" s="11" t="inlineStr"/>
      <c r="H1026" s="11" t="inlineStr">
        <is>
          <t>c1750</t>
        </is>
      </c>
      <c r="I1026" s="11" t="inlineStr">
        <is>
          <t>cite</t>
        </is>
      </c>
      <c r="J1026" s="11" t="inlineStr">
        <is>
          <t>no</t>
        </is>
      </c>
      <c r="K1026" s="11" t="inlineStr">
        <is>
          <t>no</t>
        </is>
      </c>
      <c r="L1026" s="11" t="inlineStr"/>
    </row>
    <row r="1027">
      <c r="A1027" s="11" t="inlineStr">
        <is>
          <t>1024</t>
        </is>
      </c>
      <c r="B1027" s="11" t="inlineStr">
        <is>
          <t>157</t>
        </is>
      </c>
      <c r="C1027" s="11" t="inlineStr">
        <is>
          <t>HC/tribunal/other</t>
        </is>
      </c>
      <c r="D1027" s="11" t="inlineStr">
        <is>
          <t>yes</t>
        </is>
      </c>
      <c r="E1027" s="11" t="inlineStr">
        <is>
          <t>no</t>
        </is>
      </c>
      <c r="F1027" s="11" t="inlineStr"/>
      <c r="G1027" s="11" t="inlineStr"/>
      <c r="H1027" s="11" t="inlineStr">
        <is>
          <t>c10094</t>
        </is>
      </c>
      <c r="I1027" s="11" t="inlineStr">
        <is>
          <t>cite</t>
        </is>
      </c>
      <c r="J1027" s="11" t="inlineStr">
        <is>
          <t>no</t>
        </is>
      </c>
      <c r="K1027" s="11" t="inlineStr">
        <is>
          <t>no</t>
        </is>
      </c>
      <c r="L1027" s="11" t="inlineStr"/>
    </row>
    <row r="1028">
      <c r="A1028" s="11" t="inlineStr">
        <is>
          <t>1025</t>
        </is>
      </c>
      <c r="B1028" s="11" t="inlineStr">
        <is>
          <t>157</t>
        </is>
      </c>
      <c r="C1028" s="11" t="inlineStr">
        <is>
          <t>HC/tribunal/other</t>
        </is>
      </c>
      <c r="D1028" s="11" t="inlineStr">
        <is>
          <t>yes</t>
        </is>
      </c>
      <c r="E1028" s="11" t="inlineStr">
        <is>
          <t>no</t>
        </is>
      </c>
      <c r="F1028" s="11" t="inlineStr"/>
      <c r="G1028" s="11" t="inlineStr"/>
      <c r="H1028" s="11" t="inlineStr">
        <is>
          <t>c5007</t>
        </is>
      </c>
      <c r="I1028" s="11" t="inlineStr">
        <is>
          <t>cite</t>
        </is>
      </c>
      <c r="J1028" s="11" t="inlineStr">
        <is>
          <t>no</t>
        </is>
      </c>
      <c r="K1028" s="11" t="inlineStr">
        <is>
          <t>no</t>
        </is>
      </c>
      <c r="L1028" s="11" t="inlineStr"/>
    </row>
    <row r="1029">
      <c r="A1029" s="11" t="inlineStr">
        <is>
          <t>1026</t>
        </is>
      </c>
      <c r="B1029" s="11" t="inlineStr">
        <is>
          <t>157</t>
        </is>
      </c>
      <c r="C1029" s="11" t="inlineStr">
        <is>
          <t>HC/tribunal/other</t>
        </is>
      </c>
      <c r="D1029" s="11" t="inlineStr">
        <is>
          <t>yes</t>
        </is>
      </c>
      <c r="E1029" s="11" t="inlineStr">
        <is>
          <t>no</t>
        </is>
      </c>
      <c r="F1029" s="11" t="inlineStr"/>
      <c r="G1029" s="11" t="inlineStr"/>
      <c r="H1029" s="11" t="inlineStr">
        <is>
          <t>c8772</t>
        </is>
      </c>
      <c r="I1029" s="11" t="inlineStr">
        <is>
          <t>cite</t>
        </is>
      </c>
      <c r="J1029" s="11" t="inlineStr">
        <is>
          <t>no</t>
        </is>
      </c>
      <c r="K1029" s="11" t="inlineStr">
        <is>
          <t>no</t>
        </is>
      </c>
      <c r="L1029" s="11" t="inlineStr"/>
    </row>
    <row r="1030">
      <c r="A1030" s="11" t="inlineStr">
        <is>
          <t>1027</t>
        </is>
      </c>
      <c r="B1030" s="11" t="inlineStr">
        <is>
          <t>158</t>
        </is>
      </c>
      <c r="C1030" s="11" t="inlineStr">
        <is>
          <t>HC/tribunal/other</t>
        </is>
      </c>
      <c r="D1030" s="11" t="inlineStr">
        <is>
          <t>no</t>
        </is>
      </c>
      <c r="E1030" s="11" t="inlineStr">
        <is>
          <t>no</t>
        </is>
      </c>
      <c r="F1030" s="11" t="inlineStr"/>
      <c r="G1030" s="11" t="inlineStr"/>
      <c r="H1030" s="11" t="inlineStr">
        <is>
          <t>c12198</t>
        </is>
      </c>
      <c r="I1030" s="11" t="inlineStr">
        <is>
          <t>cite</t>
        </is>
      </c>
      <c r="J1030" s="11" t="inlineStr">
        <is>
          <t>no</t>
        </is>
      </c>
      <c r="K1030" s="11" t="inlineStr">
        <is>
          <t>no</t>
        </is>
      </c>
      <c r="L1030" s="11" t="inlineStr"/>
    </row>
    <row r="1031">
      <c r="A1031" s="11" t="inlineStr">
        <is>
          <t>1028</t>
        </is>
      </c>
      <c r="B1031" s="11" t="inlineStr">
        <is>
          <t>158</t>
        </is>
      </c>
      <c r="C1031" s="11" t="inlineStr">
        <is>
          <t>HC/tribunal/other</t>
        </is>
      </c>
      <c r="D1031" s="11" t="inlineStr">
        <is>
          <t>no</t>
        </is>
      </c>
      <c r="E1031" s="11" t="inlineStr">
        <is>
          <t>no</t>
        </is>
      </c>
      <c r="F1031" s="11" t="inlineStr"/>
      <c r="G1031" s="11" t="inlineStr"/>
      <c r="H1031" s="11" t="inlineStr">
        <is>
          <t>c12374</t>
        </is>
      </c>
      <c r="I1031" s="11" t="inlineStr">
        <is>
          <t>cite</t>
        </is>
      </c>
      <c r="J1031" s="11" t="inlineStr">
        <is>
          <t>no</t>
        </is>
      </c>
      <c r="K1031" s="11" t="inlineStr">
        <is>
          <t>no</t>
        </is>
      </c>
      <c r="L1031" s="11" t="inlineStr"/>
    </row>
    <row r="1032">
      <c r="A1032" s="11" t="inlineStr">
        <is>
          <t>1029</t>
        </is>
      </c>
      <c r="B1032" s="11" t="inlineStr">
        <is>
          <t>158</t>
        </is>
      </c>
      <c r="C1032" s="11" t="inlineStr">
        <is>
          <t>HC/tribunal/other</t>
        </is>
      </c>
      <c r="D1032" s="11" t="inlineStr">
        <is>
          <t>no</t>
        </is>
      </c>
      <c r="E1032" s="11" t="inlineStr">
        <is>
          <t>no</t>
        </is>
      </c>
      <c r="F1032" s="11" t="inlineStr"/>
      <c r="G1032" s="11" t="inlineStr"/>
      <c r="H1032" s="11" t="inlineStr">
        <is>
          <t>c26638</t>
        </is>
      </c>
      <c r="I1032" s="11" t="inlineStr">
        <is>
          <t>name</t>
        </is>
      </c>
      <c r="J1032" s="11" t="inlineStr">
        <is>
          <t>no</t>
        </is>
      </c>
      <c r="K1032" s="11" t="inlineStr">
        <is>
          <t>no</t>
        </is>
      </c>
      <c r="L1032" s="11" t="inlineStr"/>
    </row>
    <row r="1033">
      <c r="A1033" s="11" t="inlineStr">
        <is>
          <t>1030</t>
        </is>
      </c>
      <c r="B1033" s="11" t="inlineStr">
        <is>
          <t>158</t>
        </is>
      </c>
      <c r="C1033" s="11" t="inlineStr">
        <is>
          <t>HC/tribunal/other</t>
        </is>
      </c>
      <c r="D1033" s="11" t="inlineStr">
        <is>
          <t>no</t>
        </is>
      </c>
      <c r="E1033" s="11" t="inlineStr">
        <is>
          <t>no</t>
        </is>
      </c>
      <c r="F1033" s="11" t="inlineStr"/>
      <c r="G1033" s="11" t="inlineStr"/>
      <c r="H1033" s="11" t="inlineStr">
        <is>
          <t>c13533</t>
        </is>
      </c>
      <c r="I1033" s="11" t="inlineStr">
        <is>
          <t>cite</t>
        </is>
      </c>
      <c r="J1033" s="11" t="inlineStr">
        <is>
          <t>no</t>
        </is>
      </c>
      <c r="K1033" s="11" t="inlineStr">
        <is>
          <t>no</t>
        </is>
      </c>
      <c r="L1033" s="11" t="inlineStr"/>
    </row>
    <row r="1034">
      <c r="A1034" s="11" t="inlineStr">
        <is>
          <t>1031</t>
        </is>
      </c>
      <c r="B1034" s="11" t="inlineStr">
        <is>
          <t>158</t>
        </is>
      </c>
      <c r="C1034" s="11" t="inlineStr">
        <is>
          <t>HC/tribunal/other</t>
        </is>
      </c>
      <c r="D1034" s="11" t="inlineStr">
        <is>
          <t>yes</t>
        </is>
      </c>
      <c r="E1034" s="11" t="inlineStr">
        <is>
          <t>no</t>
        </is>
      </c>
      <c r="F1034" s="11" t="inlineStr"/>
      <c r="G1034" s="11" t="inlineStr"/>
      <c r="H1034" s="11" t="inlineStr">
        <is>
          <t>c12632</t>
        </is>
      </c>
      <c r="I1034" s="11" t="inlineStr">
        <is>
          <t>cite</t>
        </is>
      </c>
      <c r="J1034" s="11" t="inlineStr">
        <is>
          <t>no</t>
        </is>
      </c>
      <c r="K1034" s="11" t="inlineStr">
        <is>
          <t>no</t>
        </is>
      </c>
      <c r="L1034" s="11" t="inlineStr"/>
    </row>
    <row r="1035">
      <c r="A1035" s="11" t="inlineStr">
        <is>
          <t>1032</t>
        </is>
      </c>
      <c r="B1035" s="11" t="inlineStr">
        <is>
          <t>158</t>
        </is>
      </c>
      <c r="C1035" s="11" t="inlineStr">
        <is>
          <t>HC/tribunal/other</t>
        </is>
      </c>
      <c r="D1035" s="11" t="inlineStr">
        <is>
          <t>no</t>
        </is>
      </c>
      <c r="E1035" s="11" t="inlineStr">
        <is>
          <t>no</t>
        </is>
      </c>
      <c r="F1035" s="11" t="inlineStr"/>
      <c r="G1035" s="11" t="inlineStr"/>
      <c r="H1035" s="11" t="inlineStr">
        <is>
          <t>c14108</t>
        </is>
      </c>
      <c r="I1035" s="11" t="inlineStr">
        <is>
          <t>cite</t>
        </is>
      </c>
      <c r="J1035" s="11" t="inlineStr">
        <is>
          <t>no</t>
        </is>
      </c>
      <c r="K1035" s="11" t="inlineStr">
        <is>
          <t>no</t>
        </is>
      </c>
      <c r="L1035" s="11" t="inlineStr"/>
    </row>
    <row r="1036">
      <c r="A1036" s="11" t="inlineStr">
        <is>
          <t>1033</t>
        </is>
      </c>
      <c r="B1036" s="11" t="inlineStr">
        <is>
          <t>159</t>
        </is>
      </c>
      <c r="C1036" s="11" t="inlineStr">
        <is>
          <t>HC/tribunal/other</t>
        </is>
      </c>
      <c r="D1036" s="11" t="inlineStr">
        <is>
          <t>no</t>
        </is>
      </c>
      <c r="E1036" s="11" t="inlineStr">
        <is>
          <t>no</t>
        </is>
      </c>
      <c r="F1036" s="11" t="inlineStr"/>
      <c r="G1036" s="11" t="inlineStr"/>
      <c r="H1036" s="11" t="inlineStr">
        <is>
          <t>c26788</t>
        </is>
      </c>
      <c r="I1036" s="11" t="inlineStr">
        <is>
          <t>name</t>
        </is>
      </c>
      <c r="J1036" s="11" t="inlineStr">
        <is>
          <t>no</t>
        </is>
      </c>
      <c r="K1036" s="11" t="inlineStr">
        <is>
          <t>no</t>
        </is>
      </c>
      <c r="L1036" s="11" t="inlineStr"/>
    </row>
    <row r="1037">
      <c r="A1037" s="11" t="inlineStr">
        <is>
          <t>1034</t>
        </is>
      </c>
      <c r="B1037" s="11" t="inlineStr">
        <is>
          <t>159</t>
        </is>
      </c>
      <c r="C1037" s="11" t="inlineStr">
        <is>
          <t>HC/tribunal/other</t>
        </is>
      </c>
      <c r="D1037" s="11" t="inlineStr">
        <is>
          <t>no</t>
        </is>
      </c>
      <c r="E1037" s="11" t="inlineStr">
        <is>
          <t>no</t>
        </is>
      </c>
      <c r="F1037" s="11" t="inlineStr"/>
      <c r="G1037" s="11" t="inlineStr"/>
      <c r="H1037" s="11" t="inlineStr">
        <is>
          <t>c9080</t>
        </is>
      </c>
      <c r="I1037" s="11" t="inlineStr">
        <is>
          <t>cite</t>
        </is>
      </c>
      <c r="J1037" s="11" t="inlineStr">
        <is>
          <t>no</t>
        </is>
      </c>
      <c r="K1037" s="11" t="inlineStr">
        <is>
          <t>no</t>
        </is>
      </c>
      <c r="L1037" s="11" t="inlineStr"/>
    </row>
    <row r="1038">
      <c r="A1038" s="11" t="inlineStr">
        <is>
          <t>1035</t>
        </is>
      </c>
      <c r="B1038" s="11" t="inlineStr">
        <is>
          <t>159</t>
        </is>
      </c>
      <c r="C1038" s="11" t="inlineStr">
        <is>
          <t>HC/tribunal/other</t>
        </is>
      </c>
      <c r="D1038" s="11" t="inlineStr">
        <is>
          <t>no</t>
        </is>
      </c>
      <c r="E1038" s="11" t="inlineStr">
        <is>
          <t>no</t>
        </is>
      </c>
      <c r="F1038" s="11" t="inlineStr"/>
      <c r="G1038" s="11" t="inlineStr"/>
      <c r="H1038" s="11" t="inlineStr">
        <is>
          <t>c31585</t>
        </is>
      </c>
      <c r="I1038" s="11" t="inlineStr">
        <is>
          <t>name</t>
        </is>
      </c>
      <c r="J1038" s="11" t="inlineStr">
        <is>
          <t>no</t>
        </is>
      </c>
      <c r="K1038" s="11" t="inlineStr">
        <is>
          <t>no</t>
        </is>
      </c>
      <c r="L1038" s="11" t="inlineStr"/>
    </row>
    <row r="1039">
      <c r="A1039" s="11" t="inlineStr">
        <is>
          <t>1036</t>
        </is>
      </c>
      <c r="B1039" s="11" t="inlineStr">
        <is>
          <t>159</t>
        </is>
      </c>
      <c r="C1039" s="11" t="inlineStr">
        <is>
          <t>HC/tribunal/other</t>
        </is>
      </c>
      <c r="D1039" s="11" t="inlineStr">
        <is>
          <t>no</t>
        </is>
      </c>
      <c r="E1039" s="11" t="inlineStr">
        <is>
          <t>no</t>
        </is>
      </c>
      <c r="F1039" s="11" t="inlineStr"/>
      <c r="G1039" s="11" t="inlineStr"/>
      <c r="H1039" s="11" t="inlineStr">
        <is>
          <t>c29246</t>
        </is>
      </c>
      <c r="I1039" s="11" t="inlineStr">
        <is>
          <t>name</t>
        </is>
      </c>
      <c r="J1039" s="11" t="inlineStr">
        <is>
          <t>no</t>
        </is>
      </c>
      <c r="K1039" s="11" t="inlineStr">
        <is>
          <t>no</t>
        </is>
      </c>
      <c r="L1039" s="11" t="inlineStr"/>
    </row>
    <row r="1040">
      <c r="A1040" s="11" t="inlineStr">
        <is>
          <t>1037</t>
        </is>
      </c>
      <c r="B1040" s="11" t="inlineStr">
        <is>
          <t>159</t>
        </is>
      </c>
      <c r="C1040" s="11" t="inlineStr">
        <is>
          <t>HC/tribunal/other</t>
        </is>
      </c>
      <c r="D1040" s="11" t="inlineStr">
        <is>
          <t>no</t>
        </is>
      </c>
      <c r="E1040" s="11" t="inlineStr">
        <is>
          <t>no</t>
        </is>
      </c>
      <c r="F1040" s="11" t="inlineStr"/>
      <c r="G1040" s="11" t="inlineStr"/>
      <c r="H1040" s="11" t="inlineStr">
        <is>
          <t>c17823</t>
        </is>
      </c>
      <c r="I1040" s="11" t="inlineStr">
        <is>
          <t>cite</t>
        </is>
      </c>
      <c r="J1040" s="11" t="inlineStr">
        <is>
          <t>no</t>
        </is>
      </c>
      <c r="K1040" s="11" t="inlineStr">
        <is>
          <t>no</t>
        </is>
      </c>
      <c r="L1040" s="11" t="inlineStr"/>
    </row>
    <row r="1041">
      <c r="A1041" s="11" t="inlineStr">
        <is>
          <t>1038</t>
        </is>
      </c>
      <c r="B1041" s="11" t="inlineStr">
        <is>
          <t>159</t>
        </is>
      </c>
      <c r="C1041" s="11" t="inlineStr">
        <is>
          <t>HC/tribunal/other</t>
        </is>
      </c>
      <c r="D1041" s="11" t="inlineStr">
        <is>
          <t>no</t>
        </is>
      </c>
      <c r="E1041" s="11" t="inlineStr">
        <is>
          <t>yes</t>
        </is>
      </c>
      <c r="F1041" s="11" t="inlineStr"/>
      <c r="G1041" s="11" t="inlineStr"/>
      <c r="H1041" s="11" t="inlineStr">
        <is>
          <t>c13123</t>
        </is>
      </c>
      <c r="I1041" s="11" t="inlineStr">
        <is>
          <t>name</t>
        </is>
      </c>
      <c r="J1041" s="11" t="inlineStr">
        <is>
          <t>no</t>
        </is>
      </c>
      <c r="K1041" s="11" t="inlineStr">
        <is>
          <t>no</t>
        </is>
      </c>
      <c r="L1041" s="11" t="inlineStr"/>
    </row>
    <row r="1042">
      <c r="A1042" s="11" t="inlineStr">
        <is>
          <t>1039</t>
        </is>
      </c>
      <c r="B1042" s="11" t="inlineStr">
        <is>
          <t>160</t>
        </is>
      </c>
      <c r="C1042" s="11" t="inlineStr">
        <is>
          <t>HC/tribunal/other</t>
        </is>
      </c>
      <c r="D1042" s="11" t="inlineStr">
        <is>
          <t>no</t>
        </is>
      </c>
      <c r="E1042" s="11" t="inlineStr">
        <is>
          <t>no</t>
        </is>
      </c>
      <c r="F1042" s="11" t="inlineStr"/>
      <c r="G1042" s="11" t="inlineStr"/>
      <c r="H1042" s="11" t="inlineStr">
        <is>
          <t>c3852</t>
        </is>
      </c>
      <c r="I1042" s="11" t="inlineStr">
        <is>
          <t>cite</t>
        </is>
      </c>
      <c r="J1042" s="11" t="inlineStr">
        <is>
          <t>no</t>
        </is>
      </c>
      <c r="K1042" s="11" t="inlineStr">
        <is>
          <t>no</t>
        </is>
      </c>
      <c r="L1042" s="11" t="inlineStr"/>
    </row>
    <row r="1043">
      <c r="A1043" s="11" t="inlineStr">
        <is>
          <t>1040</t>
        </is>
      </c>
      <c r="B1043" s="11" t="inlineStr">
        <is>
          <t>160</t>
        </is>
      </c>
      <c r="C1043" s="11" t="inlineStr">
        <is>
          <t>HC/tribunal/other</t>
        </is>
      </c>
      <c r="D1043" s="11" t="inlineStr">
        <is>
          <t>no</t>
        </is>
      </c>
      <c r="E1043" s="11" t="inlineStr">
        <is>
          <t>no</t>
        </is>
      </c>
      <c r="F1043" s="11" t="inlineStr"/>
      <c r="G1043" s="11" t="inlineStr"/>
      <c r="H1043" s="11" t="inlineStr">
        <is>
          <t>c5654</t>
        </is>
      </c>
      <c r="I1043" s="11" t="inlineStr">
        <is>
          <t>cite</t>
        </is>
      </c>
      <c r="J1043" s="11" t="inlineStr">
        <is>
          <t>no</t>
        </is>
      </c>
      <c r="K1043" s="11" t="inlineStr">
        <is>
          <t>no</t>
        </is>
      </c>
      <c r="L1043" s="11" t="inlineStr"/>
    </row>
    <row r="1044">
      <c r="A1044" s="11" t="inlineStr">
        <is>
          <t>1041</t>
        </is>
      </c>
      <c r="B1044" s="11" t="inlineStr">
        <is>
          <t>160</t>
        </is>
      </c>
      <c r="C1044" s="11" t="inlineStr">
        <is>
          <t>HC/tribunal/other</t>
        </is>
      </c>
      <c r="D1044" s="11" t="inlineStr">
        <is>
          <t>no</t>
        </is>
      </c>
      <c r="E1044" s="11" t="inlineStr">
        <is>
          <t>yes</t>
        </is>
      </c>
      <c r="F1044" s="11" t="inlineStr"/>
      <c r="G1044" s="11" t="inlineStr"/>
      <c r="H1044" s="11" t="inlineStr">
        <is>
          <t>c11968</t>
        </is>
      </c>
      <c r="I1044" s="11" t="inlineStr">
        <is>
          <t>cite</t>
        </is>
      </c>
      <c r="J1044" s="11" t="inlineStr">
        <is>
          <t>no</t>
        </is>
      </c>
      <c r="K1044" s="11" t="inlineStr">
        <is>
          <t>no</t>
        </is>
      </c>
      <c r="L1044" s="11" t="inlineStr"/>
    </row>
    <row r="1045">
      <c r="A1045" s="11" t="inlineStr">
        <is>
          <t>1042</t>
        </is>
      </c>
      <c r="B1045" s="11" t="inlineStr">
        <is>
          <t>160</t>
        </is>
      </c>
      <c r="C1045" s="11" t="inlineStr">
        <is>
          <t>HC/tribunal/other</t>
        </is>
      </c>
      <c r="D1045" s="11" t="inlineStr">
        <is>
          <t>no</t>
        </is>
      </c>
      <c r="E1045" s="11" t="inlineStr">
        <is>
          <t>no</t>
        </is>
      </c>
      <c r="F1045" s="11" t="inlineStr"/>
      <c r="G1045" s="11" t="inlineStr"/>
      <c r="H1045" s="11" t="inlineStr">
        <is>
          <t>c9497</t>
        </is>
      </c>
      <c r="I1045" s="11" t="inlineStr">
        <is>
          <t>cite</t>
        </is>
      </c>
      <c r="J1045" s="11" t="inlineStr">
        <is>
          <t>no</t>
        </is>
      </c>
      <c r="K1045" s="11" t="inlineStr">
        <is>
          <t>no</t>
        </is>
      </c>
      <c r="L1045" s="11" t="inlineStr"/>
    </row>
    <row r="1046">
      <c r="A1046" s="11" t="inlineStr">
        <is>
          <t>1043</t>
        </is>
      </c>
      <c r="B1046" s="11" t="inlineStr">
        <is>
          <t>160</t>
        </is>
      </c>
      <c r="C1046" s="11" t="inlineStr">
        <is>
          <t>HC/tribunal/other</t>
        </is>
      </c>
      <c r="D1046" s="11" t="inlineStr">
        <is>
          <t>no</t>
        </is>
      </c>
      <c r="E1046" s="11" t="inlineStr">
        <is>
          <t>no</t>
        </is>
      </c>
      <c r="F1046" s="11" t="inlineStr"/>
      <c r="G1046" s="11" t="inlineStr"/>
      <c r="H1046" s="11" t="inlineStr">
        <is>
          <t>c15684</t>
        </is>
      </c>
      <c r="I1046" s="11" t="inlineStr">
        <is>
          <t>cite</t>
        </is>
      </c>
      <c r="J1046" s="11" t="inlineStr">
        <is>
          <t>no</t>
        </is>
      </c>
      <c r="K1046" s="11" t="inlineStr">
        <is>
          <t>no</t>
        </is>
      </c>
      <c r="L1046" s="11" t="inlineStr"/>
    </row>
    <row r="1047">
      <c r="A1047" s="11" t="inlineStr">
        <is>
          <t>1044</t>
        </is>
      </c>
      <c r="B1047" s="11" t="inlineStr">
        <is>
          <t>160</t>
        </is>
      </c>
      <c r="C1047" s="11" t="inlineStr">
        <is>
          <t>HC/tribunal/other</t>
        </is>
      </c>
      <c r="D1047" s="11" t="inlineStr">
        <is>
          <t>no</t>
        </is>
      </c>
      <c r="E1047" s="11" t="inlineStr">
        <is>
          <t>no</t>
        </is>
      </c>
      <c r="F1047" s="11" t="inlineStr"/>
      <c r="G1047" s="11" t="inlineStr"/>
      <c r="H1047" s="11" t="inlineStr">
        <is>
          <t>c29516</t>
        </is>
      </c>
      <c r="I1047" s="11" t="inlineStr">
        <is>
          <t>cite</t>
        </is>
      </c>
      <c r="J1047" s="11" t="inlineStr">
        <is>
          <t>no</t>
        </is>
      </c>
      <c r="K1047" s="11" t="inlineStr">
        <is>
          <t>no</t>
        </is>
      </c>
      <c r="L1047" s="11" t="inlineStr"/>
    </row>
    <row r="1048">
      <c r="A1048" s="11" t="inlineStr">
        <is>
          <t>1045</t>
        </is>
      </c>
      <c r="B1048" s="11" t="inlineStr">
        <is>
          <t>160</t>
        </is>
      </c>
      <c r="C1048" s="11" t="inlineStr">
        <is>
          <t>HC/tribunal/other</t>
        </is>
      </c>
      <c r="D1048" s="11" t="inlineStr">
        <is>
          <t>yes</t>
        </is>
      </c>
      <c r="E1048" s="11" t="inlineStr">
        <is>
          <t>no</t>
        </is>
      </c>
      <c r="F1048" s="11" t="inlineStr"/>
      <c r="G1048" s="11" t="inlineStr"/>
      <c r="H1048" s="11" t="inlineStr">
        <is>
          <t>c8950</t>
        </is>
      </c>
      <c r="I1048" s="11" t="inlineStr">
        <is>
          <t>cite</t>
        </is>
      </c>
      <c r="J1048" s="11" t="inlineStr">
        <is>
          <t>no</t>
        </is>
      </c>
      <c r="K1048" s="11" t="inlineStr">
        <is>
          <t>no</t>
        </is>
      </c>
      <c r="L1048" s="11" t="inlineStr"/>
    </row>
    <row r="1049">
      <c r="A1049" s="11" t="inlineStr">
        <is>
          <t>1046</t>
        </is>
      </c>
      <c r="B1049" s="11" t="inlineStr">
        <is>
          <t>161</t>
        </is>
      </c>
      <c r="C1049" s="11" t="inlineStr">
        <is>
          <t>HC/tribunal/other</t>
        </is>
      </c>
      <c r="D1049" s="11" t="inlineStr">
        <is>
          <t>no</t>
        </is>
      </c>
      <c r="E1049" s="11" t="inlineStr">
        <is>
          <t>no</t>
        </is>
      </c>
      <c r="F1049" s="11" t="inlineStr"/>
      <c r="G1049" s="11" t="inlineStr"/>
      <c r="H1049" s="11" t="inlineStr">
        <is>
          <t>c38442</t>
        </is>
      </c>
      <c r="I1049" s="11" t="inlineStr">
        <is>
          <t>cite</t>
        </is>
      </c>
      <c r="J1049" s="11" t="inlineStr">
        <is>
          <t>no</t>
        </is>
      </c>
      <c r="K1049" s="11" t="inlineStr">
        <is>
          <t>no</t>
        </is>
      </c>
      <c r="L1049" s="11" t="inlineStr"/>
    </row>
    <row r="1050">
      <c r="A1050" s="11" t="inlineStr">
        <is>
          <t>1047</t>
        </is>
      </c>
      <c r="B1050" s="11" t="inlineStr">
        <is>
          <t>161</t>
        </is>
      </c>
      <c r="C1050" s="11" t="inlineStr">
        <is>
          <t>HC/tribunal/other</t>
        </is>
      </c>
      <c r="D1050" s="11" t="inlineStr">
        <is>
          <t>yes</t>
        </is>
      </c>
      <c r="E1050" s="11" t="inlineStr">
        <is>
          <t>no</t>
        </is>
      </c>
      <c r="F1050" s="11" t="inlineStr"/>
      <c r="G1050" s="11" t="inlineStr"/>
      <c r="H1050" s="11" t="inlineStr">
        <is>
          <t>c28446</t>
        </is>
      </c>
      <c r="I1050" s="11" t="inlineStr">
        <is>
          <t>name</t>
        </is>
      </c>
      <c r="J1050" s="11" t="inlineStr">
        <is>
          <t>no</t>
        </is>
      </c>
      <c r="K1050" s="11" t="inlineStr">
        <is>
          <t>no</t>
        </is>
      </c>
      <c r="L1050" s="11" t="inlineStr"/>
    </row>
    <row r="1051">
      <c r="A1051" s="11" t="inlineStr">
        <is>
          <t>1048</t>
        </is>
      </c>
      <c r="B1051" s="11" t="inlineStr">
        <is>
          <t>161</t>
        </is>
      </c>
      <c r="C1051" s="11" t="inlineStr">
        <is>
          <t>HC/tribunal/other</t>
        </is>
      </c>
      <c r="D1051" s="11" t="inlineStr">
        <is>
          <t>no</t>
        </is>
      </c>
      <c r="E1051" s="11" t="inlineStr">
        <is>
          <t>no</t>
        </is>
      </c>
      <c r="F1051" s="11" t="inlineStr"/>
      <c r="G1051" s="11" t="inlineStr"/>
      <c r="H1051" s="11" t="inlineStr">
        <is>
          <t>c15029</t>
        </is>
      </c>
      <c r="I1051" s="11" t="inlineStr">
        <is>
          <t>name</t>
        </is>
      </c>
      <c r="J1051" s="11" t="inlineStr">
        <is>
          <t>no</t>
        </is>
      </c>
      <c r="K1051" s="11" t="inlineStr">
        <is>
          <t>no</t>
        </is>
      </c>
      <c r="L1051" s="11" t="inlineStr"/>
    </row>
    <row r="1052">
      <c r="A1052" s="11" t="inlineStr">
        <is>
          <t>1049</t>
        </is>
      </c>
      <c r="B1052" s="11" t="inlineStr">
        <is>
          <t>161</t>
        </is>
      </c>
      <c r="C1052" s="11" t="inlineStr">
        <is>
          <t>HC/tribunal/other</t>
        </is>
      </c>
      <c r="D1052" s="11" t="inlineStr">
        <is>
          <t>no</t>
        </is>
      </c>
      <c r="E1052" s="11" t="inlineStr">
        <is>
          <t>no</t>
        </is>
      </c>
      <c r="F1052" s="11" t="inlineStr"/>
      <c r="G1052" s="11" t="inlineStr"/>
      <c r="H1052" s="11" t="inlineStr">
        <is>
          <t>c28183</t>
        </is>
      </c>
      <c r="I1052" s="11" t="inlineStr">
        <is>
          <t>name</t>
        </is>
      </c>
      <c r="J1052" s="11" t="inlineStr">
        <is>
          <t>no</t>
        </is>
      </c>
      <c r="K1052" s="11" t="inlineStr">
        <is>
          <t>no</t>
        </is>
      </c>
      <c r="L1052" s="11" t="inlineStr"/>
    </row>
    <row r="1053">
      <c r="A1053" s="11" t="inlineStr">
        <is>
          <t>1050</t>
        </is>
      </c>
      <c r="B1053" s="11" t="inlineStr">
        <is>
          <t>161</t>
        </is>
      </c>
      <c r="C1053" s="11" t="inlineStr">
        <is>
          <t>HC/tribunal/other</t>
        </is>
      </c>
      <c r="D1053" s="11" t="inlineStr">
        <is>
          <t>no</t>
        </is>
      </c>
      <c r="E1053" s="11" t="inlineStr">
        <is>
          <t>no</t>
        </is>
      </c>
      <c r="F1053" s="11" t="inlineStr"/>
      <c r="G1053" s="11" t="inlineStr"/>
      <c r="H1053" s="11" t="inlineStr">
        <is>
          <t>c37931</t>
        </is>
      </c>
      <c r="I1053" s="11" t="inlineStr">
        <is>
          <t>cite</t>
        </is>
      </c>
      <c r="J1053" s="11" t="inlineStr">
        <is>
          <t>no</t>
        </is>
      </c>
      <c r="K1053" s="11" t="inlineStr">
        <is>
          <t>no</t>
        </is>
      </c>
      <c r="L1053" s="11" t="inlineStr"/>
    </row>
    <row r="1054">
      <c r="A1054" s="11" t="inlineStr">
        <is>
          <t>1051</t>
        </is>
      </c>
      <c r="B1054" s="11" t="inlineStr">
        <is>
          <t>162</t>
        </is>
      </c>
      <c r="C1054" s="11" t="inlineStr">
        <is>
          <t>HC/tribunal/other</t>
        </is>
      </c>
      <c r="D1054" s="11" t="inlineStr">
        <is>
          <t>no</t>
        </is>
      </c>
      <c r="E1054" s="11" t="inlineStr">
        <is>
          <t>no</t>
        </is>
      </c>
      <c r="F1054" s="11" t="inlineStr"/>
      <c r="G1054" s="11" t="inlineStr"/>
      <c r="H1054" s="11" t="inlineStr">
        <is>
          <t>c16011</t>
        </is>
      </c>
      <c r="I1054" s="11" t="inlineStr">
        <is>
          <t>cite</t>
        </is>
      </c>
      <c r="J1054" s="11" t="inlineStr">
        <is>
          <t>no</t>
        </is>
      </c>
      <c r="K1054" s="11" t="inlineStr">
        <is>
          <t>no</t>
        </is>
      </c>
      <c r="L1054" s="11" t="inlineStr"/>
    </row>
    <row r="1055">
      <c r="A1055" s="11" t="inlineStr">
        <is>
          <t>1052</t>
        </is>
      </c>
      <c r="B1055" s="11" t="inlineStr">
        <is>
          <t>162</t>
        </is>
      </c>
      <c r="C1055" s="11" t="inlineStr">
        <is>
          <t>HC/tribunal/other</t>
        </is>
      </c>
      <c r="D1055" s="11" t="inlineStr">
        <is>
          <t>yes</t>
        </is>
      </c>
      <c r="E1055" s="11" t="inlineStr">
        <is>
          <t>no</t>
        </is>
      </c>
      <c r="F1055" s="11" t="inlineStr"/>
      <c r="G1055" s="11" t="inlineStr"/>
      <c r="H1055" s="11" t="inlineStr">
        <is>
          <t>c7489</t>
        </is>
      </c>
      <c r="I1055" s="11" t="inlineStr">
        <is>
          <t>cite</t>
        </is>
      </c>
      <c r="J1055" s="11" t="inlineStr">
        <is>
          <t>no</t>
        </is>
      </c>
      <c r="K1055" s="11" t="inlineStr">
        <is>
          <t>no</t>
        </is>
      </c>
      <c r="L1055" s="11" t="inlineStr"/>
    </row>
    <row r="1056">
      <c r="A1056" s="11" t="inlineStr">
        <is>
          <t>1053</t>
        </is>
      </c>
      <c r="B1056" s="11" t="inlineStr">
        <is>
          <t>162</t>
        </is>
      </c>
      <c r="C1056" s="11" t="inlineStr">
        <is>
          <t>HC/tribunal/other</t>
        </is>
      </c>
      <c r="D1056" s="11" t="inlineStr">
        <is>
          <t>yes</t>
        </is>
      </c>
      <c r="E1056" s="11" t="inlineStr">
        <is>
          <t>no</t>
        </is>
      </c>
      <c r="F1056" s="11" t="inlineStr"/>
      <c r="G1056" s="11" t="inlineStr"/>
      <c r="H1056" s="11" t="inlineStr">
        <is>
          <t>c33667</t>
        </is>
      </c>
      <c r="I1056" s="11" t="inlineStr">
        <is>
          <t>name</t>
        </is>
      </c>
      <c r="J1056" s="11" t="inlineStr">
        <is>
          <t>no</t>
        </is>
      </c>
      <c r="K1056" s="11" t="inlineStr">
        <is>
          <t>no</t>
        </is>
      </c>
      <c r="L1056" s="11" t="inlineStr"/>
    </row>
    <row r="1057">
      <c r="A1057" s="11" t="inlineStr">
        <is>
          <t>1054</t>
        </is>
      </c>
      <c r="B1057" s="11" t="inlineStr">
        <is>
          <t>162</t>
        </is>
      </c>
      <c r="C1057" s="11" t="inlineStr">
        <is>
          <t>HC/tribunal/other</t>
        </is>
      </c>
      <c r="D1057" s="11" t="inlineStr">
        <is>
          <t>no</t>
        </is>
      </c>
      <c r="E1057" s="11" t="inlineStr">
        <is>
          <t>yes</t>
        </is>
      </c>
      <c r="F1057" s="11" t="inlineStr"/>
      <c r="G1057" s="11" t="inlineStr"/>
      <c r="H1057" s="11" t="inlineStr">
        <is>
          <t>c37774</t>
        </is>
      </c>
      <c r="I1057" s="11" t="inlineStr">
        <is>
          <t>name</t>
        </is>
      </c>
      <c r="J1057" s="11" t="inlineStr">
        <is>
          <t>no</t>
        </is>
      </c>
      <c r="K1057" s="11" t="inlineStr">
        <is>
          <t>no</t>
        </is>
      </c>
      <c r="L1057" s="11" t="inlineStr"/>
    </row>
    <row r="1058">
      <c r="A1058" s="11" t="inlineStr">
        <is>
          <t>1055</t>
        </is>
      </c>
      <c r="B1058" s="11" t="inlineStr">
        <is>
          <t>162</t>
        </is>
      </c>
      <c r="C1058" s="11" t="inlineStr">
        <is>
          <t>HC/tribunal/other</t>
        </is>
      </c>
      <c r="D1058" s="11" t="inlineStr">
        <is>
          <t>yes</t>
        </is>
      </c>
      <c r="E1058" s="11" t="inlineStr">
        <is>
          <t>yes</t>
        </is>
      </c>
      <c r="F1058" s="11" t="inlineStr"/>
      <c r="G1058" s="11" t="inlineStr"/>
      <c r="H1058" s="11" t="inlineStr">
        <is>
          <t>c38950</t>
        </is>
      </c>
      <c r="I1058" s="11" t="inlineStr">
        <is>
          <t>name</t>
        </is>
      </c>
      <c r="J1058" s="11" t="inlineStr">
        <is>
          <t>no</t>
        </is>
      </c>
      <c r="K1058" s="11" t="inlineStr">
        <is>
          <t>no</t>
        </is>
      </c>
      <c r="L1058" s="11" t="inlineStr"/>
    </row>
    <row r="1059">
      <c r="A1059" s="11" t="inlineStr">
        <is>
          <t>1056</t>
        </is>
      </c>
      <c r="B1059" s="11" t="inlineStr">
        <is>
          <t>162</t>
        </is>
      </c>
      <c r="C1059" s="11" t="inlineStr">
        <is>
          <t>HC/tribunal/other</t>
        </is>
      </c>
      <c r="D1059" s="11" t="inlineStr">
        <is>
          <t>no</t>
        </is>
      </c>
      <c r="E1059" s="11" t="inlineStr">
        <is>
          <t>yes</t>
        </is>
      </c>
      <c r="F1059" s="11" t="inlineStr"/>
      <c r="G1059" s="11" t="inlineStr"/>
      <c r="H1059" s="11" t="inlineStr">
        <is>
          <t>c19114</t>
        </is>
      </c>
      <c r="I1059" s="11" t="inlineStr">
        <is>
          <t>cite</t>
        </is>
      </c>
      <c r="J1059" s="11" t="inlineStr">
        <is>
          <t>no</t>
        </is>
      </c>
      <c r="K1059" s="11" t="inlineStr">
        <is>
          <t>no</t>
        </is>
      </c>
      <c r="L1059" s="11" t="inlineStr"/>
    </row>
    <row r="1060">
      <c r="A1060" s="11" t="inlineStr">
        <is>
          <t>1057</t>
        </is>
      </c>
      <c r="B1060" s="11" t="inlineStr">
        <is>
          <t>163</t>
        </is>
      </c>
      <c r="C1060" s="11" t="inlineStr">
        <is>
          <t>HC/tribunal/other</t>
        </is>
      </c>
      <c r="D1060" s="11" t="inlineStr">
        <is>
          <t>yes</t>
        </is>
      </c>
      <c r="E1060" s="11" t="inlineStr">
        <is>
          <t>no</t>
        </is>
      </c>
      <c r="F1060" s="11" t="inlineStr"/>
      <c r="G1060" s="11" t="inlineStr"/>
      <c r="H1060" s="11" t="inlineStr">
        <is>
          <t>c36068</t>
        </is>
      </c>
      <c r="I1060" s="11" t="inlineStr">
        <is>
          <t>cite</t>
        </is>
      </c>
      <c r="J1060" s="11" t="inlineStr">
        <is>
          <t>no</t>
        </is>
      </c>
      <c r="K1060" s="11" t="inlineStr">
        <is>
          <t>no</t>
        </is>
      </c>
      <c r="L1060" s="11" t="inlineStr"/>
    </row>
    <row r="1061">
      <c r="A1061" s="11" t="inlineStr">
        <is>
          <t>1058</t>
        </is>
      </c>
      <c r="B1061" s="11" t="inlineStr">
        <is>
          <t>163</t>
        </is>
      </c>
      <c r="C1061" s="11" t="inlineStr">
        <is>
          <t>HC/tribunal/other</t>
        </is>
      </c>
      <c r="D1061" s="11" t="inlineStr">
        <is>
          <t>no</t>
        </is>
      </c>
      <c r="E1061" s="11" t="inlineStr">
        <is>
          <t>yes</t>
        </is>
      </c>
      <c r="F1061" s="11" t="inlineStr"/>
      <c r="G1061" s="11" t="inlineStr"/>
      <c r="H1061" s="11" t="inlineStr">
        <is>
          <t>c26431</t>
        </is>
      </c>
      <c r="I1061" s="11" t="inlineStr">
        <is>
          <t>name</t>
        </is>
      </c>
      <c r="J1061" s="11" t="inlineStr">
        <is>
          <t>no</t>
        </is>
      </c>
      <c r="K1061" s="11" t="inlineStr">
        <is>
          <t>no</t>
        </is>
      </c>
      <c r="L1061" s="11" t="inlineStr"/>
    </row>
    <row r="1062">
      <c r="A1062" s="11" t="inlineStr">
        <is>
          <t>1059</t>
        </is>
      </c>
      <c r="B1062" s="11" t="inlineStr">
        <is>
          <t>163</t>
        </is>
      </c>
      <c r="C1062" s="11" t="inlineStr">
        <is>
          <t>HC/tribunal/other</t>
        </is>
      </c>
      <c r="D1062" s="11" t="inlineStr">
        <is>
          <t>no</t>
        </is>
      </c>
      <c r="E1062" s="11" t="inlineStr">
        <is>
          <t>no</t>
        </is>
      </c>
      <c r="F1062" s="11" t="inlineStr"/>
      <c r="G1062" s="11" t="inlineStr"/>
      <c r="H1062" s="11" t="inlineStr">
        <is>
          <t>c27456</t>
        </is>
      </c>
      <c r="I1062" s="11" t="inlineStr">
        <is>
          <t>cite</t>
        </is>
      </c>
      <c r="J1062" s="11" t="inlineStr">
        <is>
          <t>no</t>
        </is>
      </c>
      <c r="K1062" s="11" t="inlineStr">
        <is>
          <t>no</t>
        </is>
      </c>
      <c r="L1062" s="11" t="inlineStr"/>
    </row>
    <row r="1063">
      <c r="A1063" s="11" t="inlineStr">
        <is>
          <t>1060</t>
        </is>
      </c>
      <c r="B1063" s="11" t="inlineStr">
        <is>
          <t>163</t>
        </is>
      </c>
      <c r="C1063" s="11" t="inlineStr">
        <is>
          <t>HC/tribunal/other</t>
        </is>
      </c>
      <c r="D1063" s="11" t="inlineStr">
        <is>
          <t>no</t>
        </is>
      </c>
      <c r="E1063" s="11" t="inlineStr">
        <is>
          <t>no</t>
        </is>
      </c>
      <c r="F1063" s="11" t="inlineStr"/>
      <c r="G1063" s="11" t="inlineStr"/>
      <c r="H1063" s="11" t="inlineStr">
        <is>
          <t>c20270</t>
        </is>
      </c>
      <c r="I1063" s="11" t="inlineStr">
        <is>
          <t>cite</t>
        </is>
      </c>
      <c r="J1063" s="11" t="inlineStr">
        <is>
          <t>no</t>
        </is>
      </c>
      <c r="K1063" s="11" t="inlineStr">
        <is>
          <t>no</t>
        </is>
      </c>
      <c r="L1063" s="11" t="inlineStr"/>
    </row>
    <row r="1064">
      <c r="A1064" s="11" t="inlineStr">
        <is>
          <t>1061</t>
        </is>
      </c>
      <c r="B1064" s="11" t="inlineStr">
        <is>
          <t>163</t>
        </is>
      </c>
      <c r="C1064" s="11" t="inlineStr">
        <is>
          <t>HC/tribunal/other</t>
        </is>
      </c>
      <c r="D1064" s="11" t="inlineStr">
        <is>
          <t>no</t>
        </is>
      </c>
      <c r="E1064" s="11" t="inlineStr">
        <is>
          <t>no</t>
        </is>
      </c>
      <c r="F1064" s="11" t="inlineStr"/>
      <c r="G1064" s="11" t="inlineStr"/>
      <c r="H1064" s="11" t="inlineStr">
        <is>
          <t>c27179</t>
        </is>
      </c>
      <c r="I1064" s="11" t="inlineStr">
        <is>
          <t>name</t>
        </is>
      </c>
      <c r="J1064" s="11" t="inlineStr">
        <is>
          <t>no</t>
        </is>
      </c>
      <c r="K1064" s="11" t="inlineStr">
        <is>
          <t>no</t>
        </is>
      </c>
      <c r="L1064" s="11" t="inlineStr"/>
    </row>
    <row r="1065">
      <c r="A1065" s="11" t="inlineStr">
        <is>
          <t>1062</t>
        </is>
      </c>
      <c r="B1065" s="11" t="inlineStr">
        <is>
          <t>163</t>
        </is>
      </c>
      <c r="C1065" s="11" t="inlineStr">
        <is>
          <t>HC/tribunal/other</t>
        </is>
      </c>
      <c r="D1065" s="11" t="inlineStr">
        <is>
          <t>no</t>
        </is>
      </c>
      <c r="E1065" s="11" t="inlineStr">
        <is>
          <t>no</t>
        </is>
      </c>
      <c r="F1065" s="11" t="inlineStr"/>
      <c r="G1065" s="11" t="inlineStr"/>
      <c r="H1065" s="11" t="inlineStr"/>
      <c r="I1065" s="11" t="inlineStr"/>
      <c r="J1065" s="11" t="inlineStr">
        <is>
          <t>no</t>
        </is>
      </c>
      <c r="K1065" s="11" t="inlineStr">
        <is>
          <t>no</t>
        </is>
      </c>
      <c r="L1065" s="11" t="inlineStr"/>
    </row>
    <row r="1066">
      <c r="A1066" s="11" t="inlineStr">
        <is>
          <t>1063</t>
        </is>
      </c>
      <c r="B1066" s="11" t="inlineStr">
        <is>
          <t>164</t>
        </is>
      </c>
      <c r="C1066" s="11" t="inlineStr">
        <is>
          <t>HC/tribunal/other</t>
        </is>
      </c>
      <c r="D1066" s="11" t="inlineStr">
        <is>
          <t>no</t>
        </is>
      </c>
      <c r="E1066" s="11" t="inlineStr">
        <is>
          <t>no</t>
        </is>
      </c>
      <c r="F1066" s="11" t="inlineStr"/>
      <c r="G1066" s="11" t="inlineStr"/>
      <c r="H1066" s="11" t="inlineStr">
        <is>
          <t>c17888</t>
        </is>
      </c>
      <c r="I1066" s="11" t="inlineStr">
        <is>
          <t>name</t>
        </is>
      </c>
      <c r="J1066" s="11" t="inlineStr">
        <is>
          <t>no</t>
        </is>
      </c>
      <c r="K1066" s="11" t="inlineStr">
        <is>
          <t>no</t>
        </is>
      </c>
      <c r="L1066" s="11" t="inlineStr"/>
    </row>
    <row r="1067">
      <c r="A1067" s="11" t="inlineStr">
        <is>
          <t>1064</t>
        </is>
      </c>
      <c r="B1067" s="11" t="inlineStr">
        <is>
          <t>164</t>
        </is>
      </c>
      <c r="C1067" s="11" t="inlineStr">
        <is>
          <t>HC/tribunal/other</t>
        </is>
      </c>
      <c r="D1067" s="11" t="inlineStr">
        <is>
          <t>yes</t>
        </is>
      </c>
      <c r="E1067" s="11" t="inlineStr">
        <is>
          <t>yes</t>
        </is>
      </c>
      <c r="F1067" s="11" t="inlineStr"/>
      <c r="G1067" s="11" t="inlineStr"/>
      <c r="H1067" s="11" t="inlineStr">
        <is>
          <t>c18925</t>
        </is>
      </c>
      <c r="I1067" s="11" t="inlineStr">
        <is>
          <t>cite</t>
        </is>
      </c>
      <c r="J1067" s="11" t="inlineStr">
        <is>
          <t>no</t>
        </is>
      </c>
      <c r="K1067" s="11" t="inlineStr">
        <is>
          <t>no</t>
        </is>
      </c>
      <c r="L1067" s="11" t="inlineStr"/>
    </row>
    <row r="1068">
      <c r="A1068" s="11" t="inlineStr">
        <is>
          <t>1065</t>
        </is>
      </c>
      <c r="B1068" s="11" t="inlineStr">
        <is>
          <t>164</t>
        </is>
      </c>
      <c r="C1068" s="11" t="inlineStr">
        <is>
          <t>HC/tribunal/other</t>
        </is>
      </c>
      <c r="D1068" s="11" t="inlineStr">
        <is>
          <t>yes</t>
        </is>
      </c>
      <c r="E1068" s="11" t="inlineStr">
        <is>
          <t>no</t>
        </is>
      </c>
      <c r="F1068" s="11" t="inlineStr"/>
      <c r="G1068" s="11" t="inlineStr"/>
      <c r="H1068" s="11" t="inlineStr">
        <is>
          <t>c28042</t>
        </is>
      </c>
      <c r="I1068" s="11" t="inlineStr">
        <is>
          <t>name</t>
        </is>
      </c>
      <c r="J1068" s="11" t="inlineStr">
        <is>
          <t>no</t>
        </is>
      </c>
      <c r="K1068" s="11" t="inlineStr">
        <is>
          <t>no</t>
        </is>
      </c>
      <c r="L1068" s="11" t="inlineStr"/>
    </row>
    <row r="1069">
      <c r="A1069" s="11" t="inlineStr">
        <is>
          <t>1066</t>
        </is>
      </c>
      <c r="B1069" s="11" t="inlineStr">
        <is>
          <t>164</t>
        </is>
      </c>
      <c r="C1069" s="11" t="inlineStr">
        <is>
          <t>HC/tribunal/other</t>
        </is>
      </c>
      <c r="D1069" s="11" t="inlineStr">
        <is>
          <t>no</t>
        </is>
      </c>
      <c r="E1069" s="11" t="inlineStr">
        <is>
          <t>yes</t>
        </is>
      </c>
      <c r="F1069" s="11" t="inlineStr"/>
      <c r="G1069" s="11" t="inlineStr"/>
      <c r="H1069" s="11" t="inlineStr"/>
      <c r="I1069" s="11" t="inlineStr"/>
      <c r="J1069" s="11" t="inlineStr">
        <is>
          <t>no</t>
        </is>
      </c>
      <c r="K1069" s="11" t="inlineStr">
        <is>
          <t>no</t>
        </is>
      </c>
      <c r="L1069" s="11" t="inlineStr"/>
    </row>
    <row r="1070">
      <c r="A1070" s="11" t="inlineStr">
        <is>
          <t>1067</t>
        </is>
      </c>
      <c r="B1070" s="11" t="inlineStr">
        <is>
          <t>164</t>
        </is>
      </c>
      <c r="C1070" s="11" t="inlineStr">
        <is>
          <t>HC/tribunal/other</t>
        </is>
      </c>
      <c r="D1070" s="11" t="inlineStr">
        <is>
          <t>yes</t>
        </is>
      </c>
      <c r="E1070" s="11" t="inlineStr">
        <is>
          <t>no</t>
        </is>
      </c>
      <c r="F1070" s="11" t="inlineStr"/>
      <c r="G1070" s="11" t="inlineStr"/>
      <c r="H1070" s="11" t="inlineStr">
        <is>
          <t>c28445</t>
        </is>
      </c>
      <c r="I1070" s="11" t="inlineStr">
        <is>
          <t>cite</t>
        </is>
      </c>
      <c r="J1070" s="11" t="inlineStr">
        <is>
          <t>no</t>
        </is>
      </c>
      <c r="K1070" s="11" t="inlineStr">
        <is>
          <t>no</t>
        </is>
      </c>
      <c r="L1070" s="11" t="inlineStr"/>
    </row>
    <row r="1071">
      <c r="A1071" s="11" t="inlineStr">
        <is>
          <t>1068</t>
        </is>
      </c>
      <c r="B1071" s="11" t="inlineStr">
        <is>
          <t>164</t>
        </is>
      </c>
      <c r="C1071" s="11" t="inlineStr">
        <is>
          <t>HC/tribunal/other</t>
        </is>
      </c>
      <c r="D1071" s="11" t="inlineStr">
        <is>
          <t>no</t>
        </is>
      </c>
      <c r="E1071" s="11" t="inlineStr">
        <is>
          <t>no</t>
        </is>
      </c>
      <c r="F1071" s="11" t="inlineStr"/>
      <c r="G1071" s="11" t="inlineStr"/>
      <c r="H1071" s="11" t="inlineStr"/>
      <c r="I1071" s="11" t="inlineStr"/>
      <c r="J1071" s="11" t="inlineStr">
        <is>
          <t>no</t>
        </is>
      </c>
      <c r="K1071" s="11" t="inlineStr">
        <is>
          <t>no</t>
        </is>
      </c>
      <c r="L1071" s="11" t="inlineStr"/>
    </row>
    <row r="1072">
      <c r="A1072" s="11" t="inlineStr">
        <is>
          <t>1069</t>
        </is>
      </c>
      <c r="B1072" s="11" t="inlineStr">
        <is>
          <t>165</t>
        </is>
      </c>
      <c r="C1072" s="11" t="inlineStr">
        <is>
          <t>HC/tribunal/other</t>
        </is>
      </c>
      <c r="D1072" s="11" t="inlineStr">
        <is>
          <t>no</t>
        </is>
      </c>
      <c r="E1072" s="11" t="inlineStr">
        <is>
          <t>no</t>
        </is>
      </c>
      <c r="F1072" s="11" t="inlineStr"/>
      <c r="G1072" s="11" t="inlineStr"/>
      <c r="H1072" s="11" t="inlineStr">
        <is>
          <t>c8196</t>
        </is>
      </c>
      <c r="I1072" s="11" t="inlineStr">
        <is>
          <t>cite</t>
        </is>
      </c>
      <c r="J1072" s="11" t="inlineStr">
        <is>
          <t>no</t>
        </is>
      </c>
      <c r="K1072" s="11" t="inlineStr">
        <is>
          <t>no</t>
        </is>
      </c>
      <c r="L1072" s="11" t="inlineStr"/>
    </row>
    <row r="1073">
      <c r="A1073" s="11" t="inlineStr">
        <is>
          <t>1070</t>
        </is>
      </c>
      <c r="B1073" s="11" t="inlineStr">
        <is>
          <t>165</t>
        </is>
      </c>
      <c r="C1073" s="11" t="inlineStr">
        <is>
          <t>HC/tribunal/other</t>
        </is>
      </c>
      <c r="D1073" s="11" t="inlineStr">
        <is>
          <t>no</t>
        </is>
      </c>
      <c r="E1073" s="11" t="inlineStr">
        <is>
          <t>no</t>
        </is>
      </c>
      <c r="F1073" s="11" t="inlineStr"/>
      <c r="G1073" s="11" t="inlineStr"/>
      <c r="H1073" s="11" t="inlineStr">
        <is>
          <t>c34326</t>
        </is>
      </c>
      <c r="I1073" s="11" t="inlineStr">
        <is>
          <t>cite</t>
        </is>
      </c>
      <c r="J1073" s="11" t="inlineStr">
        <is>
          <t>no</t>
        </is>
      </c>
      <c r="K1073" s="11" t="inlineStr">
        <is>
          <t>no</t>
        </is>
      </c>
      <c r="L1073" s="11" t="inlineStr"/>
    </row>
    <row r="1074">
      <c r="A1074" s="11" t="inlineStr">
        <is>
          <t>1071</t>
        </is>
      </c>
      <c r="B1074" s="11" t="inlineStr">
        <is>
          <t>165</t>
        </is>
      </c>
      <c r="C1074" s="11" t="inlineStr">
        <is>
          <t>HC/tribunal/other</t>
        </is>
      </c>
      <c r="D1074" s="11" t="inlineStr">
        <is>
          <t>yes</t>
        </is>
      </c>
      <c r="E1074" s="11" t="inlineStr">
        <is>
          <t>no</t>
        </is>
      </c>
      <c r="F1074" s="11" t="inlineStr"/>
      <c r="G1074" s="11" t="inlineStr"/>
      <c r="H1074" s="11" t="inlineStr">
        <is>
          <t>c34097</t>
        </is>
      </c>
      <c r="I1074" s="11" t="inlineStr">
        <is>
          <t>cite</t>
        </is>
      </c>
      <c r="J1074" s="11" t="inlineStr">
        <is>
          <t>no</t>
        </is>
      </c>
      <c r="K1074" s="11" t="inlineStr">
        <is>
          <t>no</t>
        </is>
      </c>
      <c r="L1074" s="11" t="inlineStr"/>
    </row>
    <row r="1075">
      <c r="A1075" s="11" t="inlineStr">
        <is>
          <t>1072</t>
        </is>
      </c>
      <c r="B1075" s="11" t="inlineStr">
        <is>
          <t>165</t>
        </is>
      </c>
      <c r="C1075" s="11" t="inlineStr">
        <is>
          <t>HC/tribunal/other</t>
        </is>
      </c>
      <c r="D1075" s="11" t="inlineStr">
        <is>
          <t>no</t>
        </is>
      </c>
      <c r="E1075" s="11" t="inlineStr">
        <is>
          <t>yes</t>
        </is>
      </c>
      <c r="F1075" s="11" t="inlineStr"/>
      <c r="G1075" s="11" t="inlineStr"/>
      <c r="H1075" s="11" t="inlineStr"/>
      <c r="I1075" s="11" t="inlineStr"/>
      <c r="J1075" s="11" t="inlineStr">
        <is>
          <t>no</t>
        </is>
      </c>
      <c r="K1075" s="11" t="inlineStr">
        <is>
          <t>no</t>
        </is>
      </c>
      <c r="L1075" s="11" t="inlineStr"/>
    </row>
    <row r="1076">
      <c r="A1076" s="11" t="inlineStr">
        <is>
          <t>1073</t>
        </is>
      </c>
      <c r="B1076" s="11" t="inlineStr">
        <is>
          <t>165</t>
        </is>
      </c>
      <c r="C1076" s="11" t="inlineStr">
        <is>
          <t>HC/tribunal/other</t>
        </is>
      </c>
      <c r="D1076" s="11" t="inlineStr">
        <is>
          <t>no</t>
        </is>
      </c>
      <c r="E1076" s="11" t="inlineStr">
        <is>
          <t>no</t>
        </is>
      </c>
      <c r="F1076" s="11" t="inlineStr"/>
      <c r="G1076" s="11" t="inlineStr"/>
      <c r="H1076" s="11" t="inlineStr">
        <is>
          <t>c38982</t>
        </is>
      </c>
      <c r="I1076" s="11" t="inlineStr">
        <is>
          <t>name</t>
        </is>
      </c>
      <c r="J1076" s="11" t="inlineStr">
        <is>
          <t>no</t>
        </is>
      </c>
      <c r="K1076" s="11" t="inlineStr">
        <is>
          <t>no</t>
        </is>
      </c>
      <c r="L1076" s="11" t="inlineStr"/>
    </row>
    <row r="1077">
      <c r="A1077" s="11" t="inlineStr">
        <is>
          <t>1074</t>
        </is>
      </c>
      <c r="B1077" s="11" t="inlineStr">
        <is>
          <t>165</t>
        </is>
      </c>
      <c r="C1077" s="11" t="inlineStr">
        <is>
          <t>HC/tribunal/other</t>
        </is>
      </c>
      <c r="D1077" s="11" t="inlineStr">
        <is>
          <t>yes</t>
        </is>
      </c>
      <c r="E1077" s="11" t="inlineStr">
        <is>
          <t>no</t>
        </is>
      </c>
      <c r="F1077" s="11" t="inlineStr"/>
      <c r="G1077" s="11" t="inlineStr"/>
      <c r="H1077" s="11" t="inlineStr">
        <is>
          <t>c31600</t>
        </is>
      </c>
      <c r="I1077" s="11" t="inlineStr">
        <is>
          <t>name</t>
        </is>
      </c>
      <c r="J1077" s="11" t="inlineStr">
        <is>
          <t>no</t>
        </is>
      </c>
      <c r="K1077" s="11" t="inlineStr">
        <is>
          <t>no</t>
        </is>
      </c>
      <c r="L1077" s="11" t="inlineStr"/>
    </row>
    <row r="1078">
      <c r="A1078" s="11" t="inlineStr">
        <is>
          <t>1075</t>
        </is>
      </c>
      <c r="B1078" s="11" t="inlineStr">
        <is>
          <t>165</t>
        </is>
      </c>
      <c r="C1078" s="11" t="inlineStr">
        <is>
          <t>HC/tribunal/other</t>
        </is>
      </c>
      <c r="D1078" s="11" t="inlineStr">
        <is>
          <t>no</t>
        </is>
      </c>
      <c r="E1078" s="11" t="inlineStr">
        <is>
          <t>no</t>
        </is>
      </c>
      <c r="F1078" s="11" t="inlineStr"/>
      <c r="G1078" s="11" t="inlineStr"/>
      <c r="H1078" s="11" t="inlineStr">
        <is>
          <t>c10320</t>
        </is>
      </c>
      <c r="I1078" s="11" t="inlineStr">
        <is>
          <t>cite</t>
        </is>
      </c>
      <c r="J1078" s="11" t="inlineStr">
        <is>
          <t>no</t>
        </is>
      </c>
      <c r="K1078" s="11" t="inlineStr">
        <is>
          <t>no</t>
        </is>
      </c>
      <c r="L1078" s="11" t="inlineStr"/>
    </row>
    <row r="1079">
      <c r="A1079" s="11" t="inlineStr">
        <is>
          <t>1076</t>
        </is>
      </c>
      <c r="B1079" s="11" t="inlineStr">
        <is>
          <t>166</t>
        </is>
      </c>
      <c r="C1079" s="11" t="inlineStr">
        <is>
          <t>HC/tribunal/other</t>
        </is>
      </c>
      <c r="D1079" s="11" t="inlineStr">
        <is>
          <t>no</t>
        </is>
      </c>
      <c r="E1079" s="11" t="inlineStr">
        <is>
          <t>no</t>
        </is>
      </c>
      <c r="F1079" s="11" t="inlineStr"/>
      <c r="G1079" s="11" t="inlineStr"/>
      <c r="H1079" s="11" t="inlineStr">
        <is>
          <t>c26948</t>
        </is>
      </c>
      <c r="I1079" s="11" t="inlineStr">
        <is>
          <t>cite</t>
        </is>
      </c>
      <c r="J1079" s="11" t="inlineStr">
        <is>
          <t>no</t>
        </is>
      </c>
      <c r="K1079" s="11" t="inlineStr">
        <is>
          <t>no</t>
        </is>
      </c>
      <c r="L1079" s="11" t="inlineStr"/>
    </row>
    <row r="1080">
      <c r="A1080" s="11" t="inlineStr">
        <is>
          <t>1077</t>
        </is>
      </c>
      <c r="B1080" s="11" t="inlineStr">
        <is>
          <t>166</t>
        </is>
      </c>
      <c r="C1080" s="11" t="inlineStr">
        <is>
          <t>HC/tribunal/other</t>
        </is>
      </c>
      <c r="D1080" s="11" t="inlineStr">
        <is>
          <t>yes</t>
        </is>
      </c>
      <c r="E1080" s="11" t="inlineStr">
        <is>
          <t>no</t>
        </is>
      </c>
      <c r="F1080" s="11" t="inlineStr"/>
      <c r="G1080" s="11" t="inlineStr"/>
      <c r="H1080" s="11" t="inlineStr">
        <is>
          <t>c20524</t>
        </is>
      </c>
      <c r="I1080" s="11" t="inlineStr">
        <is>
          <t>cite</t>
        </is>
      </c>
      <c r="J1080" s="11" t="inlineStr">
        <is>
          <t>no</t>
        </is>
      </c>
      <c r="K1080" s="11" t="inlineStr">
        <is>
          <t>no</t>
        </is>
      </c>
      <c r="L1080" s="11" t="inlineStr"/>
    </row>
    <row r="1081">
      <c r="A1081" s="11" t="inlineStr">
        <is>
          <t>1078</t>
        </is>
      </c>
      <c r="B1081" s="11" t="inlineStr">
        <is>
          <t>166</t>
        </is>
      </c>
      <c r="C1081" s="11" t="inlineStr">
        <is>
          <t>HC/tribunal/other</t>
        </is>
      </c>
      <c r="D1081" s="11" t="inlineStr">
        <is>
          <t>no</t>
        </is>
      </c>
      <c r="E1081" s="11" t="inlineStr">
        <is>
          <t>no</t>
        </is>
      </c>
      <c r="F1081" s="11" t="inlineStr"/>
      <c r="G1081" s="11" t="inlineStr"/>
      <c r="H1081" s="11" t="inlineStr">
        <is>
          <t>c7402</t>
        </is>
      </c>
      <c r="I1081" s="11" t="inlineStr">
        <is>
          <t>cite</t>
        </is>
      </c>
      <c r="J1081" s="11" t="inlineStr">
        <is>
          <t>no</t>
        </is>
      </c>
      <c r="K1081" s="11" t="inlineStr">
        <is>
          <t>no</t>
        </is>
      </c>
      <c r="L1081" s="11" t="inlineStr"/>
    </row>
    <row r="1082">
      <c r="A1082" s="11" t="inlineStr">
        <is>
          <t>1079</t>
        </is>
      </c>
      <c r="B1082" s="11" t="inlineStr">
        <is>
          <t>166</t>
        </is>
      </c>
      <c r="C1082" s="11" t="inlineStr">
        <is>
          <t>HC/tribunal/other</t>
        </is>
      </c>
      <c r="D1082" s="11" t="inlineStr">
        <is>
          <t>yes</t>
        </is>
      </c>
      <c r="E1082" s="11" t="inlineStr">
        <is>
          <t>no</t>
        </is>
      </c>
      <c r="F1082" s="11" t="inlineStr"/>
      <c r="G1082" s="11" t="inlineStr"/>
      <c r="H1082" s="11" t="inlineStr">
        <is>
          <t>c38671</t>
        </is>
      </c>
      <c r="I1082" s="11" t="inlineStr">
        <is>
          <t>cite</t>
        </is>
      </c>
      <c r="J1082" s="11" t="inlineStr">
        <is>
          <t>no</t>
        </is>
      </c>
      <c r="K1082" s="11" t="inlineStr">
        <is>
          <t>no</t>
        </is>
      </c>
      <c r="L1082" s="11" t="inlineStr"/>
    </row>
    <row r="1083">
      <c r="A1083" s="11" t="inlineStr">
        <is>
          <t>1080</t>
        </is>
      </c>
      <c r="B1083" s="11" t="inlineStr">
        <is>
          <t>166</t>
        </is>
      </c>
      <c r="C1083" s="11" t="inlineStr">
        <is>
          <t>HC/tribunal/other</t>
        </is>
      </c>
      <c r="D1083" s="11" t="inlineStr">
        <is>
          <t>yes</t>
        </is>
      </c>
      <c r="E1083" s="11" t="inlineStr">
        <is>
          <t>no</t>
        </is>
      </c>
      <c r="F1083" s="11" t="inlineStr"/>
      <c r="G1083" s="11" t="inlineStr"/>
      <c r="H1083" s="11" t="inlineStr">
        <is>
          <t>bS_1994_3_665_673</t>
        </is>
      </c>
      <c r="I1083" s="11" t="inlineStr">
        <is>
          <t>name</t>
        </is>
      </c>
      <c r="J1083" s="11" t="inlineStr">
        <is>
          <t>no</t>
        </is>
      </c>
      <c r="K1083" s="11" t="inlineStr">
        <is>
          <t>no</t>
        </is>
      </c>
      <c r="L1083" s="11" t="inlineStr"/>
    </row>
    <row r="1084">
      <c r="A1084" s="11" t="inlineStr">
        <is>
          <t>1081</t>
        </is>
      </c>
      <c r="B1084" s="11" t="inlineStr">
        <is>
          <t>167</t>
        </is>
      </c>
      <c r="C1084" s="11" t="inlineStr">
        <is>
          <t>HC/tribunal/other</t>
        </is>
      </c>
      <c r="D1084" s="11" t="inlineStr">
        <is>
          <t>no</t>
        </is>
      </c>
      <c r="E1084" s="11" t="inlineStr">
        <is>
          <t>no</t>
        </is>
      </c>
      <c r="F1084" s="11" t="inlineStr"/>
      <c r="G1084" s="11" t="inlineStr"/>
      <c r="H1084" s="11" t="inlineStr">
        <is>
          <t>c12374</t>
        </is>
      </c>
      <c r="I1084" s="11" t="inlineStr">
        <is>
          <t>cite</t>
        </is>
      </c>
      <c r="J1084" s="11" t="inlineStr">
        <is>
          <t>no</t>
        </is>
      </c>
      <c r="K1084" s="11" t="inlineStr">
        <is>
          <t>no</t>
        </is>
      </c>
      <c r="L1084" s="11" t="inlineStr"/>
    </row>
    <row r="1085">
      <c r="A1085" s="11" t="inlineStr">
        <is>
          <t>1082</t>
        </is>
      </c>
      <c r="B1085" s="11" t="inlineStr">
        <is>
          <t>167</t>
        </is>
      </c>
      <c r="C1085" s="11" t="inlineStr">
        <is>
          <t>HC/tribunal/other</t>
        </is>
      </c>
      <c r="D1085" s="11" t="inlineStr">
        <is>
          <t>no</t>
        </is>
      </c>
      <c r="E1085" s="11" t="inlineStr">
        <is>
          <t>no</t>
        </is>
      </c>
      <c r="F1085" s="11" t="inlineStr"/>
      <c r="G1085" s="11" t="inlineStr"/>
      <c r="H1085" s="11" t="inlineStr">
        <is>
          <t>c8690</t>
        </is>
      </c>
      <c r="I1085" s="11" t="inlineStr">
        <is>
          <t>cite</t>
        </is>
      </c>
      <c r="J1085" s="11" t="inlineStr">
        <is>
          <t>no</t>
        </is>
      </c>
      <c r="K1085" s="11" t="inlineStr">
        <is>
          <t>no</t>
        </is>
      </c>
      <c r="L1085" s="11" t="inlineStr"/>
    </row>
    <row r="1086">
      <c r="A1086" s="11" t="inlineStr">
        <is>
          <t>1083</t>
        </is>
      </c>
      <c r="B1086" s="11" t="inlineStr">
        <is>
          <t>167</t>
        </is>
      </c>
      <c r="C1086" s="11" t="inlineStr">
        <is>
          <t>HC/tribunal/other</t>
        </is>
      </c>
      <c r="D1086" s="11" t="inlineStr">
        <is>
          <t>no</t>
        </is>
      </c>
      <c r="E1086" s="11" t="inlineStr">
        <is>
          <t>no</t>
        </is>
      </c>
      <c r="F1086" s="11" t="inlineStr"/>
      <c r="G1086" s="11" t="inlineStr"/>
      <c r="H1086" s="11" t="inlineStr">
        <is>
          <t>c13769</t>
        </is>
      </c>
      <c r="I1086" s="11" t="inlineStr">
        <is>
          <t>name</t>
        </is>
      </c>
      <c r="J1086" s="11" t="inlineStr">
        <is>
          <t>no</t>
        </is>
      </c>
      <c r="K1086" s="11" t="inlineStr">
        <is>
          <t>no</t>
        </is>
      </c>
      <c r="L1086" s="11" t="inlineStr"/>
    </row>
    <row r="1087">
      <c r="A1087" s="11" t="inlineStr">
        <is>
          <t>1084</t>
        </is>
      </c>
      <c r="B1087" s="11" t="inlineStr">
        <is>
          <t>167</t>
        </is>
      </c>
      <c r="C1087" s="11" t="inlineStr">
        <is>
          <t>HC/tribunal/other</t>
        </is>
      </c>
      <c r="D1087" s="11" t="inlineStr">
        <is>
          <t>no</t>
        </is>
      </c>
      <c r="E1087" s="11" t="inlineStr">
        <is>
          <t>no</t>
        </is>
      </c>
      <c r="F1087" s="11" t="inlineStr"/>
      <c r="G1087" s="11" t="inlineStr"/>
      <c r="H1087" s="11" t="inlineStr">
        <is>
          <t>c31223</t>
        </is>
      </c>
      <c r="I1087" s="11" t="inlineStr">
        <is>
          <t>name</t>
        </is>
      </c>
      <c r="J1087" s="11" t="inlineStr">
        <is>
          <t>no</t>
        </is>
      </c>
      <c r="K1087" s="11" t="inlineStr">
        <is>
          <t>no</t>
        </is>
      </c>
      <c r="L1087" s="11" t="inlineStr"/>
    </row>
    <row r="1088">
      <c r="A1088" s="11" t="inlineStr">
        <is>
          <t>1085</t>
        </is>
      </c>
      <c r="B1088" s="11" t="inlineStr">
        <is>
          <t>167</t>
        </is>
      </c>
      <c r="C1088" s="11" t="inlineStr">
        <is>
          <t>HC/tribunal/other</t>
        </is>
      </c>
      <c r="D1088" s="11" t="inlineStr">
        <is>
          <t>no</t>
        </is>
      </c>
      <c r="E1088" s="11" t="inlineStr">
        <is>
          <t>no</t>
        </is>
      </c>
      <c r="F1088" s="11" t="inlineStr"/>
      <c r="G1088" s="11" t="inlineStr"/>
      <c r="H1088" s="11" t="inlineStr">
        <is>
          <t>c5662</t>
        </is>
      </c>
      <c r="I1088" s="11" t="inlineStr">
        <is>
          <t>cite</t>
        </is>
      </c>
      <c r="J1088" s="11" t="inlineStr">
        <is>
          <t>no</t>
        </is>
      </c>
      <c r="K1088" s="11" t="inlineStr">
        <is>
          <t>no</t>
        </is>
      </c>
      <c r="L1088" s="11" t="inlineStr"/>
    </row>
    <row r="1089">
      <c r="A1089" s="11" t="inlineStr">
        <is>
          <t>1086</t>
        </is>
      </c>
      <c r="B1089" s="11" t="inlineStr">
        <is>
          <t>167</t>
        </is>
      </c>
      <c r="C1089" s="11" t="inlineStr">
        <is>
          <t>HC/tribunal/other</t>
        </is>
      </c>
      <c r="D1089" s="11" t="inlineStr">
        <is>
          <t>no</t>
        </is>
      </c>
      <c r="E1089" s="11" t="inlineStr">
        <is>
          <t>no</t>
        </is>
      </c>
      <c r="F1089" s="11" t="inlineStr"/>
      <c r="G1089" s="11" t="inlineStr"/>
      <c r="H1089" s="11" t="inlineStr">
        <is>
          <t>c9173</t>
        </is>
      </c>
      <c r="I1089" s="11" t="inlineStr">
        <is>
          <t>cite</t>
        </is>
      </c>
      <c r="J1089" s="11" t="inlineStr">
        <is>
          <t>no</t>
        </is>
      </c>
      <c r="K1089" s="11" t="inlineStr">
        <is>
          <t>no</t>
        </is>
      </c>
      <c r="L1089" s="11" t="inlineStr"/>
    </row>
    <row r="1090">
      <c r="A1090" s="11" t="inlineStr">
        <is>
          <t>1087</t>
        </is>
      </c>
      <c r="B1090" s="11" t="inlineStr">
        <is>
          <t>168</t>
        </is>
      </c>
      <c r="C1090" s="11" t="inlineStr">
        <is>
          <t>HC/tribunal/other</t>
        </is>
      </c>
      <c r="D1090" s="11" t="inlineStr">
        <is>
          <t>no</t>
        </is>
      </c>
      <c r="E1090" s="11" t="inlineStr">
        <is>
          <t>no</t>
        </is>
      </c>
      <c r="F1090" s="11" t="inlineStr"/>
      <c r="G1090" s="11" t="inlineStr"/>
      <c r="H1090" s="11" t="inlineStr">
        <is>
          <t>c28830</t>
        </is>
      </c>
      <c r="I1090" s="11" t="inlineStr">
        <is>
          <t>cite</t>
        </is>
      </c>
      <c r="J1090" s="11" t="inlineStr">
        <is>
          <t>no</t>
        </is>
      </c>
      <c r="K1090" s="11" t="inlineStr">
        <is>
          <t>no</t>
        </is>
      </c>
      <c r="L1090" s="11" t="inlineStr"/>
    </row>
    <row r="1091">
      <c r="A1091" s="11" t="inlineStr">
        <is>
          <t>1088</t>
        </is>
      </c>
      <c r="B1091" s="11" t="inlineStr">
        <is>
          <t>168</t>
        </is>
      </c>
      <c r="C1091" s="11" t="inlineStr">
        <is>
          <t>HC/tribunal/other</t>
        </is>
      </c>
      <c r="D1091" s="11" t="inlineStr">
        <is>
          <t>no</t>
        </is>
      </c>
      <c r="E1091" s="11" t="inlineStr">
        <is>
          <t>no</t>
        </is>
      </c>
      <c r="F1091" s="11" t="inlineStr"/>
      <c r="G1091" s="11" t="inlineStr"/>
      <c r="H1091" s="11" t="inlineStr"/>
      <c r="I1091" s="11" t="inlineStr"/>
      <c r="J1091" s="11" t="inlineStr">
        <is>
          <t>no</t>
        </is>
      </c>
      <c r="K1091" s="11" t="inlineStr">
        <is>
          <t>no</t>
        </is>
      </c>
      <c r="L1091" s="11" t="inlineStr"/>
    </row>
    <row r="1092">
      <c r="A1092" s="11" t="inlineStr">
        <is>
          <t>1089</t>
        </is>
      </c>
      <c r="B1092" s="11" t="inlineStr">
        <is>
          <t>168</t>
        </is>
      </c>
      <c r="C1092" s="11" t="inlineStr">
        <is>
          <t>HC/tribunal/other</t>
        </is>
      </c>
      <c r="D1092" s="11" t="inlineStr">
        <is>
          <t>no</t>
        </is>
      </c>
      <c r="E1092" s="11" t="inlineStr">
        <is>
          <t>no</t>
        </is>
      </c>
      <c r="F1092" s="11" t="inlineStr"/>
      <c r="G1092" s="11" t="inlineStr"/>
      <c r="H1092" s="11" t="inlineStr">
        <is>
          <t>c10736</t>
        </is>
      </c>
      <c r="I1092" s="11" t="inlineStr">
        <is>
          <t>cite</t>
        </is>
      </c>
      <c r="J1092" s="11" t="inlineStr">
        <is>
          <t>no</t>
        </is>
      </c>
      <c r="K1092" s="11" t="inlineStr">
        <is>
          <t>no</t>
        </is>
      </c>
      <c r="L1092" s="11" t="inlineStr"/>
    </row>
    <row r="1093">
      <c r="A1093" s="11" t="inlineStr">
        <is>
          <t>1090</t>
        </is>
      </c>
      <c r="B1093" s="11" t="inlineStr">
        <is>
          <t>168</t>
        </is>
      </c>
      <c r="C1093" s="11" t="inlineStr">
        <is>
          <t>HC/tribunal/other</t>
        </is>
      </c>
      <c r="D1093" s="11" t="inlineStr">
        <is>
          <t>no</t>
        </is>
      </c>
      <c r="E1093" s="11" t="inlineStr">
        <is>
          <t>no</t>
        </is>
      </c>
      <c r="F1093" s="11" t="inlineStr"/>
      <c r="G1093" s="11" t="inlineStr"/>
      <c r="H1093" s="11" t="inlineStr">
        <is>
          <t>c10339</t>
        </is>
      </c>
      <c r="I1093" s="11" t="inlineStr">
        <is>
          <t>cite</t>
        </is>
      </c>
      <c r="J1093" s="11" t="inlineStr">
        <is>
          <t>no</t>
        </is>
      </c>
      <c r="K1093" s="11" t="inlineStr">
        <is>
          <t>no</t>
        </is>
      </c>
      <c r="L1093" s="11" t="inlineStr"/>
    </row>
    <row r="1094">
      <c r="A1094" s="11" t="inlineStr">
        <is>
          <t>1091</t>
        </is>
      </c>
      <c r="B1094" s="11" t="inlineStr">
        <is>
          <t>168</t>
        </is>
      </c>
      <c r="C1094" s="11" t="inlineStr">
        <is>
          <t>HC/tribunal/other</t>
        </is>
      </c>
      <c r="D1094" s="11" t="inlineStr">
        <is>
          <t>no</t>
        </is>
      </c>
      <c r="E1094" s="11" t="inlineStr">
        <is>
          <t>no</t>
        </is>
      </c>
      <c r="F1094" s="11" t="inlineStr"/>
      <c r="G1094" s="11" t="inlineStr"/>
      <c r="H1094" s="11" t="inlineStr">
        <is>
          <t>c6842</t>
        </is>
      </c>
      <c r="I1094" s="11" t="inlineStr">
        <is>
          <t>cite</t>
        </is>
      </c>
      <c r="J1094" s="11" t="inlineStr">
        <is>
          <t>yes</t>
        </is>
      </c>
      <c r="K1094" s="11" t="inlineStr">
        <is>
          <t>no</t>
        </is>
      </c>
      <c r="L1094" s="11" t="inlineStr"/>
    </row>
    <row r="1095">
      <c r="A1095" s="11" t="inlineStr">
        <is>
          <t>1092</t>
        </is>
      </c>
      <c r="B1095" s="11" t="inlineStr">
        <is>
          <t>168</t>
        </is>
      </c>
      <c r="C1095" s="11" t="inlineStr">
        <is>
          <t>HC/tribunal/other</t>
        </is>
      </c>
      <c r="D1095" s="11" t="inlineStr">
        <is>
          <t>no</t>
        </is>
      </c>
      <c r="E1095" s="11" t="inlineStr">
        <is>
          <t>no</t>
        </is>
      </c>
      <c r="F1095" s="11" t="inlineStr"/>
      <c r="G1095" s="11" t="inlineStr"/>
      <c r="H1095" s="11" t="inlineStr">
        <is>
          <t>c12462</t>
        </is>
      </c>
      <c r="I1095" s="11" t="inlineStr">
        <is>
          <t>cite</t>
        </is>
      </c>
      <c r="J1095" s="11" t="inlineStr">
        <is>
          <t>no</t>
        </is>
      </c>
      <c r="K1095" s="11" t="inlineStr">
        <is>
          <t>no</t>
        </is>
      </c>
      <c r="L1095" s="11" t="inlineStr"/>
    </row>
    <row r="1096">
      <c r="A1096" s="11" t="inlineStr">
        <is>
          <t>1093</t>
        </is>
      </c>
      <c r="B1096" s="11" t="inlineStr">
        <is>
          <t>168</t>
        </is>
      </c>
      <c r="C1096" s="11" t="inlineStr">
        <is>
          <t>HC/tribunal/other</t>
        </is>
      </c>
      <c r="D1096" s="11" t="inlineStr">
        <is>
          <t>yes</t>
        </is>
      </c>
      <c r="E1096" s="11" t="inlineStr">
        <is>
          <t>no</t>
        </is>
      </c>
      <c r="F1096" s="11" t="inlineStr"/>
      <c r="G1096" s="11" t="inlineStr"/>
      <c r="H1096" s="11" t="inlineStr">
        <is>
          <t>c4523</t>
        </is>
      </c>
      <c r="I1096" s="11" t="inlineStr">
        <is>
          <t>cite</t>
        </is>
      </c>
      <c r="J1096" s="11" t="inlineStr">
        <is>
          <t>no</t>
        </is>
      </c>
      <c r="K1096" s="11" t="inlineStr">
        <is>
          <t>no</t>
        </is>
      </c>
      <c r="L1096" s="11" t="inlineStr"/>
    </row>
    <row r="1097">
      <c r="A1097" s="11" t="inlineStr">
        <is>
          <t>1094</t>
        </is>
      </c>
      <c r="B1097" s="11" t="inlineStr">
        <is>
          <t>169</t>
        </is>
      </c>
      <c r="C1097" s="11" t="inlineStr">
        <is>
          <t>HC/tribunal/other</t>
        </is>
      </c>
      <c r="D1097" s="11" t="inlineStr">
        <is>
          <t>no</t>
        </is>
      </c>
      <c r="E1097" s="11" t="inlineStr">
        <is>
          <t>no</t>
        </is>
      </c>
      <c r="F1097" s="11" t="inlineStr"/>
      <c r="G1097" s="11" t="inlineStr"/>
      <c r="H1097" s="11" t="inlineStr">
        <is>
          <t>c14104</t>
        </is>
      </c>
      <c r="I1097" s="11" t="inlineStr">
        <is>
          <t>cite</t>
        </is>
      </c>
      <c r="J1097" s="11" t="inlineStr">
        <is>
          <t>no</t>
        </is>
      </c>
      <c r="K1097" s="11" t="inlineStr">
        <is>
          <t>no</t>
        </is>
      </c>
      <c r="L1097" s="11" t="inlineStr"/>
    </row>
    <row r="1098">
      <c r="A1098" s="11" t="inlineStr">
        <is>
          <t>1095</t>
        </is>
      </c>
      <c r="B1098" s="11" t="inlineStr">
        <is>
          <t>169</t>
        </is>
      </c>
      <c r="C1098" s="11" t="inlineStr">
        <is>
          <t>HC/tribunal/other</t>
        </is>
      </c>
      <c r="D1098" s="11" t="inlineStr">
        <is>
          <t>yes</t>
        </is>
      </c>
      <c r="E1098" s="11" t="inlineStr">
        <is>
          <t>no</t>
        </is>
      </c>
      <c r="F1098" s="11" t="inlineStr"/>
      <c r="G1098" s="11" t="inlineStr"/>
      <c r="H1098" s="11" t="inlineStr">
        <is>
          <t>c27449</t>
        </is>
      </c>
      <c r="I1098" s="11" t="inlineStr">
        <is>
          <t>cite</t>
        </is>
      </c>
      <c r="J1098" s="11" t="inlineStr">
        <is>
          <t>no</t>
        </is>
      </c>
      <c r="K1098" s="11" t="inlineStr">
        <is>
          <t>no</t>
        </is>
      </c>
      <c r="L1098" s="11" t="inlineStr"/>
    </row>
    <row r="1099">
      <c r="A1099" s="11" t="inlineStr">
        <is>
          <t>1096</t>
        </is>
      </c>
      <c r="B1099" s="11" t="inlineStr">
        <is>
          <t>169</t>
        </is>
      </c>
      <c r="C1099" s="11" t="inlineStr">
        <is>
          <t>HC/tribunal/other</t>
        </is>
      </c>
      <c r="D1099" s="11" t="inlineStr">
        <is>
          <t>yes</t>
        </is>
      </c>
      <c r="E1099" s="11" t="inlineStr">
        <is>
          <t>no</t>
        </is>
      </c>
      <c r="F1099" s="11" t="inlineStr"/>
      <c r="G1099" s="11" t="inlineStr"/>
      <c r="H1099" s="11" t="inlineStr">
        <is>
          <t>c35266</t>
        </is>
      </c>
      <c r="I1099" s="11" t="inlineStr">
        <is>
          <t>name</t>
        </is>
      </c>
      <c r="J1099" s="11" t="inlineStr">
        <is>
          <t>no</t>
        </is>
      </c>
      <c r="K1099" s="11" t="inlineStr">
        <is>
          <t>no</t>
        </is>
      </c>
      <c r="L1099" s="11" t="inlineStr"/>
    </row>
    <row r="1100">
      <c r="A1100" s="11" t="inlineStr">
        <is>
          <t>1097</t>
        </is>
      </c>
      <c r="B1100" s="11" t="inlineStr">
        <is>
          <t>169</t>
        </is>
      </c>
      <c r="C1100" s="11" t="inlineStr">
        <is>
          <t>HC/tribunal/other</t>
        </is>
      </c>
      <c r="D1100" s="11" t="inlineStr">
        <is>
          <t>yes</t>
        </is>
      </c>
      <c r="E1100" s="11" t="inlineStr">
        <is>
          <t>yes</t>
        </is>
      </c>
      <c r="F1100" s="11" t="inlineStr"/>
      <c r="G1100" s="11" t="inlineStr"/>
      <c r="H1100" s="11" t="inlineStr">
        <is>
          <t>c26540</t>
        </is>
      </c>
      <c r="I1100" s="11" t="inlineStr">
        <is>
          <t>name</t>
        </is>
      </c>
      <c r="J1100" s="11" t="inlineStr">
        <is>
          <t>no</t>
        </is>
      </c>
      <c r="K1100" s="11" t="inlineStr">
        <is>
          <t>no</t>
        </is>
      </c>
      <c r="L1100" s="11" t="inlineStr"/>
    </row>
    <row r="1101">
      <c r="A1101" s="11" t="inlineStr">
        <is>
          <t>1098</t>
        </is>
      </c>
      <c r="B1101" s="11" t="inlineStr">
        <is>
          <t>169</t>
        </is>
      </c>
      <c r="C1101" s="11" t="inlineStr">
        <is>
          <t>HC/tribunal/other</t>
        </is>
      </c>
      <c r="D1101" s="11" t="inlineStr">
        <is>
          <t>yes</t>
        </is>
      </c>
      <c r="E1101" s="11" t="inlineStr">
        <is>
          <t>no</t>
        </is>
      </c>
      <c r="F1101" s="11" t="inlineStr"/>
      <c r="G1101" s="11" t="inlineStr"/>
      <c r="H1101" s="11" t="inlineStr">
        <is>
          <t>c9990</t>
        </is>
      </c>
      <c r="I1101" s="11" t="inlineStr">
        <is>
          <t>cite</t>
        </is>
      </c>
      <c r="J1101" s="11" t="inlineStr">
        <is>
          <t>no</t>
        </is>
      </c>
      <c r="K1101" s="11" t="inlineStr">
        <is>
          <t>no</t>
        </is>
      </c>
      <c r="L1101" s="11" t="inlineStr"/>
    </row>
    <row r="1102">
      <c r="A1102" s="11" t="inlineStr">
        <is>
          <t>1099</t>
        </is>
      </c>
      <c r="B1102" s="11" t="inlineStr">
        <is>
          <t>169</t>
        </is>
      </c>
      <c r="C1102" s="11" t="inlineStr">
        <is>
          <t>HC/tribunal/other</t>
        </is>
      </c>
      <c r="D1102" s="11" t="inlineStr">
        <is>
          <t>no</t>
        </is>
      </c>
      <c r="E1102" s="11" t="inlineStr">
        <is>
          <t>no</t>
        </is>
      </c>
      <c r="F1102" s="11" t="inlineStr"/>
      <c r="G1102" s="11" t="inlineStr"/>
      <c r="H1102" s="11" t="inlineStr">
        <is>
          <t>c5865</t>
        </is>
      </c>
      <c r="I1102" s="11" t="inlineStr">
        <is>
          <t>cite</t>
        </is>
      </c>
      <c r="J1102" s="11" t="inlineStr">
        <is>
          <t>no</t>
        </is>
      </c>
      <c r="K1102" s="11" t="inlineStr">
        <is>
          <t>no</t>
        </is>
      </c>
      <c r="L1102" s="11" t="inlineStr"/>
    </row>
    <row r="1103">
      <c r="A1103" s="11" t="inlineStr">
        <is>
          <t>1100</t>
        </is>
      </c>
      <c r="B1103" s="11" t="inlineStr">
        <is>
          <t>170</t>
        </is>
      </c>
      <c r="C1103" s="11" t="inlineStr">
        <is>
          <t>HC/tribunal/other</t>
        </is>
      </c>
      <c r="D1103" s="11" t="inlineStr">
        <is>
          <t>no</t>
        </is>
      </c>
      <c r="E1103" s="11" t="inlineStr">
        <is>
          <t>no</t>
        </is>
      </c>
      <c r="F1103" s="11" t="inlineStr"/>
      <c r="G1103" s="11" t="inlineStr"/>
      <c r="H1103" s="11" t="inlineStr">
        <is>
          <t>c17516</t>
        </is>
      </c>
      <c r="I1103" s="11" t="inlineStr">
        <is>
          <t>cite</t>
        </is>
      </c>
      <c r="J1103" s="11" t="inlineStr">
        <is>
          <t>no</t>
        </is>
      </c>
      <c r="K1103" s="11" t="inlineStr">
        <is>
          <t>no</t>
        </is>
      </c>
      <c r="L1103" s="11" t="inlineStr"/>
    </row>
    <row r="1104">
      <c r="A1104" s="11" t="inlineStr">
        <is>
          <t>1101</t>
        </is>
      </c>
      <c r="B1104" s="11" t="inlineStr">
        <is>
          <t>170</t>
        </is>
      </c>
      <c r="C1104" s="11" t="inlineStr">
        <is>
          <t>HC/tribunal/other</t>
        </is>
      </c>
      <c r="D1104" s="11" t="inlineStr">
        <is>
          <t>yes</t>
        </is>
      </c>
      <c r="E1104" s="11" t="inlineStr">
        <is>
          <t>no</t>
        </is>
      </c>
      <c r="F1104" s="11" t="inlineStr"/>
      <c r="G1104" s="11" t="inlineStr"/>
      <c r="H1104" s="11" t="inlineStr">
        <is>
          <t>c286</t>
        </is>
      </c>
      <c r="I1104" s="11" t="inlineStr">
        <is>
          <t>cite</t>
        </is>
      </c>
      <c r="J1104" s="11" t="inlineStr">
        <is>
          <t>no</t>
        </is>
      </c>
      <c r="K1104" s="11" t="inlineStr">
        <is>
          <t>no</t>
        </is>
      </c>
      <c r="L1104" s="11" t="inlineStr"/>
    </row>
    <row r="1105">
      <c r="A1105" s="11" t="inlineStr">
        <is>
          <t>1102</t>
        </is>
      </c>
      <c r="B1105" s="11" t="inlineStr">
        <is>
          <t>170</t>
        </is>
      </c>
      <c r="C1105" s="11" t="inlineStr">
        <is>
          <t>HC/tribunal/other</t>
        </is>
      </c>
      <c r="D1105" s="11" t="inlineStr">
        <is>
          <t>no</t>
        </is>
      </c>
      <c r="E1105" s="11" t="inlineStr">
        <is>
          <t>no</t>
        </is>
      </c>
      <c r="F1105" s="11" t="inlineStr"/>
      <c r="G1105" s="11" t="inlineStr"/>
      <c r="H1105" s="11" t="inlineStr">
        <is>
          <t>c27782</t>
        </is>
      </c>
      <c r="I1105" s="11" t="inlineStr">
        <is>
          <t>name</t>
        </is>
      </c>
      <c r="J1105" s="11" t="inlineStr">
        <is>
          <t>no</t>
        </is>
      </c>
      <c r="K1105" s="11" t="inlineStr">
        <is>
          <t>no</t>
        </is>
      </c>
      <c r="L1105" s="11" t="inlineStr"/>
    </row>
    <row r="1106">
      <c r="A1106" s="11" t="inlineStr">
        <is>
          <t>1103</t>
        </is>
      </c>
      <c r="B1106" s="11" t="inlineStr">
        <is>
          <t>170</t>
        </is>
      </c>
      <c r="C1106" s="11" t="inlineStr">
        <is>
          <t>HC/tribunal/other</t>
        </is>
      </c>
      <c r="D1106" s="11" t="inlineStr">
        <is>
          <t>no</t>
        </is>
      </c>
      <c r="E1106" s="11" t="inlineStr">
        <is>
          <t>no</t>
        </is>
      </c>
      <c r="F1106" s="11" t="inlineStr"/>
      <c r="G1106" s="11" t="inlineStr"/>
      <c r="H1106" s="11" t="inlineStr">
        <is>
          <t>bS_2003_4_84_120</t>
        </is>
      </c>
      <c r="I1106" s="11" t="inlineStr">
        <is>
          <t>name</t>
        </is>
      </c>
      <c r="J1106" s="11" t="inlineStr">
        <is>
          <t>no</t>
        </is>
      </c>
      <c r="K1106" s="11" t="inlineStr">
        <is>
          <t>no</t>
        </is>
      </c>
      <c r="L1106" s="11" t="inlineStr"/>
    </row>
    <row r="1107">
      <c r="A1107" s="11" t="inlineStr">
        <is>
          <t>1104</t>
        </is>
      </c>
      <c r="B1107" s="11" t="inlineStr">
        <is>
          <t>170</t>
        </is>
      </c>
      <c r="C1107" s="11" t="inlineStr">
        <is>
          <t>HC/tribunal/other</t>
        </is>
      </c>
      <c r="D1107" s="11" t="inlineStr">
        <is>
          <t>yes</t>
        </is>
      </c>
      <c r="E1107" s="11" t="inlineStr">
        <is>
          <t>yes</t>
        </is>
      </c>
      <c r="F1107" s="11" t="inlineStr"/>
      <c r="G1107" s="11" t="inlineStr"/>
      <c r="H1107" s="11" t="inlineStr"/>
      <c r="I1107" s="11" t="inlineStr"/>
      <c r="J1107" s="11" t="inlineStr">
        <is>
          <t>no</t>
        </is>
      </c>
      <c r="K1107" s="11" t="inlineStr">
        <is>
          <t>no</t>
        </is>
      </c>
      <c r="L1107" s="11" t="inlineStr"/>
    </row>
    <row r="1108">
      <c r="A1108" s="11" t="inlineStr">
        <is>
          <t>1105</t>
        </is>
      </c>
      <c r="B1108" s="11" t="inlineStr">
        <is>
          <t>170</t>
        </is>
      </c>
      <c r="C1108" s="11" t="inlineStr">
        <is>
          <t>HC/tribunal/other</t>
        </is>
      </c>
      <c r="D1108" s="11" t="inlineStr">
        <is>
          <t>no</t>
        </is>
      </c>
      <c r="E1108" s="11" t="inlineStr">
        <is>
          <t>no</t>
        </is>
      </c>
      <c r="F1108" s="11" t="inlineStr"/>
      <c r="G1108" s="11" t="inlineStr"/>
      <c r="H1108" s="11" t="inlineStr">
        <is>
          <t>c14495</t>
        </is>
      </c>
      <c r="I1108" s="11" t="inlineStr">
        <is>
          <t>cite</t>
        </is>
      </c>
      <c r="J1108" s="11" t="inlineStr">
        <is>
          <t>no</t>
        </is>
      </c>
      <c r="K1108" s="11" t="inlineStr">
        <is>
          <t>no</t>
        </is>
      </c>
      <c r="L1108" s="11" t="inlineStr"/>
    </row>
    <row r="1109">
      <c r="A1109" s="11" t="inlineStr">
        <is>
          <t>1106</t>
        </is>
      </c>
      <c r="B1109" s="11" t="inlineStr">
        <is>
          <t>170</t>
        </is>
      </c>
      <c r="C1109" s="11" t="inlineStr">
        <is>
          <t>HC/tribunal/other</t>
        </is>
      </c>
      <c r="D1109" s="11" t="inlineStr">
        <is>
          <t>no</t>
        </is>
      </c>
      <c r="E1109" s="11" t="inlineStr">
        <is>
          <t>no</t>
        </is>
      </c>
      <c r="F1109" s="11" t="inlineStr"/>
      <c r="G1109" s="11" t="inlineStr"/>
      <c r="H1109" s="11" t="inlineStr">
        <is>
          <t>c10818</t>
        </is>
      </c>
      <c r="I1109" s="11" t="inlineStr">
        <is>
          <t>name</t>
        </is>
      </c>
      <c r="J1109" s="11" t="inlineStr">
        <is>
          <t>no</t>
        </is>
      </c>
      <c r="K1109" s="11" t="inlineStr">
        <is>
          <t>no</t>
        </is>
      </c>
      <c r="L1109" s="11" t="inlineStr"/>
    </row>
    <row r="1110">
      <c r="A1110" s="11" t="inlineStr">
        <is>
          <t>1107</t>
        </is>
      </c>
      <c r="B1110" s="11" t="inlineStr">
        <is>
          <t>171</t>
        </is>
      </c>
      <c r="C1110" s="11" t="inlineStr">
        <is>
          <t>HC/tribunal/other</t>
        </is>
      </c>
      <c r="D1110" s="11" t="inlineStr">
        <is>
          <t>no</t>
        </is>
      </c>
      <c r="E1110" s="11" t="inlineStr">
        <is>
          <t>no</t>
        </is>
      </c>
      <c r="F1110" s="11" t="inlineStr"/>
      <c r="G1110" s="11" t="inlineStr"/>
      <c r="H1110" s="11" t="inlineStr"/>
      <c r="I1110" s="11" t="inlineStr"/>
      <c r="J1110" s="11" t="inlineStr">
        <is>
          <t>no</t>
        </is>
      </c>
      <c r="K1110" s="11" t="inlineStr">
        <is>
          <t>no</t>
        </is>
      </c>
      <c r="L1110" s="11" t="inlineStr"/>
    </row>
    <row r="1111">
      <c r="A1111" s="11" t="inlineStr">
        <is>
          <t>1108</t>
        </is>
      </c>
      <c r="B1111" s="11" t="inlineStr">
        <is>
          <t>171</t>
        </is>
      </c>
      <c r="C1111" s="11" t="inlineStr">
        <is>
          <t>HC/tribunal/other</t>
        </is>
      </c>
      <c r="D1111" s="11" t="inlineStr">
        <is>
          <t>no</t>
        </is>
      </c>
      <c r="E1111" s="11" t="inlineStr">
        <is>
          <t>yes</t>
        </is>
      </c>
      <c r="F1111" s="11" t="inlineStr"/>
      <c r="G1111" s="11" t="inlineStr"/>
      <c r="H1111" s="11" t="inlineStr"/>
      <c r="I1111" s="11" t="inlineStr"/>
      <c r="J1111" s="11" t="inlineStr">
        <is>
          <t>no</t>
        </is>
      </c>
      <c r="K1111" s="11" t="inlineStr">
        <is>
          <t>no</t>
        </is>
      </c>
      <c r="L1111" s="11" t="inlineStr"/>
    </row>
    <row r="1112">
      <c r="A1112" s="11" t="inlineStr">
        <is>
          <t>1109</t>
        </is>
      </c>
      <c r="B1112" s="11" t="inlineStr">
        <is>
          <t>171</t>
        </is>
      </c>
      <c r="C1112" s="11" t="inlineStr">
        <is>
          <t>HC/tribunal/other</t>
        </is>
      </c>
      <c r="D1112" s="11" t="inlineStr">
        <is>
          <t>yes</t>
        </is>
      </c>
      <c r="E1112" s="11" t="inlineStr">
        <is>
          <t>no</t>
        </is>
      </c>
      <c r="F1112" s="11" t="inlineStr"/>
      <c r="G1112" s="11" t="inlineStr"/>
      <c r="H1112" s="11" t="inlineStr">
        <is>
          <t>c35144</t>
        </is>
      </c>
      <c r="I1112" s="11" t="inlineStr">
        <is>
          <t>cite</t>
        </is>
      </c>
      <c r="J1112" s="11" t="inlineStr">
        <is>
          <t>no</t>
        </is>
      </c>
      <c r="K1112" s="11" t="inlineStr">
        <is>
          <t>no</t>
        </is>
      </c>
      <c r="L1112" s="11" t="inlineStr"/>
    </row>
    <row r="1113">
      <c r="A1113" s="11" t="inlineStr">
        <is>
          <t>1110</t>
        </is>
      </c>
      <c r="B1113" s="11" t="inlineStr">
        <is>
          <t>171</t>
        </is>
      </c>
      <c r="C1113" s="11" t="inlineStr">
        <is>
          <t>HC/tribunal/other</t>
        </is>
      </c>
      <c r="D1113" s="11" t="inlineStr">
        <is>
          <t>no</t>
        </is>
      </c>
      <c r="E1113" s="11" t="inlineStr">
        <is>
          <t>no</t>
        </is>
      </c>
      <c r="F1113" s="11" t="inlineStr"/>
      <c r="G1113" s="11" t="inlineStr"/>
      <c r="H1113" s="11" t="inlineStr">
        <is>
          <t>c16502</t>
        </is>
      </c>
      <c r="I1113" s="11" t="inlineStr">
        <is>
          <t>cite</t>
        </is>
      </c>
      <c r="J1113" s="11" t="inlineStr">
        <is>
          <t>no</t>
        </is>
      </c>
      <c r="K1113" s="11" t="inlineStr">
        <is>
          <t>no</t>
        </is>
      </c>
      <c r="L1113" s="11" t="inlineStr"/>
    </row>
    <row r="1114">
      <c r="A1114" s="11" t="inlineStr">
        <is>
          <t>1111</t>
        </is>
      </c>
      <c r="B1114" s="11" t="inlineStr">
        <is>
          <t>171</t>
        </is>
      </c>
      <c r="C1114" s="11" t="inlineStr">
        <is>
          <t>HC/tribunal/other</t>
        </is>
      </c>
      <c r="D1114" s="11" t="inlineStr">
        <is>
          <t>yes</t>
        </is>
      </c>
      <c r="E1114" s="11" t="inlineStr">
        <is>
          <t>no</t>
        </is>
      </c>
      <c r="F1114" s="11" t="inlineStr"/>
      <c r="G1114" s="11" t="inlineStr"/>
      <c r="H1114" s="11" t="inlineStr">
        <is>
          <t>c38790</t>
        </is>
      </c>
      <c r="I1114" s="11" t="inlineStr">
        <is>
          <t>name</t>
        </is>
      </c>
      <c r="J1114" s="11" t="inlineStr">
        <is>
          <t>no</t>
        </is>
      </c>
      <c r="K1114" s="11" t="inlineStr">
        <is>
          <t>no</t>
        </is>
      </c>
      <c r="L1114" s="11" t="inlineStr"/>
    </row>
    <row r="1115">
      <c r="A1115" s="11" t="inlineStr">
        <is>
          <t>1112</t>
        </is>
      </c>
      <c r="B1115" s="11" t="inlineStr">
        <is>
          <t>171</t>
        </is>
      </c>
      <c r="C1115" s="11" t="inlineStr">
        <is>
          <t>HC/tribunal/other</t>
        </is>
      </c>
      <c r="D1115" s="11" t="inlineStr">
        <is>
          <t>yes</t>
        </is>
      </c>
      <c r="E1115" s="11" t="inlineStr">
        <is>
          <t>no</t>
        </is>
      </c>
      <c r="F1115" s="11" t="inlineStr"/>
      <c r="G1115" s="11" t="inlineStr"/>
      <c r="H1115" s="11" t="inlineStr">
        <is>
          <t>c33153</t>
        </is>
      </c>
      <c r="I1115" s="11" t="inlineStr">
        <is>
          <t>name</t>
        </is>
      </c>
      <c r="J1115" s="11" t="inlineStr">
        <is>
          <t>no</t>
        </is>
      </c>
      <c r="K1115" s="11" t="inlineStr">
        <is>
          <t>no</t>
        </is>
      </c>
      <c r="L1115" s="11" t="inlineStr"/>
    </row>
    <row r="1116">
      <c r="A1116" s="11" t="inlineStr">
        <is>
          <t>1113</t>
        </is>
      </c>
      <c r="B1116" s="11" t="inlineStr">
        <is>
          <t>172</t>
        </is>
      </c>
      <c r="C1116" s="11" t="inlineStr">
        <is>
          <t>HC/tribunal/other</t>
        </is>
      </c>
      <c r="D1116" s="11" t="inlineStr">
        <is>
          <t>no</t>
        </is>
      </c>
      <c r="E1116" s="11" t="inlineStr">
        <is>
          <t>no</t>
        </is>
      </c>
      <c r="F1116" s="11" t="inlineStr"/>
      <c r="G1116" s="11" t="inlineStr"/>
      <c r="H1116" s="11" t="inlineStr">
        <is>
          <t>c28381</t>
        </is>
      </c>
      <c r="I1116" s="11" t="inlineStr">
        <is>
          <t>name</t>
        </is>
      </c>
      <c r="J1116" s="11" t="inlineStr">
        <is>
          <t>no</t>
        </is>
      </c>
      <c r="K1116" s="11" t="inlineStr">
        <is>
          <t>no</t>
        </is>
      </c>
      <c r="L1116" s="11" t="inlineStr"/>
    </row>
    <row r="1117">
      <c r="A1117" s="11" t="inlineStr">
        <is>
          <t>1114</t>
        </is>
      </c>
      <c r="B1117" s="11" t="inlineStr">
        <is>
          <t>172</t>
        </is>
      </c>
      <c r="C1117" s="11" t="inlineStr">
        <is>
          <t>HC/tribunal/other</t>
        </is>
      </c>
      <c r="D1117" s="11" t="inlineStr">
        <is>
          <t>yes</t>
        </is>
      </c>
      <c r="E1117" s="11" t="inlineStr">
        <is>
          <t>yes</t>
        </is>
      </c>
      <c r="F1117" s="11" t="inlineStr"/>
      <c r="G1117" s="11" t="inlineStr"/>
      <c r="H1117" s="11" t="inlineStr">
        <is>
          <t>c32616</t>
        </is>
      </c>
      <c r="I1117" s="11" t="inlineStr">
        <is>
          <t>name</t>
        </is>
      </c>
      <c r="J1117" s="11" t="inlineStr">
        <is>
          <t>no</t>
        </is>
      </c>
      <c r="K1117" s="11" t="inlineStr">
        <is>
          <t>no</t>
        </is>
      </c>
      <c r="L1117" s="11" t="inlineStr"/>
    </row>
    <row r="1118">
      <c r="A1118" s="11" t="inlineStr">
        <is>
          <t>1115</t>
        </is>
      </c>
      <c r="B1118" s="11" t="inlineStr">
        <is>
          <t>172</t>
        </is>
      </c>
      <c r="C1118" s="11" t="inlineStr">
        <is>
          <t>HC/tribunal/other</t>
        </is>
      </c>
      <c r="D1118" s="11" t="inlineStr">
        <is>
          <t>yes</t>
        </is>
      </c>
      <c r="E1118" s="11" t="inlineStr">
        <is>
          <t>no</t>
        </is>
      </c>
      <c r="F1118" s="11" t="inlineStr"/>
      <c r="G1118" s="11" t="inlineStr"/>
      <c r="H1118" s="11" t="inlineStr">
        <is>
          <t>c17553</t>
        </is>
      </c>
      <c r="I1118" s="11" t="inlineStr">
        <is>
          <t>cite</t>
        </is>
      </c>
      <c r="J1118" s="11" t="inlineStr">
        <is>
          <t>no</t>
        </is>
      </c>
      <c r="K1118" s="11" t="inlineStr">
        <is>
          <t>no</t>
        </is>
      </c>
      <c r="L1118" s="11" t="inlineStr"/>
    </row>
    <row r="1119">
      <c r="A1119" s="11" t="inlineStr">
        <is>
          <t>1116</t>
        </is>
      </c>
      <c r="B1119" s="11" t="inlineStr">
        <is>
          <t>172</t>
        </is>
      </c>
      <c r="C1119" s="11" t="inlineStr">
        <is>
          <t>HC/tribunal/other</t>
        </is>
      </c>
      <c r="D1119" s="11" t="inlineStr">
        <is>
          <t>no</t>
        </is>
      </c>
      <c r="E1119" s="11" t="inlineStr">
        <is>
          <t>no</t>
        </is>
      </c>
      <c r="F1119" s="11" t="inlineStr"/>
      <c r="G1119" s="11" t="inlineStr"/>
      <c r="H1119" s="11" t="inlineStr"/>
      <c r="I1119" s="11" t="inlineStr"/>
      <c r="J1119" s="11" t="inlineStr">
        <is>
          <t>no</t>
        </is>
      </c>
      <c r="K1119" s="11" t="inlineStr">
        <is>
          <t>no</t>
        </is>
      </c>
      <c r="L1119" s="11" t="inlineStr"/>
    </row>
    <row r="1120">
      <c r="A1120" s="11" t="inlineStr">
        <is>
          <t>1117</t>
        </is>
      </c>
      <c r="B1120" s="11" t="inlineStr">
        <is>
          <t>172</t>
        </is>
      </c>
      <c r="C1120" s="11" t="inlineStr">
        <is>
          <t>HC/tribunal/other</t>
        </is>
      </c>
      <c r="D1120" s="11" t="inlineStr">
        <is>
          <t>no</t>
        </is>
      </c>
      <c r="E1120" s="11" t="inlineStr">
        <is>
          <t>no</t>
        </is>
      </c>
      <c r="F1120" s="11" t="inlineStr"/>
      <c r="G1120" s="11" t="inlineStr"/>
      <c r="H1120" s="11" t="inlineStr">
        <is>
          <t>c37938</t>
        </is>
      </c>
      <c r="I1120" s="11" t="inlineStr">
        <is>
          <t>name</t>
        </is>
      </c>
      <c r="J1120" s="11" t="inlineStr">
        <is>
          <t>no</t>
        </is>
      </c>
      <c r="K1120" s="11" t="inlineStr">
        <is>
          <t>no</t>
        </is>
      </c>
      <c r="L1120" s="11" t="inlineStr"/>
    </row>
    <row r="1121">
      <c r="A1121" s="11" t="inlineStr">
        <is>
          <t>1118</t>
        </is>
      </c>
      <c r="B1121" s="11" t="inlineStr">
        <is>
          <t>172</t>
        </is>
      </c>
      <c r="C1121" s="11" t="inlineStr">
        <is>
          <t>HC/tribunal/other</t>
        </is>
      </c>
      <c r="D1121" s="11" t="inlineStr">
        <is>
          <t>yes</t>
        </is>
      </c>
      <c r="E1121" s="11" t="inlineStr">
        <is>
          <t>no</t>
        </is>
      </c>
      <c r="F1121" s="11" t="inlineStr"/>
      <c r="G1121" s="11" t="inlineStr"/>
      <c r="H1121" s="11" t="inlineStr">
        <is>
          <t>c38455</t>
        </is>
      </c>
      <c r="I1121" s="11" t="inlineStr">
        <is>
          <t>name</t>
        </is>
      </c>
      <c r="J1121" s="11" t="inlineStr">
        <is>
          <t>no</t>
        </is>
      </c>
      <c r="K1121" s="11" t="inlineStr">
        <is>
          <t>no</t>
        </is>
      </c>
      <c r="L1121" s="11" t="inlineStr"/>
    </row>
    <row r="1122">
      <c r="A1122" s="11" t="inlineStr">
        <is>
          <t>1119</t>
        </is>
      </c>
      <c r="B1122" s="11" t="inlineStr">
        <is>
          <t>173</t>
        </is>
      </c>
      <c r="C1122" s="11" t="inlineStr">
        <is>
          <t>HC/tribunal/other</t>
        </is>
      </c>
      <c r="D1122" s="11" t="inlineStr">
        <is>
          <t>no</t>
        </is>
      </c>
      <c r="E1122" s="11" t="inlineStr">
        <is>
          <t>no</t>
        </is>
      </c>
      <c r="F1122" s="11" t="inlineStr"/>
      <c r="G1122" s="11" t="inlineStr"/>
      <c r="H1122" s="11" t="inlineStr">
        <is>
          <t>c27522</t>
        </is>
      </c>
      <c r="I1122" s="11" t="inlineStr">
        <is>
          <t>name</t>
        </is>
      </c>
      <c r="J1122" s="11" t="inlineStr">
        <is>
          <t>no</t>
        </is>
      </c>
      <c r="K1122" s="11" t="inlineStr">
        <is>
          <t>no</t>
        </is>
      </c>
      <c r="L1122" s="11" t="inlineStr"/>
    </row>
    <row r="1123">
      <c r="A1123" s="11" t="inlineStr">
        <is>
          <t>1120</t>
        </is>
      </c>
      <c r="B1123" s="11" t="inlineStr">
        <is>
          <t>173</t>
        </is>
      </c>
      <c r="C1123" s="11" t="inlineStr">
        <is>
          <t>HC/tribunal/other</t>
        </is>
      </c>
      <c r="D1123" s="11" t="inlineStr">
        <is>
          <t>yes</t>
        </is>
      </c>
      <c r="E1123" s="11" t="inlineStr">
        <is>
          <t>no</t>
        </is>
      </c>
      <c r="F1123" s="11" t="inlineStr"/>
      <c r="G1123" s="11" t="inlineStr"/>
      <c r="H1123" s="11" t="inlineStr">
        <is>
          <t>c29183</t>
        </is>
      </c>
      <c r="I1123" s="11" t="inlineStr">
        <is>
          <t>cite</t>
        </is>
      </c>
      <c r="J1123" s="11" t="inlineStr">
        <is>
          <t>no</t>
        </is>
      </c>
      <c r="K1123" s="11" t="inlineStr">
        <is>
          <t>no</t>
        </is>
      </c>
      <c r="L1123" s="11" t="inlineStr"/>
    </row>
    <row r="1124">
      <c r="A1124" s="11" t="inlineStr">
        <is>
          <t>1121</t>
        </is>
      </c>
      <c r="B1124" s="11" t="inlineStr">
        <is>
          <t>173</t>
        </is>
      </c>
      <c r="C1124" s="11" t="inlineStr">
        <is>
          <t>HC/tribunal/other</t>
        </is>
      </c>
      <c r="D1124" s="11" t="inlineStr">
        <is>
          <t>yes</t>
        </is>
      </c>
      <c r="E1124" s="11" t="inlineStr">
        <is>
          <t>no</t>
        </is>
      </c>
      <c r="F1124" s="11" t="inlineStr"/>
      <c r="G1124" s="11" t="inlineStr"/>
      <c r="H1124" s="11" t="inlineStr">
        <is>
          <t>c33099</t>
        </is>
      </c>
      <c r="I1124" s="11" t="inlineStr">
        <is>
          <t>name</t>
        </is>
      </c>
      <c r="J1124" s="11" t="inlineStr">
        <is>
          <t>no</t>
        </is>
      </c>
      <c r="K1124" s="11" t="inlineStr">
        <is>
          <t>no</t>
        </is>
      </c>
      <c r="L1124" s="11" t="inlineStr"/>
    </row>
    <row r="1125">
      <c r="A1125" s="11" t="inlineStr">
        <is>
          <t>1122</t>
        </is>
      </c>
      <c r="B1125" s="11" t="inlineStr">
        <is>
          <t>173</t>
        </is>
      </c>
      <c r="C1125" s="11" t="inlineStr">
        <is>
          <t>HC/tribunal/other</t>
        </is>
      </c>
      <c r="D1125" s="11" t="inlineStr">
        <is>
          <t>yes</t>
        </is>
      </c>
      <c r="E1125" s="11" t="inlineStr">
        <is>
          <t>no</t>
        </is>
      </c>
      <c r="F1125" s="11" t="inlineStr"/>
      <c r="G1125" s="11" t="inlineStr"/>
      <c r="H1125" s="11" t="inlineStr">
        <is>
          <t>c39699</t>
        </is>
      </c>
      <c r="I1125" s="11" t="inlineStr">
        <is>
          <t>name</t>
        </is>
      </c>
      <c r="J1125" s="11" t="inlineStr">
        <is>
          <t>no</t>
        </is>
      </c>
      <c r="K1125" s="11" t="inlineStr">
        <is>
          <t>no</t>
        </is>
      </c>
      <c r="L1125" s="11" t="inlineStr"/>
    </row>
    <row r="1126">
      <c r="A1126" s="11" t="inlineStr">
        <is>
          <t>1123</t>
        </is>
      </c>
      <c r="B1126" s="11" t="inlineStr">
        <is>
          <t>173</t>
        </is>
      </c>
      <c r="C1126" s="11" t="inlineStr">
        <is>
          <t>HC/tribunal/other</t>
        </is>
      </c>
      <c r="D1126" s="11" t="inlineStr">
        <is>
          <t>yes</t>
        </is>
      </c>
      <c r="E1126" s="11" t="inlineStr">
        <is>
          <t>no</t>
        </is>
      </c>
      <c r="F1126" s="11" t="inlineStr"/>
      <c r="G1126" s="11" t="inlineStr"/>
      <c r="H1126" s="11" t="inlineStr">
        <is>
          <t>c29481</t>
        </is>
      </c>
      <c r="I1126" s="11" t="inlineStr">
        <is>
          <t>name</t>
        </is>
      </c>
      <c r="J1126" s="11" t="inlineStr">
        <is>
          <t>no</t>
        </is>
      </c>
      <c r="K1126" s="11" t="inlineStr">
        <is>
          <t>no</t>
        </is>
      </c>
      <c r="L1126" s="11" t="inlineStr"/>
    </row>
    <row r="1127">
      <c r="A1127" s="11" t="inlineStr">
        <is>
          <t>1124</t>
        </is>
      </c>
      <c r="B1127" s="11" t="inlineStr">
        <is>
          <t>173</t>
        </is>
      </c>
      <c r="C1127" s="11" t="inlineStr">
        <is>
          <t>HC/tribunal/other</t>
        </is>
      </c>
      <c r="D1127" s="11" t="inlineStr">
        <is>
          <t>yes</t>
        </is>
      </c>
      <c r="E1127" s="11" t="inlineStr">
        <is>
          <t>no</t>
        </is>
      </c>
      <c r="F1127" s="11" t="inlineStr"/>
      <c r="G1127" s="11" t="inlineStr"/>
      <c r="H1127" s="11" t="inlineStr">
        <is>
          <t>c32685</t>
        </is>
      </c>
      <c r="I1127" s="11" t="inlineStr">
        <is>
          <t>name</t>
        </is>
      </c>
      <c r="J1127" s="11" t="inlineStr">
        <is>
          <t>no</t>
        </is>
      </c>
      <c r="K1127" s="11" t="inlineStr">
        <is>
          <t>no</t>
        </is>
      </c>
      <c r="L1127" s="11" t="inlineStr"/>
    </row>
    <row r="1128">
      <c r="A1128" s="11" t="inlineStr">
        <is>
          <t>1125</t>
        </is>
      </c>
      <c r="B1128" s="11" t="inlineStr">
        <is>
          <t>173</t>
        </is>
      </c>
      <c r="C1128" s="11" t="inlineStr">
        <is>
          <t>HC/tribunal/other</t>
        </is>
      </c>
      <c r="D1128" s="11" t="inlineStr">
        <is>
          <t>yes</t>
        </is>
      </c>
      <c r="E1128" s="11" t="inlineStr">
        <is>
          <t>no</t>
        </is>
      </c>
      <c r="F1128" s="11" t="inlineStr"/>
      <c r="G1128" s="11" t="inlineStr"/>
      <c r="H1128" s="11" t="inlineStr">
        <is>
          <t>c28783</t>
        </is>
      </c>
      <c r="I1128" s="11" t="inlineStr">
        <is>
          <t>cite</t>
        </is>
      </c>
      <c r="J1128" s="11" t="inlineStr">
        <is>
          <t>no</t>
        </is>
      </c>
      <c r="K1128" s="11" t="inlineStr">
        <is>
          <t>no</t>
        </is>
      </c>
      <c r="L1128" s="11" t="inlineStr"/>
    </row>
    <row r="1129">
      <c r="A1129" s="11" t="inlineStr">
        <is>
          <t>1126</t>
        </is>
      </c>
      <c r="B1129" s="11" t="inlineStr">
        <is>
          <t>174</t>
        </is>
      </c>
      <c r="C1129" s="11" t="inlineStr">
        <is>
          <t>HC/tribunal/other</t>
        </is>
      </c>
      <c r="D1129" s="11" t="inlineStr">
        <is>
          <t>no</t>
        </is>
      </c>
      <c r="E1129" s="11" t="inlineStr">
        <is>
          <t>yes</t>
        </is>
      </c>
      <c r="F1129" s="11" t="inlineStr"/>
      <c r="G1129" s="11" t="inlineStr"/>
      <c r="H1129" s="11" t="inlineStr"/>
      <c r="I1129" s="11" t="inlineStr"/>
      <c r="J1129" s="11" t="inlineStr">
        <is>
          <t>no</t>
        </is>
      </c>
      <c r="K1129" s="11" t="inlineStr">
        <is>
          <t>no</t>
        </is>
      </c>
      <c r="L1129" s="11" t="inlineStr"/>
    </row>
    <row r="1130">
      <c r="A1130" s="11" t="inlineStr">
        <is>
          <t>1127</t>
        </is>
      </c>
      <c r="B1130" s="11" t="inlineStr">
        <is>
          <t>174</t>
        </is>
      </c>
      <c r="C1130" s="11" t="inlineStr">
        <is>
          <t>HC/tribunal/other</t>
        </is>
      </c>
      <c r="D1130" s="11" t="inlineStr">
        <is>
          <t>no</t>
        </is>
      </c>
      <c r="E1130" s="11" t="inlineStr">
        <is>
          <t>no</t>
        </is>
      </c>
      <c r="F1130" s="11" t="inlineStr"/>
      <c r="G1130" s="11" t="inlineStr"/>
      <c r="H1130" s="11" t="inlineStr">
        <is>
          <t>c29186</t>
        </is>
      </c>
      <c r="I1130" s="11" t="inlineStr">
        <is>
          <t>cite</t>
        </is>
      </c>
      <c r="J1130" s="11" t="inlineStr">
        <is>
          <t>no</t>
        </is>
      </c>
      <c r="K1130" s="11" t="inlineStr">
        <is>
          <t>no</t>
        </is>
      </c>
      <c r="L1130" s="11" t="inlineStr"/>
    </row>
    <row r="1131">
      <c r="A1131" s="11" t="inlineStr">
        <is>
          <t>1128</t>
        </is>
      </c>
      <c r="B1131" s="11" t="inlineStr">
        <is>
          <t>174</t>
        </is>
      </c>
      <c r="C1131" s="11" t="inlineStr">
        <is>
          <t>HC/tribunal/other</t>
        </is>
      </c>
      <c r="D1131" s="11" t="inlineStr">
        <is>
          <t>yes</t>
        </is>
      </c>
      <c r="E1131" s="11" t="inlineStr">
        <is>
          <t>no</t>
        </is>
      </c>
      <c r="F1131" s="11" t="inlineStr"/>
      <c r="G1131" s="11" t="inlineStr"/>
      <c r="H1131" s="11" t="inlineStr">
        <is>
          <t>c33405</t>
        </is>
      </c>
      <c r="I1131" s="11" t="inlineStr">
        <is>
          <t>name</t>
        </is>
      </c>
      <c r="J1131" s="11" t="inlineStr">
        <is>
          <t>no</t>
        </is>
      </c>
      <c r="K1131" s="11" t="inlineStr">
        <is>
          <t>no</t>
        </is>
      </c>
      <c r="L1131" s="11" t="inlineStr"/>
    </row>
    <row r="1132">
      <c r="A1132" s="11" t="inlineStr">
        <is>
          <t>1129</t>
        </is>
      </c>
      <c r="B1132" s="11" t="inlineStr">
        <is>
          <t>174</t>
        </is>
      </c>
      <c r="C1132" s="11" t="inlineStr">
        <is>
          <t>HC/tribunal/other</t>
        </is>
      </c>
      <c r="D1132" s="11" t="inlineStr">
        <is>
          <t>yes</t>
        </is>
      </c>
      <c r="E1132" s="11" t="inlineStr">
        <is>
          <t>yes</t>
        </is>
      </c>
      <c r="F1132" s="11" t="inlineStr"/>
      <c r="G1132" s="11" t="inlineStr"/>
      <c r="H1132" s="11" t="inlineStr">
        <is>
          <t>c33856</t>
        </is>
      </c>
      <c r="I1132" s="11" t="inlineStr">
        <is>
          <t>cite</t>
        </is>
      </c>
      <c r="J1132" s="11" t="inlineStr">
        <is>
          <t>yes</t>
        </is>
      </c>
      <c r="K1132" s="11" t="inlineStr">
        <is>
          <t>no</t>
        </is>
      </c>
      <c r="L1132" s="11" t="inlineStr"/>
    </row>
    <row r="1133">
      <c r="A1133" s="11" t="inlineStr">
        <is>
          <t>1130</t>
        </is>
      </c>
      <c r="B1133" s="11" t="inlineStr">
        <is>
          <t>174</t>
        </is>
      </c>
      <c r="C1133" s="11" t="inlineStr">
        <is>
          <t>HC/tribunal/other</t>
        </is>
      </c>
      <c r="D1133" s="11" t="inlineStr">
        <is>
          <t>no</t>
        </is>
      </c>
      <c r="E1133" s="11" t="inlineStr">
        <is>
          <t>no</t>
        </is>
      </c>
      <c r="F1133" s="11" t="inlineStr"/>
      <c r="G1133" s="11" t="inlineStr"/>
      <c r="H1133" s="11" t="inlineStr">
        <is>
          <t>c15834</t>
        </is>
      </c>
      <c r="I1133" s="11" t="inlineStr">
        <is>
          <t>cite</t>
        </is>
      </c>
      <c r="J1133" s="11" t="inlineStr">
        <is>
          <t>no</t>
        </is>
      </c>
      <c r="K1133" s="11" t="inlineStr">
        <is>
          <t>no</t>
        </is>
      </c>
      <c r="L1133" s="11" t="inlineStr"/>
    </row>
    <row r="1134">
      <c r="A1134" s="11" t="inlineStr">
        <is>
          <t>1131</t>
        </is>
      </c>
      <c r="B1134" s="11" t="inlineStr">
        <is>
          <t>174</t>
        </is>
      </c>
      <c r="C1134" s="11" t="inlineStr">
        <is>
          <t>HC/tribunal/other</t>
        </is>
      </c>
      <c r="D1134" s="11" t="inlineStr">
        <is>
          <t>no</t>
        </is>
      </c>
      <c r="E1134" s="11" t="inlineStr">
        <is>
          <t>yes</t>
        </is>
      </c>
      <c r="F1134" s="11" t="inlineStr"/>
      <c r="G1134" s="11" t="inlineStr"/>
      <c r="H1134" s="11" t="inlineStr">
        <is>
          <t>c17521</t>
        </is>
      </c>
      <c r="I1134" s="11" t="inlineStr">
        <is>
          <t>cite</t>
        </is>
      </c>
      <c r="J1134" s="11" t="inlineStr">
        <is>
          <t>no</t>
        </is>
      </c>
      <c r="K1134" s="11" t="inlineStr">
        <is>
          <t>no</t>
        </is>
      </c>
      <c r="L1134" s="11" t="inlineStr"/>
    </row>
    <row r="1135">
      <c r="A1135" s="11" t="inlineStr">
        <is>
          <t>1132</t>
        </is>
      </c>
      <c r="B1135" s="11" t="inlineStr">
        <is>
          <t>175</t>
        </is>
      </c>
      <c r="C1135" s="11" t="inlineStr">
        <is>
          <t>HC/tribunal/other</t>
        </is>
      </c>
      <c r="D1135" s="11" t="inlineStr">
        <is>
          <t>no</t>
        </is>
      </c>
      <c r="E1135" s="11" t="inlineStr">
        <is>
          <t>no</t>
        </is>
      </c>
      <c r="F1135" s="11" t="inlineStr"/>
      <c r="G1135" s="11" t="inlineStr"/>
      <c r="H1135" s="11" t="inlineStr">
        <is>
          <t>c5294</t>
        </is>
      </c>
      <c r="I1135" s="11" t="inlineStr">
        <is>
          <t>cite</t>
        </is>
      </c>
      <c r="J1135" s="11" t="inlineStr">
        <is>
          <t>no</t>
        </is>
      </c>
      <c r="K1135" s="11" t="inlineStr">
        <is>
          <t>no</t>
        </is>
      </c>
      <c r="L1135" s="11" t="inlineStr"/>
    </row>
    <row r="1136">
      <c r="A1136" s="11" t="inlineStr">
        <is>
          <t>1133</t>
        </is>
      </c>
      <c r="B1136" s="11" t="inlineStr">
        <is>
          <t>175</t>
        </is>
      </c>
      <c r="C1136" s="11" t="inlineStr">
        <is>
          <t>HC/tribunal/other</t>
        </is>
      </c>
      <c r="D1136" s="11" t="inlineStr">
        <is>
          <t>yes</t>
        </is>
      </c>
      <c r="E1136" s="11" t="inlineStr">
        <is>
          <t>no</t>
        </is>
      </c>
      <c r="F1136" s="11" t="inlineStr"/>
      <c r="G1136" s="11" t="inlineStr"/>
      <c r="H1136" s="11" t="inlineStr">
        <is>
          <t>c4700</t>
        </is>
      </c>
      <c r="I1136" s="11" t="inlineStr">
        <is>
          <t>cite</t>
        </is>
      </c>
      <c r="J1136" s="11" t="inlineStr">
        <is>
          <t>no</t>
        </is>
      </c>
      <c r="K1136" s="11" t="inlineStr">
        <is>
          <t>no</t>
        </is>
      </c>
      <c r="L1136" s="11" t="inlineStr"/>
    </row>
    <row r="1137">
      <c r="A1137" s="11" t="inlineStr">
        <is>
          <t>1134</t>
        </is>
      </c>
      <c r="B1137" s="11" t="inlineStr">
        <is>
          <t>175</t>
        </is>
      </c>
      <c r="C1137" s="11" t="inlineStr">
        <is>
          <t>HC/tribunal/other</t>
        </is>
      </c>
      <c r="D1137" s="11" t="inlineStr">
        <is>
          <t>yes</t>
        </is>
      </c>
      <c r="E1137" s="11" t="inlineStr">
        <is>
          <t>no</t>
        </is>
      </c>
      <c r="F1137" s="11" t="inlineStr"/>
      <c r="G1137" s="11" t="inlineStr"/>
      <c r="H1137" s="11" t="inlineStr">
        <is>
          <t>c10001</t>
        </is>
      </c>
      <c r="I1137" s="11" t="inlineStr">
        <is>
          <t>cite</t>
        </is>
      </c>
      <c r="J1137" s="11" t="inlineStr">
        <is>
          <t>no</t>
        </is>
      </c>
      <c r="K1137" s="11" t="inlineStr">
        <is>
          <t>no</t>
        </is>
      </c>
      <c r="L1137" s="11" t="inlineStr"/>
    </row>
    <row r="1138">
      <c r="A1138" s="11" t="inlineStr">
        <is>
          <t>1135</t>
        </is>
      </c>
      <c r="B1138" s="11" t="inlineStr">
        <is>
          <t>175</t>
        </is>
      </c>
      <c r="C1138" s="11" t="inlineStr">
        <is>
          <t>HC/tribunal/other</t>
        </is>
      </c>
      <c r="D1138" s="11" t="inlineStr">
        <is>
          <t>no</t>
        </is>
      </c>
      <c r="E1138" s="11" t="inlineStr">
        <is>
          <t>no</t>
        </is>
      </c>
      <c r="F1138" s="11" t="inlineStr"/>
      <c r="G1138" s="11" t="inlineStr"/>
      <c r="H1138" s="11" t="inlineStr">
        <is>
          <t>c28761</t>
        </is>
      </c>
      <c r="I1138" s="11" t="inlineStr">
        <is>
          <t>cite</t>
        </is>
      </c>
      <c r="J1138" s="11" t="inlineStr">
        <is>
          <t>no</t>
        </is>
      </c>
      <c r="K1138" s="11" t="inlineStr">
        <is>
          <t>no</t>
        </is>
      </c>
      <c r="L1138" s="11" t="inlineStr"/>
    </row>
    <row r="1139">
      <c r="A1139" s="11" t="inlineStr">
        <is>
          <t>1136</t>
        </is>
      </c>
      <c r="B1139" s="11" t="inlineStr">
        <is>
          <t>175</t>
        </is>
      </c>
      <c r="C1139" s="11" t="inlineStr">
        <is>
          <t>HC/tribunal/other</t>
        </is>
      </c>
      <c r="D1139" s="11" t="inlineStr">
        <is>
          <t>no</t>
        </is>
      </c>
      <c r="E1139" s="11" t="inlineStr">
        <is>
          <t>no</t>
        </is>
      </c>
      <c r="F1139" s="11" t="inlineStr"/>
      <c r="G1139" s="11" t="inlineStr"/>
      <c r="H1139" s="11" t="inlineStr">
        <is>
          <t>c12567</t>
        </is>
      </c>
      <c r="I1139" s="11" t="inlineStr">
        <is>
          <t>cite</t>
        </is>
      </c>
      <c r="J1139" s="11" t="inlineStr">
        <is>
          <t>no</t>
        </is>
      </c>
      <c r="K1139" s="11" t="inlineStr">
        <is>
          <t>no</t>
        </is>
      </c>
      <c r="L1139" s="11" t="inlineStr"/>
    </row>
    <row r="1140">
      <c r="A1140" s="11" t="inlineStr">
        <is>
          <t>1137</t>
        </is>
      </c>
      <c r="B1140" s="11" t="inlineStr">
        <is>
          <t>175</t>
        </is>
      </c>
      <c r="C1140" s="11" t="inlineStr">
        <is>
          <t>HC/tribunal/other</t>
        </is>
      </c>
      <c r="D1140" s="11" t="inlineStr">
        <is>
          <t>no</t>
        </is>
      </c>
      <c r="E1140" s="11" t="inlineStr">
        <is>
          <t>yes</t>
        </is>
      </c>
      <c r="F1140" s="11" t="inlineStr"/>
      <c r="G1140" s="11" t="inlineStr"/>
      <c r="H1140" s="11" t="inlineStr">
        <is>
          <t>c8505</t>
        </is>
      </c>
      <c r="I1140" s="11" t="inlineStr">
        <is>
          <t>cite</t>
        </is>
      </c>
      <c r="J1140" s="11" t="inlineStr">
        <is>
          <t>no</t>
        </is>
      </c>
      <c r="K1140" s="11" t="inlineStr">
        <is>
          <t>no</t>
        </is>
      </c>
      <c r="L1140" s="11" t="inlineStr"/>
    </row>
    <row r="1141">
      <c r="A1141" s="11" t="inlineStr">
        <is>
          <t>1138</t>
        </is>
      </c>
      <c r="B1141" s="11" t="inlineStr">
        <is>
          <t>176</t>
        </is>
      </c>
      <c r="C1141" s="11" t="inlineStr">
        <is>
          <t>HC/tribunal/other</t>
        </is>
      </c>
      <c r="D1141" s="11" t="inlineStr">
        <is>
          <t>no</t>
        </is>
      </c>
      <c r="E1141" s="11" t="inlineStr">
        <is>
          <t>yes</t>
        </is>
      </c>
      <c r="F1141" s="11" t="inlineStr"/>
      <c r="G1141" s="11" t="inlineStr"/>
      <c r="H1141" s="11" t="inlineStr"/>
      <c r="I1141" s="11" t="inlineStr"/>
      <c r="J1141" s="11" t="inlineStr">
        <is>
          <t>no</t>
        </is>
      </c>
      <c r="K1141" s="11" t="inlineStr">
        <is>
          <t>no</t>
        </is>
      </c>
      <c r="L1141" s="11" t="inlineStr"/>
    </row>
    <row r="1142">
      <c r="A1142" s="11" t="inlineStr">
        <is>
          <t>1139</t>
        </is>
      </c>
      <c r="B1142" s="11" t="inlineStr">
        <is>
          <t>176</t>
        </is>
      </c>
      <c r="C1142" s="11" t="inlineStr">
        <is>
          <t>HC/tribunal/other</t>
        </is>
      </c>
      <c r="D1142" s="11" t="inlineStr">
        <is>
          <t>yes</t>
        </is>
      </c>
      <c r="E1142" s="11" t="inlineStr">
        <is>
          <t>no</t>
        </is>
      </c>
      <c r="F1142" s="11" t="inlineStr"/>
      <c r="G1142" s="11" t="inlineStr"/>
      <c r="H1142" s="11" t="inlineStr">
        <is>
          <t>c6440</t>
        </is>
      </c>
      <c r="I1142" s="11" t="inlineStr">
        <is>
          <t>cite</t>
        </is>
      </c>
      <c r="J1142" s="11" t="inlineStr">
        <is>
          <t>no</t>
        </is>
      </c>
      <c r="K1142" s="11" t="inlineStr">
        <is>
          <t>no</t>
        </is>
      </c>
      <c r="L1142" s="11" t="inlineStr"/>
    </row>
    <row r="1143">
      <c r="A1143" s="11" t="inlineStr">
        <is>
          <t>1140</t>
        </is>
      </c>
      <c r="B1143" s="11" t="inlineStr">
        <is>
          <t>176</t>
        </is>
      </c>
      <c r="C1143" s="11" t="inlineStr">
        <is>
          <t>HC/tribunal/other</t>
        </is>
      </c>
      <c r="D1143" s="11" t="inlineStr">
        <is>
          <t>no</t>
        </is>
      </c>
      <c r="E1143" s="11" t="inlineStr">
        <is>
          <t>no</t>
        </is>
      </c>
      <c r="F1143" s="11" t="inlineStr"/>
      <c r="G1143" s="11" t="inlineStr"/>
      <c r="H1143" s="11" t="inlineStr">
        <is>
          <t>c12359</t>
        </is>
      </c>
      <c r="I1143" s="11" t="inlineStr">
        <is>
          <t>name</t>
        </is>
      </c>
      <c r="J1143" s="11" t="inlineStr">
        <is>
          <t>no</t>
        </is>
      </c>
      <c r="K1143" s="11" t="inlineStr">
        <is>
          <t>no</t>
        </is>
      </c>
      <c r="L1143" s="11" t="inlineStr"/>
    </row>
    <row r="1144">
      <c r="A1144" s="11" t="inlineStr">
        <is>
          <t>1141</t>
        </is>
      </c>
      <c r="B1144" s="11" t="inlineStr">
        <is>
          <t>176</t>
        </is>
      </c>
      <c r="C1144" s="11" t="inlineStr">
        <is>
          <t>HC/tribunal/other</t>
        </is>
      </c>
      <c r="D1144" s="11" t="inlineStr">
        <is>
          <t>no</t>
        </is>
      </c>
      <c r="E1144" s="11" t="inlineStr">
        <is>
          <t>no</t>
        </is>
      </c>
      <c r="F1144" s="11" t="inlineStr"/>
      <c r="G1144" s="11" t="inlineStr"/>
      <c r="H1144" s="11" t="inlineStr">
        <is>
          <t>c29636</t>
        </is>
      </c>
      <c r="I1144" s="11" t="inlineStr">
        <is>
          <t>cite</t>
        </is>
      </c>
      <c r="J1144" s="11" t="inlineStr">
        <is>
          <t>no</t>
        </is>
      </c>
      <c r="K1144" s="11" t="inlineStr">
        <is>
          <t>no</t>
        </is>
      </c>
      <c r="L1144" s="11" t="inlineStr"/>
    </row>
    <row r="1145">
      <c r="A1145" s="11" t="inlineStr">
        <is>
          <t>1142</t>
        </is>
      </c>
      <c r="B1145" s="11" t="inlineStr">
        <is>
          <t>176</t>
        </is>
      </c>
      <c r="C1145" s="11" t="inlineStr">
        <is>
          <t>HC/tribunal/other</t>
        </is>
      </c>
      <c r="D1145" s="11" t="inlineStr">
        <is>
          <t>no</t>
        </is>
      </c>
      <c r="E1145" s="11" t="inlineStr">
        <is>
          <t>no</t>
        </is>
      </c>
      <c r="F1145" s="11" t="inlineStr"/>
      <c r="G1145" s="11" t="inlineStr"/>
      <c r="H1145" s="11" t="inlineStr">
        <is>
          <t>c10712</t>
        </is>
      </c>
      <c r="I1145" s="11" t="inlineStr">
        <is>
          <t>cite</t>
        </is>
      </c>
      <c r="J1145" s="11" t="inlineStr">
        <is>
          <t>no</t>
        </is>
      </c>
      <c r="K1145" s="11" t="inlineStr">
        <is>
          <t>no</t>
        </is>
      </c>
      <c r="L1145" s="11" t="inlineStr"/>
    </row>
    <row r="1146">
      <c r="A1146" s="11" t="inlineStr">
        <is>
          <t>1143</t>
        </is>
      </c>
      <c r="B1146" s="11" t="inlineStr">
        <is>
          <t>176</t>
        </is>
      </c>
      <c r="C1146" s="11" t="inlineStr">
        <is>
          <t>HC/tribunal/other</t>
        </is>
      </c>
      <c r="D1146" s="11" t="inlineStr">
        <is>
          <t>no</t>
        </is>
      </c>
      <c r="E1146" s="11" t="inlineStr">
        <is>
          <t>no</t>
        </is>
      </c>
      <c r="F1146" s="11" t="inlineStr"/>
      <c r="G1146" s="11" t="inlineStr"/>
      <c r="H1146" s="11" t="inlineStr">
        <is>
          <t>c8434</t>
        </is>
      </c>
      <c r="I1146" s="11" t="inlineStr">
        <is>
          <t>cite</t>
        </is>
      </c>
      <c r="J1146" s="11" t="inlineStr">
        <is>
          <t>no</t>
        </is>
      </c>
      <c r="K1146" s="11" t="inlineStr">
        <is>
          <t>no</t>
        </is>
      </c>
      <c r="L1146" s="11" t="inlineStr"/>
    </row>
    <row r="1147">
      <c r="A1147" s="11" t="inlineStr">
        <is>
          <t>1144</t>
        </is>
      </c>
      <c r="B1147" s="11" t="inlineStr">
        <is>
          <t>176</t>
        </is>
      </c>
      <c r="C1147" s="11" t="inlineStr">
        <is>
          <t>HC/tribunal/other</t>
        </is>
      </c>
      <c r="D1147" s="11" t="inlineStr">
        <is>
          <t>yes</t>
        </is>
      </c>
      <c r="E1147" s="11" t="inlineStr">
        <is>
          <t>no</t>
        </is>
      </c>
      <c r="F1147" s="11" t="inlineStr"/>
      <c r="G1147" s="11" t="inlineStr"/>
      <c r="H1147" s="11" t="inlineStr">
        <is>
          <t>c9833</t>
        </is>
      </c>
      <c r="I1147" s="11" t="inlineStr">
        <is>
          <t>cite</t>
        </is>
      </c>
      <c r="J1147" s="11" t="inlineStr">
        <is>
          <t>no</t>
        </is>
      </c>
      <c r="K1147" s="11" t="inlineStr">
        <is>
          <t>no</t>
        </is>
      </c>
      <c r="L1147" s="11" t="inlineStr"/>
    </row>
    <row r="1148">
      <c r="A1148" s="11" t="inlineStr">
        <is>
          <t>1145</t>
        </is>
      </c>
      <c r="B1148" s="11" t="inlineStr">
        <is>
          <t>177</t>
        </is>
      </c>
      <c r="C1148" s="11" t="inlineStr">
        <is>
          <t>HC/tribunal/other</t>
        </is>
      </c>
      <c r="D1148" s="11" t="inlineStr">
        <is>
          <t>no</t>
        </is>
      </c>
      <c r="E1148" s="11" t="inlineStr">
        <is>
          <t>no</t>
        </is>
      </c>
      <c r="F1148" s="11" t="inlineStr"/>
      <c r="G1148" s="11" t="inlineStr"/>
      <c r="H1148" s="11" t="inlineStr">
        <is>
          <t>c12614</t>
        </is>
      </c>
      <c r="I1148" s="11" t="inlineStr">
        <is>
          <t>cite</t>
        </is>
      </c>
      <c r="J1148" s="11" t="inlineStr">
        <is>
          <t>no</t>
        </is>
      </c>
      <c r="K1148" s="11" t="inlineStr">
        <is>
          <t>no</t>
        </is>
      </c>
      <c r="L1148" s="11" t="inlineStr"/>
    </row>
    <row r="1149">
      <c r="A1149" s="11" t="inlineStr">
        <is>
          <t>1146</t>
        </is>
      </c>
      <c r="B1149" s="11" t="inlineStr">
        <is>
          <t>177</t>
        </is>
      </c>
      <c r="C1149" s="11" t="inlineStr">
        <is>
          <t>HC/tribunal/other</t>
        </is>
      </c>
      <c r="D1149" s="11" t="inlineStr">
        <is>
          <t>no</t>
        </is>
      </c>
      <c r="E1149" s="11" t="inlineStr">
        <is>
          <t>no</t>
        </is>
      </c>
      <c r="F1149" s="11" t="inlineStr"/>
      <c r="G1149" s="11" t="inlineStr"/>
      <c r="H1149" s="11" t="inlineStr">
        <is>
          <t>c5482</t>
        </is>
      </c>
      <c r="I1149" s="11" t="inlineStr">
        <is>
          <t>cite</t>
        </is>
      </c>
      <c r="J1149" s="11" t="inlineStr">
        <is>
          <t>no</t>
        </is>
      </c>
      <c r="K1149" s="11" t="inlineStr">
        <is>
          <t>no</t>
        </is>
      </c>
      <c r="L1149" s="11" t="inlineStr"/>
    </row>
    <row r="1150">
      <c r="A1150" s="11" t="inlineStr">
        <is>
          <t>1147</t>
        </is>
      </c>
      <c r="B1150" s="11" t="inlineStr">
        <is>
          <t>177</t>
        </is>
      </c>
      <c r="C1150" s="11" t="inlineStr">
        <is>
          <t>HC/tribunal/other</t>
        </is>
      </c>
      <c r="D1150" s="11" t="inlineStr">
        <is>
          <t>no</t>
        </is>
      </c>
      <c r="E1150" s="11" t="inlineStr">
        <is>
          <t>no</t>
        </is>
      </c>
      <c r="F1150" s="11" t="inlineStr"/>
      <c r="G1150" s="11" t="inlineStr"/>
      <c r="H1150" s="11" t="inlineStr">
        <is>
          <t>c13770</t>
        </is>
      </c>
      <c r="I1150" s="11" t="inlineStr">
        <is>
          <t>name</t>
        </is>
      </c>
      <c r="J1150" s="11" t="inlineStr">
        <is>
          <t>no</t>
        </is>
      </c>
      <c r="K1150" s="11" t="inlineStr">
        <is>
          <t>no</t>
        </is>
      </c>
      <c r="L1150" s="11" t="inlineStr"/>
    </row>
    <row r="1151">
      <c r="A1151" s="11" t="inlineStr">
        <is>
          <t>1148</t>
        </is>
      </c>
      <c r="B1151" s="11" t="inlineStr">
        <is>
          <t>177</t>
        </is>
      </c>
      <c r="C1151" s="11" t="inlineStr">
        <is>
          <t>HC/tribunal/other</t>
        </is>
      </c>
      <c r="D1151" s="11" t="inlineStr">
        <is>
          <t>no</t>
        </is>
      </c>
      <c r="E1151" s="11" t="inlineStr">
        <is>
          <t>no</t>
        </is>
      </c>
      <c r="F1151" s="11" t="inlineStr"/>
      <c r="G1151" s="11" t="inlineStr"/>
      <c r="H1151" s="11" t="inlineStr">
        <is>
          <t>b1984_3_309_314</t>
        </is>
      </c>
      <c r="I1151" s="11" t="inlineStr">
        <is>
          <t>cite</t>
        </is>
      </c>
      <c r="J1151" s="11" t="inlineStr">
        <is>
          <t>no</t>
        </is>
      </c>
      <c r="K1151" s="11" t="inlineStr">
        <is>
          <t>no</t>
        </is>
      </c>
      <c r="L1151" s="11" t="inlineStr"/>
    </row>
    <row r="1152">
      <c r="A1152" s="11" t="inlineStr">
        <is>
          <t>1149</t>
        </is>
      </c>
      <c r="B1152" s="11" t="inlineStr">
        <is>
          <t>177</t>
        </is>
      </c>
      <c r="C1152" s="11" t="inlineStr">
        <is>
          <t>HC/tribunal/other</t>
        </is>
      </c>
      <c r="D1152" s="11" t="inlineStr">
        <is>
          <t>yes</t>
        </is>
      </c>
      <c r="E1152" s="11" t="inlineStr">
        <is>
          <t>no</t>
        </is>
      </c>
      <c r="F1152" s="11" t="inlineStr"/>
      <c r="G1152" s="11" t="inlineStr"/>
      <c r="H1152" s="11" t="inlineStr">
        <is>
          <t>c7414</t>
        </is>
      </c>
      <c r="I1152" s="11" t="inlineStr">
        <is>
          <t>cite</t>
        </is>
      </c>
      <c r="J1152" s="11" t="inlineStr">
        <is>
          <t>no</t>
        </is>
      </c>
      <c r="K1152" s="11" t="inlineStr">
        <is>
          <t>no</t>
        </is>
      </c>
      <c r="L1152" s="11" t="inlineStr"/>
    </row>
    <row r="1153">
      <c r="A1153" s="11" t="inlineStr">
        <is>
          <t>1150</t>
        </is>
      </c>
      <c r="B1153" s="11" t="inlineStr">
        <is>
          <t>177</t>
        </is>
      </c>
      <c r="C1153" s="11" t="inlineStr">
        <is>
          <t>HC/tribunal/other</t>
        </is>
      </c>
      <c r="D1153" s="11" t="inlineStr">
        <is>
          <t>yes</t>
        </is>
      </c>
      <c r="E1153" s="11" t="inlineStr">
        <is>
          <t>no</t>
        </is>
      </c>
      <c r="F1153" s="11" t="inlineStr"/>
      <c r="G1153" s="11" t="inlineStr"/>
      <c r="H1153" s="11" t="inlineStr">
        <is>
          <t>c16758</t>
        </is>
      </c>
      <c r="I1153" s="11" t="inlineStr">
        <is>
          <t>name</t>
        </is>
      </c>
      <c r="J1153" s="11" t="inlineStr">
        <is>
          <t>no</t>
        </is>
      </c>
      <c r="K1153" s="11" t="inlineStr">
        <is>
          <t>no</t>
        </is>
      </c>
      <c r="L1153" s="11" t="inlineStr"/>
    </row>
    <row r="1154">
      <c r="A1154" s="11" t="inlineStr">
        <is>
          <t>1151</t>
        </is>
      </c>
      <c r="B1154" s="11" t="inlineStr">
        <is>
          <t>177</t>
        </is>
      </c>
      <c r="C1154" s="11" t="inlineStr">
        <is>
          <t>HC/tribunal/other</t>
        </is>
      </c>
      <c r="D1154" s="11" t="inlineStr">
        <is>
          <t>no</t>
        </is>
      </c>
      <c r="E1154" s="11" t="inlineStr">
        <is>
          <t>no</t>
        </is>
      </c>
      <c r="F1154" s="11" t="inlineStr"/>
      <c r="G1154" s="11" t="inlineStr"/>
      <c r="H1154" s="11" t="inlineStr">
        <is>
          <t>c5113</t>
        </is>
      </c>
      <c r="I1154" s="11" t="inlineStr">
        <is>
          <t>cite</t>
        </is>
      </c>
      <c r="J1154" s="11" t="inlineStr">
        <is>
          <t>no</t>
        </is>
      </c>
      <c r="K1154" s="11" t="inlineStr">
        <is>
          <t>no</t>
        </is>
      </c>
      <c r="L1154" s="11" t="inlineStr"/>
    </row>
    <row r="1155">
      <c r="A1155" s="11" t="inlineStr">
        <is>
          <t>1152</t>
        </is>
      </c>
      <c r="B1155" s="11" t="inlineStr">
        <is>
          <t>178</t>
        </is>
      </c>
      <c r="C1155" s="11" t="inlineStr">
        <is>
          <t>HC/tribunal/other</t>
        </is>
      </c>
      <c r="D1155" s="11" t="inlineStr">
        <is>
          <t>yes</t>
        </is>
      </c>
      <c r="E1155" s="11" t="inlineStr">
        <is>
          <t>yes</t>
        </is>
      </c>
      <c r="F1155" s="11" t="inlineStr"/>
      <c r="G1155" s="11" t="inlineStr"/>
      <c r="H1155" s="11" t="inlineStr">
        <is>
          <t>c7146</t>
        </is>
      </c>
      <c r="I1155" s="11" t="inlineStr">
        <is>
          <t>cite</t>
        </is>
      </c>
      <c r="J1155" s="11" t="inlineStr">
        <is>
          <t>no</t>
        </is>
      </c>
      <c r="K1155" s="11" t="inlineStr">
        <is>
          <t>no</t>
        </is>
      </c>
      <c r="L1155" s="11" t="inlineStr"/>
    </row>
    <row r="1156">
      <c r="A1156" s="11" t="inlineStr">
        <is>
          <t>1153</t>
        </is>
      </c>
      <c r="B1156" s="11" t="inlineStr">
        <is>
          <t>178</t>
        </is>
      </c>
      <c r="C1156" s="11" t="inlineStr">
        <is>
          <t>HC/tribunal/other</t>
        </is>
      </c>
      <c r="D1156" s="11" t="inlineStr">
        <is>
          <t>no</t>
        </is>
      </c>
      <c r="E1156" s="11" t="inlineStr">
        <is>
          <t>no</t>
        </is>
      </c>
      <c r="F1156" s="11" t="inlineStr"/>
      <c r="G1156" s="11" t="inlineStr"/>
      <c r="H1156" s="11" t="inlineStr">
        <is>
          <t>c4676</t>
        </is>
      </c>
      <c r="I1156" s="11" t="inlineStr">
        <is>
          <t>cite</t>
        </is>
      </c>
      <c r="J1156" s="11" t="inlineStr">
        <is>
          <t>no</t>
        </is>
      </c>
      <c r="K1156" s="11" t="inlineStr">
        <is>
          <t>no</t>
        </is>
      </c>
      <c r="L1156" s="11" t="inlineStr"/>
    </row>
    <row r="1157">
      <c r="A1157" s="11" t="inlineStr">
        <is>
          <t>1154</t>
        </is>
      </c>
      <c r="B1157" s="11" t="inlineStr">
        <is>
          <t>178</t>
        </is>
      </c>
      <c r="C1157" s="11" t="inlineStr">
        <is>
          <t>HC/tribunal/other</t>
        </is>
      </c>
      <c r="D1157" s="11" t="inlineStr">
        <is>
          <t>no</t>
        </is>
      </c>
      <c r="E1157" s="11" t="inlineStr">
        <is>
          <t>no</t>
        </is>
      </c>
      <c r="F1157" s="11" t="inlineStr"/>
      <c r="G1157" s="11" t="inlineStr"/>
      <c r="H1157" s="11" t="inlineStr"/>
      <c r="I1157" s="11" t="inlineStr"/>
      <c r="J1157" s="11" t="inlineStr">
        <is>
          <t>no</t>
        </is>
      </c>
      <c r="K1157" s="11" t="inlineStr">
        <is>
          <t>no</t>
        </is>
      </c>
      <c r="L1157" s="11" t="inlineStr"/>
    </row>
    <row r="1158">
      <c r="A1158" s="11" t="inlineStr">
        <is>
          <t>1155</t>
        </is>
      </c>
      <c r="B1158" s="11" t="inlineStr">
        <is>
          <t>178</t>
        </is>
      </c>
      <c r="C1158" s="11" t="inlineStr">
        <is>
          <t>HC/tribunal/other</t>
        </is>
      </c>
      <c r="D1158" s="11" t="inlineStr">
        <is>
          <t>no</t>
        </is>
      </c>
      <c r="E1158" s="11" t="inlineStr">
        <is>
          <t>no</t>
        </is>
      </c>
      <c r="F1158" s="11" t="inlineStr"/>
      <c r="G1158" s="11" t="inlineStr"/>
      <c r="H1158" s="11" t="inlineStr">
        <is>
          <t>c26974</t>
        </is>
      </c>
      <c r="I1158" s="11" t="inlineStr">
        <is>
          <t>cite</t>
        </is>
      </c>
      <c r="J1158" s="11" t="inlineStr">
        <is>
          <t>no</t>
        </is>
      </c>
      <c r="K1158" s="11" t="inlineStr">
        <is>
          <t>no</t>
        </is>
      </c>
      <c r="L1158" s="11" t="inlineStr"/>
    </row>
    <row r="1159">
      <c r="A1159" s="11" t="inlineStr">
        <is>
          <t>1156</t>
        </is>
      </c>
      <c r="B1159" s="11" t="inlineStr">
        <is>
          <t>178</t>
        </is>
      </c>
      <c r="C1159" s="11" t="inlineStr">
        <is>
          <t>HC/tribunal/other</t>
        </is>
      </c>
      <c r="D1159" s="11" t="inlineStr">
        <is>
          <t>no</t>
        </is>
      </c>
      <c r="E1159" s="11" t="inlineStr">
        <is>
          <t>no</t>
        </is>
      </c>
      <c r="F1159" s="11" t="inlineStr"/>
      <c r="G1159" s="11" t="inlineStr"/>
      <c r="H1159" s="11" t="inlineStr">
        <is>
          <t>c16767</t>
        </is>
      </c>
      <c r="I1159" s="11" t="inlineStr">
        <is>
          <t>name</t>
        </is>
      </c>
      <c r="J1159" s="11" t="inlineStr">
        <is>
          <t>no</t>
        </is>
      </c>
      <c r="K1159" s="11" t="inlineStr">
        <is>
          <t>no</t>
        </is>
      </c>
      <c r="L1159" s="11" t="inlineStr"/>
    </row>
    <row r="1160">
      <c r="A1160" s="11" t="inlineStr">
        <is>
          <t>1157</t>
        </is>
      </c>
      <c r="B1160" s="11" t="inlineStr">
        <is>
          <t>178</t>
        </is>
      </c>
      <c r="C1160" s="11" t="inlineStr">
        <is>
          <t>HC/tribunal/other</t>
        </is>
      </c>
      <c r="D1160" s="11" t="inlineStr">
        <is>
          <t>no</t>
        </is>
      </c>
      <c r="E1160" s="11" t="inlineStr">
        <is>
          <t>no</t>
        </is>
      </c>
      <c r="F1160" s="11" t="inlineStr"/>
      <c r="G1160" s="11" t="inlineStr"/>
      <c r="H1160" s="11" t="inlineStr">
        <is>
          <t>c6717</t>
        </is>
      </c>
      <c r="I1160" s="11" t="inlineStr">
        <is>
          <t>cite</t>
        </is>
      </c>
      <c r="J1160" s="11" t="inlineStr">
        <is>
          <t>no</t>
        </is>
      </c>
      <c r="K1160" s="11" t="inlineStr">
        <is>
          <t>no</t>
        </is>
      </c>
      <c r="L1160" s="11" t="inlineStr"/>
    </row>
    <row r="1161">
      <c r="A1161" s="11" t="inlineStr">
        <is>
          <t>1158</t>
        </is>
      </c>
      <c r="B1161" s="11" t="inlineStr">
        <is>
          <t>178</t>
        </is>
      </c>
      <c r="C1161" s="11" t="inlineStr">
        <is>
          <t>HC/tribunal/other</t>
        </is>
      </c>
      <c r="D1161" s="11" t="inlineStr">
        <is>
          <t>yes</t>
        </is>
      </c>
      <c r="E1161" s="11" t="inlineStr">
        <is>
          <t>no</t>
        </is>
      </c>
      <c r="F1161" s="11" t="inlineStr"/>
      <c r="G1161" s="11" t="inlineStr"/>
      <c r="H1161" s="11" t="inlineStr">
        <is>
          <t>c27466</t>
        </is>
      </c>
      <c r="I1161" s="11" t="inlineStr">
        <is>
          <t>name</t>
        </is>
      </c>
      <c r="J1161" s="11" t="inlineStr">
        <is>
          <t>no</t>
        </is>
      </c>
      <c r="K1161" s="11" t="inlineStr">
        <is>
          <t>no</t>
        </is>
      </c>
      <c r="L1161" s="11" t="inlineStr"/>
    </row>
    <row r="1162">
      <c r="A1162" s="11" t="inlineStr">
        <is>
          <t>1159</t>
        </is>
      </c>
      <c r="B1162" s="11" t="inlineStr">
        <is>
          <t>178</t>
        </is>
      </c>
      <c r="C1162" s="11" t="inlineStr">
        <is>
          <t>HC/tribunal/other</t>
        </is>
      </c>
      <c r="D1162" s="11" t="inlineStr">
        <is>
          <t>no</t>
        </is>
      </c>
      <c r="E1162" s="11" t="inlineStr">
        <is>
          <t>no</t>
        </is>
      </c>
      <c r="F1162" s="11" t="inlineStr"/>
      <c r="G1162" s="11" t="inlineStr"/>
      <c r="H1162" s="11" t="inlineStr">
        <is>
          <t>c13012</t>
        </is>
      </c>
      <c r="I1162" s="11" t="inlineStr">
        <is>
          <t>name</t>
        </is>
      </c>
      <c r="J1162" s="11" t="inlineStr">
        <is>
          <t>no</t>
        </is>
      </c>
      <c r="K1162" s="11" t="inlineStr">
        <is>
          <t>no</t>
        </is>
      </c>
      <c r="L1162" s="11" t="inlineStr"/>
    </row>
    <row r="1163">
      <c r="A1163" s="11" t="inlineStr">
        <is>
          <t>1160</t>
        </is>
      </c>
      <c r="B1163" s="11" t="inlineStr">
        <is>
          <t>179</t>
        </is>
      </c>
      <c r="C1163" s="11" t="inlineStr">
        <is>
          <t>HC/tribunal/other</t>
        </is>
      </c>
      <c r="D1163" s="11" t="inlineStr">
        <is>
          <t>no</t>
        </is>
      </c>
      <c r="E1163" s="11" t="inlineStr">
        <is>
          <t>no</t>
        </is>
      </c>
      <c r="F1163" s="11" t="inlineStr"/>
      <c r="G1163" s="11" t="inlineStr"/>
      <c r="H1163" s="11" t="inlineStr">
        <is>
          <t>c1658</t>
        </is>
      </c>
      <c r="I1163" s="11" t="inlineStr">
        <is>
          <t>cite</t>
        </is>
      </c>
      <c r="J1163" s="11" t="inlineStr">
        <is>
          <t>no</t>
        </is>
      </c>
      <c r="K1163" s="11" t="inlineStr">
        <is>
          <t>no</t>
        </is>
      </c>
      <c r="L1163" s="11" t="inlineStr"/>
    </row>
    <row r="1164">
      <c r="A1164" s="11" t="inlineStr">
        <is>
          <t>1161</t>
        </is>
      </c>
      <c r="B1164" s="11" t="inlineStr">
        <is>
          <t>179</t>
        </is>
      </c>
      <c r="C1164" s="11" t="inlineStr">
        <is>
          <t>HC/tribunal/other</t>
        </is>
      </c>
      <c r="D1164" s="11" t="inlineStr">
        <is>
          <t>yes</t>
        </is>
      </c>
      <c r="E1164" s="11" t="inlineStr">
        <is>
          <t>no</t>
        </is>
      </c>
      <c r="F1164" s="11" t="inlineStr"/>
      <c r="G1164" s="11" t="inlineStr"/>
      <c r="H1164" s="11" t="inlineStr">
        <is>
          <t>c5862</t>
        </is>
      </c>
      <c r="I1164" s="11" t="inlineStr">
        <is>
          <t>cite</t>
        </is>
      </c>
      <c r="J1164" s="11" t="inlineStr">
        <is>
          <t>no</t>
        </is>
      </c>
      <c r="K1164" s="11" t="inlineStr">
        <is>
          <t>no</t>
        </is>
      </c>
      <c r="L1164" s="11" t="inlineStr"/>
    </row>
    <row r="1165">
      <c r="A1165" s="11" t="inlineStr">
        <is>
          <t>1162</t>
        </is>
      </c>
      <c r="B1165" s="11" t="inlineStr">
        <is>
          <t>179</t>
        </is>
      </c>
      <c r="C1165" s="11" t="inlineStr">
        <is>
          <t>HC/tribunal/other</t>
        </is>
      </c>
      <c r="D1165" s="11" t="inlineStr">
        <is>
          <t>no</t>
        </is>
      </c>
      <c r="E1165" s="11" t="inlineStr">
        <is>
          <t>yes</t>
        </is>
      </c>
      <c r="F1165" s="11" t="inlineStr"/>
      <c r="G1165" s="11" t="inlineStr"/>
      <c r="H1165" s="11" t="inlineStr">
        <is>
          <t>c13043</t>
        </is>
      </c>
      <c r="I1165" s="11" t="inlineStr">
        <is>
          <t>name</t>
        </is>
      </c>
      <c r="J1165" s="11" t="inlineStr">
        <is>
          <t>no</t>
        </is>
      </c>
      <c r="K1165" s="11" t="inlineStr">
        <is>
          <t>no</t>
        </is>
      </c>
      <c r="L1165" s="11" t="inlineStr"/>
    </row>
    <row r="1166">
      <c r="A1166" s="11" t="inlineStr">
        <is>
          <t>1163</t>
        </is>
      </c>
      <c r="B1166" s="11" t="inlineStr">
        <is>
          <t>179</t>
        </is>
      </c>
      <c r="C1166" s="11" t="inlineStr">
        <is>
          <t>HC/tribunal/other</t>
        </is>
      </c>
      <c r="D1166" s="11" t="inlineStr">
        <is>
          <t>no</t>
        </is>
      </c>
      <c r="E1166" s="11" t="inlineStr">
        <is>
          <t>no</t>
        </is>
      </c>
      <c r="F1166" s="11" t="inlineStr"/>
      <c r="G1166" s="11" t="inlineStr"/>
      <c r="H1166" s="11" t="inlineStr">
        <is>
          <t>c12567</t>
        </is>
      </c>
      <c r="I1166" s="11" t="inlineStr">
        <is>
          <t>cite</t>
        </is>
      </c>
      <c r="J1166" s="11" t="inlineStr">
        <is>
          <t>no</t>
        </is>
      </c>
      <c r="K1166" s="11" t="inlineStr">
        <is>
          <t>no</t>
        </is>
      </c>
      <c r="L1166" s="11" t="inlineStr"/>
    </row>
    <row r="1167">
      <c r="A1167" s="11" t="inlineStr">
        <is>
          <t>1164</t>
        </is>
      </c>
      <c r="B1167" s="11" t="inlineStr">
        <is>
          <t>179</t>
        </is>
      </c>
      <c r="C1167" s="11" t="inlineStr">
        <is>
          <t>HC/tribunal/other</t>
        </is>
      </c>
      <c r="D1167" s="11" t="inlineStr">
        <is>
          <t>no</t>
        </is>
      </c>
      <c r="E1167" s="11" t="inlineStr">
        <is>
          <t>no</t>
        </is>
      </c>
      <c r="F1167" s="11" t="inlineStr"/>
      <c r="G1167" s="11" t="inlineStr"/>
      <c r="H1167" s="11" t="inlineStr">
        <is>
          <t>c15881</t>
        </is>
      </c>
      <c r="I1167" s="11" t="inlineStr">
        <is>
          <t>cite</t>
        </is>
      </c>
      <c r="J1167" s="11" t="inlineStr">
        <is>
          <t>no</t>
        </is>
      </c>
      <c r="K1167" s="11" t="inlineStr">
        <is>
          <t>no</t>
        </is>
      </c>
      <c r="L1167" s="11" t="inlineStr"/>
    </row>
    <row r="1168">
      <c r="A1168" s="11" t="inlineStr">
        <is>
          <t>1165</t>
        </is>
      </c>
      <c r="B1168" s="11" t="inlineStr">
        <is>
          <t>179</t>
        </is>
      </c>
      <c r="C1168" s="11" t="inlineStr">
        <is>
          <t>HC/tribunal/other</t>
        </is>
      </c>
      <c r="D1168" s="11" t="inlineStr">
        <is>
          <t>yes</t>
        </is>
      </c>
      <c r="E1168" s="11" t="inlineStr">
        <is>
          <t>no</t>
        </is>
      </c>
      <c r="F1168" s="11" t="inlineStr"/>
      <c r="G1168" s="11" t="inlineStr"/>
      <c r="H1168" s="11" t="inlineStr">
        <is>
          <t>c5599</t>
        </is>
      </c>
      <c r="I1168" s="11" t="inlineStr">
        <is>
          <t>cite</t>
        </is>
      </c>
      <c r="J1168" s="11" t="inlineStr">
        <is>
          <t>no</t>
        </is>
      </c>
      <c r="K1168" s="11" t="inlineStr">
        <is>
          <t>no</t>
        </is>
      </c>
      <c r="L1168" s="11" t="inlineStr"/>
    </row>
    <row r="1169">
      <c r="A1169" s="11" t="inlineStr">
        <is>
          <t>1166</t>
        </is>
      </c>
      <c r="B1169" s="11" t="inlineStr">
        <is>
          <t>180</t>
        </is>
      </c>
      <c r="C1169" s="11" t="inlineStr">
        <is>
          <t>HC/tribunal/other</t>
        </is>
      </c>
      <c r="D1169" s="11" t="inlineStr">
        <is>
          <t>no</t>
        </is>
      </c>
      <c r="E1169" s="11" t="inlineStr">
        <is>
          <t>no</t>
        </is>
      </c>
      <c r="F1169" s="11" t="inlineStr"/>
      <c r="G1169" s="11" t="inlineStr"/>
      <c r="H1169" s="11" t="inlineStr">
        <is>
          <t>c10266</t>
        </is>
      </c>
      <c r="I1169" s="11" t="inlineStr">
        <is>
          <t>cite</t>
        </is>
      </c>
      <c r="J1169" s="11" t="inlineStr">
        <is>
          <t>no</t>
        </is>
      </c>
      <c r="K1169" s="11" t="inlineStr">
        <is>
          <t>no</t>
        </is>
      </c>
      <c r="L1169" s="11" t="inlineStr"/>
    </row>
    <row r="1170">
      <c r="A1170" s="11" t="inlineStr">
        <is>
          <t>1167</t>
        </is>
      </c>
      <c r="B1170" s="11" t="inlineStr">
        <is>
          <t>180</t>
        </is>
      </c>
      <c r="C1170" s="11" t="inlineStr">
        <is>
          <t>HC/tribunal/other</t>
        </is>
      </c>
      <c r="D1170" s="11" t="inlineStr">
        <is>
          <t>no</t>
        </is>
      </c>
      <c r="E1170" s="11" t="inlineStr">
        <is>
          <t>no</t>
        </is>
      </c>
      <c r="F1170" s="11" t="inlineStr"/>
      <c r="G1170" s="11" t="inlineStr"/>
      <c r="H1170" s="11" t="inlineStr">
        <is>
          <t>c31474</t>
        </is>
      </c>
      <c r="I1170" s="11" t="inlineStr">
        <is>
          <t>name</t>
        </is>
      </c>
      <c r="J1170" s="11" t="inlineStr">
        <is>
          <t>no</t>
        </is>
      </c>
      <c r="K1170" s="11" t="inlineStr">
        <is>
          <t>no</t>
        </is>
      </c>
      <c r="L1170" s="11" t="inlineStr"/>
    </row>
    <row r="1171">
      <c r="A1171" s="11" t="inlineStr">
        <is>
          <t>1168</t>
        </is>
      </c>
      <c r="B1171" s="11" t="inlineStr">
        <is>
          <t>180</t>
        </is>
      </c>
      <c r="C1171" s="11" t="inlineStr">
        <is>
          <t>HC/tribunal/other</t>
        </is>
      </c>
      <c r="D1171" s="11" t="inlineStr">
        <is>
          <t>yes</t>
        </is>
      </c>
      <c r="E1171" s="11" t="inlineStr">
        <is>
          <t>no</t>
        </is>
      </c>
      <c r="F1171" s="11" t="inlineStr"/>
      <c r="G1171" s="11" t="inlineStr"/>
      <c r="H1171" s="11" t="inlineStr">
        <is>
          <t>c1415</t>
        </is>
      </c>
      <c r="I1171" s="11" t="inlineStr">
        <is>
          <t>cite</t>
        </is>
      </c>
      <c r="J1171" s="11" t="inlineStr">
        <is>
          <t>no</t>
        </is>
      </c>
      <c r="K1171" s="11" t="inlineStr">
        <is>
          <t>no</t>
        </is>
      </c>
      <c r="L1171" s="11" t="inlineStr"/>
    </row>
    <row r="1172">
      <c r="A1172" s="11" t="inlineStr">
        <is>
          <t>1169</t>
        </is>
      </c>
      <c r="B1172" s="11" t="inlineStr">
        <is>
          <t>180</t>
        </is>
      </c>
      <c r="C1172" s="11" t="inlineStr">
        <is>
          <t>HC/tribunal/other</t>
        </is>
      </c>
      <c r="D1172" s="11" t="inlineStr">
        <is>
          <t>no</t>
        </is>
      </c>
      <c r="E1172" s="11" t="inlineStr">
        <is>
          <t>yes</t>
        </is>
      </c>
      <c r="F1172" s="11" t="inlineStr"/>
      <c r="G1172" s="11" t="inlineStr"/>
      <c r="H1172" s="11" t="inlineStr">
        <is>
          <t>c6005</t>
        </is>
      </c>
      <c r="I1172" s="11" t="inlineStr">
        <is>
          <t>cite</t>
        </is>
      </c>
      <c r="J1172" s="11" t="inlineStr">
        <is>
          <t>no</t>
        </is>
      </c>
      <c r="K1172" s="11" t="inlineStr">
        <is>
          <t>no</t>
        </is>
      </c>
      <c r="L1172" s="11" t="inlineStr"/>
    </row>
    <row r="1173">
      <c r="A1173" s="11" t="inlineStr">
        <is>
          <t>1170</t>
        </is>
      </c>
      <c r="B1173" s="11" t="inlineStr">
        <is>
          <t>180</t>
        </is>
      </c>
      <c r="C1173" s="11" t="inlineStr">
        <is>
          <t>HC/tribunal/other</t>
        </is>
      </c>
      <c r="D1173" s="11" t="inlineStr">
        <is>
          <t>no</t>
        </is>
      </c>
      <c r="E1173" s="11" t="inlineStr">
        <is>
          <t>no</t>
        </is>
      </c>
      <c r="F1173" s="11" t="inlineStr"/>
      <c r="G1173" s="11" t="inlineStr"/>
      <c r="H1173" s="11" t="inlineStr">
        <is>
          <t>c2185</t>
        </is>
      </c>
      <c r="I1173" s="11" t="inlineStr">
        <is>
          <t>cite</t>
        </is>
      </c>
      <c r="J1173" s="11" t="inlineStr">
        <is>
          <t>no</t>
        </is>
      </c>
      <c r="K1173" s="11" t="inlineStr">
        <is>
          <t>no</t>
        </is>
      </c>
      <c r="L1173" s="11" t="inlineStr"/>
    </row>
    <row r="1174">
      <c r="A1174" s="11" t="inlineStr">
        <is>
          <t>1171</t>
        </is>
      </c>
      <c r="B1174" s="11" t="inlineStr">
        <is>
          <t>180</t>
        </is>
      </c>
      <c r="C1174" s="11" t="inlineStr">
        <is>
          <t>HC/tribunal/other</t>
        </is>
      </c>
      <c r="D1174" s="11" t="inlineStr">
        <is>
          <t>no</t>
        </is>
      </c>
      <c r="E1174" s="11" t="inlineStr">
        <is>
          <t>no</t>
        </is>
      </c>
      <c r="F1174" s="11" t="inlineStr"/>
      <c r="G1174" s="11" t="inlineStr"/>
      <c r="H1174" s="11" t="inlineStr">
        <is>
          <t>b1995_1_231_239</t>
        </is>
      </c>
      <c r="I1174" s="11" t="inlineStr">
        <is>
          <t>cite</t>
        </is>
      </c>
      <c r="J1174" s="11" t="inlineStr">
        <is>
          <t>no</t>
        </is>
      </c>
      <c r="K1174" s="11" t="inlineStr">
        <is>
          <t>no</t>
        </is>
      </c>
      <c r="L1174" s="11" t="inlineStr"/>
    </row>
    <row r="1175">
      <c r="A1175" s="11" t="inlineStr">
        <is>
          <t>1172</t>
        </is>
      </c>
      <c r="B1175" s="11" t="inlineStr">
        <is>
          <t>180</t>
        </is>
      </c>
      <c r="C1175" s="11" t="inlineStr">
        <is>
          <t>HC/tribunal/other</t>
        </is>
      </c>
      <c r="D1175" s="11" t="inlineStr">
        <is>
          <t>no</t>
        </is>
      </c>
      <c r="E1175" s="11" t="inlineStr">
        <is>
          <t>no</t>
        </is>
      </c>
      <c r="F1175" s="11" t="inlineStr"/>
      <c r="G1175" s="11" t="inlineStr"/>
      <c r="H1175" s="11" t="inlineStr">
        <is>
          <t>c3257</t>
        </is>
      </c>
      <c r="I1175" s="11" t="inlineStr">
        <is>
          <t>cite</t>
        </is>
      </c>
      <c r="J1175" s="11" t="inlineStr">
        <is>
          <t>no</t>
        </is>
      </c>
      <c r="K1175" s="11" t="inlineStr">
        <is>
          <t>no</t>
        </is>
      </c>
      <c r="L1175" s="11" t="inlineStr"/>
    </row>
    <row r="1176">
      <c r="A1176" s="11" t="inlineStr">
        <is>
          <t>1173</t>
        </is>
      </c>
      <c r="B1176" s="11" t="inlineStr">
        <is>
          <t>181</t>
        </is>
      </c>
      <c r="C1176" s="11" t="inlineStr">
        <is>
          <t>HC/tribunal/other</t>
        </is>
      </c>
      <c r="D1176" s="11" t="inlineStr">
        <is>
          <t>no</t>
        </is>
      </c>
      <c r="E1176" s="11" t="inlineStr">
        <is>
          <t>yes</t>
        </is>
      </c>
      <c r="F1176" s="11" t="inlineStr"/>
      <c r="G1176" s="11" t="inlineStr"/>
      <c r="H1176" s="11" t="inlineStr">
        <is>
          <t>c16994</t>
        </is>
      </c>
      <c r="I1176" s="11" t="inlineStr">
        <is>
          <t>cite</t>
        </is>
      </c>
      <c r="J1176" s="11" t="inlineStr">
        <is>
          <t>no</t>
        </is>
      </c>
      <c r="K1176" s="11" t="inlineStr">
        <is>
          <t>no</t>
        </is>
      </c>
      <c r="L1176" s="11" t="inlineStr"/>
    </row>
    <row r="1177">
      <c r="A1177" s="11" t="inlineStr">
        <is>
          <t>1174</t>
        </is>
      </c>
      <c r="B1177" s="11" t="inlineStr">
        <is>
          <t>181</t>
        </is>
      </c>
      <c r="C1177" s="11" t="inlineStr">
        <is>
          <t>HC/tribunal/other</t>
        </is>
      </c>
      <c r="D1177" s="11" t="inlineStr">
        <is>
          <t>yes</t>
        </is>
      </c>
      <c r="E1177" s="11" t="inlineStr">
        <is>
          <t>no</t>
        </is>
      </c>
      <c r="F1177" s="11" t="inlineStr"/>
      <c r="G1177" s="11" t="inlineStr"/>
      <c r="H1177" s="11" t="inlineStr">
        <is>
          <t>c28902</t>
        </is>
      </c>
      <c r="I1177" s="11" t="inlineStr">
        <is>
          <t>cite</t>
        </is>
      </c>
      <c r="J1177" s="11" t="inlineStr">
        <is>
          <t>no</t>
        </is>
      </c>
      <c r="K1177" s="11" t="inlineStr">
        <is>
          <t>no</t>
        </is>
      </c>
      <c r="L1177" s="11" t="inlineStr"/>
    </row>
    <row r="1178">
      <c r="A1178" s="11" t="inlineStr">
        <is>
          <t>1175</t>
        </is>
      </c>
      <c r="B1178" s="11" t="inlineStr">
        <is>
          <t>181</t>
        </is>
      </c>
      <c r="C1178" s="11" t="inlineStr">
        <is>
          <t>HC/tribunal/other</t>
        </is>
      </c>
      <c r="D1178" s="11" t="inlineStr">
        <is>
          <t>no</t>
        </is>
      </c>
      <c r="E1178" s="11" t="inlineStr">
        <is>
          <t>no</t>
        </is>
      </c>
      <c r="F1178" s="11" t="inlineStr"/>
      <c r="G1178" s="11" t="inlineStr"/>
      <c r="H1178" s="11" t="inlineStr">
        <is>
          <t>c13010</t>
        </is>
      </c>
      <c r="I1178" s="11" t="inlineStr">
        <is>
          <t>name</t>
        </is>
      </c>
      <c r="J1178" s="11" t="inlineStr">
        <is>
          <t>no</t>
        </is>
      </c>
      <c r="K1178" s="11" t="inlineStr">
        <is>
          <t>no</t>
        </is>
      </c>
      <c r="L1178" s="11" t="inlineStr"/>
    </row>
    <row r="1179">
      <c r="A1179" s="11" t="inlineStr">
        <is>
          <t>1176</t>
        </is>
      </c>
      <c r="B1179" s="11" t="inlineStr">
        <is>
          <t>181</t>
        </is>
      </c>
      <c r="C1179" s="11" t="inlineStr">
        <is>
          <t>HC/tribunal/other</t>
        </is>
      </c>
      <c r="D1179" s="11" t="inlineStr">
        <is>
          <t>yes</t>
        </is>
      </c>
      <c r="E1179" s="11" t="inlineStr">
        <is>
          <t>no</t>
        </is>
      </c>
      <c r="F1179" s="11" t="inlineStr"/>
      <c r="G1179" s="11" t="inlineStr"/>
      <c r="H1179" s="11" t="inlineStr">
        <is>
          <t>c31433</t>
        </is>
      </c>
      <c r="I1179" s="11" t="inlineStr">
        <is>
          <t>name</t>
        </is>
      </c>
      <c r="J1179" s="11" t="inlineStr">
        <is>
          <t>no</t>
        </is>
      </c>
      <c r="K1179" s="11" t="inlineStr">
        <is>
          <t>no</t>
        </is>
      </c>
      <c r="L1179" s="11" t="inlineStr"/>
    </row>
    <row r="1180">
      <c r="A1180" s="11" t="inlineStr">
        <is>
          <t>1177</t>
        </is>
      </c>
      <c r="B1180" s="11" t="inlineStr">
        <is>
          <t>181</t>
        </is>
      </c>
      <c r="C1180" s="11" t="inlineStr">
        <is>
          <t>HC/tribunal/other</t>
        </is>
      </c>
      <c r="D1180" s="11" t="inlineStr">
        <is>
          <t>no</t>
        </is>
      </c>
      <c r="E1180" s="11" t="inlineStr">
        <is>
          <t>no</t>
        </is>
      </c>
      <c r="F1180" s="11" t="inlineStr"/>
      <c r="G1180" s="11" t="inlineStr"/>
      <c r="H1180" s="11" t="inlineStr">
        <is>
          <t>c19546</t>
        </is>
      </c>
      <c r="I1180" s="11" t="inlineStr">
        <is>
          <t>name</t>
        </is>
      </c>
      <c r="J1180" s="11" t="inlineStr">
        <is>
          <t>no</t>
        </is>
      </c>
      <c r="K1180" s="11" t="inlineStr">
        <is>
          <t>no</t>
        </is>
      </c>
      <c r="L1180" s="11" t="inlineStr"/>
    </row>
    <row r="1181">
      <c r="A1181" s="11" t="inlineStr">
        <is>
          <t>1178</t>
        </is>
      </c>
      <c r="B1181" s="11" t="inlineStr">
        <is>
          <t>182</t>
        </is>
      </c>
      <c r="C1181" s="11" t="inlineStr">
        <is>
          <t>HC/tribunal/other</t>
        </is>
      </c>
      <c r="D1181" s="11" t="inlineStr">
        <is>
          <t>yes</t>
        </is>
      </c>
      <c r="E1181" s="11" t="inlineStr">
        <is>
          <t>no</t>
        </is>
      </c>
      <c r="F1181" s="11" t="inlineStr"/>
      <c r="G1181" s="11" t="inlineStr"/>
      <c r="H1181" s="11" t="inlineStr">
        <is>
          <t>c20689</t>
        </is>
      </c>
      <c r="I1181" s="11" t="inlineStr">
        <is>
          <t>cite</t>
        </is>
      </c>
      <c r="J1181" s="11" t="inlineStr">
        <is>
          <t>no</t>
        </is>
      </c>
      <c r="K1181" s="11" t="inlineStr">
        <is>
          <t>no</t>
        </is>
      </c>
      <c r="L1181" s="11" t="inlineStr"/>
    </row>
    <row r="1182">
      <c r="A1182" s="11" t="inlineStr">
        <is>
          <t>1179</t>
        </is>
      </c>
      <c r="B1182" s="11" t="inlineStr">
        <is>
          <t>182</t>
        </is>
      </c>
      <c r="C1182" s="11" t="inlineStr">
        <is>
          <t>HC/tribunal/other</t>
        </is>
      </c>
      <c r="D1182" s="11" t="inlineStr">
        <is>
          <t>yes</t>
        </is>
      </c>
      <c r="E1182" s="11" t="inlineStr">
        <is>
          <t>no</t>
        </is>
      </c>
      <c r="F1182" s="11" t="inlineStr"/>
      <c r="G1182" s="11" t="inlineStr"/>
      <c r="H1182" s="11" t="inlineStr">
        <is>
          <t>c31275</t>
        </is>
      </c>
      <c r="I1182" s="11" t="inlineStr">
        <is>
          <t>name</t>
        </is>
      </c>
      <c r="J1182" s="11" t="inlineStr">
        <is>
          <t>no</t>
        </is>
      </c>
      <c r="K1182" s="11" t="inlineStr">
        <is>
          <t>no</t>
        </is>
      </c>
      <c r="L1182" s="11" t="inlineStr"/>
    </row>
    <row r="1183">
      <c r="A1183" s="11" t="inlineStr">
        <is>
          <t>1180</t>
        </is>
      </c>
      <c r="B1183" s="11" t="inlineStr">
        <is>
          <t>182</t>
        </is>
      </c>
      <c r="C1183" s="11" t="inlineStr">
        <is>
          <t>HC/tribunal/other</t>
        </is>
      </c>
      <c r="D1183" s="11" t="inlineStr">
        <is>
          <t>yes</t>
        </is>
      </c>
      <c r="E1183" s="11" t="inlineStr">
        <is>
          <t>no</t>
        </is>
      </c>
      <c r="F1183" s="11" t="inlineStr"/>
      <c r="G1183" s="11" t="inlineStr"/>
      <c r="H1183" s="11" t="inlineStr">
        <is>
          <t>c30924</t>
        </is>
      </c>
      <c r="I1183" s="11" t="inlineStr">
        <is>
          <t>name</t>
        </is>
      </c>
      <c r="J1183" s="11" t="inlineStr">
        <is>
          <t>no</t>
        </is>
      </c>
      <c r="K1183" s="11" t="inlineStr">
        <is>
          <t>no</t>
        </is>
      </c>
      <c r="L1183" s="11" t="inlineStr"/>
    </row>
    <row r="1184">
      <c r="A1184" s="11" t="inlineStr">
        <is>
          <t>1181</t>
        </is>
      </c>
      <c r="B1184" s="11" t="inlineStr">
        <is>
          <t>182</t>
        </is>
      </c>
      <c r="C1184" s="11" t="inlineStr">
        <is>
          <t>HC/tribunal/other</t>
        </is>
      </c>
      <c r="D1184" s="11" t="inlineStr">
        <is>
          <t>no</t>
        </is>
      </c>
      <c r="E1184" s="11" t="inlineStr">
        <is>
          <t>no</t>
        </is>
      </c>
      <c r="F1184" s="11" t="inlineStr"/>
      <c r="G1184" s="11" t="inlineStr"/>
      <c r="H1184" s="11" t="inlineStr">
        <is>
          <t>c29379</t>
        </is>
      </c>
      <c r="I1184" s="11" t="inlineStr">
        <is>
          <t>name</t>
        </is>
      </c>
      <c r="J1184" s="11" t="inlineStr">
        <is>
          <t>no</t>
        </is>
      </c>
      <c r="K1184" s="11" t="inlineStr">
        <is>
          <t>no</t>
        </is>
      </c>
      <c r="L1184" s="11" t="inlineStr"/>
    </row>
    <row r="1185">
      <c r="A1185" s="11" t="inlineStr">
        <is>
          <t>1182</t>
        </is>
      </c>
      <c r="B1185" s="11" t="inlineStr">
        <is>
          <t>182</t>
        </is>
      </c>
      <c r="C1185" s="11" t="inlineStr">
        <is>
          <t>HC/tribunal/other</t>
        </is>
      </c>
      <c r="D1185" s="11" t="inlineStr">
        <is>
          <t>no</t>
        </is>
      </c>
      <c r="E1185" s="11" t="inlineStr">
        <is>
          <t>yes</t>
        </is>
      </c>
      <c r="F1185" s="11" t="inlineStr"/>
      <c r="G1185" s="11" t="inlineStr"/>
      <c r="H1185" s="11" t="inlineStr">
        <is>
          <t>c38886</t>
        </is>
      </c>
      <c r="I1185" s="11" t="inlineStr">
        <is>
          <t>name</t>
        </is>
      </c>
      <c r="J1185" s="11" t="inlineStr">
        <is>
          <t>no</t>
        </is>
      </c>
      <c r="K1185" s="11" t="inlineStr">
        <is>
          <t>no</t>
        </is>
      </c>
      <c r="L1185" s="11" t="inlineStr"/>
    </row>
    <row r="1186">
      <c r="A1186" s="11" t="inlineStr">
        <is>
          <t>1183</t>
        </is>
      </c>
      <c r="B1186" s="11" t="inlineStr">
        <is>
          <t>182</t>
        </is>
      </c>
      <c r="C1186" s="11" t="inlineStr">
        <is>
          <t>HC/tribunal/other</t>
        </is>
      </c>
      <c r="D1186" s="11" t="inlineStr">
        <is>
          <t>no</t>
        </is>
      </c>
      <c r="E1186" s="11" t="inlineStr">
        <is>
          <t>no</t>
        </is>
      </c>
      <c r="F1186" s="11" t="inlineStr"/>
      <c r="G1186" s="11" t="inlineStr"/>
      <c r="H1186" s="11" t="inlineStr">
        <is>
          <t>c8159</t>
        </is>
      </c>
      <c r="I1186" s="11" t="inlineStr">
        <is>
          <t>cite</t>
        </is>
      </c>
      <c r="J1186" s="11" t="inlineStr">
        <is>
          <t>no</t>
        </is>
      </c>
      <c r="K1186" s="11" t="inlineStr">
        <is>
          <t>no</t>
        </is>
      </c>
      <c r="L1186" s="11" t="inlineStr"/>
    </row>
    <row r="1187">
      <c r="A1187" s="11" t="inlineStr">
        <is>
          <t>1184</t>
        </is>
      </c>
      <c r="B1187" s="11" t="inlineStr">
        <is>
          <t>182</t>
        </is>
      </c>
      <c r="C1187" s="11" t="inlineStr">
        <is>
          <t>HC/tribunal/other</t>
        </is>
      </c>
      <c r="D1187" s="11" t="inlineStr">
        <is>
          <t>no</t>
        </is>
      </c>
      <c r="E1187" s="11" t="inlineStr">
        <is>
          <t>no</t>
        </is>
      </c>
      <c r="F1187" s="11" t="inlineStr"/>
      <c r="G1187" s="11" t="inlineStr"/>
      <c r="H1187" s="11" t="inlineStr">
        <is>
          <t>c9532</t>
        </is>
      </c>
      <c r="I1187" s="11" t="inlineStr">
        <is>
          <t>cite</t>
        </is>
      </c>
      <c r="J1187" s="11" t="inlineStr">
        <is>
          <t>no</t>
        </is>
      </c>
      <c r="K1187" s="11" t="inlineStr">
        <is>
          <t>no</t>
        </is>
      </c>
      <c r="L1187" s="11" t="inlineStr"/>
    </row>
    <row r="1188">
      <c r="A1188" s="11" t="inlineStr">
        <is>
          <t>1185</t>
        </is>
      </c>
      <c r="B1188" s="11" t="inlineStr">
        <is>
          <t>183</t>
        </is>
      </c>
      <c r="C1188" s="11" t="inlineStr">
        <is>
          <t>HC/tribunal/other</t>
        </is>
      </c>
      <c r="D1188" s="11" t="inlineStr">
        <is>
          <t>no</t>
        </is>
      </c>
      <c r="E1188" s="11" t="inlineStr">
        <is>
          <t>no</t>
        </is>
      </c>
      <c r="F1188" s="11" t="inlineStr"/>
      <c r="G1188" s="11" t="inlineStr"/>
      <c r="H1188" s="11" t="inlineStr">
        <is>
          <t>c20472</t>
        </is>
      </c>
      <c r="I1188" s="11" t="inlineStr">
        <is>
          <t>name</t>
        </is>
      </c>
      <c r="J1188" s="11" t="inlineStr">
        <is>
          <t>no</t>
        </is>
      </c>
      <c r="K1188" s="11" t="inlineStr">
        <is>
          <t>no</t>
        </is>
      </c>
      <c r="L1188" s="11" t="inlineStr"/>
    </row>
    <row r="1189">
      <c r="A1189" s="11" t="inlineStr">
        <is>
          <t>1186</t>
        </is>
      </c>
      <c r="B1189" s="11" t="inlineStr">
        <is>
          <t>183</t>
        </is>
      </c>
      <c r="C1189" s="11" t="inlineStr">
        <is>
          <t>HC/tribunal/other</t>
        </is>
      </c>
      <c r="D1189" s="11" t="inlineStr">
        <is>
          <t>yes</t>
        </is>
      </c>
      <c r="E1189" s="11" t="inlineStr">
        <is>
          <t>no</t>
        </is>
      </c>
      <c r="F1189" s="11" t="inlineStr"/>
      <c r="G1189" s="11" t="inlineStr"/>
      <c r="H1189" s="11" t="inlineStr">
        <is>
          <t>c31392</t>
        </is>
      </c>
      <c r="I1189" s="11" t="inlineStr">
        <is>
          <t>name</t>
        </is>
      </c>
      <c r="J1189" s="11" t="inlineStr">
        <is>
          <t>no</t>
        </is>
      </c>
      <c r="K1189" s="11" t="inlineStr">
        <is>
          <t>no</t>
        </is>
      </c>
      <c r="L1189" s="11" t="inlineStr"/>
    </row>
    <row r="1190">
      <c r="A1190" s="11" t="inlineStr">
        <is>
          <t>1187</t>
        </is>
      </c>
      <c r="B1190" s="11" t="inlineStr">
        <is>
          <t>183</t>
        </is>
      </c>
      <c r="C1190" s="11" t="inlineStr">
        <is>
          <t>HC/tribunal/other</t>
        </is>
      </c>
      <c r="D1190" s="11" t="inlineStr">
        <is>
          <t>no</t>
        </is>
      </c>
      <c r="E1190" s="11" t="inlineStr">
        <is>
          <t>yes</t>
        </is>
      </c>
      <c r="F1190" s="11" t="inlineStr"/>
      <c r="G1190" s="11" t="inlineStr"/>
      <c r="H1190" s="11" t="inlineStr">
        <is>
          <t>c30354</t>
        </is>
      </c>
      <c r="I1190" s="11" t="inlineStr">
        <is>
          <t>name</t>
        </is>
      </c>
      <c r="J1190" s="11" t="inlineStr">
        <is>
          <t>no</t>
        </is>
      </c>
      <c r="K1190" s="11" t="inlineStr">
        <is>
          <t>no</t>
        </is>
      </c>
      <c r="L1190" s="11" t="inlineStr"/>
    </row>
    <row r="1191">
      <c r="A1191" s="11" t="inlineStr">
        <is>
          <t>1188</t>
        </is>
      </c>
      <c r="B1191" s="11" t="inlineStr">
        <is>
          <t>183</t>
        </is>
      </c>
      <c r="C1191" s="11" t="inlineStr">
        <is>
          <t>HC/tribunal/other</t>
        </is>
      </c>
      <c r="D1191" s="11" t="inlineStr">
        <is>
          <t>yes</t>
        </is>
      </c>
      <c r="E1191" s="11" t="inlineStr">
        <is>
          <t>no</t>
        </is>
      </c>
      <c r="F1191" s="11" t="inlineStr"/>
      <c r="G1191" s="11" t="inlineStr"/>
      <c r="H1191" s="11" t="inlineStr">
        <is>
          <t>c30627</t>
        </is>
      </c>
      <c r="I1191" s="11" t="inlineStr">
        <is>
          <t>name</t>
        </is>
      </c>
      <c r="J1191" s="11" t="inlineStr">
        <is>
          <t>no</t>
        </is>
      </c>
      <c r="K1191" s="11" t="inlineStr">
        <is>
          <t>no</t>
        </is>
      </c>
      <c r="L1191" s="11" t="inlineStr"/>
    </row>
    <row r="1192">
      <c r="A1192" s="11" t="inlineStr">
        <is>
          <t>1189</t>
        </is>
      </c>
      <c r="B1192" s="11" t="inlineStr">
        <is>
          <t>183</t>
        </is>
      </c>
      <c r="C1192" s="11" t="inlineStr">
        <is>
          <t>HC/tribunal/other</t>
        </is>
      </c>
      <c r="D1192" s="11" t="inlineStr">
        <is>
          <t>no</t>
        </is>
      </c>
      <c r="E1192" s="11" t="inlineStr">
        <is>
          <t>no</t>
        </is>
      </c>
      <c r="F1192" s="11" t="inlineStr"/>
      <c r="G1192" s="11" t="inlineStr"/>
      <c r="H1192" s="11" t="inlineStr">
        <is>
          <t>c28553</t>
        </is>
      </c>
      <c r="I1192" s="11" t="inlineStr">
        <is>
          <t>name</t>
        </is>
      </c>
      <c r="J1192" s="11" t="inlineStr">
        <is>
          <t>no</t>
        </is>
      </c>
      <c r="K1192" s="11" t="inlineStr">
        <is>
          <t>no</t>
        </is>
      </c>
      <c r="L1192" s="11" t="inlineStr"/>
    </row>
    <row r="1193">
      <c r="A1193" s="11" t="inlineStr">
        <is>
          <t>1190</t>
        </is>
      </c>
      <c r="B1193" s="11" t="inlineStr">
        <is>
          <t>183</t>
        </is>
      </c>
      <c r="C1193" s="11" t="inlineStr">
        <is>
          <t>HC/tribunal/other</t>
        </is>
      </c>
      <c r="D1193" s="11" t="inlineStr">
        <is>
          <t>no</t>
        </is>
      </c>
      <c r="E1193" s="11" t="inlineStr">
        <is>
          <t>no</t>
        </is>
      </c>
      <c r="F1193" s="11" t="inlineStr"/>
      <c r="G1193" s="11" t="inlineStr"/>
      <c r="H1193" s="11" t="inlineStr">
        <is>
          <t>c28944</t>
        </is>
      </c>
      <c r="I1193" s="11" t="inlineStr">
        <is>
          <t>cite</t>
        </is>
      </c>
      <c r="J1193" s="11" t="inlineStr">
        <is>
          <t>no</t>
        </is>
      </c>
      <c r="K1193" s="11" t="inlineStr">
        <is>
          <t>no</t>
        </is>
      </c>
      <c r="L1193" s="11" t="inlineStr"/>
    </row>
    <row r="1194">
      <c r="A1194" s="11" t="inlineStr">
        <is>
          <t>1191</t>
        </is>
      </c>
      <c r="B1194" s="11" t="inlineStr">
        <is>
          <t>183</t>
        </is>
      </c>
      <c r="C1194" s="11" t="inlineStr">
        <is>
          <t>HC/tribunal/other</t>
        </is>
      </c>
      <c r="D1194" s="11" t="inlineStr">
        <is>
          <t>yes</t>
        </is>
      </c>
      <c r="E1194" s="11" t="inlineStr">
        <is>
          <t>no</t>
        </is>
      </c>
      <c r="F1194" s="11" t="inlineStr"/>
      <c r="G1194" s="11" t="inlineStr"/>
      <c r="H1194" s="11" t="inlineStr">
        <is>
          <t>c33289</t>
        </is>
      </c>
      <c r="I1194" s="11" t="inlineStr">
        <is>
          <t>name</t>
        </is>
      </c>
      <c r="J1194" s="11" t="inlineStr">
        <is>
          <t>no</t>
        </is>
      </c>
      <c r="K1194" s="11" t="inlineStr">
        <is>
          <t>no</t>
        </is>
      </c>
      <c r="L1194" s="11" t="inlineStr"/>
    </row>
    <row r="1195">
      <c r="A1195" s="11" t="inlineStr">
        <is>
          <t>1192</t>
        </is>
      </c>
      <c r="B1195" s="11" t="inlineStr">
        <is>
          <t>184</t>
        </is>
      </c>
      <c r="C1195" s="11" t="inlineStr">
        <is>
          <t>HC/tribunal/other</t>
        </is>
      </c>
      <c r="D1195" s="11" t="inlineStr">
        <is>
          <t>no</t>
        </is>
      </c>
      <c r="E1195" s="11" t="inlineStr">
        <is>
          <t>yes</t>
        </is>
      </c>
      <c r="F1195" s="11" t="inlineStr"/>
      <c r="G1195" s="11" t="inlineStr"/>
      <c r="H1195" s="11" t="inlineStr">
        <is>
          <t>c16865</t>
        </is>
      </c>
      <c r="I1195" s="11" t="inlineStr">
        <is>
          <t>cite</t>
        </is>
      </c>
      <c r="J1195" s="11" t="inlineStr">
        <is>
          <t>no</t>
        </is>
      </c>
      <c r="K1195" s="11" t="inlineStr">
        <is>
          <t>no</t>
        </is>
      </c>
      <c r="L1195" s="11" t="inlineStr"/>
    </row>
    <row r="1196">
      <c r="A1196" s="11" t="inlineStr">
        <is>
          <t>1193</t>
        </is>
      </c>
      <c r="B1196" s="11" t="inlineStr">
        <is>
          <t>184</t>
        </is>
      </c>
      <c r="C1196" s="11" t="inlineStr">
        <is>
          <t>HC/tribunal/other</t>
        </is>
      </c>
      <c r="D1196" s="11" t="inlineStr">
        <is>
          <t>yes</t>
        </is>
      </c>
      <c r="E1196" s="11" t="inlineStr">
        <is>
          <t>no</t>
        </is>
      </c>
      <c r="F1196" s="11" t="inlineStr"/>
      <c r="G1196" s="11" t="inlineStr"/>
      <c r="H1196" s="11" t="inlineStr">
        <is>
          <t>c17569</t>
        </is>
      </c>
      <c r="I1196" s="11" t="inlineStr">
        <is>
          <t>name</t>
        </is>
      </c>
      <c r="J1196" s="11" t="inlineStr">
        <is>
          <t>no</t>
        </is>
      </c>
      <c r="K1196" s="11" t="inlineStr">
        <is>
          <t>no</t>
        </is>
      </c>
      <c r="L1196" s="11" t="inlineStr"/>
    </row>
    <row r="1197">
      <c r="A1197" s="11" t="inlineStr">
        <is>
          <t>1194</t>
        </is>
      </c>
      <c r="B1197" s="11" t="inlineStr">
        <is>
          <t>184</t>
        </is>
      </c>
      <c r="C1197" s="11" t="inlineStr">
        <is>
          <t>HC/tribunal/other</t>
        </is>
      </c>
      <c r="D1197" s="11" t="inlineStr">
        <is>
          <t>yes</t>
        </is>
      </c>
      <c r="E1197" s="11" t="inlineStr">
        <is>
          <t>no</t>
        </is>
      </c>
      <c r="F1197" s="11" t="inlineStr"/>
      <c r="G1197" s="11" t="inlineStr"/>
      <c r="H1197" s="11" t="inlineStr">
        <is>
          <t>c15058</t>
        </is>
      </c>
      <c r="I1197" s="11" t="inlineStr">
        <is>
          <t>name</t>
        </is>
      </c>
      <c r="J1197" s="11" t="inlineStr">
        <is>
          <t>no</t>
        </is>
      </c>
      <c r="K1197" s="11" t="inlineStr">
        <is>
          <t>no</t>
        </is>
      </c>
      <c r="L1197" s="11" t="inlineStr"/>
    </row>
    <row r="1198">
      <c r="A1198" s="11" t="inlineStr">
        <is>
          <t>1195</t>
        </is>
      </c>
      <c r="B1198" s="11" t="inlineStr">
        <is>
          <t>184</t>
        </is>
      </c>
      <c r="C1198" s="11" t="inlineStr">
        <is>
          <t>HC/tribunal/other</t>
        </is>
      </c>
      <c r="D1198" s="11" t="inlineStr">
        <is>
          <t>no</t>
        </is>
      </c>
      <c r="E1198" s="11" t="inlineStr">
        <is>
          <t>no</t>
        </is>
      </c>
      <c r="F1198" s="11" t="inlineStr"/>
      <c r="G1198" s="11" t="inlineStr"/>
      <c r="H1198" s="11" t="inlineStr">
        <is>
          <t>c27415</t>
        </is>
      </c>
      <c r="I1198" s="11" t="inlineStr">
        <is>
          <t>cite</t>
        </is>
      </c>
      <c r="J1198" s="11" t="inlineStr">
        <is>
          <t>no</t>
        </is>
      </c>
      <c r="K1198" s="11" t="inlineStr">
        <is>
          <t>no</t>
        </is>
      </c>
      <c r="L1198" s="11" t="inlineStr"/>
    </row>
    <row r="1199">
      <c r="A1199" s="11" t="inlineStr">
        <is>
          <t>1196</t>
        </is>
      </c>
      <c r="B1199" s="11" t="inlineStr">
        <is>
          <t>184</t>
        </is>
      </c>
      <c r="C1199" s="11" t="inlineStr">
        <is>
          <t>HC/tribunal/other</t>
        </is>
      </c>
      <c r="D1199" s="11" t="inlineStr">
        <is>
          <t>yes</t>
        </is>
      </c>
      <c r="E1199" s="11" t="inlineStr">
        <is>
          <t>no</t>
        </is>
      </c>
      <c r="F1199" s="11" t="inlineStr"/>
      <c r="G1199" s="11" t="inlineStr"/>
      <c r="H1199" s="11" t="inlineStr">
        <is>
          <t>c38772</t>
        </is>
      </c>
      <c r="I1199" s="11" t="inlineStr">
        <is>
          <t>name</t>
        </is>
      </c>
      <c r="J1199" s="11" t="inlineStr">
        <is>
          <t>no</t>
        </is>
      </c>
      <c r="K1199" s="11" t="inlineStr">
        <is>
          <t>no</t>
        </is>
      </c>
      <c r="L1199" s="11" t="inlineStr"/>
    </row>
    <row r="1200">
      <c r="A1200" s="11" t="inlineStr">
        <is>
          <t>1197</t>
        </is>
      </c>
      <c r="B1200" s="11" t="inlineStr">
        <is>
          <t>184</t>
        </is>
      </c>
      <c r="C1200" s="11" t="inlineStr">
        <is>
          <t>HC/tribunal/other</t>
        </is>
      </c>
      <c r="D1200" s="11" t="inlineStr">
        <is>
          <t>yes</t>
        </is>
      </c>
      <c r="E1200" s="11" t="inlineStr">
        <is>
          <t>no</t>
        </is>
      </c>
      <c r="F1200" s="11" t="inlineStr"/>
      <c r="G1200" s="11" t="inlineStr"/>
      <c r="H1200" s="11" t="inlineStr">
        <is>
          <t>c36261</t>
        </is>
      </c>
      <c r="I1200" s="11" t="inlineStr">
        <is>
          <t>name</t>
        </is>
      </c>
      <c r="J1200" s="11" t="inlineStr">
        <is>
          <t>no</t>
        </is>
      </c>
      <c r="K1200" s="11" t="inlineStr">
        <is>
          <t>no</t>
        </is>
      </c>
      <c r="L1200" s="11" t="inlineStr"/>
    </row>
    <row r="1201">
      <c r="A1201" s="11" t="inlineStr">
        <is>
          <t>1198</t>
        </is>
      </c>
      <c r="B1201" s="11" t="inlineStr">
        <is>
          <t>185</t>
        </is>
      </c>
      <c r="C1201" s="11" t="inlineStr">
        <is>
          <t>HC/tribunal/other</t>
        </is>
      </c>
      <c r="D1201" s="11" t="inlineStr">
        <is>
          <t>no</t>
        </is>
      </c>
      <c r="E1201" s="11" t="inlineStr">
        <is>
          <t>no</t>
        </is>
      </c>
      <c r="F1201" s="11" t="inlineStr"/>
      <c r="G1201" s="11" t="inlineStr"/>
      <c r="H1201" s="11" t="inlineStr">
        <is>
          <t>c27296</t>
        </is>
      </c>
      <c r="I1201" s="11" t="inlineStr">
        <is>
          <t>name</t>
        </is>
      </c>
      <c r="J1201" s="11" t="inlineStr">
        <is>
          <t>no</t>
        </is>
      </c>
      <c r="K1201" s="11" t="inlineStr">
        <is>
          <t>no</t>
        </is>
      </c>
      <c r="L1201" s="11" t="inlineStr"/>
    </row>
    <row r="1202">
      <c r="A1202" s="11" t="inlineStr">
        <is>
          <t>1199</t>
        </is>
      </c>
      <c r="B1202" s="11" t="inlineStr">
        <is>
          <t>185</t>
        </is>
      </c>
      <c r="C1202" s="11" t="inlineStr">
        <is>
          <t>HC/tribunal/other</t>
        </is>
      </c>
      <c r="D1202" s="11" t="inlineStr">
        <is>
          <t>yes</t>
        </is>
      </c>
      <c r="E1202" s="11" t="inlineStr">
        <is>
          <t>yes</t>
        </is>
      </c>
      <c r="F1202" s="11" t="inlineStr"/>
      <c r="G1202" s="11" t="inlineStr"/>
      <c r="H1202" s="11" t="inlineStr">
        <is>
          <t>c26796</t>
        </is>
      </c>
      <c r="I1202" s="11" t="inlineStr">
        <is>
          <t>name</t>
        </is>
      </c>
      <c r="J1202" s="11" t="inlineStr">
        <is>
          <t>no</t>
        </is>
      </c>
      <c r="K1202" s="11" t="inlineStr">
        <is>
          <t>no</t>
        </is>
      </c>
      <c r="L1202" s="11" t="inlineStr"/>
    </row>
    <row r="1203">
      <c r="A1203" s="11" t="inlineStr">
        <is>
          <t>1200</t>
        </is>
      </c>
      <c r="B1203" s="11" t="inlineStr">
        <is>
          <t>185</t>
        </is>
      </c>
      <c r="C1203" s="11" t="inlineStr">
        <is>
          <t>HC/tribunal/other</t>
        </is>
      </c>
      <c r="D1203" s="11" t="inlineStr">
        <is>
          <t>yes</t>
        </is>
      </c>
      <c r="E1203" s="11" t="inlineStr">
        <is>
          <t>no</t>
        </is>
      </c>
      <c r="F1203" s="11" t="inlineStr"/>
      <c r="G1203" s="11" t="inlineStr"/>
      <c r="H1203" s="11" t="inlineStr">
        <is>
          <t>c30823</t>
        </is>
      </c>
      <c r="I1203" s="11" t="inlineStr">
        <is>
          <t>name</t>
        </is>
      </c>
      <c r="J1203" s="11" t="inlineStr">
        <is>
          <t>no</t>
        </is>
      </c>
      <c r="K1203" s="11" t="inlineStr">
        <is>
          <t>no</t>
        </is>
      </c>
      <c r="L1203" s="11" t="inlineStr"/>
    </row>
    <row r="1204">
      <c r="A1204" s="11" t="inlineStr">
        <is>
          <t>1201</t>
        </is>
      </c>
      <c r="B1204" s="11" t="inlineStr">
        <is>
          <t>185</t>
        </is>
      </c>
      <c r="C1204" s="11" t="inlineStr">
        <is>
          <t>HC/tribunal/other</t>
        </is>
      </c>
      <c r="D1204" s="11" t="inlineStr">
        <is>
          <t>yes</t>
        </is>
      </c>
      <c r="E1204" s="11" t="inlineStr">
        <is>
          <t>yes</t>
        </is>
      </c>
      <c r="F1204" s="11" t="inlineStr"/>
      <c r="G1204" s="11" t="inlineStr"/>
      <c r="H1204" s="11" t="inlineStr"/>
      <c r="I1204" s="11" t="inlineStr"/>
      <c r="J1204" s="11" t="inlineStr">
        <is>
          <t>no</t>
        </is>
      </c>
      <c r="K1204" s="11" t="inlineStr">
        <is>
          <t>no</t>
        </is>
      </c>
      <c r="L1204" s="11" t="inlineStr"/>
    </row>
    <row r="1205">
      <c r="A1205" s="11" t="inlineStr">
        <is>
          <t>1202</t>
        </is>
      </c>
      <c r="B1205" s="11" t="inlineStr">
        <is>
          <t>185</t>
        </is>
      </c>
      <c r="C1205" s="11" t="inlineStr">
        <is>
          <t>HC/tribunal/other</t>
        </is>
      </c>
      <c r="D1205" s="11" t="inlineStr">
        <is>
          <t>no</t>
        </is>
      </c>
      <c r="E1205" s="11" t="inlineStr">
        <is>
          <t>no</t>
        </is>
      </c>
      <c r="F1205" s="11" t="inlineStr"/>
      <c r="G1205" s="11" t="inlineStr"/>
      <c r="H1205" s="11" t="inlineStr">
        <is>
          <t>c27415</t>
        </is>
      </c>
      <c r="I1205" s="11" t="inlineStr">
        <is>
          <t>cite</t>
        </is>
      </c>
      <c r="J1205" s="11" t="inlineStr">
        <is>
          <t>no</t>
        </is>
      </c>
      <c r="K1205" s="11" t="inlineStr">
        <is>
          <t>no</t>
        </is>
      </c>
      <c r="L1205" s="11" t="inlineStr"/>
    </row>
    <row r="1206">
      <c r="A1206" s="11" t="inlineStr">
        <is>
          <t>1203</t>
        </is>
      </c>
      <c r="B1206" s="11" t="inlineStr">
        <is>
          <t>186</t>
        </is>
      </c>
      <c r="C1206" s="11" t="inlineStr">
        <is>
          <t>HC/tribunal/other</t>
        </is>
      </c>
      <c r="D1206" s="11" t="inlineStr">
        <is>
          <t>no</t>
        </is>
      </c>
      <c r="E1206" s="11" t="inlineStr">
        <is>
          <t>no</t>
        </is>
      </c>
      <c r="F1206" s="11" t="inlineStr"/>
      <c r="G1206" s="11" t="inlineStr"/>
      <c r="H1206" s="11" t="inlineStr">
        <is>
          <t>c15944</t>
        </is>
      </c>
      <c r="I1206" s="11" t="inlineStr">
        <is>
          <t>cite</t>
        </is>
      </c>
      <c r="J1206" s="11" t="inlineStr">
        <is>
          <t>no</t>
        </is>
      </c>
      <c r="K1206" s="11" t="inlineStr">
        <is>
          <t>no</t>
        </is>
      </c>
      <c r="L1206" s="11" t="inlineStr"/>
    </row>
    <row r="1207">
      <c r="A1207" s="11" t="inlineStr">
        <is>
          <t>1204</t>
        </is>
      </c>
      <c r="B1207" s="11" t="inlineStr">
        <is>
          <t>186</t>
        </is>
      </c>
      <c r="C1207" s="11" t="inlineStr">
        <is>
          <t>HC/tribunal/other</t>
        </is>
      </c>
      <c r="D1207" s="11" t="inlineStr">
        <is>
          <t>no</t>
        </is>
      </c>
      <c r="E1207" s="11" t="inlineStr">
        <is>
          <t>no</t>
        </is>
      </c>
      <c r="F1207" s="11" t="inlineStr"/>
      <c r="G1207" s="11" t="inlineStr"/>
      <c r="H1207" s="11" t="inlineStr">
        <is>
          <t>c18716</t>
        </is>
      </c>
      <c r="I1207" s="11" t="inlineStr">
        <is>
          <t>cite</t>
        </is>
      </c>
      <c r="J1207" s="11" t="inlineStr">
        <is>
          <t>yes</t>
        </is>
      </c>
      <c r="K1207" s="11" t="inlineStr">
        <is>
          <t>no</t>
        </is>
      </c>
      <c r="L1207" s="11" t="inlineStr"/>
    </row>
    <row r="1208">
      <c r="A1208" s="11" t="inlineStr">
        <is>
          <t>1205</t>
        </is>
      </c>
      <c r="B1208" s="11" t="inlineStr">
        <is>
          <t>186</t>
        </is>
      </c>
      <c r="C1208" s="11" t="inlineStr">
        <is>
          <t>HC/tribunal/other</t>
        </is>
      </c>
      <c r="D1208" s="11" t="inlineStr">
        <is>
          <t>no</t>
        </is>
      </c>
      <c r="E1208" s="11" t="inlineStr">
        <is>
          <t>no</t>
        </is>
      </c>
      <c r="F1208" s="11" t="inlineStr"/>
      <c r="G1208" s="11" t="inlineStr"/>
      <c r="H1208" s="11" t="inlineStr">
        <is>
          <t>c26870</t>
        </is>
      </c>
      <c r="I1208" s="11" t="inlineStr">
        <is>
          <t>cite</t>
        </is>
      </c>
      <c r="J1208" s="11" t="inlineStr">
        <is>
          <t>no</t>
        </is>
      </c>
      <c r="K1208" s="11" t="inlineStr">
        <is>
          <t>no</t>
        </is>
      </c>
      <c r="L1208" s="11" t="inlineStr"/>
    </row>
    <row r="1209">
      <c r="A1209" s="11" t="inlineStr">
        <is>
          <t>1206</t>
        </is>
      </c>
      <c r="B1209" s="11" t="inlineStr">
        <is>
          <t>186</t>
        </is>
      </c>
      <c r="C1209" s="11" t="inlineStr">
        <is>
          <t>HC/tribunal/other</t>
        </is>
      </c>
      <c r="D1209" s="11" t="inlineStr">
        <is>
          <t>no</t>
        </is>
      </c>
      <c r="E1209" s="11" t="inlineStr">
        <is>
          <t>no</t>
        </is>
      </c>
      <c r="F1209" s="11" t="inlineStr"/>
      <c r="G1209" s="11" t="inlineStr"/>
      <c r="H1209" s="11" t="inlineStr">
        <is>
          <t>c26728</t>
        </is>
      </c>
      <c r="I1209" s="11" t="inlineStr">
        <is>
          <t>cite</t>
        </is>
      </c>
      <c r="J1209" s="11" t="inlineStr">
        <is>
          <t>no</t>
        </is>
      </c>
      <c r="K1209" s="11" t="inlineStr">
        <is>
          <t>no</t>
        </is>
      </c>
      <c r="L1209" s="11" t="inlineStr"/>
    </row>
    <row r="1210">
      <c r="A1210" s="11" t="inlineStr">
        <is>
          <t>1207</t>
        </is>
      </c>
      <c r="B1210" s="11" t="inlineStr">
        <is>
          <t>186</t>
        </is>
      </c>
      <c r="C1210" s="11" t="inlineStr">
        <is>
          <t>HC/tribunal/other</t>
        </is>
      </c>
      <c r="D1210" s="11" t="inlineStr">
        <is>
          <t>yes</t>
        </is>
      </c>
      <c r="E1210" s="11" t="inlineStr">
        <is>
          <t>no</t>
        </is>
      </c>
      <c r="F1210" s="11" t="inlineStr"/>
      <c r="G1210" s="11" t="inlineStr"/>
      <c r="H1210" s="11" t="inlineStr">
        <is>
          <t>c7579</t>
        </is>
      </c>
      <c r="I1210" s="11" t="inlineStr">
        <is>
          <t>cite</t>
        </is>
      </c>
      <c r="J1210" s="11" t="inlineStr">
        <is>
          <t>no</t>
        </is>
      </c>
      <c r="K1210" s="11" t="inlineStr">
        <is>
          <t>no</t>
        </is>
      </c>
      <c r="L1210" s="11" t="inlineStr"/>
    </row>
    <row r="1211">
      <c r="A1211" s="11" t="inlineStr">
        <is>
          <t>1208</t>
        </is>
      </c>
      <c r="B1211" s="11" t="inlineStr">
        <is>
          <t>186</t>
        </is>
      </c>
      <c r="C1211" s="11" t="inlineStr">
        <is>
          <t>HC/tribunal/other</t>
        </is>
      </c>
      <c r="D1211" s="11" t="inlineStr">
        <is>
          <t>no</t>
        </is>
      </c>
      <c r="E1211" s="11" t="inlineStr">
        <is>
          <t>yes</t>
        </is>
      </c>
      <c r="F1211" s="11" t="inlineStr"/>
      <c r="G1211" s="11" t="inlineStr"/>
      <c r="H1211" s="11" t="inlineStr"/>
      <c r="I1211" s="11" t="inlineStr"/>
      <c r="J1211" s="11" t="inlineStr">
        <is>
          <t>no</t>
        </is>
      </c>
      <c r="K1211" s="11" t="inlineStr">
        <is>
          <t>no</t>
        </is>
      </c>
      <c r="L1211" s="11" t="inlineStr"/>
    </row>
    <row r="1212">
      <c r="A1212" s="11" t="inlineStr">
        <is>
          <t>1209</t>
        </is>
      </c>
      <c r="B1212" s="11" t="inlineStr">
        <is>
          <t>186</t>
        </is>
      </c>
      <c r="C1212" s="11" t="inlineStr">
        <is>
          <t>HC/tribunal/other</t>
        </is>
      </c>
      <c r="D1212" s="11" t="inlineStr">
        <is>
          <t>no</t>
        </is>
      </c>
      <c r="E1212" s="11" t="inlineStr">
        <is>
          <t>no</t>
        </is>
      </c>
      <c r="F1212" s="11" t="inlineStr"/>
      <c r="G1212" s="11" t="inlineStr"/>
      <c r="H1212" s="11" t="inlineStr">
        <is>
          <t>c28944</t>
        </is>
      </c>
      <c r="I1212" s="11" t="inlineStr">
        <is>
          <t>cite</t>
        </is>
      </c>
      <c r="J1212" s="11" t="inlineStr">
        <is>
          <t>no</t>
        </is>
      </c>
      <c r="K1212" s="11" t="inlineStr">
        <is>
          <t>no</t>
        </is>
      </c>
      <c r="L1212" s="11" t="inlineStr"/>
    </row>
    <row r="1213">
      <c r="A1213" s="11" t="inlineStr">
        <is>
          <t>1210</t>
        </is>
      </c>
      <c r="B1213" s="11" t="inlineStr">
        <is>
          <t>187</t>
        </is>
      </c>
      <c r="C1213" s="11" t="inlineStr">
        <is>
          <t>HC/tribunal/other</t>
        </is>
      </c>
      <c r="D1213" s="11" t="inlineStr">
        <is>
          <t>yes</t>
        </is>
      </c>
      <c r="E1213" s="11" t="inlineStr">
        <is>
          <t>no</t>
        </is>
      </c>
      <c r="F1213" s="11" t="inlineStr"/>
      <c r="G1213" s="11" t="inlineStr"/>
      <c r="H1213" s="11" t="inlineStr"/>
      <c r="I1213" s="11" t="inlineStr"/>
      <c r="J1213" s="11" t="inlineStr">
        <is>
          <t>no</t>
        </is>
      </c>
      <c r="K1213" s="11" t="inlineStr">
        <is>
          <t>no</t>
        </is>
      </c>
      <c r="L1213" s="11" t="inlineStr"/>
    </row>
    <row r="1214">
      <c r="A1214" s="11" t="inlineStr">
        <is>
          <t>1211</t>
        </is>
      </c>
      <c r="B1214" s="11" t="inlineStr">
        <is>
          <t>187</t>
        </is>
      </c>
      <c r="C1214" s="11" t="inlineStr">
        <is>
          <t>HC/tribunal/other</t>
        </is>
      </c>
      <c r="D1214" s="11" t="inlineStr">
        <is>
          <t>no</t>
        </is>
      </c>
      <c r="E1214" s="11" t="inlineStr">
        <is>
          <t>no</t>
        </is>
      </c>
      <c r="F1214" s="11" t="inlineStr"/>
      <c r="G1214" s="11" t="inlineStr"/>
      <c r="H1214" s="11" t="inlineStr">
        <is>
          <t>c519</t>
        </is>
      </c>
      <c r="I1214" s="11" t="inlineStr">
        <is>
          <t>cite</t>
        </is>
      </c>
      <c r="J1214" s="11" t="inlineStr">
        <is>
          <t>no</t>
        </is>
      </c>
      <c r="K1214" s="11" t="inlineStr">
        <is>
          <t>no</t>
        </is>
      </c>
      <c r="L1214" s="11" t="inlineStr"/>
    </row>
    <row r="1215">
      <c r="A1215" s="11" t="inlineStr">
        <is>
          <t>1212</t>
        </is>
      </c>
      <c r="B1215" s="11" t="inlineStr">
        <is>
          <t>187</t>
        </is>
      </c>
      <c r="C1215" s="11" t="inlineStr">
        <is>
          <t>HC/tribunal/other</t>
        </is>
      </c>
      <c r="D1215" s="11" t="inlineStr">
        <is>
          <t>yes</t>
        </is>
      </c>
      <c r="E1215" s="11" t="inlineStr">
        <is>
          <t>no</t>
        </is>
      </c>
      <c r="F1215" s="11" t="inlineStr"/>
      <c r="G1215" s="11" t="inlineStr"/>
      <c r="H1215" s="11" t="inlineStr">
        <is>
          <t>c26786</t>
        </is>
      </c>
      <c r="I1215" s="11" t="inlineStr">
        <is>
          <t>cite</t>
        </is>
      </c>
      <c r="J1215" s="11" t="inlineStr">
        <is>
          <t>no</t>
        </is>
      </c>
      <c r="K1215" s="11" t="inlineStr">
        <is>
          <t>no</t>
        </is>
      </c>
      <c r="L1215" s="11" t="inlineStr"/>
    </row>
    <row r="1216">
      <c r="A1216" s="11" t="inlineStr">
        <is>
          <t>1213</t>
        </is>
      </c>
      <c r="B1216" s="11" t="inlineStr">
        <is>
          <t>187</t>
        </is>
      </c>
      <c r="C1216" s="11" t="inlineStr">
        <is>
          <t>HC/tribunal/other</t>
        </is>
      </c>
      <c r="D1216" s="11" t="inlineStr">
        <is>
          <t>no</t>
        </is>
      </c>
      <c r="E1216" s="11" t="inlineStr">
        <is>
          <t>no</t>
        </is>
      </c>
      <c r="F1216" s="11" t="inlineStr"/>
      <c r="G1216" s="11" t="inlineStr"/>
      <c r="H1216" s="11" t="inlineStr">
        <is>
          <t>c8144</t>
        </is>
      </c>
      <c r="I1216" s="11" t="inlineStr">
        <is>
          <t>cite</t>
        </is>
      </c>
      <c r="J1216" s="11" t="inlineStr">
        <is>
          <t>no</t>
        </is>
      </c>
      <c r="K1216" s="11" t="inlineStr">
        <is>
          <t>no</t>
        </is>
      </c>
      <c r="L1216" s="11" t="inlineStr"/>
    </row>
    <row r="1217">
      <c r="A1217" s="11" t="inlineStr">
        <is>
          <t>1214</t>
        </is>
      </c>
      <c r="B1217" s="11" t="inlineStr">
        <is>
          <t>187</t>
        </is>
      </c>
      <c r="C1217" s="11" t="inlineStr">
        <is>
          <t>HC/tribunal/other</t>
        </is>
      </c>
      <c r="D1217" s="11" t="inlineStr">
        <is>
          <t>yes</t>
        </is>
      </c>
      <c r="E1217" s="11" t="inlineStr">
        <is>
          <t>no</t>
        </is>
      </c>
      <c r="F1217" s="11" t="inlineStr"/>
      <c r="G1217" s="11" t="inlineStr"/>
      <c r="H1217" s="11" t="inlineStr">
        <is>
          <t>c6572</t>
        </is>
      </c>
      <c r="I1217" s="11" t="inlineStr">
        <is>
          <t>cite</t>
        </is>
      </c>
      <c r="J1217" s="11" t="inlineStr">
        <is>
          <t>no</t>
        </is>
      </c>
      <c r="K1217" s="11" t="inlineStr">
        <is>
          <t>no</t>
        </is>
      </c>
      <c r="L1217" s="11" t="inlineStr"/>
    </row>
    <row r="1218">
      <c r="A1218" s="11" t="inlineStr">
        <is>
          <t>1215</t>
        </is>
      </c>
      <c r="B1218" s="11" t="inlineStr">
        <is>
          <t>187</t>
        </is>
      </c>
      <c r="C1218" s="11" t="inlineStr">
        <is>
          <t>HC/tribunal/other</t>
        </is>
      </c>
      <c r="D1218" s="11" t="inlineStr">
        <is>
          <t>no</t>
        </is>
      </c>
      <c r="E1218" s="11" t="inlineStr">
        <is>
          <t>no</t>
        </is>
      </c>
      <c r="F1218" s="11" t="inlineStr"/>
      <c r="G1218" s="11" t="inlineStr"/>
      <c r="H1218" s="11" t="inlineStr">
        <is>
          <t>c10515</t>
        </is>
      </c>
      <c r="I1218" s="11" t="inlineStr">
        <is>
          <t>cite</t>
        </is>
      </c>
      <c r="J1218" s="11" t="inlineStr">
        <is>
          <t>no</t>
        </is>
      </c>
      <c r="K1218" s="11" t="inlineStr">
        <is>
          <t>no</t>
        </is>
      </c>
      <c r="L1218" s="11" t="inlineStr"/>
    </row>
    <row r="1219">
      <c r="A1219" s="11" t="inlineStr">
        <is>
          <t>1216</t>
        </is>
      </c>
      <c r="B1219" s="11" t="inlineStr">
        <is>
          <t>187</t>
        </is>
      </c>
      <c r="C1219" s="11" t="inlineStr">
        <is>
          <t>HC/tribunal/other</t>
        </is>
      </c>
      <c r="D1219" s="11" t="inlineStr">
        <is>
          <t>no</t>
        </is>
      </c>
      <c r="E1219" s="11" t="inlineStr">
        <is>
          <t>no</t>
        </is>
      </c>
      <c r="F1219" s="11" t="inlineStr"/>
      <c r="G1219" s="11" t="inlineStr"/>
      <c r="H1219" s="11" t="inlineStr">
        <is>
          <t>c27446</t>
        </is>
      </c>
      <c r="I1219" s="11" t="inlineStr">
        <is>
          <t>cite</t>
        </is>
      </c>
      <c r="J1219" s="11" t="inlineStr">
        <is>
          <t>no</t>
        </is>
      </c>
      <c r="K1219" s="11" t="inlineStr">
        <is>
          <t>no</t>
        </is>
      </c>
      <c r="L1219" s="11" t="inlineStr"/>
    </row>
    <row r="1220">
      <c r="A1220" s="11" t="inlineStr">
        <is>
          <t>1217</t>
        </is>
      </c>
      <c r="B1220" s="11" t="inlineStr">
        <is>
          <t>188</t>
        </is>
      </c>
      <c r="C1220" s="11" t="inlineStr">
        <is>
          <t>HC/tribunal/other</t>
        </is>
      </c>
      <c r="D1220" s="11" t="inlineStr">
        <is>
          <t>yes</t>
        </is>
      </c>
      <c r="E1220" s="11" t="inlineStr">
        <is>
          <t>yes</t>
        </is>
      </c>
      <c r="F1220" s="11" t="inlineStr"/>
      <c r="G1220" s="11" t="inlineStr"/>
      <c r="H1220" s="11" t="inlineStr">
        <is>
          <t>c8808</t>
        </is>
      </c>
      <c r="I1220" s="11" t="inlineStr">
        <is>
          <t>cite</t>
        </is>
      </c>
      <c r="J1220" s="11" t="inlineStr">
        <is>
          <t>no</t>
        </is>
      </c>
      <c r="K1220" s="11" t="inlineStr">
        <is>
          <t>no</t>
        </is>
      </c>
      <c r="L1220" s="11" t="inlineStr"/>
    </row>
    <row r="1221">
      <c r="A1221" s="11" t="inlineStr">
        <is>
          <t>1218</t>
        </is>
      </c>
      <c r="B1221" s="11" t="inlineStr">
        <is>
          <t>188</t>
        </is>
      </c>
      <c r="C1221" s="11" t="inlineStr">
        <is>
          <t>HC/tribunal/other</t>
        </is>
      </c>
      <c r="D1221" s="11" t="inlineStr">
        <is>
          <t>yes</t>
        </is>
      </c>
      <c r="E1221" s="11" t="inlineStr">
        <is>
          <t>yes</t>
        </is>
      </c>
      <c r="F1221" s="11" t="inlineStr"/>
      <c r="G1221" s="11" t="inlineStr"/>
      <c r="H1221" s="11" t="inlineStr">
        <is>
          <t>c10790</t>
        </is>
      </c>
      <c r="I1221" s="11" t="inlineStr">
        <is>
          <t>cite</t>
        </is>
      </c>
      <c r="J1221" s="11" t="inlineStr">
        <is>
          <t>no</t>
        </is>
      </c>
      <c r="K1221" s="11" t="inlineStr">
        <is>
          <t>no</t>
        </is>
      </c>
      <c r="L1221" s="11" t="inlineStr"/>
    </row>
    <row r="1222">
      <c r="A1222" s="11" t="inlineStr">
        <is>
          <t>1219</t>
        </is>
      </c>
      <c r="B1222" s="11" t="inlineStr">
        <is>
          <t>188</t>
        </is>
      </c>
      <c r="C1222" s="11" t="inlineStr">
        <is>
          <t>HC/tribunal/other</t>
        </is>
      </c>
      <c r="D1222" s="11" t="inlineStr">
        <is>
          <t>yes</t>
        </is>
      </c>
      <c r="E1222" s="11" t="inlineStr">
        <is>
          <t>no</t>
        </is>
      </c>
      <c r="F1222" s="11" t="inlineStr"/>
      <c r="G1222" s="11" t="inlineStr"/>
      <c r="H1222" s="11" t="inlineStr">
        <is>
          <t>c27462</t>
        </is>
      </c>
      <c r="I1222" s="11" t="inlineStr">
        <is>
          <t>cite</t>
        </is>
      </c>
      <c r="J1222" s="11" t="inlineStr">
        <is>
          <t>no</t>
        </is>
      </c>
      <c r="K1222" s="11" t="inlineStr">
        <is>
          <t>no</t>
        </is>
      </c>
      <c r="L1222" s="11" t="inlineStr"/>
    </row>
    <row r="1223">
      <c r="A1223" s="11" t="inlineStr">
        <is>
          <t>1220</t>
        </is>
      </c>
      <c r="B1223" s="11" t="inlineStr">
        <is>
          <t>188</t>
        </is>
      </c>
      <c r="C1223" s="11" t="inlineStr">
        <is>
          <t>HC/tribunal/other</t>
        </is>
      </c>
      <c r="D1223" s="11" t="inlineStr">
        <is>
          <t>no</t>
        </is>
      </c>
      <c r="E1223" s="11" t="inlineStr">
        <is>
          <t>yes</t>
        </is>
      </c>
      <c r="F1223" s="11" t="inlineStr"/>
      <c r="G1223" s="11" t="inlineStr"/>
      <c r="H1223" s="11" t="inlineStr">
        <is>
          <t>c8360</t>
        </is>
      </c>
      <c r="I1223" s="11" t="inlineStr">
        <is>
          <t>cite</t>
        </is>
      </c>
      <c r="J1223" s="11" t="inlineStr">
        <is>
          <t>yes</t>
        </is>
      </c>
      <c r="K1223" s="11" t="inlineStr">
        <is>
          <t>no</t>
        </is>
      </c>
      <c r="L1223" s="11" t="inlineStr"/>
    </row>
    <row r="1224">
      <c r="A1224" s="11" t="inlineStr">
        <is>
          <t>1221</t>
        </is>
      </c>
      <c r="B1224" s="11" t="inlineStr">
        <is>
          <t>188</t>
        </is>
      </c>
      <c r="C1224" s="11" t="inlineStr">
        <is>
          <t>HC/tribunal/other</t>
        </is>
      </c>
      <c r="D1224" s="11" t="inlineStr">
        <is>
          <t>no</t>
        </is>
      </c>
      <c r="E1224" s="11" t="inlineStr">
        <is>
          <t>no</t>
        </is>
      </c>
      <c r="F1224" s="11" t="inlineStr"/>
      <c r="G1224" s="11" t="inlineStr"/>
      <c r="H1224" s="11" t="inlineStr">
        <is>
          <t>c17645</t>
        </is>
      </c>
      <c r="I1224" s="11" t="inlineStr">
        <is>
          <t>cite</t>
        </is>
      </c>
      <c r="J1224" s="11" t="inlineStr">
        <is>
          <t>no</t>
        </is>
      </c>
      <c r="K1224" s="11" t="inlineStr">
        <is>
          <t>no</t>
        </is>
      </c>
      <c r="L1224" s="11" t="inlineStr"/>
    </row>
    <row r="1225">
      <c r="A1225" s="11" t="inlineStr">
        <is>
          <t>1222</t>
        </is>
      </c>
      <c r="B1225" s="11" t="inlineStr">
        <is>
          <t>188</t>
        </is>
      </c>
      <c r="C1225" s="11" t="inlineStr">
        <is>
          <t>HC/tribunal/other</t>
        </is>
      </c>
      <c r="D1225" s="11" t="inlineStr">
        <is>
          <t>no</t>
        </is>
      </c>
      <c r="E1225" s="11" t="inlineStr">
        <is>
          <t>no</t>
        </is>
      </c>
      <c r="F1225" s="11" t="inlineStr"/>
      <c r="G1225" s="11" t="inlineStr"/>
      <c r="H1225" s="11" t="inlineStr"/>
      <c r="I1225" s="11" t="inlineStr"/>
      <c r="J1225" s="11" t="inlineStr">
        <is>
          <t>no</t>
        </is>
      </c>
      <c r="K1225" s="11" t="inlineStr">
        <is>
          <t>no</t>
        </is>
      </c>
      <c r="L1225" s="11" t="inlineStr"/>
    </row>
    <row r="1226">
      <c r="A1226" s="11" t="inlineStr">
        <is>
          <t>1223</t>
        </is>
      </c>
      <c r="B1226" s="11" t="inlineStr">
        <is>
          <t>189</t>
        </is>
      </c>
      <c r="C1226" s="11" t="inlineStr">
        <is>
          <t>HC/tribunal/other</t>
        </is>
      </c>
      <c r="D1226" s="11" t="inlineStr">
        <is>
          <t>no</t>
        </is>
      </c>
      <c r="E1226" s="11" t="inlineStr">
        <is>
          <t>no</t>
        </is>
      </c>
      <c r="F1226" s="11" t="inlineStr"/>
      <c r="G1226" s="11" t="inlineStr"/>
      <c r="H1226" s="11" t="inlineStr">
        <is>
          <t>c15021</t>
        </is>
      </c>
      <c r="I1226" s="11" t="inlineStr">
        <is>
          <t>name</t>
        </is>
      </c>
      <c r="J1226" s="11" t="inlineStr">
        <is>
          <t>no</t>
        </is>
      </c>
      <c r="K1226" s="11" t="inlineStr">
        <is>
          <t>no</t>
        </is>
      </c>
      <c r="L1226" s="11" t="inlineStr"/>
    </row>
    <row r="1227">
      <c r="A1227" s="11" t="inlineStr">
        <is>
          <t>1224</t>
        </is>
      </c>
      <c r="B1227" s="11" t="inlineStr">
        <is>
          <t>189</t>
        </is>
      </c>
      <c r="C1227" s="11" t="inlineStr">
        <is>
          <t>HC/tribunal/other</t>
        </is>
      </c>
      <c r="D1227" s="11" t="inlineStr">
        <is>
          <t>yes</t>
        </is>
      </c>
      <c r="E1227" s="11" t="inlineStr">
        <is>
          <t>no</t>
        </is>
      </c>
      <c r="F1227" s="11" t="inlineStr"/>
      <c r="G1227" s="11" t="inlineStr"/>
      <c r="H1227" s="11" t="inlineStr">
        <is>
          <t>bS_1999_5_278_293</t>
        </is>
      </c>
      <c r="I1227" s="11" t="inlineStr">
        <is>
          <t>name</t>
        </is>
      </c>
      <c r="J1227" s="11" t="inlineStr">
        <is>
          <t>no</t>
        </is>
      </c>
      <c r="K1227" s="11" t="inlineStr">
        <is>
          <t>no</t>
        </is>
      </c>
      <c r="L1227" s="11" t="inlineStr"/>
    </row>
    <row r="1228">
      <c r="A1228" s="11" t="inlineStr">
        <is>
          <t>1225</t>
        </is>
      </c>
      <c r="B1228" s="11" t="inlineStr">
        <is>
          <t>189</t>
        </is>
      </c>
      <c r="C1228" s="11" t="inlineStr">
        <is>
          <t>HC/tribunal/other</t>
        </is>
      </c>
      <c r="D1228" s="11" t="inlineStr">
        <is>
          <t>yes</t>
        </is>
      </c>
      <c r="E1228" s="11" t="inlineStr">
        <is>
          <t>no</t>
        </is>
      </c>
      <c r="F1228" s="11" t="inlineStr"/>
      <c r="G1228" s="11" t="inlineStr"/>
      <c r="H1228" s="11" t="inlineStr">
        <is>
          <t>c38985</t>
        </is>
      </c>
      <c r="I1228" s="11" t="inlineStr">
        <is>
          <t>name</t>
        </is>
      </c>
      <c r="J1228" s="11" t="inlineStr">
        <is>
          <t>no</t>
        </is>
      </c>
      <c r="K1228" s="11" t="inlineStr">
        <is>
          <t>no</t>
        </is>
      </c>
      <c r="L1228" s="11" t="inlineStr"/>
    </row>
    <row r="1229">
      <c r="A1229" s="11" t="inlineStr">
        <is>
          <t>1226</t>
        </is>
      </c>
      <c r="B1229" s="11" t="inlineStr">
        <is>
          <t>189</t>
        </is>
      </c>
      <c r="C1229" s="11" t="inlineStr">
        <is>
          <t>HC/tribunal/other</t>
        </is>
      </c>
      <c r="D1229" s="11" t="inlineStr">
        <is>
          <t>no</t>
        </is>
      </c>
      <c r="E1229" s="11" t="inlineStr">
        <is>
          <t>no</t>
        </is>
      </c>
      <c r="F1229" s="11" t="inlineStr"/>
      <c r="G1229" s="11" t="inlineStr"/>
      <c r="H1229" s="11" t="inlineStr">
        <is>
          <t>c19072</t>
        </is>
      </c>
      <c r="I1229" s="11" t="inlineStr">
        <is>
          <t>name</t>
        </is>
      </c>
      <c r="J1229" s="11" t="inlineStr">
        <is>
          <t>no</t>
        </is>
      </c>
      <c r="K1229" s="11" t="inlineStr">
        <is>
          <t>no</t>
        </is>
      </c>
      <c r="L1229" s="11" t="inlineStr"/>
    </row>
    <row r="1230">
      <c r="A1230" s="11" t="inlineStr">
        <is>
          <t>1227</t>
        </is>
      </c>
      <c r="B1230" s="11" t="inlineStr">
        <is>
          <t>189</t>
        </is>
      </c>
      <c r="C1230" s="11" t="inlineStr">
        <is>
          <t>HC/tribunal/other</t>
        </is>
      </c>
      <c r="D1230" s="11" t="inlineStr">
        <is>
          <t>no</t>
        </is>
      </c>
      <c r="E1230" s="11" t="inlineStr">
        <is>
          <t>yes</t>
        </is>
      </c>
      <c r="F1230" s="11" t="inlineStr"/>
      <c r="G1230" s="11" t="inlineStr"/>
      <c r="H1230" s="11" t="inlineStr">
        <is>
          <t>c31591</t>
        </is>
      </c>
      <c r="I1230" s="11" t="inlineStr">
        <is>
          <t>name</t>
        </is>
      </c>
      <c r="J1230" s="11" t="inlineStr">
        <is>
          <t>no</t>
        </is>
      </c>
      <c r="K1230" s="11" t="inlineStr">
        <is>
          <t>no</t>
        </is>
      </c>
      <c r="L1230" s="11" t="inlineStr"/>
    </row>
    <row r="1231">
      <c r="A1231" s="11" t="inlineStr">
        <is>
          <t>1228</t>
        </is>
      </c>
      <c r="B1231" s="11" t="inlineStr">
        <is>
          <t>189</t>
        </is>
      </c>
      <c r="C1231" s="11" t="inlineStr">
        <is>
          <t>HC/tribunal/other</t>
        </is>
      </c>
      <c r="D1231" s="11" t="inlineStr">
        <is>
          <t>no</t>
        </is>
      </c>
      <c r="E1231" s="11" t="inlineStr">
        <is>
          <t>no</t>
        </is>
      </c>
      <c r="F1231" s="11" t="inlineStr"/>
      <c r="G1231" s="11" t="inlineStr"/>
      <c r="H1231" s="11" t="inlineStr">
        <is>
          <t>b1969_1_999_1005</t>
        </is>
      </c>
      <c r="I1231" s="11" t="inlineStr">
        <is>
          <t>cite</t>
        </is>
      </c>
      <c r="J1231" s="11" t="inlineStr">
        <is>
          <t>no</t>
        </is>
      </c>
      <c r="K1231" s="11" t="inlineStr">
        <is>
          <t>no</t>
        </is>
      </c>
      <c r="L1231" s="11" t="inlineStr"/>
    </row>
    <row r="1232">
      <c r="A1232" s="11" t="inlineStr">
        <is>
          <t>1229</t>
        </is>
      </c>
      <c r="B1232" s="11" t="inlineStr">
        <is>
          <t>190</t>
        </is>
      </c>
      <c r="C1232" s="11" t="inlineStr">
        <is>
          <t>HC/tribunal/other</t>
        </is>
      </c>
      <c r="D1232" s="11" t="inlineStr">
        <is>
          <t>yes</t>
        </is>
      </c>
      <c r="E1232" s="11" t="inlineStr">
        <is>
          <t>no</t>
        </is>
      </c>
      <c r="F1232" s="11" t="inlineStr"/>
      <c r="G1232" s="11" t="inlineStr"/>
      <c r="H1232" s="11" t="inlineStr">
        <is>
          <t>b1994_2_644_1000</t>
        </is>
      </c>
      <c r="I1232" s="11" t="inlineStr">
        <is>
          <t>cite</t>
        </is>
      </c>
      <c r="J1232" s="11" t="inlineStr">
        <is>
          <t>no</t>
        </is>
      </c>
      <c r="K1232" s="11" t="inlineStr">
        <is>
          <t>no</t>
        </is>
      </c>
      <c r="L1232" s="11" t="inlineStr"/>
    </row>
    <row r="1233">
      <c r="A1233" s="11" t="inlineStr">
        <is>
          <t>1230</t>
        </is>
      </c>
      <c r="B1233" s="11" t="inlineStr">
        <is>
          <t>190</t>
        </is>
      </c>
      <c r="C1233" s="11" t="inlineStr">
        <is>
          <t>HC/tribunal/other</t>
        </is>
      </c>
      <c r="D1233" s="11" t="inlineStr">
        <is>
          <t>no</t>
        </is>
      </c>
      <c r="E1233" s="11" t="inlineStr">
        <is>
          <t>no</t>
        </is>
      </c>
      <c r="F1233" s="11" t="inlineStr"/>
      <c r="G1233" s="11" t="inlineStr"/>
      <c r="H1233" s="11" t="inlineStr">
        <is>
          <t>c15834</t>
        </is>
      </c>
      <c r="I1233" s="11" t="inlineStr">
        <is>
          <t>cite</t>
        </is>
      </c>
      <c r="J1233" s="11" t="inlineStr">
        <is>
          <t>no</t>
        </is>
      </c>
      <c r="K1233" s="11" t="inlineStr">
        <is>
          <t>no</t>
        </is>
      </c>
      <c r="L1233" s="11" t="inlineStr"/>
    </row>
    <row r="1234">
      <c r="A1234" s="11" t="inlineStr">
        <is>
          <t>1231</t>
        </is>
      </c>
      <c r="B1234" s="11" t="inlineStr">
        <is>
          <t>190</t>
        </is>
      </c>
      <c r="C1234" s="11" t="inlineStr">
        <is>
          <t>HC/tribunal/other</t>
        </is>
      </c>
      <c r="D1234" s="11" t="inlineStr">
        <is>
          <t>no</t>
        </is>
      </c>
      <c r="E1234" s="11" t="inlineStr">
        <is>
          <t>no</t>
        </is>
      </c>
      <c r="F1234" s="11" t="inlineStr"/>
      <c r="G1234" s="11" t="inlineStr"/>
      <c r="H1234" s="11" t="inlineStr">
        <is>
          <t>c31857</t>
        </is>
      </c>
      <c r="I1234" s="11" t="inlineStr">
        <is>
          <t>name</t>
        </is>
      </c>
      <c r="J1234" s="11" t="inlineStr">
        <is>
          <t>no</t>
        </is>
      </c>
      <c r="K1234" s="11" t="inlineStr">
        <is>
          <t>no</t>
        </is>
      </c>
      <c r="L1234" s="11" t="inlineStr"/>
    </row>
    <row r="1235">
      <c r="A1235" s="11" t="inlineStr">
        <is>
          <t>1232</t>
        </is>
      </c>
      <c r="B1235" s="11" t="inlineStr">
        <is>
          <t>190</t>
        </is>
      </c>
      <c r="C1235" s="11" t="inlineStr">
        <is>
          <t>HC/tribunal/other</t>
        </is>
      </c>
      <c r="D1235" s="11" t="inlineStr">
        <is>
          <t>yes</t>
        </is>
      </c>
      <c r="E1235" s="11" t="inlineStr">
        <is>
          <t>no</t>
        </is>
      </c>
      <c r="F1235" s="11" t="inlineStr"/>
      <c r="G1235" s="11" t="inlineStr"/>
      <c r="H1235" s="11" t="inlineStr">
        <is>
          <t>c20457</t>
        </is>
      </c>
      <c r="I1235" s="11" t="inlineStr">
        <is>
          <t>name</t>
        </is>
      </c>
      <c r="J1235" s="11" t="inlineStr">
        <is>
          <t>no</t>
        </is>
      </c>
      <c r="K1235" s="11" t="inlineStr">
        <is>
          <t>no</t>
        </is>
      </c>
      <c r="L1235" s="11" t="inlineStr"/>
    </row>
    <row r="1236">
      <c r="A1236" s="11" t="inlineStr">
        <is>
          <t>1233</t>
        </is>
      </c>
      <c r="B1236" s="11" t="inlineStr">
        <is>
          <t>190</t>
        </is>
      </c>
      <c r="C1236" s="11" t="inlineStr">
        <is>
          <t>HC/tribunal/other</t>
        </is>
      </c>
      <c r="D1236" s="11" t="inlineStr">
        <is>
          <t>no</t>
        </is>
      </c>
      <c r="E1236" s="11" t="inlineStr">
        <is>
          <t>no</t>
        </is>
      </c>
      <c r="F1236" s="11" t="inlineStr"/>
      <c r="G1236" s="11" t="inlineStr"/>
      <c r="H1236" s="11" t="inlineStr">
        <is>
          <t>c15371</t>
        </is>
      </c>
      <c r="I1236" s="11" t="inlineStr">
        <is>
          <t>name</t>
        </is>
      </c>
      <c r="J1236" s="11" t="inlineStr">
        <is>
          <t>no</t>
        </is>
      </c>
      <c r="K1236" s="11" t="inlineStr">
        <is>
          <t>no</t>
        </is>
      </c>
      <c r="L1236" s="11" t="inlineStr"/>
    </row>
    <row r="1237">
      <c r="A1237" s="11" t="inlineStr">
        <is>
          <t>1234</t>
        </is>
      </c>
      <c r="B1237" s="11" t="inlineStr">
        <is>
          <t>190</t>
        </is>
      </c>
      <c r="C1237" s="11" t="inlineStr">
        <is>
          <t>HC/tribunal/other</t>
        </is>
      </c>
      <c r="D1237" s="11" t="inlineStr">
        <is>
          <t>yes</t>
        </is>
      </c>
      <c r="E1237" s="11" t="inlineStr">
        <is>
          <t>no</t>
        </is>
      </c>
      <c r="F1237" s="11" t="inlineStr"/>
      <c r="G1237" s="11" t="inlineStr"/>
      <c r="H1237" s="11" t="inlineStr">
        <is>
          <t>c28614</t>
        </is>
      </c>
      <c r="I1237" s="11" t="inlineStr">
        <is>
          <t>cite</t>
        </is>
      </c>
      <c r="J1237" s="11" t="inlineStr">
        <is>
          <t>no</t>
        </is>
      </c>
      <c r="K1237" s="11" t="inlineStr">
        <is>
          <t>no</t>
        </is>
      </c>
      <c r="L1237" s="11" t="inlineStr"/>
    </row>
    <row r="1238">
      <c r="A1238" s="11" t="inlineStr">
        <is>
          <t>1235</t>
        </is>
      </c>
      <c r="B1238" s="11" t="inlineStr">
        <is>
          <t>190</t>
        </is>
      </c>
      <c r="C1238" s="11" t="inlineStr">
        <is>
          <t>HC/tribunal/other</t>
        </is>
      </c>
      <c r="D1238" s="11" t="inlineStr">
        <is>
          <t>no</t>
        </is>
      </c>
      <c r="E1238" s="11" t="inlineStr">
        <is>
          <t>no</t>
        </is>
      </c>
      <c r="F1238" s="11" t="inlineStr"/>
      <c r="G1238" s="11" t="inlineStr"/>
      <c r="H1238" s="11" t="inlineStr">
        <is>
          <t>c17937</t>
        </is>
      </c>
      <c r="I1238" s="11" t="inlineStr">
        <is>
          <t>name</t>
        </is>
      </c>
      <c r="J1238" s="11" t="inlineStr">
        <is>
          <t>no</t>
        </is>
      </c>
      <c r="K1238" s="11" t="inlineStr">
        <is>
          <t>no</t>
        </is>
      </c>
      <c r="L1238" s="11" t="inlineStr"/>
    </row>
    <row r="1239">
      <c r="A1239" s="11" t="inlineStr">
        <is>
          <t>1236</t>
        </is>
      </c>
      <c r="B1239" s="11" t="inlineStr">
        <is>
          <t>191</t>
        </is>
      </c>
      <c r="C1239" s="11" t="inlineStr">
        <is>
          <t>HC/tribunal/other</t>
        </is>
      </c>
      <c r="D1239" s="11" t="inlineStr">
        <is>
          <t>no</t>
        </is>
      </c>
      <c r="E1239" s="11" t="inlineStr">
        <is>
          <t>no</t>
        </is>
      </c>
      <c r="F1239" s="11" t="inlineStr"/>
      <c r="G1239" s="11" t="inlineStr"/>
      <c r="H1239" s="11" t="inlineStr">
        <is>
          <t>c9463</t>
        </is>
      </c>
      <c r="I1239" s="11" t="inlineStr">
        <is>
          <t>cite</t>
        </is>
      </c>
      <c r="J1239" s="11" t="inlineStr">
        <is>
          <t>no</t>
        </is>
      </c>
      <c r="K1239" s="11" t="inlineStr">
        <is>
          <t>no</t>
        </is>
      </c>
      <c r="L1239" s="11" t="inlineStr"/>
    </row>
    <row r="1240">
      <c r="A1240" s="11" t="inlineStr">
        <is>
          <t>1237</t>
        </is>
      </c>
      <c r="B1240" s="11" t="inlineStr">
        <is>
          <t>191</t>
        </is>
      </c>
      <c r="C1240" s="11" t="inlineStr">
        <is>
          <t>HC/tribunal/other</t>
        </is>
      </c>
      <c r="D1240" s="11" t="inlineStr">
        <is>
          <t>yes</t>
        </is>
      </c>
      <c r="E1240" s="11" t="inlineStr">
        <is>
          <t>no</t>
        </is>
      </c>
      <c r="F1240" s="11" t="inlineStr"/>
      <c r="G1240" s="11" t="inlineStr"/>
      <c r="H1240" s="11" t="inlineStr">
        <is>
          <t>c1418</t>
        </is>
      </c>
      <c r="I1240" s="11" t="inlineStr">
        <is>
          <t>cite</t>
        </is>
      </c>
      <c r="J1240" s="11" t="inlineStr">
        <is>
          <t>no</t>
        </is>
      </c>
      <c r="K1240" s="11" t="inlineStr">
        <is>
          <t>no</t>
        </is>
      </c>
      <c r="L1240" s="11" t="inlineStr"/>
    </row>
    <row r="1241">
      <c r="A1241" s="11" t="inlineStr">
        <is>
          <t>1238</t>
        </is>
      </c>
      <c r="B1241" s="11" t="inlineStr">
        <is>
          <t>191</t>
        </is>
      </c>
      <c r="C1241" s="11" t="inlineStr">
        <is>
          <t>HC/tribunal/other</t>
        </is>
      </c>
      <c r="D1241" s="11" t="inlineStr">
        <is>
          <t>no</t>
        </is>
      </c>
      <c r="E1241" s="11" t="inlineStr">
        <is>
          <t>yes</t>
        </is>
      </c>
      <c r="F1241" s="11" t="inlineStr"/>
      <c r="G1241" s="11" t="inlineStr"/>
      <c r="H1241" s="11" t="inlineStr">
        <is>
          <t>c12846</t>
        </is>
      </c>
      <c r="I1241" s="11" t="inlineStr">
        <is>
          <t>cite</t>
        </is>
      </c>
      <c r="J1241" s="11" t="inlineStr">
        <is>
          <t>no</t>
        </is>
      </c>
      <c r="K1241" s="11" t="inlineStr">
        <is>
          <t>no</t>
        </is>
      </c>
      <c r="L1241" s="11" t="inlineStr"/>
    </row>
    <row r="1242">
      <c r="A1242" s="11" t="inlineStr">
        <is>
          <t>1239</t>
        </is>
      </c>
      <c r="B1242" s="11" t="inlineStr">
        <is>
          <t>191</t>
        </is>
      </c>
      <c r="C1242" s="11" t="inlineStr">
        <is>
          <t>HC/tribunal/other</t>
        </is>
      </c>
      <c r="D1242" s="11" t="inlineStr">
        <is>
          <t>yes</t>
        </is>
      </c>
      <c r="E1242" s="11" t="inlineStr">
        <is>
          <t>no</t>
        </is>
      </c>
      <c r="F1242" s="11" t="inlineStr"/>
      <c r="G1242" s="11" t="inlineStr"/>
      <c r="H1242" s="11" t="inlineStr"/>
      <c r="I1242" s="11" t="inlineStr"/>
      <c r="J1242" s="11" t="inlineStr">
        <is>
          <t>no</t>
        </is>
      </c>
      <c r="K1242" s="11" t="inlineStr">
        <is>
          <t>no</t>
        </is>
      </c>
      <c r="L1242" s="11" t="inlineStr"/>
    </row>
    <row r="1243">
      <c r="A1243" s="11" t="inlineStr">
        <is>
          <t>1240</t>
        </is>
      </c>
      <c r="B1243" s="11" t="inlineStr">
        <is>
          <t>191</t>
        </is>
      </c>
      <c r="C1243" s="11" t="inlineStr">
        <is>
          <t>HC/tribunal/other</t>
        </is>
      </c>
      <c r="D1243" s="11" t="inlineStr">
        <is>
          <t>yes</t>
        </is>
      </c>
      <c r="E1243" s="11" t="inlineStr">
        <is>
          <t>no</t>
        </is>
      </c>
      <c r="F1243" s="11" t="inlineStr"/>
      <c r="G1243" s="11" t="inlineStr"/>
      <c r="H1243" s="11" t="inlineStr">
        <is>
          <t>c7013</t>
        </is>
      </c>
      <c r="I1243" s="11" t="inlineStr">
        <is>
          <t>cite</t>
        </is>
      </c>
      <c r="J1243" s="11" t="inlineStr">
        <is>
          <t>yes</t>
        </is>
      </c>
      <c r="K1243" s="11" t="inlineStr">
        <is>
          <t>no</t>
        </is>
      </c>
      <c r="L1243" s="11" t="inlineStr"/>
    </row>
    <row r="1244">
      <c r="A1244" s="11" t="inlineStr">
        <is>
          <t>1241</t>
        </is>
      </c>
      <c r="B1244" s="11" t="inlineStr">
        <is>
          <t>191</t>
        </is>
      </c>
      <c r="C1244" s="11" t="inlineStr">
        <is>
          <t>HC/tribunal/other</t>
        </is>
      </c>
      <c r="D1244" s="11" t="inlineStr">
        <is>
          <t>no</t>
        </is>
      </c>
      <c r="E1244" s="11" t="inlineStr">
        <is>
          <t>no</t>
        </is>
      </c>
      <c r="F1244" s="11" t="inlineStr"/>
      <c r="G1244" s="11" t="inlineStr"/>
      <c r="H1244" s="11" t="inlineStr">
        <is>
          <t>c13431</t>
        </is>
      </c>
      <c r="I1244" s="11" t="inlineStr">
        <is>
          <t>cite</t>
        </is>
      </c>
      <c r="J1244" s="11" t="inlineStr">
        <is>
          <t>no</t>
        </is>
      </c>
      <c r="K1244" s="11" t="inlineStr">
        <is>
          <t>no</t>
        </is>
      </c>
      <c r="L1244" s="11" t="inlineStr"/>
    </row>
    <row r="1245">
      <c r="A1245" s="11" t="inlineStr">
        <is>
          <t>1242</t>
        </is>
      </c>
      <c r="B1245" s="11" t="inlineStr">
        <is>
          <t>192</t>
        </is>
      </c>
      <c r="C1245" s="11" t="inlineStr">
        <is>
          <t>HC/tribunal/other</t>
        </is>
      </c>
      <c r="D1245" s="11" t="inlineStr">
        <is>
          <t>yes</t>
        </is>
      </c>
      <c r="E1245" s="11" t="inlineStr">
        <is>
          <t>no</t>
        </is>
      </c>
      <c r="F1245" s="11" t="inlineStr"/>
      <c r="G1245" s="11" t="inlineStr"/>
      <c r="H1245" s="11" t="inlineStr">
        <is>
          <t>c9929</t>
        </is>
      </c>
      <c r="I1245" s="11" t="inlineStr">
        <is>
          <t>cite</t>
        </is>
      </c>
      <c r="J1245" s="11" t="inlineStr">
        <is>
          <t>no</t>
        </is>
      </c>
      <c r="K1245" s="11" t="inlineStr">
        <is>
          <t>no</t>
        </is>
      </c>
      <c r="L1245" s="11" t="inlineStr"/>
    </row>
    <row r="1246">
      <c r="A1246" s="11" t="inlineStr">
        <is>
          <t>1243</t>
        </is>
      </c>
      <c r="B1246" s="11" t="inlineStr">
        <is>
          <t>192</t>
        </is>
      </c>
      <c r="C1246" s="11" t="inlineStr">
        <is>
          <t>HC/tribunal/other</t>
        </is>
      </c>
      <c r="D1246" s="11" t="inlineStr">
        <is>
          <t>no</t>
        </is>
      </c>
      <c r="E1246" s="11" t="inlineStr">
        <is>
          <t>no</t>
        </is>
      </c>
      <c r="F1246" s="11" t="inlineStr"/>
      <c r="G1246" s="11" t="inlineStr"/>
      <c r="H1246" s="11" t="inlineStr"/>
      <c r="I1246" s="11" t="inlineStr"/>
      <c r="J1246" s="11" t="inlineStr">
        <is>
          <t>no</t>
        </is>
      </c>
      <c r="K1246" s="11" t="inlineStr">
        <is>
          <t>no</t>
        </is>
      </c>
      <c r="L1246" s="11" t="inlineStr"/>
    </row>
    <row r="1247">
      <c r="A1247" s="11" t="inlineStr">
        <is>
          <t>1244</t>
        </is>
      </c>
      <c r="B1247" s="11" t="inlineStr">
        <is>
          <t>192</t>
        </is>
      </c>
      <c r="C1247" s="11" t="inlineStr">
        <is>
          <t>HC/tribunal/other</t>
        </is>
      </c>
      <c r="D1247" s="11" t="inlineStr">
        <is>
          <t>no</t>
        </is>
      </c>
      <c r="E1247" s="11" t="inlineStr">
        <is>
          <t>yes</t>
        </is>
      </c>
      <c r="F1247" s="11" t="inlineStr"/>
      <c r="G1247" s="11" t="inlineStr"/>
      <c r="H1247" s="11" t="inlineStr">
        <is>
          <t>c8815</t>
        </is>
      </c>
      <c r="I1247" s="11" t="inlineStr">
        <is>
          <t>cite</t>
        </is>
      </c>
      <c r="J1247" s="11" t="inlineStr">
        <is>
          <t>no</t>
        </is>
      </c>
      <c r="K1247" s="11" t="inlineStr">
        <is>
          <t>no</t>
        </is>
      </c>
      <c r="L1247" s="11" t="inlineStr"/>
    </row>
    <row r="1248">
      <c r="A1248" s="11" t="inlineStr">
        <is>
          <t>1245</t>
        </is>
      </c>
      <c r="B1248" s="11" t="inlineStr">
        <is>
          <t>192</t>
        </is>
      </c>
      <c r="C1248" s="11" t="inlineStr">
        <is>
          <t>HC/tribunal/other</t>
        </is>
      </c>
      <c r="D1248" s="11" t="inlineStr">
        <is>
          <t>yes</t>
        </is>
      </c>
      <c r="E1248" s="11" t="inlineStr">
        <is>
          <t>yes</t>
        </is>
      </c>
      <c r="F1248" s="11" t="inlineStr"/>
      <c r="G1248" s="11" t="inlineStr"/>
      <c r="H1248" s="11" t="inlineStr"/>
      <c r="I1248" s="11" t="inlineStr"/>
      <c r="J1248" s="11" t="inlineStr">
        <is>
          <t>no</t>
        </is>
      </c>
      <c r="K1248" s="11" t="inlineStr">
        <is>
          <t>no</t>
        </is>
      </c>
      <c r="L1248" s="11" t="inlineStr"/>
    </row>
    <row r="1249">
      <c r="A1249" s="11" t="inlineStr">
        <is>
          <t>1246</t>
        </is>
      </c>
      <c r="B1249" s="11" t="inlineStr">
        <is>
          <t>192</t>
        </is>
      </c>
      <c r="C1249" s="11" t="inlineStr">
        <is>
          <t>HC/tribunal/other</t>
        </is>
      </c>
      <c r="D1249" s="11" t="inlineStr">
        <is>
          <t>yes</t>
        </is>
      </c>
      <c r="E1249" s="11" t="inlineStr">
        <is>
          <t>no</t>
        </is>
      </c>
      <c r="F1249" s="11" t="inlineStr"/>
      <c r="G1249" s="11" t="inlineStr"/>
      <c r="H1249" s="11" t="inlineStr">
        <is>
          <t>c6951</t>
        </is>
      </c>
      <c r="I1249" s="11" t="inlineStr">
        <is>
          <t>cite</t>
        </is>
      </c>
      <c r="J1249" s="11" t="inlineStr">
        <is>
          <t>no</t>
        </is>
      </c>
      <c r="K1249" s="11" t="inlineStr">
        <is>
          <t>no</t>
        </is>
      </c>
      <c r="L1249" s="11" t="inlineStr"/>
    </row>
    <row r="1250">
      <c r="A1250" s="11" t="inlineStr">
        <is>
          <t>1247</t>
        </is>
      </c>
      <c r="B1250" s="11" t="inlineStr">
        <is>
          <t>192</t>
        </is>
      </c>
      <c r="C1250" s="11" t="inlineStr">
        <is>
          <t>HC/tribunal/other</t>
        </is>
      </c>
      <c r="D1250" s="11" t="inlineStr">
        <is>
          <t>no</t>
        </is>
      </c>
      <c r="E1250" s="11" t="inlineStr">
        <is>
          <t>no</t>
        </is>
      </c>
      <c r="F1250" s="11" t="inlineStr"/>
      <c r="G1250" s="11" t="inlineStr"/>
      <c r="H1250" s="11" t="inlineStr">
        <is>
          <t>c18330</t>
        </is>
      </c>
      <c r="I1250" s="11" t="inlineStr">
        <is>
          <t>cite</t>
        </is>
      </c>
      <c r="J1250" s="11" t="inlineStr">
        <is>
          <t>no</t>
        </is>
      </c>
      <c r="K1250" s="11" t="inlineStr">
        <is>
          <t>no</t>
        </is>
      </c>
      <c r="L1250" s="11" t="inlineStr"/>
    </row>
    <row r="1251">
      <c r="A1251" s="11" t="inlineStr">
        <is>
          <t>1248</t>
        </is>
      </c>
      <c r="B1251" s="11" t="inlineStr">
        <is>
          <t>193</t>
        </is>
      </c>
      <c r="C1251" s="11" t="inlineStr">
        <is>
          <t>HC/tribunal/other</t>
        </is>
      </c>
      <c r="D1251" s="11" t="inlineStr">
        <is>
          <t>no</t>
        </is>
      </c>
      <c r="E1251" s="11" t="inlineStr">
        <is>
          <t>no</t>
        </is>
      </c>
      <c r="F1251" s="11" t="inlineStr"/>
      <c r="G1251" s="11" t="inlineStr"/>
      <c r="H1251" s="11" t="inlineStr">
        <is>
          <t>c12220</t>
        </is>
      </c>
      <c r="I1251" s="11" t="inlineStr">
        <is>
          <t>cite</t>
        </is>
      </c>
      <c r="J1251" s="11" t="inlineStr">
        <is>
          <t>no</t>
        </is>
      </c>
      <c r="K1251" s="11" t="inlineStr">
        <is>
          <t>no</t>
        </is>
      </c>
      <c r="L1251" s="11" t="inlineStr"/>
    </row>
    <row r="1252">
      <c r="A1252" s="11" t="inlineStr">
        <is>
          <t>1249</t>
        </is>
      </c>
      <c r="B1252" s="11" t="inlineStr">
        <is>
          <t>193</t>
        </is>
      </c>
      <c r="C1252" s="11" t="inlineStr">
        <is>
          <t>HC/tribunal/other</t>
        </is>
      </c>
      <c r="D1252" s="11" t="inlineStr">
        <is>
          <t>yes</t>
        </is>
      </c>
      <c r="E1252" s="11" t="inlineStr">
        <is>
          <t>no</t>
        </is>
      </c>
      <c r="F1252" s="11" t="inlineStr"/>
      <c r="G1252" s="11" t="inlineStr"/>
      <c r="H1252" s="11" t="inlineStr">
        <is>
          <t>c29272</t>
        </is>
      </c>
      <c r="I1252" s="11" t="inlineStr">
        <is>
          <t>cite</t>
        </is>
      </c>
      <c r="J1252" s="11" t="inlineStr">
        <is>
          <t>no</t>
        </is>
      </c>
      <c r="K1252" s="11" t="inlineStr">
        <is>
          <t>no</t>
        </is>
      </c>
      <c r="L1252" s="11" t="inlineStr"/>
    </row>
    <row r="1253">
      <c r="A1253" s="11" t="inlineStr">
        <is>
          <t>1250</t>
        </is>
      </c>
      <c r="B1253" s="11" t="inlineStr">
        <is>
          <t>193</t>
        </is>
      </c>
      <c r="C1253" s="11" t="inlineStr">
        <is>
          <t>HC/tribunal/other</t>
        </is>
      </c>
      <c r="D1253" s="11" t="inlineStr">
        <is>
          <t>no</t>
        </is>
      </c>
      <c r="E1253" s="11" t="inlineStr">
        <is>
          <t>no</t>
        </is>
      </c>
      <c r="F1253" s="11" t="inlineStr"/>
      <c r="G1253" s="11" t="inlineStr"/>
      <c r="H1253" s="11" t="inlineStr">
        <is>
          <t>c29724</t>
        </is>
      </c>
      <c r="I1253" s="11" t="inlineStr">
        <is>
          <t>cite</t>
        </is>
      </c>
      <c r="J1253" s="11" t="inlineStr">
        <is>
          <t>no</t>
        </is>
      </c>
      <c r="K1253" s="11" t="inlineStr">
        <is>
          <t>no</t>
        </is>
      </c>
      <c r="L1253" s="11" t="inlineStr"/>
    </row>
    <row r="1254">
      <c r="A1254" s="11" t="inlineStr">
        <is>
          <t>1251</t>
        </is>
      </c>
      <c r="B1254" s="11" t="inlineStr">
        <is>
          <t>193</t>
        </is>
      </c>
      <c r="C1254" s="11" t="inlineStr">
        <is>
          <t>HC/tribunal/other</t>
        </is>
      </c>
      <c r="D1254" s="11" t="inlineStr">
        <is>
          <t>no</t>
        </is>
      </c>
      <c r="E1254" s="11" t="inlineStr">
        <is>
          <t>no</t>
        </is>
      </c>
      <c r="F1254" s="11" t="inlineStr"/>
      <c r="G1254" s="11" t="inlineStr"/>
      <c r="H1254" s="11" t="inlineStr">
        <is>
          <t>c31846</t>
        </is>
      </c>
      <c r="I1254" s="11" t="inlineStr">
        <is>
          <t>cite</t>
        </is>
      </c>
      <c r="J1254" s="11" t="inlineStr">
        <is>
          <t>no</t>
        </is>
      </c>
      <c r="K1254" s="11" t="inlineStr">
        <is>
          <t>no</t>
        </is>
      </c>
      <c r="L1254" s="11" t="inlineStr"/>
    </row>
    <row r="1255">
      <c r="A1255" s="11" t="inlineStr">
        <is>
          <t>1252</t>
        </is>
      </c>
      <c r="B1255" s="11" t="inlineStr">
        <is>
          <t>193</t>
        </is>
      </c>
      <c r="C1255" s="11" t="inlineStr">
        <is>
          <t>HC/tribunal/other</t>
        </is>
      </c>
      <c r="D1255" s="11" t="inlineStr">
        <is>
          <t>no</t>
        </is>
      </c>
      <c r="E1255" s="11" t="inlineStr">
        <is>
          <t>no</t>
        </is>
      </c>
      <c r="F1255" s="11" t="inlineStr"/>
      <c r="G1255" s="11" t="inlineStr"/>
      <c r="H1255" s="11" t="inlineStr">
        <is>
          <t>c10941</t>
        </is>
      </c>
      <c r="I1255" s="11" t="inlineStr">
        <is>
          <t>cite</t>
        </is>
      </c>
      <c r="J1255" s="11" t="inlineStr">
        <is>
          <t>no</t>
        </is>
      </c>
      <c r="K1255" s="11" t="inlineStr">
        <is>
          <t>no</t>
        </is>
      </c>
      <c r="L1255" s="11" t="inlineStr"/>
    </row>
    <row r="1256">
      <c r="A1256" s="11" t="inlineStr">
        <is>
          <t>1253</t>
        </is>
      </c>
      <c r="B1256" s="11" t="inlineStr">
        <is>
          <t>193</t>
        </is>
      </c>
      <c r="C1256" s="11" t="inlineStr">
        <is>
          <t>HC/tribunal/other</t>
        </is>
      </c>
      <c r="D1256" s="11" t="inlineStr">
        <is>
          <t>no</t>
        </is>
      </c>
      <c r="E1256" s="11" t="inlineStr">
        <is>
          <t>no</t>
        </is>
      </c>
      <c r="F1256" s="11" t="inlineStr"/>
      <c r="G1256" s="11" t="inlineStr"/>
      <c r="H1256" s="11" t="inlineStr">
        <is>
          <t>c28944</t>
        </is>
      </c>
      <c r="I1256" s="11" t="inlineStr">
        <is>
          <t>cite</t>
        </is>
      </c>
      <c r="J1256" s="11" t="inlineStr">
        <is>
          <t>no</t>
        </is>
      </c>
      <c r="K1256" s="11" t="inlineStr">
        <is>
          <t>no</t>
        </is>
      </c>
      <c r="L1256" s="11" t="inlineStr"/>
    </row>
    <row r="1257">
      <c r="A1257" s="11" t="inlineStr">
        <is>
          <t>1254</t>
        </is>
      </c>
      <c r="B1257" s="11" t="inlineStr">
        <is>
          <t>193</t>
        </is>
      </c>
      <c r="C1257" s="11" t="inlineStr">
        <is>
          <t>HC/tribunal/other</t>
        </is>
      </c>
      <c r="D1257" s="11" t="inlineStr">
        <is>
          <t>yes</t>
        </is>
      </c>
      <c r="E1257" s="11" t="inlineStr">
        <is>
          <t>no</t>
        </is>
      </c>
      <c r="F1257" s="11" t="inlineStr"/>
      <c r="G1257" s="11" t="inlineStr"/>
      <c r="H1257" s="11" t="inlineStr">
        <is>
          <t>c12686</t>
        </is>
      </c>
      <c r="I1257" s="11" t="inlineStr">
        <is>
          <t>cite</t>
        </is>
      </c>
      <c r="J1257" s="11" t="inlineStr">
        <is>
          <t>no</t>
        </is>
      </c>
      <c r="K1257" s="11" t="inlineStr">
        <is>
          <t>no</t>
        </is>
      </c>
      <c r="L1257" s="11" t="inlineStr"/>
    </row>
    <row r="1258">
      <c r="A1258" s="11" t="inlineStr">
        <is>
          <t>1255</t>
        </is>
      </c>
      <c r="B1258" s="11" t="inlineStr">
        <is>
          <t>194</t>
        </is>
      </c>
      <c r="C1258" s="11" t="inlineStr">
        <is>
          <t>HC/tribunal/other</t>
        </is>
      </c>
      <c r="D1258" s="11" t="inlineStr">
        <is>
          <t>yes</t>
        </is>
      </c>
      <c r="E1258" s="11" t="inlineStr">
        <is>
          <t>no</t>
        </is>
      </c>
      <c r="F1258" s="11" t="inlineStr"/>
      <c r="G1258" s="11" t="inlineStr"/>
      <c r="H1258" s="11" t="inlineStr">
        <is>
          <t>c13729</t>
        </is>
      </c>
      <c r="I1258" s="11" t="inlineStr">
        <is>
          <t>name</t>
        </is>
      </c>
      <c r="J1258" s="11" t="inlineStr">
        <is>
          <t>no</t>
        </is>
      </c>
      <c r="K1258" s="11" t="inlineStr">
        <is>
          <t>no</t>
        </is>
      </c>
      <c r="L1258" s="11" t="inlineStr"/>
    </row>
    <row r="1259">
      <c r="A1259" s="11" t="inlineStr">
        <is>
          <t>1256</t>
        </is>
      </c>
      <c r="B1259" s="11" t="inlineStr">
        <is>
          <t>194</t>
        </is>
      </c>
      <c r="C1259" s="11" t="inlineStr">
        <is>
          <t>HC/tribunal/other</t>
        </is>
      </c>
      <c r="D1259" s="11" t="inlineStr">
        <is>
          <t>no</t>
        </is>
      </c>
      <c r="E1259" s="11" t="inlineStr">
        <is>
          <t>no</t>
        </is>
      </c>
      <c r="F1259" s="11" t="inlineStr"/>
      <c r="G1259" s="11" t="inlineStr"/>
      <c r="H1259" s="11" t="inlineStr">
        <is>
          <t>c28088</t>
        </is>
      </c>
      <c r="I1259" s="11" t="inlineStr">
        <is>
          <t>name</t>
        </is>
      </c>
      <c r="J1259" s="11" t="inlineStr">
        <is>
          <t>no</t>
        </is>
      </c>
      <c r="K1259" s="11" t="inlineStr">
        <is>
          <t>no</t>
        </is>
      </c>
      <c r="L1259" s="11" t="inlineStr"/>
    </row>
    <row r="1260">
      <c r="A1260" s="11" t="inlineStr">
        <is>
          <t>1257</t>
        </is>
      </c>
      <c r="B1260" s="11" t="inlineStr">
        <is>
          <t>194</t>
        </is>
      </c>
      <c r="C1260" s="11" t="inlineStr">
        <is>
          <t>HC/tribunal/other</t>
        </is>
      </c>
      <c r="D1260" s="11" t="inlineStr">
        <is>
          <t>yes</t>
        </is>
      </c>
      <c r="E1260" s="11" t="inlineStr">
        <is>
          <t>no</t>
        </is>
      </c>
      <c r="F1260" s="11" t="inlineStr"/>
      <c r="G1260" s="11" t="inlineStr"/>
      <c r="H1260" s="11" t="inlineStr">
        <is>
          <t>c29858</t>
        </is>
      </c>
      <c r="I1260" s="11" t="inlineStr">
        <is>
          <t>name</t>
        </is>
      </c>
      <c r="J1260" s="11" t="inlineStr">
        <is>
          <t>no</t>
        </is>
      </c>
      <c r="K1260" s="11" t="inlineStr">
        <is>
          <t>no</t>
        </is>
      </c>
      <c r="L1260" s="11" t="inlineStr"/>
    </row>
    <row r="1261">
      <c r="A1261" s="11" t="inlineStr">
        <is>
          <t>1258</t>
        </is>
      </c>
      <c r="B1261" s="11" t="inlineStr">
        <is>
          <t>194</t>
        </is>
      </c>
      <c r="C1261" s="11" t="inlineStr">
        <is>
          <t>HC/tribunal/other</t>
        </is>
      </c>
      <c r="D1261" s="11" t="inlineStr">
        <is>
          <t>yes</t>
        </is>
      </c>
      <c r="E1261" s="11" t="inlineStr">
        <is>
          <t>yes</t>
        </is>
      </c>
      <c r="F1261" s="11" t="inlineStr"/>
      <c r="G1261" s="11" t="inlineStr"/>
      <c r="H1261" s="11" t="inlineStr">
        <is>
          <t>c37821</t>
        </is>
      </c>
      <c r="I1261" s="11" t="inlineStr">
        <is>
          <t>cite</t>
        </is>
      </c>
      <c r="J1261" s="11" t="inlineStr">
        <is>
          <t>no</t>
        </is>
      </c>
      <c r="K1261" s="11" t="inlineStr">
        <is>
          <t>no</t>
        </is>
      </c>
      <c r="L1261" s="11" t="inlineStr"/>
    </row>
    <row r="1262">
      <c r="A1262" s="11" t="inlineStr">
        <is>
          <t>1259</t>
        </is>
      </c>
      <c r="B1262" s="11" t="inlineStr">
        <is>
          <t>194</t>
        </is>
      </c>
      <c r="C1262" s="11" t="inlineStr">
        <is>
          <t>HC/tribunal/other</t>
        </is>
      </c>
      <c r="D1262" s="11" t="inlineStr">
        <is>
          <t>yes</t>
        </is>
      </c>
      <c r="E1262" s="11" t="inlineStr">
        <is>
          <t>no</t>
        </is>
      </c>
      <c r="F1262" s="11" t="inlineStr"/>
      <c r="G1262" s="11" t="inlineStr"/>
      <c r="H1262" s="11" t="inlineStr">
        <is>
          <t>c28273</t>
        </is>
      </c>
      <c r="I1262" s="11" t="inlineStr">
        <is>
          <t>name</t>
        </is>
      </c>
      <c r="J1262" s="11" t="inlineStr">
        <is>
          <t>no</t>
        </is>
      </c>
      <c r="K1262" s="11" t="inlineStr">
        <is>
          <t>no</t>
        </is>
      </c>
      <c r="L1262" s="11" t="inlineStr"/>
    </row>
    <row r="1263">
      <c r="A1263" s="11" t="inlineStr">
        <is>
          <t>1260</t>
        </is>
      </c>
      <c r="B1263" s="11" t="inlineStr">
        <is>
          <t>194</t>
        </is>
      </c>
      <c r="C1263" s="11" t="inlineStr">
        <is>
          <t>HC/tribunal/other</t>
        </is>
      </c>
      <c r="D1263" s="11" t="inlineStr">
        <is>
          <t>no</t>
        </is>
      </c>
      <c r="E1263" s="11" t="inlineStr">
        <is>
          <t>no</t>
        </is>
      </c>
      <c r="F1263" s="11" t="inlineStr"/>
      <c r="G1263" s="11" t="inlineStr"/>
      <c r="H1263" s="11" t="inlineStr">
        <is>
          <t>c27211</t>
        </is>
      </c>
      <c r="I1263" s="11" t="inlineStr">
        <is>
          <t>name</t>
        </is>
      </c>
      <c r="J1263" s="11" t="inlineStr">
        <is>
          <t>no</t>
        </is>
      </c>
      <c r="K1263" s="11" t="inlineStr">
        <is>
          <t>no</t>
        </is>
      </c>
      <c r="L1263" s="11" t="inlineStr"/>
    </row>
    <row r="1264">
      <c r="A1264" s="11" t="inlineStr">
        <is>
          <t>1261</t>
        </is>
      </c>
      <c r="B1264" s="11" t="inlineStr">
        <is>
          <t>194</t>
        </is>
      </c>
      <c r="C1264" s="11" t="inlineStr">
        <is>
          <t>HC/tribunal/other</t>
        </is>
      </c>
      <c r="D1264" s="11" t="inlineStr">
        <is>
          <t>no</t>
        </is>
      </c>
      <c r="E1264" s="11" t="inlineStr">
        <is>
          <t>no</t>
        </is>
      </c>
      <c r="F1264" s="11" t="inlineStr"/>
      <c r="G1264" s="11" t="inlineStr"/>
      <c r="H1264" s="11" t="inlineStr">
        <is>
          <t>c30071</t>
        </is>
      </c>
      <c r="I1264" s="11" t="inlineStr">
        <is>
          <t>name</t>
        </is>
      </c>
      <c r="J1264" s="11" t="inlineStr">
        <is>
          <t>no</t>
        </is>
      </c>
      <c r="K1264" s="11" t="inlineStr">
        <is>
          <t>no</t>
        </is>
      </c>
      <c r="L1264" s="11" t="inlineStr"/>
    </row>
    <row r="1265">
      <c r="A1265" s="11" t="inlineStr">
        <is>
          <t>1262</t>
        </is>
      </c>
      <c r="B1265" s="11" t="inlineStr">
        <is>
          <t>195</t>
        </is>
      </c>
      <c r="C1265" s="11" t="inlineStr">
        <is>
          <t>HC/tribunal/other</t>
        </is>
      </c>
      <c r="D1265" s="11" t="inlineStr">
        <is>
          <t>no</t>
        </is>
      </c>
      <c r="E1265" s="11" t="inlineStr">
        <is>
          <t>no</t>
        </is>
      </c>
      <c r="F1265" s="11" t="inlineStr"/>
      <c r="G1265" s="11" t="inlineStr"/>
      <c r="H1265" s="11" t="inlineStr">
        <is>
          <t>c28517</t>
        </is>
      </c>
      <c r="I1265" s="11" t="inlineStr">
        <is>
          <t>cite</t>
        </is>
      </c>
      <c r="J1265" s="11" t="inlineStr">
        <is>
          <t>no</t>
        </is>
      </c>
      <c r="K1265" s="11" t="inlineStr">
        <is>
          <t>no</t>
        </is>
      </c>
      <c r="L1265" s="11" t="inlineStr"/>
    </row>
    <row r="1266">
      <c r="A1266" s="11" t="inlineStr">
        <is>
          <t>1263</t>
        </is>
      </c>
      <c r="B1266" s="11" t="inlineStr">
        <is>
          <t>195</t>
        </is>
      </c>
      <c r="C1266" s="11" t="inlineStr">
        <is>
          <t>HC/tribunal/other</t>
        </is>
      </c>
      <c r="D1266" s="11" t="inlineStr">
        <is>
          <t>yes</t>
        </is>
      </c>
      <c r="E1266" s="11" t="inlineStr">
        <is>
          <t>no</t>
        </is>
      </c>
      <c r="F1266" s="11" t="inlineStr"/>
      <c r="G1266" s="11" t="inlineStr"/>
      <c r="H1266" s="11" t="inlineStr">
        <is>
          <t>c28636</t>
        </is>
      </c>
      <c r="I1266" s="11" t="inlineStr">
        <is>
          <t>cite</t>
        </is>
      </c>
      <c r="J1266" s="11" t="inlineStr">
        <is>
          <t>no</t>
        </is>
      </c>
      <c r="K1266" s="11" t="inlineStr">
        <is>
          <t>no</t>
        </is>
      </c>
      <c r="L1266" s="11" t="inlineStr"/>
    </row>
    <row r="1267">
      <c r="A1267" s="11" t="inlineStr">
        <is>
          <t>1264</t>
        </is>
      </c>
      <c r="B1267" s="11" t="inlineStr">
        <is>
          <t>195</t>
        </is>
      </c>
      <c r="C1267" s="11" t="inlineStr">
        <is>
          <t>HC/tribunal/other</t>
        </is>
      </c>
      <c r="D1267" s="11" t="inlineStr">
        <is>
          <t>no</t>
        </is>
      </c>
      <c r="E1267" s="11" t="inlineStr">
        <is>
          <t>no</t>
        </is>
      </c>
      <c r="F1267" s="11" t="inlineStr"/>
      <c r="G1267" s="11" t="inlineStr"/>
      <c r="H1267" s="11" t="inlineStr">
        <is>
          <t>c38231</t>
        </is>
      </c>
      <c r="I1267" s="11" t="inlineStr">
        <is>
          <t>cite</t>
        </is>
      </c>
      <c r="J1267" s="11" t="inlineStr">
        <is>
          <t>no</t>
        </is>
      </c>
      <c r="K1267" s="11" t="inlineStr">
        <is>
          <t>no</t>
        </is>
      </c>
      <c r="L1267" s="11" t="inlineStr"/>
    </row>
    <row r="1268">
      <c r="A1268" s="11" t="inlineStr">
        <is>
          <t>1265</t>
        </is>
      </c>
      <c r="B1268" s="11" t="inlineStr">
        <is>
          <t>195</t>
        </is>
      </c>
      <c r="C1268" s="11" t="inlineStr">
        <is>
          <t>HC/tribunal/other</t>
        </is>
      </c>
      <c r="D1268" s="11" t="inlineStr">
        <is>
          <t>yes</t>
        </is>
      </c>
      <c r="E1268" s="11" t="inlineStr">
        <is>
          <t>no</t>
        </is>
      </c>
      <c r="F1268" s="11" t="inlineStr"/>
      <c r="G1268" s="11" t="inlineStr"/>
      <c r="H1268" s="11" t="inlineStr">
        <is>
          <t>c29722</t>
        </is>
      </c>
      <c r="I1268" s="11" t="inlineStr">
        <is>
          <t>cite</t>
        </is>
      </c>
      <c r="J1268" s="11" t="inlineStr">
        <is>
          <t>no</t>
        </is>
      </c>
      <c r="K1268" s="11" t="inlineStr">
        <is>
          <t>no</t>
        </is>
      </c>
      <c r="L1268" s="11" t="inlineStr"/>
    </row>
    <row r="1269">
      <c r="A1269" s="11" t="inlineStr">
        <is>
          <t>1266</t>
        </is>
      </c>
      <c r="B1269" s="11" t="inlineStr">
        <is>
          <t>195</t>
        </is>
      </c>
      <c r="C1269" s="11" t="inlineStr">
        <is>
          <t>HC/tribunal/other</t>
        </is>
      </c>
      <c r="D1269" s="11" t="inlineStr">
        <is>
          <t>no</t>
        </is>
      </c>
      <c r="E1269" s="11" t="inlineStr">
        <is>
          <t>no</t>
        </is>
      </c>
      <c r="F1269" s="11" t="inlineStr"/>
      <c r="G1269" s="11" t="inlineStr"/>
      <c r="H1269" s="11" t="inlineStr">
        <is>
          <t>c28231</t>
        </is>
      </c>
      <c r="I1269" s="11" t="inlineStr">
        <is>
          <t>name</t>
        </is>
      </c>
      <c r="J1269" s="11" t="inlineStr">
        <is>
          <t>no</t>
        </is>
      </c>
      <c r="K1269" s="11" t="inlineStr">
        <is>
          <t>no</t>
        </is>
      </c>
      <c r="L1269" s="11" t="inlineStr"/>
    </row>
    <row r="1270">
      <c r="A1270" s="11" t="inlineStr">
        <is>
          <t>1267</t>
        </is>
      </c>
      <c r="B1270" s="11" t="inlineStr">
        <is>
          <t>195</t>
        </is>
      </c>
      <c r="C1270" s="11" t="inlineStr">
        <is>
          <t>HC/tribunal/other</t>
        </is>
      </c>
      <c r="D1270" s="11" t="inlineStr">
        <is>
          <t>yes</t>
        </is>
      </c>
      <c r="E1270" s="11" t="inlineStr">
        <is>
          <t>no</t>
        </is>
      </c>
      <c r="F1270" s="11" t="inlineStr"/>
      <c r="G1270" s="11" t="inlineStr"/>
      <c r="H1270" s="11" t="inlineStr">
        <is>
          <t>c36219</t>
        </is>
      </c>
      <c r="I1270" s="11" t="inlineStr">
        <is>
          <t>name</t>
        </is>
      </c>
      <c r="J1270" s="11" t="inlineStr">
        <is>
          <t>no</t>
        </is>
      </c>
      <c r="K1270" s="11" t="inlineStr">
        <is>
          <t>no</t>
        </is>
      </c>
      <c r="L1270" s="11" t="inlineStr"/>
    </row>
    <row r="1271">
      <c r="A1271" s="11" t="inlineStr">
        <is>
          <t>1268</t>
        </is>
      </c>
      <c r="B1271" s="11" t="inlineStr">
        <is>
          <t>196</t>
        </is>
      </c>
      <c r="C1271" s="11" t="inlineStr">
        <is>
          <t>HC/tribunal/other</t>
        </is>
      </c>
      <c r="D1271" s="11" t="inlineStr">
        <is>
          <t>yes</t>
        </is>
      </c>
      <c r="E1271" s="11" t="inlineStr">
        <is>
          <t>no</t>
        </is>
      </c>
      <c r="F1271" s="11" t="inlineStr"/>
      <c r="G1271" s="11" t="inlineStr"/>
      <c r="H1271" s="11" t="inlineStr">
        <is>
          <t>c27257</t>
        </is>
      </c>
      <c r="I1271" s="11" t="inlineStr">
        <is>
          <t>name</t>
        </is>
      </c>
      <c r="J1271" s="11" t="inlineStr">
        <is>
          <t>no</t>
        </is>
      </c>
      <c r="K1271" s="11" t="inlineStr">
        <is>
          <t>no</t>
        </is>
      </c>
      <c r="L1271" s="11" t="inlineStr"/>
    </row>
    <row r="1272">
      <c r="A1272" s="11" t="inlineStr">
        <is>
          <t>1269</t>
        </is>
      </c>
      <c r="B1272" s="11" t="inlineStr">
        <is>
          <t>196</t>
        </is>
      </c>
      <c r="C1272" s="11" t="inlineStr">
        <is>
          <t>HC/tribunal/other</t>
        </is>
      </c>
      <c r="D1272" s="11" t="inlineStr">
        <is>
          <t>yes</t>
        </is>
      </c>
      <c r="E1272" s="11" t="inlineStr">
        <is>
          <t>no</t>
        </is>
      </c>
      <c r="F1272" s="11" t="inlineStr"/>
      <c r="G1272" s="11" t="inlineStr"/>
      <c r="H1272" s="11" t="inlineStr">
        <is>
          <t>c28259</t>
        </is>
      </c>
      <c r="I1272" s="11" t="inlineStr">
        <is>
          <t>name</t>
        </is>
      </c>
      <c r="J1272" s="11" t="inlineStr">
        <is>
          <t>no</t>
        </is>
      </c>
      <c r="K1272" s="11" t="inlineStr">
        <is>
          <t>no</t>
        </is>
      </c>
      <c r="L1272" s="11" t="inlineStr"/>
    </row>
    <row r="1273">
      <c r="A1273" s="11" t="inlineStr">
        <is>
          <t>1270</t>
        </is>
      </c>
      <c r="B1273" s="11" t="inlineStr">
        <is>
          <t>196</t>
        </is>
      </c>
      <c r="C1273" s="11" t="inlineStr">
        <is>
          <t>HC/tribunal/other</t>
        </is>
      </c>
      <c r="D1273" s="11" t="inlineStr">
        <is>
          <t>no</t>
        </is>
      </c>
      <c r="E1273" s="11" t="inlineStr">
        <is>
          <t>no</t>
        </is>
      </c>
      <c r="F1273" s="11" t="inlineStr"/>
      <c r="G1273" s="11" t="inlineStr"/>
      <c r="H1273" s="11" t="inlineStr"/>
      <c r="I1273" s="11" t="inlineStr"/>
      <c r="J1273" s="11" t="inlineStr">
        <is>
          <t>no</t>
        </is>
      </c>
      <c r="K1273" s="11" t="inlineStr">
        <is>
          <t>no</t>
        </is>
      </c>
      <c r="L1273" s="11" t="inlineStr"/>
    </row>
    <row r="1274">
      <c r="A1274" s="11" t="inlineStr">
        <is>
          <t>1271</t>
        </is>
      </c>
      <c r="B1274" s="11" t="inlineStr">
        <is>
          <t>196</t>
        </is>
      </c>
      <c r="C1274" s="11" t="inlineStr">
        <is>
          <t>HC/tribunal/other</t>
        </is>
      </c>
      <c r="D1274" s="11" t="inlineStr">
        <is>
          <t>no</t>
        </is>
      </c>
      <c r="E1274" s="11" t="inlineStr">
        <is>
          <t>no</t>
        </is>
      </c>
      <c r="F1274" s="11" t="inlineStr"/>
      <c r="G1274" s="11" t="inlineStr"/>
      <c r="H1274" s="11" t="inlineStr">
        <is>
          <t>c10047</t>
        </is>
      </c>
      <c r="I1274" s="11" t="inlineStr">
        <is>
          <t>cite</t>
        </is>
      </c>
      <c r="J1274" s="11" t="inlineStr">
        <is>
          <t>no</t>
        </is>
      </c>
      <c r="K1274" s="11" t="inlineStr">
        <is>
          <t>no</t>
        </is>
      </c>
      <c r="L1274" s="11" t="inlineStr"/>
    </row>
    <row r="1275">
      <c r="A1275" s="11" t="inlineStr">
        <is>
          <t>1272</t>
        </is>
      </c>
      <c r="B1275" s="11" t="inlineStr">
        <is>
          <t>196</t>
        </is>
      </c>
      <c r="C1275" s="11" t="inlineStr">
        <is>
          <t>HC/tribunal/other</t>
        </is>
      </c>
      <c r="D1275" s="11" t="inlineStr">
        <is>
          <t>no</t>
        </is>
      </c>
      <c r="E1275" s="11" t="inlineStr">
        <is>
          <t>no</t>
        </is>
      </c>
      <c r="F1275" s="11" t="inlineStr"/>
      <c r="G1275" s="11" t="inlineStr"/>
      <c r="H1275" s="11" t="inlineStr">
        <is>
          <t>c32172</t>
        </is>
      </c>
      <c r="I1275" s="11" t="inlineStr">
        <is>
          <t>name</t>
        </is>
      </c>
      <c r="J1275" s="11" t="inlineStr">
        <is>
          <t>no</t>
        </is>
      </c>
      <c r="K1275" s="11" t="inlineStr">
        <is>
          <t>no</t>
        </is>
      </c>
      <c r="L1275" s="11" t="inlineStr"/>
    </row>
    <row r="1276">
      <c r="A1276" s="11" t="inlineStr">
        <is>
          <t>1273</t>
        </is>
      </c>
      <c r="B1276" s="11" t="inlineStr">
        <is>
          <t>196</t>
        </is>
      </c>
      <c r="C1276" s="11" t="inlineStr">
        <is>
          <t>HC/tribunal/other</t>
        </is>
      </c>
      <c r="D1276" s="11" t="inlineStr">
        <is>
          <t>no</t>
        </is>
      </c>
      <c r="E1276" s="11" t="inlineStr">
        <is>
          <t>no</t>
        </is>
      </c>
      <c r="F1276" s="11" t="inlineStr"/>
      <c r="G1276" s="11" t="inlineStr"/>
      <c r="H1276" s="11" t="inlineStr">
        <is>
          <t>c26129</t>
        </is>
      </c>
      <c r="I1276" s="11" t="inlineStr">
        <is>
          <t>name</t>
        </is>
      </c>
      <c r="J1276" s="11" t="inlineStr">
        <is>
          <t>no</t>
        </is>
      </c>
      <c r="K1276" s="11" t="inlineStr">
        <is>
          <t>no</t>
        </is>
      </c>
      <c r="L1276" s="11" t="inlineStr"/>
    </row>
    <row r="1277">
      <c r="A1277" s="11" t="inlineStr">
        <is>
          <t>1274</t>
        </is>
      </c>
      <c r="B1277" s="11" t="inlineStr">
        <is>
          <t>196</t>
        </is>
      </c>
      <c r="C1277" s="11" t="inlineStr">
        <is>
          <t>HC/tribunal/other</t>
        </is>
      </c>
      <c r="D1277" s="11" t="inlineStr">
        <is>
          <t>no</t>
        </is>
      </c>
      <c r="E1277" s="11" t="inlineStr">
        <is>
          <t>yes</t>
        </is>
      </c>
      <c r="F1277" s="11" t="inlineStr"/>
      <c r="G1277" s="11" t="inlineStr"/>
      <c r="H1277" s="11" t="inlineStr">
        <is>
          <t>c36890</t>
        </is>
      </c>
      <c r="I1277" s="11" t="inlineStr">
        <is>
          <t>name</t>
        </is>
      </c>
      <c r="J1277" s="11" t="inlineStr">
        <is>
          <t>no</t>
        </is>
      </c>
      <c r="K1277" s="11" t="inlineStr">
        <is>
          <t>no</t>
        </is>
      </c>
      <c r="L1277" s="11" t="inlineStr"/>
    </row>
    <row r="1278">
      <c r="A1278" s="11" t="inlineStr">
        <is>
          <t>1275</t>
        </is>
      </c>
      <c r="B1278" s="11" t="inlineStr">
        <is>
          <t>197</t>
        </is>
      </c>
      <c r="C1278" s="11" t="inlineStr">
        <is>
          <t>HC/tribunal/other</t>
        </is>
      </c>
      <c r="D1278" s="11" t="inlineStr">
        <is>
          <t>no</t>
        </is>
      </c>
      <c r="E1278" s="11" t="inlineStr">
        <is>
          <t>no</t>
        </is>
      </c>
      <c r="F1278" s="11" t="inlineStr"/>
      <c r="G1278" s="11" t="inlineStr"/>
      <c r="H1278" s="11" t="inlineStr">
        <is>
          <t>c27040</t>
        </is>
      </c>
      <c r="I1278" s="11" t="inlineStr">
        <is>
          <t>name</t>
        </is>
      </c>
      <c r="J1278" s="11" t="inlineStr">
        <is>
          <t>no</t>
        </is>
      </c>
      <c r="K1278" s="11" t="inlineStr">
        <is>
          <t>no</t>
        </is>
      </c>
      <c r="L1278" s="11" t="inlineStr"/>
    </row>
    <row r="1279">
      <c r="A1279" s="11" t="inlineStr">
        <is>
          <t>1276</t>
        </is>
      </c>
      <c r="B1279" s="11" t="inlineStr">
        <is>
          <t>197</t>
        </is>
      </c>
      <c r="C1279" s="11" t="inlineStr">
        <is>
          <t>HC/tribunal/other</t>
        </is>
      </c>
      <c r="D1279" s="11" t="inlineStr">
        <is>
          <t>no</t>
        </is>
      </c>
      <c r="E1279" s="11" t="inlineStr">
        <is>
          <t>no</t>
        </is>
      </c>
      <c r="F1279" s="11" t="inlineStr"/>
      <c r="G1279" s="11" t="inlineStr"/>
      <c r="H1279" s="11" t="inlineStr">
        <is>
          <t>c27820</t>
        </is>
      </c>
      <c r="I1279" s="11" t="inlineStr">
        <is>
          <t>name</t>
        </is>
      </c>
      <c r="J1279" s="11" t="inlineStr">
        <is>
          <t>no</t>
        </is>
      </c>
      <c r="K1279" s="11" t="inlineStr">
        <is>
          <t>no</t>
        </is>
      </c>
      <c r="L1279" s="11" t="inlineStr"/>
    </row>
    <row r="1280">
      <c r="A1280" s="11" t="inlineStr">
        <is>
          <t>1277</t>
        </is>
      </c>
      <c r="B1280" s="11" t="inlineStr">
        <is>
          <t>197</t>
        </is>
      </c>
      <c r="C1280" s="11" t="inlineStr">
        <is>
          <t>HC/tribunal/other</t>
        </is>
      </c>
      <c r="D1280" s="11" t="inlineStr">
        <is>
          <t>no</t>
        </is>
      </c>
      <c r="E1280" s="11" t="inlineStr">
        <is>
          <t>no</t>
        </is>
      </c>
      <c r="F1280" s="11" t="inlineStr"/>
      <c r="G1280" s="11" t="inlineStr"/>
      <c r="H1280" s="11" t="inlineStr">
        <is>
          <t>c42483</t>
        </is>
      </c>
      <c r="I1280" s="11" t="inlineStr">
        <is>
          <t>name</t>
        </is>
      </c>
      <c r="J1280" s="11" t="inlineStr">
        <is>
          <t>no</t>
        </is>
      </c>
      <c r="K1280" s="11" t="inlineStr">
        <is>
          <t>no</t>
        </is>
      </c>
      <c r="L1280" s="11" t="inlineStr"/>
    </row>
    <row r="1281">
      <c r="A1281" s="11" t="inlineStr">
        <is>
          <t>1278</t>
        </is>
      </c>
      <c r="B1281" s="11" t="inlineStr">
        <is>
          <t>197</t>
        </is>
      </c>
      <c r="C1281" s="11" t="inlineStr">
        <is>
          <t>HC/tribunal/other</t>
        </is>
      </c>
      <c r="D1281" s="11" t="inlineStr">
        <is>
          <t>yes</t>
        </is>
      </c>
      <c r="E1281" s="11" t="inlineStr">
        <is>
          <t>yes</t>
        </is>
      </c>
      <c r="F1281" s="11" t="inlineStr"/>
      <c r="G1281" s="11" t="inlineStr"/>
      <c r="H1281" s="11" t="inlineStr">
        <is>
          <t>c38986</t>
        </is>
      </c>
      <c r="I1281" s="11" t="inlineStr">
        <is>
          <t>name</t>
        </is>
      </c>
      <c r="J1281" s="11" t="inlineStr">
        <is>
          <t>no</t>
        </is>
      </c>
      <c r="K1281" s="11" t="inlineStr">
        <is>
          <t>no</t>
        </is>
      </c>
      <c r="L1281" s="11" t="inlineStr"/>
    </row>
    <row r="1282">
      <c r="A1282" s="11" t="inlineStr">
        <is>
          <t>1279</t>
        </is>
      </c>
      <c r="B1282" s="11" t="inlineStr">
        <is>
          <t>197</t>
        </is>
      </c>
      <c r="C1282" s="11" t="inlineStr">
        <is>
          <t>HC/tribunal/other</t>
        </is>
      </c>
      <c r="D1282" s="11" t="inlineStr">
        <is>
          <t>yes</t>
        </is>
      </c>
      <c r="E1282" s="11" t="inlineStr">
        <is>
          <t>no</t>
        </is>
      </c>
      <c r="F1282" s="11" t="inlineStr"/>
      <c r="G1282" s="11" t="inlineStr"/>
      <c r="H1282" s="11" t="inlineStr">
        <is>
          <t>c9518</t>
        </is>
      </c>
      <c r="I1282" s="11" t="inlineStr">
        <is>
          <t>cite</t>
        </is>
      </c>
      <c r="J1282" s="11" t="inlineStr">
        <is>
          <t>no</t>
        </is>
      </c>
      <c r="K1282" s="11" t="inlineStr">
        <is>
          <t>no</t>
        </is>
      </c>
      <c r="L1282" s="11" t="inlineStr"/>
    </row>
    <row r="1283">
      <c r="A1283" s="11" t="inlineStr">
        <is>
          <t>1280</t>
        </is>
      </c>
      <c r="B1283" s="11" t="inlineStr">
        <is>
          <t>197</t>
        </is>
      </c>
      <c r="C1283" s="11" t="inlineStr">
        <is>
          <t>HC/tribunal/other</t>
        </is>
      </c>
      <c r="D1283" s="11" t="inlineStr">
        <is>
          <t>no</t>
        </is>
      </c>
      <c r="E1283" s="11" t="inlineStr">
        <is>
          <t>yes</t>
        </is>
      </c>
      <c r="F1283" s="11" t="inlineStr"/>
      <c r="G1283" s="11" t="inlineStr"/>
      <c r="H1283" s="11" t="inlineStr"/>
      <c r="I1283" s="11" t="inlineStr"/>
      <c r="J1283" s="11" t="inlineStr">
        <is>
          <t>no</t>
        </is>
      </c>
      <c r="K1283" s="11" t="inlineStr">
        <is>
          <t>no</t>
        </is>
      </c>
      <c r="L1283" s="11" t="inlineStr"/>
    </row>
    <row r="1284">
      <c r="A1284" s="11" t="inlineStr">
        <is>
          <t>1281</t>
        </is>
      </c>
      <c r="B1284" s="11" t="inlineStr">
        <is>
          <t>197</t>
        </is>
      </c>
      <c r="C1284" s="11" t="inlineStr">
        <is>
          <t>HC/tribunal/other</t>
        </is>
      </c>
      <c r="D1284" s="11" t="inlineStr">
        <is>
          <t>no</t>
        </is>
      </c>
      <c r="E1284" s="11" t="inlineStr">
        <is>
          <t>no</t>
        </is>
      </c>
      <c r="F1284" s="11" t="inlineStr"/>
      <c r="G1284" s="11" t="inlineStr"/>
      <c r="H1284" s="11" t="inlineStr">
        <is>
          <t>c18384</t>
        </is>
      </c>
      <c r="I1284" s="11" t="inlineStr">
        <is>
          <t>cite</t>
        </is>
      </c>
      <c r="J1284" s="11" t="inlineStr">
        <is>
          <t>no</t>
        </is>
      </c>
      <c r="K1284" s="11" t="inlineStr">
        <is>
          <t>no</t>
        </is>
      </c>
      <c r="L1284" s="11" t="inlineStr"/>
    </row>
    <row r="1285">
      <c r="A1285" s="11" t="inlineStr">
        <is>
          <t>1282</t>
        </is>
      </c>
      <c r="B1285" s="11" t="inlineStr">
        <is>
          <t>198</t>
        </is>
      </c>
      <c r="C1285" s="11" t="inlineStr">
        <is>
          <t>HC/tribunal/other</t>
        </is>
      </c>
      <c r="D1285" s="11" t="inlineStr">
        <is>
          <t>no</t>
        </is>
      </c>
      <c r="E1285" s="11" t="inlineStr">
        <is>
          <t>no</t>
        </is>
      </c>
      <c r="F1285" s="11" t="inlineStr"/>
      <c r="G1285" s="11" t="inlineStr"/>
      <c r="H1285" s="11" t="inlineStr">
        <is>
          <t>c29031</t>
        </is>
      </c>
      <c r="I1285" s="11" t="inlineStr">
        <is>
          <t>cite</t>
        </is>
      </c>
      <c r="J1285" s="11" t="inlineStr">
        <is>
          <t>no</t>
        </is>
      </c>
      <c r="K1285" s="11" t="inlineStr">
        <is>
          <t>no</t>
        </is>
      </c>
      <c r="L1285" s="11" t="inlineStr"/>
    </row>
    <row r="1286">
      <c r="A1286" s="11" t="inlineStr">
        <is>
          <t>1283</t>
        </is>
      </c>
      <c r="B1286" s="11" t="inlineStr">
        <is>
          <t>198</t>
        </is>
      </c>
      <c r="C1286" s="11" t="inlineStr">
        <is>
          <t>HC/tribunal/other</t>
        </is>
      </c>
      <c r="D1286" s="11" t="inlineStr">
        <is>
          <t>no</t>
        </is>
      </c>
      <c r="E1286" s="11" t="inlineStr">
        <is>
          <t>no</t>
        </is>
      </c>
      <c r="F1286" s="11" t="inlineStr"/>
      <c r="G1286" s="11" t="inlineStr"/>
      <c r="H1286" s="11" t="inlineStr">
        <is>
          <t>c32760</t>
        </is>
      </c>
      <c r="I1286" s="11" t="inlineStr">
        <is>
          <t>name</t>
        </is>
      </c>
      <c r="J1286" s="11" t="inlineStr">
        <is>
          <t>no</t>
        </is>
      </c>
      <c r="K1286" s="11" t="inlineStr">
        <is>
          <t>no</t>
        </is>
      </c>
      <c r="L1286" s="11" t="inlineStr"/>
    </row>
    <row r="1287">
      <c r="A1287" s="11" t="inlineStr">
        <is>
          <t>1284</t>
        </is>
      </c>
      <c r="B1287" s="11" t="inlineStr">
        <is>
          <t>198</t>
        </is>
      </c>
      <c r="C1287" s="11" t="inlineStr">
        <is>
          <t>HC/tribunal/other</t>
        </is>
      </c>
      <c r="D1287" s="11" t="inlineStr">
        <is>
          <t>yes</t>
        </is>
      </c>
      <c r="E1287" s="11" t="inlineStr">
        <is>
          <t>yes</t>
        </is>
      </c>
      <c r="F1287" s="11" t="inlineStr"/>
      <c r="G1287" s="11" t="inlineStr"/>
      <c r="H1287" s="11" t="inlineStr"/>
      <c r="I1287" s="11" t="inlineStr"/>
      <c r="J1287" s="11" t="inlineStr">
        <is>
          <t>no</t>
        </is>
      </c>
      <c r="K1287" s="11" t="inlineStr">
        <is>
          <t>no</t>
        </is>
      </c>
      <c r="L1287" s="11" t="inlineStr"/>
    </row>
    <row r="1288">
      <c r="A1288" s="11" t="inlineStr">
        <is>
          <t>1285</t>
        </is>
      </c>
      <c r="B1288" s="11" t="inlineStr">
        <is>
          <t>198</t>
        </is>
      </c>
      <c r="C1288" s="11" t="inlineStr">
        <is>
          <t>HC/tribunal/other</t>
        </is>
      </c>
      <c r="D1288" s="11" t="inlineStr">
        <is>
          <t>no</t>
        </is>
      </c>
      <c r="E1288" s="11" t="inlineStr">
        <is>
          <t>no</t>
        </is>
      </c>
      <c r="F1288" s="11" t="inlineStr"/>
      <c r="G1288" s="11" t="inlineStr"/>
      <c r="H1288" s="11" t="inlineStr"/>
      <c r="I1288" s="11" t="inlineStr"/>
      <c r="J1288" s="11" t="inlineStr">
        <is>
          <t>no</t>
        </is>
      </c>
      <c r="K1288" s="11" t="inlineStr">
        <is>
          <t>no</t>
        </is>
      </c>
      <c r="L1288" s="11" t="inlineStr"/>
    </row>
    <row r="1289">
      <c r="A1289" s="11" t="inlineStr">
        <is>
          <t>1286</t>
        </is>
      </c>
      <c r="B1289" s="11" t="inlineStr">
        <is>
          <t>198</t>
        </is>
      </c>
      <c r="C1289" s="11" t="inlineStr">
        <is>
          <t>HC/tribunal/other</t>
        </is>
      </c>
      <c r="D1289" s="11" t="inlineStr">
        <is>
          <t>no</t>
        </is>
      </c>
      <c r="E1289" s="11" t="inlineStr">
        <is>
          <t>no</t>
        </is>
      </c>
      <c r="F1289" s="11" t="inlineStr"/>
      <c r="G1289" s="11" t="inlineStr"/>
      <c r="H1289" s="11" t="inlineStr">
        <is>
          <t>c10171</t>
        </is>
      </c>
      <c r="I1289" s="11" t="inlineStr">
        <is>
          <t>cite</t>
        </is>
      </c>
      <c r="J1289" s="11" t="inlineStr">
        <is>
          <t>no</t>
        </is>
      </c>
      <c r="K1289" s="11" t="inlineStr">
        <is>
          <t>no</t>
        </is>
      </c>
      <c r="L1289" s="11" t="inlineStr"/>
    </row>
    <row r="1290">
      <c r="A1290" s="11" t="inlineStr">
        <is>
          <t>1287</t>
        </is>
      </c>
      <c r="B1290" s="11" t="inlineStr">
        <is>
          <t>198</t>
        </is>
      </c>
      <c r="C1290" s="11" t="inlineStr">
        <is>
          <t>HC/tribunal/other</t>
        </is>
      </c>
      <c r="D1290" s="11" t="inlineStr">
        <is>
          <t>yes</t>
        </is>
      </c>
      <c r="E1290" s="11" t="inlineStr">
        <is>
          <t>no</t>
        </is>
      </c>
      <c r="F1290" s="11" t="inlineStr"/>
      <c r="G1290" s="11" t="inlineStr"/>
      <c r="H1290" s="11" t="inlineStr"/>
      <c r="I1290" s="11" t="inlineStr"/>
      <c r="J1290" s="11" t="inlineStr">
        <is>
          <t>no</t>
        </is>
      </c>
      <c r="K1290" s="11" t="inlineStr">
        <is>
          <t>no</t>
        </is>
      </c>
      <c r="L1290" s="11" t="inlineStr"/>
    </row>
    <row r="1291">
      <c r="A1291" s="11" t="inlineStr">
        <is>
          <t>1288</t>
        </is>
      </c>
      <c r="B1291" s="11" t="inlineStr">
        <is>
          <t>199</t>
        </is>
      </c>
      <c r="C1291" s="11" t="inlineStr">
        <is>
          <t>HC/tribunal/other</t>
        </is>
      </c>
      <c r="D1291" s="11" t="inlineStr">
        <is>
          <t>no</t>
        </is>
      </c>
      <c r="E1291" s="11" t="inlineStr">
        <is>
          <t>no</t>
        </is>
      </c>
      <c r="F1291" s="11" t="inlineStr"/>
      <c r="G1291" s="11" t="inlineStr"/>
      <c r="H1291" s="11" t="inlineStr">
        <is>
          <t>c29785</t>
        </is>
      </c>
      <c r="I1291" s="11" t="inlineStr">
        <is>
          <t>name</t>
        </is>
      </c>
      <c r="J1291" s="11" t="inlineStr">
        <is>
          <t>no</t>
        </is>
      </c>
      <c r="K1291" s="11" t="inlineStr">
        <is>
          <t>no</t>
        </is>
      </c>
      <c r="L1291" s="11" t="inlineStr"/>
    </row>
    <row r="1292">
      <c r="A1292" s="11" t="inlineStr">
        <is>
          <t>1289</t>
        </is>
      </c>
      <c r="B1292" s="11" t="inlineStr">
        <is>
          <t>199</t>
        </is>
      </c>
      <c r="C1292" s="11" t="inlineStr">
        <is>
          <t>HC/tribunal/other</t>
        </is>
      </c>
      <c r="D1292" s="11" t="inlineStr">
        <is>
          <t>no</t>
        </is>
      </c>
      <c r="E1292" s="11" t="inlineStr">
        <is>
          <t>no</t>
        </is>
      </c>
      <c r="F1292" s="11" t="inlineStr"/>
      <c r="G1292" s="11" t="inlineStr"/>
      <c r="H1292" s="11" t="inlineStr">
        <is>
          <t>c34606</t>
        </is>
      </c>
      <c r="I1292" s="11" t="inlineStr">
        <is>
          <t>cite</t>
        </is>
      </c>
      <c r="J1292" s="11" t="inlineStr">
        <is>
          <t>no</t>
        </is>
      </c>
      <c r="K1292" s="11" t="inlineStr">
        <is>
          <t>no</t>
        </is>
      </c>
      <c r="L1292" s="11" t="inlineStr"/>
    </row>
    <row r="1293">
      <c r="A1293" s="11" t="inlineStr">
        <is>
          <t>1290</t>
        </is>
      </c>
      <c r="B1293" s="11" t="inlineStr">
        <is>
          <t>199</t>
        </is>
      </c>
      <c r="C1293" s="11" t="inlineStr">
        <is>
          <t>HC/tribunal/other</t>
        </is>
      </c>
      <c r="D1293" s="11" t="inlineStr">
        <is>
          <t>no</t>
        </is>
      </c>
      <c r="E1293" s="11" t="inlineStr">
        <is>
          <t>no</t>
        </is>
      </c>
      <c r="F1293" s="11" t="inlineStr"/>
      <c r="G1293" s="11" t="inlineStr"/>
      <c r="H1293" s="11" t="inlineStr">
        <is>
          <t>c31857</t>
        </is>
      </c>
      <c r="I1293" s="11" t="inlineStr">
        <is>
          <t>name</t>
        </is>
      </c>
      <c r="J1293" s="11" t="inlineStr">
        <is>
          <t>no</t>
        </is>
      </c>
      <c r="K1293" s="11" t="inlineStr">
        <is>
          <t>no</t>
        </is>
      </c>
      <c r="L1293" s="11" t="inlineStr"/>
    </row>
    <row r="1294">
      <c r="A1294" s="11" t="inlineStr">
        <is>
          <t>1291</t>
        </is>
      </c>
      <c r="B1294" s="11" t="inlineStr">
        <is>
          <t>199</t>
        </is>
      </c>
      <c r="C1294" s="11" t="inlineStr">
        <is>
          <t>HC/tribunal/other</t>
        </is>
      </c>
      <c r="D1294" s="11" t="inlineStr">
        <is>
          <t>yes</t>
        </is>
      </c>
      <c r="E1294" s="11" t="inlineStr">
        <is>
          <t>no</t>
        </is>
      </c>
      <c r="F1294" s="11" t="inlineStr"/>
      <c r="G1294" s="11" t="inlineStr"/>
      <c r="H1294" s="11" t="inlineStr">
        <is>
          <t>c34483</t>
        </is>
      </c>
      <c r="I1294" s="11" t="inlineStr">
        <is>
          <t>cite</t>
        </is>
      </c>
      <c r="J1294" s="11" t="inlineStr">
        <is>
          <t>no</t>
        </is>
      </c>
      <c r="K1294" s="11" t="inlineStr">
        <is>
          <t>no</t>
        </is>
      </c>
      <c r="L1294" s="11" t="inlineStr"/>
    </row>
    <row r="1295">
      <c r="A1295" s="11" t="inlineStr">
        <is>
          <t>1292</t>
        </is>
      </c>
      <c r="B1295" s="11" t="inlineStr">
        <is>
          <t>199</t>
        </is>
      </c>
      <c r="C1295" s="11" t="inlineStr">
        <is>
          <t>HC/tribunal/other</t>
        </is>
      </c>
      <c r="D1295" s="11" t="inlineStr">
        <is>
          <t>no</t>
        </is>
      </c>
      <c r="E1295" s="11" t="inlineStr">
        <is>
          <t>yes</t>
        </is>
      </c>
      <c r="F1295" s="11" t="inlineStr"/>
      <c r="G1295" s="11" t="inlineStr"/>
      <c r="H1295" s="11" t="inlineStr">
        <is>
          <t>c34583</t>
        </is>
      </c>
      <c r="I1295" s="11" t="inlineStr">
        <is>
          <t>cite</t>
        </is>
      </c>
      <c r="J1295" s="11" t="inlineStr">
        <is>
          <t>no</t>
        </is>
      </c>
      <c r="K1295" s="11" t="inlineStr">
        <is>
          <t>no</t>
        </is>
      </c>
      <c r="L1295" s="11" t="inlineStr"/>
    </row>
    <row r="1296">
      <c r="A1296" s="11" t="inlineStr">
        <is>
          <t>1293</t>
        </is>
      </c>
      <c r="B1296" s="11" t="inlineStr">
        <is>
          <t>199</t>
        </is>
      </c>
      <c r="C1296" s="11" t="inlineStr">
        <is>
          <t>HC/tribunal/other</t>
        </is>
      </c>
      <c r="D1296" s="11" t="inlineStr">
        <is>
          <t>no</t>
        </is>
      </c>
      <c r="E1296" s="11" t="inlineStr">
        <is>
          <t>no</t>
        </is>
      </c>
      <c r="F1296" s="11" t="inlineStr"/>
      <c r="G1296" s="11" t="inlineStr"/>
      <c r="H1296" s="11" t="inlineStr">
        <is>
          <t>c10839</t>
        </is>
      </c>
      <c r="I1296" s="11" t="inlineStr">
        <is>
          <t>cite</t>
        </is>
      </c>
      <c r="J1296" s="11" t="inlineStr">
        <is>
          <t>no</t>
        </is>
      </c>
      <c r="K1296" s="11" t="inlineStr">
        <is>
          <t>no</t>
        </is>
      </c>
      <c r="L1296" s="11" t="inlineStr"/>
    </row>
    <row r="1297">
      <c r="A1297" s="11" t="inlineStr">
        <is>
          <t>1294</t>
        </is>
      </c>
      <c r="B1297" s="11" t="inlineStr">
        <is>
          <t>200</t>
        </is>
      </c>
      <c r="C1297" s="11" t="inlineStr">
        <is>
          <t>HC/tribunal/other</t>
        </is>
      </c>
      <c r="D1297" s="11" t="inlineStr">
        <is>
          <t>yes</t>
        </is>
      </c>
      <c r="E1297" s="11" t="inlineStr">
        <is>
          <t>no</t>
        </is>
      </c>
      <c r="F1297" s="11" t="inlineStr"/>
      <c r="G1297" s="11" t="inlineStr"/>
      <c r="H1297" s="11" t="inlineStr">
        <is>
          <t>c33825</t>
        </is>
      </c>
      <c r="I1297" s="11" t="inlineStr">
        <is>
          <t>name</t>
        </is>
      </c>
      <c r="J1297" s="11" t="inlineStr">
        <is>
          <t>no</t>
        </is>
      </c>
      <c r="K1297" s="11" t="inlineStr">
        <is>
          <t>no</t>
        </is>
      </c>
      <c r="L1297" s="11" t="inlineStr"/>
    </row>
    <row r="1298">
      <c r="A1298" s="11" t="inlineStr">
        <is>
          <t>1295</t>
        </is>
      </c>
      <c r="B1298" s="11" t="inlineStr">
        <is>
          <t>200</t>
        </is>
      </c>
      <c r="C1298" s="11" t="inlineStr">
        <is>
          <t>HC/tribunal/other</t>
        </is>
      </c>
      <c r="D1298" s="11" t="inlineStr">
        <is>
          <t>no</t>
        </is>
      </c>
      <c r="E1298" s="11" t="inlineStr">
        <is>
          <t>no</t>
        </is>
      </c>
      <c r="F1298" s="11" t="inlineStr"/>
      <c r="G1298" s="11" t="inlineStr"/>
      <c r="H1298" s="11" t="inlineStr">
        <is>
          <t>c10772</t>
        </is>
      </c>
      <c r="I1298" s="11" t="inlineStr">
        <is>
          <t>cite</t>
        </is>
      </c>
      <c r="J1298" s="11" t="inlineStr">
        <is>
          <t>no</t>
        </is>
      </c>
      <c r="K1298" s="11" t="inlineStr">
        <is>
          <t>no</t>
        </is>
      </c>
      <c r="L1298" s="11" t="inlineStr"/>
    </row>
    <row r="1299">
      <c r="A1299" s="11" t="inlineStr">
        <is>
          <t>1296</t>
        </is>
      </c>
      <c r="B1299" s="11" t="inlineStr">
        <is>
          <t>200</t>
        </is>
      </c>
      <c r="C1299" s="11" t="inlineStr">
        <is>
          <t>HC/tribunal/other</t>
        </is>
      </c>
      <c r="D1299" s="11" t="inlineStr">
        <is>
          <t>yes</t>
        </is>
      </c>
      <c r="E1299" s="11" t="inlineStr">
        <is>
          <t>no</t>
        </is>
      </c>
      <c r="F1299" s="11" t="inlineStr"/>
      <c r="G1299" s="11" t="inlineStr"/>
      <c r="H1299" s="11" t="inlineStr">
        <is>
          <t>c37702</t>
        </is>
      </c>
      <c r="I1299" s="11" t="inlineStr">
        <is>
          <t>cite</t>
        </is>
      </c>
      <c r="J1299" s="11" t="inlineStr">
        <is>
          <t>no</t>
        </is>
      </c>
      <c r="K1299" s="11" t="inlineStr">
        <is>
          <t>no</t>
        </is>
      </c>
      <c r="L1299" s="11" t="inlineStr"/>
    </row>
    <row r="1300">
      <c r="A1300" s="11" t="inlineStr">
        <is>
          <t>1297</t>
        </is>
      </c>
      <c r="B1300" s="11" t="inlineStr">
        <is>
          <t>200</t>
        </is>
      </c>
      <c r="C1300" s="11" t="inlineStr">
        <is>
          <t>HC/tribunal/other</t>
        </is>
      </c>
      <c r="D1300" s="11" t="inlineStr">
        <is>
          <t>no</t>
        </is>
      </c>
      <c r="E1300" s="11" t="inlineStr">
        <is>
          <t>no</t>
        </is>
      </c>
      <c r="F1300" s="11" t="inlineStr"/>
      <c r="G1300" s="11" t="inlineStr"/>
      <c r="H1300" s="11" t="inlineStr"/>
      <c r="I1300" s="11" t="inlineStr"/>
      <c r="J1300" s="11" t="inlineStr">
        <is>
          <t>no</t>
        </is>
      </c>
      <c r="K1300" s="11" t="inlineStr">
        <is>
          <t>no</t>
        </is>
      </c>
      <c r="L1300" s="11" t="inlineStr"/>
    </row>
    <row r="1301">
      <c r="A1301" s="11" t="inlineStr">
        <is>
          <t>1298</t>
        </is>
      </c>
      <c r="B1301" s="11" t="inlineStr">
        <is>
          <t>200</t>
        </is>
      </c>
      <c r="C1301" s="11" t="inlineStr">
        <is>
          <t>HC/tribunal/other</t>
        </is>
      </c>
      <c r="D1301" s="11" t="inlineStr">
        <is>
          <t>no</t>
        </is>
      </c>
      <c r="E1301" s="11" t="inlineStr">
        <is>
          <t>no</t>
        </is>
      </c>
      <c r="F1301" s="11" t="inlineStr"/>
      <c r="G1301" s="11" t="inlineStr"/>
      <c r="H1301" s="11" t="inlineStr"/>
      <c r="I1301" s="11" t="inlineStr"/>
      <c r="J1301" s="11" t="inlineStr">
        <is>
          <t>no</t>
        </is>
      </c>
      <c r="K1301" s="11" t="inlineStr">
        <is>
          <t>no</t>
        </is>
      </c>
      <c r="L1301" s="11" t="inlineStr"/>
    </row>
    <row r="1302">
      <c r="A1302" s="11" t="inlineStr">
        <is>
          <t>1299</t>
        </is>
      </c>
      <c r="B1302" s="11" t="inlineStr">
        <is>
          <t>200</t>
        </is>
      </c>
      <c r="C1302" s="11" t="inlineStr">
        <is>
          <t>HC/tribunal/other</t>
        </is>
      </c>
      <c r="D1302" s="11" t="inlineStr">
        <is>
          <t>no</t>
        </is>
      </c>
      <c r="E1302" s="11" t="inlineStr">
        <is>
          <t>no</t>
        </is>
      </c>
      <c r="F1302" s="11" t="inlineStr"/>
      <c r="G1302" s="11" t="inlineStr"/>
      <c r="H1302" s="11" t="inlineStr">
        <is>
          <t>c9230</t>
        </is>
      </c>
      <c r="I1302" s="11" t="inlineStr">
        <is>
          <t>cite</t>
        </is>
      </c>
      <c r="J1302" s="11" t="inlineStr">
        <is>
          <t>no</t>
        </is>
      </c>
      <c r="K1302" s="11" t="inlineStr">
        <is>
          <t>no</t>
        </is>
      </c>
      <c r="L1302" s="11" t="inlineStr"/>
    </row>
    <row r="1303">
      <c r="A1303" s="11" t="inlineStr">
        <is>
          <t>1300</t>
        </is>
      </c>
      <c r="B1303" s="11" t="inlineStr">
        <is>
          <t>200</t>
        </is>
      </c>
      <c r="C1303" s="11" t="inlineStr">
        <is>
          <t>HC/tribunal/other</t>
        </is>
      </c>
      <c r="D1303" s="11" t="inlineStr">
        <is>
          <t>yes</t>
        </is>
      </c>
      <c r="E1303" s="11" t="inlineStr">
        <is>
          <t>no</t>
        </is>
      </c>
      <c r="F1303" s="11" t="inlineStr"/>
      <c r="G1303" s="11" t="inlineStr"/>
      <c r="H1303" s="11" t="inlineStr">
        <is>
          <t>c37943</t>
        </is>
      </c>
      <c r="I1303" s="11" t="inlineStr">
        <is>
          <t>name</t>
        </is>
      </c>
      <c r="J1303" s="11" t="inlineStr">
        <is>
          <t>no</t>
        </is>
      </c>
      <c r="K1303" s="11" t="inlineStr">
        <is>
          <t>no</t>
        </is>
      </c>
      <c r="L1303" s="11" t="inlineStr"/>
    </row>
    <row r="1304">
      <c r="A1304" s="11" t="inlineStr">
        <is>
          <t>1301</t>
        </is>
      </c>
      <c r="B1304" s="11" t="inlineStr">
        <is>
          <t>201</t>
        </is>
      </c>
      <c r="C1304" s="11" t="inlineStr">
        <is>
          <t>HC/tribunal/other</t>
        </is>
      </c>
      <c r="D1304" s="11" t="inlineStr">
        <is>
          <t>no</t>
        </is>
      </c>
      <c r="E1304" s="11" t="inlineStr">
        <is>
          <t>no</t>
        </is>
      </c>
      <c r="F1304" s="11" t="inlineStr"/>
      <c r="G1304" s="11" t="inlineStr"/>
      <c r="H1304" s="11" t="inlineStr">
        <is>
          <t>c18711</t>
        </is>
      </c>
      <c r="I1304" s="11" t="inlineStr">
        <is>
          <t>name</t>
        </is>
      </c>
      <c r="J1304" s="11" t="inlineStr">
        <is>
          <t>no</t>
        </is>
      </c>
      <c r="K1304" s="11" t="inlineStr">
        <is>
          <t>no</t>
        </is>
      </c>
      <c r="L1304" s="11" t="inlineStr"/>
    </row>
    <row r="1305">
      <c r="A1305" s="11" t="inlineStr">
        <is>
          <t>1302</t>
        </is>
      </c>
      <c r="B1305" s="11" t="inlineStr">
        <is>
          <t>201</t>
        </is>
      </c>
      <c r="C1305" s="11" t="inlineStr">
        <is>
          <t>HC/tribunal/other</t>
        </is>
      </c>
      <c r="D1305" s="11" t="inlineStr">
        <is>
          <t>yes</t>
        </is>
      </c>
      <c r="E1305" s="11" t="inlineStr">
        <is>
          <t>no</t>
        </is>
      </c>
      <c r="F1305" s="11" t="inlineStr"/>
      <c r="G1305" s="11" t="inlineStr"/>
      <c r="H1305" s="11" t="inlineStr">
        <is>
          <t>c19135</t>
        </is>
      </c>
      <c r="I1305" s="11" t="inlineStr">
        <is>
          <t>name</t>
        </is>
      </c>
      <c r="J1305" s="11" t="inlineStr">
        <is>
          <t>no</t>
        </is>
      </c>
      <c r="K1305" s="11" t="inlineStr">
        <is>
          <t>no</t>
        </is>
      </c>
      <c r="L1305" s="11" t="inlineStr"/>
    </row>
    <row r="1306">
      <c r="A1306" s="11" t="inlineStr">
        <is>
          <t>1303</t>
        </is>
      </c>
      <c r="B1306" s="11" t="inlineStr">
        <is>
          <t>201</t>
        </is>
      </c>
      <c r="C1306" s="11" t="inlineStr">
        <is>
          <t>HC/tribunal/other</t>
        </is>
      </c>
      <c r="D1306" s="11" t="inlineStr">
        <is>
          <t>no</t>
        </is>
      </c>
      <c r="E1306" s="11" t="inlineStr">
        <is>
          <t>no</t>
        </is>
      </c>
      <c r="F1306" s="11" t="inlineStr"/>
      <c r="G1306" s="11" t="inlineStr"/>
      <c r="H1306" s="11" t="inlineStr"/>
      <c r="I1306" s="11" t="inlineStr"/>
      <c r="J1306" s="11" t="inlineStr">
        <is>
          <t>no</t>
        </is>
      </c>
      <c r="K1306" s="11" t="inlineStr">
        <is>
          <t>no</t>
        </is>
      </c>
      <c r="L1306" s="11" t="inlineStr"/>
    </row>
    <row r="1307">
      <c r="A1307" s="11" t="inlineStr">
        <is>
          <t>1304</t>
        </is>
      </c>
      <c r="B1307" s="11" t="inlineStr">
        <is>
          <t>201</t>
        </is>
      </c>
      <c r="C1307" s="11" t="inlineStr">
        <is>
          <t>HC/tribunal/other</t>
        </is>
      </c>
      <c r="D1307" s="11" t="inlineStr">
        <is>
          <t>no</t>
        </is>
      </c>
      <c r="E1307" s="11" t="inlineStr">
        <is>
          <t>no</t>
        </is>
      </c>
      <c r="F1307" s="11" t="inlineStr"/>
      <c r="G1307" s="11" t="inlineStr"/>
      <c r="H1307" s="11" t="inlineStr">
        <is>
          <t>bS_1997_3_664_667</t>
        </is>
      </c>
      <c r="I1307" s="11" t="inlineStr">
        <is>
          <t>name</t>
        </is>
      </c>
      <c r="J1307" s="11" t="inlineStr">
        <is>
          <t>no</t>
        </is>
      </c>
      <c r="K1307" s="11" t="inlineStr">
        <is>
          <t>no</t>
        </is>
      </c>
      <c r="L1307" s="11" t="inlineStr"/>
    </row>
    <row r="1308">
      <c r="A1308" s="11" t="inlineStr">
        <is>
          <t>1305</t>
        </is>
      </c>
      <c r="B1308" s="11" t="inlineStr">
        <is>
          <t>201</t>
        </is>
      </c>
      <c r="C1308" s="11" t="inlineStr">
        <is>
          <t>HC/tribunal/other</t>
        </is>
      </c>
      <c r="D1308" s="11" t="inlineStr">
        <is>
          <t>yes</t>
        </is>
      </c>
      <c r="E1308" s="11" t="inlineStr">
        <is>
          <t>no</t>
        </is>
      </c>
      <c r="F1308" s="11" t="inlineStr"/>
      <c r="G1308" s="11" t="inlineStr"/>
      <c r="H1308" s="11" t="inlineStr">
        <is>
          <t>c29452</t>
        </is>
      </c>
      <c r="I1308" s="11" t="inlineStr">
        <is>
          <t>name</t>
        </is>
      </c>
      <c r="J1308" s="11" t="inlineStr">
        <is>
          <t>no</t>
        </is>
      </c>
      <c r="K1308" s="11" t="inlineStr">
        <is>
          <t>no</t>
        </is>
      </c>
      <c r="L1308" s="11" t="inlineStr"/>
    </row>
    <row r="1309">
      <c r="A1309" s="11" t="inlineStr">
        <is>
          <t>1306</t>
        </is>
      </c>
      <c r="B1309" s="11" t="inlineStr">
        <is>
          <t>201</t>
        </is>
      </c>
      <c r="C1309" s="11" t="inlineStr">
        <is>
          <t>HC/tribunal/other</t>
        </is>
      </c>
      <c r="D1309" s="11" t="inlineStr">
        <is>
          <t>no</t>
        </is>
      </c>
      <c r="E1309" s="11" t="inlineStr">
        <is>
          <t>no</t>
        </is>
      </c>
      <c r="F1309" s="11" t="inlineStr"/>
      <c r="G1309" s="11" t="inlineStr"/>
      <c r="H1309" s="11" t="inlineStr">
        <is>
          <t>c32942</t>
        </is>
      </c>
      <c r="I1309" s="11" t="inlineStr">
        <is>
          <t>name</t>
        </is>
      </c>
      <c r="J1309" s="11" t="inlineStr">
        <is>
          <t>no</t>
        </is>
      </c>
      <c r="K1309" s="11" t="inlineStr">
        <is>
          <t>no</t>
        </is>
      </c>
      <c r="L1309" s="11" t="inlineStr"/>
    </row>
    <row r="1310">
      <c r="A1310" s="11" t="inlineStr">
        <is>
          <t>1307</t>
        </is>
      </c>
      <c r="B1310" s="11" t="inlineStr">
        <is>
          <t>202</t>
        </is>
      </c>
      <c r="C1310" s="11" t="inlineStr">
        <is>
          <t>HC/tribunal/other</t>
        </is>
      </c>
      <c r="D1310" s="11" t="inlineStr">
        <is>
          <t>no</t>
        </is>
      </c>
      <c r="E1310" s="11" t="inlineStr">
        <is>
          <t>no</t>
        </is>
      </c>
      <c r="F1310" s="11" t="inlineStr"/>
      <c r="G1310" s="11" t="inlineStr"/>
      <c r="H1310" s="11" t="inlineStr">
        <is>
          <t>c5652</t>
        </is>
      </c>
      <c r="I1310" s="11" t="inlineStr">
        <is>
          <t>cite</t>
        </is>
      </c>
      <c r="J1310" s="11" t="inlineStr">
        <is>
          <t>no</t>
        </is>
      </c>
      <c r="K1310" s="11" t="inlineStr">
        <is>
          <t>no</t>
        </is>
      </c>
      <c r="L1310" s="11" t="inlineStr"/>
    </row>
    <row r="1311">
      <c r="A1311" s="11" t="inlineStr">
        <is>
          <t>1308</t>
        </is>
      </c>
      <c r="B1311" s="11" t="inlineStr">
        <is>
          <t>202</t>
        </is>
      </c>
      <c r="C1311" s="11" t="inlineStr">
        <is>
          <t>HC/tribunal/other</t>
        </is>
      </c>
      <c r="D1311" s="11" t="inlineStr">
        <is>
          <t>yes</t>
        </is>
      </c>
      <c r="E1311" s="11" t="inlineStr">
        <is>
          <t>yes</t>
        </is>
      </c>
      <c r="F1311" s="11" t="inlineStr"/>
      <c r="G1311" s="11" t="inlineStr"/>
      <c r="H1311" s="11" t="inlineStr"/>
      <c r="I1311" s="11" t="inlineStr"/>
      <c r="J1311" s="11" t="inlineStr">
        <is>
          <t>no</t>
        </is>
      </c>
      <c r="K1311" s="11" t="inlineStr">
        <is>
          <t>no</t>
        </is>
      </c>
      <c r="L1311" s="11" t="inlineStr"/>
    </row>
    <row r="1312">
      <c r="A1312" s="11" t="inlineStr">
        <is>
          <t>1309</t>
        </is>
      </c>
      <c r="B1312" s="11" t="inlineStr">
        <is>
          <t>202</t>
        </is>
      </c>
      <c r="C1312" s="11" t="inlineStr">
        <is>
          <t>HC/tribunal/other</t>
        </is>
      </c>
      <c r="D1312" s="11" t="inlineStr">
        <is>
          <t>no</t>
        </is>
      </c>
      <c r="E1312" s="11" t="inlineStr">
        <is>
          <t>yes</t>
        </is>
      </c>
      <c r="F1312" s="11" t="inlineStr"/>
      <c r="G1312" s="11" t="inlineStr"/>
      <c r="H1312" s="11" t="inlineStr">
        <is>
          <t>c16666</t>
        </is>
      </c>
      <c r="I1312" s="11" t="inlineStr">
        <is>
          <t>name</t>
        </is>
      </c>
      <c r="J1312" s="11" t="inlineStr">
        <is>
          <t>no</t>
        </is>
      </c>
      <c r="K1312" s="11" t="inlineStr">
        <is>
          <t>no</t>
        </is>
      </c>
      <c r="L1312" s="11" t="inlineStr"/>
    </row>
    <row r="1313">
      <c r="A1313" s="11" t="inlineStr">
        <is>
          <t>1310</t>
        </is>
      </c>
      <c r="B1313" s="11" t="inlineStr">
        <is>
          <t>202</t>
        </is>
      </c>
      <c r="C1313" s="11" t="inlineStr">
        <is>
          <t>HC/tribunal/other</t>
        </is>
      </c>
      <c r="D1313" s="11" t="inlineStr">
        <is>
          <t>no</t>
        </is>
      </c>
      <c r="E1313" s="11" t="inlineStr">
        <is>
          <t>yes</t>
        </is>
      </c>
      <c r="F1313" s="11" t="inlineStr"/>
      <c r="G1313" s="11" t="inlineStr"/>
      <c r="H1313" s="11" t="inlineStr"/>
      <c r="I1313" s="11" t="inlineStr"/>
      <c r="J1313" s="11" t="inlineStr">
        <is>
          <t>no</t>
        </is>
      </c>
      <c r="K1313" s="11" t="inlineStr">
        <is>
          <t>no</t>
        </is>
      </c>
      <c r="L1313" s="11" t="inlineStr"/>
    </row>
    <row r="1314">
      <c r="A1314" s="11" t="inlineStr">
        <is>
          <t>1311</t>
        </is>
      </c>
      <c r="B1314" s="11" t="inlineStr">
        <is>
          <t>202</t>
        </is>
      </c>
      <c r="C1314" s="11" t="inlineStr">
        <is>
          <t>HC/tribunal/other</t>
        </is>
      </c>
      <c r="D1314" s="11" t="inlineStr">
        <is>
          <t>yes</t>
        </is>
      </c>
      <c r="E1314" s="11" t="inlineStr">
        <is>
          <t>no</t>
        </is>
      </c>
      <c r="F1314" s="11" t="inlineStr"/>
      <c r="G1314" s="11" t="inlineStr"/>
      <c r="H1314" s="11" t="inlineStr">
        <is>
          <t>c18736</t>
        </is>
      </c>
      <c r="I1314" s="11" t="inlineStr">
        <is>
          <t>name</t>
        </is>
      </c>
      <c r="J1314" s="11" t="inlineStr">
        <is>
          <t>no</t>
        </is>
      </c>
      <c r="K1314" s="11" t="inlineStr">
        <is>
          <t>no</t>
        </is>
      </c>
      <c r="L1314" s="11" t="inlineStr"/>
    </row>
    <row r="1315">
      <c r="A1315" s="11" t="inlineStr">
        <is>
          <t>1312</t>
        </is>
      </c>
      <c r="B1315" s="11" t="inlineStr">
        <is>
          <t>202</t>
        </is>
      </c>
      <c r="C1315" s="11" t="inlineStr">
        <is>
          <t>HC/tribunal/other</t>
        </is>
      </c>
      <c r="D1315" s="11" t="inlineStr">
        <is>
          <t>no</t>
        </is>
      </c>
      <c r="E1315" s="11" t="inlineStr">
        <is>
          <t>no</t>
        </is>
      </c>
      <c r="F1315" s="11" t="inlineStr"/>
      <c r="G1315" s="11" t="inlineStr"/>
      <c r="H1315" s="11" t="inlineStr">
        <is>
          <t>c26820</t>
        </is>
      </c>
      <c r="I1315" s="11" t="inlineStr">
        <is>
          <t>cite</t>
        </is>
      </c>
      <c r="J1315" s="11" t="inlineStr">
        <is>
          <t>no</t>
        </is>
      </c>
      <c r="K1315" s="11" t="inlineStr">
        <is>
          <t>no</t>
        </is>
      </c>
      <c r="L1315" s="11" t="inlineStr"/>
    </row>
    <row r="1316">
      <c r="A1316" s="11" t="inlineStr">
        <is>
          <t>1313</t>
        </is>
      </c>
      <c r="B1316" s="11" t="inlineStr">
        <is>
          <t>202</t>
        </is>
      </c>
      <c r="C1316" s="11" t="inlineStr">
        <is>
          <t>HC/tribunal/other</t>
        </is>
      </c>
      <c r="D1316" s="11" t="inlineStr">
        <is>
          <t>yes</t>
        </is>
      </c>
      <c r="E1316" s="11" t="inlineStr">
        <is>
          <t>no</t>
        </is>
      </c>
      <c r="F1316" s="11" t="inlineStr"/>
      <c r="G1316" s="11" t="inlineStr"/>
      <c r="H1316" s="11" t="inlineStr">
        <is>
          <t>c32310</t>
        </is>
      </c>
      <c r="I1316" s="11" t="inlineStr">
        <is>
          <t>name</t>
        </is>
      </c>
      <c r="J1316" s="11" t="inlineStr">
        <is>
          <t>no</t>
        </is>
      </c>
      <c r="K1316" s="11" t="inlineStr">
        <is>
          <t>no</t>
        </is>
      </c>
      <c r="L1316" s="11" t="inlineStr"/>
    </row>
    <row r="1317">
      <c r="A1317" s="11" t="inlineStr">
        <is>
          <t>1314</t>
        </is>
      </c>
      <c r="B1317" s="11" t="inlineStr">
        <is>
          <t>203</t>
        </is>
      </c>
      <c r="C1317" s="11" t="inlineStr">
        <is>
          <t>HC/tribunal/other</t>
        </is>
      </c>
      <c r="D1317" s="11" t="inlineStr">
        <is>
          <t>no</t>
        </is>
      </c>
      <c r="E1317" s="11" t="inlineStr">
        <is>
          <t>no</t>
        </is>
      </c>
      <c r="F1317" s="11" t="inlineStr"/>
      <c r="G1317" s="11" t="inlineStr"/>
      <c r="H1317" s="11" t="inlineStr">
        <is>
          <t>c31559</t>
        </is>
      </c>
      <c r="I1317" s="11" t="inlineStr">
        <is>
          <t>name</t>
        </is>
      </c>
      <c r="J1317" s="11" t="inlineStr">
        <is>
          <t>no</t>
        </is>
      </c>
      <c r="K1317" s="11" t="inlineStr">
        <is>
          <t>no</t>
        </is>
      </c>
      <c r="L1317" s="11" t="inlineStr"/>
    </row>
    <row r="1318">
      <c r="A1318" s="11" t="inlineStr">
        <is>
          <t>1315</t>
        </is>
      </c>
      <c r="B1318" s="11" t="inlineStr">
        <is>
          <t>203</t>
        </is>
      </c>
      <c r="C1318" s="11" t="inlineStr">
        <is>
          <t>HC/tribunal/other</t>
        </is>
      </c>
      <c r="D1318" s="11" t="inlineStr">
        <is>
          <t>yes</t>
        </is>
      </c>
      <c r="E1318" s="11" t="inlineStr">
        <is>
          <t>yes</t>
        </is>
      </c>
      <c r="F1318" s="11" t="inlineStr"/>
      <c r="G1318" s="11" t="inlineStr"/>
      <c r="H1318" s="11" t="inlineStr">
        <is>
          <t>c38944</t>
        </is>
      </c>
      <c r="I1318" s="11" t="inlineStr">
        <is>
          <t>name</t>
        </is>
      </c>
      <c r="J1318" s="11" t="inlineStr">
        <is>
          <t>no</t>
        </is>
      </c>
      <c r="K1318" s="11" t="inlineStr">
        <is>
          <t>no</t>
        </is>
      </c>
      <c r="L1318" s="11" t="inlineStr"/>
    </row>
    <row r="1319">
      <c r="A1319" s="11" t="inlineStr">
        <is>
          <t>1316</t>
        </is>
      </c>
      <c r="B1319" s="11" t="inlineStr">
        <is>
          <t>203</t>
        </is>
      </c>
      <c r="C1319" s="11" t="inlineStr">
        <is>
          <t>HC/tribunal/other</t>
        </is>
      </c>
      <c r="D1319" s="11" t="inlineStr">
        <is>
          <t>yes</t>
        </is>
      </c>
      <c r="E1319" s="11" t="inlineStr">
        <is>
          <t>no</t>
        </is>
      </c>
      <c r="F1319" s="11" t="inlineStr"/>
      <c r="G1319" s="11" t="inlineStr"/>
      <c r="H1319" s="11" t="inlineStr"/>
      <c r="I1319" s="11" t="inlineStr"/>
      <c r="J1319" s="11" t="inlineStr">
        <is>
          <t>no</t>
        </is>
      </c>
      <c r="K1319" s="11" t="inlineStr">
        <is>
          <t>no</t>
        </is>
      </c>
      <c r="L1319" s="11" t="inlineStr"/>
    </row>
    <row r="1320">
      <c r="A1320" s="11" t="inlineStr">
        <is>
          <t>1317</t>
        </is>
      </c>
      <c r="B1320" s="11" t="inlineStr">
        <is>
          <t>203</t>
        </is>
      </c>
      <c r="C1320" s="11" t="inlineStr">
        <is>
          <t>HC/tribunal/other</t>
        </is>
      </c>
      <c r="D1320" s="11" t="inlineStr">
        <is>
          <t>no</t>
        </is>
      </c>
      <c r="E1320" s="11" t="inlineStr">
        <is>
          <t>no</t>
        </is>
      </c>
      <c r="F1320" s="11" t="inlineStr"/>
      <c r="G1320" s="11" t="inlineStr"/>
      <c r="H1320" s="11" t="inlineStr">
        <is>
          <t>c38711</t>
        </is>
      </c>
      <c r="I1320" s="11" t="inlineStr">
        <is>
          <t>name</t>
        </is>
      </c>
      <c r="J1320" s="11" t="inlineStr">
        <is>
          <t>no</t>
        </is>
      </c>
      <c r="K1320" s="11" t="inlineStr">
        <is>
          <t>no</t>
        </is>
      </c>
      <c r="L1320" s="11" t="inlineStr"/>
    </row>
    <row r="1321">
      <c r="A1321" s="11" t="inlineStr">
        <is>
          <t>1318</t>
        </is>
      </c>
      <c r="B1321" s="11" t="inlineStr">
        <is>
          <t>203</t>
        </is>
      </c>
      <c r="C1321" s="11" t="inlineStr">
        <is>
          <t>HC/tribunal/other</t>
        </is>
      </c>
      <c r="D1321" s="11" t="inlineStr">
        <is>
          <t>yes</t>
        </is>
      </c>
      <c r="E1321" s="11" t="inlineStr">
        <is>
          <t>yes</t>
        </is>
      </c>
      <c r="F1321" s="11" t="inlineStr"/>
      <c r="G1321" s="11" t="inlineStr"/>
      <c r="H1321" s="11" t="inlineStr">
        <is>
          <t>c37616</t>
        </is>
      </c>
      <c r="I1321" s="11" t="inlineStr">
        <is>
          <t>cite</t>
        </is>
      </c>
      <c r="J1321" s="11" t="inlineStr">
        <is>
          <t>no</t>
        </is>
      </c>
      <c r="K1321" s="11" t="inlineStr">
        <is>
          <t>no</t>
        </is>
      </c>
      <c r="L1321" s="11" t="inlineStr"/>
    </row>
    <row r="1322">
      <c r="A1322" s="11" t="inlineStr">
        <is>
          <t>1319</t>
        </is>
      </c>
      <c r="B1322" s="11" t="inlineStr">
        <is>
          <t>203</t>
        </is>
      </c>
      <c r="C1322" s="11" t="inlineStr">
        <is>
          <t>HC/tribunal/other</t>
        </is>
      </c>
      <c r="D1322" s="11" t="inlineStr">
        <is>
          <t>no</t>
        </is>
      </c>
      <c r="E1322" s="11" t="inlineStr">
        <is>
          <t>no</t>
        </is>
      </c>
      <c r="F1322" s="11" t="inlineStr"/>
      <c r="G1322" s="11" t="inlineStr"/>
      <c r="H1322" s="11" t="inlineStr">
        <is>
          <t>c13012</t>
        </is>
      </c>
      <c r="I1322" s="11" t="inlineStr">
        <is>
          <t>name</t>
        </is>
      </c>
      <c r="J1322" s="11" t="inlineStr">
        <is>
          <t>no</t>
        </is>
      </c>
      <c r="K1322" s="11" t="inlineStr">
        <is>
          <t>no</t>
        </is>
      </c>
      <c r="L1322" s="11" t="inlineStr"/>
    </row>
    <row r="1323">
      <c r="A1323" s="11" t="inlineStr">
        <is>
          <t>1320</t>
        </is>
      </c>
      <c r="B1323" s="11" t="inlineStr">
        <is>
          <t>204</t>
        </is>
      </c>
      <c r="C1323" s="11" t="inlineStr">
        <is>
          <t>HC/tribunal/other</t>
        </is>
      </c>
      <c r="D1323" s="11" t="inlineStr">
        <is>
          <t>yes</t>
        </is>
      </c>
      <c r="E1323" s="11" t="inlineStr">
        <is>
          <t>no</t>
        </is>
      </c>
      <c r="F1323" s="11" t="inlineStr"/>
      <c r="G1323" s="11" t="inlineStr"/>
      <c r="H1323" s="11" t="inlineStr">
        <is>
          <t>c12804</t>
        </is>
      </c>
      <c r="I1323" s="11" t="inlineStr">
        <is>
          <t>cite</t>
        </is>
      </c>
      <c r="J1323" s="11" t="inlineStr">
        <is>
          <t>no</t>
        </is>
      </c>
      <c r="K1323" s="11" t="inlineStr">
        <is>
          <t>no</t>
        </is>
      </c>
      <c r="L1323" s="11" t="inlineStr"/>
    </row>
    <row r="1324">
      <c r="A1324" s="11" t="inlineStr">
        <is>
          <t>1321</t>
        </is>
      </c>
      <c r="B1324" s="11" t="inlineStr">
        <is>
          <t>204</t>
        </is>
      </c>
      <c r="C1324" s="11" t="inlineStr">
        <is>
          <t>HC/tribunal/other</t>
        </is>
      </c>
      <c r="D1324" s="11" t="inlineStr">
        <is>
          <t>no</t>
        </is>
      </c>
      <c r="E1324" s="11" t="inlineStr">
        <is>
          <t>no</t>
        </is>
      </c>
      <c r="F1324" s="11" t="inlineStr"/>
      <c r="G1324" s="11" t="inlineStr"/>
      <c r="H1324" s="11" t="inlineStr">
        <is>
          <t>c12616</t>
        </is>
      </c>
      <c r="I1324" s="11" t="inlineStr">
        <is>
          <t>cite</t>
        </is>
      </c>
      <c r="J1324" s="11" t="inlineStr">
        <is>
          <t>no</t>
        </is>
      </c>
      <c r="K1324" s="11" t="inlineStr">
        <is>
          <t>no</t>
        </is>
      </c>
      <c r="L1324" s="11" t="inlineStr"/>
    </row>
    <row r="1325">
      <c r="A1325" s="11" t="inlineStr">
        <is>
          <t>1322</t>
        </is>
      </c>
      <c r="B1325" s="11" t="inlineStr">
        <is>
          <t>204</t>
        </is>
      </c>
      <c r="C1325" s="11" t="inlineStr">
        <is>
          <t>HC/tribunal/other</t>
        </is>
      </c>
      <c r="D1325" s="11" t="inlineStr">
        <is>
          <t>yes</t>
        </is>
      </c>
      <c r="E1325" s="11" t="inlineStr">
        <is>
          <t>no</t>
        </is>
      </c>
      <c r="F1325" s="11" t="inlineStr"/>
      <c r="G1325" s="11" t="inlineStr"/>
      <c r="H1325" s="11" t="inlineStr">
        <is>
          <t>c28035</t>
        </is>
      </c>
      <c r="I1325" s="11" t="inlineStr">
        <is>
          <t>name</t>
        </is>
      </c>
      <c r="J1325" s="11" t="inlineStr">
        <is>
          <t>no</t>
        </is>
      </c>
      <c r="K1325" s="11" t="inlineStr">
        <is>
          <t>no</t>
        </is>
      </c>
      <c r="L1325" s="11" t="inlineStr"/>
    </row>
    <row r="1326">
      <c r="A1326" s="11" t="inlineStr">
        <is>
          <t>1323</t>
        </is>
      </c>
      <c r="B1326" s="11" t="inlineStr">
        <is>
          <t>204</t>
        </is>
      </c>
      <c r="C1326" s="11" t="inlineStr">
        <is>
          <t>HC/tribunal/other</t>
        </is>
      </c>
      <c r="D1326" s="11" t="inlineStr">
        <is>
          <t>yes</t>
        </is>
      </c>
      <c r="E1326" s="11" t="inlineStr">
        <is>
          <t>no</t>
        </is>
      </c>
      <c r="F1326" s="11" t="inlineStr"/>
      <c r="G1326" s="11" t="inlineStr"/>
      <c r="H1326" s="11" t="inlineStr">
        <is>
          <t>c13845</t>
        </is>
      </c>
      <c r="I1326" s="11" t="inlineStr">
        <is>
          <t>name</t>
        </is>
      </c>
      <c r="J1326" s="11" t="inlineStr">
        <is>
          <t>no</t>
        </is>
      </c>
      <c r="K1326" s="11" t="inlineStr">
        <is>
          <t>no</t>
        </is>
      </c>
      <c r="L1326" s="11" t="inlineStr"/>
    </row>
    <row r="1327">
      <c r="A1327" s="11" t="inlineStr">
        <is>
          <t>1324</t>
        </is>
      </c>
      <c r="B1327" s="11" t="inlineStr">
        <is>
          <t>204</t>
        </is>
      </c>
      <c r="C1327" s="11" t="inlineStr">
        <is>
          <t>HC/tribunal/other</t>
        </is>
      </c>
      <c r="D1327" s="11" t="inlineStr">
        <is>
          <t>yes</t>
        </is>
      </c>
      <c r="E1327" s="11" t="inlineStr">
        <is>
          <t>no</t>
        </is>
      </c>
      <c r="F1327" s="11" t="inlineStr"/>
      <c r="G1327" s="11" t="inlineStr"/>
      <c r="H1327" s="11" t="inlineStr">
        <is>
          <t>c39551</t>
        </is>
      </c>
      <c r="I1327" s="11" t="inlineStr">
        <is>
          <t>name</t>
        </is>
      </c>
      <c r="J1327" s="11" t="inlineStr">
        <is>
          <t>no</t>
        </is>
      </c>
      <c r="K1327" s="11" t="inlineStr">
        <is>
          <t>no</t>
        </is>
      </c>
      <c r="L1327" s="11" t="inlineStr"/>
    </row>
    <row r="1328">
      <c r="A1328" s="11" t="inlineStr">
        <is>
          <t>1325</t>
        </is>
      </c>
      <c r="B1328" s="11" t="inlineStr">
        <is>
          <t>204</t>
        </is>
      </c>
      <c r="C1328" s="11" t="inlineStr">
        <is>
          <t>HC/tribunal/other</t>
        </is>
      </c>
      <c r="D1328" s="11" t="inlineStr">
        <is>
          <t>no</t>
        </is>
      </c>
      <c r="E1328" s="11" t="inlineStr">
        <is>
          <t>yes</t>
        </is>
      </c>
      <c r="F1328" s="11" t="inlineStr"/>
      <c r="G1328" s="11" t="inlineStr"/>
      <c r="H1328" s="11" t="inlineStr">
        <is>
          <t>c18788</t>
        </is>
      </c>
      <c r="I1328" s="11" t="inlineStr">
        <is>
          <t>name</t>
        </is>
      </c>
      <c r="J1328" s="11" t="inlineStr">
        <is>
          <t>no</t>
        </is>
      </c>
      <c r="K1328" s="11" t="inlineStr">
        <is>
          <t>no</t>
        </is>
      </c>
      <c r="L1328" s="11" t="inlineStr"/>
    </row>
    <row r="1329">
      <c r="A1329" s="11" t="inlineStr">
        <is>
          <t>1326</t>
        </is>
      </c>
      <c r="B1329" s="11" t="inlineStr">
        <is>
          <t>205</t>
        </is>
      </c>
      <c r="C1329" s="11" t="inlineStr">
        <is>
          <t>HC/tribunal/other</t>
        </is>
      </c>
      <c r="D1329" s="11" t="inlineStr">
        <is>
          <t>yes</t>
        </is>
      </c>
      <c r="E1329" s="11" t="inlineStr">
        <is>
          <t>no</t>
        </is>
      </c>
      <c r="F1329" s="11" t="inlineStr"/>
      <c r="G1329" s="11" t="inlineStr"/>
      <c r="H1329" s="11" t="inlineStr">
        <is>
          <t>c31731</t>
        </is>
      </c>
      <c r="I1329" s="11" t="inlineStr">
        <is>
          <t>name</t>
        </is>
      </c>
      <c r="J1329" s="11" t="inlineStr">
        <is>
          <t>no</t>
        </is>
      </c>
      <c r="K1329" s="11" t="inlineStr">
        <is>
          <t>no</t>
        </is>
      </c>
      <c r="L1329" s="11" t="inlineStr"/>
    </row>
    <row r="1330">
      <c r="A1330" s="11" t="inlineStr">
        <is>
          <t>1327</t>
        </is>
      </c>
      <c r="B1330" s="11" t="inlineStr">
        <is>
          <t>205</t>
        </is>
      </c>
      <c r="C1330" s="11" t="inlineStr">
        <is>
          <t>HC/tribunal/other</t>
        </is>
      </c>
      <c r="D1330" s="11" t="inlineStr">
        <is>
          <t>yes</t>
        </is>
      </c>
      <c r="E1330" s="11" t="inlineStr">
        <is>
          <t>no</t>
        </is>
      </c>
      <c r="F1330" s="11" t="inlineStr"/>
      <c r="G1330" s="11" t="inlineStr"/>
      <c r="H1330" s="11" t="inlineStr">
        <is>
          <t>c27839</t>
        </is>
      </c>
      <c r="I1330" s="11" t="inlineStr">
        <is>
          <t>name</t>
        </is>
      </c>
      <c r="J1330" s="11" t="inlineStr">
        <is>
          <t>no</t>
        </is>
      </c>
      <c r="K1330" s="11" t="inlineStr">
        <is>
          <t>no</t>
        </is>
      </c>
      <c r="L1330" s="11" t="inlineStr"/>
    </row>
    <row r="1331">
      <c r="A1331" s="11" t="inlineStr">
        <is>
          <t>1328</t>
        </is>
      </c>
      <c r="B1331" s="11" t="inlineStr">
        <is>
          <t>205</t>
        </is>
      </c>
      <c r="C1331" s="11" t="inlineStr">
        <is>
          <t>HC/tribunal/other</t>
        </is>
      </c>
      <c r="D1331" s="11" t="inlineStr">
        <is>
          <t>yes</t>
        </is>
      </c>
      <c r="E1331" s="11" t="inlineStr">
        <is>
          <t>yes</t>
        </is>
      </c>
      <c r="F1331" s="11" t="inlineStr"/>
      <c r="G1331" s="11" t="inlineStr"/>
      <c r="H1331" s="11" t="inlineStr">
        <is>
          <t>c20368</t>
        </is>
      </c>
      <c r="I1331" s="11" t="inlineStr">
        <is>
          <t>name</t>
        </is>
      </c>
      <c r="J1331" s="11" t="inlineStr">
        <is>
          <t>no</t>
        </is>
      </c>
      <c r="K1331" s="11" t="inlineStr">
        <is>
          <t>no</t>
        </is>
      </c>
      <c r="L1331" s="11" t="inlineStr"/>
    </row>
    <row r="1332">
      <c r="A1332" s="11" t="inlineStr">
        <is>
          <t>1329</t>
        </is>
      </c>
      <c r="B1332" s="11" t="inlineStr">
        <is>
          <t>205</t>
        </is>
      </c>
      <c r="C1332" s="11" t="inlineStr">
        <is>
          <t>HC/tribunal/other</t>
        </is>
      </c>
      <c r="D1332" s="11" t="inlineStr">
        <is>
          <t>yes</t>
        </is>
      </c>
      <c r="E1332" s="11" t="inlineStr">
        <is>
          <t>no</t>
        </is>
      </c>
      <c r="F1332" s="11" t="inlineStr"/>
      <c r="G1332" s="11" t="inlineStr"/>
      <c r="H1332" s="11" t="inlineStr">
        <is>
          <t>c4804</t>
        </is>
      </c>
      <c r="I1332" s="11" t="inlineStr">
        <is>
          <t>cite</t>
        </is>
      </c>
      <c r="J1332" s="11" t="inlineStr">
        <is>
          <t>no</t>
        </is>
      </c>
      <c r="K1332" s="11" t="inlineStr">
        <is>
          <t>no</t>
        </is>
      </c>
      <c r="L1332" s="11" t="inlineStr"/>
    </row>
    <row r="1333">
      <c r="A1333" s="11" t="inlineStr">
        <is>
          <t>1330</t>
        </is>
      </c>
      <c r="B1333" s="11" t="inlineStr">
        <is>
          <t>205</t>
        </is>
      </c>
      <c r="C1333" s="11" t="inlineStr">
        <is>
          <t>HC/tribunal/other</t>
        </is>
      </c>
      <c r="D1333" s="11" t="inlineStr">
        <is>
          <t>no</t>
        </is>
      </c>
      <c r="E1333" s="11" t="inlineStr">
        <is>
          <t>no</t>
        </is>
      </c>
      <c r="F1333" s="11" t="inlineStr"/>
      <c r="G1333" s="11" t="inlineStr"/>
      <c r="H1333" s="11" t="inlineStr">
        <is>
          <t>c12137</t>
        </is>
      </c>
      <c r="I1333" s="11" t="inlineStr">
        <is>
          <t>cite</t>
        </is>
      </c>
      <c r="J1333" s="11" t="inlineStr">
        <is>
          <t>no</t>
        </is>
      </c>
      <c r="K1333" s="11" t="inlineStr">
        <is>
          <t>no</t>
        </is>
      </c>
      <c r="L1333" s="11" t="inlineStr"/>
    </row>
    <row r="1334">
      <c r="A1334" s="11" t="inlineStr">
        <is>
          <t>1331</t>
        </is>
      </c>
      <c r="B1334" s="11" t="inlineStr">
        <is>
          <t>205</t>
        </is>
      </c>
      <c r="C1334" s="11" t="inlineStr">
        <is>
          <t>HC/tribunal/other</t>
        </is>
      </c>
      <c r="D1334" s="11" t="inlineStr">
        <is>
          <t>no</t>
        </is>
      </c>
      <c r="E1334" s="11" t="inlineStr">
        <is>
          <t>no</t>
        </is>
      </c>
      <c r="F1334" s="11" t="inlineStr"/>
      <c r="G1334" s="11" t="inlineStr"/>
      <c r="H1334" s="11" t="inlineStr">
        <is>
          <t>c4437</t>
        </is>
      </c>
      <c r="I1334" s="11" t="inlineStr">
        <is>
          <t>cite</t>
        </is>
      </c>
      <c r="J1334" s="11" t="inlineStr">
        <is>
          <t>no</t>
        </is>
      </c>
      <c r="K1334" s="11" t="inlineStr">
        <is>
          <t>no</t>
        </is>
      </c>
      <c r="L1334" s="11" t="inlineStr"/>
    </row>
    <row r="1335">
      <c r="A1335" s="11" t="inlineStr">
        <is>
          <t>1332</t>
        </is>
      </c>
      <c r="B1335" s="11" t="inlineStr">
        <is>
          <t>205</t>
        </is>
      </c>
      <c r="C1335" s="11" t="inlineStr">
        <is>
          <t>HC/tribunal/other</t>
        </is>
      </c>
      <c r="D1335" s="11" t="inlineStr">
        <is>
          <t>no</t>
        </is>
      </c>
      <c r="E1335" s="11" t="inlineStr">
        <is>
          <t>no</t>
        </is>
      </c>
      <c r="F1335" s="11" t="inlineStr"/>
      <c r="G1335" s="11" t="inlineStr"/>
      <c r="H1335" s="11" t="inlineStr">
        <is>
          <t>c5653</t>
        </is>
      </c>
      <c r="I1335" s="11" t="inlineStr">
        <is>
          <t>cite</t>
        </is>
      </c>
      <c r="J1335" s="11" t="inlineStr">
        <is>
          <t>no</t>
        </is>
      </c>
      <c r="K1335" s="11" t="inlineStr">
        <is>
          <t>no</t>
        </is>
      </c>
      <c r="L1335" s="11" t="inlineStr"/>
    </row>
    <row r="1336">
      <c r="A1336" s="11" t="inlineStr">
        <is>
          <t>1333</t>
        </is>
      </c>
      <c r="B1336" s="11" t="inlineStr">
        <is>
          <t>206</t>
        </is>
      </c>
      <c r="C1336" s="11" t="inlineStr">
        <is>
          <t>HC/tribunal/other</t>
        </is>
      </c>
      <c r="D1336" s="11" t="inlineStr">
        <is>
          <t>yes</t>
        </is>
      </c>
      <c r="E1336" s="11" t="inlineStr">
        <is>
          <t>no</t>
        </is>
      </c>
      <c r="F1336" s="11" t="inlineStr"/>
      <c r="G1336" s="11" t="inlineStr"/>
      <c r="H1336" s="11" t="inlineStr">
        <is>
          <t>c29725</t>
        </is>
      </c>
      <c r="I1336" s="11" t="inlineStr">
        <is>
          <t>cite</t>
        </is>
      </c>
      <c r="J1336" s="11" t="inlineStr">
        <is>
          <t>no</t>
        </is>
      </c>
      <c r="K1336" s="11" t="inlineStr">
        <is>
          <t>no</t>
        </is>
      </c>
      <c r="L1336" s="11" t="inlineStr"/>
    </row>
    <row r="1337">
      <c r="A1337" s="11" t="inlineStr">
        <is>
          <t>1334</t>
        </is>
      </c>
      <c r="B1337" s="11" t="inlineStr">
        <is>
          <t>206</t>
        </is>
      </c>
      <c r="C1337" s="11" t="inlineStr">
        <is>
          <t>HC/tribunal/other</t>
        </is>
      </c>
      <c r="D1337" s="11" t="inlineStr">
        <is>
          <t>no</t>
        </is>
      </c>
      <c r="E1337" s="11" t="inlineStr">
        <is>
          <t>no</t>
        </is>
      </c>
      <c r="F1337" s="11" t="inlineStr"/>
      <c r="G1337" s="11" t="inlineStr"/>
      <c r="H1337" s="11" t="inlineStr">
        <is>
          <t>c10859</t>
        </is>
      </c>
      <c r="I1337" s="11" t="inlineStr">
        <is>
          <t>cite</t>
        </is>
      </c>
      <c r="J1337" s="11" t="inlineStr">
        <is>
          <t>no</t>
        </is>
      </c>
      <c r="K1337" s="11" t="inlineStr">
        <is>
          <t>no</t>
        </is>
      </c>
      <c r="L1337" s="11" t="inlineStr"/>
    </row>
    <row r="1338">
      <c r="A1338" s="11" t="inlineStr">
        <is>
          <t>1335</t>
        </is>
      </c>
      <c r="B1338" s="11" t="inlineStr">
        <is>
          <t>206</t>
        </is>
      </c>
      <c r="C1338" s="11" t="inlineStr">
        <is>
          <t>HC/tribunal/other</t>
        </is>
      </c>
      <c r="D1338" s="11" t="inlineStr">
        <is>
          <t>no</t>
        </is>
      </c>
      <c r="E1338" s="11" t="inlineStr">
        <is>
          <t>no</t>
        </is>
      </c>
      <c r="F1338" s="11" t="inlineStr"/>
      <c r="G1338" s="11" t="inlineStr"/>
      <c r="H1338" s="11" t="inlineStr">
        <is>
          <t>c12850</t>
        </is>
      </c>
      <c r="I1338" s="11" t="inlineStr">
        <is>
          <t>cite</t>
        </is>
      </c>
      <c r="J1338" s="11" t="inlineStr">
        <is>
          <t>no</t>
        </is>
      </c>
      <c r="K1338" s="11" t="inlineStr">
        <is>
          <t>no</t>
        </is>
      </c>
      <c r="L1338" s="11" t="inlineStr"/>
    </row>
    <row r="1339">
      <c r="A1339" s="11" t="inlineStr">
        <is>
          <t>1336</t>
        </is>
      </c>
      <c r="B1339" s="11" t="inlineStr">
        <is>
          <t>206</t>
        </is>
      </c>
      <c r="C1339" s="11" t="inlineStr">
        <is>
          <t>HC/tribunal/other</t>
        </is>
      </c>
      <c r="D1339" s="11" t="inlineStr">
        <is>
          <t>yes</t>
        </is>
      </c>
      <c r="E1339" s="11" t="inlineStr">
        <is>
          <t>no</t>
        </is>
      </c>
      <c r="F1339" s="11" t="inlineStr"/>
      <c r="G1339" s="11" t="inlineStr"/>
      <c r="H1339" s="11" t="inlineStr">
        <is>
          <t>c9135</t>
        </is>
      </c>
      <c r="I1339" s="11" t="inlineStr">
        <is>
          <t>cite</t>
        </is>
      </c>
      <c r="J1339" s="11" t="inlineStr">
        <is>
          <t>no</t>
        </is>
      </c>
      <c r="K1339" s="11" t="inlineStr">
        <is>
          <t>no</t>
        </is>
      </c>
      <c r="L1339" s="11" t="inlineStr"/>
    </row>
    <row r="1340">
      <c r="A1340" s="11" t="inlineStr">
        <is>
          <t>1337</t>
        </is>
      </c>
      <c r="B1340" s="11" t="inlineStr">
        <is>
          <t>206</t>
        </is>
      </c>
      <c r="C1340" s="11" t="inlineStr">
        <is>
          <t>HC/tribunal/other</t>
        </is>
      </c>
      <c r="D1340" s="11" t="inlineStr">
        <is>
          <t>no</t>
        </is>
      </c>
      <c r="E1340" s="11" t="inlineStr">
        <is>
          <t>no</t>
        </is>
      </c>
      <c r="F1340" s="11" t="inlineStr"/>
      <c r="G1340" s="11" t="inlineStr"/>
      <c r="H1340" s="11" t="inlineStr">
        <is>
          <t>c12114</t>
        </is>
      </c>
      <c r="I1340" s="11" t="inlineStr">
        <is>
          <t>cite</t>
        </is>
      </c>
      <c r="J1340" s="11" t="inlineStr">
        <is>
          <t>no</t>
        </is>
      </c>
      <c r="K1340" s="11" t="inlineStr">
        <is>
          <t>no</t>
        </is>
      </c>
      <c r="L1340" s="11" t="inlineStr"/>
    </row>
    <row r="1341">
      <c r="A1341" s="11" t="inlineStr">
        <is>
          <t>1338</t>
        </is>
      </c>
      <c r="B1341" s="11" t="inlineStr">
        <is>
          <t>206</t>
        </is>
      </c>
      <c r="C1341" s="11" t="inlineStr">
        <is>
          <t>HC/tribunal/other</t>
        </is>
      </c>
      <c r="D1341" s="11" t="inlineStr">
        <is>
          <t>no</t>
        </is>
      </c>
      <c r="E1341" s="11" t="inlineStr">
        <is>
          <t>no</t>
        </is>
      </c>
      <c r="F1341" s="11" t="inlineStr"/>
      <c r="G1341" s="11" t="inlineStr"/>
      <c r="H1341" s="11" t="inlineStr">
        <is>
          <t>c31846</t>
        </is>
      </c>
      <c r="I1341" s="11" t="inlineStr">
        <is>
          <t>cite</t>
        </is>
      </c>
      <c r="J1341" s="11" t="inlineStr">
        <is>
          <t>no</t>
        </is>
      </c>
      <c r="K1341" s="11" t="inlineStr">
        <is>
          <t>no</t>
        </is>
      </c>
      <c r="L1341" s="11" t="inlineStr"/>
    </row>
    <row r="1342">
      <c r="A1342" s="11" t="inlineStr">
        <is>
          <t>1339</t>
        </is>
      </c>
      <c r="B1342" s="11" t="inlineStr">
        <is>
          <t>206</t>
        </is>
      </c>
      <c r="C1342" s="11" t="inlineStr">
        <is>
          <t>HC/tribunal/other</t>
        </is>
      </c>
      <c r="D1342" s="11" t="inlineStr">
        <is>
          <t>no</t>
        </is>
      </c>
      <c r="E1342" s="11" t="inlineStr">
        <is>
          <t>yes</t>
        </is>
      </c>
      <c r="F1342" s="11" t="inlineStr"/>
      <c r="G1342" s="11" t="inlineStr"/>
      <c r="H1342" s="11" t="inlineStr">
        <is>
          <t>bS_1999_3_641_646</t>
        </is>
      </c>
      <c r="I1342" s="11" t="inlineStr">
        <is>
          <t>name</t>
        </is>
      </c>
      <c r="J1342" s="11" t="inlineStr">
        <is>
          <t>no</t>
        </is>
      </c>
      <c r="K1342" s="11" t="inlineStr">
        <is>
          <t>no</t>
        </is>
      </c>
      <c r="L1342" s="11" t="inlineStr"/>
    </row>
    <row r="1343">
      <c r="A1343" s="11" t="inlineStr">
        <is>
          <t>1340</t>
        </is>
      </c>
      <c r="B1343" s="11" t="inlineStr">
        <is>
          <t>207</t>
        </is>
      </c>
      <c r="C1343" s="11" t="inlineStr">
        <is>
          <t>HC/tribunal/other</t>
        </is>
      </c>
      <c r="D1343" s="11" t="inlineStr">
        <is>
          <t>no</t>
        </is>
      </c>
      <c r="E1343" s="11" t="inlineStr">
        <is>
          <t>no</t>
        </is>
      </c>
      <c r="F1343" s="11" t="inlineStr"/>
      <c r="G1343" s="11" t="inlineStr"/>
      <c r="H1343" s="11" t="inlineStr">
        <is>
          <t>c12567</t>
        </is>
      </c>
      <c r="I1343" s="11" t="inlineStr">
        <is>
          <t>cite</t>
        </is>
      </c>
      <c r="J1343" s="11" t="inlineStr">
        <is>
          <t>no</t>
        </is>
      </c>
      <c r="K1343" s="11" t="inlineStr">
        <is>
          <t>no</t>
        </is>
      </c>
      <c r="L1343" s="11" t="inlineStr"/>
    </row>
    <row r="1344">
      <c r="A1344" s="11" t="inlineStr">
        <is>
          <t>1341</t>
        </is>
      </c>
      <c r="B1344" s="11" t="inlineStr">
        <is>
          <t>207</t>
        </is>
      </c>
      <c r="C1344" s="11" t="inlineStr">
        <is>
          <t>HC/tribunal/other</t>
        </is>
      </c>
      <c r="D1344" s="11" t="inlineStr">
        <is>
          <t>no</t>
        </is>
      </c>
      <c r="E1344" s="11" t="inlineStr">
        <is>
          <t>no</t>
        </is>
      </c>
      <c r="F1344" s="11" t="inlineStr"/>
      <c r="G1344" s="11" t="inlineStr"/>
      <c r="H1344" s="11" t="inlineStr">
        <is>
          <t>c10038</t>
        </is>
      </c>
      <c r="I1344" s="11" t="inlineStr">
        <is>
          <t>cite</t>
        </is>
      </c>
      <c r="J1344" s="11" t="inlineStr">
        <is>
          <t>no</t>
        </is>
      </c>
      <c r="K1344" s="11" t="inlineStr">
        <is>
          <t>no</t>
        </is>
      </c>
      <c r="L1344" s="11" t="inlineStr"/>
    </row>
    <row r="1345">
      <c r="A1345" s="11" t="inlineStr">
        <is>
          <t>1342</t>
        </is>
      </c>
      <c r="B1345" s="11" t="inlineStr">
        <is>
          <t>207</t>
        </is>
      </c>
      <c r="C1345" s="11" t="inlineStr">
        <is>
          <t>HC/tribunal/other</t>
        </is>
      </c>
      <c r="D1345" s="11" t="inlineStr">
        <is>
          <t>yes</t>
        </is>
      </c>
      <c r="E1345" s="11" t="inlineStr">
        <is>
          <t>no</t>
        </is>
      </c>
      <c r="F1345" s="11" t="inlineStr"/>
      <c r="G1345" s="11" t="inlineStr"/>
      <c r="H1345" s="11" t="inlineStr">
        <is>
          <t>c9090</t>
        </is>
      </c>
      <c r="I1345" s="11" t="inlineStr">
        <is>
          <t>cite</t>
        </is>
      </c>
      <c r="J1345" s="11" t="inlineStr">
        <is>
          <t>no</t>
        </is>
      </c>
      <c r="K1345" s="11" t="inlineStr">
        <is>
          <t>no</t>
        </is>
      </c>
      <c r="L1345" s="11" t="inlineStr"/>
    </row>
    <row r="1346">
      <c r="A1346" s="11" t="inlineStr">
        <is>
          <t>1343</t>
        </is>
      </c>
      <c r="B1346" s="11" t="inlineStr">
        <is>
          <t>207</t>
        </is>
      </c>
      <c r="C1346" s="11" t="inlineStr">
        <is>
          <t>HC/tribunal/other</t>
        </is>
      </c>
      <c r="D1346" s="11" t="inlineStr">
        <is>
          <t>no</t>
        </is>
      </c>
      <c r="E1346" s="11" t="inlineStr">
        <is>
          <t>no</t>
        </is>
      </c>
      <c r="F1346" s="11" t="inlineStr"/>
      <c r="G1346" s="11" t="inlineStr"/>
      <c r="H1346" s="11" t="inlineStr">
        <is>
          <t>c9985</t>
        </is>
      </c>
      <c r="I1346" s="11" t="inlineStr">
        <is>
          <t>cite</t>
        </is>
      </c>
      <c r="J1346" s="11" t="inlineStr">
        <is>
          <t>no</t>
        </is>
      </c>
      <c r="K1346" s="11" t="inlineStr">
        <is>
          <t>no</t>
        </is>
      </c>
      <c r="L1346" s="11" t="inlineStr"/>
    </row>
    <row r="1347">
      <c r="A1347" s="11" t="inlineStr">
        <is>
          <t>1344</t>
        </is>
      </c>
      <c r="B1347" s="11" t="inlineStr">
        <is>
          <t>207</t>
        </is>
      </c>
      <c r="C1347" s="11" t="inlineStr">
        <is>
          <t>HC/tribunal/other</t>
        </is>
      </c>
      <c r="D1347" s="11" t="inlineStr">
        <is>
          <t>yes</t>
        </is>
      </c>
      <c r="E1347" s="11" t="inlineStr">
        <is>
          <t>no</t>
        </is>
      </c>
      <c r="F1347" s="11" t="inlineStr"/>
      <c r="G1347" s="11" t="inlineStr"/>
      <c r="H1347" s="11" t="inlineStr">
        <is>
          <t>c5624</t>
        </is>
      </c>
      <c r="I1347" s="11" t="inlineStr">
        <is>
          <t>cite</t>
        </is>
      </c>
      <c r="J1347" s="11" t="inlineStr">
        <is>
          <t>no</t>
        </is>
      </c>
      <c r="K1347" s="11" t="inlineStr">
        <is>
          <t>no</t>
        </is>
      </c>
      <c r="L1347" s="11" t="inlineStr"/>
    </row>
    <row r="1348">
      <c r="A1348" s="11" t="inlineStr">
        <is>
          <t>1345</t>
        </is>
      </c>
      <c r="B1348" s="11" t="inlineStr">
        <is>
          <t>207</t>
        </is>
      </c>
      <c r="C1348" s="11" t="inlineStr">
        <is>
          <t>HC/tribunal/other</t>
        </is>
      </c>
      <c r="D1348" s="11" t="inlineStr">
        <is>
          <t>yes</t>
        </is>
      </c>
      <c r="E1348" s="11" t="inlineStr">
        <is>
          <t>no</t>
        </is>
      </c>
      <c r="F1348" s="11" t="inlineStr"/>
      <c r="G1348" s="11" t="inlineStr"/>
      <c r="H1348" s="11" t="inlineStr">
        <is>
          <t>c20391</t>
        </is>
      </c>
      <c r="I1348" s="11" t="inlineStr">
        <is>
          <t>cite</t>
        </is>
      </c>
      <c r="J1348" s="11" t="inlineStr">
        <is>
          <t>no</t>
        </is>
      </c>
      <c r="K1348" s="11" t="inlineStr">
        <is>
          <t>no</t>
        </is>
      </c>
      <c r="L1348" s="11" t="inlineStr"/>
    </row>
    <row r="1349">
      <c r="A1349" s="11" t="inlineStr">
        <is>
          <t>1346</t>
        </is>
      </c>
      <c r="B1349" s="11" t="inlineStr">
        <is>
          <t>208</t>
        </is>
      </c>
      <c r="C1349" s="11" t="inlineStr">
        <is>
          <t>HC/tribunal/other</t>
        </is>
      </c>
      <c r="D1349" s="11" t="inlineStr">
        <is>
          <t>no</t>
        </is>
      </c>
      <c r="E1349" s="11" t="inlineStr">
        <is>
          <t>no</t>
        </is>
      </c>
      <c r="F1349" s="11" t="inlineStr"/>
      <c r="G1349" s="11" t="inlineStr"/>
      <c r="H1349" s="11" t="inlineStr">
        <is>
          <t>c2560</t>
        </is>
      </c>
      <c r="I1349" s="11" t="inlineStr">
        <is>
          <t>cite</t>
        </is>
      </c>
      <c r="J1349" s="11" t="inlineStr">
        <is>
          <t>no</t>
        </is>
      </c>
      <c r="K1349" s="11" t="inlineStr">
        <is>
          <t>no</t>
        </is>
      </c>
      <c r="L1349" s="11" t="inlineStr"/>
    </row>
    <row r="1350">
      <c r="A1350" s="11" t="inlineStr">
        <is>
          <t>1347</t>
        </is>
      </c>
      <c r="B1350" s="11" t="inlineStr">
        <is>
          <t>208</t>
        </is>
      </c>
      <c r="C1350" s="11" t="inlineStr">
        <is>
          <t>HC/tribunal/other</t>
        </is>
      </c>
      <c r="D1350" s="11" t="inlineStr">
        <is>
          <t>no</t>
        </is>
      </c>
      <c r="E1350" s="11" t="inlineStr">
        <is>
          <t>no</t>
        </is>
      </c>
      <c r="F1350" s="11" t="inlineStr"/>
      <c r="G1350" s="11" t="inlineStr"/>
      <c r="H1350" s="11" t="inlineStr">
        <is>
          <t>c6189</t>
        </is>
      </c>
      <c r="I1350" s="11" t="inlineStr">
        <is>
          <t>cite</t>
        </is>
      </c>
      <c r="J1350" s="11" t="inlineStr">
        <is>
          <t>no</t>
        </is>
      </c>
      <c r="K1350" s="11" t="inlineStr">
        <is>
          <t>no</t>
        </is>
      </c>
      <c r="L1350" s="11" t="inlineStr"/>
    </row>
    <row r="1351">
      <c r="A1351" s="11" t="inlineStr">
        <is>
          <t>1348</t>
        </is>
      </c>
      <c r="B1351" s="11" t="inlineStr">
        <is>
          <t>208</t>
        </is>
      </c>
      <c r="C1351" s="11" t="inlineStr">
        <is>
          <t>HC/tribunal/other</t>
        </is>
      </c>
      <c r="D1351" s="11" t="inlineStr">
        <is>
          <t>no</t>
        </is>
      </c>
      <c r="E1351" s="11" t="inlineStr">
        <is>
          <t>no</t>
        </is>
      </c>
      <c r="F1351" s="11" t="inlineStr"/>
      <c r="G1351" s="11" t="inlineStr"/>
      <c r="H1351" s="11" t="inlineStr">
        <is>
          <t>c15905</t>
        </is>
      </c>
      <c r="I1351" s="11" t="inlineStr">
        <is>
          <t>cite</t>
        </is>
      </c>
      <c r="J1351" s="11" t="inlineStr">
        <is>
          <t>no</t>
        </is>
      </c>
      <c r="K1351" s="11" t="inlineStr">
        <is>
          <t>no</t>
        </is>
      </c>
      <c r="L1351" s="11" t="inlineStr"/>
    </row>
    <row r="1352">
      <c r="A1352" s="11" t="inlineStr">
        <is>
          <t>1349</t>
        </is>
      </c>
      <c r="B1352" s="11" t="inlineStr">
        <is>
          <t>208</t>
        </is>
      </c>
      <c r="C1352" s="11" t="inlineStr">
        <is>
          <t>HC/tribunal/other</t>
        </is>
      </c>
      <c r="D1352" s="11" t="inlineStr">
        <is>
          <t>no</t>
        </is>
      </c>
      <c r="E1352" s="11" t="inlineStr">
        <is>
          <t>no</t>
        </is>
      </c>
      <c r="F1352" s="11" t="inlineStr"/>
      <c r="G1352" s="11" t="inlineStr"/>
      <c r="H1352" s="11" t="inlineStr"/>
      <c r="I1352" s="11" t="inlineStr"/>
      <c r="J1352" s="11" t="inlineStr">
        <is>
          <t>no</t>
        </is>
      </c>
      <c r="K1352" s="11" t="inlineStr">
        <is>
          <t>no</t>
        </is>
      </c>
      <c r="L1352" s="11" t="inlineStr"/>
    </row>
    <row r="1353">
      <c r="A1353" s="11" t="inlineStr">
        <is>
          <t>1350</t>
        </is>
      </c>
      <c r="B1353" s="11" t="inlineStr">
        <is>
          <t>208</t>
        </is>
      </c>
      <c r="C1353" s="11" t="inlineStr">
        <is>
          <t>HC/tribunal/other</t>
        </is>
      </c>
      <c r="D1353" s="11" t="inlineStr">
        <is>
          <t>no</t>
        </is>
      </c>
      <c r="E1353" s="11" t="inlineStr">
        <is>
          <t>no</t>
        </is>
      </c>
      <c r="F1353" s="11" t="inlineStr"/>
      <c r="G1353" s="11" t="inlineStr"/>
      <c r="H1353" s="11" t="inlineStr"/>
      <c r="I1353" s="11" t="inlineStr"/>
      <c r="J1353" s="11" t="inlineStr">
        <is>
          <t>no</t>
        </is>
      </c>
      <c r="K1353" s="11" t="inlineStr">
        <is>
          <t>no</t>
        </is>
      </c>
      <c r="L1353" s="11" t="inlineStr"/>
    </row>
    <row r="1354">
      <c r="A1354" s="11" t="inlineStr">
        <is>
          <t>1351</t>
        </is>
      </c>
      <c r="B1354" s="11" t="inlineStr">
        <is>
          <t>208</t>
        </is>
      </c>
      <c r="C1354" s="11" t="inlineStr">
        <is>
          <t>HC/tribunal/other</t>
        </is>
      </c>
      <c r="D1354" s="11" t="inlineStr">
        <is>
          <t>no</t>
        </is>
      </c>
      <c r="E1354" s="11" t="inlineStr">
        <is>
          <t>no</t>
        </is>
      </c>
      <c r="F1354" s="11" t="inlineStr"/>
      <c r="G1354" s="11" t="inlineStr"/>
      <c r="H1354" s="11" t="inlineStr">
        <is>
          <t>c19584</t>
        </is>
      </c>
      <c r="I1354" s="11" t="inlineStr">
        <is>
          <t>cite</t>
        </is>
      </c>
      <c r="J1354" s="11" t="inlineStr">
        <is>
          <t>no</t>
        </is>
      </c>
      <c r="K1354" s="11" t="inlineStr">
        <is>
          <t>no</t>
        </is>
      </c>
      <c r="L1354" s="11" t="inlineStr"/>
    </row>
    <row r="1355">
      <c r="A1355" s="11" t="inlineStr">
        <is>
          <t>1352</t>
        </is>
      </c>
      <c r="B1355" s="11" t="inlineStr">
        <is>
          <t>209</t>
        </is>
      </c>
      <c r="C1355" s="11" t="inlineStr">
        <is>
          <t>HC/tribunal/other</t>
        </is>
      </c>
      <c r="D1355" s="11" t="inlineStr">
        <is>
          <t>yes</t>
        </is>
      </c>
      <c r="E1355" s="11" t="inlineStr">
        <is>
          <t>yes</t>
        </is>
      </c>
      <c r="F1355" s="11" t="inlineStr"/>
      <c r="G1355" s="11" t="inlineStr"/>
      <c r="H1355" s="11" t="inlineStr">
        <is>
          <t>c28317</t>
        </is>
      </c>
      <c r="I1355" s="11" t="inlineStr">
        <is>
          <t>name</t>
        </is>
      </c>
      <c r="J1355" s="11" t="inlineStr">
        <is>
          <t>no</t>
        </is>
      </c>
      <c r="K1355" s="11" t="inlineStr">
        <is>
          <t>no</t>
        </is>
      </c>
      <c r="L1355" s="11" t="inlineStr"/>
    </row>
    <row r="1356">
      <c r="A1356" s="11" t="inlineStr">
        <is>
          <t>1353</t>
        </is>
      </c>
      <c r="B1356" s="11" t="inlineStr">
        <is>
          <t>209</t>
        </is>
      </c>
      <c r="C1356" s="11" t="inlineStr">
        <is>
          <t>HC/tribunal/other</t>
        </is>
      </c>
      <c r="D1356" s="11" t="inlineStr">
        <is>
          <t>no</t>
        </is>
      </c>
      <c r="E1356" s="11" t="inlineStr">
        <is>
          <t>no</t>
        </is>
      </c>
      <c r="F1356" s="11" t="inlineStr"/>
      <c r="G1356" s="11" t="inlineStr"/>
      <c r="H1356" s="11" t="inlineStr">
        <is>
          <t>c16474</t>
        </is>
      </c>
      <c r="I1356" s="11" t="inlineStr">
        <is>
          <t>cite</t>
        </is>
      </c>
      <c r="J1356" s="11" t="inlineStr">
        <is>
          <t>no</t>
        </is>
      </c>
      <c r="K1356" s="11" t="inlineStr">
        <is>
          <t>no</t>
        </is>
      </c>
      <c r="L1356" s="11" t="inlineStr"/>
    </row>
    <row r="1357">
      <c r="A1357" s="11" t="inlineStr">
        <is>
          <t>1354</t>
        </is>
      </c>
      <c r="B1357" s="11" t="inlineStr">
        <is>
          <t>209</t>
        </is>
      </c>
      <c r="C1357" s="11" t="inlineStr">
        <is>
          <t>HC/tribunal/other</t>
        </is>
      </c>
      <c r="D1357" s="11" t="inlineStr">
        <is>
          <t>no</t>
        </is>
      </c>
      <c r="E1357" s="11" t="inlineStr">
        <is>
          <t>no</t>
        </is>
      </c>
      <c r="F1357" s="11" t="inlineStr"/>
      <c r="G1357" s="11" t="inlineStr"/>
      <c r="H1357" s="11" t="inlineStr">
        <is>
          <t>c7526</t>
        </is>
      </c>
      <c r="I1357" s="11" t="inlineStr">
        <is>
          <t>cite</t>
        </is>
      </c>
      <c r="J1357" s="11" t="inlineStr">
        <is>
          <t>no</t>
        </is>
      </c>
      <c r="K1357" s="11" t="inlineStr">
        <is>
          <t>no</t>
        </is>
      </c>
      <c r="L1357" s="11" t="inlineStr"/>
    </row>
    <row r="1358">
      <c r="A1358" s="11" t="inlineStr">
        <is>
          <t>1355</t>
        </is>
      </c>
      <c r="B1358" s="11" t="inlineStr">
        <is>
          <t>209</t>
        </is>
      </c>
      <c r="C1358" s="11" t="inlineStr">
        <is>
          <t>HC/tribunal/other</t>
        </is>
      </c>
      <c r="D1358" s="11" t="inlineStr">
        <is>
          <t>no</t>
        </is>
      </c>
      <c r="E1358" s="11" t="inlineStr">
        <is>
          <t>no</t>
        </is>
      </c>
      <c r="F1358" s="11" t="inlineStr"/>
      <c r="G1358" s="11" t="inlineStr"/>
      <c r="H1358" s="11" t="inlineStr">
        <is>
          <t>c2627</t>
        </is>
      </c>
      <c r="I1358" s="11" t="inlineStr">
        <is>
          <t>cite</t>
        </is>
      </c>
      <c r="J1358" s="11" t="inlineStr">
        <is>
          <t>no</t>
        </is>
      </c>
      <c r="K1358" s="11" t="inlineStr">
        <is>
          <t>no</t>
        </is>
      </c>
      <c r="L1358" s="11" t="inlineStr"/>
    </row>
    <row r="1359">
      <c r="A1359" s="11" t="inlineStr">
        <is>
          <t>1356</t>
        </is>
      </c>
      <c r="B1359" s="11" t="inlineStr">
        <is>
          <t>209</t>
        </is>
      </c>
      <c r="C1359" s="11" t="inlineStr">
        <is>
          <t>HC/tribunal/other</t>
        </is>
      </c>
      <c r="D1359" s="11" t="inlineStr">
        <is>
          <t>no</t>
        </is>
      </c>
      <c r="E1359" s="11" t="inlineStr">
        <is>
          <t>no</t>
        </is>
      </c>
      <c r="F1359" s="11" t="inlineStr"/>
      <c r="G1359" s="11" t="inlineStr"/>
      <c r="H1359" s="11" t="inlineStr">
        <is>
          <t>c12606</t>
        </is>
      </c>
      <c r="I1359" s="11" t="inlineStr">
        <is>
          <t>name</t>
        </is>
      </c>
      <c r="J1359" s="11" t="inlineStr">
        <is>
          <t>no</t>
        </is>
      </c>
      <c r="K1359" s="11" t="inlineStr">
        <is>
          <t>no</t>
        </is>
      </c>
      <c r="L1359" s="11" t="inlineStr"/>
    </row>
    <row r="1360">
      <c r="A1360" s="11" t="inlineStr">
        <is>
          <t>1357</t>
        </is>
      </c>
      <c r="B1360" s="11" t="inlineStr">
        <is>
          <t>209</t>
        </is>
      </c>
      <c r="C1360" s="11" t="inlineStr">
        <is>
          <t>HC/tribunal/other</t>
        </is>
      </c>
      <c r="D1360" s="11" t="inlineStr">
        <is>
          <t>no</t>
        </is>
      </c>
      <c r="E1360" s="11" t="inlineStr">
        <is>
          <t>no</t>
        </is>
      </c>
      <c r="F1360" s="11" t="inlineStr"/>
      <c r="G1360" s="11" t="inlineStr"/>
      <c r="H1360" s="11" t="inlineStr">
        <is>
          <t>c17672</t>
        </is>
      </c>
      <c r="I1360" s="11" t="inlineStr">
        <is>
          <t>cite</t>
        </is>
      </c>
      <c r="J1360" s="11" t="inlineStr">
        <is>
          <t>no</t>
        </is>
      </c>
      <c r="K1360" s="11" t="inlineStr">
        <is>
          <t>no</t>
        </is>
      </c>
      <c r="L1360" s="11" t="inlineStr"/>
    </row>
    <row r="1361">
      <c r="A1361" s="11" t="inlineStr">
        <is>
          <t>1358</t>
        </is>
      </c>
      <c r="B1361" s="11" t="inlineStr">
        <is>
          <t>209</t>
        </is>
      </c>
      <c r="C1361" s="11" t="inlineStr">
        <is>
          <t>HC/tribunal/other</t>
        </is>
      </c>
      <c r="D1361" s="11" t="inlineStr">
        <is>
          <t>no</t>
        </is>
      </c>
      <c r="E1361" s="11" t="inlineStr">
        <is>
          <t>yes</t>
        </is>
      </c>
      <c r="F1361" s="11" t="inlineStr"/>
      <c r="G1361" s="11" t="inlineStr"/>
      <c r="H1361" s="11" t="inlineStr">
        <is>
          <t>c7458</t>
        </is>
      </c>
      <c r="I1361" s="11" t="inlineStr">
        <is>
          <t>cite</t>
        </is>
      </c>
      <c r="J1361" s="11" t="inlineStr">
        <is>
          <t>no</t>
        </is>
      </c>
      <c r="K1361" s="11" t="inlineStr">
        <is>
          <t>no</t>
        </is>
      </c>
      <c r="L1361" s="11" t="inlineStr"/>
    </row>
    <row r="1362">
      <c r="A1362" s="11" t="inlineStr">
        <is>
          <t>1359</t>
        </is>
      </c>
      <c r="B1362" s="11" t="inlineStr">
        <is>
          <t>210</t>
        </is>
      </c>
      <c r="C1362" s="11" t="inlineStr">
        <is>
          <t>HC/tribunal/other</t>
        </is>
      </c>
      <c r="D1362" s="11" t="inlineStr">
        <is>
          <t>no</t>
        </is>
      </c>
      <c r="E1362" s="11" t="inlineStr">
        <is>
          <t>no</t>
        </is>
      </c>
      <c r="F1362" s="11" t="inlineStr"/>
      <c r="G1362" s="11" t="inlineStr"/>
      <c r="H1362" s="11" t="inlineStr">
        <is>
          <t>c12618</t>
        </is>
      </c>
      <c r="I1362" s="11" t="inlineStr">
        <is>
          <t>cite</t>
        </is>
      </c>
      <c r="J1362" s="11" t="inlineStr">
        <is>
          <t>no</t>
        </is>
      </c>
      <c r="K1362" s="11" t="inlineStr">
        <is>
          <t>no</t>
        </is>
      </c>
      <c r="L1362" s="11" t="inlineStr"/>
    </row>
    <row r="1363">
      <c r="A1363" s="11" t="inlineStr">
        <is>
          <t>1360</t>
        </is>
      </c>
      <c r="B1363" s="11" t="inlineStr">
        <is>
          <t>210</t>
        </is>
      </c>
      <c r="C1363" s="11" t="inlineStr">
        <is>
          <t>HC/tribunal/other</t>
        </is>
      </c>
      <c r="D1363" s="11" t="inlineStr">
        <is>
          <t>no</t>
        </is>
      </c>
      <c r="E1363" s="11" t="inlineStr">
        <is>
          <t>yes</t>
        </is>
      </c>
      <c r="F1363" s="11" t="inlineStr"/>
      <c r="G1363" s="11" t="inlineStr"/>
      <c r="H1363" s="11" t="inlineStr"/>
      <c r="I1363" s="11" t="inlineStr"/>
      <c r="J1363" s="11" t="inlineStr">
        <is>
          <t>no</t>
        </is>
      </c>
      <c r="K1363" s="11" t="inlineStr">
        <is>
          <t>no</t>
        </is>
      </c>
      <c r="L1363" s="11" t="inlineStr"/>
    </row>
    <row r="1364">
      <c r="A1364" s="11" t="inlineStr">
        <is>
          <t>1361</t>
        </is>
      </c>
      <c r="B1364" s="11" t="inlineStr">
        <is>
          <t>210</t>
        </is>
      </c>
      <c r="C1364" s="11" t="inlineStr">
        <is>
          <t>HC/tribunal/other</t>
        </is>
      </c>
      <c r="D1364" s="11" t="inlineStr">
        <is>
          <t>no</t>
        </is>
      </c>
      <c r="E1364" s="11" t="inlineStr">
        <is>
          <t>no</t>
        </is>
      </c>
      <c r="F1364" s="11" t="inlineStr"/>
      <c r="G1364" s="11" t="inlineStr"/>
      <c r="H1364" s="11" t="inlineStr"/>
      <c r="I1364" s="11" t="inlineStr"/>
      <c r="J1364" s="11" t="inlineStr">
        <is>
          <t>no</t>
        </is>
      </c>
      <c r="K1364" s="11" t="inlineStr">
        <is>
          <t>no</t>
        </is>
      </c>
      <c r="L1364" s="11" t="inlineStr"/>
    </row>
    <row r="1365">
      <c r="A1365" s="11" t="inlineStr">
        <is>
          <t>1362</t>
        </is>
      </c>
      <c r="B1365" s="11" t="inlineStr">
        <is>
          <t>210</t>
        </is>
      </c>
      <c r="C1365" s="11" t="inlineStr">
        <is>
          <t>HC/tribunal/other</t>
        </is>
      </c>
      <c r="D1365" s="11" t="inlineStr">
        <is>
          <t>yes</t>
        </is>
      </c>
      <c r="E1365" s="11" t="inlineStr">
        <is>
          <t>no</t>
        </is>
      </c>
      <c r="F1365" s="11" t="inlineStr"/>
      <c r="G1365" s="11" t="inlineStr"/>
      <c r="H1365" s="11" t="inlineStr">
        <is>
          <t>c29158</t>
        </is>
      </c>
      <c r="I1365" s="11" t="inlineStr">
        <is>
          <t>cite</t>
        </is>
      </c>
      <c r="J1365" s="11" t="inlineStr">
        <is>
          <t>no</t>
        </is>
      </c>
      <c r="K1365" s="11" t="inlineStr">
        <is>
          <t>no</t>
        </is>
      </c>
      <c r="L1365" s="11" t="inlineStr"/>
    </row>
    <row r="1366">
      <c r="A1366" s="11" t="inlineStr">
        <is>
          <t>1363</t>
        </is>
      </c>
      <c r="B1366" s="11" t="inlineStr">
        <is>
          <t>210</t>
        </is>
      </c>
      <c r="C1366" s="11" t="inlineStr">
        <is>
          <t>HC/tribunal/other</t>
        </is>
      </c>
      <c r="D1366" s="11" t="inlineStr">
        <is>
          <t>yes</t>
        </is>
      </c>
      <c r="E1366" s="11" t="inlineStr">
        <is>
          <t>no</t>
        </is>
      </c>
      <c r="F1366" s="11" t="inlineStr"/>
      <c r="G1366" s="11" t="inlineStr"/>
      <c r="H1366" s="11" t="inlineStr">
        <is>
          <t>c26938</t>
        </is>
      </c>
      <c r="I1366" s="11" t="inlineStr">
        <is>
          <t>name</t>
        </is>
      </c>
      <c r="J1366" s="11" t="inlineStr">
        <is>
          <t>no</t>
        </is>
      </c>
      <c r="K1366" s="11" t="inlineStr">
        <is>
          <t>no</t>
        </is>
      </c>
      <c r="L1366" s="11" t="inlineStr"/>
    </row>
    <row r="1367">
      <c r="A1367" s="11" t="inlineStr">
        <is>
          <t>1364</t>
        </is>
      </c>
      <c r="B1367" s="11" t="inlineStr">
        <is>
          <t>210</t>
        </is>
      </c>
      <c r="C1367" s="11" t="inlineStr">
        <is>
          <t>HC/tribunal/other</t>
        </is>
      </c>
      <c r="D1367" s="11" t="inlineStr">
        <is>
          <t>yes</t>
        </is>
      </c>
      <c r="E1367" s="11" t="inlineStr">
        <is>
          <t>no</t>
        </is>
      </c>
      <c r="F1367" s="11" t="inlineStr"/>
      <c r="G1367" s="11" t="inlineStr"/>
      <c r="H1367" s="11" t="inlineStr">
        <is>
          <t>c31254</t>
        </is>
      </c>
      <c r="I1367" s="11" t="inlineStr">
        <is>
          <t>name</t>
        </is>
      </c>
      <c r="J1367" s="11" t="inlineStr">
        <is>
          <t>no</t>
        </is>
      </c>
      <c r="K1367" s="11" t="inlineStr">
        <is>
          <t>no</t>
        </is>
      </c>
      <c r="L1367" s="11" t="inlineStr"/>
    </row>
    <row r="1368">
      <c r="A1368" s="11" t="inlineStr">
        <is>
          <t>1365</t>
        </is>
      </c>
      <c r="B1368" s="11" t="inlineStr">
        <is>
          <t>211</t>
        </is>
      </c>
      <c r="C1368" s="11" t="inlineStr">
        <is>
          <t>HC/tribunal/other</t>
        </is>
      </c>
      <c r="D1368" s="11" t="inlineStr">
        <is>
          <t>no</t>
        </is>
      </c>
      <c r="E1368" s="11" t="inlineStr">
        <is>
          <t>yes</t>
        </is>
      </c>
      <c r="F1368" s="11" t="inlineStr"/>
      <c r="G1368" s="11" t="inlineStr"/>
      <c r="H1368" s="11" t="inlineStr">
        <is>
          <t>c9883</t>
        </is>
      </c>
      <c r="I1368" s="11" t="inlineStr">
        <is>
          <t>cite</t>
        </is>
      </c>
      <c r="J1368" s="11" t="inlineStr">
        <is>
          <t>no</t>
        </is>
      </c>
      <c r="K1368" s="11" t="inlineStr">
        <is>
          <t>no</t>
        </is>
      </c>
      <c r="L1368" s="11" t="inlineStr"/>
    </row>
    <row r="1369">
      <c r="A1369" s="11" t="inlineStr">
        <is>
          <t>1366</t>
        </is>
      </c>
      <c r="B1369" s="11" t="inlineStr">
        <is>
          <t>211</t>
        </is>
      </c>
      <c r="C1369" s="11" t="inlineStr">
        <is>
          <t>HC/tribunal/other</t>
        </is>
      </c>
      <c r="D1369" s="11" t="inlineStr">
        <is>
          <t>no</t>
        </is>
      </c>
      <c r="E1369" s="11" t="inlineStr">
        <is>
          <t>no</t>
        </is>
      </c>
      <c r="F1369" s="11" t="inlineStr"/>
      <c r="G1369" s="11" t="inlineStr"/>
      <c r="H1369" s="11" t="inlineStr"/>
      <c r="I1369" s="11" t="inlineStr"/>
      <c r="J1369" s="11" t="inlineStr">
        <is>
          <t>no</t>
        </is>
      </c>
      <c r="K1369" s="11" t="inlineStr">
        <is>
          <t>no</t>
        </is>
      </c>
      <c r="L1369" s="11" t="inlineStr"/>
    </row>
    <row r="1370">
      <c r="A1370" s="11" t="inlineStr">
        <is>
          <t>1367</t>
        </is>
      </c>
      <c r="B1370" s="11" t="inlineStr">
        <is>
          <t>211</t>
        </is>
      </c>
      <c r="C1370" s="11" t="inlineStr">
        <is>
          <t>HC/tribunal/other</t>
        </is>
      </c>
      <c r="D1370" s="11" t="inlineStr">
        <is>
          <t>yes</t>
        </is>
      </c>
      <c r="E1370" s="11" t="inlineStr">
        <is>
          <t>no</t>
        </is>
      </c>
      <c r="F1370" s="11" t="inlineStr"/>
      <c r="G1370" s="11" t="inlineStr"/>
      <c r="H1370" s="11" t="inlineStr">
        <is>
          <t>c14500</t>
        </is>
      </c>
      <c r="I1370" s="11" t="inlineStr">
        <is>
          <t>cite</t>
        </is>
      </c>
      <c r="J1370" s="11" t="inlineStr">
        <is>
          <t>no</t>
        </is>
      </c>
      <c r="K1370" s="11" t="inlineStr">
        <is>
          <t>no</t>
        </is>
      </c>
      <c r="L1370" s="11" t="inlineStr"/>
    </row>
    <row r="1371">
      <c r="A1371" s="11" t="inlineStr">
        <is>
          <t>1368</t>
        </is>
      </c>
      <c r="B1371" s="11" t="inlineStr">
        <is>
          <t>211</t>
        </is>
      </c>
      <c r="C1371" s="11" t="inlineStr">
        <is>
          <t>HC/tribunal/other</t>
        </is>
      </c>
      <c r="D1371" s="11" t="inlineStr">
        <is>
          <t>no</t>
        </is>
      </c>
      <c r="E1371" s="11" t="inlineStr">
        <is>
          <t>yes</t>
        </is>
      </c>
      <c r="F1371" s="11" t="inlineStr"/>
      <c r="G1371" s="11" t="inlineStr"/>
      <c r="H1371" s="11" t="inlineStr">
        <is>
          <t>c17410</t>
        </is>
      </c>
      <c r="I1371" s="11" t="inlineStr">
        <is>
          <t>name</t>
        </is>
      </c>
      <c r="J1371" s="11" t="inlineStr">
        <is>
          <t>no</t>
        </is>
      </c>
      <c r="K1371" s="11" t="inlineStr">
        <is>
          <t>no</t>
        </is>
      </c>
      <c r="L1371" s="11" t="inlineStr"/>
    </row>
    <row r="1372">
      <c r="A1372" s="11" t="inlineStr">
        <is>
          <t>1369</t>
        </is>
      </c>
      <c r="B1372" s="11" t="inlineStr">
        <is>
          <t>211</t>
        </is>
      </c>
      <c r="C1372" s="11" t="inlineStr">
        <is>
          <t>HC/tribunal/other</t>
        </is>
      </c>
      <c r="D1372" s="11" t="inlineStr">
        <is>
          <t>yes</t>
        </is>
      </c>
      <c r="E1372" s="11" t="inlineStr">
        <is>
          <t>yes</t>
        </is>
      </c>
      <c r="F1372" s="11" t="inlineStr"/>
      <c r="G1372" s="11" t="inlineStr"/>
      <c r="H1372" s="11" t="inlineStr">
        <is>
          <t>c32621</t>
        </is>
      </c>
      <c r="I1372" s="11" t="inlineStr">
        <is>
          <t>name</t>
        </is>
      </c>
      <c r="J1372" s="11" t="inlineStr">
        <is>
          <t>no</t>
        </is>
      </c>
      <c r="K1372" s="11" t="inlineStr">
        <is>
          <t>no</t>
        </is>
      </c>
      <c r="L1372" s="11" t="inlineStr"/>
    </row>
    <row r="1373">
      <c r="A1373" s="11" t="inlineStr">
        <is>
          <t>1370</t>
        </is>
      </c>
      <c r="B1373" s="11" t="inlineStr">
        <is>
          <t>211</t>
        </is>
      </c>
      <c r="C1373" s="11" t="inlineStr">
        <is>
          <t>HC/tribunal/other</t>
        </is>
      </c>
      <c r="D1373" s="11" t="inlineStr">
        <is>
          <t>no</t>
        </is>
      </c>
      <c r="E1373" s="11" t="inlineStr">
        <is>
          <t>no</t>
        </is>
      </c>
      <c r="F1373" s="11" t="inlineStr"/>
      <c r="G1373" s="11" t="inlineStr"/>
      <c r="H1373" s="11" t="inlineStr">
        <is>
          <t>c39189</t>
        </is>
      </c>
      <c r="I1373" s="11" t="inlineStr">
        <is>
          <t>name</t>
        </is>
      </c>
      <c r="J1373" s="11" t="inlineStr">
        <is>
          <t>no</t>
        </is>
      </c>
      <c r="K1373" s="11" t="inlineStr">
        <is>
          <t>no</t>
        </is>
      </c>
      <c r="L1373" s="11" t="inlineStr"/>
    </row>
    <row r="1374">
      <c r="A1374" s="11" t="inlineStr">
        <is>
          <t>1371</t>
        </is>
      </c>
      <c r="B1374" s="11" t="inlineStr">
        <is>
          <t>211</t>
        </is>
      </c>
      <c r="C1374" s="11" t="inlineStr">
        <is>
          <t>HC/tribunal/other</t>
        </is>
      </c>
      <c r="D1374" s="11" t="inlineStr">
        <is>
          <t>yes</t>
        </is>
      </c>
      <c r="E1374" s="11" t="inlineStr">
        <is>
          <t>no</t>
        </is>
      </c>
      <c r="F1374" s="11" t="inlineStr"/>
      <c r="G1374" s="11" t="inlineStr"/>
      <c r="H1374" s="11" t="inlineStr">
        <is>
          <t>c34118</t>
        </is>
      </c>
      <c r="I1374" s="11" t="inlineStr">
        <is>
          <t>cite</t>
        </is>
      </c>
      <c r="J1374" s="11" t="inlineStr">
        <is>
          <t>no</t>
        </is>
      </c>
      <c r="K1374" s="11" t="inlineStr">
        <is>
          <t>no</t>
        </is>
      </c>
      <c r="L1374" s="11" t="inlineStr"/>
    </row>
    <row r="1375">
      <c r="A1375" s="11" t="inlineStr">
        <is>
          <t>1372</t>
        </is>
      </c>
      <c r="B1375" s="11" t="inlineStr">
        <is>
          <t>211</t>
        </is>
      </c>
      <c r="C1375" s="11" t="inlineStr">
        <is>
          <t>HC/tribunal/other</t>
        </is>
      </c>
      <c r="D1375" s="11" t="inlineStr">
        <is>
          <t>yes</t>
        </is>
      </c>
      <c r="E1375" s="11" t="inlineStr">
        <is>
          <t>yes</t>
        </is>
      </c>
      <c r="F1375" s="11" t="inlineStr"/>
      <c r="G1375" s="11" t="inlineStr"/>
      <c r="H1375" s="11" t="inlineStr">
        <is>
          <t>c33589</t>
        </is>
      </c>
      <c r="I1375" s="11" t="inlineStr">
        <is>
          <t>cite</t>
        </is>
      </c>
      <c r="J1375" s="11" t="inlineStr">
        <is>
          <t>no</t>
        </is>
      </c>
      <c r="K1375" s="11" t="inlineStr">
        <is>
          <t>no</t>
        </is>
      </c>
      <c r="L1375" s="11" t="inlineStr"/>
    </row>
    <row r="1376">
      <c r="A1376" s="11" t="inlineStr">
        <is>
          <t>1373</t>
        </is>
      </c>
      <c r="B1376" s="11" t="inlineStr">
        <is>
          <t>212</t>
        </is>
      </c>
      <c r="C1376" s="11" t="inlineStr">
        <is>
          <t>HC/tribunal/other</t>
        </is>
      </c>
      <c r="D1376" s="11" t="inlineStr">
        <is>
          <t>no</t>
        </is>
      </c>
      <c r="E1376" s="11" t="inlineStr">
        <is>
          <t>no</t>
        </is>
      </c>
      <c r="F1376" s="11" t="inlineStr"/>
      <c r="G1376" s="11" t="inlineStr"/>
      <c r="H1376" s="11" t="inlineStr">
        <is>
          <t>c12804</t>
        </is>
      </c>
      <c r="I1376" s="11" t="inlineStr">
        <is>
          <t>cite</t>
        </is>
      </c>
      <c r="J1376" s="11" t="inlineStr">
        <is>
          <t>no</t>
        </is>
      </c>
      <c r="K1376" s="11" t="inlineStr">
        <is>
          <t>no</t>
        </is>
      </c>
      <c r="L1376" s="11" t="inlineStr"/>
    </row>
    <row r="1377">
      <c r="A1377" s="11" t="inlineStr">
        <is>
          <t>1374</t>
        </is>
      </c>
      <c r="B1377" s="11" t="inlineStr">
        <is>
          <t>212</t>
        </is>
      </c>
      <c r="C1377" s="11" t="inlineStr">
        <is>
          <t>HC/tribunal/other</t>
        </is>
      </c>
      <c r="D1377" s="11" t="inlineStr">
        <is>
          <t>yes</t>
        </is>
      </c>
      <c r="E1377" s="11" t="inlineStr">
        <is>
          <t>no</t>
        </is>
      </c>
      <c r="F1377" s="11" t="inlineStr"/>
      <c r="G1377" s="11" t="inlineStr"/>
      <c r="H1377" s="11" t="inlineStr">
        <is>
          <t>c6245</t>
        </is>
      </c>
      <c r="I1377" s="11" t="inlineStr">
        <is>
          <t>cite</t>
        </is>
      </c>
      <c r="J1377" s="11" t="inlineStr">
        <is>
          <t>no</t>
        </is>
      </c>
      <c r="K1377" s="11" t="inlineStr">
        <is>
          <t>no</t>
        </is>
      </c>
      <c r="L1377" s="11" t="inlineStr"/>
    </row>
    <row r="1378">
      <c r="A1378" s="11" t="inlineStr">
        <is>
          <t>1375</t>
        </is>
      </c>
      <c r="B1378" s="11" t="inlineStr">
        <is>
          <t>212</t>
        </is>
      </c>
      <c r="C1378" s="11" t="inlineStr">
        <is>
          <t>HC/tribunal/other</t>
        </is>
      </c>
      <c r="D1378" s="11" t="inlineStr">
        <is>
          <t>yes</t>
        </is>
      </c>
      <c r="E1378" s="11" t="inlineStr">
        <is>
          <t>yes</t>
        </is>
      </c>
      <c r="F1378" s="11" t="inlineStr"/>
      <c r="G1378" s="11" t="inlineStr"/>
      <c r="H1378" s="11" t="inlineStr">
        <is>
          <t>c38316</t>
        </is>
      </c>
      <c r="I1378" s="11" t="inlineStr">
        <is>
          <t>cite</t>
        </is>
      </c>
      <c r="J1378" s="11" t="inlineStr">
        <is>
          <t>no</t>
        </is>
      </c>
      <c r="K1378" s="11" t="inlineStr">
        <is>
          <t>no</t>
        </is>
      </c>
      <c r="L1378" s="11" t="inlineStr"/>
    </row>
    <row r="1379">
      <c r="A1379" s="11" t="inlineStr">
        <is>
          <t>1376</t>
        </is>
      </c>
      <c r="B1379" s="11" t="inlineStr">
        <is>
          <t>212</t>
        </is>
      </c>
      <c r="C1379" s="11" t="inlineStr">
        <is>
          <t>HC/tribunal/other</t>
        </is>
      </c>
      <c r="D1379" s="11" t="inlineStr">
        <is>
          <t>no</t>
        </is>
      </c>
      <c r="E1379" s="11" t="inlineStr">
        <is>
          <t>no</t>
        </is>
      </c>
      <c r="F1379" s="11" t="inlineStr"/>
      <c r="G1379" s="11" t="inlineStr"/>
      <c r="H1379" s="11" t="inlineStr">
        <is>
          <t>c32581</t>
        </is>
      </c>
      <c r="I1379" s="11" t="inlineStr">
        <is>
          <t>name</t>
        </is>
      </c>
      <c r="J1379" s="11" t="inlineStr">
        <is>
          <t>no</t>
        </is>
      </c>
      <c r="K1379" s="11" t="inlineStr">
        <is>
          <t>no</t>
        </is>
      </c>
      <c r="L1379" s="11" t="inlineStr"/>
    </row>
    <row r="1380">
      <c r="A1380" s="11" t="inlineStr">
        <is>
          <t>1377</t>
        </is>
      </c>
      <c r="B1380" s="11" t="inlineStr">
        <is>
          <t>212</t>
        </is>
      </c>
      <c r="C1380" s="11" t="inlineStr">
        <is>
          <t>HC/tribunal/other</t>
        </is>
      </c>
      <c r="D1380" s="11" t="inlineStr">
        <is>
          <t>no</t>
        </is>
      </c>
      <c r="E1380" s="11" t="inlineStr">
        <is>
          <t>no</t>
        </is>
      </c>
      <c r="F1380" s="11" t="inlineStr"/>
      <c r="G1380" s="11" t="inlineStr"/>
      <c r="H1380" s="11" t="inlineStr">
        <is>
          <t>c27072</t>
        </is>
      </c>
      <c r="I1380" s="11" t="inlineStr">
        <is>
          <t>name</t>
        </is>
      </c>
      <c r="J1380" s="11" t="inlineStr">
        <is>
          <t>no</t>
        </is>
      </c>
      <c r="K1380" s="11" t="inlineStr">
        <is>
          <t>no</t>
        </is>
      </c>
      <c r="L1380" s="11" t="inlineStr"/>
    </row>
    <row r="1381">
      <c r="A1381" s="11" t="inlineStr">
        <is>
          <t>1378</t>
        </is>
      </c>
      <c r="B1381" s="11" t="inlineStr">
        <is>
          <t>213</t>
        </is>
      </c>
      <c r="C1381" s="11" t="inlineStr">
        <is>
          <t>HC/tribunal/other</t>
        </is>
      </c>
      <c r="D1381" s="11" t="inlineStr">
        <is>
          <t>yes</t>
        </is>
      </c>
      <c r="E1381" s="11" t="inlineStr">
        <is>
          <t>no</t>
        </is>
      </c>
      <c r="F1381" s="11" t="inlineStr"/>
      <c r="G1381" s="11" t="inlineStr"/>
      <c r="H1381" s="11" t="inlineStr">
        <is>
          <t>c30375</t>
        </is>
      </c>
      <c r="I1381" s="11" t="inlineStr">
        <is>
          <t>name</t>
        </is>
      </c>
      <c r="J1381" s="11" t="inlineStr">
        <is>
          <t>no</t>
        </is>
      </c>
      <c r="K1381" s="11" t="inlineStr">
        <is>
          <t>no</t>
        </is>
      </c>
      <c r="L1381" s="11" t="inlineStr"/>
    </row>
    <row r="1382">
      <c r="A1382" s="11" t="inlineStr">
        <is>
          <t>1379</t>
        </is>
      </c>
      <c r="B1382" s="11" t="inlineStr">
        <is>
          <t>213</t>
        </is>
      </c>
      <c r="C1382" s="11" t="inlineStr">
        <is>
          <t>HC/tribunal/other</t>
        </is>
      </c>
      <c r="D1382" s="11" t="inlineStr">
        <is>
          <t>yes</t>
        </is>
      </c>
      <c r="E1382" s="11" t="inlineStr">
        <is>
          <t>no</t>
        </is>
      </c>
      <c r="F1382" s="11" t="inlineStr"/>
      <c r="G1382" s="11" t="inlineStr"/>
      <c r="H1382" s="11" t="inlineStr">
        <is>
          <t>c29283</t>
        </is>
      </c>
      <c r="I1382" s="11" t="inlineStr">
        <is>
          <t>name</t>
        </is>
      </c>
      <c r="J1382" s="11" t="inlineStr">
        <is>
          <t>no</t>
        </is>
      </c>
      <c r="K1382" s="11" t="inlineStr">
        <is>
          <t>no</t>
        </is>
      </c>
      <c r="L1382" s="11" t="inlineStr"/>
    </row>
    <row r="1383">
      <c r="A1383" s="11" t="inlineStr">
        <is>
          <t>1380</t>
        </is>
      </c>
      <c r="B1383" s="11" t="inlineStr">
        <is>
          <t>213</t>
        </is>
      </c>
      <c r="C1383" s="11" t="inlineStr">
        <is>
          <t>HC/tribunal/other</t>
        </is>
      </c>
      <c r="D1383" s="11" t="inlineStr">
        <is>
          <t>no</t>
        </is>
      </c>
      <c r="E1383" s="11" t="inlineStr">
        <is>
          <t>no</t>
        </is>
      </c>
      <c r="F1383" s="11" t="inlineStr"/>
      <c r="G1383" s="11" t="inlineStr"/>
      <c r="H1383" s="11" t="inlineStr"/>
      <c r="I1383" s="11" t="inlineStr"/>
      <c r="J1383" s="11" t="inlineStr">
        <is>
          <t>no</t>
        </is>
      </c>
      <c r="K1383" s="11" t="inlineStr">
        <is>
          <t>no</t>
        </is>
      </c>
      <c r="L1383" s="11" t="inlineStr"/>
    </row>
    <row r="1384">
      <c r="A1384" s="11" t="inlineStr">
        <is>
          <t>1381</t>
        </is>
      </c>
      <c r="B1384" s="11" t="inlineStr">
        <is>
          <t>213</t>
        </is>
      </c>
      <c r="C1384" s="11" t="inlineStr">
        <is>
          <t>HC/tribunal/other</t>
        </is>
      </c>
      <c r="D1384" s="11" t="inlineStr">
        <is>
          <t>yes</t>
        </is>
      </c>
      <c r="E1384" s="11" t="inlineStr">
        <is>
          <t>no</t>
        </is>
      </c>
      <c r="F1384" s="11" t="inlineStr"/>
      <c r="G1384" s="11" t="inlineStr"/>
      <c r="H1384" s="11" t="inlineStr">
        <is>
          <t>c29304</t>
        </is>
      </c>
      <c r="I1384" s="11" t="inlineStr">
        <is>
          <t>cite</t>
        </is>
      </c>
      <c r="J1384" s="11" t="inlineStr">
        <is>
          <t>no</t>
        </is>
      </c>
      <c r="K1384" s="11" t="inlineStr">
        <is>
          <t>no</t>
        </is>
      </c>
      <c r="L1384" s="11" t="inlineStr"/>
    </row>
    <row r="1385">
      <c r="A1385" s="11" t="inlineStr">
        <is>
          <t>1382</t>
        </is>
      </c>
      <c r="B1385" s="11" t="inlineStr">
        <is>
          <t>213</t>
        </is>
      </c>
      <c r="C1385" s="11" t="inlineStr">
        <is>
          <t>HC/tribunal/other</t>
        </is>
      </c>
      <c r="D1385" s="11" t="inlineStr">
        <is>
          <t>no</t>
        </is>
      </c>
      <c r="E1385" s="11" t="inlineStr">
        <is>
          <t>no</t>
        </is>
      </c>
      <c r="F1385" s="11" t="inlineStr"/>
      <c r="G1385" s="11" t="inlineStr"/>
      <c r="H1385" s="11" t="inlineStr">
        <is>
          <t>c31683</t>
        </is>
      </c>
      <c r="I1385" s="11" t="inlineStr">
        <is>
          <t>name</t>
        </is>
      </c>
      <c r="J1385" s="11" t="inlineStr">
        <is>
          <t>no</t>
        </is>
      </c>
      <c r="K1385" s="11" t="inlineStr">
        <is>
          <t>no</t>
        </is>
      </c>
      <c r="L1385" s="11" t="inlineStr"/>
    </row>
    <row r="1386">
      <c r="A1386" s="11" t="inlineStr">
        <is>
          <t>1383</t>
        </is>
      </c>
      <c r="B1386" s="11" t="inlineStr">
        <is>
          <t>213</t>
        </is>
      </c>
      <c r="C1386" s="11" t="inlineStr">
        <is>
          <t>HC/tribunal/other</t>
        </is>
      </c>
      <c r="D1386" s="11" t="inlineStr">
        <is>
          <t>no</t>
        </is>
      </c>
      <c r="E1386" s="11" t="inlineStr">
        <is>
          <t>yes</t>
        </is>
      </c>
      <c r="F1386" s="11" t="inlineStr"/>
      <c r="G1386" s="11" t="inlineStr"/>
      <c r="H1386" s="11" t="inlineStr"/>
      <c r="I1386" s="11" t="inlineStr"/>
      <c r="J1386" s="11" t="inlineStr">
        <is>
          <t>no</t>
        </is>
      </c>
      <c r="K1386" s="11" t="inlineStr">
        <is>
          <t>no</t>
        </is>
      </c>
      <c r="L1386" s="11" t="inlineStr"/>
    </row>
    <row r="1387">
      <c r="A1387" s="11" t="inlineStr">
        <is>
          <t>1384</t>
        </is>
      </c>
      <c r="B1387" s="11" t="inlineStr">
        <is>
          <t>214</t>
        </is>
      </c>
      <c r="C1387" s="11" t="inlineStr">
        <is>
          <t>HC/tribunal/other</t>
        </is>
      </c>
      <c r="D1387" s="11" t="inlineStr">
        <is>
          <t>no</t>
        </is>
      </c>
      <c r="E1387" s="11" t="inlineStr">
        <is>
          <t>no</t>
        </is>
      </c>
      <c r="F1387" s="11" t="inlineStr"/>
      <c r="G1387" s="11" t="inlineStr"/>
      <c r="H1387" s="11" t="inlineStr">
        <is>
          <t>c33095</t>
        </is>
      </c>
      <c r="I1387" s="11" t="inlineStr">
        <is>
          <t>name</t>
        </is>
      </c>
      <c r="J1387" s="11" t="inlineStr">
        <is>
          <t>no</t>
        </is>
      </c>
      <c r="K1387" s="11" t="inlineStr">
        <is>
          <t>no</t>
        </is>
      </c>
      <c r="L1387" s="11" t="inlineStr"/>
    </row>
    <row r="1388">
      <c r="A1388" s="11" t="inlineStr">
        <is>
          <t>1385</t>
        </is>
      </c>
      <c r="B1388" s="11" t="inlineStr">
        <is>
          <t>214</t>
        </is>
      </c>
      <c r="C1388" s="11" t="inlineStr">
        <is>
          <t>HC/tribunal/other</t>
        </is>
      </c>
      <c r="D1388" s="11" t="inlineStr">
        <is>
          <t>no</t>
        </is>
      </c>
      <c r="E1388" s="11" t="inlineStr">
        <is>
          <t>yes</t>
        </is>
      </c>
      <c r="F1388" s="11" t="inlineStr"/>
      <c r="G1388" s="11" t="inlineStr"/>
      <c r="H1388" s="11" t="inlineStr">
        <is>
          <t>c28573</t>
        </is>
      </c>
      <c r="I1388" s="11" t="inlineStr">
        <is>
          <t>cite</t>
        </is>
      </c>
      <c r="J1388" s="11" t="inlineStr">
        <is>
          <t>no</t>
        </is>
      </c>
      <c r="K1388" s="11" t="inlineStr">
        <is>
          <t>no</t>
        </is>
      </c>
      <c r="L1388" s="11" t="inlineStr"/>
    </row>
    <row r="1389">
      <c r="A1389" s="11" t="inlineStr">
        <is>
          <t>1386</t>
        </is>
      </c>
      <c r="B1389" s="11" t="inlineStr">
        <is>
          <t>214</t>
        </is>
      </c>
      <c r="C1389" s="11" t="inlineStr">
        <is>
          <t>HC/tribunal/other</t>
        </is>
      </c>
      <c r="D1389" s="11" t="inlineStr">
        <is>
          <t>yes</t>
        </is>
      </c>
      <c r="E1389" s="11" t="inlineStr">
        <is>
          <t>no</t>
        </is>
      </c>
      <c r="F1389" s="11" t="inlineStr"/>
      <c r="G1389" s="11" t="inlineStr"/>
      <c r="H1389" s="11" t="inlineStr">
        <is>
          <t>c31283</t>
        </is>
      </c>
      <c r="I1389" s="11" t="inlineStr">
        <is>
          <t>name</t>
        </is>
      </c>
      <c r="J1389" s="11" t="inlineStr">
        <is>
          <t>no</t>
        </is>
      </c>
      <c r="K1389" s="11" t="inlineStr">
        <is>
          <t>no</t>
        </is>
      </c>
      <c r="L1389" s="11" t="inlineStr"/>
    </row>
    <row r="1390">
      <c r="A1390" s="11" t="inlineStr">
        <is>
          <t>1387</t>
        </is>
      </c>
      <c r="B1390" s="11" t="inlineStr">
        <is>
          <t>214</t>
        </is>
      </c>
      <c r="C1390" s="11" t="inlineStr">
        <is>
          <t>HC/tribunal/other</t>
        </is>
      </c>
      <c r="D1390" s="11" t="inlineStr">
        <is>
          <t>no</t>
        </is>
      </c>
      <c r="E1390" s="11" t="inlineStr">
        <is>
          <t>no</t>
        </is>
      </c>
      <c r="F1390" s="11" t="inlineStr"/>
      <c r="G1390" s="11" t="inlineStr"/>
      <c r="H1390" s="11" t="inlineStr">
        <is>
          <t>c9651</t>
        </is>
      </c>
      <c r="I1390" s="11" t="inlineStr">
        <is>
          <t>cite</t>
        </is>
      </c>
      <c r="J1390" s="11" t="inlineStr">
        <is>
          <t>no</t>
        </is>
      </c>
      <c r="K1390" s="11" t="inlineStr">
        <is>
          <t>no</t>
        </is>
      </c>
      <c r="L1390" s="11" t="inlineStr"/>
    </row>
    <row r="1391">
      <c r="A1391" s="11" t="inlineStr">
        <is>
          <t>1388</t>
        </is>
      </c>
      <c r="B1391" s="11" t="inlineStr">
        <is>
          <t>214</t>
        </is>
      </c>
      <c r="C1391" s="11" t="inlineStr">
        <is>
          <t>HC/tribunal/other</t>
        </is>
      </c>
      <c r="D1391" s="11" t="inlineStr">
        <is>
          <t>yes</t>
        </is>
      </c>
      <c r="E1391" s="11" t="inlineStr">
        <is>
          <t>no</t>
        </is>
      </c>
      <c r="F1391" s="11" t="inlineStr"/>
      <c r="G1391" s="11" t="inlineStr"/>
      <c r="H1391" s="11" t="inlineStr">
        <is>
          <t>c34266</t>
        </is>
      </c>
      <c r="I1391" s="11" t="inlineStr">
        <is>
          <t>name</t>
        </is>
      </c>
      <c r="J1391" s="11" t="inlineStr">
        <is>
          <t>no</t>
        </is>
      </c>
      <c r="K1391" s="11" t="inlineStr">
        <is>
          <t>no</t>
        </is>
      </c>
      <c r="L1391" s="11" t="inlineStr"/>
    </row>
    <row r="1392">
      <c r="A1392" s="11" t="inlineStr">
        <is>
          <t>1389</t>
        </is>
      </c>
      <c r="B1392" s="11" t="inlineStr">
        <is>
          <t>214</t>
        </is>
      </c>
      <c r="C1392" s="11" t="inlineStr">
        <is>
          <t>HC/tribunal/other</t>
        </is>
      </c>
      <c r="D1392" s="11" t="inlineStr">
        <is>
          <t>yes</t>
        </is>
      </c>
      <c r="E1392" s="11" t="inlineStr">
        <is>
          <t>yes</t>
        </is>
      </c>
      <c r="F1392" s="11" t="inlineStr"/>
      <c r="G1392" s="11" t="inlineStr"/>
      <c r="H1392" s="11" t="inlineStr">
        <is>
          <t>c39343</t>
        </is>
      </c>
      <c r="I1392" s="11" t="inlineStr">
        <is>
          <t>name</t>
        </is>
      </c>
      <c r="J1392" s="11" t="inlineStr">
        <is>
          <t>no</t>
        </is>
      </c>
      <c r="K1392" s="11" t="inlineStr">
        <is>
          <t>no</t>
        </is>
      </c>
      <c r="L1392" s="11" t="inlineStr"/>
    </row>
    <row r="1393">
      <c r="A1393" s="11" t="inlineStr">
        <is>
          <t>1390</t>
        </is>
      </c>
      <c r="B1393" s="11" t="inlineStr">
        <is>
          <t>215</t>
        </is>
      </c>
      <c r="C1393" s="11" t="inlineStr">
        <is>
          <t>HC/tribunal/other</t>
        </is>
      </c>
      <c r="D1393" s="11" t="inlineStr">
        <is>
          <t>yes</t>
        </is>
      </c>
      <c r="E1393" s="11" t="inlineStr">
        <is>
          <t>no</t>
        </is>
      </c>
      <c r="F1393" s="11" t="inlineStr"/>
      <c r="G1393" s="11" t="inlineStr"/>
      <c r="H1393" s="11" t="inlineStr"/>
      <c r="I1393" s="11" t="inlineStr"/>
      <c r="J1393" s="11" t="inlineStr">
        <is>
          <t>no</t>
        </is>
      </c>
      <c r="K1393" s="11" t="inlineStr">
        <is>
          <t>no</t>
        </is>
      </c>
      <c r="L1393" s="11" t="inlineStr"/>
    </row>
    <row r="1394">
      <c r="A1394" s="11" t="inlineStr">
        <is>
          <t>1391</t>
        </is>
      </c>
      <c r="B1394" s="11" t="inlineStr">
        <is>
          <t>215</t>
        </is>
      </c>
      <c r="C1394" s="11" t="inlineStr">
        <is>
          <t>HC/tribunal/other</t>
        </is>
      </c>
      <c r="D1394" s="11" t="inlineStr">
        <is>
          <t>no</t>
        </is>
      </c>
      <c r="E1394" s="11" t="inlineStr">
        <is>
          <t>no</t>
        </is>
      </c>
      <c r="F1394" s="11" t="inlineStr"/>
      <c r="G1394" s="11" t="inlineStr"/>
      <c r="H1394" s="11" t="inlineStr"/>
      <c r="I1394" s="11" t="inlineStr"/>
      <c r="J1394" s="11" t="inlineStr">
        <is>
          <t>no</t>
        </is>
      </c>
      <c r="K1394" s="11" t="inlineStr">
        <is>
          <t>no</t>
        </is>
      </c>
      <c r="L1394" s="11" t="inlineStr"/>
    </row>
    <row r="1395">
      <c r="A1395" s="11" t="inlineStr">
        <is>
          <t>1392</t>
        </is>
      </c>
      <c r="B1395" s="11" t="inlineStr">
        <is>
          <t>215</t>
        </is>
      </c>
      <c r="C1395" s="11" t="inlineStr">
        <is>
          <t>HC/tribunal/other</t>
        </is>
      </c>
      <c r="D1395" s="11" t="inlineStr">
        <is>
          <t>no</t>
        </is>
      </c>
      <c r="E1395" s="11" t="inlineStr">
        <is>
          <t>no</t>
        </is>
      </c>
      <c r="F1395" s="11" t="inlineStr"/>
      <c r="G1395" s="11" t="inlineStr"/>
      <c r="H1395" s="11" t="inlineStr">
        <is>
          <t>c34661</t>
        </is>
      </c>
      <c r="I1395" s="11" t="inlineStr">
        <is>
          <t>name</t>
        </is>
      </c>
      <c r="J1395" s="11" t="inlineStr">
        <is>
          <t>no</t>
        </is>
      </c>
      <c r="K1395" s="11" t="inlineStr">
        <is>
          <t>no</t>
        </is>
      </c>
      <c r="L1395" s="11" t="inlineStr"/>
    </row>
    <row r="1396">
      <c r="A1396" s="11" t="inlineStr">
        <is>
          <t>1393</t>
        </is>
      </c>
      <c r="B1396" s="11" t="inlineStr">
        <is>
          <t>215</t>
        </is>
      </c>
      <c r="C1396" s="11" t="inlineStr">
        <is>
          <t>HC/tribunal/other</t>
        </is>
      </c>
      <c r="D1396" s="11" t="inlineStr">
        <is>
          <t>yes</t>
        </is>
      </c>
      <c r="E1396" s="11" t="inlineStr">
        <is>
          <t>no</t>
        </is>
      </c>
      <c r="F1396" s="11" t="inlineStr"/>
      <c r="G1396" s="11" t="inlineStr"/>
      <c r="H1396" s="11" t="inlineStr"/>
      <c r="I1396" s="11" t="inlineStr"/>
      <c r="J1396" s="11" t="inlineStr">
        <is>
          <t>no</t>
        </is>
      </c>
      <c r="K1396" s="11" t="inlineStr">
        <is>
          <t>no</t>
        </is>
      </c>
      <c r="L1396" s="11" t="inlineStr"/>
    </row>
    <row r="1397">
      <c r="A1397" s="11" t="inlineStr">
        <is>
          <t>1394</t>
        </is>
      </c>
      <c r="B1397" s="11" t="inlineStr">
        <is>
          <t>215</t>
        </is>
      </c>
      <c r="C1397" s="11" t="inlineStr">
        <is>
          <t>HC/tribunal/other</t>
        </is>
      </c>
      <c r="D1397" s="11" t="inlineStr">
        <is>
          <t>yes</t>
        </is>
      </c>
      <c r="E1397" s="11" t="inlineStr">
        <is>
          <t>yes</t>
        </is>
      </c>
      <c r="F1397" s="11" t="inlineStr"/>
      <c r="G1397" s="11" t="inlineStr"/>
      <c r="H1397" s="11" t="inlineStr">
        <is>
          <t>c34165</t>
        </is>
      </c>
      <c r="I1397" s="11" t="inlineStr">
        <is>
          <t>cite</t>
        </is>
      </c>
      <c r="J1397" s="11" t="inlineStr">
        <is>
          <t>no</t>
        </is>
      </c>
      <c r="K1397" s="11" t="inlineStr">
        <is>
          <t>no</t>
        </is>
      </c>
      <c r="L1397" s="11" t="inlineStr"/>
    </row>
    <row r="1398">
      <c r="A1398" s="11" t="inlineStr">
        <is>
          <t>1395</t>
        </is>
      </c>
      <c r="B1398" s="11" t="inlineStr">
        <is>
          <t>215</t>
        </is>
      </c>
      <c r="C1398" s="11" t="inlineStr">
        <is>
          <t>HC/tribunal/other</t>
        </is>
      </c>
      <c r="D1398" s="11" t="inlineStr">
        <is>
          <t>yes</t>
        </is>
      </c>
      <c r="E1398" s="11" t="inlineStr">
        <is>
          <t>no</t>
        </is>
      </c>
      <c r="F1398" s="11" t="inlineStr"/>
      <c r="G1398" s="11" t="inlineStr"/>
      <c r="H1398" s="11" t="inlineStr">
        <is>
          <t>c33262</t>
        </is>
      </c>
      <c r="I1398" s="11" t="inlineStr">
        <is>
          <t>name</t>
        </is>
      </c>
      <c r="J1398" s="11" t="inlineStr">
        <is>
          <t>no</t>
        </is>
      </c>
      <c r="K1398" s="11" t="inlineStr">
        <is>
          <t>no</t>
        </is>
      </c>
      <c r="L1398" s="11" t="inlineStr"/>
    </row>
    <row r="1399">
      <c r="A1399" s="11" t="inlineStr">
        <is>
          <t>1396</t>
        </is>
      </c>
      <c r="B1399" s="11" t="inlineStr">
        <is>
          <t>215</t>
        </is>
      </c>
      <c r="C1399" s="11" t="inlineStr">
        <is>
          <t>HC/tribunal/other</t>
        </is>
      </c>
      <c r="D1399" s="11" t="inlineStr">
        <is>
          <t>yes</t>
        </is>
      </c>
      <c r="E1399" s="11" t="inlineStr">
        <is>
          <t>no</t>
        </is>
      </c>
      <c r="F1399" s="11" t="inlineStr"/>
      <c r="G1399" s="11" t="inlineStr"/>
      <c r="H1399" s="11" t="inlineStr">
        <is>
          <t>c27578</t>
        </is>
      </c>
      <c r="I1399" s="11" t="inlineStr">
        <is>
          <t>name</t>
        </is>
      </c>
      <c r="J1399" s="11" t="inlineStr">
        <is>
          <t>no</t>
        </is>
      </c>
      <c r="K1399" s="11" t="inlineStr">
        <is>
          <t>no</t>
        </is>
      </c>
      <c r="L1399" s="11" t="inlineStr"/>
    </row>
    <row r="1400">
      <c r="A1400" s="11" t="inlineStr">
        <is>
          <t>1397</t>
        </is>
      </c>
      <c r="B1400" s="11" t="inlineStr">
        <is>
          <t>216</t>
        </is>
      </c>
      <c r="C1400" s="11" t="inlineStr">
        <is>
          <t>HC/tribunal/other</t>
        </is>
      </c>
      <c r="D1400" s="11" t="inlineStr">
        <is>
          <t>yes</t>
        </is>
      </c>
      <c r="E1400" s="11" t="inlineStr">
        <is>
          <t>yes</t>
        </is>
      </c>
      <c r="F1400" s="11" t="inlineStr"/>
      <c r="G1400" s="11" t="inlineStr"/>
      <c r="H1400" s="11" t="inlineStr">
        <is>
          <t>c9522</t>
        </is>
      </c>
      <c r="I1400" s="11" t="inlineStr">
        <is>
          <t>cite</t>
        </is>
      </c>
      <c r="J1400" s="11" t="inlineStr">
        <is>
          <t>no</t>
        </is>
      </c>
      <c r="K1400" s="11" t="inlineStr">
        <is>
          <t>no</t>
        </is>
      </c>
      <c r="L1400" s="11" t="inlineStr"/>
    </row>
    <row r="1401">
      <c r="A1401" s="11" t="inlineStr">
        <is>
          <t>1398</t>
        </is>
      </c>
      <c r="B1401" s="11" t="inlineStr">
        <is>
          <t>216</t>
        </is>
      </c>
      <c r="C1401" s="11" t="inlineStr">
        <is>
          <t>HC/tribunal/other</t>
        </is>
      </c>
      <c r="D1401" s="11" t="inlineStr">
        <is>
          <t>no</t>
        </is>
      </c>
      <c r="E1401" s="11" t="inlineStr">
        <is>
          <t>no</t>
        </is>
      </c>
      <c r="F1401" s="11" t="inlineStr"/>
      <c r="G1401" s="11" t="inlineStr"/>
      <c r="H1401" s="11" t="inlineStr"/>
      <c r="I1401" s="11" t="inlineStr"/>
      <c r="J1401" s="11" t="inlineStr">
        <is>
          <t>no</t>
        </is>
      </c>
      <c r="K1401" s="11" t="inlineStr">
        <is>
          <t>no</t>
        </is>
      </c>
      <c r="L1401" s="11" t="inlineStr"/>
    </row>
    <row r="1402">
      <c r="A1402" s="11" t="inlineStr">
        <is>
          <t>1399</t>
        </is>
      </c>
      <c r="B1402" s="11" t="inlineStr">
        <is>
          <t>216</t>
        </is>
      </c>
      <c r="C1402" s="11" t="inlineStr">
        <is>
          <t>HC/tribunal/other</t>
        </is>
      </c>
      <c r="D1402" s="11" t="inlineStr">
        <is>
          <t>yes</t>
        </is>
      </c>
      <c r="E1402" s="11" t="inlineStr">
        <is>
          <t>no</t>
        </is>
      </c>
      <c r="F1402" s="11" t="inlineStr"/>
      <c r="G1402" s="11" t="inlineStr"/>
      <c r="H1402" s="11" t="inlineStr">
        <is>
          <t>c32558</t>
        </is>
      </c>
      <c r="I1402" s="11" t="inlineStr">
        <is>
          <t>name</t>
        </is>
      </c>
      <c r="J1402" s="11" t="inlineStr">
        <is>
          <t>no</t>
        </is>
      </c>
      <c r="K1402" s="11" t="inlineStr">
        <is>
          <t>no</t>
        </is>
      </c>
      <c r="L1402" s="11" t="inlineStr"/>
    </row>
    <row r="1403">
      <c r="A1403" s="11" t="inlineStr">
        <is>
          <t>1400</t>
        </is>
      </c>
      <c r="B1403" s="11" t="inlineStr">
        <is>
          <t>216</t>
        </is>
      </c>
      <c r="C1403" s="11" t="inlineStr">
        <is>
          <t>HC/tribunal/other</t>
        </is>
      </c>
      <c r="D1403" s="11" t="inlineStr">
        <is>
          <t>no</t>
        </is>
      </c>
      <c r="E1403" s="11" t="inlineStr">
        <is>
          <t>no</t>
        </is>
      </c>
      <c r="F1403" s="11" t="inlineStr"/>
      <c r="G1403" s="11" t="inlineStr"/>
      <c r="H1403" s="11" t="inlineStr">
        <is>
          <t>c20731</t>
        </is>
      </c>
      <c r="I1403" s="11" t="inlineStr">
        <is>
          <t>name</t>
        </is>
      </c>
      <c r="J1403" s="11" t="inlineStr">
        <is>
          <t>no</t>
        </is>
      </c>
      <c r="K1403" s="11" t="inlineStr">
        <is>
          <t>no</t>
        </is>
      </c>
      <c r="L1403" s="11" t="inlineStr"/>
    </row>
    <row r="1404">
      <c r="A1404" s="11" t="inlineStr">
        <is>
          <t>1401</t>
        </is>
      </c>
      <c r="B1404" s="11" t="inlineStr">
        <is>
          <t>216</t>
        </is>
      </c>
      <c r="C1404" s="11" t="inlineStr">
        <is>
          <t>HC/tribunal/other</t>
        </is>
      </c>
      <c r="D1404" s="11" t="inlineStr">
        <is>
          <t>no</t>
        </is>
      </c>
      <c r="E1404" s="11" t="inlineStr">
        <is>
          <t>no</t>
        </is>
      </c>
      <c r="F1404" s="11" t="inlineStr"/>
      <c r="G1404" s="11" t="inlineStr"/>
      <c r="H1404" s="11" t="inlineStr">
        <is>
          <t>c18322</t>
        </is>
      </c>
      <c r="I1404" s="11" t="inlineStr">
        <is>
          <t>cite</t>
        </is>
      </c>
      <c r="J1404" s="11" t="inlineStr">
        <is>
          <t>no</t>
        </is>
      </c>
      <c r="K1404" s="11" t="inlineStr">
        <is>
          <t>no</t>
        </is>
      </c>
      <c r="L1404" s="11" t="inlineStr"/>
    </row>
    <row r="1405">
      <c r="A1405" s="11" t="inlineStr">
        <is>
          <t>1402</t>
        </is>
      </c>
      <c r="B1405" s="11" t="inlineStr">
        <is>
          <t>216</t>
        </is>
      </c>
      <c r="C1405" s="11" t="inlineStr">
        <is>
          <t>HC/tribunal/other</t>
        </is>
      </c>
      <c r="D1405" s="11" t="inlineStr">
        <is>
          <t>yes</t>
        </is>
      </c>
      <c r="E1405" s="11" t="inlineStr">
        <is>
          <t>no</t>
        </is>
      </c>
      <c r="F1405" s="11" t="inlineStr"/>
      <c r="G1405" s="11" t="inlineStr"/>
      <c r="H1405" s="11" t="inlineStr">
        <is>
          <t>c5623</t>
        </is>
      </c>
      <c r="I1405" s="11" t="inlineStr">
        <is>
          <t>cite</t>
        </is>
      </c>
      <c r="J1405" s="11" t="inlineStr">
        <is>
          <t>no</t>
        </is>
      </c>
      <c r="K1405" s="11" t="inlineStr">
        <is>
          <t>no</t>
        </is>
      </c>
      <c r="L1405" s="11" t="inlineStr"/>
    </row>
    <row r="1406">
      <c r="A1406" s="11" t="inlineStr">
        <is>
          <t>1403</t>
        </is>
      </c>
      <c r="B1406" s="11" t="inlineStr">
        <is>
          <t>216</t>
        </is>
      </c>
      <c r="C1406" s="11" t="inlineStr">
        <is>
          <t>HC/tribunal/other</t>
        </is>
      </c>
      <c r="D1406" s="11" t="inlineStr">
        <is>
          <t>yes</t>
        </is>
      </c>
      <c r="E1406" s="11" t="inlineStr">
        <is>
          <t>no</t>
        </is>
      </c>
      <c r="F1406" s="11" t="inlineStr"/>
      <c r="G1406" s="11" t="inlineStr"/>
      <c r="H1406" s="11" t="inlineStr"/>
      <c r="I1406" s="11" t="inlineStr"/>
      <c r="J1406" s="11" t="inlineStr">
        <is>
          <t>no</t>
        </is>
      </c>
      <c r="K1406" s="11" t="inlineStr">
        <is>
          <t>no</t>
        </is>
      </c>
      <c r="L1406" s="11" t="inlineStr"/>
    </row>
    <row r="1407">
      <c r="A1407" s="11" t="inlineStr">
        <is>
          <t>1404</t>
        </is>
      </c>
      <c r="B1407" s="11" t="inlineStr">
        <is>
          <t>217</t>
        </is>
      </c>
      <c r="C1407" s="11" t="inlineStr">
        <is>
          <t>HC/tribunal/other</t>
        </is>
      </c>
      <c r="D1407" s="11" t="inlineStr">
        <is>
          <t>yes</t>
        </is>
      </c>
      <c r="E1407" s="11" t="inlineStr">
        <is>
          <t>no</t>
        </is>
      </c>
      <c r="F1407" s="11" t="inlineStr"/>
      <c r="G1407" s="11" t="inlineStr"/>
      <c r="H1407" s="11" t="inlineStr">
        <is>
          <t>c8655</t>
        </is>
      </c>
      <c r="I1407" s="11" t="inlineStr">
        <is>
          <t>cite</t>
        </is>
      </c>
      <c r="J1407" s="11" t="inlineStr">
        <is>
          <t>no</t>
        </is>
      </c>
      <c r="K1407" s="11" t="inlineStr">
        <is>
          <t>no</t>
        </is>
      </c>
      <c r="L1407" s="11" t="inlineStr"/>
    </row>
    <row r="1408">
      <c r="A1408" s="11" t="inlineStr">
        <is>
          <t>1405</t>
        </is>
      </c>
      <c r="B1408" s="11" t="inlineStr">
        <is>
          <t>217</t>
        </is>
      </c>
      <c r="C1408" s="11" t="inlineStr">
        <is>
          <t>HC/tribunal/other</t>
        </is>
      </c>
      <c r="D1408" s="11" t="inlineStr">
        <is>
          <t>no</t>
        </is>
      </c>
      <c r="E1408" s="11" t="inlineStr">
        <is>
          <t>yes</t>
        </is>
      </c>
      <c r="F1408" s="11" t="inlineStr"/>
      <c r="G1408" s="11" t="inlineStr"/>
      <c r="H1408" s="11" t="inlineStr">
        <is>
          <t>c41070</t>
        </is>
      </c>
      <c r="I1408" s="11" t="inlineStr">
        <is>
          <t>name</t>
        </is>
      </c>
      <c r="J1408" s="11" t="inlineStr">
        <is>
          <t>no</t>
        </is>
      </c>
      <c r="K1408" s="11" t="inlineStr">
        <is>
          <t>no</t>
        </is>
      </c>
      <c r="L1408" s="11" t="inlineStr"/>
    </row>
    <row r="1409">
      <c r="A1409" s="11" t="inlineStr">
        <is>
          <t>1406</t>
        </is>
      </c>
      <c r="B1409" s="11" t="inlineStr">
        <is>
          <t>217</t>
        </is>
      </c>
      <c r="C1409" s="11" t="inlineStr">
        <is>
          <t>HC/tribunal/other</t>
        </is>
      </c>
      <c r="D1409" s="11" t="inlineStr">
        <is>
          <t>yes</t>
        </is>
      </c>
      <c r="E1409" s="11" t="inlineStr">
        <is>
          <t>no</t>
        </is>
      </c>
      <c r="F1409" s="11" t="inlineStr"/>
      <c r="G1409" s="11" t="inlineStr"/>
      <c r="H1409" s="11" t="inlineStr"/>
      <c r="I1409" s="11" t="inlineStr"/>
      <c r="J1409" s="11" t="inlineStr">
        <is>
          <t>no</t>
        </is>
      </c>
      <c r="K1409" s="11" t="inlineStr">
        <is>
          <t>no</t>
        </is>
      </c>
      <c r="L1409" s="11" t="inlineStr"/>
    </row>
    <row r="1410">
      <c r="A1410" s="11" t="inlineStr">
        <is>
          <t>1407</t>
        </is>
      </c>
      <c r="B1410" s="11" t="inlineStr">
        <is>
          <t>217</t>
        </is>
      </c>
      <c r="C1410" s="11" t="inlineStr">
        <is>
          <t>HC/tribunal/other</t>
        </is>
      </c>
      <c r="D1410" s="11" t="inlineStr">
        <is>
          <t>yes</t>
        </is>
      </c>
      <c r="E1410" s="11" t="inlineStr">
        <is>
          <t>yes</t>
        </is>
      </c>
      <c r="F1410" s="11" t="inlineStr"/>
      <c r="G1410" s="11" t="inlineStr"/>
      <c r="H1410" s="11" t="inlineStr"/>
      <c r="I1410" s="11" t="inlineStr"/>
      <c r="J1410" s="11" t="inlineStr">
        <is>
          <t>no</t>
        </is>
      </c>
      <c r="K1410" s="11" t="inlineStr">
        <is>
          <t>no</t>
        </is>
      </c>
      <c r="L1410" s="11" t="inlineStr"/>
    </row>
    <row r="1411">
      <c r="A1411" s="11" t="inlineStr">
        <is>
          <t>1408</t>
        </is>
      </c>
      <c r="B1411" s="11" t="inlineStr">
        <is>
          <t>217</t>
        </is>
      </c>
      <c r="C1411" s="11" t="inlineStr">
        <is>
          <t>HC/tribunal/other</t>
        </is>
      </c>
      <c r="D1411" s="11" t="inlineStr">
        <is>
          <t>yes</t>
        </is>
      </c>
      <c r="E1411" s="11" t="inlineStr">
        <is>
          <t>no</t>
        </is>
      </c>
      <c r="F1411" s="11" t="inlineStr"/>
      <c r="G1411" s="11" t="inlineStr"/>
      <c r="H1411" s="11" t="inlineStr">
        <is>
          <t>b1995_3_773_784</t>
        </is>
      </c>
      <c r="I1411" s="11" t="inlineStr">
        <is>
          <t>cite</t>
        </is>
      </c>
      <c r="J1411" s="11" t="inlineStr">
        <is>
          <t>no</t>
        </is>
      </c>
      <c r="K1411" s="11" t="inlineStr">
        <is>
          <t>no</t>
        </is>
      </c>
      <c r="L1411" s="11" t="inlineStr"/>
    </row>
    <row r="1412">
      <c r="A1412" s="11" t="inlineStr">
        <is>
          <t>1409</t>
        </is>
      </c>
      <c r="B1412" s="11" t="inlineStr">
        <is>
          <t>217</t>
        </is>
      </c>
      <c r="C1412" s="11" t="inlineStr">
        <is>
          <t>HC/tribunal/other</t>
        </is>
      </c>
      <c r="D1412" s="11" t="inlineStr">
        <is>
          <t>no</t>
        </is>
      </c>
      <c r="E1412" s="11" t="inlineStr">
        <is>
          <t>no</t>
        </is>
      </c>
      <c r="F1412" s="11" t="inlineStr"/>
      <c r="G1412" s="11" t="inlineStr"/>
      <c r="H1412" s="11" t="inlineStr">
        <is>
          <t>bS_1994_2_8_18</t>
        </is>
      </c>
      <c r="I1412" s="11" t="inlineStr">
        <is>
          <t>name</t>
        </is>
      </c>
      <c r="J1412" s="11" t="inlineStr">
        <is>
          <t>no</t>
        </is>
      </c>
      <c r="K1412" s="11" t="inlineStr">
        <is>
          <t>no</t>
        </is>
      </c>
      <c r="L1412" s="11" t="inlineStr"/>
    </row>
    <row r="1413">
      <c r="A1413" s="11" t="inlineStr">
        <is>
          <t>1410</t>
        </is>
      </c>
      <c r="B1413" s="11" t="inlineStr">
        <is>
          <t>218</t>
        </is>
      </c>
      <c r="C1413" s="11" t="inlineStr">
        <is>
          <t>HC/tribunal/other</t>
        </is>
      </c>
      <c r="D1413" s="11" t="inlineStr">
        <is>
          <t>yes</t>
        </is>
      </c>
      <c r="E1413" s="11" t="inlineStr">
        <is>
          <t>no</t>
        </is>
      </c>
      <c r="F1413" s="11" t="inlineStr"/>
      <c r="G1413" s="11" t="inlineStr"/>
      <c r="H1413" s="11" t="inlineStr">
        <is>
          <t>bS_1992_1_811_816</t>
        </is>
      </c>
      <c r="I1413" s="11" t="inlineStr">
        <is>
          <t>name</t>
        </is>
      </c>
      <c r="J1413" s="11" t="inlineStr">
        <is>
          <t>no</t>
        </is>
      </c>
      <c r="K1413" s="11" t="inlineStr">
        <is>
          <t>no</t>
        </is>
      </c>
      <c r="L1413" s="11" t="inlineStr"/>
    </row>
    <row r="1414">
      <c r="A1414" s="11" t="inlineStr">
        <is>
          <t>1411</t>
        </is>
      </c>
      <c r="B1414" s="11" t="inlineStr">
        <is>
          <t>218</t>
        </is>
      </c>
      <c r="C1414" s="11" t="inlineStr">
        <is>
          <t>HC/tribunal/other</t>
        </is>
      </c>
      <c r="D1414" s="11" t="inlineStr">
        <is>
          <t>yes</t>
        </is>
      </c>
      <c r="E1414" s="11" t="inlineStr">
        <is>
          <t>yes</t>
        </is>
      </c>
      <c r="F1414" s="11" t="inlineStr"/>
      <c r="G1414" s="11" t="inlineStr"/>
      <c r="H1414" s="11" t="inlineStr"/>
      <c r="I1414" s="11" t="inlineStr"/>
      <c r="J1414" s="11" t="inlineStr">
        <is>
          <t>no</t>
        </is>
      </c>
      <c r="K1414" s="11" t="inlineStr">
        <is>
          <t>no</t>
        </is>
      </c>
      <c r="L1414" s="11" t="inlineStr"/>
    </row>
    <row r="1415">
      <c r="A1415" s="11" t="inlineStr">
        <is>
          <t>1412</t>
        </is>
      </c>
      <c r="B1415" s="11" t="inlineStr">
        <is>
          <t>218</t>
        </is>
      </c>
      <c r="C1415" s="11" t="inlineStr">
        <is>
          <t>HC/tribunal/other</t>
        </is>
      </c>
      <c r="D1415" s="11" t="inlineStr">
        <is>
          <t>yes</t>
        </is>
      </c>
      <c r="E1415" s="11" t="inlineStr">
        <is>
          <t>no</t>
        </is>
      </c>
      <c r="F1415" s="11" t="inlineStr"/>
      <c r="G1415" s="11" t="inlineStr"/>
      <c r="H1415" s="11" t="inlineStr">
        <is>
          <t>c28918</t>
        </is>
      </c>
      <c r="I1415" s="11" t="inlineStr">
        <is>
          <t>cite</t>
        </is>
      </c>
      <c r="J1415" s="11" t="inlineStr">
        <is>
          <t>no</t>
        </is>
      </c>
      <c r="K1415" s="11" t="inlineStr">
        <is>
          <t>no</t>
        </is>
      </c>
      <c r="L1415" s="11" t="inlineStr"/>
    </row>
    <row r="1416">
      <c r="A1416" s="11" t="inlineStr">
        <is>
          <t>1413</t>
        </is>
      </c>
      <c r="B1416" s="11" t="inlineStr">
        <is>
          <t>218</t>
        </is>
      </c>
      <c r="C1416" s="11" t="inlineStr">
        <is>
          <t>HC/tribunal/other</t>
        </is>
      </c>
      <c r="D1416" s="11" t="inlineStr">
        <is>
          <t>no</t>
        </is>
      </c>
      <c r="E1416" s="11" t="inlineStr">
        <is>
          <t>yes</t>
        </is>
      </c>
      <c r="F1416" s="11" t="inlineStr"/>
      <c r="G1416" s="11" t="inlineStr"/>
      <c r="H1416" s="11" t="inlineStr">
        <is>
          <t>c12436</t>
        </is>
      </c>
      <c r="I1416" s="11" t="inlineStr">
        <is>
          <t>cite</t>
        </is>
      </c>
      <c r="J1416" s="11" t="inlineStr">
        <is>
          <t>no</t>
        </is>
      </c>
      <c r="K1416" s="11" t="inlineStr">
        <is>
          <t>no</t>
        </is>
      </c>
      <c r="L1416" s="11" t="inlineStr"/>
    </row>
    <row r="1417">
      <c r="A1417" s="11" t="inlineStr">
        <is>
          <t>1414</t>
        </is>
      </c>
      <c r="B1417" s="11" t="inlineStr">
        <is>
          <t>218</t>
        </is>
      </c>
      <c r="C1417" s="11" t="inlineStr">
        <is>
          <t>HC/tribunal/other</t>
        </is>
      </c>
      <c r="D1417" s="11" t="inlineStr">
        <is>
          <t>no</t>
        </is>
      </c>
      <c r="E1417" s="11" t="inlineStr">
        <is>
          <t>no</t>
        </is>
      </c>
      <c r="F1417" s="11" t="inlineStr"/>
      <c r="G1417" s="11" t="inlineStr"/>
      <c r="H1417" s="11" t="inlineStr"/>
      <c r="I1417" s="11" t="inlineStr"/>
      <c r="J1417" s="11" t="inlineStr">
        <is>
          <t>no</t>
        </is>
      </c>
      <c r="K1417" s="11" t="inlineStr">
        <is>
          <t>no</t>
        </is>
      </c>
      <c r="L1417" s="11" t="inlineStr"/>
    </row>
    <row r="1418">
      <c r="A1418" s="11" t="inlineStr">
        <is>
          <t>1415</t>
        </is>
      </c>
      <c r="B1418" s="11" t="inlineStr">
        <is>
          <t>218</t>
        </is>
      </c>
      <c r="C1418" s="11" t="inlineStr">
        <is>
          <t>HC/tribunal/other</t>
        </is>
      </c>
      <c r="D1418" s="11" t="inlineStr">
        <is>
          <t>no</t>
        </is>
      </c>
      <c r="E1418" s="11" t="inlineStr">
        <is>
          <t>no</t>
        </is>
      </c>
      <c r="F1418" s="11" t="inlineStr"/>
      <c r="G1418" s="11" t="inlineStr"/>
      <c r="H1418" s="11" t="inlineStr">
        <is>
          <t>c30101</t>
        </is>
      </c>
      <c r="I1418" s="11" t="inlineStr">
        <is>
          <t>name</t>
        </is>
      </c>
      <c r="J1418" s="11" t="inlineStr">
        <is>
          <t>no</t>
        </is>
      </c>
      <c r="K1418" s="11" t="inlineStr">
        <is>
          <t>no</t>
        </is>
      </c>
      <c r="L1418" s="11" t="inlineStr"/>
    </row>
    <row r="1419">
      <c r="A1419" s="11" t="inlineStr">
        <is>
          <t>1416</t>
        </is>
      </c>
      <c r="B1419" s="11" t="inlineStr">
        <is>
          <t>218</t>
        </is>
      </c>
      <c r="C1419" s="11" t="inlineStr">
        <is>
          <t>HC/tribunal/other</t>
        </is>
      </c>
      <c r="D1419" s="11" t="inlineStr">
        <is>
          <t>no</t>
        </is>
      </c>
      <c r="E1419" s="11" t="inlineStr">
        <is>
          <t>no</t>
        </is>
      </c>
      <c r="F1419" s="11" t="inlineStr"/>
      <c r="G1419" s="11" t="inlineStr"/>
      <c r="H1419" s="11" t="inlineStr">
        <is>
          <t>c10881</t>
        </is>
      </c>
      <c r="I1419" s="11" t="inlineStr">
        <is>
          <t>cite</t>
        </is>
      </c>
      <c r="J1419" s="11" t="inlineStr">
        <is>
          <t>no</t>
        </is>
      </c>
      <c r="K1419" s="11" t="inlineStr">
        <is>
          <t>no</t>
        </is>
      </c>
      <c r="L1419" s="11" t="inlineStr"/>
    </row>
    <row r="1420">
      <c r="A1420" s="11" t="inlineStr">
        <is>
          <t>1417</t>
        </is>
      </c>
      <c r="B1420" s="11" t="inlineStr">
        <is>
          <t>219</t>
        </is>
      </c>
      <c r="C1420" s="11" t="inlineStr">
        <is>
          <t>HC/tribunal/other</t>
        </is>
      </c>
      <c r="D1420" s="11" t="inlineStr">
        <is>
          <t>yes</t>
        </is>
      </c>
      <c r="E1420" s="11" t="inlineStr">
        <is>
          <t>no</t>
        </is>
      </c>
      <c r="F1420" s="11" t="inlineStr"/>
      <c r="G1420" s="11" t="inlineStr"/>
      <c r="H1420" s="11" t="inlineStr">
        <is>
          <t>c7731</t>
        </is>
      </c>
      <c r="I1420" s="11" t="inlineStr">
        <is>
          <t>cite</t>
        </is>
      </c>
      <c r="J1420" s="11" t="inlineStr">
        <is>
          <t>no</t>
        </is>
      </c>
      <c r="K1420" s="11" t="inlineStr">
        <is>
          <t>no</t>
        </is>
      </c>
      <c r="L1420" s="11" t="inlineStr"/>
    </row>
    <row r="1421">
      <c r="A1421" s="11" t="inlineStr">
        <is>
          <t>1418</t>
        </is>
      </c>
      <c r="B1421" s="11" t="inlineStr">
        <is>
          <t>219</t>
        </is>
      </c>
      <c r="C1421" s="11" t="inlineStr">
        <is>
          <t>HC/tribunal/other</t>
        </is>
      </c>
      <c r="D1421" s="11" t="inlineStr">
        <is>
          <t>yes</t>
        </is>
      </c>
      <c r="E1421" s="11" t="inlineStr">
        <is>
          <t>no</t>
        </is>
      </c>
      <c r="F1421" s="11" t="inlineStr"/>
      <c r="G1421" s="11" t="inlineStr"/>
      <c r="H1421" s="11" t="inlineStr">
        <is>
          <t>c5418</t>
        </is>
      </c>
      <c r="I1421" s="11" t="inlineStr">
        <is>
          <t>cite</t>
        </is>
      </c>
      <c r="J1421" s="11" t="inlineStr">
        <is>
          <t>no</t>
        </is>
      </c>
      <c r="K1421" s="11" t="inlineStr">
        <is>
          <t>no</t>
        </is>
      </c>
      <c r="L1421" s="11" t="inlineStr"/>
    </row>
    <row r="1422">
      <c r="A1422" s="11" t="inlineStr">
        <is>
          <t>1419</t>
        </is>
      </c>
      <c r="B1422" s="11" t="inlineStr">
        <is>
          <t>219</t>
        </is>
      </c>
      <c r="C1422" s="11" t="inlineStr">
        <is>
          <t>HC/tribunal/other</t>
        </is>
      </c>
      <c r="D1422" s="11" t="inlineStr">
        <is>
          <t>no</t>
        </is>
      </c>
      <c r="E1422" s="11" t="inlineStr">
        <is>
          <t>no</t>
        </is>
      </c>
      <c r="F1422" s="11" t="inlineStr"/>
      <c r="G1422" s="11" t="inlineStr"/>
      <c r="H1422" s="11" t="inlineStr">
        <is>
          <t>c14259</t>
        </is>
      </c>
      <c r="I1422" s="11" t="inlineStr">
        <is>
          <t>cite</t>
        </is>
      </c>
      <c r="J1422" s="11" t="inlineStr">
        <is>
          <t>no</t>
        </is>
      </c>
      <c r="K1422" s="11" t="inlineStr">
        <is>
          <t>no</t>
        </is>
      </c>
      <c r="L1422" s="11" t="inlineStr"/>
    </row>
    <row r="1423">
      <c r="A1423" s="11" t="inlineStr">
        <is>
          <t>1420</t>
        </is>
      </c>
      <c r="B1423" s="11" t="inlineStr">
        <is>
          <t>219</t>
        </is>
      </c>
      <c r="C1423" s="11" t="inlineStr">
        <is>
          <t>HC/tribunal/other</t>
        </is>
      </c>
      <c r="D1423" s="11" t="inlineStr">
        <is>
          <t>no</t>
        </is>
      </c>
      <c r="E1423" s="11" t="inlineStr">
        <is>
          <t>no</t>
        </is>
      </c>
      <c r="F1423" s="11" t="inlineStr"/>
      <c r="G1423" s="11" t="inlineStr"/>
      <c r="H1423" s="11" t="inlineStr">
        <is>
          <t>c4745</t>
        </is>
      </c>
      <c r="I1423" s="11" t="inlineStr">
        <is>
          <t>cite</t>
        </is>
      </c>
      <c r="J1423" s="11" t="inlineStr">
        <is>
          <t>no</t>
        </is>
      </c>
      <c r="K1423" s="11" t="inlineStr">
        <is>
          <t>no</t>
        </is>
      </c>
      <c r="L1423" s="11" t="inlineStr"/>
    </row>
    <row r="1424">
      <c r="A1424" s="11" t="inlineStr">
        <is>
          <t>1421</t>
        </is>
      </c>
      <c r="B1424" s="11" t="inlineStr">
        <is>
          <t>219</t>
        </is>
      </c>
      <c r="C1424" s="11" t="inlineStr">
        <is>
          <t>HC/tribunal/other</t>
        </is>
      </c>
      <c r="D1424" s="11" t="inlineStr">
        <is>
          <t>no</t>
        </is>
      </c>
      <c r="E1424" s="11" t="inlineStr">
        <is>
          <t>no</t>
        </is>
      </c>
      <c r="F1424" s="11" t="inlineStr"/>
      <c r="G1424" s="11" t="inlineStr"/>
      <c r="H1424" s="11" t="inlineStr">
        <is>
          <t>c12122</t>
        </is>
      </c>
      <c r="I1424" s="11" t="inlineStr">
        <is>
          <t>cite</t>
        </is>
      </c>
      <c r="J1424" s="11" t="inlineStr">
        <is>
          <t>yes</t>
        </is>
      </c>
      <c r="K1424" s="11" t="inlineStr">
        <is>
          <t>no</t>
        </is>
      </c>
      <c r="L1424" s="11" t="inlineStr"/>
    </row>
    <row r="1425">
      <c r="A1425" s="11" t="inlineStr">
        <is>
          <t>1422</t>
        </is>
      </c>
      <c r="B1425" s="11" t="inlineStr">
        <is>
          <t>219</t>
        </is>
      </c>
      <c r="C1425" s="11" t="inlineStr">
        <is>
          <t>HC/tribunal/other</t>
        </is>
      </c>
      <c r="D1425" s="11" t="inlineStr">
        <is>
          <t>no</t>
        </is>
      </c>
      <c r="E1425" s="11" t="inlineStr">
        <is>
          <t>no</t>
        </is>
      </c>
      <c r="F1425" s="11" t="inlineStr"/>
      <c r="G1425" s="11" t="inlineStr"/>
      <c r="H1425" s="11" t="inlineStr">
        <is>
          <t>c7461</t>
        </is>
      </c>
      <c r="I1425" s="11" t="inlineStr">
        <is>
          <t>cite</t>
        </is>
      </c>
      <c r="J1425" s="11" t="inlineStr">
        <is>
          <t>no</t>
        </is>
      </c>
      <c r="K1425" s="11" t="inlineStr">
        <is>
          <t>no</t>
        </is>
      </c>
      <c r="L1425" s="11" t="inlineStr"/>
    </row>
    <row r="1426">
      <c r="A1426" s="11" t="inlineStr">
        <is>
          <t>1423</t>
        </is>
      </c>
      <c r="B1426" s="11" t="inlineStr">
        <is>
          <t>220</t>
        </is>
      </c>
      <c r="C1426" s="11" t="inlineStr">
        <is>
          <t>HC/tribunal/other</t>
        </is>
      </c>
      <c r="D1426" s="11" t="inlineStr">
        <is>
          <t>yes</t>
        </is>
      </c>
      <c r="E1426" s="11" t="inlineStr">
        <is>
          <t>yes</t>
        </is>
      </c>
      <c r="F1426" s="11" t="inlineStr"/>
      <c r="G1426" s="11" t="inlineStr"/>
      <c r="H1426" s="11" t="inlineStr">
        <is>
          <t>c33328</t>
        </is>
      </c>
      <c r="I1426" s="11" t="inlineStr">
        <is>
          <t>name</t>
        </is>
      </c>
      <c r="J1426" s="11" t="inlineStr">
        <is>
          <t>no</t>
        </is>
      </c>
      <c r="K1426" s="11" t="inlineStr">
        <is>
          <t>no</t>
        </is>
      </c>
      <c r="L1426" s="11" t="inlineStr"/>
    </row>
    <row r="1427">
      <c r="A1427" s="11" t="inlineStr">
        <is>
          <t>1424</t>
        </is>
      </c>
      <c r="B1427" s="11" t="inlineStr">
        <is>
          <t>220</t>
        </is>
      </c>
      <c r="C1427" s="11" t="inlineStr">
        <is>
          <t>HC/tribunal/other</t>
        </is>
      </c>
      <c r="D1427" s="11" t="inlineStr">
        <is>
          <t>yes</t>
        </is>
      </c>
      <c r="E1427" s="11" t="inlineStr">
        <is>
          <t>no</t>
        </is>
      </c>
      <c r="F1427" s="11" t="inlineStr"/>
      <c r="G1427" s="11" t="inlineStr"/>
      <c r="H1427" s="11" t="inlineStr">
        <is>
          <t>c28118</t>
        </is>
      </c>
      <c r="I1427" s="11" t="inlineStr">
        <is>
          <t>name</t>
        </is>
      </c>
      <c r="J1427" s="11" t="inlineStr">
        <is>
          <t>no</t>
        </is>
      </c>
      <c r="K1427" s="11" t="inlineStr">
        <is>
          <t>no</t>
        </is>
      </c>
      <c r="L1427" s="11" t="inlineStr"/>
    </row>
    <row r="1428">
      <c r="A1428" s="11" t="inlineStr">
        <is>
          <t>1425</t>
        </is>
      </c>
      <c r="B1428" s="11" t="inlineStr">
        <is>
          <t>220</t>
        </is>
      </c>
      <c r="C1428" s="11" t="inlineStr">
        <is>
          <t>HC/tribunal/other</t>
        </is>
      </c>
      <c r="D1428" s="11" t="inlineStr">
        <is>
          <t>no</t>
        </is>
      </c>
      <c r="E1428" s="11" t="inlineStr">
        <is>
          <t>no</t>
        </is>
      </c>
      <c r="F1428" s="11" t="inlineStr"/>
      <c r="G1428" s="11" t="inlineStr"/>
      <c r="H1428" s="11" t="inlineStr">
        <is>
          <t>c16439</t>
        </is>
      </c>
      <c r="I1428" s="11" t="inlineStr">
        <is>
          <t>cite</t>
        </is>
      </c>
      <c r="J1428" s="11" t="inlineStr">
        <is>
          <t>no</t>
        </is>
      </c>
      <c r="K1428" s="11" t="inlineStr">
        <is>
          <t>no</t>
        </is>
      </c>
      <c r="L1428" s="11" t="inlineStr"/>
    </row>
    <row r="1429">
      <c r="A1429" s="11" t="inlineStr">
        <is>
          <t>1426</t>
        </is>
      </c>
      <c r="B1429" s="11" t="inlineStr">
        <is>
          <t>220</t>
        </is>
      </c>
      <c r="C1429" s="11" t="inlineStr">
        <is>
          <t>HC/tribunal/other</t>
        </is>
      </c>
      <c r="D1429" s="11" t="inlineStr">
        <is>
          <t>no</t>
        </is>
      </c>
      <c r="E1429" s="11" t="inlineStr">
        <is>
          <t>no</t>
        </is>
      </c>
      <c r="F1429" s="11" t="inlineStr"/>
      <c r="G1429" s="11" t="inlineStr"/>
      <c r="H1429" s="11" t="inlineStr">
        <is>
          <t>c6608</t>
        </is>
      </c>
      <c r="I1429" s="11" t="inlineStr">
        <is>
          <t>cite</t>
        </is>
      </c>
      <c r="J1429" s="11" t="inlineStr">
        <is>
          <t>no</t>
        </is>
      </c>
      <c r="K1429" s="11" t="inlineStr">
        <is>
          <t>no</t>
        </is>
      </c>
      <c r="L1429" s="11" t="inlineStr"/>
    </row>
    <row r="1430">
      <c r="A1430" s="11" t="inlineStr">
        <is>
          <t>1427</t>
        </is>
      </c>
      <c r="B1430" s="11" t="inlineStr">
        <is>
          <t>220</t>
        </is>
      </c>
      <c r="C1430" s="11" t="inlineStr">
        <is>
          <t>HC/tribunal/other</t>
        </is>
      </c>
      <c r="D1430" s="11" t="inlineStr">
        <is>
          <t>no</t>
        </is>
      </c>
      <c r="E1430" s="11" t="inlineStr">
        <is>
          <t>no</t>
        </is>
      </c>
      <c r="F1430" s="11" t="inlineStr"/>
      <c r="G1430" s="11" t="inlineStr"/>
      <c r="H1430" s="11" t="inlineStr">
        <is>
          <t>c6825</t>
        </is>
      </c>
      <c r="I1430" s="11" t="inlineStr">
        <is>
          <t>cite</t>
        </is>
      </c>
      <c r="J1430" s="11" t="inlineStr">
        <is>
          <t>no</t>
        </is>
      </c>
      <c r="K1430" s="11" t="inlineStr">
        <is>
          <t>no</t>
        </is>
      </c>
      <c r="L1430" s="11" t="inlineStr"/>
    </row>
    <row r="1431">
      <c r="A1431" s="11" t="inlineStr">
        <is>
          <t>1428</t>
        </is>
      </c>
      <c r="B1431" s="11" t="inlineStr">
        <is>
          <t>220</t>
        </is>
      </c>
      <c r="C1431" s="11" t="inlineStr">
        <is>
          <t>HC/tribunal/other</t>
        </is>
      </c>
      <c r="D1431" s="11" t="inlineStr">
        <is>
          <t>yes</t>
        </is>
      </c>
      <c r="E1431" s="11" t="inlineStr">
        <is>
          <t>no</t>
        </is>
      </c>
      <c r="F1431" s="11" t="inlineStr"/>
      <c r="G1431" s="11" t="inlineStr"/>
      <c r="H1431" s="11" t="inlineStr"/>
      <c r="I1431" s="11" t="inlineStr"/>
      <c r="J1431" s="11" t="inlineStr">
        <is>
          <t>no</t>
        </is>
      </c>
      <c r="K1431" s="11" t="inlineStr">
        <is>
          <t>no</t>
        </is>
      </c>
      <c r="L1431" s="11" t="inlineStr"/>
    </row>
    <row r="1432">
      <c r="A1432" s="11" t="inlineStr">
        <is>
          <t>1429</t>
        </is>
      </c>
      <c r="B1432" s="11" t="inlineStr">
        <is>
          <t>221</t>
        </is>
      </c>
      <c r="C1432" s="11" t="inlineStr">
        <is>
          <t>HC/tribunal/other</t>
        </is>
      </c>
      <c r="D1432" s="11" t="inlineStr">
        <is>
          <t>no</t>
        </is>
      </c>
      <c r="E1432" s="11" t="inlineStr">
        <is>
          <t>no</t>
        </is>
      </c>
      <c r="F1432" s="11" t="inlineStr"/>
      <c r="G1432" s="11" t="inlineStr"/>
      <c r="H1432" s="11" t="inlineStr">
        <is>
          <t>c14186</t>
        </is>
      </c>
      <c r="I1432" s="11" t="inlineStr">
        <is>
          <t>cite</t>
        </is>
      </c>
      <c r="J1432" s="11" t="inlineStr">
        <is>
          <t>no</t>
        </is>
      </c>
      <c r="K1432" s="11" t="inlineStr">
        <is>
          <t>no</t>
        </is>
      </c>
      <c r="L1432" s="11" t="inlineStr"/>
    </row>
    <row r="1433">
      <c r="A1433" s="11" t="inlineStr">
        <is>
          <t>1430</t>
        </is>
      </c>
      <c r="B1433" s="11" t="inlineStr">
        <is>
          <t>221</t>
        </is>
      </c>
      <c r="C1433" s="11" t="inlineStr">
        <is>
          <t>HC/tribunal/other</t>
        </is>
      </c>
      <c r="D1433" s="11" t="inlineStr">
        <is>
          <t>yes</t>
        </is>
      </c>
      <c r="E1433" s="11" t="inlineStr">
        <is>
          <t>no</t>
        </is>
      </c>
      <c r="F1433" s="11" t="inlineStr"/>
      <c r="G1433" s="11" t="inlineStr"/>
      <c r="H1433" s="11" t="inlineStr">
        <is>
          <t>c9793</t>
        </is>
      </c>
      <c r="I1433" s="11" t="inlineStr">
        <is>
          <t>cite</t>
        </is>
      </c>
      <c r="J1433" s="11" t="inlineStr">
        <is>
          <t>no</t>
        </is>
      </c>
      <c r="K1433" s="11" t="inlineStr">
        <is>
          <t>no</t>
        </is>
      </c>
      <c r="L1433" s="11" t="inlineStr"/>
    </row>
    <row r="1434">
      <c r="A1434" s="11" t="inlineStr">
        <is>
          <t>1431</t>
        </is>
      </c>
      <c r="B1434" s="11" t="inlineStr">
        <is>
          <t>221</t>
        </is>
      </c>
      <c r="C1434" s="11" t="inlineStr">
        <is>
          <t>HC/tribunal/other</t>
        </is>
      </c>
      <c r="D1434" s="11" t="inlineStr">
        <is>
          <t>no</t>
        </is>
      </c>
      <c r="E1434" s="11" t="inlineStr">
        <is>
          <t>yes</t>
        </is>
      </c>
      <c r="F1434" s="11" t="inlineStr"/>
      <c r="G1434" s="11" t="inlineStr"/>
      <c r="H1434" s="11" t="inlineStr">
        <is>
          <t>c12382</t>
        </is>
      </c>
      <c r="I1434" s="11" t="inlineStr">
        <is>
          <t>cite</t>
        </is>
      </c>
      <c r="J1434" s="11" t="inlineStr">
        <is>
          <t>no</t>
        </is>
      </c>
      <c r="K1434" s="11" t="inlineStr">
        <is>
          <t>no</t>
        </is>
      </c>
      <c r="L1434" s="11" t="inlineStr"/>
    </row>
    <row r="1435">
      <c r="A1435" s="11" t="inlineStr">
        <is>
          <t>1432</t>
        </is>
      </c>
      <c r="B1435" s="11" t="inlineStr">
        <is>
          <t>221</t>
        </is>
      </c>
      <c r="C1435" s="11" t="inlineStr">
        <is>
          <t>HC/tribunal/other</t>
        </is>
      </c>
      <c r="D1435" s="11" t="inlineStr">
        <is>
          <t>no</t>
        </is>
      </c>
      <c r="E1435" s="11" t="inlineStr">
        <is>
          <t>no</t>
        </is>
      </c>
      <c r="F1435" s="11" t="inlineStr"/>
      <c r="G1435" s="11" t="inlineStr"/>
      <c r="H1435" s="11" t="inlineStr">
        <is>
          <t>c15834</t>
        </is>
      </c>
      <c r="I1435" s="11" t="inlineStr">
        <is>
          <t>cite</t>
        </is>
      </c>
      <c r="J1435" s="11" t="inlineStr">
        <is>
          <t>no</t>
        </is>
      </c>
      <c r="K1435" s="11" t="inlineStr">
        <is>
          <t>no</t>
        </is>
      </c>
      <c r="L1435" s="11" t="inlineStr"/>
    </row>
    <row r="1436">
      <c r="A1436" s="11" t="inlineStr">
        <is>
          <t>1433</t>
        </is>
      </c>
      <c r="B1436" s="11" t="inlineStr">
        <is>
          <t>221</t>
        </is>
      </c>
      <c r="C1436" s="11" t="inlineStr">
        <is>
          <t>HC/tribunal/other</t>
        </is>
      </c>
      <c r="D1436" s="11" t="inlineStr">
        <is>
          <t>no</t>
        </is>
      </c>
      <c r="E1436" s="11" t="inlineStr">
        <is>
          <t>no</t>
        </is>
      </c>
      <c r="F1436" s="11" t="inlineStr"/>
      <c r="G1436" s="11" t="inlineStr"/>
      <c r="H1436" s="11" t="inlineStr"/>
      <c r="I1436" s="11" t="inlineStr"/>
      <c r="J1436" s="11" t="inlineStr">
        <is>
          <t>no</t>
        </is>
      </c>
      <c r="K1436" s="11" t="inlineStr">
        <is>
          <t>no</t>
        </is>
      </c>
      <c r="L1436" s="11" t="inlineStr"/>
    </row>
    <row r="1437">
      <c r="A1437" s="11" t="inlineStr">
        <is>
          <t>1434</t>
        </is>
      </c>
      <c r="B1437" s="11" t="inlineStr">
        <is>
          <t>221</t>
        </is>
      </c>
      <c r="C1437" s="11" t="inlineStr">
        <is>
          <t>HC/tribunal/other</t>
        </is>
      </c>
      <c r="D1437" s="11" t="inlineStr">
        <is>
          <t>no</t>
        </is>
      </c>
      <c r="E1437" s="11" t="inlineStr">
        <is>
          <t>no</t>
        </is>
      </c>
      <c r="F1437" s="11" t="inlineStr"/>
      <c r="G1437" s="11" t="inlineStr"/>
      <c r="H1437" s="11" t="inlineStr">
        <is>
          <t>c38948</t>
        </is>
      </c>
      <c r="I1437" s="11" t="inlineStr">
        <is>
          <t>name</t>
        </is>
      </c>
      <c r="J1437" s="11" t="inlineStr">
        <is>
          <t>no</t>
        </is>
      </c>
      <c r="K1437" s="11" t="inlineStr">
        <is>
          <t>no</t>
        </is>
      </c>
      <c r="L1437" s="11" t="inlineStr"/>
    </row>
    <row r="1438">
      <c r="A1438" s="11" t="inlineStr">
        <is>
          <t>1435</t>
        </is>
      </c>
      <c r="B1438" s="11" t="inlineStr">
        <is>
          <t>222</t>
        </is>
      </c>
      <c r="C1438" s="11" t="inlineStr">
        <is>
          <t>HC/tribunal/other</t>
        </is>
      </c>
      <c r="D1438" s="11" t="inlineStr">
        <is>
          <t>no</t>
        </is>
      </c>
      <c r="E1438" s="11" t="inlineStr">
        <is>
          <t>no</t>
        </is>
      </c>
      <c r="F1438" s="11" t="inlineStr"/>
      <c r="G1438" s="11" t="inlineStr"/>
      <c r="H1438" s="11" t="inlineStr">
        <is>
          <t>c9885</t>
        </is>
      </c>
      <c r="I1438" s="11" t="inlineStr">
        <is>
          <t>cite</t>
        </is>
      </c>
      <c r="J1438" s="11" t="inlineStr">
        <is>
          <t>no</t>
        </is>
      </c>
      <c r="K1438" s="11" t="inlineStr">
        <is>
          <t>no</t>
        </is>
      </c>
      <c r="L1438" s="11" t="inlineStr"/>
    </row>
    <row r="1439">
      <c r="A1439" s="11" t="inlineStr">
        <is>
          <t>1436</t>
        </is>
      </c>
      <c r="B1439" s="11" t="inlineStr">
        <is>
          <t>222</t>
        </is>
      </c>
      <c r="C1439" s="11" t="inlineStr">
        <is>
          <t>HC/tribunal/other</t>
        </is>
      </c>
      <c r="D1439" s="11" t="inlineStr">
        <is>
          <t>no</t>
        </is>
      </c>
      <c r="E1439" s="11" t="inlineStr">
        <is>
          <t>no</t>
        </is>
      </c>
      <c r="F1439" s="11" t="inlineStr"/>
      <c r="G1439" s="11" t="inlineStr"/>
      <c r="H1439" s="11" t="inlineStr">
        <is>
          <t>c4424</t>
        </is>
      </c>
      <c r="I1439" s="11" t="inlineStr">
        <is>
          <t>cite</t>
        </is>
      </c>
      <c r="J1439" s="11" t="inlineStr">
        <is>
          <t>no</t>
        </is>
      </c>
      <c r="K1439" s="11" t="inlineStr">
        <is>
          <t>no</t>
        </is>
      </c>
      <c r="L1439" s="11" t="inlineStr"/>
    </row>
    <row r="1440">
      <c r="A1440" s="11" t="inlineStr">
        <is>
          <t>1437</t>
        </is>
      </c>
      <c r="B1440" s="11" t="inlineStr">
        <is>
          <t>222</t>
        </is>
      </c>
      <c r="C1440" s="11" t="inlineStr">
        <is>
          <t>HC/tribunal/other</t>
        </is>
      </c>
      <c r="D1440" s="11" t="inlineStr">
        <is>
          <t>yes</t>
        </is>
      </c>
      <c r="E1440" s="11" t="inlineStr">
        <is>
          <t>no</t>
        </is>
      </c>
      <c r="F1440" s="11" t="inlineStr"/>
      <c r="G1440" s="11" t="inlineStr"/>
      <c r="H1440" s="11" t="inlineStr">
        <is>
          <t>c35498</t>
        </is>
      </c>
      <c r="I1440" s="11" t="inlineStr">
        <is>
          <t>name</t>
        </is>
      </c>
      <c r="J1440" s="11" t="inlineStr">
        <is>
          <t>no</t>
        </is>
      </c>
      <c r="K1440" s="11" t="inlineStr">
        <is>
          <t>no</t>
        </is>
      </c>
      <c r="L1440" s="11" t="inlineStr"/>
    </row>
    <row r="1441">
      <c r="A1441" s="11" t="inlineStr">
        <is>
          <t>1438</t>
        </is>
      </c>
      <c r="B1441" s="11" t="inlineStr">
        <is>
          <t>222</t>
        </is>
      </c>
      <c r="C1441" s="11" t="inlineStr">
        <is>
          <t>HC/tribunal/other</t>
        </is>
      </c>
      <c r="D1441" s="11" t="inlineStr">
        <is>
          <t>no</t>
        </is>
      </c>
      <c r="E1441" s="11" t="inlineStr">
        <is>
          <t>no</t>
        </is>
      </c>
      <c r="F1441" s="11" t="inlineStr"/>
      <c r="G1441" s="11" t="inlineStr"/>
      <c r="H1441" s="11" t="inlineStr">
        <is>
          <t>c14205</t>
        </is>
      </c>
      <c r="I1441" s="11" t="inlineStr">
        <is>
          <t>cite</t>
        </is>
      </c>
      <c r="J1441" s="11" t="inlineStr">
        <is>
          <t>yes</t>
        </is>
      </c>
      <c r="K1441" s="11" t="inlineStr">
        <is>
          <t>no</t>
        </is>
      </c>
      <c r="L1441" s="11" t="inlineStr"/>
    </row>
    <row r="1442">
      <c r="A1442" s="11" t="inlineStr">
        <is>
          <t>1439</t>
        </is>
      </c>
      <c r="B1442" s="11" t="inlineStr">
        <is>
          <t>222</t>
        </is>
      </c>
      <c r="C1442" s="11" t="inlineStr">
        <is>
          <t>HC/tribunal/other</t>
        </is>
      </c>
      <c r="D1442" s="11" t="inlineStr">
        <is>
          <t>yes</t>
        </is>
      </c>
      <c r="E1442" s="11" t="inlineStr">
        <is>
          <t>no</t>
        </is>
      </c>
      <c r="F1442" s="11" t="inlineStr"/>
      <c r="G1442" s="11" t="inlineStr"/>
      <c r="H1442" s="11" t="inlineStr">
        <is>
          <t>c4561</t>
        </is>
      </c>
      <c r="I1442" s="11" t="inlineStr">
        <is>
          <t>cite</t>
        </is>
      </c>
      <c r="J1442" s="11" t="inlineStr">
        <is>
          <t>no</t>
        </is>
      </c>
      <c r="K1442" s="11" t="inlineStr">
        <is>
          <t>no</t>
        </is>
      </c>
      <c r="L1442" s="11" t="inlineStr"/>
    </row>
    <row r="1443">
      <c r="A1443" s="11" t="inlineStr">
        <is>
          <t>1440</t>
        </is>
      </c>
      <c r="B1443" s="11" t="inlineStr">
        <is>
          <t>222</t>
        </is>
      </c>
      <c r="C1443" s="11" t="inlineStr">
        <is>
          <t>HC/tribunal/other</t>
        </is>
      </c>
      <c r="D1443" s="11" t="inlineStr">
        <is>
          <t>no</t>
        </is>
      </c>
      <c r="E1443" s="11" t="inlineStr">
        <is>
          <t>no</t>
        </is>
      </c>
      <c r="F1443" s="11" t="inlineStr"/>
      <c r="G1443" s="11" t="inlineStr"/>
      <c r="H1443" s="11" t="inlineStr">
        <is>
          <t>c8165</t>
        </is>
      </c>
      <c r="I1443" s="11" t="inlineStr">
        <is>
          <t>cite</t>
        </is>
      </c>
      <c r="J1443" s="11" t="inlineStr">
        <is>
          <t>no</t>
        </is>
      </c>
      <c r="K1443" s="11" t="inlineStr">
        <is>
          <t>no</t>
        </is>
      </c>
      <c r="L1443" s="11" t="inlineStr"/>
    </row>
    <row r="1444">
      <c r="A1444" s="11" t="inlineStr">
        <is>
          <t>1441</t>
        </is>
      </c>
      <c r="B1444" s="11" t="inlineStr">
        <is>
          <t>222</t>
        </is>
      </c>
      <c r="C1444" s="11" t="inlineStr">
        <is>
          <t>HC/tribunal/other</t>
        </is>
      </c>
      <c r="D1444" s="11" t="inlineStr">
        <is>
          <t>no</t>
        </is>
      </c>
      <c r="E1444" s="11" t="inlineStr">
        <is>
          <t>yes</t>
        </is>
      </c>
      <c r="F1444" s="11" t="inlineStr"/>
      <c r="G1444" s="11" t="inlineStr"/>
      <c r="H1444" s="11" t="inlineStr">
        <is>
          <t>c16666</t>
        </is>
      </c>
      <c r="I1444" s="11" t="inlineStr">
        <is>
          <t>name</t>
        </is>
      </c>
      <c r="J1444" s="11" t="inlineStr">
        <is>
          <t>no</t>
        </is>
      </c>
      <c r="K1444" s="11" t="inlineStr">
        <is>
          <t>no</t>
        </is>
      </c>
      <c r="L1444" s="11" t="inlineStr"/>
    </row>
    <row r="1445">
      <c r="A1445" s="11" t="inlineStr">
        <is>
          <t>1442</t>
        </is>
      </c>
      <c r="B1445" s="11" t="inlineStr">
        <is>
          <t>223</t>
        </is>
      </c>
      <c r="C1445" s="11" t="inlineStr">
        <is>
          <t>HC/tribunal/other</t>
        </is>
      </c>
      <c r="D1445" s="11" t="inlineStr">
        <is>
          <t>no</t>
        </is>
      </c>
      <c r="E1445" s="11" t="inlineStr">
        <is>
          <t>no</t>
        </is>
      </c>
      <c r="F1445" s="11" t="inlineStr"/>
      <c r="G1445" s="11" t="inlineStr"/>
      <c r="H1445" s="11" t="inlineStr">
        <is>
          <t>c8404</t>
        </is>
      </c>
      <c r="I1445" s="11" t="inlineStr">
        <is>
          <t>cite</t>
        </is>
      </c>
      <c r="J1445" s="11" t="inlineStr">
        <is>
          <t>no</t>
        </is>
      </c>
      <c r="K1445" s="11" t="inlineStr">
        <is>
          <t>no</t>
        </is>
      </c>
      <c r="L1445" s="11" t="inlineStr"/>
    </row>
    <row r="1446">
      <c r="A1446" s="11" t="inlineStr">
        <is>
          <t>1443</t>
        </is>
      </c>
      <c r="B1446" s="11" t="inlineStr">
        <is>
          <t>223</t>
        </is>
      </c>
      <c r="C1446" s="11" t="inlineStr">
        <is>
          <t>HC/tribunal/other</t>
        </is>
      </c>
      <c r="D1446" s="11" t="inlineStr">
        <is>
          <t>yes</t>
        </is>
      </c>
      <c r="E1446" s="11" t="inlineStr">
        <is>
          <t>no</t>
        </is>
      </c>
      <c r="F1446" s="11" t="inlineStr"/>
      <c r="G1446" s="11" t="inlineStr"/>
      <c r="H1446" s="11" t="inlineStr">
        <is>
          <t>c27580</t>
        </is>
      </c>
      <c r="I1446" s="11" t="inlineStr">
        <is>
          <t>name</t>
        </is>
      </c>
      <c r="J1446" s="11" t="inlineStr">
        <is>
          <t>no</t>
        </is>
      </c>
      <c r="K1446" s="11" t="inlineStr">
        <is>
          <t>no</t>
        </is>
      </c>
      <c r="L1446" s="11" t="inlineStr"/>
    </row>
    <row r="1447">
      <c r="A1447" s="11" t="inlineStr">
        <is>
          <t>1444</t>
        </is>
      </c>
      <c r="B1447" s="11" t="inlineStr">
        <is>
          <t>223</t>
        </is>
      </c>
      <c r="C1447" s="11" t="inlineStr">
        <is>
          <t>HC/tribunal/other</t>
        </is>
      </c>
      <c r="D1447" s="11" t="inlineStr">
        <is>
          <t>no</t>
        </is>
      </c>
      <c r="E1447" s="11" t="inlineStr">
        <is>
          <t>no</t>
        </is>
      </c>
      <c r="F1447" s="11" t="inlineStr"/>
      <c r="G1447" s="11" t="inlineStr"/>
      <c r="H1447" s="11" t="inlineStr"/>
      <c r="I1447" s="11" t="inlineStr"/>
      <c r="J1447" s="11" t="inlineStr">
        <is>
          <t>no</t>
        </is>
      </c>
      <c r="K1447" s="11" t="inlineStr">
        <is>
          <t>no</t>
        </is>
      </c>
      <c r="L1447" s="11" t="inlineStr"/>
    </row>
    <row r="1448">
      <c r="A1448" s="11" t="inlineStr">
        <is>
          <t>1445</t>
        </is>
      </c>
      <c r="B1448" s="11" t="inlineStr">
        <is>
          <t>223</t>
        </is>
      </c>
      <c r="C1448" s="11" t="inlineStr">
        <is>
          <t>HC/tribunal/other</t>
        </is>
      </c>
      <c r="D1448" s="11" t="inlineStr">
        <is>
          <t>yes</t>
        </is>
      </c>
      <c r="E1448" s="11" t="inlineStr">
        <is>
          <t>no</t>
        </is>
      </c>
      <c r="F1448" s="11" t="inlineStr"/>
      <c r="G1448" s="11" t="inlineStr"/>
      <c r="H1448" s="11" t="inlineStr">
        <is>
          <t>c6038</t>
        </is>
      </c>
      <c r="I1448" s="11" t="inlineStr">
        <is>
          <t>cite</t>
        </is>
      </c>
      <c r="J1448" s="11" t="inlineStr">
        <is>
          <t>no</t>
        </is>
      </c>
      <c r="K1448" s="11" t="inlineStr">
        <is>
          <t>no</t>
        </is>
      </c>
      <c r="L1448" s="11" t="inlineStr"/>
    </row>
    <row r="1449">
      <c r="A1449" s="11" t="inlineStr">
        <is>
          <t>1446</t>
        </is>
      </c>
      <c r="B1449" s="11" t="inlineStr">
        <is>
          <t>223</t>
        </is>
      </c>
      <c r="C1449" s="11" t="inlineStr">
        <is>
          <t>HC/tribunal/other</t>
        </is>
      </c>
      <c r="D1449" s="11" t="inlineStr">
        <is>
          <t>yes</t>
        </is>
      </c>
      <c r="E1449" s="11" t="inlineStr">
        <is>
          <t>no</t>
        </is>
      </c>
      <c r="F1449" s="11" t="inlineStr"/>
      <c r="G1449" s="11" t="inlineStr"/>
      <c r="H1449" s="11" t="inlineStr">
        <is>
          <t>c6008</t>
        </is>
      </c>
      <c r="I1449" s="11" t="inlineStr">
        <is>
          <t>cite</t>
        </is>
      </c>
      <c r="J1449" s="11" t="inlineStr">
        <is>
          <t>no</t>
        </is>
      </c>
      <c r="K1449" s="11" t="inlineStr">
        <is>
          <t>no</t>
        </is>
      </c>
      <c r="L1449" s="11" t="inlineStr"/>
    </row>
    <row r="1450">
      <c r="A1450" s="11" t="inlineStr">
        <is>
          <t>1447</t>
        </is>
      </c>
      <c r="B1450" s="11" t="inlineStr">
        <is>
          <t>223</t>
        </is>
      </c>
      <c r="C1450" s="11" t="inlineStr">
        <is>
          <t>HC/tribunal/other</t>
        </is>
      </c>
      <c r="D1450" s="11" t="inlineStr">
        <is>
          <t>no</t>
        </is>
      </c>
      <c r="E1450" s="11" t="inlineStr">
        <is>
          <t>yes</t>
        </is>
      </c>
      <c r="F1450" s="11" t="inlineStr"/>
      <c r="G1450" s="11" t="inlineStr"/>
      <c r="H1450" s="11" t="inlineStr">
        <is>
          <t>c4984</t>
        </is>
      </c>
      <c r="I1450" s="11" t="inlineStr">
        <is>
          <t>cite</t>
        </is>
      </c>
      <c r="J1450" s="11" t="inlineStr">
        <is>
          <t>no</t>
        </is>
      </c>
      <c r="K1450" s="11" t="inlineStr">
        <is>
          <t>no</t>
        </is>
      </c>
      <c r="L1450" s="11" t="inlineStr"/>
    </row>
    <row r="1451">
      <c r="A1451" s="11" t="inlineStr">
        <is>
          <t>1448</t>
        </is>
      </c>
      <c r="B1451" s="11" t="inlineStr">
        <is>
          <t>223</t>
        </is>
      </c>
      <c r="C1451" s="11" t="inlineStr">
        <is>
          <t>HC/tribunal/other</t>
        </is>
      </c>
      <c r="D1451" s="11" t="inlineStr">
        <is>
          <t>no</t>
        </is>
      </c>
      <c r="E1451" s="11" t="inlineStr">
        <is>
          <t>no</t>
        </is>
      </c>
      <c r="F1451" s="11" t="inlineStr"/>
      <c r="G1451" s="11" t="inlineStr"/>
      <c r="H1451" s="11" t="inlineStr">
        <is>
          <t>c35591</t>
        </is>
      </c>
      <c r="I1451" s="11" t="inlineStr">
        <is>
          <t>cite</t>
        </is>
      </c>
      <c r="J1451" s="11" t="inlineStr">
        <is>
          <t>no</t>
        </is>
      </c>
      <c r="K1451" s="11" t="inlineStr">
        <is>
          <t>no</t>
        </is>
      </c>
      <c r="L1451" s="11" t="inlineStr"/>
    </row>
    <row r="1452">
      <c r="A1452" s="11" t="inlineStr">
        <is>
          <t>1449</t>
        </is>
      </c>
      <c r="B1452" s="11" t="inlineStr">
        <is>
          <t>223</t>
        </is>
      </c>
      <c r="C1452" s="11" t="inlineStr">
        <is>
          <t>HC/tribunal/other</t>
        </is>
      </c>
      <c r="D1452" s="11" t="inlineStr">
        <is>
          <t>no</t>
        </is>
      </c>
      <c r="E1452" s="11" t="inlineStr">
        <is>
          <t>no</t>
        </is>
      </c>
      <c r="F1452" s="11" t="inlineStr"/>
      <c r="G1452" s="11" t="inlineStr"/>
      <c r="H1452" s="11" t="inlineStr"/>
      <c r="I1452" s="11" t="inlineStr"/>
      <c r="J1452" s="11" t="inlineStr">
        <is>
          <t>no</t>
        </is>
      </c>
      <c r="K1452" s="11" t="inlineStr">
        <is>
          <t>no</t>
        </is>
      </c>
      <c r="L1452" s="11" t="inlineStr"/>
    </row>
    <row r="1453">
      <c r="A1453" s="11" t="inlineStr">
        <is>
          <t>1450</t>
        </is>
      </c>
      <c r="B1453" s="11" t="inlineStr">
        <is>
          <t>224</t>
        </is>
      </c>
      <c r="C1453" s="11" t="inlineStr">
        <is>
          <t>HC/tribunal/other</t>
        </is>
      </c>
      <c r="D1453" s="11" t="inlineStr">
        <is>
          <t>no</t>
        </is>
      </c>
      <c r="E1453" s="11" t="inlineStr">
        <is>
          <t>no</t>
        </is>
      </c>
      <c r="F1453" s="11" t="inlineStr"/>
      <c r="G1453" s="11" t="inlineStr"/>
      <c r="H1453" s="11" t="inlineStr">
        <is>
          <t>c12733</t>
        </is>
      </c>
      <c r="I1453" s="11" t="inlineStr">
        <is>
          <t>cite</t>
        </is>
      </c>
      <c r="J1453" s="11" t="inlineStr">
        <is>
          <t>no</t>
        </is>
      </c>
      <c r="K1453" s="11" t="inlineStr">
        <is>
          <t>no</t>
        </is>
      </c>
      <c r="L1453" s="11" t="inlineStr"/>
    </row>
    <row r="1454">
      <c r="A1454" s="11" t="inlineStr">
        <is>
          <t>1451</t>
        </is>
      </c>
      <c r="B1454" s="11" t="inlineStr">
        <is>
          <t>224</t>
        </is>
      </c>
      <c r="C1454" s="11" t="inlineStr">
        <is>
          <t>HC/tribunal/other</t>
        </is>
      </c>
      <c r="D1454" s="11" t="inlineStr">
        <is>
          <t>yes</t>
        </is>
      </c>
      <c r="E1454" s="11" t="inlineStr">
        <is>
          <t>no</t>
        </is>
      </c>
      <c r="F1454" s="11" t="inlineStr"/>
      <c r="G1454" s="11" t="inlineStr"/>
      <c r="H1454" s="11" t="inlineStr">
        <is>
          <t>c44884</t>
        </is>
      </c>
      <c r="I1454" s="11" t="inlineStr">
        <is>
          <t>name</t>
        </is>
      </c>
      <c r="J1454" s="11" t="inlineStr">
        <is>
          <t>no</t>
        </is>
      </c>
      <c r="K1454" s="11" t="inlineStr">
        <is>
          <t>no</t>
        </is>
      </c>
      <c r="L1454" s="11" t="inlineStr"/>
    </row>
    <row r="1455">
      <c r="A1455" s="11" t="inlineStr">
        <is>
          <t>1452</t>
        </is>
      </c>
      <c r="B1455" s="11" t="inlineStr">
        <is>
          <t>224</t>
        </is>
      </c>
      <c r="C1455" s="11" t="inlineStr">
        <is>
          <t>HC/tribunal/other</t>
        </is>
      </c>
      <c r="D1455" s="11" t="inlineStr">
        <is>
          <t>no</t>
        </is>
      </c>
      <c r="E1455" s="11" t="inlineStr">
        <is>
          <t>no</t>
        </is>
      </c>
      <c r="F1455" s="11" t="inlineStr"/>
      <c r="G1455" s="11" t="inlineStr"/>
      <c r="H1455" s="11" t="inlineStr">
        <is>
          <t>c12818</t>
        </is>
      </c>
      <c r="I1455" s="11" t="inlineStr">
        <is>
          <t>cite</t>
        </is>
      </c>
      <c r="J1455" s="11" t="inlineStr">
        <is>
          <t>no</t>
        </is>
      </c>
      <c r="K1455" s="11" t="inlineStr">
        <is>
          <t>no</t>
        </is>
      </c>
      <c r="L1455" s="11" t="inlineStr"/>
    </row>
    <row r="1456">
      <c r="A1456" s="11" t="inlineStr">
        <is>
          <t>1453</t>
        </is>
      </c>
      <c r="B1456" s="11" t="inlineStr">
        <is>
          <t>224</t>
        </is>
      </c>
      <c r="C1456" s="11" t="inlineStr">
        <is>
          <t>HC/tribunal/other</t>
        </is>
      </c>
      <c r="D1456" s="11" t="inlineStr">
        <is>
          <t>yes</t>
        </is>
      </c>
      <c r="E1456" s="11" t="inlineStr">
        <is>
          <t>no</t>
        </is>
      </c>
      <c r="F1456" s="11" t="inlineStr"/>
      <c r="G1456" s="11" t="inlineStr"/>
      <c r="H1456" s="11" t="inlineStr"/>
      <c r="I1456" s="11" t="inlineStr"/>
      <c r="J1456" s="11" t="inlineStr">
        <is>
          <t>no</t>
        </is>
      </c>
      <c r="K1456" s="11" t="inlineStr">
        <is>
          <t>no</t>
        </is>
      </c>
      <c r="L1456" s="11" t="inlineStr"/>
    </row>
    <row r="1457">
      <c r="A1457" s="11" t="inlineStr">
        <is>
          <t>1454</t>
        </is>
      </c>
      <c r="B1457" s="11" t="inlineStr">
        <is>
          <t>224</t>
        </is>
      </c>
      <c r="C1457" s="11" t="inlineStr">
        <is>
          <t>HC/tribunal/other</t>
        </is>
      </c>
      <c r="D1457" s="11" t="inlineStr">
        <is>
          <t>yes</t>
        </is>
      </c>
      <c r="E1457" s="11" t="inlineStr">
        <is>
          <t>no</t>
        </is>
      </c>
      <c r="F1457" s="11" t="inlineStr"/>
      <c r="G1457" s="11" t="inlineStr"/>
      <c r="H1457" s="11" t="inlineStr">
        <is>
          <t>c6238</t>
        </is>
      </c>
      <c r="I1457" s="11" t="inlineStr">
        <is>
          <t>cite</t>
        </is>
      </c>
      <c r="J1457" s="11" t="inlineStr">
        <is>
          <t>no</t>
        </is>
      </c>
      <c r="K1457" s="11" t="inlineStr">
        <is>
          <t>no</t>
        </is>
      </c>
      <c r="L1457" s="11" t="inlineStr"/>
    </row>
    <row r="1458">
      <c r="A1458" s="11" t="inlineStr">
        <is>
          <t>1455</t>
        </is>
      </c>
      <c r="B1458" s="11" t="inlineStr">
        <is>
          <t>224</t>
        </is>
      </c>
      <c r="C1458" s="11" t="inlineStr">
        <is>
          <t>HC/tribunal/other</t>
        </is>
      </c>
      <c r="D1458" s="11" t="inlineStr">
        <is>
          <t>yes</t>
        </is>
      </c>
      <c r="E1458" s="11" t="inlineStr">
        <is>
          <t>no</t>
        </is>
      </c>
      <c r="F1458" s="11" t="inlineStr"/>
      <c r="G1458" s="11" t="inlineStr"/>
      <c r="H1458" s="11" t="inlineStr">
        <is>
          <t>c9945</t>
        </is>
      </c>
      <c r="I1458" s="11" t="inlineStr">
        <is>
          <t>cite</t>
        </is>
      </c>
      <c r="J1458" s="11" t="inlineStr">
        <is>
          <t>no</t>
        </is>
      </c>
      <c r="K1458" s="11" t="inlineStr">
        <is>
          <t>no</t>
        </is>
      </c>
      <c r="L1458" s="11" t="inlineStr"/>
    </row>
    <row r="1459">
      <c r="A1459" s="11" t="inlineStr">
        <is>
          <t>1456</t>
        </is>
      </c>
      <c r="B1459" s="11" t="inlineStr">
        <is>
          <t>224</t>
        </is>
      </c>
      <c r="C1459" s="11" t="inlineStr">
        <is>
          <t>HC/tribunal/other</t>
        </is>
      </c>
      <c r="D1459" s="11" t="inlineStr">
        <is>
          <t>yes</t>
        </is>
      </c>
      <c r="E1459" s="11" t="inlineStr">
        <is>
          <t>yes</t>
        </is>
      </c>
      <c r="F1459" s="11" t="inlineStr"/>
      <c r="G1459" s="11" t="inlineStr"/>
      <c r="H1459" s="11" t="inlineStr"/>
      <c r="I1459" s="11" t="inlineStr"/>
      <c r="J1459" s="11" t="inlineStr">
        <is>
          <t>no</t>
        </is>
      </c>
      <c r="K1459" s="11" t="inlineStr">
        <is>
          <t>no</t>
        </is>
      </c>
      <c r="L1459" s="11" t="inlineStr"/>
    </row>
    <row r="1460">
      <c r="A1460" s="11" t="inlineStr">
        <is>
          <t>1457</t>
        </is>
      </c>
      <c r="B1460" s="11" t="inlineStr">
        <is>
          <t>225</t>
        </is>
      </c>
      <c r="C1460" s="11" t="inlineStr">
        <is>
          <t>HC/tribunal/other</t>
        </is>
      </c>
      <c r="D1460" s="11" t="inlineStr">
        <is>
          <t>no</t>
        </is>
      </c>
      <c r="E1460" s="11" t="inlineStr">
        <is>
          <t>yes</t>
        </is>
      </c>
      <c r="F1460" s="11" t="inlineStr"/>
      <c r="G1460" s="11" t="inlineStr"/>
      <c r="H1460" s="11" t="inlineStr">
        <is>
          <t>c9047</t>
        </is>
      </c>
      <c r="I1460" s="11" t="inlineStr">
        <is>
          <t>cite</t>
        </is>
      </c>
      <c r="J1460" s="11" t="inlineStr">
        <is>
          <t>no</t>
        </is>
      </c>
      <c r="K1460" s="11" t="inlineStr">
        <is>
          <t>no</t>
        </is>
      </c>
      <c r="L1460" s="11" t="inlineStr"/>
    </row>
    <row r="1461">
      <c r="A1461" s="11" t="inlineStr">
        <is>
          <t>1458</t>
        </is>
      </c>
      <c r="B1461" s="11" t="inlineStr">
        <is>
          <t>225</t>
        </is>
      </c>
      <c r="C1461" s="11" t="inlineStr">
        <is>
          <t>HC/tribunal/other</t>
        </is>
      </c>
      <c r="D1461" s="11" t="inlineStr">
        <is>
          <t>yes</t>
        </is>
      </c>
      <c r="E1461" s="11" t="inlineStr">
        <is>
          <t>no</t>
        </is>
      </c>
      <c r="F1461" s="11" t="inlineStr"/>
      <c r="G1461" s="11" t="inlineStr"/>
      <c r="H1461" s="11" t="inlineStr"/>
      <c r="I1461" s="11" t="inlineStr"/>
      <c r="J1461" s="11" t="inlineStr">
        <is>
          <t>no</t>
        </is>
      </c>
      <c r="K1461" s="11" t="inlineStr">
        <is>
          <t>no</t>
        </is>
      </c>
      <c r="L1461" s="11" t="inlineStr"/>
    </row>
    <row r="1462">
      <c r="A1462" s="11" t="inlineStr">
        <is>
          <t>1459</t>
        </is>
      </c>
      <c r="B1462" s="11" t="inlineStr">
        <is>
          <t>225</t>
        </is>
      </c>
      <c r="C1462" s="11" t="inlineStr">
        <is>
          <t>HC/tribunal/other</t>
        </is>
      </c>
      <c r="D1462" s="11" t="inlineStr">
        <is>
          <t>no</t>
        </is>
      </c>
      <c r="E1462" s="11" t="inlineStr">
        <is>
          <t>yes</t>
        </is>
      </c>
      <c r="F1462" s="11" t="inlineStr"/>
      <c r="G1462" s="11" t="inlineStr"/>
      <c r="H1462" s="11" t="inlineStr">
        <is>
          <t>c5014</t>
        </is>
      </c>
      <c r="I1462" s="11" t="inlineStr">
        <is>
          <t>cite</t>
        </is>
      </c>
      <c r="J1462" s="11" t="inlineStr">
        <is>
          <t>no</t>
        </is>
      </c>
      <c r="K1462" s="11" t="inlineStr">
        <is>
          <t>no</t>
        </is>
      </c>
      <c r="L1462" s="11" t="inlineStr"/>
    </row>
    <row r="1463">
      <c r="A1463" s="11" t="inlineStr">
        <is>
          <t>1460</t>
        </is>
      </c>
      <c r="B1463" s="11" t="inlineStr">
        <is>
          <t>225</t>
        </is>
      </c>
      <c r="C1463" s="11" t="inlineStr">
        <is>
          <t>HC/tribunal/other</t>
        </is>
      </c>
      <c r="D1463" s="11" t="inlineStr">
        <is>
          <t>yes</t>
        </is>
      </c>
      <c r="E1463" s="11" t="inlineStr">
        <is>
          <t>no</t>
        </is>
      </c>
      <c r="F1463" s="11" t="inlineStr"/>
      <c r="G1463" s="11" t="inlineStr"/>
      <c r="H1463" s="11" t="inlineStr">
        <is>
          <t>c8967</t>
        </is>
      </c>
      <c r="I1463" s="11" t="inlineStr">
        <is>
          <t>cite</t>
        </is>
      </c>
      <c r="J1463" s="11" t="inlineStr">
        <is>
          <t>no</t>
        </is>
      </c>
      <c r="K1463" s="11" t="inlineStr">
        <is>
          <t>no</t>
        </is>
      </c>
      <c r="L1463" s="11" t="inlineStr"/>
    </row>
    <row r="1464">
      <c r="A1464" s="11" t="inlineStr">
        <is>
          <t>1461</t>
        </is>
      </c>
      <c r="B1464" s="11" t="inlineStr">
        <is>
          <t>225</t>
        </is>
      </c>
      <c r="C1464" s="11" t="inlineStr">
        <is>
          <t>HC/tribunal/other</t>
        </is>
      </c>
      <c r="D1464" s="11" t="inlineStr">
        <is>
          <t>no</t>
        </is>
      </c>
      <c r="E1464" s="11" t="inlineStr">
        <is>
          <t>no</t>
        </is>
      </c>
      <c r="F1464" s="11" t="inlineStr"/>
      <c r="G1464" s="11" t="inlineStr"/>
      <c r="H1464" s="11" t="inlineStr">
        <is>
          <t>c10047</t>
        </is>
      </c>
      <c r="I1464" s="11" t="inlineStr">
        <is>
          <t>cite</t>
        </is>
      </c>
      <c r="J1464" s="11" t="inlineStr">
        <is>
          <t>no</t>
        </is>
      </c>
      <c r="K1464" s="11" t="inlineStr">
        <is>
          <t>no</t>
        </is>
      </c>
      <c r="L1464" s="11" t="inlineStr"/>
    </row>
    <row r="1465">
      <c r="A1465" s="11" t="inlineStr">
        <is>
          <t>1462</t>
        </is>
      </c>
      <c r="B1465" s="11" t="inlineStr">
        <is>
          <t>225</t>
        </is>
      </c>
      <c r="C1465" s="11" t="inlineStr">
        <is>
          <t>HC/tribunal/other</t>
        </is>
      </c>
      <c r="D1465" s="11" t="inlineStr">
        <is>
          <t>yes</t>
        </is>
      </c>
      <c r="E1465" s="11" t="inlineStr">
        <is>
          <t>yes</t>
        </is>
      </c>
      <c r="F1465" s="11" t="inlineStr"/>
      <c r="G1465" s="11" t="inlineStr"/>
      <c r="H1465" s="11" t="inlineStr"/>
      <c r="I1465" s="11" t="inlineStr"/>
      <c r="J1465" s="11" t="inlineStr">
        <is>
          <t>no</t>
        </is>
      </c>
      <c r="K1465" s="11" t="inlineStr">
        <is>
          <t>no</t>
        </is>
      </c>
      <c r="L1465" s="11" t="inlineStr"/>
    </row>
    <row r="1466">
      <c r="A1466" s="11" t="inlineStr">
        <is>
          <t>1463</t>
        </is>
      </c>
      <c r="B1466" s="11" t="inlineStr">
        <is>
          <t>225</t>
        </is>
      </c>
      <c r="C1466" s="11" t="inlineStr">
        <is>
          <t>HC/tribunal/other</t>
        </is>
      </c>
      <c r="D1466" s="11" t="inlineStr">
        <is>
          <t>yes</t>
        </is>
      </c>
      <c r="E1466" s="11" t="inlineStr">
        <is>
          <t>no</t>
        </is>
      </c>
      <c r="F1466" s="11" t="inlineStr"/>
      <c r="G1466" s="11" t="inlineStr"/>
      <c r="H1466" s="11" t="inlineStr">
        <is>
          <t>c9724</t>
        </is>
      </c>
      <c r="I1466" s="11" t="inlineStr">
        <is>
          <t>cite</t>
        </is>
      </c>
      <c r="J1466" s="11" t="inlineStr">
        <is>
          <t>no</t>
        </is>
      </c>
      <c r="K1466" s="11" t="inlineStr">
        <is>
          <t>no</t>
        </is>
      </c>
      <c r="L1466" s="11" t="inlineStr"/>
    </row>
    <row r="1467">
      <c r="A1467" s="11" t="inlineStr">
        <is>
          <t>1464</t>
        </is>
      </c>
      <c r="B1467" s="11" t="inlineStr">
        <is>
          <t>226</t>
        </is>
      </c>
      <c r="C1467" s="11" t="inlineStr">
        <is>
          <t>HC/tribunal/other</t>
        </is>
      </c>
      <c r="D1467" s="11" t="inlineStr">
        <is>
          <t>no</t>
        </is>
      </c>
      <c r="E1467" s="11" t="inlineStr">
        <is>
          <t>no</t>
        </is>
      </c>
      <c r="F1467" s="11" t="inlineStr"/>
      <c r="G1467" s="11" t="inlineStr"/>
      <c r="H1467" s="11" t="inlineStr">
        <is>
          <t>c10047</t>
        </is>
      </c>
      <c r="I1467" s="11" t="inlineStr">
        <is>
          <t>cite</t>
        </is>
      </c>
      <c r="J1467" s="11" t="inlineStr">
        <is>
          <t>no</t>
        </is>
      </c>
      <c r="K1467" s="11" t="inlineStr">
        <is>
          <t>no</t>
        </is>
      </c>
      <c r="L1467" s="11" t="inlineStr"/>
    </row>
    <row r="1468">
      <c r="A1468" s="11" t="inlineStr">
        <is>
          <t>1465</t>
        </is>
      </c>
      <c r="B1468" s="11" t="inlineStr">
        <is>
          <t>226</t>
        </is>
      </c>
      <c r="C1468" s="11" t="inlineStr">
        <is>
          <t>HC/tribunal/other</t>
        </is>
      </c>
      <c r="D1468" s="11" t="inlineStr">
        <is>
          <t>no</t>
        </is>
      </c>
      <c r="E1468" s="11" t="inlineStr">
        <is>
          <t>no</t>
        </is>
      </c>
      <c r="F1468" s="11" t="inlineStr"/>
      <c r="G1468" s="11" t="inlineStr"/>
      <c r="H1468" s="11" t="inlineStr">
        <is>
          <t>c12776</t>
        </is>
      </c>
      <c r="I1468" s="11" t="inlineStr">
        <is>
          <t>cite</t>
        </is>
      </c>
      <c r="J1468" s="11" t="inlineStr">
        <is>
          <t>no</t>
        </is>
      </c>
      <c r="K1468" s="11" t="inlineStr">
        <is>
          <t>no</t>
        </is>
      </c>
      <c r="L1468" s="11" t="inlineStr"/>
    </row>
    <row r="1469">
      <c r="A1469" s="11" t="inlineStr">
        <is>
          <t>1466</t>
        </is>
      </c>
      <c r="B1469" s="11" t="inlineStr">
        <is>
          <t>226</t>
        </is>
      </c>
      <c r="C1469" s="11" t="inlineStr">
        <is>
          <t>HC/tribunal/other</t>
        </is>
      </c>
      <c r="D1469" s="11" t="inlineStr">
        <is>
          <t>no</t>
        </is>
      </c>
      <c r="E1469" s="11" t="inlineStr">
        <is>
          <t>no</t>
        </is>
      </c>
      <c r="F1469" s="11" t="inlineStr"/>
      <c r="G1469" s="11" t="inlineStr"/>
      <c r="H1469" s="11" t="inlineStr">
        <is>
          <t>c12796</t>
        </is>
      </c>
      <c r="I1469" s="11" t="inlineStr">
        <is>
          <t>cite</t>
        </is>
      </c>
      <c r="J1469" s="11" t="inlineStr">
        <is>
          <t>no</t>
        </is>
      </c>
      <c r="K1469" s="11" t="inlineStr">
        <is>
          <t>no</t>
        </is>
      </c>
      <c r="L1469" s="11" t="inlineStr"/>
    </row>
    <row r="1470">
      <c r="A1470" s="11" t="inlineStr">
        <is>
          <t>1467</t>
        </is>
      </c>
      <c r="B1470" s="11" t="inlineStr">
        <is>
          <t>226</t>
        </is>
      </c>
      <c r="C1470" s="11" t="inlineStr">
        <is>
          <t>HC/tribunal/other</t>
        </is>
      </c>
      <c r="D1470" s="11" t="inlineStr">
        <is>
          <t>no</t>
        </is>
      </c>
      <c r="E1470" s="11" t="inlineStr">
        <is>
          <t>no</t>
        </is>
      </c>
      <c r="F1470" s="11" t="inlineStr"/>
      <c r="G1470" s="11" t="inlineStr"/>
      <c r="H1470" s="11" t="inlineStr">
        <is>
          <t>c4950</t>
        </is>
      </c>
      <c r="I1470" s="11" t="inlineStr">
        <is>
          <t>cite</t>
        </is>
      </c>
      <c r="J1470" s="11" t="inlineStr">
        <is>
          <t>no</t>
        </is>
      </c>
      <c r="K1470" s="11" t="inlineStr">
        <is>
          <t>no</t>
        </is>
      </c>
      <c r="L1470" s="11" t="inlineStr"/>
    </row>
    <row r="1471">
      <c r="A1471" s="11" t="inlineStr">
        <is>
          <t>1468</t>
        </is>
      </c>
      <c r="B1471" s="11" t="inlineStr">
        <is>
          <t>226</t>
        </is>
      </c>
      <c r="C1471" s="11" t="inlineStr">
        <is>
          <t>HC/tribunal/other</t>
        </is>
      </c>
      <c r="D1471" s="11" t="inlineStr">
        <is>
          <t>yes</t>
        </is>
      </c>
      <c r="E1471" s="11" t="inlineStr">
        <is>
          <t>no</t>
        </is>
      </c>
      <c r="F1471" s="11" t="inlineStr"/>
      <c r="G1471" s="11" t="inlineStr"/>
      <c r="H1471" s="11" t="inlineStr">
        <is>
          <t>c4758</t>
        </is>
      </c>
      <c r="I1471" s="11" t="inlineStr">
        <is>
          <t>cite</t>
        </is>
      </c>
      <c r="J1471" s="11" t="inlineStr">
        <is>
          <t>no</t>
        </is>
      </c>
      <c r="K1471" s="11" t="inlineStr">
        <is>
          <t>no</t>
        </is>
      </c>
      <c r="L1471" s="11" t="inlineStr"/>
    </row>
    <row r="1472">
      <c r="A1472" s="11" t="inlineStr">
        <is>
          <t>1469</t>
        </is>
      </c>
      <c r="B1472" s="11" t="inlineStr">
        <is>
          <t>226</t>
        </is>
      </c>
      <c r="C1472" s="11" t="inlineStr">
        <is>
          <t>HC/tribunal/other</t>
        </is>
      </c>
      <c r="D1472" s="11" t="inlineStr">
        <is>
          <t>yes</t>
        </is>
      </c>
      <c r="E1472" s="11" t="inlineStr">
        <is>
          <t>no</t>
        </is>
      </c>
      <c r="F1472" s="11" t="inlineStr"/>
      <c r="G1472" s="11" t="inlineStr"/>
      <c r="H1472" s="11" t="inlineStr">
        <is>
          <t>c16874</t>
        </is>
      </c>
      <c r="I1472" s="11" t="inlineStr">
        <is>
          <t>cite</t>
        </is>
      </c>
      <c r="J1472" s="11" t="inlineStr">
        <is>
          <t>no</t>
        </is>
      </c>
      <c r="K1472" s="11" t="inlineStr">
        <is>
          <t>no</t>
        </is>
      </c>
      <c r="L1472" s="11" t="inlineStr"/>
    </row>
    <row r="1473">
      <c r="A1473" s="11" t="inlineStr">
        <is>
          <t>1470</t>
        </is>
      </c>
      <c r="B1473" s="11" t="inlineStr">
        <is>
          <t>226</t>
        </is>
      </c>
      <c r="C1473" s="11" t="inlineStr">
        <is>
          <t>HC/tribunal/other</t>
        </is>
      </c>
      <c r="D1473" s="11" t="inlineStr">
        <is>
          <t>yes</t>
        </is>
      </c>
      <c r="E1473" s="11" t="inlineStr">
        <is>
          <t>no</t>
        </is>
      </c>
      <c r="F1473" s="11" t="inlineStr"/>
      <c r="G1473" s="11" t="inlineStr"/>
      <c r="H1473" s="11" t="inlineStr">
        <is>
          <t>c12503</t>
        </is>
      </c>
      <c r="I1473" s="11" t="inlineStr">
        <is>
          <t>cite</t>
        </is>
      </c>
      <c r="J1473" s="11" t="inlineStr">
        <is>
          <t>no</t>
        </is>
      </c>
      <c r="K1473" s="11" t="inlineStr">
        <is>
          <t>no</t>
        </is>
      </c>
      <c r="L1473" s="11" t="inlineStr"/>
    </row>
    <row r="1474">
      <c r="A1474" s="11" t="inlineStr">
        <is>
          <t>1471</t>
        </is>
      </c>
      <c r="B1474" s="11" t="inlineStr">
        <is>
          <t>227</t>
        </is>
      </c>
      <c r="C1474" s="11" t="inlineStr">
        <is>
          <t>HC/tribunal/other</t>
        </is>
      </c>
      <c r="D1474" s="11" t="inlineStr">
        <is>
          <t>no</t>
        </is>
      </c>
      <c r="E1474" s="11" t="inlineStr">
        <is>
          <t>no</t>
        </is>
      </c>
      <c r="F1474" s="11" t="inlineStr"/>
      <c r="G1474" s="11" t="inlineStr"/>
      <c r="H1474" s="11" t="inlineStr">
        <is>
          <t>c7890</t>
        </is>
      </c>
      <c r="I1474" s="11" t="inlineStr">
        <is>
          <t>cite</t>
        </is>
      </c>
      <c r="J1474" s="11" t="inlineStr">
        <is>
          <t>no</t>
        </is>
      </c>
      <c r="K1474" s="11" t="inlineStr">
        <is>
          <t>no</t>
        </is>
      </c>
      <c r="L1474" s="11" t="inlineStr"/>
    </row>
    <row r="1475">
      <c r="A1475" s="11" t="inlineStr">
        <is>
          <t>1472</t>
        </is>
      </c>
      <c r="B1475" s="11" t="inlineStr">
        <is>
          <t>227</t>
        </is>
      </c>
      <c r="C1475" s="11" t="inlineStr">
        <is>
          <t>HC/tribunal/other</t>
        </is>
      </c>
      <c r="D1475" s="11" t="inlineStr">
        <is>
          <t>yes</t>
        </is>
      </c>
      <c r="E1475" s="11" t="inlineStr">
        <is>
          <t>no</t>
        </is>
      </c>
      <c r="F1475" s="11" t="inlineStr"/>
      <c r="G1475" s="11" t="inlineStr"/>
      <c r="H1475" s="11" t="inlineStr">
        <is>
          <t>c8621</t>
        </is>
      </c>
      <c r="I1475" s="11" t="inlineStr">
        <is>
          <t>cite</t>
        </is>
      </c>
      <c r="J1475" s="11" t="inlineStr">
        <is>
          <t>no</t>
        </is>
      </c>
      <c r="K1475" s="11" t="inlineStr">
        <is>
          <t>no</t>
        </is>
      </c>
      <c r="L1475" s="11" t="inlineStr"/>
    </row>
    <row r="1476">
      <c r="A1476" s="11" t="inlineStr">
        <is>
          <t>1473</t>
        </is>
      </c>
      <c r="B1476" s="11" t="inlineStr">
        <is>
          <t>227</t>
        </is>
      </c>
      <c r="C1476" s="11" t="inlineStr">
        <is>
          <t>HC/tribunal/other</t>
        </is>
      </c>
      <c r="D1476" s="11" t="inlineStr">
        <is>
          <t>no</t>
        </is>
      </c>
      <c r="E1476" s="11" t="inlineStr">
        <is>
          <t>no</t>
        </is>
      </c>
      <c r="F1476" s="11" t="inlineStr"/>
      <c r="G1476" s="11" t="inlineStr"/>
      <c r="H1476" s="11" t="inlineStr">
        <is>
          <t>c17645</t>
        </is>
      </c>
      <c r="I1476" s="11" t="inlineStr">
        <is>
          <t>cite</t>
        </is>
      </c>
      <c r="J1476" s="11" t="inlineStr">
        <is>
          <t>no</t>
        </is>
      </c>
      <c r="K1476" s="11" t="inlineStr">
        <is>
          <t>no</t>
        </is>
      </c>
      <c r="L1476" s="11" t="inlineStr"/>
    </row>
    <row r="1477">
      <c r="A1477" s="11" t="inlineStr">
        <is>
          <t>1474</t>
        </is>
      </c>
      <c r="B1477" s="11" t="inlineStr">
        <is>
          <t>227</t>
        </is>
      </c>
      <c r="C1477" s="11" t="inlineStr">
        <is>
          <t>HC/tribunal/other</t>
        </is>
      </c>
      <c r="D1477" s="11" t="inlineStr">
        <is>
          <t>yes</t>
        </is>
      </c>
      <c r="E1477" s="11" t="inlineStr">
        <is>
          <t>no</t>
        </is>
      </c>
      <c r="F1477" s="11" t="inlineStr"/>
      <c r="G1477" s="11" t="inlineStr"/>
      <c r="H1477" s="11" t="inlineStr">
        <is>
          <t>c31596</t>
        </is>
      </c>
      <c r="I1477" s="11" t="inlineStr">
        <is>
          <t>name</t>
        </is>
      </c>
      <c r="J1477" s="11" t="inlineStr">
        <is>
          <t>no</t>
        </is>
      </c>
      <c r="K1477" s="11" t="inlineStr">
        <is>
          <t>no</t>
        </is>
      </c>
      <c r="L1477" s="11" t="inlineStr"/>
    </row>
    <row r="1478">
      <c r="A1478" s="11" t="inlineStr">
        <is>
          <t>1475</t>
        </is>
      </c>
      <c r="B1478" s="11" t="inlineStr">
        <is>
          <t>227</t>
        </is>
      </c>
      <c r="C1478" s="11" t="inlineStr">
        <is>
          <t>HC/tribunal/other</t>
        </is>
      </c>
      <c r="D1478" s="11" t="inlineStr">
        <is>
          <t>no</t>
        </is>
      </c>
      <c r="E1478" s="11" t="inlineStr">
        <is>
          <t>no</t>
        </is>
      </c>
      <c r="F1478" s="11" t="inlineStr"/>
      <c r="G1478" s="11" t="inlineStr"/>
      <c r="H1478" s="11" t="inlineStr"/>
      <c r="I1478" s="11" t="inlineStr"/>
      <c r="J1478" s="11" t="inlineStr">
        <is>
          <t>no</t>
        </is>
      </c>
      <c r="K1478" s="11" t="inlineStr">
        <is>
          <t>no</t>
        </is>
      </c>
      <c r="L1478" s="11" t="inlineStr"/>
    </row>
    <row r="1479">
      <c r="A1479" s="11" t="inlineStr">
        <is>
          <t>1476</t>
        </is>
      </c>
      <c r="B1479" s="11" t="inlineStr">
        <is>
          <t>227</t>
        </is>
      </c>
      <c r="C1479" s="11" t="inlineStr">
        <is>
          <t>HC/tribunal/other</t>
        </is>
      </c>
      <c r="D1479" s="11" t="inlineStr">
        <is>
          <t>yes</t>
        </is>
      </c>
      <c r="E1479" s="11" t="inlineStr">
        <is>
          <t>no</t>
        </is>
      </c>
      <c r="F1479" s="11" t="inlineStr"/>
      <c r="G1479" s="11" t="inlineStr"/>
      <c r="H1479" s="11" t="inlineStr">
        <is>
          <t>c27002</t>
        </is>
      </c>
      <c r="I1479" s="11" t="inlineStr">
        <is>
          <t>cite</t>
        </is>
      </c>
      <c r="J1479" s="11" t="inlineStr">
        <is>
          <t>no</t>
        </is>
      </c>
      <c r="K1479" s="11" t="inlineStr">
        <is>
          <t>no</t>
        </is>
      </c>
      <c r="L1479" s="11" t="inlineStr"/>
    </row>
    <row r="1480">
      <c r="A1480" s="11" t="inlineStr">
        <is>
          <t>1477</t>
        </is>
      </c>
      <c r="B1480" s="11" t="inlineStr">
        <is>
          <t>228</t>
        </is>
      </c>
      <c r="C1480" s="11" t="inlineStr">
        <is>
          <t>HC/tribunal/other</t>
        </is>
      </c>
      <c r="D1480" s="11" t="inlineStr">
        <is>
          <t>no</t>
        </is>
      </c>
      <c r="E1480" s="11" t="inlineStr">
        <is>
          <t>no</t>
        </is>
      </c>
      <c r="F1480" s="11" t="inlineStr"/>
      <c r="G1480" s="11" t="inlineStr"/>
      <c r="H1480" s="11" t="inlineStr">
        <is>
          <t>c18402</t>
        </is>
      </c>
      <c r="I1480" s="11" t="inlineStr">
        <is>
          <t>cite</t>
        </is>
      </c>
      <c r="J1480" s="11" t="inlineStr">
        <is>
          <t>no</t>
        </is>
      </c>
      <c r="K1480" s="11" t="inlineStr">
        <is>
          <t>no</t>
        </is>
      </c>
      <c r="L1480" s="11" t="inlineStr"/>
    </row>
    <row r="1481">
      <c r="A1481" s="11" t="inlineStr">
        <is>
          <t>1478</t>
        </is>
      </c>
      <c r="B1481" s="11" t="inlineStr">
        <is>
          <t>228</t>
        </is>
      </c>
      <c r="C1481" s="11" t="inlineStr">
        <is>
          <t>HC/tribunal/other</t>
        </is>
      </c>
      <c r="D1481" s="11" t="inlineStr">
        <is>
          <t>no</t>
        </is>
      </c>
      <c r="E1481" s="11" t="inlineStr">
        <is>
          <t>no</t>
        </is>
      </c>
      <c r="F1481" s="11" t="inlineStr"/>
      <c r="G1481" s="11" t="inlineStr"/>
      <c r="H1481" s="11" t="inlineStr">
        <is>
          <t>c13748</t>
        </is>
      </c>
      <c r="I1481" s="11" t="inlineStr">
        <is>
          <t>name</t>
        </is>
      </c>
      <c r="J1481" s="11" t="inlineStr">
        <is>
          <t>no</t>
        </is>
      </c>
      <c r="K1481" s="11" t="inlineStr">
        <is>
          <t>no</t>
        </is>
      </c>
      <c r="L1481" s="11" t="inlineStr"/>
    </row>
    <row r="1482">
      <c r="A1482" s="11" t="inlineStr">
        <is>
          <t>1479</t>
        </is>
      </c>
      <c r="B1482" s="11" t="inlineStr">
        <is>
          <t>228</t>
        </is>
      </c>
      <c r="C1482" s="11" t="inlineStr">
        <is>
          <t>HC/tribunal/other</t>
        </is>
      </c>
      <c r="D1482" s="11" t="inlineStr">
        <is>
          <t>no</t>
        </is>
      </c>
      <c r="E1482" s="11" t="inlineStr">
        <is>
          <t>no</t>
        </is>
      </c>
      <c r="F1482" s="11" t="inlineStr"/>
      <c r="G1482" s="11" t="inlineStr"/>
      <c r="H1482" s="11" t="inlineStr">
        <is>
          <t>c19068</t>
        </is>
      </c>
      <c r="I1482" s="11" t="inlineStr">
        <is>
          <t>cite</t>
        </is>
      </c>
      <c r="J1482" s="11" t="inlineStr">
        <is>
          <t>no</t>
        </is>
      </c>
      <c r="K1482" s="11" t="inlineStr">
        <is>
          <t>no</t>
        </is>
      </c>
      <c r="L1482" s="11" t="inlineStr"/>
    </row>
    <row r="1483">
      <c r="A1483" s="11" t="inlineStr">
        <is>
          <t>1480</t>
        </is>
      </c>
      <c r="B1483" s="11" t="inlineStr">
        <is>
          <t>228</t>
        </is>
      </c>
      <c r="C1483" s="11" t="inlineStr">
        <is>
          <t>HC/tribunal/other</t>
        </is>
      </c>
      <c r="D1483" s="11" t="inlineStr">
        <is>
          <t>yes</t>
        </is>
      </c>
      <c r="E1483" s="11" t="inlineStr">
        <is>
          <t>no</t>
        </is>
      </c>
      <c r="F1483" s="11" t="inlineStr"/>
      <c r="G1483" s="11" t="inlineStr"/>
      <c r="H1483" s="11" t="inlineStr">
        <is>
          <t>c33944</t>
        </is>
      </c>
      <c r="I1483" s="11" t="inlineStr">
        <is>
          <t>cite</t>
        </is>
      </c>
      <c r="J1483" s="11" t="inlineStr">
        <is>
          <t>no</t>
        </is>
      </c>
      <c r="K1483" s="11" t="inlineStr">
        <is>
          <t>no</t>
        </is>
      </c>
      <c r="L1483" s="11" t="inlineStr"/>
    </row>
    <row r="1484">
      <c r="A1484" s="11" t="inlineStr">
        <is>
          <t>1481</t>
        </is>
      </c>
      <c r="B1484" s="11" t="inlineStr">
        <is>
          <t>228</t>
        </is>
      </c>
      <c r="C1484" s="11" t="inlineStr">
        <is>
          <t>HC/tribunal/other</t>
        </is>
      </c>
      <c r="D1484" s="11" t="inlineStr">
        <is>
          <t>yes</t>
        </is>
      </c>
      <c r="E1484" s="11" t="inlineStr">
        <is>
          <t>no</t>
        </is>
      </c>
      <c r="F1484" s="11" t="inlineStr"/>
      <c r="G1484" s="11" t="inlineStr"/>
      <c r="H1484" s="11" t="inlineStr"/>
      <c r="I1484" s="11" t="inlineStr"/>
      <c r="J1484" s="11" t="inlineStr">
        <is>
          <t>no</t>
        </is>
      </c>
      <c r="K1484" s="11" t="inlineStr">
        <is>
          <t>no</t>
        </is>
      </c>
      <c r="L1484" s="11" t="inlineStr"/>
    </row>
    <row r="1485">
      <c r="A1485" s="11" t="inlineStr">
        <is>
          <t>1482</t>
        </is>
      </c>
      <c r="B1485" s="11" t="inlineStr">
        <is>
          <t>228</t>
        </is>
      </c>
      <c r="C1485" s="11" t="inlineStr">
        <is>
          <t>HC/tribunal/other</t>
        </is>
      </c>
      <c r="D1485" s="11" t="inlineStr">
        <is>
          <t>no</t>
        </is>
      </c>
      <c r="E1485" s="11" t="inlineStr">
        <is>
          <t>yes</t>
        </is>
      </c>
      <c r="F1485" s="11" t="inlineStr"/>
      <c r="G1485" s="11" t="inlineStr"/>
      <c r="H1485" s="11" t="inlineStr">
        <is>
          <t>c8882</t>
        </is>
      </c>
      <c r="I1485" s="11" t="inlineStr">
        <is>
          <t>cite</t>
        </is>
      </c>
      <c r="J1485" s="11" t="inlineStr">
        <is>
          <t>no</t>
        </is>
      </c>
      <c r="K1485" s="11" t="inlineStr">
        <is>
          <t>no</t>
        </is>
      </c>
      <c r="L1485" s="11" t="inlineStr"/>
    </row>
    <row r="1486">
      <c r="A1486" s="11" t="inlineStr">
        <is>
          <t>1483</t>
        </is>
      </c>
      <c r="B1486" s="11" t="inlineStr">
        <is>
          <t>229</t>
        </is>
      </c>
      <c r="C1486" s="11" t="inlineStr">
        <is>
          <t>HC/tribunal/other</t>
        </is>
      </c>
      <c r="D1486" s="11" t="inlineStr">
        <is>
          <t>no</t>
        </is>
      </c>
      <c r="E1486" s="11" t="inlineStr">
        <is>
          <t>yes</t>
        </is>
      </c>
      <c r="F1486" s="11" t="inlineStr"/>
      <c r="G1486" s="11" t="inlineStr"/>
      <c r="H1486" s="11" t="inlineStr">
        <is>
          <t>c12377</t>
        </is>
      </c>
      <c r="I1486" s="11" t="inlineStr">
        <is>
          <t>cite</t>
        </is>
      </c>
      <c r="J1486" s="11" t="inlineStr">
        <is>
          <t>no</t>
        </is>
      </c>
      <c r="K1486" s="11" t="inlineStr">
        <is>
          <t>no</t>
        </is>
      </c>
      <c r="L1486" s="11" t="inlineStr"/>
    </row>
    <row r="1487">
      <c r="A1487" s="11" t="inlineStr">
        <is>
          <t>1484</t>
        </is>
      </c>
      <c r="B1487" s="11" t="inlineStr">
        <is>
          <t>229</t>
        </is>
      </c>
      <c r="C1487" s="11" t="inlineStr">
        <is>
          <t>HC/tribunal/other</t>
        </is>
      </c>
      <c r="D1487" s="11" t="inlineStr">
        <is>
          <t>no</t>
        </is>
      </c>
      <c r="E1487" s="11" t="inlineStr">
        <is>
          <t>yes</t>
        </is>
      </c>
      <c r="F1487" s="11" t="inlineStr"/>
      <c r="G1487" s="11" t="inlineStr"/>
      <c r="H1487" s="11" t="inlineStr">
        <is>
          <t>c9005</t>
        </is>
      </c>
      <c r="I1487" s="11" t="inlineStr">
        <is>
          <t>cite</t>
        </is>
      </c>
      <c r="J1487" s="11" t="inlineStr">
        <is>
          <t>no</t>
        </is>
      </c>
      <c r="K1487" s="11" t="inlineStr">
        <is>
          <t>no</t>
        </is>
      </c>
      <c r="L1487" s="11" t="inlineStr"/>
    </row>
    <row r="1488">
      <c r="A1488" s="11" t="inlineStr">
        <is>
          <t>1485</t>
        </is>
      </c>
      <c r="B1488" s="11" t="inlineStr">
        <is>
          <t>229</t>
        </is>
      </c>
      <c r="C1488" s="11" t="inlineStr">
        <is>
          <t>HC/tribunal/other</t>
        </is>
      </c>
      <c r="D1488" s="11" t="inlineStr">
        <is>
          <t>no</t>
        </is>
      </c>
      <c r="E1488" s="11" t="inlineStr">
        <is>
          <t>yes</t>
        </is>
      </c>
      <c r="F1488" s="11" t="inlineStr"/>
      <c r="G1488" s="11" t="inlineStr"/>
      <c r="H1488" s="11" t="inlineStr">
        <is>
          <t>c12017</t>
        </is>
      </c>
      <c r="I1488" s="11" t="inlineStr">
        <is>
          <t>cite</t>
        </is>
      </c>
      <c r="J1488" s="11" t="inlineStr">
        <is>
          <t>no</t>
        </is>
      </c>
      <c r="K1488" s="11" t="inlineStr">
        <is>
          <t>no</t>
        </is>
      </c>
      <c r="L1488" s="11" t="inlineStr"/>
    </row>
    <row r="1489">
      <c r="A1489" s="11" t="inlineStr">
        <is>
          <t>1486</t>
        </is>
      </c>
      <c r="B1489" s="11" t="inlineStr">
        <is>
          <t>229</t>
        </is>
      </c>
      <c r="C1489" s="11" t="inlineStr">
        <is>
          <t>HC/tribunal/other</t>
        </is>
      </c>
      <c r="D1489" s="11" t="inlineStr">
        <is>
          <t>yes</t>
        </is>
      </c>
      <c r="E1489" s="11" t="inlineStr">
        <is>
          <t>no</t>
        </is>
      </c>
      <c r="F1489" s="11" t="inlineStr"/>
      <c r="G1489" s="11" t="inlineStr"/>
      <c r="H1489" s="11" t="inlineStr">
        <is>
          <t>c9011</t>
        </is>
      </c>
      <c r="I1489" s="11" t="inlineStr">
        <is>
          <t>cite</t>
        </is>
      </c>
      <c r="J1489" s="11" t="inlineStr">
        <is>
          <t>no</t>
        </is>
      </c>
      <c r="K1489" s="11" t="inlineStr">
        <is>
          <t>no</t>
        </is>
      </c>
      <c r="L1489" s="11" t="inlineStr"/>
    </row>
    <row r="1490">
      <c r="A1490" s="11" t="inlineStr">
        <is>
          <t>1487</t>
        </is>
      </c>
      <c r="B1490" s="11" t="inlineStr">
        <is>
          <t>229</t>
        </is>
      </c>
      <c r="C1490" s="11" t="inlineStr">
        <is>
          <t>HC/tribunal/other</t>
        </is>
      </c>
      <c r="D1490" s="11" t="inlineStr">
        <is>
          <t>yes</t>
        </is>
      </c>
      <c r="E1490" s="11" t="inlineStr">
        <is>
          <t>no</t>
        </is>
      </c>
      <c r="F1490" s="11" t="inlineStr"/>
      <c r="G1490" s="11" t="inlineStr"/>
      <c r="H1490" s="11" t="inlineStr">
        <is>
          <t>c9902</t>
        </is>
      </c>
      <c r="I1490" s="11" t="inlineStr">
        <is>
          <t>cite</t>
        </is>
      </c>
      <c r="J1490" s="11" t="inlineStr">
        <is>
          <t>no</t>
        </is>
      </c>
      <c r="K1490" s="11" t="inlineStr">
        <is>
          <t>no</t>
        </is>
      </c>
      <c r="L1490" s="11" t="inlineStr"/>
    </row>
    <row r="1491">
      <c r="A1491" s="11" t="inlineStr">
        <is>
          <t>1488</t>
        </is>
      </c>
      <c r="B1491" s="11" t="inlineStr">
        <is>
          <t>229</t>
        </is>
      </c>
      <c r="C1491" s="11" t="inlineStr">
        <is>
          <t>HC/tribunal/other</t>
        </is>
      </c>
      <c r="D1491" s="11" t="inlineStr">
        <is>
          <t>yes</t>
        </is>
      </c>
      <c r="E1491" s="11" t="inlineStr">
        <is>
          <t>no</t>
        </is>
      </c>
      <c r="F1491" s="11" t="inlineStr"/>
      <c r="G1491" s="11" t="inlineStr"/>
      <c r="H1491" s="11" t="inlineStr">
        <is>
          <t>c9590</t>
        </is>
      </c>
      <c r="I1491" s="11" t="inlineStr">
        <is>
          <t>cite</t>
        </is>
      </c>
      <c r="J1491" s="11" t="inlineStr">
        <is>
          <t>no</t>
        </is>
      </c>
      <c r="K1491" s="11" t="inlineStr">
        <is>
          <t>no</t>
        </is>
      </c>
      <c r="L1491" s="11" t="inlineStr"/>
    </row>
    <row r="1492">
      <c r="A1492" s="11" t="inlineStr">
        <is>
          <t>1489</t>
        </is>
      </c>
      <c r="B1492" s="11" t="inlineStr">
        <is>
          <t>229</t>
        </is>
      </c>
      <c r="C1492" s="11" t="inlineStr">
        <is>
          <t>HC/tribunal/other</t>
        </is>
      </c>
      <c r="D1492" s="11" t="inlineStr">
        <is>
          <t>yes</t>
        </is>
      </c>
      <c r="E1492" s="11" t="inlineStr">
        <is>
          <t>no</t>
        </is>
      </c>
      <c r="F1492" s="11" t="inlineStr"/>
      <c r="G1492" s="11" t="inlineStr"/>
      <c r="H1492" s="11" t="inlineStr">
        <is>
          <t>c15888</t>
        </is>
      </c>
      <c r="I1492" s="11" t="inlineStr">
        <is>
          <t>cite</t>
        </is>
      </c>
      <c r="J1492" s="11" t="inlineStr">
        <is>
          <t>no</t>
        </is>
      </c>
      <c r="K1492" s="11" t="inlineStr">
        <is>
          <t>no</t>
        </is>
      </c>
      <c r="L1492" s="11" t="inlineStr"/>
    </row>
    <row r="1493">
      <c r="A1493" s="11" t="inlineStr">
        <is>
          <t>1490</t>
        </is>
      </c>
      <c r="B1493" s="11" t="inlineStr">
        <is>
          <t>230</t>
        </is>
      </c>
      <c r="C1493" s="11" t="inlineStr">
        <is>
          <t>HC/tribunal/other</t>
        </is>
      </c>
      <c r="D1493" s="11" t="inlineStr">
        <is>
          <t>no</t>
        </is>
      </c>
      <c r="E1493" s="11" t="inlineStr">
        <is>
          <t>no</t>
        </is>
      </c>
      <c r="F1493" s="11" t="inlineStr"/>
      <c r="G1493" s="11" t="inlineStr"/>
      <c r="H1493" s="11" t="inlineStr">
        <is>
          <t>bS_1994_2_495_503</t>
        </is>
      </c>
      <c r="I1493" s="11" t="inlineStr">
        <is>
          <t>name</t>
        </is>
      </c>
      <c r="J1493" s="11" t="inlineStr">
        <is>
          <t>no</t>
        </is>
      </c>
      <c r="K1493" s="11" t="inlineStr">
        <is>
          <t>no</t>
        </is>
      </c>
      <c r="L1493" s="11" t="inlineStr"/>
    </row>
    <row r="1494">
      <c r="A1494" s="11" t="inlineStr">
        <is>
          <t>1491</t>
        </is>
      </c>
      <c r="B1494" s="11" t="inlineStr">
        <is>
          <t>230</t>
        </is>
      </c>
      <c r="C1494" s="11" t="inlineStr">
        <is>
          <t>HC/tribunal/other</t>
        </is>
      </c>
      <c r="D1494" s="11" t="inlineStr">
        <is>
          <t>yes</t>
        </is>
      </c>
      <c r="E1494" s="11" t="inlineStr">
        <is>
          <t>no</t>
        </is>
      </c>
      <c r="F1494" s="11" t="inlineStr"/>
      <c r="G1494" s="11" t="inlineStr"/>
      <c r="H1494" s="11" t="inlineStr">
        <is>
          <t>c8901</t>
        </is>
      </c>
      <c r="I1494" s="11" t="inlineStr">
        <is>
          <t>cite</t>
        </is>
      </c>
      <c r="J1494" s="11" t="inlineStr">
        <is>
          <t>no</t>
        </is>
      </c>
      <c r="K1494" s="11" t="inlineStr">
        <is>
          <t>no</t>
        </is>
      </c>
      <c r="L1494" s="11" t="inlineStr"/>
    </row>
    <row r="1495">
      <c r="A1495" s="11" t="inlineStr">
        <is>
          <t>1492</t>
        </is>
      </c>
      <c r="B1495" s="11" t="inlineStr">
        <is>
          <t>230</t>
        </is>
      </c>
      <c r="C1495" s="11" t="inlineStr">
        <is>
          <t>HC/tribunal/other</t>
        </is>
      </c>
      <c r="D1495" s="11" t="inlineStr">
        <is>
          <t>no</t>
        </is>
      </c>
      <c r="E1495" s="11" t="inlineStr">
        <is>
          <t>yes</t>
        </is>
      </c>
      <c r="F1495" s="11" t="inlineStr"/>
      <c r="G1495" s="11" t="inlineStr"/>
      <c r="H1495" s="11" t="inlineStr">
        <is>
          <t>b1995_2_369_373</t>
        </is>
      </c>
      <c r="I1495" s="11" t="inlineStr">
        <is>
          <t>cite</t>
        </is>
      </c>
      <c r="J1495" s="11" t="inlineStr">
        <is>
          <t>no</t>
        </is>
      </c>
      <c r="K1495" s="11" t="inlineStr">
        <is>
          <t>no</t>
        </is>
      </c>
      <c r="L1495" s="11" t="inlineStr"/>
    </row>
    <row r="1496">
      <c r="A1496" s="11" t="inlineStr">
        <is>
          <t>1493</t>
        </is>
      </c>
      <c r="B1496" s="11" t="inlineStr">
        <is>
          <t>230</t>
        </is>
      </c>
      <c r="C1496" s="11" t="inlineStr">
        <is>
          <t>HC/tribunal/other</t>
        </is>
      </c>
      <c r="D1496" s="11" t="inlineStr">
        <is>
          <t>no</t>
        </is>
      </c>
      <c r="E1496" s="11" t="inlineStr">
        <is>
          <t>no</t>
        </is>
      </c>
      <c r="F1496" s="11" t="inlineStr"/>
      <c r="G1496" s="11" t="inlineStr"/>
      <c r="H1496" s="11" t="inlineStr"/>
      <c r="I1496" s="11" t="inlineStr"/>
      <c r="J1496" s="11" t="inlineStr">
        <is>
          <t>no</t>
        </is>
      </c>
      <c r="K1496" s="11" t="inlineStr">
        <is>
          <t>no</t>
        </is>
      </c>
      <c r="L1496" s="11" t="inlineStr"/>
    </row>
    <row r="1497">
      <c r="A1497" s="11" t="inlineStr">
        <is>
          <t>1494</t>
        </is>
      </c>
      <c r="B1497" s="11" t="inlineStr">
        <is>
          <t>230</t>
        </is>
      </c>
      <c r="C1497" s="11" t="inlineStr">
        <is>
          <t>HC/tribunal/other</t>
        </is>
      </c>
      <c r="D1497" s="11" t="inlineStr">
        <is>
          <t>no</t>
        </is>
      </c>
      <c r="E1497" s="11" t="inlineStr">
        <is>
          <t>yes</t>
        </is>
      </c>
      <c r="F1497" s="11" t="inlineStr"/>
      <c r="G1497" s="11" t="inlineStr"/>
      <c r="H1497" s="11" t="inlineStr">
        <is>
          <t>c8303</t>
        </is>
      </c>
      <c r="I1497" s="11" t="inlineStr">
        <is>
          <t>cite</t>
        </is>
      </c>
      <c r="J1497" s="11" t="inlineStr">
        <is>
          <t>no</t>
        </is>
      </c>
      <c r="K1497" s="11" t="inlineStr">
        <is>
          <t>no</t>
        </is>
      </c>
      <c r="L1497" s="11" t="inlineStr"/>
    </row>
    <row r="1498">
      <c r="A1498" s="11" t="inlineStr">
        <is>
          <t>1495</t>
        </is>
      </c>
      <c r="B1498" s="11" t="inlineStr">
        <is>
          <t>230</t>
        </is>
      </c>
      <c r="C1498" s="11" t="inlineStr">
        <is>
          <t>HC/tribunal/other</t>
        </is>
      </c>
      <c r="D1498" s="11" t="inlineStr">
        <is>
          <t>no</t>
        </is>
      </c>
      <c r="E1498" s="11" t="inlineStr">
        <is>
          <t>no</t>
        </is>
      </c>
      <c r="F1498" s="11" t="inlineStr"/>
      <c r="G1498" s="11" t="inlineStr"/>
      <c r="H1498" s="11" t="inlineStr">
        <is>
          <t>c15972</t>
        </is>
      </c>
      <c r="I1498" s="11" t="inlineStr">
        <is>
          <t>cite</t>
        </is>
      </c>
      <c r="J1498" s="11" t="inlineStr">
        <is>
          <t>no</t>
        </is>
      </c>
      <c r="K1498" s="11" t="inlineStr">
        <is>
          <t>no</t>
        </is>
      </c>
      <c r="L1498" s="11" t="inlineStr"/>
    </row>
    <row r="1499">
      <c r="A1499" s="11" t="inlineStr">
        <is>
          <t>1496</t>
        </is>
      </c>
      <c r="B1499" s="11" t="inlineStr">
        <is>
          <t>230</t>
        </is>
      </c>
      <c r="C1499" s="11" t="inlineStr">
        <is>
          <t>HC/tribunal/other</t>
        </is>
      </c>
      <c r="D1499" s="11" t="inlineStr">
        <is>
          <t>no</t>
        </is>
      </c>
      <c r="E1499" s="11" t="inlineStr">
        <is>
          <t>no</t>
        </is>
      </c>
      <c r="F1499" s="11" t="inlineStr"/>
      <c r="G1499" s="11" t="inlineStr"/>
      <c r="H1499" s="11" t="inlineStr">
        <is>
          <t>c14828</t>
        </is>
      </c>
      <c r="I1499" s="11" t="inlineStr">
        <is>
          <t>name</t>
        </is>
      </c>
      <c r="J1499" s="11" t="inlineStr">
        <is>
          <t>no</t>
        </is>
      </c>
      <c r="K1499" s="11" t="inlineStr">
        <is>
          <t>no</t>
        </is>
      </c>
      <c r="L1499" s="11" t="inlineStr"/>
    </row>
    <row r="1500">
      <c r="A1500" s="11" t="inlineStr">
        <is>
          <t>1497</t>
        </is>
      </c>
      <c r="B1500" s="11" t="inlineStr">
        <is>
          <t>231</t>
        </is>
      </c>
      <c r="C1500" s="11" t="inlineStr">
        <is>
          <t>HC/tribunal/other</t>
        </is>
      </c>
      <c r="D1500" s="11" t="inlineStr">
        <is>
          <t>no</t>
        </is>
      </c>
      <c r="E1500" s="11" t="inlineStr">
        <is>
          <t>yes</t>
        </is>
      </c>
      <c r="F1500" s="11" t="inlineStr"/>
      <c r="G1500" s="11" t="inlineStr"/>
      <c r="H1500" s="11" t="inlineStr">
        <is>
          <t>bS_1999_3_348_358</t>
        </is>
      </c>
      <c r="I1500" s="11" t="inlineStr">
        <is>
          <t>name</t>
        </is>
      </c>
      <c r="J1500" s="11" t="inlineStr">
        <is>
          <t>no</t>
        </is>
      </c>
      <c r="K1500" s="11" t="inlineStr">
        <is>
          <t>no</t>
        </is>
      </c>
      <c r="L1500" s="11" t="inlineStr"/>
    </row>
    <row r="1501">
      <c r="A1501" s="11" t="inlineStr">
        <is>
          <t>1498</t>
        </is>
      </c>
      <c r="B1501" s="11" t="inlineStr">
        <is>
          <t>231</t>
        </is>
      </c>
      <c r="C1501" s="11" t="inlineStr">
        <is>
          <t>HC/tribunal/other</t>
        </is>
      </c>
      <c r="D1501" s="11" t="inlineStr">
        <is>
          <t>no</t>
        </is>
      </c>
      <c r="E1501" s="11" t="inlineStr">
        <is>
          <t>no</t>
        </is>
      </c>
      <c r="F1501" s="11" t="inlineStr"/>
      <c r="G1501" s="11" t="inlineStr"/>
      <c r="H1501" s="11" t="inlineStr">
        <is>
          <t>c20798</t>
        </is>
      </c>
      <c r="I1501" s="11" t="inlineStr">
        <is>
          <t>cite</t>
        </is>
      </c>
      <c r="J1501" s="11" t="inlineStr">
        <is>
          <t>no</t>
        </is>
      </c>
      <c r="K1501" s="11" t="inlineStr">
        <is>
          <t>no</t>
        </is>
      </c>
      <c r="L1501" s="11" t="inlineStr"/>
    </row>
    <row r="1502">
      <c r="A1502" s="11" t="inlineStr">
        <is>
          <t>1499</t>
        </is>
      </c>
      <c r="B1502" s="11" t="inlineStr">
        <is>
          <t>231</t>
        </is>
      </c>
      <c r="C1502" s="11" t="inlineStr">
        <is>
          <t>HC/tribunal/other</t>
        </is>
      </c>
      <c r="D1502" s="11" t="inlineStr">
        <is>
          <t>no</t>
        </is>
      </c>
      <c r="E1502" s="11" t="inlineStr">
        <is>
          <t>no</t>
        </is>
      </c>
      <c r="F1502" s="11" t="inlineStr"/>
      <c r="G1502" s="11" t="inlineStr"/>
      <c r="H1502" s="11" t="inlineStr">
        <is>
          <t>c27028</t>
        </is>
      </c>
      <c r="I1502" s="11" t="inlineStr">
        <is>
          <t>name</t>
        </is>
      </c>
      <c r="J1502" s="11" t="inlineStr">
        <is>
          <t>no</t>
        </is>
      </c>
      <c r="K1502" s="11" t="inlineStr">
        <is>
          <t>no</t>
        </is>
      </c>
      <c r="L1502" s="11" t="inlineStr"/>
    </row>
    <row r="1503">
      <c r="A1503" s="11" t="inlineStr">
        <is>
          <t>1500</t>
        </is>
      </c>
      <c r="B1503" s="11" t="inlineStr">
        <is>
          <t>231</t>
        </is>
      </c>
      <c r="C1503" s="11" t="inlineStr">
        <is>
          <t>HC/tribunal/other</t>
        </is>
      </c>
      <c r="D1503" s="11" t="inlineStr">
        <is>
          <t>no</t>
        </is>
      </c>
      <c r="E1503" s="11" t="inlineStr">
        <is>
          <t>yes</t>
        </is>
      </c>
      <c r="F1503" s="11" t="inlineStr"/>
      <c r="G1503" s="11" t="inlineStr"/>
      <c r="H1503" s="11" t="inlineStr">
        <is>
          <t>c8303</t>
        </is>
      </c>
      <c r="I1503" s="11" t="inlineStr">
        <is>
          <t>cite</t>
        </is>
      </c>
      <c r="J1503" s="11" t="inlineStr">
        <is>
          <t>no</t>
        </is>
      </c>
      <c r="K1503" s="11" t="inlineStr">
        <is>
          <t>no</t>
        </is>
      </c>
      <c r="L1503" s="11" t="inlineStr"/>
    </row>
    <row r="1504">
      <c r="A1504" s="11" t="inlineStr">
        <is>
          <t>1501</t>
        </is>
      </c>
      <c r="B1504" s="11" t="inlineStr">
        <is>
          <t>231</t>
        </is>
      </c>
      <c r="C1504" s="11" t="inlineStr">
        <is>
          <t>HC/tribunal/other</t>
        </is>
      </c>
      <c r="D1504" s="11" t="inlineStr">
        <is>
          <t>yes</t>
        </is>
      </c>
      <c r="E1504" s="11" t="inlineStr">
        <is>
          <t>no</t>
        </is>
      </c>
      <c r="F1504" s="11" t="inlineStr"/>
      <c r="G1504" s="11" t="inlineStr"/>
      <c r="H1504" s="11" t="inlineStr"/>
      <c r="I1504" s="11" t="inlineStr"/>
      <c r="J1504" s="11" t="inlineStr">
        <is>
          <t>no</t>
        </is>
      </c>
      <c r="K1504" s="11" t="inlineStr">
        <is>
          <t>no</t>
        </is>
      </c>
      <c r="L1504" s="11" t="inlineStr"/>
    </row>
    <row r="1505">
      <c r="A1505" s="11" t="inlineStr">
        <is>
          <t>1502</t>
        </is>
      </c>
      <c r="B1505" s="11" t="inlineStr">
        <is>
          <t>232</t>
        </is>
      </c>
      <c r="C1505" s="11" t="inlineStr">
        <is>
          <t>HC/tribunal/other</t>
        </is>
      </c>
      <c r="D1505" s="11" t="inlineStr">
        <is>
          <t>yes</t>
        </is>
      </c>
      <c r="E1505" s="11" t="inlineStr">
        <is>
          <t>no</t>
        </is>
      </c>
      <c r="F1505" s="11" t="inlineStr"/>
      <c r="G1505" s="11" t="inlineStr"/>
      <c r="H1505" s="11" t="inlineStr">
        <is>
          <t>c39084</t>
        </is>
      </c>
      <c r="I1505" s="11" t="inlineStr">
        <is>
          <t>name</t>
        </is>
      </c>
      <c r="J1505" s="11" t="inlineStr">
        <is>
          <t>no</t>
        </is>
      </c>
      <c r="K1505" s="11" t="inlineStr">
        <is>
          <t>no</t>
        </is>
      </c>
      <c r="L1505" s="11" t="inlineStr"/>
    </row>
    <row r="1506">
      <c r="A1506" s="11" t="inlineStr">
        <is>
          <t>1503</t>
        </is>
      </c>
      <c r="B1506" s="11" t="inlineStr">
        <is>
          <t>232</t>
        </is>
      </c>
      <c r="C1506" s="11" t="inlineStr">
        <is>
          <t>HC/tribunal/other</t>
        </is>
      </c>
      <c r="D1506" s="11" t="inlineStr">
        <is>
          <t>yes</t>
        </is>
      </c>
      <c r="E1506" s="11" t="inlineStr">
        <is>
          <t>no</t>
        </is>
      </c>
      <c r="F1506" s="11" t="inlineStr"/>
      <c r="G1506" s="11" t="inlineStr"/>
      <c r="H1506" s="11" t="inlineStr">
        <is>
          <t>c14387</t>
        </is>
      </c>
      <c r="I1506" s="11" t="inlineStr">
        <is>
          <t>cite</t>
        </is>
      </c>
      <c r="J1506" s="11" t="inlineStr">
        <is>
          <t>yes</t>
        </is>
      </c>
      <c r="K1506" s="11" t="inlineStr">
        <is>
          <t>no</t>
        </is>
      </c>
      <c r="L1506" s="11" t="inlineStr"/>
    </row>
    <row r="1507">
      <c r="A1507" s="11" t="inlineStr">
        <is>
          <t>1504</t>
        </is>
      </c>
      <c r="B1507" s="11" t="inlineStr">
        <is>
          <t>232</t>
        </is>
      </c>
      <c r="C1507" s="11" t="inlineStr">
        <is>
          <t>HC/tribunal/other</t>
        </is>
      </c>
      <c r="D1507" s="11" t="inlineStr">
        <is>
          <t>yes</t>
        </is>
      </c>
      <c r="E1507" s="11" t="inlineStr">
        <is>
          <t>no</t>
        </is>
      </c>
      <c r="F1507" s="11" t="inlineStr"/>
      <c r="G1507" s="11" t="inlineStr"/>
      <c r="H1507" s="11" t="inlineStr">
        <is>
          <t>c26741</t>
        </is>
      </c>
      <c r="I1507" s="11" t="inlineStr">
        <is>
          <t>cite</t>
        </is>
      </c>
      <c r="J1507" s="11" t="inlineStr">
        <is>
          <t>no</t>
        </is>
      </c>
      <c r="K1507" s="11" t="inlineStr">
        <is>
          <t>no</t>
        </is>
      </c>
      <c r="L1507" s="11" t="inlineStr"/>
    </row>
    <row r="1508">
      <c r="A1508" s="11" t="inlineStr">
        <is>
          <t>1505</t>
        </is>
      </c>
      <c r="B1508" s="11" t="inlineStr">
        <is>
          <t>232</t>
        </is>
      </c>
      <c r="C1508" s="11" t="inlineStr">
        <is>
          <t>HC/tribunal/other</t>
        </is>
      </c>
      <c r="D1508" s="11" t="inlineStr">
        <is>
          <t>no</t>
        </is>
      </c>
      <c r="E1508" s="11" t="inlineStr">
        <is>
          <t>no</t>
        </is>
      </c>
      <c r="F1508" s="11" t="inlineStr"/>
      <c r="G1508" s="11" t="inlineStr"/>
      <c r="H1508" s="11" t="inlineStr">
        <is>
          <t>c20295</t>
        </is>
      </c>
      <c r="I1508" s="11" t="inlineStr">
        <is>
          <t>name</t>
        </is>
      </c>
      <c r="J1508" s="11" t="inlineStr">
        <is>
          <t>no</t>
        </is>
      </c>
      <c r="K1508" s="11" t="inlineStr">
        <is>
          <t>no</t>
        </is>
      </c>
      <c r="L1508" s="11" t="inlineStr"/>
    </row>
    <row r="1509">
      <c r="A1509" s="11" t="inlineStr">
        <is>
          <t>1506</t>
        </is>
      </c>
      <c r="B1509" s="11" t="inlineStr">
        <is>
          <t>232</t>
        </is>
      </c>
      <c r="C1509" s="11" t="inlineStr">
        <is>
          <t>HC/tribunal/other</t>
        </is>
      </c>
      <c r="D1509" s="11" t="inlineStr">
        <is>
          <t>yes</t>
        </is>
      </c>
      <c r="E1509" s="11" t="inlineStr">
        <is>
          <t>no</t>
        </is>
      </c>
      <c r="F1509" s="11" t="inlineStr"/>
      <c r="G1509" s="11" t="inlineStr"/>
      <c r="H1509" s="11" t="inlineStr">
        <is>
          <t>c29303</t>
        </is>
      </c>
      <c r="I1509" s="11" t="inlineStr">
        <is>
          <t>cite</t>
        </is>
      </c>
      <c r="J1509" s="11" t="inlineStr">
        <is>
          <t>no</t>
        </is>
      </c>
      <c r="K1509" s="11" t="inlineStr">
        <is>
          <t>no</t>
        </is>
      </c>
      <c r="L1509" s="11" t="inlineStr"/>
    </row>
    <row r="1510">
      <c r="A1510" s="11" t="inlineStr">
        <is>
          <t>1507</t>
        </is>
      </c>
      <c r="B1510" s="11" t="inlineStr">
        <is>
          <t>232</t>
        </is>
      </c>
      <c r="C1510" s="11" t="inlineStr">
        <is>
          <t>HC/tribunal/other</t>
        </is>
      </c>
      <c r="D1510" s="11" t="inlineStr">
        <is>
          <t>no</t>
        </is>
      </c>
      <c r="E1510" s="11" t="inlineStr">
        <is>
          <t>no</t>
        </is>
      </c>
      <c r="F1510" s="11" t="inlineStr"/>
      <c r="G1510" s="11" t="inlineStr"/>
      <c r="H1510" s="11" t="inlineStr"/>
      <c r="I1510" s="11" t="inlineStr"/>
      <c r="J1510" s="11" t="inlineStr">
        <is>
          <t>no</t>
        </is>
      </c>
      <c r="K1510" s="11" t="inlineStr">
        <is>
          <t>no</t>
        </is>
      </c>
      <c r="L1510" s="11" t="inlineStr"/>
    </row>
    <row r="1511">
      <c r="A1511" s="11" t="inlineStr">
        <is>
          <t>1508</t>
        </is>
      </c>
      <c r="B1511" s="11" t="inlineStr">
        <is>
          <t>233</t>
        </is>
      </c>
      <c r="C1511" s="11" t="inlineStr">
        <is>
          <t>HC/tribunal/other</t>
        </is>
      </c>
      <c r="D1511" s="11" t="inlineStr">
        <is>
          <t>no</t>
        </is>
      </c>
      <c r="E1511" s="11" t="inlineStr">
        <is>
          <t>no</t>
        </is>
      </c>
      <c r="F1511" s="11" t="inlineStr"/>
      <c r="G1511" s="11" t="inlineStr"/>
      <c r="H1511" s="11" t="inlineStr">
        <is>
          <t>c27476</t>
        </is>
      </c>
      <c r="I1511" s="11" t="inlineStr">
        <is>
          <t>name</t>
        </is>
      </c>
      <c r="J1511" s="11" t="inlineStr">
        <is>
          <t>no</t>
        </is>
      </c>
      <c r="K1511" s="11" t="inlineStr">
        <is>
          <t>no</t>
        </is>
      </c>
      <c r="L1511" s="11" t="inlineStr"/>
    </row>
    <row r="1512">
      <c r="A1512" s="11" t="inlineStr">
        <is>
          <t>1509</t>
        </is>
      </c>
      <c r="B1512" s="11" t="inlineStr">
        <is>
          <t>233</t>
        </is>
      </c>
      <c r="C1512" s="11" t="inlineStr">
        <is>
          <t>HC/tribunal/other</t>
        </is>
      </c>
      <c r="D1512" s="11" t="inlineStr">
        <is>
          <t>no</t>
        </is>
      </c>
      <c r="E1512" s="11" t="inlineStr">
        <is>
          <t>no</t>
        </is>
      </c>
      <c r="F1512" s="11" t="inlineStr"/>
      <c r="G1512" s="11" t="inlineStr"/>
      <c r="H1512" s="11" t="inlineStr">
        <is>
          <t>bS_1999_5_403_421</t>
        </is>
      </c>
      <c r="I1512" s="11" t="inlineStr">
        <is>
          <t>name</t>
        </is>
      </c>
      <c r="J1512" s="11" t="inlineStr">
        <is>
          <t>no</t>
        </is>
      </c>
      <c r="K1512" s="11" t="inlineStr">
        <is>
          <t>no</t>
        </is>
      </c>
      <c r="L1512" s="11" t="inlineStr"/>
    </row>
    <row r="1513">
      <c r="A1513" s="11" t="inlineStr">
        <is>
          <t>1510</t>
        </is>
      </c>
      <c r="B1513" s="11" t="inlineStr">
        <is>
          <t>233</t>
        </is>
      </c>
      <c r="C1513" s="11" t="inlineStr">
        <is>
          <t>HC/tribunal/other</t>
        </is>
      </c>
      <c r="D1513" s="11" t="inlineStr">
        <is>
          <t>no</t>
        </is>
      </c>
      <c r="E1513" s="11" t="inlineStr">
        <is>
          <t>yes</t>
        </is>
      </c>
      <c r="F1513" s="11" t="inlineStr"/>
      <c r="G1513" s="11" t="inlineStr"/>
      <c r="H1513" s="11" t="inlineStr">
        <is>
          <t>c38689</t>
        </is>
      </c>
      <c r="I1513" s="11" t="inlineStr">
        <is>
          <t>name</t>
        </is>
      </c>
      <c r="J1513" s="11" t="inlineStr">
        <is>
          <t>no</t>
        </is>
      </c>
      <c r="K1513" s="11" t="inlineStr">
        <is>
          <t>no</t>
        </is>
      </c>
      <c r="L1513" s="11" t="inlineStr"/>
    </row>
    <row r="1514">
      <c r="A1514" s="11" t="inlineStr">
        <is>
          <t>1511</t>
        </is>
      </c>
      <c r="B1514" s="11" t="inlineStr">
        <is>
          <t>233</t>
        </is>
      </c>
      <c r="C1514" s="11" t="inlineStr">
        <is>
          <t>HC/tribunal/other</t>
        </is>
      </c>
      <c r="D1514" s="11" t="inlineStr">
        <is>
          <t>yes</t>
        </is>
      </c>
      <c r="E1514" s="11" t="inlineStr">
        <is>
          <t>no</t>
        </is>
      </c>
      <c r="F1514" s="11" t="inlineStr"/>
      <c r="G1514" s="11" t="inlineStr"/>
      <c r="H1514" s="11" t="inlineStr">
        <is>
          <t>c38843</t>
        </is>
      </c>
      <c r="I1514" s="11" t="inlineStr">
        <is>
          <t>name</t>
        </is>
      </c>
      <c r="J1514" s="11" t="inlineStr">
        <is>
          <t>no</t>
        </is>
      </c>
      <c r="K1514" s="11" t="inlineStr">
        <is>
          <t>no</t>
        </is>
      </c>
      <c r="L1514" s="11" t="inlineStr"/>
    </row>
    <row r="1515">
      <c r="A1515" s="11" t="inlineStr">
        <is>
          <t>1512</t>
        </is>
      </c>
      <c r="B1515" s="11" t="inlineStr">
        <is>
          <t>233</t>
        </is>
      </c>
      <c r="C1515" s="11" t="inlineStr">
        <is>
          <t>HC/tribunal/other</t>
        </is>
      </c>
      <c r="D1515" s="11" t="inlineStr">
        <is>
          <t>yes</t>
        </is>
      </c>
      <c r="E1515" s="11" t="inlineStr">
        <is>
          <t>yes</t>
        </is>
      </c>
      <c r="F1515" s="11" t="inlineStr"/>
      <c r="G1515" s="11" t="inlineStr"/>
      <c r="H1515" s="11" t="inlineStr"/>
      <c r="I1515" s="11" t="inlineStr"/>
      <c r="J1515" s="11" t="inlineStr">
        <is>
          <t>no</t>
        </is>
      </c>
      <c r="K1515" s="11" t="inlineStr">
        <is>
          <t>no</t>
        </is>
      </c>
      <c r="L1515" s="11" t="inlineStr"/>
    </row>
    <row r="1516">
      <c r="A1516" s="11" t="inlineStr">
        <is>
          <t>1513</t>
        </is>
      </c>
      <c r="B1516" s="11" t="inlineStr">
        <is>
          <t>233</t>
        </is>
      </c>
      <c r="C1516" s="11" t="inlineStr">
        <is>
          <t>HC/tribunal/other</t>
        </is>
      </c>
      <c r="D1516" s="11" t="inlineStr">
        <is>
          <t>no</t>
        </is>
      </c>
      <c r="E1516" s="11" t="inlineStr">
        <is>
          <t>no</t>
        </is>
      </c>
      <c r="F1516" s="11" t="inlineStr"/>
      <c r="G1516" s="11" t="inlineStr"/>
      <c r="H1516" s="11" t="inlineStr"/>
      <c r="I1516" s="11" t="inlineStr"/>
      <c r="J1516" s="11" t="inlineStr">
        <is>
          <t>no</t>
        </is>
      </c>
      <c r="K1516" s="11" t="inlineStr">
        <is>
          <t>no</t>
        </is>
      </c>
      <c r="L1516" s="11" t="inlineStr"/>
    </row>
    <row r="1517">
      <c r="A1517" s="11" t="inlineStr">
        <is>
          <t>1514</t>
        </is>
      </c>
      <c r="B1517" s="11" t="inlineStr">
        <is>
          <t>234</t>
        </is>
      </c>
      <c r="C1517" s="11" t="inlineStr">
        <is>
          <t>HC/tribunal/other</t>
        </is>
      </c>
      <c r="D1517" s="11" t="inlineStr">
        <is>
          <t>yes</t>
        </is>
      </c>
      <c r="E1517" s="11" t="inlineStr">
        <is>
          <t>no</t>
        </is>
      </c>
      <c r="F1517" s="11" t="inlineStr"/>
      <c r="G1517" s="11" t="inlineStr"/>
      <c r="H1517" s="11" t="inlineStr">
        <is>
          <t>c29002</t>
        </is>
      </c>
      <c r="I1517" s="11" t="inlineStr">
        <is>
          <t>cite</t>
        </is>
      </c>
      <c r="J1517" s="11" t="inlineStr">
        <is>
          <t>no</t>
        </is>
      </c>
      <c r="K1517" s="11" t="inlineStr">
        <is>
          <t>no</t>
        </is>
      </c>
      <c r="L1517" s="11" t="inlineStr"/>
    </row>
    <row r="1518">
      <c r="A1518" s="11" t="inlineStr">
        <is>
          <t>1515</t>
        </is>
      </c>
      <c r="B1518" s="11" t="inlineStr">
        <is>
          <t>234</t>
        </is>
      </c>
      <c r="C1518" s="11" t="inlineStr">
        <is>
          <t>HC/tribunal/other</t>
        </is>
      </c>
      <c r="D1518" s="11" t="inlineStr">
        <is>
          <t>yes</t>
        </is>
      </c>
      <c r="E1518" s="11" t="inlineStr">
        <is>
          <t>no</t>
        </is>
      </c>
      <c r="F1518" s="11" t="inlineStr"/>
      <c r="G1518" s="11" t="inlineStr"/>
      <c r="H1518" s="11" t="inlineStr">
        <is>
          <t>c37679</t>
        </is>
      </c>
      <c r="I1518" s="11" t="inlineStr">
        <is>
          <t>name</t>
        </is>
      </c>
      <c r="J1518" s="11" t="inlineStr">
        <is>
          <t>no</t>
        </is>
      </c>
      <c r="K1518" s="11" t="inlineStr">
        <is>
          <t>no</t>
        </is>
      </c>
      <c r="L1518" s="11" t="inlineStr"/>
    </row>
    <row r="1519">
      <c r="A1519" s="11" t="inlineStr">
        <is>
          <t>1516</t>
        </is>
      </c>
      <c r="B1519" s="11" t="inlineStr">
        <is>
          <t>234</t>
        </is>
      </c>
      <c r="C1519" s="11" t="inlineStr">
        <is>
          <t>HC/tribunal/other</t>
        </is>
      </c>
      <c r="D1519" s="11" t="inlineStr">
        <is>
          <t>yes</t>
        </is>
      </c>
      <c r="E1519" s="11" t="inlineStr">
        <is>
          <t>no</t>
        </is>
      </c>
      <c r="F1519" s="11" t="inlineStr"/>
      <c r="G1519" s="11" t="inlineStr"/>
      <c r="H1519" s="11" t="inlineStr">
        <is>
          <t>c26715</t>
        </is>
      </c>
      <c r="I1519" s="11" t="inlineStr">
        <is>
          <t>cite</t>
        </is>
      </c>
      <c r="J1519" s="11" t="inlineStr">
        <is>
          <t>yes</t>
        </is>
      </c>
      <c r="K1519" s="11" t="inlineStr">
        <is>
          <t>no</t>
        </is>
      </c>
      <c r="L1519" s="11" t="inlineStr"/>
    </row>
    <row r="1520">
      <c r="A1520" s="11" t="inlineStr">
        <is>
          <t>1517</t>
        </is>
      </c>
      <c r="B1520" s="11" t="inlineStr">
        <is>
          <t>234</t>
        </is>
      </c>
      <c r="C1520" s="11" t="inlineStr">
        <is>
          <t>HC/tribunal/other</t>
        </is>
      </c>
      <c r="D1520" s="11" t="inlineStr">
        <is>
          <t>yes</t>
        </is>
      </c>
      <c r="E1520" s="11" t="inlineStr">
        <is>
          <t>no</t>
        </is>
      </c>
      <c r="F1520" s="11" t="inlineStr"/>
      <c r="G1520" s="11" t="inlineStr"/>
      <c r="H1520" s="11" t="inlineStr">
        <is>
          <t>c35511</t>
        </is>
      </c>
      <c r="I1520" s="11" t="inlineStr">
        <is>
          <t>cite</t>
        </is>
      </c>
      <c r="J1520" s="11" t="inlineStr">
        <is>
          <t>no</t>
        </is>
      </c>
      <c r="K1520" s="11" t="inlineStr">
        <is>
          <t>no</t>
        </is>
      </c>
      <c r="L1520" s="11" t="inlineStr"/>
    </row>
    <row r="1521">
      <c r="A1521" s="11" t="inlineStr">
        <is>
          <t>1518</t>
        </is>
      </c>
      <c r="B1521" s="11" t="inlineStr">
        <is>
          <t>234</t>
        </is>
      </c>
      <c r="C1521" s="11" t="inlineStr">
        <is>
          <t>HC/tribunal/other</t>
        </is>
      </c>
      <c r="D1521" s="11" t="inlineStr">
        <is>
          <t>no</t>
        </is>
      </c>
      <c r="E1521" s="11" t="inlineStr">
        <is>
          <t>no</t>
        </is>
      </c>
      <c r="F1521" s="11" t="inlineStr"/>
      <c r="G1521" s="11" t="inlineStr"/>
      <c r="H1521" s="11" t="inlineStr">
        <is>
          <t>c28616</t>
        </is>
      </c>
      <c r="I1521" s="11" t="inlineStr">
        <is>
          <t>name</t>
        </is>
      </c>
      <c r="J1521" s="11" t="inlineStr">
        <is>
          <t>no</t>
        </is>
      </c>
      <c r="K1521" s="11" t="inlineStr">
        <is>
          <t>no</t>
        </is>
      </c>
      <c r="L1521" s="11" t="inlineStr"/>
    </row>
    <row r="1522">
      <c r="A1522" s="11" t="inlineStr">
        <is>
          <t>1519</t>
        </is>
      </c>
      <c r="B1522" s="11" t="inlineStr">
        <is>
          <t>235</t>
        </is>
      </c>
      <c r="C1522" s="11" t="inlineStr">
        <is>
          <t>HC/tribunal/other</t>
        </is>
      </c>
      <c r="D1522" s="11" t="inlineStr">
        <is>
          <t>yes</t>
        </is>
      </c>
      <c r="E1522" s="11" t="inlineStr">
        <is>
          <t>no</t>
        </is>
      </c>
      <c r="F1522" s="11" t="inlineStr"/>
      <c r="G1522" s="11" t="inlineStr"/>
      <c r="H1522" s="11" t="inlineStr">
        <is>
          <t>c37457</t>
        </is>
      </c>
      <c r="I1522" s="11" t="inlineStr">
        <is>
          <t>cite</t>
        </is>
      </c>
      <c r="J1522" s="11" t="inlineStr">
        <is>
          <t>no</t>
        </is>
      </c>
      <c r="K1522" s="11" t="inlineStr">
        <is>
          <t>no</t>
        </is>
      </c>
      <c r="L1522" s="11" t="inlineStr"/>
    </row>
    <row r="1523">
      <c r="A1523" s="11" t="inlineStr">
        <is>
          <t>1520</t>
        </is>
      </c>
      <c r="B1523" s="11" t="inlineStr">
        <is>
          <t>235</t>
        </is>
      </c>
      <c r="C1523" s="11" t="inlineStr">
        <is>
          <t>HC/tribunal/other</t>
        </is>
      </c>
      <c r="D1523" s="11" t="inlineStr">
        <is>
          <t>no</t>
        </is>
      </c>
      <c r="E1523" s="11" t="inlineStr">
        <is>
          <t>no</t>
        </is>
      </c>
      <c r="F1523" s="11" t="inlineStr"/>
      <c r="G1523" s="11" t="inlineStr"/>
      <c r="H1523" s="11" t="inlineStr">
        <is>
          <t>c31271</t>
        </is>
      </c>
      <c r="I1523" s="11" t="inlineStr">
        <is>
          <t>name</t>
        </is>
      </c>
      <c r="J1523" s="11" t="inlineStr">
        <is>
          <t>no</t>
        </is>
      </c>
      <c r="K1523" s="11" t="inlineStr">
        <is>
          <t>no</t>
        </is>
      </c>
      <c r="L1523" s="11" t="inlineStr"/>
    </row>
    <row r="1524">
      <c r="A1524" s="11" t="inlineStr">
        <is>
          <t>1521</t>
        </is>
      </c>
      <c r="B1524" s="11" t="inlineStr">
        <is>
          <t>235</t>
        </is>
      </c>
      <c r="C1524" s="11" t="inlineStr">
        <is>
          <t>HC/tribunal/other</t>
        </is>
      </c>
      <c r="D1524" s="11" t="inlineStr">
        <is>
          <t>yes</t>
        </is>
      </c>
      <c r="E1524" s="11" t="inlineStr">
        <is>
          <t>yes</t>
        </is>
      </c>
      <c r="F1524" s="11" t="inlineStr"/>
      <c r="G1524" s="11" t="inlineStr"/>
      <c r="H1524" s="11" t="inlineStr">
        <is>
          <t>c34614</t>
        </is>
      </c>
      <c r="I1524" s="11" t="inlineStr">
        <is>
          <t>name</t>
        </is>
      </c>
      <c r="J1524" s="11" t="inlineStr">
        <is>
          <t>no</t>
        </is>
      </c>
      <c r="K1524" s="11" t="inlineStr">
        <is>
          <t>no</t>
        </is>
      </c>
      <c r="L1524" s="11" t="inlineStr"/>
    </row>
    <row r="1525">
      <c r="A1525" s="11" t="inlineStr">
        <is>
          <t>1522</t>
        </is>
      </c>
      <c r="B1525" s="11" t="inlineStr">
        <is>
          <t>235</t>
        </is>
      </c>
      <c r="C1525" s="11" t="inlineStr">
        <is>
          <t>HC/tribunal/other</t>
        </is>
      </c>
      <c r="D1525" s="11" t="inlineStr">
        <is>
          <t>no</t>
        </is>
      </c>
      <c r="E1525" s="11" t="inlineStr">
        <is>
          <t>yes</t>
        </is>
      </c>
      <c r="F1525" s="11" t="inlineStr"/>
      <c r="G1525" s="11" t="inlineStr"/>
      <c r="H1525" s="11" t="inlineStr">
        <is>
          <t>c39693</t>
        </is>
      </c>
      <c r="I1525" s="11" t="inlineStr">
        <is>
          <t>name</t>
        </is>
      </c>
      <c r="J1525" s="11" t="inlineStr">
        <is>
          <t>no</t>
        </is>
      </c>
      <c r="K1525" s="11" t="inlineStr">
        <is>
          <t>no</t>
        </is>
      </c>
      <c r="L1525" s="11" t="inlineStr"/>
    </row>
    <row r="1526">
      <c r="A1526" s="11" t="inlineStr">
        <is>
          <t>1523</t>
        </is>
      </c>
      <c r="B1526" s="11" t="inlineStr">
        <is>
          <t>235</t>
        </is>
      </c>
      <c r="C1526" s="11" t="inlineStr">
        <is>
          <t>HC/tribunal/other</t>
        </is>
      </c>
      <c r="D1526" s="11" t="inlineStr">
        <is>
          <t>yes</t>
        </is>
      </c>
      <c r="E1526" s="11" t="inlineStr">
        <is>
          <t>no</t>
        </is>
      </c>
      <c r="F1526" s="11" t="inlineStr"/>
      <c r="G1526" s="11" t="inlineStr"/>
      <c r="H1526" s="11" t="inlineStr">
        <is>
          <t>c19033</t>
        </is>
      </c>
      <c r="I1526" s="11" t="inlineStr">
        <is>
          <t>name</t>
        </is>
      </c>
      <c r="J1526" s="11" t="inlineStr">
        <is>
          <t>no</t>
        </is>
      </c>
      <c r="K1526" s="11" t="inlineStr">
        <is>
          <t>no</t>
        </is>
      </c>
      <c r="L1526" s="11" t="inlineStr"/>
    </row>
    <row r="1527">
      <c r="A1527" s="11" t="inlineStr">
        <is>
          <t>1524</t>
        </is>
      </c>
      <c r="B1527" s="11" t="inlineStr">
        <is>
          <t>236</t>
        </is>
      </c>
      <c r="C1527" s="11" t="inlineStr">
        <is>
          <t>HC/tribunal/other</t>
        </is>
      </c>
      <c r="D1527" s="11" t="inlineStr">
        <is>
          <t>no</t>
        </is>
      </c>
      <c r="E1527" s="11" t="inlineStr">
        <is>
          <t>no</t>
        </is>
      </c>
      <c r="F1527" s="11" t="inlineStr"/>
      <c r="G1527" s="11" t="inlineStr"/>
      <c r="H1527" s="11" t="inlineStr">
        <is>
          <t>c31614</t>
        </is>
      </c>
      <c r="I1527" s="11" t="inlineStr">
        <is>
          <t>name</t>
        </is>
      </c>
      <c r="J1527" s="11" t="inlineStr">
        <is>
          <t>no</t>
        </is>
      </c>
      <c r="K1527" s="11" t="inlineStr">
        <is>
          <t>no</t>
        </is>
      </c>
      <c r="L1527" s="11" t="inlineStr"/>
    </row>
    <row r="1528">
      <c r="A1528" s="11" t="inlineStr">
        <is>
          <t>1525</t>
        </is>
      </c>
      <c r="B1528" s="11" t="inlineStr">
        <is>
          <t>236</t>
        </is>
      </c>
      <c r="C1528" s="11" t="inlineStr">
        <is>
          <t>HC/tribunal/other</t>
        </is>
      </c>
      <c r="D1528" s="11" t="inlineStr">
        <is>
          <t>yes</t>
        </is>
      </c>
      <c r="E1528" s="11" t="inlineStr">
        <is>
          <t>no</t>
        </is>
      </c>
      <c r="F1528" s="11" t="inlineStr"/>
      <c r="G1528" s="11" t="inlineStr"/>
      <c r="H1528" s="11" t="inlineStr">
        <is>
          <t>c35676</t>
        </is>
      </c>
      <c r="I1528" s="11" t="inlineStr">
        <is>
          <t>name</t>
        </is>
      </c>
      <c r="J1528" s="11" t="inlineStr">
        <is>
          <t>no</t>
        </is>
      </c>
      <c r="K1528" s="11" t="inlineStr">
        <is>
          <t>no</t>
        </is>
      </c>
      <c r="L1528" s="11" t="inlineStr"/>
    </row>
    <row r="1529">
      <c r="A1529" s="11" t="inlineStr">
        <is>
          <t>1526</t>
        </is>
      </c>
      <c r="B1529" s="11" t="inlineStr">
        <is>
          <t>236</t>
        </is>
      </c>
      <c r="C1529" s="11" t="inlineStr">
        <is>
          <t>HC/tribunal/other</t>
        </is>
      </c>
      <c r="D1529" s="11" t="inlineStr">
        <is>
          <t>yes</t>
        </is>
      </c>
      <c r="E1529" s="11" t="inlineStr">
        <is>
          <t>no</t>
        </is>
      </c>
      <c r="F1529" s="11" t="inlineStr"/>
      <c r="G1529" s="11" t="inlineStr"/>
      <c r="H1529" s="11" t="inlineStr">
        <is>
          <t>c34509</t>
        </is>
      </c>
      <c r="I1529" s="11" t="inlineStr">
        <is>
          <t>name</t>
        </is>
      </c>
      <c r="J1529" s="11" t="inlineStr">
        <is>
          <t>no</t>
        </is>
      </c>
      <c r="K1529" s="11" t="inlineStr">
        <is>
          <t>no</t>
        </is>
      </c>
      <c r="L1529" s="11" t="inlineStr"/>
    </row>
    <row r="1530">
      <c r="A1530" s="11" t="inlineStr">
        <is>
          <t>1527</t>
        </is>
      </c>
      <c r="B1530" s="11" t="inlineStr">
        <is>
          <t>236</t>
        </is>
      </c>
      <c r="C1530" s="11" t="inlineStr">
        <is>
          <t>HC/tribunal/other</t>
        </is>
      </c>
      <c r="D1530" s="11" t="inlineStr">
        <is>
          <t>yes</t>
        </is>
      </c>
      <c r="E1530" s="11" t="inlineStr">
        <is>
          <t>no</t>
        </is>
      </c>
      <c r="F1530" s="11" t="inlineStr"/>
      <c r="G1530" s="11" t="inlineStr"/>
      <c r="H1530" s="11" t="inlineStr">
        <is>
          <t>c35517</t>
        </is>
      </c>
      <c r="I1530" s="11" t="inlineStr">
        <is>
          <t>cite</t>
        </is>
      </c>
      <c r="J1530" s="11" t="inlineStr">
        <is>
          <t>no</t>
        </is>
      </c>
      <c r="K1530" s="11" t="inlineStr">
        <is>
          <t>no</t>
        </is>
      </c>
      <c r="L1530" s="11" t="inlineStr"/>
    </row>
    <row r="1531">
      <c r="A1531" s="11" t="inlineStr">
        <is>
          <t>1528</t>
        </is>
      </c>
      <c r="B1531" s="11" t="inlineStr">
        <is>
          <t>236</t>
        </is>
      </c>
      <c r="C1531" s="11" t="inlineStr">
        <is>
          <t>HC/tribunal/other</t>
        </is>
      </c>
      <c r="D1531" s="11" t="inlineStr">
        <is>
          <t>no</t>
        </is>
      </c>
      <c r="E1531" s="11" t="inlineStr">
        <is>
          <t>no</t>
        </is>
      </c>
      <c r="F1531" s="11" t="inlineStr"/>
      <c r="G1531" s="11" t="inlineStr"/>
      <c r="H1531" s="11" t="inlineStr">
        <is>
          <t>c29925</t>
        </is>
      </c>
      <c r="I1531" s="11" t="inlineStr">
        <is>
          <t>cite</t>
        </is>
      </c>
      <c r="J1531" s="11" t="inlineStr">
        <is>
          <t>no</t>
        </is>
      </c>
      <c r="K1531" s="11" t="inlineStr">
        <is>
          <t>no</t>
        </is>
      </c>
      <c r="L1531" s="11" t="inlineStr"/>
    </row>
    <row r="1532">
      <c r="A1532" s="11" t="inlineStr">
        <is>
          <t>1529</t>
        </is>
      </c>
      <c r="B1532" s="11" t="inlineStr">
        <is>
          <t>236</t>
        </is>
      </c>
      <c r="C1532" s="11" t="inlineStr">
        <is>
          <t>HC/tribunal/other</t>
        </is>
      </c>
      <c r="D1532" s="11" t="inlineStr">
        <is>
          <t>no</t>
        </is>
      </c>
      <c r="E1532" s="11" t="inlineStr">
        <is>
          <t>no</t>
        </is>
      </c>
      <c r="F1532" s="11" t="inlineStr"/>
      <c r="G1532" s="11" t="inlineStr"/>
      <c r="H1532" s="11" t="inlineStr">
        <is>
          <t>c30397</t>
        </is>
      </c>
      <c r="I1532" s="11" t="inlineStr">
        <is>
          <t>name</t>
        </is>
      </c>
      <c r="J1532" s="11" t="inlineStr">
        <is>
          <t>no</t>
        </is>
      </c>
      <c r="K1532" s="11" t="inlineStr">
        <is>
          <t>no</t>
        </is>
      </c>
      <c r="L1532" s="11" t="inlineStr"/>
    </row>
    <row r="1533">
      <c r="A1533" s="11" t="inlineStr">
        <is>
          <t>1530</t>
        </is>
      </c>
      <c r="B1533" s="11" t="inlineStr">
        <is>
          <t>236</t>
        </is>
      </c>
      <c r="C1533" s="11" t="inlineStr">
        <is>
          <t>HC/tribunal/other</t>
        </is>
      </c>
      <c r="D1533" s="11" t="inlineStr">
        <is>
          <t>yes</t>
        </is>
      </c>
      <c r="E1533" s="11" t="inlineStr">
        <is>
          <t>no</t>
        </is>
      </c>
      <c r="F1533" s="11" t="inlineStr"/>
      <c r="G1533" s="11" t="inlineStr"/>
      <c r="H1533" s="11" t="inlineStr">
        <is>
          <t>c5852</t>
        </is>
      </c>
      <c r="I1533" s="11" t="inlineStr">
        <is>
          <t>cite</t>
        </is>
      </c>
      <c r="J1533" s="11" t="inlineStr">
        <is>
          <t>no</t>
        </is>
      </c>
      <c r="K1533" s="11" t="inlineStr">
        <is>
          <t>no</t>
        </is>
      </c>
      <c r="L1533" s="11" t="inlineStr"/>
    </row>
    <row r="1534">
      <c r="A1534" s="11" t="inlineStr">
        <is>
          <t>1531</t>
        </is>
      </c>
      <c r="B1534" s="11" t="inlineStr">
        <is>
          <t>237</t>
        </is>
      </c>
      <c r="C1534" s="11" t="inlineStr">
        <is>
          <t>HC/tribunal/other</t>
        </is>
      </c>
      <c r="D1534" s="11" t="inlineStr">
        <is>
          <t>no</t>
        </is>
      </c>
      <c r="E1534" s="11" t="inlineStr">
        <is>
          <t>no</t>
        </is>
      </c>
      <c r="F1534" s="11" t="inlineStr"/>
      <c r="G1534" s="11" t="inlineStr"/>
      <c r="H1534" s="11" t="inlineStr">
        <is>
          <t>c16833</t>
        </is>
      </c>
      <c r="I1534" s="11" t="inlineStr">
        <is>
          <t>cite</t>
        </is>
      </c>
      <c r="J1534" s="11" t="inlineStr">
        <is>
          <t>no</t>
        </is>
      </c>
      <c r="K1534" s="11" t="inlineStr">
        <is>
          <t>no</t>
        </is>
      </c>
      <c r="L1534" s="11" t="inlineStr"/>
    </row>
    <row r="1535">
      <c r="A1535" s="11" t="inlineStr">
        <is>
          <t>1532</t>
        </is>
      </c>
      <c r="B1535" s="11" t="inlineStr">
        <is>
          <t>237</t>
        </is>
      </c>
      <c r="C1535" s="11" t="inlineStr">
        <is>
          <t>HC/tribunal/other</t>
        </is>
      </c>
      <c r="D1535" s="11" t="inlineStr">
        <is>
          <t>yes</t>
        </is>
      </c>
      <c r="E1535" s="11" t="inlineStr">
        <is>
          <t>no</t>
        </is>
      </c>
      <c r="F1535" s="11" t="inlineStr"/>
      <c r="G1535" s="11" t="inlineStr"/>
      <c r="H1535" s="11" t="inlineStr">
        <is>
          <t>c27904</t>
        </is>
      </c>
      <c r="I1535" s="11" t="inlineStr">
        <is>
          <t>name</t>
        </is>
      </c>
      <c r="J1535" s="11" t="inlineStr">
        <is>
          <t>no</t>
        </is>
      </c>
      <c r="K1535" s="11" t="inlineStr">
        <is>
          <t>no</t>
        </is>
      </c>
      <c r="L1535" s="11" t="inlineStr"/>
    </row>
    <row r="1536">
      <c r="A1536" s="11" t="inlineStr">
        <is>
          <t>1533</t>
        </is>
      </c>
      <c r="B1536" s="11" t="inlineStr">
        <is>
          <t>237</t>
        </is>
      </c>
      <c r="C1536" s="11" t="inlineStr">
        <is>
          <t>HC/tribunal/other</t>
        </is>
      </c>
      <c r="D1536" s="11" t="inlineStr">
        <is>
          <t>no</t>
        </is>
      </c>
      <c r="E1536" s="11" t="inlineStr">
        <is>
          <t>no</t>
        </is>
      </c>
      <c r="F1536" s="11" t="inlineStr"/>
      <c r="G1536" s="11" t="inlineStr"/>
      <c r="H1536" s="11" t="inlineStr"/>
      <c r="I1536" s="11" t="inlineStr"/>
      <c r="J1536" s="11" t="inlineStr">
        <is>
          <t>no</t>
        </is>
      </c>
      <c r="K1536" s="11" t="inlineStr">
        <is>
          <t>no</t>
        </is>
      </c>
      <c r="L1536" s="11" t="inlineStr"/>
    </row>
    <row r="1537">
      <c r="A1537" s="11" t="inlineStr">
        <is>
          <t>1534</t>
        </is>
      </c>
      <c r="B1537" s="11" t="inlineStr">
        <is>
          <t>237</t>
        </is>
      </c>
      <c r="C1537" s="11" t="inlineStr">
        <is>
          <t>HC/tribunal/other</t>
        </is>
      </c>
      <c r="D1537" s="11" t="inlineStr">
        <is>
          <t>yes</t>
        </is>
      </c>
      <c r="E1537" s="11" t="inlineStr">
        <is>
          <t>no</t>
        </is>
      </c>
      <c r="F1537" s="11" t="inlineStr"/>
      <c r="G1537" s="11" t="inlineStr"/>
      <c r="H1537" s="11" t="inlineStr">
        <is>
          <t>c35252</t>
        </is>
      </c>
      <c r="I1537" s="11" t="inlineStr">
        <is>
          <t>name</t>
        </is>
      </c>
      <c r="J1537" s="11" t="inlineStr">
        <is>
          <t>no</t>
        </is>
      </c>
      <c r="K1537" s="11" t="inlineStr">
        <is>
          <t>no</t>
        </is>
      </c>
      <c r="L1537" s="11" t="inlineStr"/>
    </row>
    <row r="1538">
      <c r="A1538" s="11" t="inlineStr">
        <is>
          <t>1535</t>
        </is>
      </c>
      <c r="B1538" s="11" t="inlineStr">
        <is>
          <t>237</t>
        </is>
      </c>
      <c r="C1538" s="11" t="inlineStr">
        <is>
          <t>HC/tribunal/other</t>
        </is>
      </c>
      <c r="D1538" s="11" t="inlineStr">
        <is>
          <t>no</t>
        </is>
      </c>
      <c r="E1538" s="11" t="inlineStr">
        <is>
          <t>no</t>
        </is>
      </c>
      <c r="F1538" s="11" t="inlineStr"/>
      <c r="G1538" s="11" t="inlineStr"/>
      <c r="H1538" s="11" t="inlineStr">
        <is>
          <t>c12567</t>
        </is>
      </c>
      <c r="I1538" s="11" t="inlineStr">
        <is>
          <t>cite</t>
        </is>
      </c>
      <c r="J1538" s="11" t="inlineStr">
        <is>
          <t>no</t>
        </is>
      </c>
      <c r="K1538" s="11" t="inlineStr">
        <is>
          <t>no</t>
        </is>
      </c>
      <c r="L1538" s="11" t="inlineStr"/>
    </row>
    <row r="1539">
      <c r="A1539" s="11" t="inlineStr">
        <is>
          <t>1536</t>
        </is>
      </c>
      <c r="B1539" s="11" t="inlineStr">
        <is>
          <t>237</t>
        </is>
      </c>
      <c r="C1539" s="11" t="inlineStr">
        <is>
          <t>HC/tribunal/other</t>
        </is>
      </c>
      <c r="D1539" s="11" t="inlineStr">
        <is>
          <t>no</t>
        </is>
      </c>
      <c r="E1539" s="11" t="inlineStr">
        <is>
          <t>no</t>
        </is>
      </c>
      <c r="F1539" s="11" t="inlineStr"/>
      <c r="G1539" s="11" t="inlineStr"/>
      <c r="H1539" s="11" t="inlineStr">
        <is>
          <t>c27688</t>
        </is>
      </c>
      <c r="I1539" s="11" t="inlineStr">
        <is>
          <t>name</t>
        </is>
      </c>
      <c r="J1539" s="11" t="inlineStr">
        <is>
          <t>no</t>
        </is>
      </c>
      <c r="K1539" s="11" t="inlineStr">
        <is>
          <t>no</t>
        </is>
      </c>
      <c r="L1539" s="11" t="inlineStr"/>
    </row>
    <row r="1540">
      <c r="A1540" s="11" t="inlineStr">
        <is>
          <t>1537</t>
        </is>
      </c>
      <c r="B1540" s="11" t="inlineStr">
        <is>
          <t>238</t>
        </is>
      </c>
      <c r="C1540" s="11" t="inlineStr">
        <is>
          <t>HC/tribunal/other</t>
        </is>
      </c>
      <c r="D1540" s="11" t="inlineStr">
        <is>
          <t>no</t>
        </is>
      </c>
      <c r="E1540" s="11" t="inlineStr">
        <is>
          <t>no</t>
        </is>
      </c>
      <c r="F1540" s="11" t="inlineStr"/>
      <c r="G1540" s="11" t="inlineStr"/>
      <c r="H1540" s="11" t="inlineStr">
        <is>
          <t>c29662</t>
        </is>
      </c>
      <c r="I1540" s="11" t="inlineStr">
        <is>
          <t>cite</t>
        </is>
      </c>
      <c r="J1540" s="11" t="inlineStr">
        <is>
          <t>no</t>
        </is>
      </c>
      <c r="K1540" s="11" t="inlineStr">
        <is>
          <t>no</t>
        </is>
      </c>
      <c r="L1540" s="11" t="inlineStr"/>
    </row>
    <row r="1541">
      <c r="A1541" s="11" t="inlineStr">
        <is>
          <t>1538</t>
        </is>
      </c>
      <c r="B1541" s="11" t="inlineStr">
        <is>
          <t>238</t>
        </is>
      </c>
      <c r="C1541" s="11" t="inlineStr">
        <is>
          <t>HC/tribunal/other</t>
        </is>
      </c>
      <c r="D1541" s="11" t="inlineStr">
        <is>
          <t>no</t>
        </is>
      </c>
      <c r="E1541" s="11" t="inlineStr">
        <is>
          <t>no</t>
        </is>
      </c>
      <c r="F1541" s="11" t="inlineStr"/>
      <c r="G1541" s="11" t="inlineStr"/>
      <c r="H1541" s="11" t="inlineStr"/>
      <c r="I1541" s="11" t="inlineStr"/>
      <c r="J1541" s="11" t="inlineStr">
        <is>
          <t>no</t>
        </is>
      </c>
      <c r="K1541" s="11" t="inlineStr">
        <is>
          <t>no</t>
        </is>
      </c>
      <c r="L1541" s="11" t="inlineStr"/>
    </row>
    <row r="1542">
      <c r="A1542" s="11" t="inlineStr">
        <is>
          <t>1539</t>
        </is>
      </c>
      <c r="B1542" s="11" t="inlineStr">
        <is>
          <t>238</t>
        </is>
      </c>
      <c r="C1542" s="11" t="inlineStr">
        <is>
          <t>HC/tribunal/other</t>
        </is>
      </c>
      <c r="D1542" s="11" t="inlineStr">
        <is>
          <t>no</t>
        </is>
      </c>
      <c r="E1542" s="11" t="inlineStr">
        <is>
          <t>no</t>
        </is>
      </c>
      <c r="F1542" s="11" t="inlineStr"/>
      <c r="G1542" s="11" t="inlineStr"/>
      <c r="H1542" s="11" t="inlineStr">
        <is>
          <t>b1995_1_231_239</t>
        </is>
      </c>
      <c r="I1542" s="11" t="inlineStr">
        <is>
          <t>cite</t>
        </is>
      </c>
      <c r="J1542" s="11" t="inlineStr">
        <is>
          <t>no</t>
        </is>
      </c>
      <c r="K1542" s="11" t="inlineStr">
        <is>
          <t>no</t>
        </is>
      </c>
      <c r="L1542" s="11" t="inlineStr"/>
    </row>
    <row r="1543">
      <c r="A1543" s="11" t="inlineStr">
        <is>
          <t>1540</t>
        </is>
      </c>
      <c r="B1543" s="11" t="inlineStr">
        <is>
          <t>238</t>
        </is>
      </c>
      <c r="C1543" s="11" t="inlineStr">
        <is>
          <t>HC/tribunal/other</t>
        </is>
      </c>
      <c r="D1543" s="11" t="inlineStr">
        <is>
          <t>no</t>
        </is>
      </c>
      <c r="E1543" s="11" t="inlineStr">
        <is>
          <t>no</t>
        </is>
      </c>
      <c r="F1543" s="11" t="inlineStr"/>
      <c r="G1543" s="11" t="inlineStr"/>
      <c r="H1543" s="11" t="inlineStr"/>
      <c r="I1543" s="11" t="inlineStr"/>
      <c r="J1543" s="11" t="inlineStr">
        <is>
          <t>no</t>
        </is>
      </c>
      <c r="K1543" s="11" t="inlineStr">
        <is>
          <t>no</t>
        </is>
      </c>
      <c r="L1543" s="11" t="inlineStr"/>
    </row>
    <row r="1544">
      <c r="A1544" s="11" t="inlineStr">
        <is>
          <t>1541</t>
        </is>
      </c>
      <c r="B1544" s="11" t="inlineStr">
        <is>
          <t>238</t>
        </is>
      </c>
      <c r="C1544" s="11" t="inlineStr">
        <is>
          <t>HC/tribunal/other</t>
        </is>
      </c>
      <c r="D1544" s="11" t="inlineStr">
        <is>
          <t>no</t>
        </is>
      </c>
      <c r="E1544" s="11" t="inlineStr">
        <is>
          <t>yes</t>
        </is>
      </c>
      <c r="F1544" s="11" t="inlineStr"/>
      <c r="G1544" s="11" t="inlineStr"/>
      <c r="H1544" s="11" t="inlineStr">
        <is>
          <t>c15627</t>
        </is>
      </c>
      <c r="I1544" s="11" t="inlineStr">
        <is>
          <t>name</t>
        </is>
      </c>
      <c r="J1544" s="11" t="inlineStr">
        <is>
          <t>no</t>
        </is>
      </c>
      <c r="K1544" s="11" t="inlineStr">
        <is>
          <t>no</t>
        </is>
      </c>
      <c r="L1544" s="11" t="inlineStr"/>
    </row>
    <row r="1545">
      <c r="A1545" s="11" t="inlineStr">
        <is>
          <t>1542</t>
        </is>
      </c>
      <c r="B1545" s="11" t="inlineStr">
        <is>
          <t>238</t>
        </is>
      </c>
      <c r="C1545" s="11" t="inlineStr">
        <is>
          <t>HC/tribunal/other</t>
        </is>
      </c>
      <c r="D1545" s="11" t="inlineStr">
        <is>
          <t>yes</t>
        </is>
      </c>
      <c r="E1545" s="11" t="inlineStr">
        <is>
          <t>no</t>
        </is>
      </c>
      <c r="F1545" s="11" t="inlineStr"/>
      <c r="G1545" s="11" t="inlineStr"/>
      <c r="H1545" s="11" t="inlineStr">
        <is>
          <t>c32849</t>
        </is>
      </c>
      <c r="I1545" s="11" t="inlineStr">
        <is>
          <t>name</t>
        </is>
      </c>
      <c r="J1545" s="11" t="inlineStr">
        <is>
          <t>no</t>
        </is>
      </c>
      <c r="K1545" s="11" t="inlineStr">
        <is>
          <t>no</t>
        </is>
      </c>
      <c r="L1545" s="11" t="inlineStr"/>
    </row>
    <row r="1546">
      <c r="A1546" s="11" t="inlineStr">
        <is>
          <t>1543</t>
        </is>
      </c>
      <c r="B1546" s="11" t="inlineStr">
        <is>
          <t>239</t>
        </is>
      </c>
      <c r="C1546" s="11" t="inlineStr">
        <is>
          <t>HC/tribunal/other</t>
        </is>
      </c>
      <c r="D1546" s="11" t="inlineStr">
        <is>
          <t>no</t>
        </is>
      </c>
      <c r="E1546" s="11" t="inlineStr">
        <is>
          <t>no</t>
        </is>
      </c>
      <c r="F1546" s="11" t="inlineStr"/>
      <c r="G1546" s="11" t="inlineStr"/>
      <c r="H1546" s="11" t="inlineStr">
        <is>
          <t>c29777</t>
        </is>
      </c>
      <c r="I1546" s="11" t="inlineStr">
        <is>
          <t>name</t>
        </is>
      </c>
      <c r="J1546" s="11" t="inlineStr">
        <is>
          <t>no</t>
        </is>
      </c>
      <c r="K1546" s="11" t="inlineStr">
        <is>
          <t>no</t>
        </is>
      </c>
      <c r="L1546" s="11" t="inlineStr"/>
    </row>
    <row r="1547">
      <c r="A1547" s="11" t="inlineStr">
        <is>
          <t>1544</t>
        </is>
      </c>
      <c r="B1547" s="11" t="inlineStr">
        <is>
          <t>239</t>
        </is>
      </c>
      <c r="C1547" s="11" t="inlineStr">
        <is>
          <t>HC/tribunal/other</t>
        </is>
      </c>
      <c r="D1547" s="11" t="inlineStr">
        <is>
          <t>yes</t>
        </is>
      </c>
      <c r="E1547" s="11" t="inlineStr">
        <is>
          <t>no</t>
        </is>
      </c>
      <c r="F1547" s="11" t="inlineStr"/>
      <c r="G1547" s="11" t="inlineStr"/>
      <c r="H1547" s="11" t="inlineStr">
        <is>
          <t>c4662</t>
        </is>
      </c>
      <c r="I1547" s="11" t="inlineStr">
        <is>
          <t>cite</t>
        </is>
      </c>
      <c r="J1547" s="11" t="inlineStr">
        <is>
          <t>no</t>
        </is>
      </c>
      <c r="K1547" s="11" t="inlineStr">
        <is>
          <t>no</t>
        </is>
      </c>
      <c r="L1547" s="11" t="inlineStr"/>
    </row>
    <row r="1548">
      <c r="A1548" s="11" t="inlineStr">
        <is>
          <t>1545</t>
        </is>
      </c>
      <c r="B1548" s="11" t="inlineStr">
        <is>
          <t>239</t>
        </is>
      </c>
      <c r="C1548" s="11" t="inlineStr">
        <is>
          <t>HC/tribunal/other</t>
        </is>
      </c>
      <c r="D1548" s="11" t="inlineStr">
        <is>
          <t>no</t>
        </is>
      </c>
      <c r="E1548" s="11" t="inlineStr">
        <is>
          <t>yes</t>
        </is>
      </c>
      <c r="F1548" s="11" t="inlineStr"/>
      <c r="G1548" s="11" t="inlineStr"/>
      <c r="H1548" s="11" t="inlineStr">
        <is>
          <t>c7072</t>
        </is>
      </c>
      <c r="I1548" s="11" t="inlineStr">
        <is>
          <t>cite</t>
        </is>
      </c>
      <c r="J1548" s="11" t="inlineStr">
        <is>
          <t>no</t>
        </is>
      </c>
      <c r="K1548" s="11" t="inlineStr">
        <is>
          <t>no</t>
        </is>
      </c>
      <c r="L1548" s="11" t="inlineStr"/>
    </row>
    <row r="1549">
      <c r="A1549" s="11" t="inlineStr">
        <is>
          <t>1546</t>
        </is>
      </c>
      <c r="B1549" s="11" t="inlineStr">
        <is>
          <t>239</t>
        </is>
      </c>
      <c r="C1549" s="11" t="inlineStr">
        <is>
          <t>HC/tribunal/other</t>
        </is>
      </c>
      <c r="D1549" s="11" t="inlineStr">
        <is>
          <t>no</t>
        </is>
      </c>
      <c r="E1549" s="11" t="inlineStr">
        <is>
          <t>yes</t>
        </is>
      </c>
      <c r="F1549" s="11" t="inlineStr"/>
      <c r="G1549" s="11" t="inlineStr"/>
      <c r="H1549" s="11" t="inlineStr">
        <is>
          <t>c13693</t>
        </is>
      </c>
      <c r="I1549" s="11" t="inlineStr">
        <is>
          <t>name</t>
        </is>
      </c>
      <c r="J1549" s="11" t="inlineStr">
        <is>
          <t>no</t>
        </is>
      </c>
      <c r="K1549" s="11" t="inlineStr">
        <is>
          <t>no</t>
        </is>
      </c>
      <c r="L1549" s="11" t="inlineStr"/>
    </row>
    <row r="1550">
      <c r="A1550" s="11" t="inlineStr">
        <is>
          <t>1547</t>
        </is>
      </c>
      <c r="B1550" s="11" t="inlineStr">
        <is>
          <t>239</t>
        </is>
      </c>
      <c r="C1550" s="11" t="inlineStr">
        <is>
          <t>HC/tribunal/other</t>
        </is>
      </c>
      <c r="D1550" s="11" t="inlineStr">
        <is>
          <t>yes</t>
        </is>
      </c>
      <c r="E1550" s="11" t="inlineStr">
        <is>
          <t>no</t>
        </is>
      </c>
      <c r="F1550" s="11" t="inlineStr"/>
      <c r="G1550" s="11" t="inlineStr"/>
      <c r="H1550" s="11" t="inlineStr">
        <is>
          <t>c26217</t>
        </is>
      </c>
      <c r="I1550" s="11" t="inlineStr">
        <is>
          <t>name</t>
        </is>
      </c>
      <c r="J1550" s="11" t="inlineStr">
        <is>
          <t>no</t>
        </is>
      </c>
      <c r="K1550" s="11" t="inlineStr">
        <is>
          <t>no</t>
        </is>
      </c>
      <c r="L1550" s="11" t="inlineStr"/>
    </row>
    <row r="1551">
      <c r="A1551" s="11" t="inlineStr">
        <is>
          <t>1548</t>
        </is>
      </c>
      <c r="B1551" s="11" t="inlineStr">
        <is>
          <t>239</t>
        </is>
      </c>
      <c r="C1551" s="11" t="inlineStr">
        <is>
          <t>HC/tribunal/other</t>
        </is>
      </c>
      <c r="D1551" s="11" t="inlineStr">
        <is>
          <t>no</t>
        </is>
      </c>
      <c r="E1551" s="11" t="inlineStr">
        <is>
          <t>no</t>
        </is>
      </c>
      <c r="F1551" s="11" t="inlineStr"/>
      <c r="G1551" s="11" t="inlineStr"/>
      <c r="H1551" s="11" t="inlineStr"/>
      <c r="I1551" s="11" t="inlineStr"/>
      <c r="J1551" s="11" t="inlineStr">
        <is>
          <t>no</t>
        </is>
      </c>
      <c r="K1551" s="11" t="inlineStr">
        <is>
          <t>no</t>
        </is>
      </c>
      <c r="L1551" s="11" t="inlineStr"/>
    </row>
    <row r="1552">
      <c r="A1552" s="11" t="inlineStr">
        <is>
          <t>1549</t>
        </is>
      </c>
      <c r="B1552" s="11" t="inlineStr">
        <is>
          <t>239</t>
        </is>
      </c>
      <c r="C1552" s="11" t="inlineStr">
        <is>
          <t>HC/tribunal/other</t>
        </is>
      </c>
      <c r="D1552" s="11" t="inlineStr">
        <is>
          <t>no</t>
        </is>
      </c>
      <c r="E1552" s="11" t="inlineStr">
        <is>
          <t>no</t>
        </is>
      </c>
      <c r="F1552" s="11" t="inlineStr"/>
      <c r="G1552" s="11" t="inlineStr"/>
      <c r="H1552" s="11" t="inlineStr">
        <is>
          <t>c37879</t>
        </is>
      </c>
      <c r="I1552" s="11" t="inlineStr">
        <is>
          <t>cite</t>
        </is>
      </c>
      <c r="J1552" s="11" t="inlineStr">
        <is>
          <t>no</t>
        </is>
      </c>
      <c r="K1552" s="11" t="inlineStr">
        <is>
          <t>no</t>
        </is>
      </c>
      <c r="L1552" s="11" t="inlineStr"/>
    </row>
    <row r="1553">
      <c r="A1553" s="11" t="inlineStr">
        <is>
          <t>1550</t>
        </is>
      </c>
      <c r="B1553" s="11" t="inlineStr">
        <is>
          <t>240</t>
        </is>
      </c>
      <c r="C1553" s="11" t="inlineStr">
        <is>
          <t>HC/tribunal/other</t>
        </is>
      </c>
      <c r="D1553" s="11" t="inlineStr">
        <is>
          <t>no</t>
        </is>
      </c>
      <c r="E1553" s="11" t="inlineStr">
        <is>
          <t>no</t>
        </is>
      </c>
      <c r="F1553" s="11" t="inlineStr"/>
      <c r="G1553" s="11" t="inlineStr"/>
      <c r="H1553" s="11" t="inlineStr">
        <is>
          <t>c13295</t>
        </is>
      </c>
      <c r="I1553" s="11" t="inlineStr">
        <is>
          <t>cite</t>
        </is>
      </c>
      <c r="J1553" s="11" t="inlineStr">
        <is>
          <t>no</t>
        </is>
      </c>
      <c r="K1553" s="11" t="inlineStr">
        <is>
          <t>no</t>
        </is>
      </c>
      <c r="L1553" s="11" t="inlineStr"/>
    </row>
    <row r="1554">
      <c r="A1554" s="11" t="inlineStr">
        <is>
          <t>1551</t>
        </is>
      </c>
      <c r="B1554" s="11" t="inlineStr">
        <is>
          <t>240</t>
        </is>
      </c>
      <c r="C1554" s="11" t="inlineStr">
        <is>
          <t>HC/tribunal/other</t>
        </is>
      </c>
      <c r="D1554" s="11" t="inlineStr">
        <is>
          <t>no</t>
        </is>
      </c>
      <c r="E1554" s="11" t="inlineStr">
        <is>
          <t>no</t>
        </is>
      </c>
      <c r="F1554" s="11" t="inlineStr"/>
      <c r="G1554" s="11" t="inlineStr"/>
      <c r="H1554" s="11" t="inlineStr">
        <is>
          <t>c1798</t>
        </is>
      </c>
      <c r="I1554" s="11" t="inlineStr">
        <is>
          <t>cite</t>
        </is>
      </c>
      <c r="J1554" s="11" t="inlineStr">
        <is>
          <t>no</t>
        </is>
      </c>
      <c r="K1554" s="11" t="inlineStr">
        <is>
          <t>no</t>
        </is>
      </c>
      <c r="L1554" s="11" t="inlineStr"/>
    </row>
    <row r="1555">
      <c r="A1555" s="11" t="inlineStr">
        <is>
          <t>1552</t>
        </is>
      </c>
      <c r="B1555" s="11" t="inlineStr">
        <is>
          <t>240</t>
        </is>
      </c>
      <c r="C1555" s="11" t="inlineStr">
        <is>
          <t>HC/tribunal/other</t>
        </is>
      </c>
      <c r="D1555" s="11" t="inlineStr">
        <is>
          <t>no</t>
        </is>
      </c>
      <c r="E1555" s="11" t="inlineStr">
        <is>
          <t>no</t>
        </is>
      </c>
      <c r="F1555" s="11" t="inlineStr"/>
      <c r="G1555" s="11" t="inlineStr"/>
      <c r="H1555" s="11" t="inlineStr">
        <is>
          <t>c4978</t>
        </is>
      </c>
      <c r="I1555" s="11" t="inlineStr">
        <is>
          <t>cite</t>
        </is>
      </c>
      <c r="J1555" s="11" t="inlineStr">
        <is>
          <t>no</t>
        </is>
      </c>
      <c r="K1555" s="11" t="inlineStr">
        <is>
          <t>no</t>
        </is>
      </c>
      <c r="L1555" s="11" t="inlineStr"/>
    </row>
    <row r="1556">
      <c r="A1556" s="11" t="inlineStr">
        <is>
          <t>1553</t>
        </is>
      </c>
      <c r="B1556" s="11" t="inlineStr">
        <is>
          <t>240</t>
        </is>
      </c>
      <c r="C1556" s="11" t="inlineStr">
        <is>
          <t>HC/tribunal/other</t>
        </is>
      </c>
      <c r="D1556" s="11" t="inlineStr">
        <is>
          <t>no</t>
        </is>
      </c>
      <c r="E1556" s="11" t="inlineStr">
        <is>
          <t>yes</t>
        </is>
      </c>
      <c r="F1556" s="11" t="inlineStr"/>
      <c r="G1556" s="11" t="inlineStr"/>
      <c r="H1556" s="11" t="inlineStr">
        <is>
          <t>bS_1999_5_394_402</t>
        </is>
      </c>
      <c r="I1556" s="11" t="inlineStr">
        <is>
          <t>name</t>
        </is>
      </c>
      <c r="J1556" s="11" t="inlineStr">
        <is>
          <t>no</t>
        </is>
      </c>
      <c r="K1556" s="11" t="inlineStr">
        <is>
          <t>no</t>
        </is>
      </c>
      <c r="L1556" s="11" t="inlineStr"/>
    </row>
    <row r="1557">
      <c r="A1557" s="11" t="inlineStr">
        <is>
          <t>1554</t>
        </is>
      </c>
      <c r="B1557" s="11" t="inlineStr">
        <is>
          <t>240</t>
        </is>
      </c>
      <c r="C1557" s="11" t="inlineStr">
        <is>
          <t>HC/tribunal/other</t>
        </is>
      </c>
      <c r="D1557" s="11" t="inlineStr">
        <is>
          <t>no</t>
        </is>
      </c>
      <c r="E1557" s="11" t="inlineStr">
        <is>
          <t>no</t>
        </is>
      </c>
      <c r="F1557" s="11" t="inlineStr"/>
      <c r="G1557" s="11" t="inlineStr"/>
      <c r="H1557" s="11" t="inlineStr">
        <is>
          <t>c12462</t>
        </is>
      </c>
      <c r="I1557" s="11" t="inlineStr">
        <is>
          <t>cite</t>
        </is>
      </c>
      <c r="J1557" s="11" t="inlineStr">
        <is>
          <t>no</t>
        </is>
      </c>
      <c r="K1557" s="11" t="inlineStr">
        <is>
          <t>no</t>
        </is>
      </c>
      <c r="L1557" s="11" t="inlineStr"/>
    </row>
    <row r="1558">
      <c r="A1558" s="11" t="inlineStr">
        <is>
          <t>1555</t>
        </is>
      </c>
      <c r="B1558" s="11" t="inlineStr">
        <is>
          <t>240</t>
        </is>
      </c>
      <c r="C1558" s="11" t="inlineStr">
        <is>
          <t>HC/tribunal/other</t>
        </is>
      </c>
      <c r="D1558" s="11" t="inlineStr">
        <is>
          <t>no</t>
        </is>
      </c>
      <c r="E1558" s="11" t="inlineStr">
        <is>
          <t>no</t>
        </is>
      </c>
      <c r="F1558" s="11" t="inlineStr"/>
      <c r="G1558" s="11" t="inlineStr"/>
      <c r="H1558" s="11" t="inlineStr">
        <is>
          <t>bS_2003_5_1_6</t>
        </is>
      </c>
      <c r="I1558" s="11" t="inlineStr">
        <is>
          <t>name</t>
        </is>
      </c>
      <c r="J1558" s="11" t="inlineStr">
        <is>
          <t>no</t>
        </is>
      </c>
      <c r="K1558" s="11" t="inlineStr">
        <is>
          <t>no</t>
        </is>
      </c>
      <c r="L1558" s="11" t="inlineStr"/>
    </row>
    <row r="1559">
      <c r="A1559" s="11" t="inlineStr">
        <is>
          <t>1556</t>
        </is>
      </c>
      <c r="B1559" s="11" t="inlineStr">
        <is>
          <t>241</t>
        </is>
      </c>
      <c r="C1559" s="11" t="inlineStr">
        <is>
          <t>HC/tribunal/other</t>
        </is>
      </c>
      <c r="D1559" s="11" t="inlineStr">
        <is>
          <t>no</t>
        </is>
      </c>
      <c r="E1559" s="11" t="inlineStr">
        <is>
          <t>no</t>
        </is>
      </c>
      <c r="F1559" s="11" t="inlineStr"/>
      <c r="G1559" s="11" t="inlineStr"/>
      <c r="H1559" s="11" t="inlineStr">
        <is>
          <t>c18108</t>
        </is>
      </c>
      <c r="I1559" s="11" t="inlineStr">
        <is>
          <t>name</t>
        </is>
      </c>
      <c r="J1559" s="11" t="inlineStr">
        <is>
          <t>no</t>
        </is>
      </c>
      <c r="K1559" s="11" t="inlineStr">
        <is>
          <t>no</t>
        </is>
      </c>
      <c r="L1559" s="11" t="inlineStr"/>
    </row>
    <row r="1560">
      <c r="A1560" s="11" t="inlineStr">
        <is>
          <t>1557</t>
        </is>
      </c>
      <c r="B1560" s="11" t="inlineStr">
        <is>
          <t>241</t>
        </is>
      </c>
      <c r="C1560" s="11" t="inlineStr">
        <is>
          <t>HC/tribunal/other</t>
        </is>
      </c>
      <c r="D1560" s="11" t="inlineStr">
        <is>
          <t>yes</t>
        </is>
      </c>
      <c r="E1560" s="11" t="inlineStr">
        <is>
          <t>no</t>
        </is>
      </c>
      <c r="F1560" s="11" t="inlineStr"/>
      <c r="G1560" s="11" t="inlineStr"/>
      <c r="H1560" s="11" t="inlineStr">
        <is>
          <t>c7190</t>
        </is>
      </c>
      <c r="I1560" s="11" t="inlineStr">
        <is>
          <t>cite</t>
        </is>
      </c>
      <c r="J1560" s="11" t="inlineStr">
        <is>
          <t>no</t>
        </is>
      </c>
      <c r="K1560" s="11" t="inlineStr">
        <is>
          <t>no</t>
        </is>
      </c>
      <c r="L1560" s="11" t="inlineStr"/>
    </row>
    <row r="1561">
      <c r="A1561" s="11" t="inlineStr">
        <is>
          <t>1558</t>
        </is>
      </c>
      <c r="B1561" s="11" t="inlineStr">
        <is>
          <t>241</t>
        </is>
      </c>
      <c r="C1561" s="11" t="inlineStr">
        <is>
          <t>HC/tribunal/other</t>
        </is>
      </c>
      <c r="D1561" s="11" t="inlineStr">
        <is>
          <t>yes</t>
        </is>
      </c>
      <c r="E1561" s="11" t="inlineStr">
        <is>
          <t>no</t>
        </is>
      </c>
      <c r="F1561" s="11" t="inlineStr"/>
      <c r="G1561" s="11" t="inlineStr"/>
      <c r="H1561" s="11" t="inlineStr">
        <is>
          <t>c27682</t>
        </is>
      </c>
      <c r="I1561" s="11" t="inlineStr">
        <is>
          <t>name</t>
        </is>
      </c>
      <c r="J1561" s="11" t="inlineStr">
        <is>
          <t>no</t>
        </is>
      </c>
      <c r="K1561" s="11" t="inlineStr">
        <is>
          <t>no</t>
        </is>
      </c>
      <c r="L1561" s="11" t="inlineStr"/>
    </row>
    <row r="1562">
      <c r="A1562" s="11" t="inlineStr">
        <is>
          <t>1559</t>
        </is>
      </c>
      <c r="B1562" s="11" t="inlineStr">
        <is>
          <t>241</t>
        </is>
      </c>
      <c r="C1562" s="11" t="inlineStr">
        <is>
          <t>HC/tribunal/other</t>
        </is>
      </c>
      <c r="D1562" s="11" t="inlineStr">
        <is>
          <t>yes</t>
        </is>
      </c>
      <c r="E1562" s="11" t="inlineStr">
        <is>
          <t>no</t>
        </is>
      </c>
      <c r="F1562" s="11" t="inlineStr"/>
      <c r="G1562" s="11" t="inlineStr"/>
      <c r="H1562" s="11" t="inlineStr">
        <is>
          <t>c7113</t>
        </is>
      </c>
      <c r="I1562" s="11" t="inlineStr">
        <is>
          <t>cite</t>
        </is>
      </c>
      <c r="J1562" s="11" t="inlineStr">
        <is>
          <t>no</t>
        </is>
      </c>
      <c r="K1562" s="11" t="inlineStr">
        <is>
          <t>no</t>
        </is>
      </c>
      <c r="L1562" s="11" t="inlineStr"/>
    </row>
    <row r="1563">
      <c r="A1563" s="11" t="inlineStr">
        <is>
          <t>1560</t>
        </is>
      </c>
      <c r="B1563" s="11" t="inlineStr">
        <is>
          <t>241</t>
        </is>
      </c>
      <c r="C1563" s="11" t="inlineStr">
        <is>
          <t>HC/tribunal/other</t>
        </is>
      </c>
      <c r="D1563" s="11" t="inlineStr">
        <is>
          <t>no</t>
        </is>
      </c>
      <c r="E1563" s="11" t="inlineStr">
        <is>
          <t>no</t>
        </is>
      </c>
      <c r="F1563" s="11" t="inlineStr"/>
      <c r="G1563" s="11" t="inlineStr"/>
      <c r="H1563" s="11" t="inlineStr">
        <is>
          <t>bS_2003_5_1_6</t>
        </is>
      </c>
      <c r="I1563" s="11" t="inlineStr">
        <is>
          <t>name</t>
        </is>
      </c>
      <c r="J1563" s="11" t="inlineStr">
        <is>
          <t>no</t>
        </is>
      </c>
      <c r="K1563" s="11" t="inlineStr">
        <is>
          <t>no</t>
        </is>
      </c>
      <c r="L1563" s="11" t="inlineStr"/>
    </row>
    <row r="1564">
      <c r="A1564" s="11" t="inlineStr">
        <is>
          <t>1561</t>
        </is>
      </c>
      <c r="B1564" s="11" t="inlineStr">
        <is>
          <t>241</t>
        </is>
      </c>
      <c r="C1564" s="11" t="inlineStr">
        <is>
          <t>HC/tribunal/other</t>
        </is>
      </c>
      <c r="D1564" s="11" t="inlineStr">
        <is>
          <t>yes</t>
        </is>
      </c>
      <c r="E1564" s="11" t="inlineStr">
        <is>
          <t>no</t>
        </is>
      </c>
      <c r="F1564" s="11" t="inlineStr"/>
      <c r="G1564" s="11" t="inlineStr"/>
      <c r="H1564" s="11" t="inlineStr">
        <is>
          <t>c7749</t>
        </is>
      </c>
      <c r="I1564" s="11" t="inlineStr">
        <is>
          <t>cite</t>
        </is>
      </c>
      <c r="J1564" s="11" t="inlineStr">
        <is>
          <t>no</t>
        </is>
      </c>
      <c r="K1564" s="11" t="inlineStr">
        <is>
          <t>no</t>
        </is>
      </c>
      <c r="L1564" s="11" t="inlineStr"/>
    </row>
    <row r="1565">
      <c r="A1565" s="11" t="inlineStr">
        <is>
          <t>1562</t>
        </is>
      </c>
      <c r="B1565" s="11" t="inlineStr">
        <is>
          <t>241</t>
        </is>
      </c>
      <c r="C1565" s="11" t="inlineStr">
        <is>
          <t>HC/tribunal/other</t>
        </is>
      </c>
      <c r="D1565" s="11" t="inlineStr">
        <is>
          <t>no</t>
        </is>
      </c>
      <c r="E1565" s="11" t="inlineStr">
        <is>
          <t>no</t>
        </is>
      </c>
      <c r="F1565" s="11" t="inlineStr"/>
      <c r="G1565" s="11" t="inlineStr"/>
      <c r="H1565" s="11" t="inlineStr">
        <is>
          <t>c10840</t>
        </is>
      </c>
      <c r="I1565" s="11" t="inlineStr">
        <is>
          <t>cite</t>
        </is>
      </c>
      <c r="J1565" s="11" t="inlineStr">
        <is>
          <t>no</t>
        </is>
      </c>
      <c r="K1565" s="11" t="inlineStr">
        <is>
          <t>no</t>
        </is>
      </c>
      <c r="L1565" s="11" t="inlineStr"/>
    </row>
    <row r="1566">
      <c r="A1566" s="11" t="inlineStr">
        <is>
          <t>1563</t>
        </is>
      </c>
      <c r="B1566" s="11" t="inlineStr">
        <is>
          <t>242</t>
        </is>
      </c>
      <c r="C1566" s="11" t="inlineStr">
        <is>
          <t>HC/tribunal/other</t>
        </is>
      </c>
      <c r="D1566" s="11" t="inlineStr">
        <is>
          <t>no</t>
        </is>
      </c>
      <c r="E1566" s="11" t="inlineStr">
        <is>
          <t>no</t>
        </is>
      </c>
      <c r="F1566" s="11" t="inlineStr"/>
      <c r="G1566" s="11" t="inlineStr"/>
      <c r="H1566" s="11" t="inlineStr">
        <is>
          <t>c9861</t>
        </is>
      </c>
      <c r="I1566" s="11" t="inlineStr">
        <is>
          <t>cite</t>
        </is>
      </c>
      <c r="J1566" s="11" t="inlineStr">
        <is>
          <t>no</t>
        </is>
      </c>
      <c r="K1566" s="11" t="inlineStr">
        <is>
          <t>no</t>
        </is>
      </c>
      <c r="L1566" s="11" t="inlineStr"/>
    </row>
    <row r="1567">
      <c r="A1567" s="11" t="inlineStr">
        <is>
          <t>1564</t>
        </is>
      </c>
      <c r="B1567" s="11" t="inlineStr">
        <is>
          <t>242</t>
        </is>
      </c>
      <c r="C1567" s="11" t="inlineStr">
        <is>
          <t>HC/tribunal/other</t>
        </is>
      </c>
      <c r="D1567" s="11" t="inlineStr">
        <is>
          <t>yes</t>
        </is>
      </c>
      <c r="E1567" s="11" t="inlineStr">
        <is>
          <t>no</t>
        </is>
      </c>
      <c r="F1567" s="11" t="inlineStr"/>
      <c r="G1567" s="11" t="inlineStr"/>
      <c r="H1567" s="11" t="inlineStr">
        <is>
          <t>c8027</t>
        </is>
      </c>
      <c r="I1567" s="11" t="inlineStr">
        <is>
          <t>cite</t>
        </is>
      </c>
      <c r="J1567" s="11" t="inlineStr">
        <is>
          <t>no</t>
        </is>
      </c>
      <c r="K1567" s="11" t="inlineStr">
        <is>
          <t>no</t>
        </is>
      </c>
      <c r="L1567" s="11" t="inlineStr"/>
    </row>
    <row r="1568">
      <c r="A1568" s="11" t="inlineStr">
        <is>
          <t>1565</t>
        </is>
      </c>
      <c r="B1568" s="11" t="inlineStr">
        <is>
          <t>242</t>
        </is>
      </c>
      <c r="C1568" s="11" t="inlineStr">
        <is>
          <t>HC/tribunal/other</t>
        </is>
      </c>
      <c r="D1568" s="11" t="inlineStr">
        <is>
          <t>yes</t>
        </is>
      </c>
      <c r="E1568" s="11" t="inlineStr">
        <is>
          <t>no</t>
        </is>
      </c>
      <c r="F1568" s="11" t="inlineStr"/>
      <c r="G1568" s="11" t="inlineStr"/>
      <c r="H1568" s="11" t="inlineStr">
        <is>
          <t>c27981</t>
        </is>
      </c>
      <c r="I1568" s="11" t="inlineStr">
        <is>
          <t>name</t>
        </is>
      </c>
      <c r="J1568" s="11" t="inlineStr">
        <is>
          <t>no</t>
        </is>
      </c>
      <c r="K1568" s="11" t="inlineStr">
        <is>
          <t>no</t>
        </is>
      </c>
      <c r="L1568" s="11" t="inlineStr"/>
    </row>
    <row r="1569">
      <c r="A1569" s="11" t="inlineStr">
        <is>
          <t>1566</t>
        </is>
      </c>
      <c r="B1569" s="11" t="inlineStr">
        <is>
          <t>242</t>
        </is>
      </c>
      <c r="C1569" s="11" t="inlineStr">
        <is>
          <t>HC/tribunal/other</t>
        </is>
      </c>
      <c r="D1569" s="11" t="inlineStr">
        <is>
          <t>no</t>
        </is>
      </c>
      <c r="E1569" s="11" t="inlineStr">
        <is>
          <t>no</t>
        </is>
      </c>
      <c r="F1569" s="11" t="inlineStr"/>
      <c r="G1569" s="11" t="inlineStr"/>
      <c r="H1569" s="11" t="inlineStr">
        <is>
          <t>b1994_1_530_536</t>
        </is>
      </c>
      <c r="I1569" s="11" t="inlineStr">
        <is>
          <t>cite</t>
        </is>
      </c>
      <c r="J1569" s="11" t="inlineStr">
        <is>
          <t>no</t>
        </is>
      </c>
      <c r="K1569" s="11" t="inlineStr">
        <is>
          <t>no</t>
        </is>
      </c>
      <c r="L1569" s="11" t="inlineStr"/>
    </row>
    <row r="1570">
      <c r="A1570" s="11" t="inlineStr">
        <is>
          <t>1567</t>
        </is>
      </c>
      <c r="B1570" s="11" t="inlineStr">
        <is>
          <t>242</t>
        </is>
      </c>
      <c r="C1570" s="11" t="inlineStr">
        <is>
          <t>HC/tribunal/other</t>
        </is>
      </c>
      <c r="D1570" s="11" t="inlineStr">
        <is>
          <t>no</t>
        </is>
      </c>
      <c r="E1570" s="11" t="inlineStr">
        <is>
          <t>no</t>
        </is>
      </c>
      <c r="F1570" s="11" t="inlineStr"/>
      <c r="G1570" s="11" t="inlineStr"/>
      <c r="H1570" s="11" t="inlineStr">
        <is>
          <t>c5686</t>
        </is>
      </c>
      <c r="I1570" s="11" t="inlineStr">
        <is>
          <t>cite</t>
        </is>
      </c>
      <c r="J1570" s="11" t="inlineStr">
        <is>
          <t>no</t>
        </is>
      </c>
      <c r="K1570" s="11" t="inlineStr">
        <is>
          <t>no</t>
        </is>
      </c>
      <c r="L1570" s="11" t="inlineStr"/>
    </row>
    <row r="1571">
      <c r="A1571" s="11" t="inlineStr">
        <is>
          <t>1568</t>
        </is>
      </c>
      <c r="B1571" s="11" t="inlineStr">
        <is>
          <t>242</t>
        </is>
      </c>
      <c r="C1571" s="11" t="inlineStr">
        <is>
          <t>HC/tribunal/other</t>
        </is>
      </c>
      <c r="D1571" s="11" t="inlineStr">
        <is>
          <t>no</t>
        </is>
      </c>
      <c r="E1571" s="11" t="inlineStr">
        <is>
          <t>no</t>
        </is>
      </c>
      <c r="F1571" s="11" t="inlineStr"/>
      <c r="G1571" s="11" t="inlineStr"/>
      <c r="H1571" s="11" t="inlineStr">
        <is>
          <t>c7201</t>
        </is>
      </c>
      <c r="I1571" s="11" t="inlineStr">
        <is>
          <t>cite</t>
        </is>
      </c>
      <c r="J1571" s="11" t="inlineStr">
        <is>
          <t>no</t>
        </is>
      </c>
      <c r="K1571" s="11" t="inlineStr">
        <is>
          <t>no</t>
        </is>
      </c>
      <c r="L1571" s="11" t="inlineStr"/>
    </row>
    <row r="1572">
      <c r="A1572" s="11" t="inlineStr">
        <is>
          <t>1569</t>
        </is>
      </c>
      <c r="B1572" s="11" t="inlineStr">
        <is>
          <t>242</t>
        </is>
      </c>
      <c r="C1572" s="11" t="inlineStr">
        <is>
          <t>HC/tribunal/other</t>
        </is>
      </c>
      <c r="D1572" s="11" t="inlineStr">
        <is>
          <t>no</t>
        </is>
      </c>
      <c r="E1572" s="11" t="inlineStr">
        <is>
          <t>no</t>
        </is>
      </c>
      <c r="F1572" s="11" t="inlineStr"/>
      <c r="G1572" s="11" t="inlineStr"/>
      <c r="H1572" s="11" t="inlineStr">
        <is>
          <t>c5744</t>
        </is>
      </c>
      <c r="I1572" s="11" t="inlineStr">
        <is>
          <t>cite</t>
        </is>
      </c>
      <c r="J1572" s="11" t="inlineStr">
        <is>
          <t>no</t>
        </is>
      </c>
      <c r="K1572" s="11" t="inlineStr">
        <is>
          <t>no</t>
        </is>
      </c>
      <c r="L1572" s="11" t="inlineStr"/>
    </row>
    <row r="1573">
      <c r="A1573" s="11" t="inlineStr">
        <is>
          <t>1570</t>
        </is>
      </c>
      <c r="B1573" s="11" t="inlineStr">
        <is>
          <t>243</t>
        </is>
      </c>
      <c r="C1573" s="11" t="inlineStr">
        <is>
          <t>HC/tribunal/other</t>
        </is>
      </c>
      <c r="D1573" s="11" t="inlineStr">
        <is>
          <t>yes</t>
        </is>
      </c>
      <c r="E1573" s="11" t="inlineStr">
        <is>
          <t>no</t>
        </is>
      </c>
      <c r="F1573" s="11" t="inlineStr"/>
      <c r="G1573" s="11" t="inlineStr"/>
      <c r="H1573" s="11" t="inlineStr">
        <is>
          <t>c9571</t>
        </is>
      </c>
      <c r="I1573" s="11" t="inlineStr">
        <is>
          <t>cite</t>
        </is>
      </c>
      <c r="J1573" s="11" t="inlineStr">
        <is>
          <t>no</t>
        </is>
      </c>
      <c r="K1573" s="11" t="inlineStr">
        <is>
          <t>no</t>
        </is>
      </c>
      <c r="L1573" s="11" t="inlineStr"/>
    </row>
    <row r="1574">
      <c r="A1574" s="11" t="inlineStr">
        <is>
          <t>1571</t>
        </is>
      </c>
      <c r="B1574" s="11" t="inlineStr">
        <is>
          <t>243</t>
        </is>
      </c>
      <c r="C1574" s="11" t="inlineStr">
        <is>
          <t>HC/tribunal/other</t>
        </is>
      </c>
      <c r="D1574" s="11" t="inlineStr">
        <is>
          <t>no</t>
        </is>
      </c>
      <c r="E1574" s="11" t="inlineStr">
        <is>
          <t>no</t>
        </is>
      </c>
      <c r="F1574" s="11" t="inlineStr"/>
      <c r="G1574" s="11" t="inlineStr"/>
      <c r="H1574" s="11" t="inlineStr">
        <is>
          <t>c20808</t>
        </is>
      </c>
      <c r="I1574" s="11" t="inlineStr">
        <is>
          <t>name</t>
        </is>
      </c>
      <c r="J1574" s="11" t="inlineStr">
        <is>
          <t>no</t>
        </is>
      </c>
      <c r="K1574" s="11" t="inlineStr">
        <is>
          <t>no</t>
        </is>
      </c>
      <c r="L1574" s="11" t="inlineStr"/>
    </row>
    <row r="1575">
      <c r="A1575" s="11" t="inlineStr">
        <is>
          <t>1572</t>
        </is>
      </c>
      <c r="B1575" s="11" t="inlineStr">
        <is>
          <t>243</t>
        </is>
      </c>
      <c r="C1575" s="11" t="inlineStr">
        <is>
          <t>HC/tribunal/other</t>
        </is>
      </c>
      <c r="D1575" s="11" t="inlineStr">
        <is>
          <t>yes</t>
        </is>
      </c>
      <c r="E1575" s="11" t="inlineStr">
        <is>
          <t>no</t>
        </is>
      </c>
      <c r="F1575" s="11" t="inlineStr"/>
      <c r="G1575" s="11" t="inlineStr"/>
      <c r="H1575" s="11" t="inlineStr">
        <is>
          <t>c29514</t>
        </is>
      </c>
      <c r="I1575" s="11" t="inlineStr">
        <is>
          <t>name</t>
        </is>
      </c>
      <c r="J1575" s="11" t="inlineStr">
        <is>
          <t>no</t>
        </is>
      </c>
      <c r="K1575" s="11" t="inlineStr">
        <is>
          <t>no</t>
        </is>
      </c>
      <c r="L1575" s="11" t="inlineStr"/>
    </row>
    <row r="1576">
      <c r="A1576" s="11" t="inlineStr">
        <is>
          <t>1573</t>
        </is>
      </c>
      <c r="B1576" s="11" t="inlineStr">
        <is>
          <t>243</t>
        </is>
      </c>
      <c r="C1576" s="11" t="inlineStr">
        <is>
          <t>HC/tribunal/other</t>
        </is>
      </c>
      <c r="D1576" s="11" t="inlineStr">
        <is>
          <t>no</t>
        </is>
      </c>
      <c r="E1576" s="11" t="inlineStr">
        <is>
          <t>no</t>
        </is>
      </c>
      <c r="F1576" s="11" t="inlineStr"/>
      <c r="G1576" s="11" t="inlineStr"/>
      <c r="H1576" s="11" t="inlineStr">
        <is>
          <t>c10885</t>
        </is>
      </c>
      <c r="I1576" s="11" t="inlineStr">
        <is>
          <t>cite</t>
        </is>
      </c>
      <c r="J1576" s="11" t="inlineStr">
        <is>
          <t>no</t>
        </is>
      </c>
      <c r="K1576" s="11" t="inlineStr">
        <is>
          <t>no</t>
        </is>
      </c>
      <c r="L1576" s="11" t="inlineStr"/>
    </row>
    <row r="1577">
      <c r="A1577" s="11" t="inlineStr">
        <is>
          <t>1574</t>
        </is>
      </c>
      <c r="B1577" s="11" t="inlineStr">
        <is>
          <t>243</t>
        </is>
      </c>
      <c r="C1577" s="11" t="inlineStr">
        <is>
          <t>HC/tribunal/other</t>
        </is>
      </c>
      <c r="D1577" s="11" t="inlineStr">
        <is>
          <t>no</t>
        </is>
      </c>
      <c r="E1577" s="11" t="inlineStr">
        <is>
          <t>no</t>
        </is>
      </c>
      <c r="F1577" s="11" t="inlineStr"/>
      <c r="G1577" s="11" t="inlineStr"/>
      <c r="H1577" s="11" t="inlineStr">
        <is>
          <t>c14337</t>
        </is>
      </c>
      <c r="I1577" s="11" t="inlineStr">
        <is>
          <t>cite</t>
        </is>
      </c>
      <c r="J1577" s="11" t="inlineStr">
        <is>
          <t>no</t>
        </is>
      </c>
      <c r="K1577" s="11" t="inlineStr">
        <is>
          <t>no</t>
        </is>
      </c>
      <c r="L1577" s="11" t="inlineStr"/>
    </row>
    <row r="1578">
      <c r="A1578" s="11" t="inlineStr">
        <is>
          <t>1575</t>
        </is>
      </c>
      <c r="B1578" s="11" t="inlineStr">
        <is>
          <t>243</t>
        </is>
      </c>
      <c r="C1578" s="11" t="inlineStr">
        <is>
          <t>HC/tribunal/other</t>
        </is>
      </c>
      <c r="D1578" s="11" t="inlineStr">
        <is>
          <t>no</t>
        </is>
      </c>
      <c r="E1578" s="11" t="inlineStr">
        <is>
          <t>no</t>
        </is>
      </c>
      <c r="F1578" s="11" t="inlineStr"/>
      <c r="G1578" s="11" t="inlineStr"/>
      <c r="H1578" s="11" t="inlineStr">
        <is>
          <t>c12616</t>
        </is>
      </c>
      <c r="I1578" s="11" t="inlineStr">
        <is>
          <t>cite</t>
        </is>
      </c>
      <c r="J1578" s="11" t="inlineStr">
        <is>
          <t>no</t>
        </is>
      </c>
      <c r="K1578" s="11" t="inlineStr">
        <is>
          <t>no</t>
        </is>
      </c>
      <c r="L1578" s="11" t="inlineStr"/>
    </row>
    <row r="1579">
      <c r="A1579" s="11" t="inlineStr">
        <is>
          <t>1576</t>
        </is>
      </c>
      <c r="B1579" s="11" t="inlineStr">
        <is>
          <t>243</t>
        </is>
      </c>
      <c r="C1579" s="11" t="inlineStr">
        <is>
          <t>HC/tribunal/other</t>
        </is>
      </c>
      <c r="D1579" s="11" t="inlineStr">
        <is>
          <t>no</t>
        </is>
      </c>
      <c r="E1579" s="11" t="inlineStr">
        <is>
          <t>no</t>
        </is>
      </c>
      <c r="F1579" s="11" t="inlineStr"/>
      <c r="G1579" s="11" t="inlineStr"/>
      <c r="H1579" s="11" t="inlineStr"/>
      <c r="I1579" s="11" t="inlineStr"/>
      <c r="J1579" s="11" t="inlineStr">
        <is>
          <t>no</t>
        </is>
      </c>
      <c r="K1579" s="11" t="inlineStr">
        <is>
          <t>no</t>
        </is>
      </c>
      <c r="L1579" s="11" t="inlineStr"/>
    </row>
    <row r="1580">
      <c r="A1580" s="11" t="inlineStr">
        <is>
          <t>1577</t>
        </is>
      </c>
      <c r="B1580" s="11" t="inlineStr">
        <is>
          <t>244</t>
        </is>
      </c>
      <c r="C1580" s="11" t="inlineStr">
        <is>
          <t>HC/tribunal/other</t>
        </is>
      </c>
      <c r="D1580" s="11" t="inlineStr">
        <is>
          <t>yes</t>
        </is>
      </c>
      <c r="E1580" s="11" t="inlineStr">
        <is>
          <t>no</t>
        </is>
      </c>
      <c r="F1580" s="11" t="inlineStr"/>
      <c r="G1580" s="11" t="inlineStr"/>
      <c r="H1580" s="11" t="inlineStr">
        <is>
          <t>c14074</t>
        </is>
      </c>
      <c r="I1580" s="11" t="inlineStr">
        <is>
          <t>cite</t>
        </is>
      </c>
      <c r="J1580" s="11" t="inlineStr">
        <is>
          <t>no</t>
        </is>
      </c>
      <c r="K1580" s="11" t="inlineStr">
        <is>
          <t>no</t>
        </is>
      </c>
      <c r="L1580" s="11" t="inlineStr"/>
    </row>
    <row r="1581">
      <c r="A1581" s="11" t="inlineStr">
        <is>
          <t>1578</t>
        </is>
      </c>
      <c r="B1581" s="11" t="inlineStr">
        <is>
          <t>244</t>
        </is>
      </c>
      <c r="C1581" s="11" t="inlineStr">
        <is>
          <t>HC/tribunal/other</t>
        </is>
      </c>
      <c r="D1581" s="11" t="inlineStr">
        <is>
          <t>no</t>
        </is>
      </c>
      <c r="E1581" s="11" t="inlineStr">
        <is>
          <t>no</t>
        </is>
      </c>
      <c r="F1581" s="11" t="inlineStr"/>
      <c r="G1581" s="11" t="inlineStr"/>
      <c r="H1581" s="11" t="inlineStr">
        <is>
          <t>c25988</t>
        </is>
      </c>
      <c r="I1581" s="11" t="inlineStr">
        <is>
          <t>cite</t>
        </is>
      </c>
      <c r="J1581" s="11" t="inlineStr">
        <is>
          <t>no</t>
        </is>
      </c>
      <c r="K1581" s="11" t="inlineStr">
        <is>
          <t>no</t>
        </is>
      </c>
      <c r="L1581" s="11" t="inlineStr"/>
    </row>
    <row r="1582">
      <c r="A1582" s="11" t="inlineStr">
        <is>
          <t>1579</t>
        </is>
      </c>
      <c r="B1582" s="11" t="inlineStr">
        <is>
          <t>244</t>
        </is>
      </c>
      <c r="C1582" s="11" t="inlineStr">
        <is>
          <t>HC/tribunal/other</t>
        </is>
      </c>
      <c r="D1582" s="11" t="inlineStr">
        <is>
          <t>no</t>
        </is>
      </c>
      <c r="E1582" s="11" t="inlineStr">
        <is>
          <t>yes</t>
        </is>
      </c>
      <c r="F1582" s="11" t="inlineStr"/>
      <c r="G1582" s="11" t="inlineStr"/>
      <c r="H1582" s="11" t="inlineStr">
        <is>
          <t>c16766</t>
        </is>
      </c>
      <c r="I1582" s="11" t="inlineStr">
        <is>
          <t>name</t>
        </is>
      </c>
      <c r="J1582" s="11" t="inlineStr">
        <is>
          <t>no</t>
        </is>
      </c>
      <c r="K1582" s="11" t="inlineStr">
        <is>
          <t>no</t>
        </is>
      </c>
      <c r="L1582" s="11" t="inlineStr"/>
    </row>
    <row r="1583">
      <c r="A1583" s="11" t="inlineStr">
        <is>
          <t>1580</t>
        </is>
      </c>
      <c r="B1583" s="11" t="inlineStr">
        <is>
          <t>244</t>
        </is>
      </c>
      <c r="C1583" s="11" t="inlineStr">
        <is>
          <t>HC/tribunal/other</t>
        </is>
      </c>
      <c r="D1583" s="11" t="inlineStr">
        <is>
          <t>no</t>
        </is>
      </c>
      <c r="E1583" s="11" t="inlineStr">
        <is>
          <t>yes</t>
        </is>
      </c>
      <c r="F1583" s="11" t="inlineStr"/>
      <c r="G1583" s="11" t="inlineStr"/>
      <c r="H1583" s="11" t="inlineStr">
        <is>
          <t>c2978</t>
        </is>
      </c>
      <c r="I1583" s="11" t="inlineStr">
        <is>
          <t>cite</t>
        </is>
      </c>
      <c r="J1583" s="11" t="inlineStr">
        <is>
          <t>no</t>
        </is>
      </c>
      <c r="K1583" s="11" t="inlineStr">
        <is>
          <t>no</t>
        </is>
      </c>
      <c r="L1583" s="11" t="inlineStr"/>
    </row>
    <row r="1584">
      <c r="A1584" s="11" t="inlineStr">
        <is>
          <t>1581</t>
        </is>
      </c>
      <c r="B1584" s="11" t="inlineStr">
        <is>
          <t>244</t>
        </is>
      </c>
      <c r="C1584" s="11" t="inlineStr">
        <is>
          <t>HC/tribunal/other</t>
        </is>
      </c>
      <c r="D1584" s="11" t="inlineStr">
        <is>
          <t>no</t>
        </is>
      </c>
      <c r="E1584" s="11" t="inlineStr">
        <is>
          <t>no</t>
        </is>
      </c>
      <c r="F1584" s="11" t="inlineStr"/>
      <c r="G1584" s="11" t="inlineStr"/>
      <c r="H1584" s="11" t="inlineStr">
        <is>
          <t>c30094</t>
        </is>
      </c>
      <c r="I1584" s="11" t="inlineStr">
        <is>
          <t>name</t>
        </is>
      </c>
      <c r="J1584" s="11" t="inlineStr">
        <is>
          <t>no</t>
        </is>
      </c>
      <c r="K1584" s="11" t="inlineStr">
        <is>
          <t>no</t>
        </is>
      </c>
      <c r="L1584" s="11" t="inlineStr"/>
    </row>
    <row r="1585">
      <c r="A1585" s="11" t="inlineStr">
        <is>
          <t>1582</t>
        </is>
      </c>
      <c r="B1585" s="11" t="inlineStr">
        <is>
          <t>244</t>
        </is>
      </c>
      <c r="C1585" s="11" t="inlineStr">
        <is>
          <t>HC/tribunal/other</t>
        </is>
      </c>
      <c r="D1585" s="11" t="inlineStr">
        <is>
          <t>no</t>
        </is>
      </c>
      <c r="E1585" s="11" t="inlineStr">
        <is>
          <t>no</t>
        </is>
      </c>
      <c r="F1585" s="11" t="inlineStr"/>
      <c r="G1585" s="11" t="inlineStr"/>
      <c r="H1585" s="11" t="inlineStr">
        <is>
          <t>c30934</t>
        </is>
      </c>
      <c r="I1585" s="11" t="inlineStr">
        <is>
          <t>name</t>
        </is>
      </c>
      <c r="J1585" s="11" t="inlineStr">
        <is>
          <t>no</t>
        </is>
      </c>
      <c r="K1585" s="11" t="inlineStr">
        <is>
          <t>no</t>
        </is>
      </c>
      <c r="L1585" s="11" t="inlineStr"/>
    </row>
    <row r="1586">
      <c r="A1586" s="11" t="inlineStr">
        <is>
          <t>1583</t>
        </is>
      </c>
      <c r="B1586" s="11" t="inlineStr">
        <is>
          <t>245</t>
        </is>
      </c>
      <c r="C1586" s="11" t="inlineStr">
        <is>
          <t>HC/tribunal/other</t>
        </is>
      </c>
      <c r="D1586" s="11" t="inlineStr">
        <is>
          <t>no</t>
        </is>
      </c>
      <c r="E1586" s="11" t="inlineStr">
        <is>
          <t>no</t>
        </is>
      </c>
      <c r="F1586" s="11" t="inlineStr"/>
      <c r="G1586" s="11" t="inlineStr"/>
      <c r="H1586" s="11" t="inlineStr">
        <is>
          <t>c6649</t>
        </is>
      </c>
      <c r="I1586" s="11" t="inlineStr">
        <is>
          <t>cite</t>
        </is>
      </c>
      <c r="J1586" s="11" t="inlineStr">
        <is>
          <t>no</t>
        </is>
      </c>
      <c r="K1586" s="11" t="inlineStr">
        <is>
          <t>no</t>
        </is>
      </c>
      <c r="L1586" s="11" t="inlineStr"/>
    </row>
    <row r="1587">
      <c r="A1587" s="11" t="inlineStr">
        <is>
          <t>1584</t>
        </is>
      </c>
      <c r="B1587" s="11" t="inlineStr">
        <is>
          <t>245</t>
        </is>
      </c>
      <c r="C1587" s="11" t="inlineStr">
        <is>
          <t>HC/tribunal/other</t>
        </is>
      </c>
      <c r="D1587" s="11" t="inlineStr">
        <is>
          <t>no</t>
        </is>
      </c>
      <c r="E1587" s="11" t="inlineStr">
        <is>
          <t>no</t>
        </is>
      </c>
      <c r="F1587" s="11" t="inlineStr"/>
      <c r="G1587" s="11" t="inlineStr"/>
      <c r="H1587" s="11" t="inlineStr">
        <is>
          <t>c10198</t>
        </is>
      </c>
      <c r="I1587" s="11" t="inlineStr">
        <is>
          <t>cite</t>
        </is>
      </c>
      <c r="J1587" s="11" t="inlineStr">
        <is>
          <t>no</t>
        </is>
      </c>
      <c r="K1587" s="11" t="inlineStr">
        <is>
          <t>no</t>
        </is>
      </c>
      <c r="L1587" s="11" t="inlineStr"/>
    </row>
    <row r="1588">
      <c r="A1588" s="11" t="inlineStr">
        <is>
          <t>1585</t>
        </is>
      </c>
      <c r="B1588" s="11" t="inlineStr">
        <is>
          <t>245</t>
        </is>
      </c>
      <c r="C1588" s="11" t="inlineStr">
        <is>
          <t>HC/tribunal/other</t>
        </is>
      </c>
      <c r="D1588" s="11" t="inlineStr">
        <is>
          <t>yes</t>
        </is>
      </c>
      <c r="E1588" s="11" t="inlineStr">
        <is>
          <t>yes</t>
        </is>
      </c>
      <c r="F1588" s="11" t="inlineStr"/>
      <c r="G1588" s="11" t="inlineStr"/>
      <c r="H1588" s="11" t="inlineStr">
        <is>
          <t>c35525</t>
        </is>
      </c>
      <c r="I1588" s="11" t="inlineStr">
        <is>
          <t>cite</t>
        </is>
      </c>
      <c r="J1588" s="11" t="inlineStr">
        <is>
          <t>no</t>
        </is>
      </c>
      <c r="K1588" s="11" t="inlineStr">
        <is>
          <t>no</t>
        </is>
      </c>
      <c r="L1588" s="11" t="inlineStr"/>
    </row>
    <row r="1589">
      <c r="A1589" s="11" t="inlineStr">
        <is>
          <t>1586</t>
        </is>
      </c>
      <c r="B1589" s="11" t="inlineStr">
        <is>
          <t>245</t>
        </is>
      </c>
      <c r="C1589" s="11" t="inlineStr">
        <is>
          <t>HC/tribunal/other</t>
        </is>
      </c>
      <c r="D1589" s="11" t="inlineStr">
        <is>
          <t>no</t>
        </is>
      </c>
      <c r="E1589" s="11" t="inlineStr">
        <is>
          <t>yes</t>
        </is>
      </c>
      <c r="F1589" s="11" t="inlineStr"/>
      <c r="G1589" s="11" t="inlineStr"/>
      <c r="H1589" s="11" t="inlineStr"/>
      <c r="I1589" s="11" t="inlineStr"/>
      <c r="J1589" s="11" t="inlineStr">
        <is>
          <t>no</t>
        </is>
      </c>
      <c r="K1589" s="11" t="inlineStr">
        <is>
          <t>no</t>
        </is>
      </c>
      <c r="L1589" s="11" t="inlineStr"/>
    </row>
    <row r="1590">
      <c r="A1590" s="11" t="inlineStr">
        <is>
          <t>1587</t>
        </is>
      </c>
      <c r="B1590" s="11" t="inlineStr">
        <is>
          <t>245</t>
        </is>
      </c>
      <c r="C1590" s="11" t="inlineStr">
        <is>
          <t>HC/tribunal/other</t>
        </is>
      </c>
      <c r="D1590" s="11" t="inlineStr">
        <is>
          <t>yes</t>
        </is>
      </c>
      <c r="E1590" s="11" t="inlineStr">
        <is>
          <t>no</t>
        </is>
      </c>
      <c r="F1590" s="11" t="inlineStr"/>
      <c r="G1590" s="11" t="inlineStr"/>
      <c r="H1590" s="11" t="inlineStr">
        <is>
          <t>c7523</t>
        </is>
      </c>
      <c r="I1590" s="11" t="inlineStr">
        <is>
          <t>cite</t>
        </is>
      </c>
      <c r="J1590" s="11" t="inlineStr">
        <is>
          <t>no</t>
        </is>
      </c>
      <c r="K1590" s="11" t="inlineStr">
        <is>
          <t>no</t>
        </is>
      </c>
      <c r="L1590" s="11" t="inlineStr"/>
    </row>
    <row r="1591">
      <c r="A1591" s="11" t="inlineStr">
        <is>
          <t>1588</t>
        </is>
      </c>
      <c r="B1591" s="11" t="inlineStr">
        <is>
          <t>245</t>
        </is>
      </c>
      <c r="C1591" s="11" t="inlineStr">
        <is>
          <t>HC/tribunal/other</t>
        </is>
      </c>
      <c r="D1591" s="11" t="inlineStr">
        <is>
          <t>no</t>
        </is>
      </c>
      <c r="E1591" s="11" t="inlineStr">
        <is>
          <t>no</t>
        </is>
      </c>
      <c r="F1591" s="11" t="inlineStr"/>
      <c r="G1591" s="11" t="inlineStr"/>
      <c r="H1591" s="11" t="inlineStr">
        <is>
          <t>c4365</t>
        </is>
      </c>
      <c r="I1591" s="11" t="inlineStr">
        <is>
          <t>cite</t>
        </is>
      </c>
      <c r="J1591" s="11" t="inlineStr">
        <is>
          <t>no</t>
        </is>
      </c>
      <c r="K1591" s="11" t="inlineStr">
        <is>
          <t>no</t>
        </is>
      </c>
      <c r="L1591" s="11" t="inlineStr"/>
    </row>
    <row r="1592">
      <c r="A1592" s="11" t="inlineStr">
        <is>
          <t>1589</t>
        </is>
      </c>
      <c r="B1592" s="11" t="inlineStr">
        <is>
          <t>245</t>
        </is>
      </c>
      <c r="C1592" s="11" t="inlineStr">
        <is>
          <t>HC/tribunal/other</t>
        </is>
      </c>
      <c r="D1592" s="11" t="inlineStr">
        <is>
          <t>yes</t>
        </is>
      </c>
      <c r="E1592" s="11" t="inlineStr">
        <is>
          <t>no</t>
        </is>
      </c>
      <c r="F1592" s="11" t="inlineStr"/>
      <c r="G1592" s="11" t="inlineStr"/>
      <c r="H1592" s="11" t="inlineStr">
        <is>
          <t>c29825</t>
        </is>
      </c>
      <c r="I1592" s="11" t="inlineStr">
        <is>
          <t>name</t>
        </is>
      </c>
      <c r="J1592" s="11" t="inlineStr">
        <is>
          <t>no</t>
        </is>
      </c>
      <c r="K1592" s="11" t="inlineStr">
        <is>
          <t>no</t>
        </is>
      </c>
      <c r="L1592" s="11" t="inlineStr"/>
    </row>
    <row r="1593">
      <c r="A1593" s="11" t="inlineStr">
        <is>
          <t>1590</t>
        </is>
      </c>
      <c r="B1593" s="11" t="inlineStr">
        <is>
          <t>246</t>
        </is>
      </c>
      <c r="C1593" s="11" t="inlineStr">
        <is>
          <t>HC/tribunal/other</t>
        </is>
      </c>
      <c r="D1593" s="11" t="inlineStr">
        <is>
          <t>yes</t>
        </is>
      </c>
      <c r="E1593" s="11" t="inlineStr">
        <is>
          <t>yes</t>
        </is>
      </c>
      <c r="F1593" s="11" t="inlineStr"/>
      <c r="G1593" s="11" t="inlineStr"/>
      <c r="H1593" s="11" t="inlineStr">
        <is>
          <t>c6214</t>
        </is>
      </c>
      <c r="I1593" s="11" t="inlineStr">
        <is>
          <t>cite</t>
        </is>
      </c>
      <c r="J1593" s="11" t="inlineStr">
        <is>
          <t>no</t>
        </is>
      </c>
      <c r="K1593" s="11" t="inlineStr">
        <is>
          <t>no</t>
        </is>
      </c>
      <c r="L1593" s="11" t="inlineStr"/>
    </row>
    <row r="1594">
      <c r="A1594" s="11" t="inlineStr">
        <is>
          <t>1591</t>
        </is>
      </c>
      <c r="B1594" s="11" t="inlineStr">
        <is>
          <t>246</t>
        </is>
      </c>
      <c r="C1594" s="11" t="inlineStr">
        <is>
          <t>HC/tribunal/other</t>
        </is>
      </c>
      <c r="D1594" s="11" t="inlineStr">
        <is>
          <t>no</t>
        </is>
      </c>
      <c r="E1594" s="11" t="inlineStr">
        <is>
          <t>no</t>
        </is>
      </c>
      <c r="F1594" s="11" t="inlineStr"/>
      <c r="G1594" s="11" t="inlineStr"/>
      <c r="H1594" s="11" t="inlineStr">
        <is>
          <t>c20422</t>
        </is>
      </c>
      <c r="I1594" s="11" t="inlineStr">
        <is>
          <t>cite</t>
        </is>
      </c>
      <c r="J1594" s="11" t="inlineStr">
        <is>
          <t>no</t>
        </is>
      </c>
      <c r="K1594" s="11" t="inlineStr">
        <is>
          <t>no</t>
        </is>
      </c>
      <c r="L1594" s="11" t="inlineStr"/>
    </row>
    <row r="1595">
      <c r="A1595" s="11" t="inlineStr">
        <is>
          <t>1592</t>
        </is>
      </c>
      <c r="B1595" s="11" t="inlineStr">
        <is>
          <t>246</t>
        </is>
      </c>
      <c r="C1595" s="11" t="inlineStr">
        <is>
          <t>HC/tribunal/other</t>
        </is>
      </c>
      <c r="D1595" s="11" t="inlineStr">
        <is>
          <t>yes</t>
        </is>
      </c>
      <c r="E1595" s="11" t="inlineStr">
        <is>
          <t>no</t>
        </is>
      </c>
      <c r="F1595" s="11" t="inlineStr"/>
      <c r="G1595" s="11" t="inlineStr"/>
      <c r="H1595" s="11" t="inlineStr">
        <is>
          <t>c38487</t>
        </is>
      </c>
      <c r="I1595" s="11" t="inlineStr">
        <is>
          <t>name</t>
        </is>
      </c>
      <c r="J1595" s="11" t="inlineStr">
        <is>
          <t>no</t>
        </is>
      </c>
      <c r="K1595" s="11" t="inlineStr">
        <is>
          <t>no</t>
        </is>
      </c>
      <c r="L1595" s="11" t="inlineStr"/>
    </row>
    <row r="1596">
      <c r="A1596" s="11" t="inlineStr">
        <is>
          <t>1593</t>
        </is>
      </c>
      <c r="B1596" s="11" t="inlineStr">
        <is>
          <t>246</t>
        </is>
      </c>
      <c r="C1596" s="11" t="inlineStr">
        <is>
          <t>HC/tribunal/other</t>
        </is>
      </c>
      <c r="D1596" s="11" t="inlineStr">
        <is>
          <t>no</t>
        </is>
      </c>
      <c r="E1596" s="11" t="inlineStr">
        <is>
          <t>no</t>
        </is>
      </c>
      <c r="F1596" s="11" t="inlineStr"/>
      <c r="G1596" s="11" t="inlineStr"/>
      <c r="H1596" s="11" t="inlineStr">
        <is>
          <t>c30669</t>
        </is>
      </c>
      <c r="I1596" s="11" t="inlineStr">
        <is>
          <t>name</t>
        </is>
      </c>
      <c r="J1596" s="11" t="inlineStr">
        <is>
          <t>no</t>
        </is>
      </c>
      <c r="K1596" s="11" t="inlineStr">
        <is>
          <t>no</t>
        </is>
      </c>
      <c r="L1596" s="11" t="inlineStr"/>
    </row>
    <row r="1597">
      <c r="A1597" s="11" t="inlineStr">
        <is>
          <t>1594</t>
        </is>
      </c>
      <c r="B1597" s="11" t="inlineStr">
        <is>
          <t>246</t>
        </is>
      </c>
      <c r="C1597" s="11" t="inlineStr">
        <is>
          <t>HC/tribunal/other</t>
        </is>
      </c>
      <c r="D1597" s="11" t="inlineStr">
        <is>
          <t>yes</t>
        </is>
      </c>
      <c r="E1597" s="11" t="inlineStr">
        <is>
          <t>no</t>
        </is>
      </c>
      <c r="F1597" s="11" t="inlineStr"/>
      <c r="G1597" s="11" t="inlineStr"/>
      <c r="H1597" s="11" t="inlineStr">
        <is>
          <t>c28739</t>
        </is>
      </c>
      <c r="I1597" s="11" t="inlineStr">
        <is>
          <t>cite</t>
        </is>
      </c>
      <c r="J1597" s="11" t="inlineStr">
        <is>
          <t>no</t>
        </is>
      </c>
      <c r="K1597" s="11" t="inlineStr">
        <is>
          <t>no</t>
        </is>
      </c>
      <c r="L1597" s="11" t="inlineStr"/>
    </row>
    <row r="1598">
      <c r="A1598" s="11" t="inlineStr">
        <is>
          <t>1595</t>
        </is>
      </c>
      <c r="B1598" s="11" t="inlineStr">
        <is>
          <t>246</t>
        </is>
      </c>
      <c r="C1598" s="11" t="inlineStr">
        <is>
          <t>HC/tribunal/other</t>
        </is>
      </c>
      <c r="D1598" s="11" t="inlineStr">
        <is>
          <t>yes</t>
        </is>
      </c>
      <c r="E1598" s="11" t="inlineStr">
        <is>
          <t>no</t>
        </is>
      </c>
      <c r="F1598" s="11" t="inlineStr"/>
      <c r="G1598" s="11" t="inlineStr"/>
      <c r="H1598" s="11" t="inlineStr">
        <is>
          <t>c38421</t>
        </is>
      </c>
      <c r="I1598" s="11" t="inlineStr">
        <is>
          <t>name</t>
        </is>
      </c>
      <c r="J1598" s="11" t="inlineStr">
        <is>
          <t>no</t>
        </is>
      </c>
      <c r="K1598" s="11" t="inlineStr">
        <is>
          <t>no</t>
        </is>
      </c>
      <c r="L1598" s="11" t="inlineStr"/>
    </row>
    <row r="1599">
      <c r="A1599" s="11" t="inlineStr">
        <is>
          <t>1596</t>
        </is>
      </c>
      <c r="B1599" s="11" t="inlineStr">
        <is>
          <t>246</t>
        </is>
      </c>
      <c r="C1599" s="11" t="inlineStr">
        <is>
          <t>HC/tribunal/other</t>
        </is>
      </c>
      <c r="D1599" s="11" t="inlineStr">
        <is>
          <t>no</t>
        </is>
      </c>
      <c r="E1599" s="11" t="inlineStr">
        <is>
          <t>no</t>
        </is>
      </c>
      <c r="F1599" s="11" t="inlineStr"/>
      <c r="G1599" s="11" t="inlineStr"/>
      <c r="H1599" s="11" t="inlineStr"/>
      <c r="I1599" s="11" t="inlineStr"/>
      <c r="J1599" s="11" t="inlineStr">
        <is>
          <t>no</t>
        </is>
      </c>
      <c r="K1599" s="11" t="inlineStr">
        <is>
          <t>no</t>
        </is>
      </c>
      <c r="L1599" s="11" t="inlineStr"/>
    </row>
    <row r="1600">
      <c r="A1600" s="11" t="inlineStr">
        <is>
          <t>1597</t>
        </is>
      </c>
      <c r="B1600" s="11" t="inlineStr">
        <is>
          <t>246</t>
        </is>
      </c>
      <c r="C1600" s="11" t="inlineStr">
        <is>
          <t>HC/tribunal/other</t>
        </is>
      </c>
      <c r="D1600" s="11" t="inlineStr">
        <is>
          <t>no</t>
        </is>
      </c>
      <c r="E1600" s="11" t="inlineStr">
        <is>
          <t>no</t>
        </is>
      </c>
      <c r="F1600" s="11" t="inlineStr"/>
      <c r="G1600" s="11" t="inlineStr"/>
      <c r="H1600" s="11" t="inlineStr">
        <is>
          <t>c19059</t>
        </is>
      </c>
      <c r="I1600" s="11" t="inlineStr">
        <is>
          <t>name</t>
        </is>
      </c>
      <c r="J1600" s="11" t="inlineStr">
        <is>
          <t>no</t>
        </is>
      </c>
      <c r="K1600" s="11" t="inlineStr">
        <is>
          <t>no</t>
        </is>
      </c>
      <c r="L1600" s="11" t="inlineStr"/>
    </row>
    <row r="1601">
      <c r="A1601" s="11" t="inlineStr">
        <is>
          <t>1598</t>
        </is>
      </c>
      <c r="B1601" s="11" t="inlineStr">
        <is>
          <t>247</t>
        </is>
      </c>
      <c r="C1601" s="11" t="inlineStr">
        <is>
          <t>HC/tribunal/other</t>
        </is>
      </c>
      <c r="D1601" s="11" t="inlineStr">
        <is>
          <t>no</t>
        </is>
      </c>
      <c r="E1601" s="11" t="inlineStr">
        <is>
          <t>no</t>
        </is>
      </c>
      <c r="F1601" s="11" t="inlineStr"/>
      <c r="G1601" s="11" t="inlineStr"/>
      <c r="H1601" s="11" t="inlineStr">
        <is>
          <t>c29940</t>
        </is>
      </c>
      <c r="I1601" s="11" t="inlineStr">
        <is>
          <t>cite</t>
        </is>
      </c>
      <c r="J1601" s="11" t="inlineStr">
        <is>
          <t>no</t>
        </is>
      </c>
      <c r="K1601" s="11" t="inlineStr">
        <is>
          <t>no</t>
        </is>
      </c>
      <c r="L1601" s="11" t="inlineStr"/>
    </row>
    <row r="1602">
      <c r="A1602" s="11" t="inlineStr">
        <is>
          <t>1599</t>
        </is>
      </c>
      <c r="B1602" s="11" t="inlineStr">
        <is>
          <t>247</t>
        </is>
      </c>
      <c r="C1602" s="11" t="inlineStr">
        <is>
          <t>HC/tribunal/other</t>
        </is>
      </c>
      <c r="D1602" s="11" t="inlineStr">
        <is>
          <t>no</t>
        </is>
      </c>
      <c r="E1602" s="11" t="inlineStr">
        <is>
          <t>no</t>
        </is>
      </c>
      <c r="F1602" s="11" t="inlineStr"/>
      <c r="G1602" s="11" t="inlineStr"/>
      <c r="H1602" s="11" t="inlineStr">
        <is>
          <t>c28746</t>
        </is>
      </c>
      <c r="I1602" s="11" t="inlineStr">
        <is>
          <t>cite</t>
        </is>
      </c>
      <c r="J1602" s="11" t="inlineStr">
        <is>
          <t>no</t>
        </is>
      </c>
      <c r="K1602" s="11" t="inlineStr">
        <is>
          <t>no</t>
        </is>
      </c>
      <c r="L1602" s="11" t="inlineStr"/>
    </row>
    <row r="1603">
      <c r="A1603" s="11" t="inlineStr">
        <is>
          <t>1600</t>
        </is>
      </c>
      <c r="B1603" s="11" t="inlineStr">
        <is>
          <t>247</t>
        </is>
      </c>
      <c r="C1603" s="11" t="inlineStr">
        <is>
          <t>HC/tribunal/other</t>
        </is>
      </c>
      <c r="D1603" s="11" t="inlineStr">
        <is>
          <t>no</t>
        </is>
      </c>
      <c r="E1603" s="11" t="inlineStr">
        <is>
          <t>no</t>
        </is>
      </c>
      <c r="F1603" s="11" t="inlineStr"/>
      <c r="G1603" s="11" t="inlineStr"/>
      <c r="H1603" s="11" t="inlineStr"/>
      <c r="I1603" s="11" t="inlineStr"/>
      <c r="J1603" s="11" t="inlineStr">
        <is>
          <t>no</t>
        </is>
      </c>
      <c r="K1603" s="11" t="inlineStr">
        <is>
          <t>no</t>
        </is>
      </c>
      <c r="L1603" s="11" t="inlineStr"/>
    </row>
    <row r="1604">
      <c r="A1604" s="11" t="inlineStr">
        <is>
          <t>1601</t>
        </is>
      </c>
      <c r="B1604" s="11" t="inlineStr">
        <is>
          <t>247</t>
        </is>
      </c>
      <c r="C1604" s="11" t="inlineStr">
        <is>
          <t>HC/tribunal/other</t>
        </is>
      </c>
      <c r="D1604" s="11" t="inlineStr">
        <is>
          <t>yes</t>
        </is>
      </c>
      <c r="E1604" s="11" t="inlineStr">
        <is>
          <t>yes</t>
        </is>
      </c>
      <c r="F1604" s="11" t="inlineStr"/>
      <c r="G1604" s="11" t="inlineStr"/>
      <c r="H1604" s="11" t="inlineStr">
        <is>
          <t>c32306</t>
        </is>
      </c>
      <c r="I1604" s="11" t="inlineStr">
        <is>
          <t>name</t>
        </is>
      </c>
      <c r="J1604" s="11" t="inlineStr">
        <is>
          <t>no</t>
        </is>
      </c>
      <c r="K1604" s="11" t="inlineStr">
        <is>
          <t>no</t>
        </is>
      </c>
      <c r="L1604" s="11" t="inlineStr"/>
    </row>
    <row r="1605">
      <c r="A1605" s="11" t="inlineStr">
        <is>
          <t>1602</t>
        </is>
      </c>
      <c r="B1605" s="11" t="inlineStr">
        <is>
          <t>247</t>
        </is>
      </c>
      <c r="C1605" s="11" t="inlineStr">
        <is>
          <t>HC/tribunal/other</t>
        </is>
      </c>
      <c r="D1605" s="11" t="inlineStr">
        <is>
          <t>no</t>
        </is>
      </c>
      <c r="E1605" s="11" t="inlineStr">
        <is>
          <t>no</t>
        </is>
      </c>
      <c r="F1605" s="11" t="inlineStr"/>
      <c r="G1605" s="11" t="inlineStr"/>
      <c r="H1605" s="11" t="inlineStr"/>
      <c r="I1605" s="11" t="inlineStr"/>
      <c r="J1605" s="11" t="inlineStr">
        <is>
          <t>no</t>
        </is>
      </c>
      <c r="K1605" s="11" t="inlineStr">
        <is>
          <t>no</t>
        </is>
      </c>
      <c r="L1605" s="11" t="inlineStr"/>
    </row>
    <row r="1606">
      <c r="A1606" s="11" t="inlineStr">
        <is>
          <t>1603</t>
        </is>
      </c>
      <c r="B1606" s="11" t="inlineStr">
        <is>
          <t>247</t>
        </is>
      </c>
      <c r="C1606" s="11" t="inlineStr">
        <is>
          <t>HC/tribunal/other</t>
        </is>
      </c>
      <c r="D1606" s="11" t="inlineStr">
        <is>
          <t>no</t>
        </is>
      </c>
      <c r="E1606" s="11" t="inlineStr">
        <is>
          <t>no</t>
        </is>
      </c>
      <c r="F1606" s="11" t="inlineStr"/>
      <c r="G1606" s="11" t="inlineStr"/>
      <c r="H1606" s="11" t="inlineStr">
        <is>
          <t>c30674</t>
        </is>
      </c>
      <c r="I1606" s="11" t="inlineStr">
        <is>
          <t>name</t>
        </is>
      </c>
      <c r="J1606" s="11" t="inlineStr">
        <is>
          <t>no</t>
        </is>
      </c>
      <c r="K1606" s="11" t="inlineStr">
        <is>
          <t>no</t>
        </is>
      </c>
      <c r="L1606" s="11" t="inlineStr"/>
    </row>
    <row r="1607">
      <c r="A1607" s="11" t="inlineStr">
        <is>
          <t>1604</t>
        </is>
      </c>
      <c r="B1607" s="11" t="inlineStr">
        <is>
          <t>247</t>
        </is>
      </c>
      <c r="C1607" s="11" t="inlineStr">
        <is>
          <t>HC/tribunal/other</t>
        </is>
      </c>
      <c r="D1607" s="11" t="inlineStr">
        <is>
          <t>no</t>
        </is>
      </c>
      <c r="E1607" s="11" t="inlineStr">
        <is>
          <t>no</t>
        </is>
      </c>
      <c r="F1607" s="11" t="inlineStr"/>
      <c r="G1607" s="11" t="inlineStr"/>
      <c r="H1607" s="11" t="inlineStr">
        <is>
          <t>c27992</t>
        </is>
      </c>
      <c r="I1607" s="11" t="inlineStr">
        <is>
          <t>name</t>
        </is>
      </c>
      <c r="J1607" s="11" t="inlineStr">
        <is>
          <t>no</t>
        </is>
      </c>
      <c r="K1607" s="11" t="inlineStr">
        <is>
          <t>no</t>
        </is>
      </c>
      <c r="L1607" s="11" t="inlineStr"/>
    </row>
    <row r="1608">
      <c r="A1608" s="11" t="inlineStr">
        <is>
          <t>1605</t>
        </is>
      </c>
      <c r="B1608" s="11" t="inlineStr">
        <is>
          <t>248</t>
        </is>
      </c>
      <c r="C1608" s="11" t="inlineStr">
        <is>
          <t>HC/tribunal/other</t>
        </is>
      </c>
      <c r="D1608" s="11" t="inlineStr">
        <is>
          <t>no</t>
        </is>
      </c>
      <c r="E1608" s="11" t="inlineStr">
        <is>
          <t>no</t>
        </is>
      </c>
      <c r="F1608" s="11" t="inlineStr"/>
      <c r="G1608" s="11" t="inlineStr"/>
      <c r="H1608" s="11" t="inlineStr">
        <is>
          <t>c17814</t>
        </is>
      </c>
      <c r="I1608" s="11" t="inlineStr">
        <is>
          <t>cite</t>
        </is>
      </c>
      <c r="J1608" s="11" t="inlineStr">
        <is>
          <t>no</t>
        </is>
      </c>
      <c r="K1608" s="11" t="inlineStr">
        <is>
          <t>no</t>
        </is>
      </c>
      <c r="L1608" s="11" t="inlineStr"/>
    </row>
    <row r="1609">
      <c r="A1609" s="11" t="inlineStr">
        <is>
          <t>1606</t>
        </is>
      </c>
      <c r="B1609" s="11" t="inlineStr">
        <is>
          <t>248</t>
        </is>
      </c>
      <c r="C1609" s="11" t="inlineStr">
        <is>
          <t>HC/tribunal/other</t>
        </is>
      </c>
      <c r="D1609" s="11" t="inlineStr">
        <is>
          <t>yes</t>
        </is>
      </c>
      <c r="E1609" s="11" t="inlineStr">
        <is>
          <t>no</t>
        </is>
      </c>
      <c r="F1609" s="11" t="inlineStr"/>
      <c r="G1609" s="11" t="inlineStr"/>
      <c r="H1609" s="11" t="inlineStr">
        <is>
          <t>c28131</t>
        </is>
      </c>
      <c r="I1609" s="11" t="inlineStr">
        <is>
          <t>name</t>
        </is>
      </c>
      <c r="J1609" s="11" t="inlineStr">
        <is>
          <t>no</t>
        </is>
      </c>
      <c r="K1609" s="11" t="inlineStr">
        <is>
          <t>no</t>
        </is>
      </c>
      <c r="L1609" s="11" t="inlineStr"/>
    </row>
    <row r="1610">
      <c r="A1610" s="11" t="inlineStr">
        <is>
          <t>1607</t>
        </is>
      </c>
      <c r="B1610" s="11" t="inlineStr">
        <is>
          <t>248</t>
        </is>
      </c>
      <c r="C1610" s="11" t="inlineStr">
        <is>
          <t>HC/tribunal/other</t>
        </is>
      </c>
      <c r="D1610" s="11" t="inlineStr">
        <is>
          <t>yes</t>
        </is>
      </c>
      <c r="E1610" s="11" t="inlineStr">
        <is>
          <t>no</t>
        </is>
      </c>
      <c r="F1610" s="11" t="inlineStr"/>
      <c r="G1610" s="11" t="inlineStr"/>
      <c r="H1610" s="11" t="inlineStr">
        <is>
          <t>c37804</t>
        </is>
      </c>
      <c r="I1610" s="11" t="inlineStr">
        <is>
          <t>cite</t>
        </is>
      </c>
      <c r="J1610" s="11" t="inlineStr">
        <is>
          <t>no</t>
        </is>
      </c>
      <c r="K1610" s="11" t="inlineStr">
        <is>
          <t>no</t>
        </is>
      </c>
      <c r="L1610" s="11" t="inlineStr"/>
    </row>
    <row r="1611">
      <c r="A1611" s="11" t="inlineStr">
        <is>
          <t>1608</t>
        </is>
      </c>
      <c r="B1611" s="11" t="inlineStr">
        <is>
          <t>248</t>
        </is>
      </c>
      <c r="C1611" s="11" t="inlineStr">
        <is>
          <t>HC/tribunal/other</t>
        </is>
      </c>
      <c r="D1611" s="11" t="inlineStr">
        <is>
          <t>yes</t>
        </is>
      </c>
      <c r="E1611" s="11" t="inlineStr">
        <is>
          <t>yes</t>
        </is>
      </c>
      <c r="F1611" s="11" t="inlineStr"/>
      <c r="G1611" s="11" t="inlineStr"/>
      <c r="H1611" s="11" t="inlineStr">
        <is>
          <t>c30994</t>
        </is>
      </c>
      <c r="I1611" s="11" t="inlineStr">
        <is>
          <t>name</t>
        </is>
      </c>
      <c r="J1611" s="11" t="inlineStr">
        <is>
          <t>no</t>
        </is>
      </c>
      <c r="K1611" s="11" t="inlineStr">
        <is>
          <t>no</t>
        </is>
      </c>
      <c r="L1611" s="11" t="inlineStr"/>
    </row>
    <row r="1612">
      <c r="A1612" s="11" t="inlineStr">
        <is>
          <t>1609</t>
        </is>
      </c>
      <c r="B1612" s="11" t="inlineStr">
        <is>
          <t>248</t>
        </is>
      </c>
      <c r="C1612" s="11" t="inlineStr">
        <is>
          <t>HC/tribunal/other</t>
        </is>
      </c>
      <c r="D1612" s="11" t="inlineStr">
        <is>
          <t>no</t>
        </is>
      </c>
      <c r="E1612" s="11" t="inlineStr">
        <is>
          <t>yes</t>
        </is>
      </c>
      <c r="F1612" s="11" t="inlineStr"/>
      <c r="G1612" s="11" t="inlineStr"/>
      <c r="H1612" s="11" t="inlineStr">
        <is>
          <t>c18139</t>
        </is>
      </c>
      <c r="I1612" s="11" t="inlineStr">
        <is>
          <t>name</t>
        </is>
      </c>
      <c r="J1612" s="11" t="inlineStr">
        <is>
          <t>no</t>
        </is>
      </c>
      <c r="K1612" s="11" t="inlineStr">
        <is>
          <t>no</t>
        </is>
      </c>
      <c r="L1612" s="11" t="inlineStr"/>
    </row>
    <row r="1613">
      <c r="A1613" s="11" t="inlineStr">
        <is>
          <t>1610</t>
        </is>
      </c>
      <c r="B1613" s="11" t="inlineStr">
        <is>
          <t>248</t>
        </is>
      </c>
      <c r="C1613" s="11" t="inlineStr">
        <is>
          <t>HC/tribunal/other</t>
        </is>
      </c>
      <c r="D1613" s="11" t="inlineStr">
        <is>
          <t>no</t>
        </is>
      </c>
      <c r="E1613" s="11" t="inlineStr">
        <is>
          <t>no</t>
        </is>
      </c>
      <c r="F1613" s="11" t="inlineStr"/>
      <c r="G1613" s="11" t="inlineStr"/>
      <c r="H1613" s="11" t="inlineStr">
        <is>
          <t>c30429</t>
        </is>
      </c>
      <c r="I1613" s="11" t="inlineStr">
        <is>
          <t>name</t>
        </is>
      </c>
      <c r="J1613" s="11" t="inlineStr">
        <is>
          <t>no</t>
        </is>
      </c>
      <c r="K1613" s="11" t="inlineStr">
        <is>
          <t>no</t>
        </is>
      </c>
      <c r="L1613" s="11" t="inlineStr"/>
    </row>
    <row r="1614">
      <c r="A1614" s="11" t="inlineStr">
        <is>
          <t>1611</t>
        </is>
      </c>
      <c r="B1614" s="11" t="inlineStr">
        <is>
          <t>249</t>
        </is>
      </c>
      <c r="C1614" s="11" t="inlineStr">
        <is>
          <t>HC/tribunal/other</t>
        </is>
      </c>
      <c r="D1614" s="11" t="inlineStr">
        <is>
          <t>yes</t>
        </is>
      </c>
      <c r="E1614" s="11" t="inlineStr">
        <is>
          <t>no</t>
        </is>
      </c>
      <c r="F1614" s="11" t="inlineStr"/>
      <c r="G1614" s="11" t="inlineStr"/>
      <c r="H1614" s="11" t="inlineStr">
        <is>
          <t>c34362</t>
        </is>
      </c>
      <c r="I1614" s="11" t="inlineStr">
        <is>
          <t>cite</t>
        </is>
      </c>
      <c r="J1614" s="11" t="inlineStr">
        <is>
          <t>no</t>
        </is>
      </c>
      <c r="K1614" s="11" t="inlineStr">
        <is>
          <t>no</t>
        </is>
      </c>
      <c r="L1614" s="11" t="inlineStr"/>
    </row>
    <row r="1615">
      <c r="A1615" s="11" t="inlineStr">
        <is>
          <t>1612</t>
        </is>
      </c>
      <c r="B1615" s="11" t="inlineStr">
        <is>
          <t>249</t>
        </is>
      </c>
      <c r="C1615" s="11" t="inlineStr">
        <is>
          <t>HC/tribunal/other</t>
        </is>
      </c>
      <c r="D1615" s="11" t="inlineStr">
        <is>
          <t>no</t>
        </is>
      </c>
      <c r="E1615" s="11" t="inlineStr">
        <is>
          <t>no</t>
        </is>
      </c>
      <c r="F1615" s="11" t="inlineStr"/>
      <c r="G1615" s="11" t="inlineStr"/>
      <c r="H1615" s="11" t="inlineStr">
        <is>
          <t>c26814</t>
        </is>
      </c>
      <c r="I1615" s="11" t="inlineStr">
        <is>
          <t>cite</t>
        </is>
      </c>
      <c r="J1615" s="11" t="inlineStr">
        <is>
          <t>no</t>
        </is>
      </c>
      <c r="K1615" s="11" t="inlineStr">
        <is>
          <t>no</t>
        </is>
      </c>
      <c r="L1615" s="11" t="inlineStr"/>
    </row>
    <row r="1616">
      <c r="A1616" s="11" t="inlineStr">
        <is>
          <t>1613</t>
        </is>
      </c>
      <c r="B1616" s="11" t="inlineStr">
        <is>
          <t>249</t>
        </is>
      </c>
      <c r="C1616" s="11" t="inlineStr">
        <is>
          <t>HC/tribunal/other</t>
        </is>
      </c>
      <c r="D1616" s="11" t="inlineStr">
        <is>
          <t>no</t>
        </is>
      </c>
      <c r="E1616" s="11" t="inlineStr">
        <is>
          <t>no</t>
        </is>
      </c>
      <c r="F1616" s="11" t="inlineStr"/>
      <c r="G1616" s="11" t="inlineStr"/>
      <c r="H1616" s="11" t="inlineStr">
        <is>
          <t>c34370</t>
        </is>
      </c>
      <c r="I1616" s="11" t="inlineStr">
        <is>
          <t>cite</t>
        </is>
      </c>
      <c r="J1616" s="11" t="inlineStr">
        <is>
          <t>no</t>
        </is>
      </c>
      <c r="K1616" s="11" t="inlineStr">
        <is>
          <t>no</t>
        </is>
      </c>
      <c r="L1616" s="11" t="inlineStr"/>
    </row>
    <row r="1617">
      <c r="A1617" s="11" t="inlineStr">
        <is>
          <t>1614</t>
        </is>
      </c>
      <c r="B1617" s="11" t="inlineStr">
        <is>
          <t>249</t>
        </is>
      </c>
      <c r="C1617" s="11" t="inlineStr">
        <is>
          <t>HC/tribunal/other</t>
        </is>
      </c>
      <c r="D1617" s="11" t="inlineStr">
        <is>
          <t>no</t>
        </is>
      </c>
      <c r="E1617" s="11" t="inlineStr">
        <is>
          <t>no</t>
        </is>
      </c>
      <c r="F1617" s="11" t="inlineStr"/>
      <c r="G1617" s="11" t="inlineStr"/>
      <c r="H1617" s="11" t="inlineStr">
        <is>
          <t>c15477</t>
        </is>
      </c>
      <c r="I1617" s="11" t="inlineStr">
        <is>
          <t>cite</t>
        </is>
      </c>
      <c r="J1617" s="11" t="inlineStr">
        <is>
          <t>no</t>
        </is>
      </c>
      <c r="K1617" s="11" t="inlineStr">
        <is>
          <t>no</t>
        </is>
      </c>
      <c r="L1617" s="11" t="inlineStr"/>
    </row>
    <row r="1618">
      <c r="A1618" s="11" t="inlineStr">
        <is>
          <t>1615</t>
        </is>
      </c>
      <c r="B1618" s="11" t="inlineStr">
        <is>
          <t>249</t>
        </is>
      </c>
      <c r="C1618" s="11" t="inlineStr">
        <is>
          <t>HC/tribunal/other</t>
        </is>
      </c>
      <c r="D1618" s="11" t="inlineStr">
        <is>
          <t>yes</t>
        </is>
      </c>
      <c r="E1618" s="11" t="inlineStr">
        <is>
          <t>no</t>
        </is>
      </c>
      <c r="F1618" s="11" t="inlineStr"/>
      <c r="G1618" s="11" t="inlineStr"/>
      <c r="H1618" s="11" t="inlineStr">
        <is>
          <t>c30704</t>
        </is>
      </c>
      <c r="I1618" s="11" t="inlineStr">
        <is>
          <t>name</t>
        </is>
      </c>
      <c r="J1618" s="11" t="inlineStr">
        <is>
          <t>no</t>
        </is>
      </c>
      <c r="K1618" s="11" t="inlineStr">
        <is>
          <t>no</t>
        </is>
      </c>
      <c r="L1618" s="11" t="inlineStr"/>
    </row>
    <row r="1619">
      <c r="A1619" s="11" t="inlineStr">
        <is>
          <t>1616</t>
        </is>
      </c>
      <c r="B1619" s="11" t="inlineStr">
        <is>
          <t>249</t>
        </is>
      </c>
      <c r="C1619" s="11" t="inlineStr">
        <is>
          <t>HC/tribunal/other</t>
        </is>
      </c>
      <c r="D1619" s="11" t="inlineStr">
        <is>
          <t>no</t>
        </is>
      </c>
      <c r="E1619" s="11" t="inlineStr">
        <is>
          <t>no</t>
        </is>
      </c>
      <c r="F1619" s="11" t="inlineStr"/>
      <c r="G1619" s="11" t="inlineStr"/>
      <c r="H1619" s="11" t="inlineStr">
        <is>
          <t>c12558</t>
        </is>
      </c>
      <c r="I1619" s="11" t="inlineStr">
        <is>
          <t>cite</t>
        </is>
      </c>
      <c r="J1619" s="11" t="inlineStr">
        <is>
          <t>no</t>
        </is>
      </c>
      <c r="K1619" s="11" t="inlineStr">
        <is>
          <t>no</t>
        </is>
      </c>
      <c r="L1619" s="11" t="inlineStr"/>
    </row>
    <row r="1620">
      <c r="A1620" s="11" t="inlineStr">
        <is>
          <t>1617</t>
        </is>
      </c>
      <c r="B1620" s="11" t="inlineStr">
        <is>
          <t>249</t>
        </is>
      </c>
      <c r="C1620" s="11" t="inlineStr">
        <is>
          <t>HC/tribunal/other</t>
        </is>
      </c>
      <c r="D1620" s="11" t="inlineStr">
        <is>
          <t>yes</t>
        </is>
      </c>
      <c r="E1620" s="11" t="inlineStr">
        <is>
          <t>no</t>
        </is>
      </c>
      <c r="F1620" s="11" t="inlineStr"/>
      <c r="G1620" s="11" t="inlineStr"/>
      <c r="H1620" s="11" t="inlineStr">
        <is>
          <t>c31594</t>
        </is>
      </c>
      <c r="I1620" s="11" t="inlineStr">
        <is>
          <t>name</t>
        </is>
      </c>
      <c r="J1620" s="11" t="inlineStr">
        <is>
          <t>no</t>
        </is>
      </c>
      <c r="K1620" s="11" t="inlineStr">
        <is>
          <t>no</t>
        </is>
      </c>
      <c r="L1620" s="11" t="inlineStr"/>
    </row>
    <row r="1621">
      <c r="A1621" s="11" t="inlineStr">
        <is>
          <t>1618</t>
        </is>
      </c>
      <c r="B1621" s="11" t="inlineStr">
        <is>
          <t>250</t>
        </is>
      </c>
      <c r="C1621" s="11" t="inlineStr">
        <is>
          <t>HC/tribunal/other</t>
        </is>
      </c>
      <c r="D1621" s="11" t="inlineStr">
        <is>
          <t>no</t>
        </is>
      </c>
      <c r="E1621" s="11" t="inlineStr">
        <is>
          <t>no</t>
        </is>
      </c>
      <c r="F1621" s="11" t="inlineStr"/>
      <c r="G1621" s="11" t="inlineStr"/>
      <c r="H1621" s="11" t="inlineStr">
        <is>
          <t>c5203</t>
        </is>
      </c>
      <c r="I1621" s="11" t="inlineStr">
        <is>
          <t>cite</t>
        </is>
      </c>
      <c r="J1621" s="11" t="inlineStr">
        <is>
          <t>no</t>
        </is>
      </c>
      <c r="K1621" s="11" t="inlineStr">
        <is>
          <t>no</t>
        </is>
      </c>
      <c r="L1621" s="11" t="inlineStr"/>
    </row>
    <row r="1622">
      <c r="A1622" s="11" t="inlineStr">
        <is>
          <t>1619</t>
        </is>
      </c>
      <c r="B1622" s="11" t="inlineStr">
        <is>
          <t>250</t>
        </is>
      </c>
      <c r="C1622" s="11" t="inlineStr">
        <is>
          <t>HC/tribunal/other</t>
        </is>
      </c>
      <c r="D1622" s="11" t="inlineStr">
        <is>
          <t>yes</t>
        </is>
      </c>
      <c r="E1622" s="11" t="inlineStr">
        <is>
          <t>no</t>
        </is>
      </c>
      <c r="F1622" s="11" t="inlineStr"/>
      <c r="G1622" s="11" t="inlineStr"/>
      <c r="H1622" s="11" t="inlineStr">
        <is>
          <t>c18983</t>
        </is>
      </c>
      <c r="I1622" s="11" t="inlineStr">
        <is>
          <t>cite</t>
        </is>
      </c>
      <c r="J1622" s="11" t="inlineStr">
        <is>
          <t>no</t>
        </is>
      </c>
      <c r="K1622" s="11" t="inlineStr">
        <is>
          <t>no</t>
        </is>
      </c>
      <c r="L1622" s="11" t="inlineStr"/>
    </row>
    <row r="1623">
      <c r="A1623" s="11" t="inlineStr">
        <is>
          <t>1620</t>
        </is>
      </c>
      <c r="B1623" s="11" t="inlineStr">
        <is>
          <t>250</t>
        </is>
      </c>
      <c r="C1623" s="11" t="inlineStr">
        <is>
          <t>HC/tribunal/other</t>
        </is>
      </c>
      <c r="D1623" s="11" t="inlineStr">
        <is>
          <t>no</t>
        </is>
      </c>
      <c r="E1623" s="11" t="inlineStr">
        <is>
          <t>no</t>
        </is>
      </c>
      <c r="F1623" s="11" t="inlineStr"/>
      <c r="G1623" s="11" t="inlineStr"/>
      <c r="H1623" s="11" t="inlineStr">
        <is>
          <t>c29111</t>
        </is>
      </c>
      <c r="I1623" s="11" t="inlineStr">
        <is>
          <t>cite</t>
        </is>
      </c>
      <c r="J1623" s="11" t="inlineStr">
        <is>
          <t>no</t>
        </is>
      </c>
      <c r="K1623" s="11" t="inlineStr">
        <is>
          <t>no</t>
        </is>
      </c>
      <c r="L1623" s="11" t="inlineStr"/>
    </row>
    <row r="1624">
      <c r="A1624" s="11" t="inlineStr">
        <is>
          <t>1621</t>
        </is>
      </c>
      <c r="B1624" s="11" t="inlineStr">
        <is>
          <t>250</t>
        </is>
      </c>
      <c r="C1624" s="11" t="inlineStr">
        <is>
          <t>HC/tribunal/other</t>
        </is>
      </c>
      <c r="D1624" s="11" t="inlineStr">
        <is>
          <t>no</t>
        </is>
      </c>
      <c r="E1624" s="11" t="inlineStr">
        <is>
          <t>no</t>
        </is>
      </c>
      <c r="F1624" s="11" t="inlineStr"/>
      <c r="G1624" s="11" t="inlineStr"/>
      <c r="H1624" s="11" t="inlineStr">
        <is>
          <t>c16767</t>
        </is>
      </c>
      <c r="I1624" s="11" t="inlineStr">
        <is>
          <t>name</t>
        </is>
      </c>
      <c r="J1624" s="11" t="inlineStr">
        <is>
          <t>no</t>
        </is>
      </c>
      <c r="K1624" s="11" t="inlineStr">
        <is>
          <t>no</t>
        </is>
      </c>
      <c r="L1624" s="11" t="inlineStr"/>
    </row>
    <row r="1625">
      <c r="A1625" s="11" t="inlineStr">
        <is>
          <t>1622</t>
        </is>
      </c>
      <c r="B1625" s="11" t="inlineStr">
        <is>
          <t>250</t>
        </is>
      </c>
      <c r="C1625" s="11" t="inlineStr">
        <is>
          <t>HC/tribunal/other</t>
        </is>
      </c>
      <c r="D1625" s="11" t="inlineStr">
        <is>
          <t>no</t>
        </is>
      </c>
      <c r="E1625" s="11" t="inlineStr">
        <is>
          <t>no</t>
        </is>
      </c>
      <c r="F1625" s="11" t="inlineStr"/>
      <c r="G1625" s="11" t="inlineStr"/>
      <c r="H1625" s="11" t="inlineStr">
        <is>
          <t>c9111</t>
        </is>
      </c>
      <c r="I1625" s="11" t="inlineStr">
        <is>
          <t>cite</t>
        </is>
      </c>
      <c r="J1625" s="11" t="inlineStr">
        <is>
          <t>no</t>
        </is>
      </c>
      <c r="K1625" s="11" t="inlineStr">
        <is>
          <t>no</t>
        </is>
      </c>
      <c r="L1625" s="11" t="inlineStr"/>
    </row>
    <row r="1626">
      <c r="A1626" s="11" t="inlineStr">
        <is>
          <t>1623</t>
        </is>
      </c>
      <c r="B1626" s="11" t="inlineStr">
        <is>
          <t>250</t>
        </is>
      </c>
      <c r="C1626" s="11" t="inlineStr">
        <is>
          <t>HC/tribunal/other</t>
        </is>
      </c>
      <c r="D1626" s="11" t="inlineStr">
        <is>
          <t>no</t>
        </is>
      </c>
      <c r="E1626" s="11" t="inlineStr">
        <is>
          <t>no</t>
        </is>
      </c>
      <c r="F1626" s="11" t="inlineStr"/>
      <c r="G1626" s="11" t="inlineStr"/>
      <c r="H1626" s="11" t="inlineStr">
        <is>
          <t>c17577</t>
        </is>
      </c>
      <c r="I1626" s="11" t="inlineStr">
        <is>
          <t>cite</t>
        </is>
      </c>
      <c r="J1626" s="11" t="inlineStr">
        <is>
          <t>no</t>
        </is>
      </c>
      <c r="K1626" s="11" t="inlineStr">
        <is>
          <t>no</t>
        </is>
      </c>
      <c r="L1626" s="11" t="inlineStr"/>
    </row>
    <row r="1627">
      <c r="A1627" s="11" t="inlineStr">
        <is>
          <t>1624</t>
        </is>
      </c>
      <c r="B1627" s="11" t="inlineStr">
        <is>
          <t>251</t>
        </is>
      </c>
      <c r="C1627" s="11" t="inlineStr">
        <is>
          <t>HC/tribunal/other</t>
        </is>
      </c>
      <c r="D1627" s="11" t="inlineStr">
        <is>
          <t>no</t>
        </is>
      </c>
      <c r="E1627" s="11" t="inlineStr">
        <is>
          <t>no</t>
        </is>
      </c>
      <c r="F1627" s="11" t="inlineStr"/>
      <c r="G1627" s="11" t="inlineStr"/>
      <c r="H1627" s="11" t="inlineStr">
        <is>
          <t>c12220</t>
        </is>
      </c>
      <c r="I1627" s="11" t="inlineStr">
        <is>
          <t>cite</t>
        </is>
      </c>
      <c r="J1627" s="11" t="inlineStr">
        <is>
          <t>no</t>
        </is>
      </c>
      <c r="K1627" s="11" t="inlineStr">
        <is>
          <t>no</t>
        </is>
      </c>
      <c r="L1627" s="11" t="inlineStr"/>
    </row>
    <row r="1628">
      <c r="A1628" s="11" t="inlineStr">
        <is>
          <t>1625</t>
        </is>
      </c>
      <c r="B1628" s="11" t="inlineStr">
        <is>
          <t>251</t>
        </is>
      </c>
      <c r="C1628" s="11" t="inlineStr">
        <is>
          <t>HC/tribunal/other</t>
        </is>
      </c>
      <c r="D1628" s="11" t="inlineStr">
        <is>
          <t>no</t>
        </is>
      </c>
      <c r="E1628" s="11" t="inlineStr">
        <is>
          <t>no</t>
        </is>
      </c>
      <c r="F1628" s="11" t="inlineStr"/>
      <c r="G1628" s="11" t="inlineStr"/>
      <c r="H1628" s="11" t="inlineStr">
        <is>
          <t>c9506</t>
        </is>
      </c>
      <c r="I1628" s="11" t="inlineStr">
        <is>
          <t>cite</t>
        </is>
      </c>
      <c r="J1628" s="11" t="inlineStr">
        <is>
          <t>no</t>
        </is>
      </c>
      <c r="K1628" s="11" t="inlineStr">
        <is>
          <t>no</t>
        </is>
      </c>
      <c r="L1628" s="11" t="inlineStr"/>
    </row>
    <row r="1629">
      <c r="A1629" s="11" t="inlineStr">
        <is>
          <t>1626</t>
        </is>
      </c>
      <c r="B1629" s="11" t="inlineStr">
        <is>
          <t>251</t>
        </is>
      </c>
      <c r="C1629" s="11" t="inlineStr">
        <is>
          <t>HC/tribunal/other</t>
        </is>
      </c>
      <c r="D1629" s="11" t="inlineStr">
        <is>
          <t>no</t>
        </is>
      </c>
      <c r="E1629" s="11" t="inlineStr">
        <is>
          <t>yes</t>
        </is>
      </c>
      <c r="F1629" s="11" t="inlineStr"/>
      <c r="G1629" s="11" t="inlineStr"/>
      <c r="H1629" s="11" t="inlineStr">
        <is>
          <t>b2000_1_725_730</t>
        </is>
      </c>
      <c r="I1629" s="11" t="inlineStr">
        <is>
          <t>cite</t>
        </is>
      </c>
      <c r="J1629" s="11" t="inlineStr">
        <is>
          <t>no</t>
        </is>
      </c>
      <c r="K1629" s="11" t="inlineStr">
        <is>
          <t>no</t>
        </is>
      </c>
      <c r="L1629" s="11" t="inlineStr"/>
    </row>
    <row r="1630">
      <c r="A1630" s="11" t="inlineStr">
        <is>
          <t>1627</t>
        </is>
      </c>
      <c r="B1630" s="11" t="inlineStr">
        <is>
          <t>251</t>
        </is>
      </c>
      <c r="C1630" s="11" t="inlineStr">
        <is>
          <t>HC/tribunal/other</t>
        </is>
      </c>
      <c r="D1630" s="11" t="inlineStr">
        <is>
          <t>yes</t>
        </is>
      </c>
      <c r="E1630" s="11" t="inlineStr">
        <is>
          <t>no</t>
        </is>
      </c>
      <c r="F1630" s="11" t="inlineStr"/>
      <c r="G1630" s="11" t="inlineStr"/>
      <c r="H1630" s="11" t="inlineStr"/>
      <c r="I1630" s="11" t="inlineStr"/>
      <c r="J1630" s="11" t="inlineStr">
        <is>
          <t>no</t>
        </is>
      </c>
      <c r="K1630" s="11" t="inlineStr">
        <is>
          <t>no</t>
        </is>
      </c>
      <c r="L1630" s="11" t="inlineStr"/>
    </row>
    <row r="1631">
      <c r="A1631" s="11" t="inlineStr">
        <is>
          <t>1628</t>
        </is>
      </c>
      <c r="B1631" s="11" t="inlineStr">
        <is>
          <t>251</t>
        </is>
      </c>
      <c r="C1631" s="11" t="inlineStr">
        <is>
          <t>HC/tribunal/other</t>
        </is>
      </c>
      <c r="D1631" s="11" t="inlineStr">
        <is>
          <t>no</t>
        </is>
      </c>
      <c r="E1631" s="11" t="inlineStr">
        <is>
          <t>yes</t>
        </is>
      </c>
      <c r="F1631" s="11" t="inlineStr"/>
      <c r="G1631" s="11" t="inlineStr"/>
      <c r="H1631" s="11" t="inlineStr">
        <is>
          <t>c5733</t>
        </is>
      </c>
      <c r="I1631" s="11" t="inlineStr">
        <is>
          <t>cite</t>
        </is>
      </c>
      <c r="J1631" s="11" t="inlineStr">
        <is>
          <t>no</t>
        </is>
      </c>
      <c r="K1631" s="11" t="inlineStr">
        <is>
          <t>no</t>
        </is>
      </c>
      <c r="L1631" s="11" t="inlineStr"/>
    </row>
    <row r="1632">
      <c r="A1632" s="11" t="inlineStr">
        <is>
          <t>1629</t>
        </is>
      </c>
      <c r="B1632" s="11" t="inlineStr">
        <is>
          <t>251</t>
        </is>
      </c>
      <c r="C1632" s="11" t="inlineStr">
        <is>
          <t>HC/tribunal/other</t>
        </is>
      </c>
      <c r="D1632" s="11" t="inlineStr">
        <is>
          <t>no</t>
        </is>
      </c>
      <c r="E1632" s="11" t="inlineStr">
        <is>
          <t>yes</t>
        </is>
      </c>
      <c r="F1632" s="11" t="inlineStr"/>
      <c r="G1632" s="11" t="inlineStr"/>
      <c r="H1632" s="11" t="inlineStr"/>
      <c r="I1632" s="11" t="inlineStr"/>
      <c r="J1632" s="11" t="inlineStr">
        <is>
          <t>no</t>
        </is>
      </c>
      <c r="K1632" s="11" t="inlineStr">
        <is>
          <t>no</t>
        </is>
      </c>
      <c r="L1632" s="11" t="inlineStr"/>
    </row>
    <row r="1633">
      <c r="A1633" s="11" t="inlineStr">
        <is>
          <t>1630</t>
        </is>
      </c>
      <c r="B1633" s="11" t="inlineStr">
        <is>
          <t>251</t>
        </is>
      </c>
      <c r="C1633" s="11" t="inlineStr">
        <is>
          <t>HC/tribunal/other</t>
        </is>
      </c>
      <c r="D1633" s="11" t="inlineStr">
        <is>
          <t>yes</t>
        </is>
      </c>
      <c r="E1633" s="11" t="inlineStr">
        <is>
          <t>no</t>
        </is>
      </c>
      <c r="F1633" s="11" t="inlineStr"/>
      <c r="G1633" s="11" t="inlineStr"/>
      <c r="H1633" s="11" t="inlineStr">
        <is>
          <t>c8081</t>
        </is>
      </c>
      <c r="I1633" s="11" t="inlineStr">
        <is>
          <t>cite</t>
        </is>
      </c>
      <c r="J1633" s="11" t="inlineStr">
        <is>
          <t>no</t>
        </is>
      </c>
      <c r="K1633" s="11" t="inlineStr">
        <is>
          <t>no</t>
        </is>
      </c>
      <c r="L1633" s="11" t="inlineStr"/>
    </row>
    <row r="1634">
      <c r="A1634" s="11" t="inlineStr">
        <is>
          <t>1631</t>
        </is>
      </c>
      <c r="B1634" s="11" t="inlineStr">
        <is>
          <t>252</t>
        </is>
      </c>
      <c r="C1634" s="11" t="inlineStr">
        <is>
          <t>HC/tribunal/other</t>
        </is>
      </c>
      <c r="D1634" s="11" t="inlineStr">
        <is>
          <t>yes</t>
        </is>
      </c>
      <c r="E1634" s="11" t="inlineStr">
        <is>
          <t>no</t>
        </is>
      </c>
      <c r="F1634" s="11" t="inlineStr"/>
      <c r="G1634" s="11" t="inlineStr"/>
      <c r="H1634" s="11" t="inlineStr">
        <is>
          <t>c28894</t>
        </is>
      </c>
      <c r="I1634" s="11" t="inlineStr">
        <is>
          <t>cite</t>
        </is>
      </c>
      <c r="J1634" s="11" t="inlineStr">
        <is>
          <t>no</t>
        </is>
      </c>
      <c r="K1634" s="11" t="inlineStr">
        <is>
          <t>no</t>
        </is>
      </c>
      <c r="L1634" s="11" t="inlineStr"/>
    </row>
    <row r="1635">
      <c r="A1635" s="11" t="inlineStr">
        <is>
          <t>1632</t>
        </is>
      </c>
      <c r="B1635" s="11" t="inlineStr">
        <is>
          <t>252</t>
        </is>
      </c>
      <c r="C1635" s="11" t="inlineStr">
        <is>
          <t>HC/tribunal/other</t>
        </is>
      </c>
      <c r="D1635" s="11" t="inlineStr">
        <is>
          <t>no</t>
        </is>
      </c>
      <c r="E1635" s="11" t="inlineStr">
        <is>
          <t>no</t>
        </is>
      </c>
      <c r="F1635" s="11" t="inlineStr"/>
      <c r="G1635" s="11" t="inlineStr"/>
      <c r="H1635" s="11" t="inlineStr">
        <is>
          <t>c18221</t>
        </is>
      </c>
      <c r="I1635" s="11" t="inlineStr">
        <is>
          <t>cite</t>
        </is>
      </c>
      <c r="J1635" s="11" t="inlineStr">
        <is>
          <t>no</t>
        </is>
      </c>
      <c r="K1635" s="11" t="inlineStr">
        <is>
          <t>no</t>
        </is>
      </c>
      <c r="L1635" s="11" t="inlineStr"/>
    </row>
    <row r="1636">
      <c r="A1636" s="11" t="inlineStr">
        <is>
          <t>1633</t>
        </is>
      </c>
      <c r="B1636" s="11" t="inlineStr">
        <is>
          <t>252</t>
        </is>
      </c>
      <c r="C1636" s="11" t="inlineStr">
        <is>
          <t>HC/tribunal/other</t>
        </is>
      </c>
      <c r="D1636" s="11" t="inlineStr">
        <is>
          <t>yes</t>
        </is>
      </c>
      <c r="E1636" s="11" t="inlineStr">
        <is>
          <t>no</t>
        </is>
      </c>
      <c r="F1636" s="11" t="inlineStr"/>
      <c r="G1636" s="11" t="inlineStr"/>
      <c r="H1636" s="11" t="inlineStr">
        <is>
          <t>c20566</t>
        </is>
      </c>
      <c r="I1636" s="11" t="inlineStr">
        <is>
          <t>cite</t>
        </is>
      </c>
      <c r="J1636" s="11" t="inlineStr">
        <is>
          <t>no</t>
        </is>
      </c>
      <c r="K1636" s="11" t="inlineStr">
        <is>
          <t>no</t>
        </is>
      </c>
      <c r="L1636" s="11" t="inlineStr"/>
    </row>
    <row r="1637">
      <c r="A1637" s="11" t="inlineStr">
        <is>
          <t>1634</t>
        </is>
      </c>
      <c r="B1637" s="11" t="inlineStr">
        <is>
          <t>252</t>
        </is>
      </c>
      <c r="C1637" s="11" t="inlineStr">
        <is>
          <t>HC/tribunal/other</t>
        </is>
      </c>
      <c r="D1637" s="11" t="inlineStr">
        <is>
          <t>no</t>
        </is>
      </c>
      <c r="E1637" s="11" t="inlineStr">
        <is>
          <t>no</t>
        </is>
      </c>
      <c r="F1637" s="11" t="inlineStr"/>
      <c r="G1637" s="11" t="inlineStr"/>
      <c r="H1637" s="11" t="inlineStr">
        <is>
          <t>c38977</t>
        </is>
      </c>
      <c r="I1637" s="11" t="inlineStr">
        <is>
          <t>name</t>
        </is>
      </c>
      <c r="J1637" s="11" t="inlineStr">
        <is>
          <t>no</t>
        </is>
      </c>
      <c r="K1637" s="11" t="inlineStr">
        <is>
          <t>no</t>
        </is>
      </c>
      <c r="L1637" s="11" t="inlineStr"/>
    </row>
    <row r="1638">
      <c r="A1638" s="11" t="inlineStr">
        <is>
          <t>1635</t>
        </is>
      </c>
      <c r="B1638" s="11" t="inlineStr">
        <is>
          <t>252</t>
        </is>
      </c>
      <c r="C1638" s="11" t="inlineStr">
        <is>
          <t>HC/tribunal/other</t>
        </is>
      </c>
      <c r="D1638" s="11" t="inlineStr">
        <is>
          <t>no</t>
        </is>
      </c>
      <c r="E1638" s="11" t="inlineStr">
        <is>
          <t>no</t>
        </is>
      </c>
      <c r="F1638" s="11" t="inlineStr"/>
      <c r="G1638" s="11" t="inlineStr"/>
      <c r="H1638" s="11" t="inlineStr">
        <is>
          <t>c10623</t>
        </is>
      </c>
      <c r="I1638" s="11" t="inlineStr">
        <is>
          <t>cite</t>
        </is>
      </c>
      <c r="J1638" s="11" t="inlineStr">
        <is>
          <t>no</t>
        </is>
      </c>
      <c r="K1638" s="11" t="inlineStr">
        <is>
          <t>no</t>
        </is>
      </c>
      <c r="L1638" s="11" t="inlineStr"/>
    </row>
    <row r="1639">
      <c r="A1639" s="11" t="inlineStr">
        <is>
          <t>1636</t>
        </is>
      </c>
      <c r="B1639" s="11" t="inlineStr">
        <is>
          <t>252</t>
        </is>
      </c>
      <c r="C1639" s="11" t="inlineStr">
        <is>
          <t>HC/tribunal/other</t>
        </is>
      </c>
      <c r="D1639" s="11" t="inlineStr">
        <is>
          <t>no</t>
        </is>
      </c>
      <c r="E1639" s="11" t="inlineStr">
        <is>
          <t>no</t>
        </is>
      </c>
      <c r="F1639" s="11" t="inlineStr"/>
      <c r="G1639" s="11" t="inlineStr"/>
      <c r="H1639" s="11" t="inlineStr">
        <is>
          <t>b1997_3_1160_1168</t>
        </is>
      </c>
      <c r="I1639" s="11" t="inlineStr">
        <is>
          <t>cite</t>
        </is>
      </c>
      <c r="J1639" s="11" t="inlineStr">
        <is>
          <t>no</t>
        </is>
      </c>
      <c r="K1639" s="11" t="inlineStr">
        <is>
          <t>no</t>
        </is>
      </c>
      <c r="L1639" s="11" t="inlineStr"/>
    </row>
    <row r="1640">
      <c r="A1640" s="11" t="inlineStr">
        <is>
          <t>1637</t>
        </is>
      </c>
      <c r="B1640" s="11" t="inlineStr">
        <is>
          <t>253</t>
        </is>
      </c>
      <c r="C1640" s="11" t="inlineStr">
        <is>
          <t>HC/tribunal/other</t>
        </is>
      </c>
      <c r="D1640" s="11" t="inlineStr">
        <is>
          <t>yes</t>
        </is>
      </c>
      <c r="E1640" s="11" t="inlineStr">
        <is>
          <t>no</t>
        </is>
      </c>
      <c r="F1640" s="11" t="inlineStr"/>
      <c r="G1640" s="11" t="inlineStr"/>
      <c r="H1640" s="11" t="inlineStr">
        <is>
          <t>c18912</t>
        </is>
      </c>
      <c r="I1640" s="11" t="inlineStr">
        <is>
          <t>cite</t>
        </is>
      </c>
      <c r="J1640" s="11" t="inlineStr">
        <is>
          <t>no</t>
        </is>
      </c>
      <c r="K1640" s="11" t="inlineStr">
        <is>
          <t>no</t>
        </is>
      </c>
      <c r="L1640" s="11" t="inlineStr"/>
    </row>
    <row r="1641">
      <c r="A1641" s="11" t="inlineStr">
        <is>
          <t>1638</t>
        </is>
      </c>
      <c r="B1641" s="11" t="inlineStr">
        <is>
          <t>253</t>
        </is>
      </c>
      <c r="C1641" s="11" t="inlineStr">
        <is>
          <t>HC/tribunal/other</t>
        </is>
      </c>
      <c r="D1641" s="11" t="inlineStr">
        <is>
          <t>no</t>
        </is>
      </c>
      <c r="E1641" s="11" t="inlineStr">
        <is>
          <t>no</t>
        </is>
      </c>
      <c r="F1641" s="11" t="inlineStr"/>
      <c r="G1641" s="11" t="inlineStr"/>
      <c r="H1641" s="11" t="inlineStr"/>
      <c r="I1641" s="11" t="inlineStr"/>
      <c r="J1641" s="11" t="inlineStr">
        <is>
          <t>no</t>
        </is>
      </c>
      <c r="K1641" s="11" t="inlineStr">
        <is>
          <t>no</t>
        </is>
      </c>
      <c r="L1641" s="11" t="inlineStr"/>
    </row>
    <row r="1642">
      <c r="A1642" s="11" t="inlineStr">
        <is>
          <t>1639</t>
        </is>
      </c>
      <c r="B1642" s="11" t="inlineStr">
        <is>
          <t>253</t>
        </is>
      </c>
      <c r="C1642" s="11" t="inlineStr">
        <is>
          <t>HC/tribunal/other</t>
        </is>
      </c>
      <c r="D1642" s="11" t="inlineStr">
        <is>
          <t>no</t>
        </is>
      </c>
      <c r="E1642" s="11" t="inlineStr">
        <is>
          <t>no</t>
        </is>
      </c>
      <c r="F1642" s="11" t="inlineStr"/>
      <c r="G1642" s="11" t="inlineStr"/>
      <c r="H1642" s="11" t="inlineStr">
        <is>
          <t>c5203</t>
        </is>
      </c>
      <c r="I1642" s="11" t="inlineStr">
        <is>
          <t>cite</t>
        </is>
      </c>
      <c r="J1642" s="11" t="inlineStr">
        <is>
          <t>no</t>
        </is>
      </c>
      <c r="K1642" s="11" t="inlineStr">
        <is>
          <t>no</t>
        </is>
      </c>
      <c r="L1642" s="11" t="inlineStr"/>
    </row>
    <row r="1643">
      <c r="A1643" s="11" t="inlineStr">
        <is>
          <t>1640</t>
        </is>
      </c>
      <c r="B1643" s="11" t="inlineStr">
        <is>
          <t>253</t>
        </is>
      </c>
      <c r="C1643" s="11" t="inlineStr">
        <is>
          <t>HC/tribunal/other</t>
        </is>
      </c>
      <c r="D1643" s="11" t="inlineStr">
        <is>
          <t>no</t>
        </is>
      </c>
      <c r="E1643" s="11" t="inlineStr">
        <is>
          <t>no</t>
        </is>
      </c>
      <c r="F1643" s="11" t="inlineStr"/>
      <c r="G1643" s="11" t="inlineStr"/>
      <c r="H1643" s="11" t="inlineStr">
        <is>
          <t>c2989</t>
        </is>
      </c>
      <c r="I1643" s="11" t="inlineStr">
        <is>
          <t>cite</t>
        </is>
      </c>
      <c r="J1643" s="11" t="inlineStr">
        <is>
          <t>no</t>
        </is>
      </c>
      <c r="K1643" s="11" t="inlineStr">
        <is>
          <t>no</t>
        </is>
      </c>
      <c r="L1643" s="11" t="inlineStr"/>
    </row>
    <row r="1644">
      <c r="A1644" s="11" t="inlineStr">
        <is>
          <t>1641</t>
        </is>
      </c>
      <c r="B1644" s="11" t="inlineStr">
        <is>
          <t>253</t>
        </is>
      </c>
      <c r="C1644" s="11" t="inlineStr">
        <is>
          <t>HC/tribunal/other</t>
        </is>
      </c>
      <c r="D1644" s="11" t="inlineStr">
        <is>
          <t>no</t>
        </is>
      </c>
      <c r="E1644" s="11" t="inlineStr">
        <is>
          <t>no</t>
        </is>
      </c>
      <c r="F1644" s="11" t="inlineStr"/>
      <c r="G1644" s="11" t="inlineStr"/>
      <c r="H1644" s="11" t="inlineStr">
        <is>
          <t>c10328</t>
        </is>
      </c>
      <c r="I1644" s="11" t="inlineStr">
        <is>
          <t>cite</t>
        </is>
      </c>
      <c r="J1644" s="11" t="inlineStr">
        <is>
          <t>no</t>
        </is>
      </c>
      <c r="K1644" s="11" t="inlineStr">
        <is>
          <t>no</t>
        </is>
      </c>
      <c r="L1644" s="11" t="inlineStr"/>
    </row>
    <row r="1645">
      <c r="A1645" s="11" t="inlineStr">
        <is>
          <t>1642</t>
        </is>
      </c>
      <c r="B1645" s="11" t="inlineStr">
        <is>
          <t>253</t>
        </is>
      </c>
      <c r="C1645" s="11" t="inlineStr">
        <is>
          <t>HC/tribunal/other</t>
        </is>
      </c>
      <c r="D1645" s="11" t="inlineStr">
        <is>
          <t>yes</t>
        </is>
      </c>
      <c r="E1645" s="11" t="inlineStr">
        <is>
          <t>no</t>
        </is>
      </c>
      <c r="F1645" s="11" t="inlineStr"/>
      <c r="G1645" s="11" t="inlineStr"/>
      <c r="H1645" s="11" t="inlineStr">
        <is>
          <t>bS_1993_3_453_460</t>
        </is>
      </c>
      <c r="I1645" s="11" t="inlineStr">
        <is>
          <t>name</t>
        </is>
      </c>
      <c r="J1645" s="11" t="inlineStr">
        <is>
          <t>no</t>
        </is>
      </c>
      <c r="K1645" s="11" t="inlineStr">
        <is>
          <t>no</t>
        </is>
      </c>
      <c r="L1645" s="11" t="inlineStr"/>
    </row>
    <row r="1646">
      <c r="A1646" s="11" t="inlineStr">
        <is>
          <t>1643</t>
        </is>
      </c>
      <c r="B1646" s="11" t="inlineStr">
        <is>
          <t>253</t>
        </is>
      </c>
      <c r="C1646" s="11" t="inlineStr">
        <is>
          <t>HC/tribunal/other</t>
        </is>
      </c>
      <c r="D1646" s="11" t="inlineStr">
        <is>
          <t>no</t>
        </is>
      </c>
      <c r="E1646" s="11" t="inlineStr">
        <is>
          <t>no</t>
        </is>
      </c>
      <c r="F1646" s="11" t="inlineStr"/>
      <c r="G1646" s="11" t="inlineStr"/>
      <c r="H1646" s="11" t="inlineStr">
        <is>
          <t>c10008</t>
        </is>
      </c>
      <c r="I1646" s="11" t="inlineStr">
        <is>
          <t>cite</t>
        </is>
      </c>
      <c r="J1646" s="11" t="inlineStr">
        <is>
          <t>no</t>
        </is>
      </c>
      <c r="K1646" s="11" t="inlineStr">
        <is>
          <t>no</t>
        </is>
      </c>
      <c r="L1646" s="11" t="inlineStr"/>
    </row>
    <row r="1647">
      <c r="A1647" s="11" t="inlineStr">
        <is>
          <t>1644</t>
        </is>
      </c>
      <c r="B1647" s="11" t="inlineStr">
        <is>
          <t>254</t>
        </is>
      </c>
      <c r="C1647" s="11" t="inlineStr">
        <is>
          <t>HC/tribunal/other</t>
        </is>
      </c>
      <c r="D1647" s="11" t="inlineStr">
        <is>
          <t>no</t>
        </is>
      </c>
      <c r="E1647" s="11" t="inlineStr">
        <is>
          <t>no</t>
        </is>
      </c>
      <c r="F1647" s="11" t="inlineStr"/>
      <c r="G1647" s="11" t="inlineStr"/>
      <c r="H1647" s="11" t="inlineStr"/>
      <c r="I1647" s="11" t="inlineStr"/>
      <c r="J1647" s="11" t="inlineStr">
        <is>
          <t>no</t>
        </is>
      </c>
      <c r="K1647" s="11" t="inlineStr">
        <is>
          <t>no</t>
        </is>
      </c>
      <c r="L1647" s="11" t="inlineStr"/>
    </row>
    <row r="1648">
      <c r="A1648" s="11" t="inlineStr">
        <is>
          <t>1645</t>
        </is>
      </c>
      <c r="B1648" s="11" t="inlineStr">
        <is>
          <t>254</t>
        </is>
      </c>
      <c r="C1648" s="11" t="inlineStr">
        <is>
          <t>HC/tribunal/other</t>
        </is>
      </c>
      <c r="D1648" s="11" t="inlineStr">
        <is>
          <t>no</t>
        </is>
      </c>
      <c r="E1648" s="11" t="inlineStr">
        <is>
          <t>no</t>
        </is>
      </c>
      <c r="F1648" s="11" t="inlineStr"/>
      <c r="G1648" s="11" t="inlineStr"/>
      <c r="H1648" s="11" t="inlineStr"/>
      <c r="I1648" s="11" t="inlineStr"/>
      <c r="J1648" s="11" t="inlineStr">
        <is>
          <t>no</t>
        </is>
      </c>
      <c r="K1648" s="11" t="inlineStr">
        <is>
          <t>no</t>
        </is>
      </c>
      <c r="L1648" s="11" t="inlineStr"/>
    </row>
    <row r="1649">
      <c r="A1649" s="11" t="inlineStr">
        <is>
          <t>1646</t>
        </is>
      </c>
      <c r="B1649" s="11" t="inlineStr">
        <is>
          <t>254</t>
        </is>
      </c>
      <c r="C1649" s="11" t="inlineStr">
        <is>
          <t>HC/tribunal/other</t>
        </is>
      </c>
      <c r="D1649" s="11" t="inlineStr">
        <is>
          <t>no</t>
        </is>
      </c>
      <c r="E1649" s="11" t="inlineStr">
        <is>
          <t>no</t>
        </is>
      </c>
      <c r="F1649" s="11" t="inlineStr"/>
      <c r="G1649" s="11" t="inlineStr"/>
      <c r="H1649" s="11" t="inlineStr">
        <is>
          <t>c2789</t>
        </is>
      </c>
      <c r="I1649" s="11" t="inlineStr">
        <is>
          <t>cite</t>
        </is>
      </c>
      <c r="J1649" s="11" t="inlineStr">
        <is>
          <t>no</t>
        </is>
      </c>
      <c r="K1649" s="11" t="inlineStr">
        <is>
          <t>no</t>
        </is>
      </c>
      <c r="L1649" s="11" t="inlineStr"/>
    </row>
    <row r="1650">
      <c r="A1650" s="11" t="inlineStr">
        <is>
          <t>1647</t>
        </is>
      </c>
      <c r="B1650" s="11" t="inlineStr">
        <is>
          <t>254</t>
        </is>
      </c>
      <c r="C1650" s="11" t="inlineStr">
        <is>
          <t>HC/tribunal/other</t>
        </is>
      </c>
      <c r="D1650" s="11" t="inlineStr">
        <is>
          <t>no</t>
        </is>
      </c>
      <c r="E1650" s="11" t="inlineStr">
        <is>
          <t>no</t>
        </is>
      </c>
      <c r="F1650" s="11" t="inlineStr"/>
      <c r="G1650" s="11" t="inlineStr"/>
      <c r="H1650" s="11" t="inlineStr"/>
      <c r="I1650" s="11" t="inlineStr"/>
      <c r="J1650" s="11" t="inlineStr">
        <is>
          <t>no</t>
        </is>
      </c>
      <c r="K1650" s="11" t="inlineStr">
        <is>
          <t>no</t>
        </is>
      </c>
      <c r="L1650" s="11" t="inlineStr"/>
    </row>
    <row r="1651">
      <c r="A1651" s="11" t="inlineStr">
        <is>
          <t>1648</t>
        </is>
      </c>
      <c r="B1651" s="11" t="inlineStr">
        <is>
          <t>254</t>
        </is>
      </c>
      <c r="C1651" s="11" t="inlineStr">
        <is>
          <t>HC/tribunal/other</t>
        </is>
      </c>
      <c r="D1651" s="11" t="inlineStr">
        <is>
          <t>no</t>
        </is>
      </c>
      <c r="E1651" s="11" t="inlineStr">
        <is>
          <t>no</t>
        </is>
      </c>
      <c r="F1651" s="11" t="inlineStr"/>
      <c r="G1651" s="11" t="inlineStr"/>
      <c r="H1651" s="11" t="inlineStr"/>
      <c r="I1651" s="11" t="inlineStr"/>
      <c r="J1651" s="11" t="inlineStr">
        <is>
          <t>no</t>
        </is>
      </c>
      <c r="K1651" s="11" t="inlineStr">
        <is>
          <t>no</t>
        </is>
      </c>
      <c r="L1651" s="11" t="inlineStr"/>
    </row>
    <row r="1652">
      <c r="A1652" s="11" t="inlineStr">
        <is>
          <t>1649</t>
        </is>
      </c>
      <c r="B1652" s="11" t="inlineStr">
        <is>
          <t>254</t>
        </is>
      </c>
      <c r="C1652" s="11" t="inlineStr">
        <is>
          <t>HC/tribunal/other</t>
        </is>
      </c>
      <c r="D1652" s="11" t="inlineStr">
        <is>
          <t>no</t>
        </is>
      </c>
      <c r="E1652" s="11" t="inlineStr">
        <is>
          <t>no</t>
        </is>
      </c>
      <c r="F1652" s="11" t="inlineStr"/>
      <c r="G1652" s="11" t="inlineStr"/>
      <c r="H1652" s="11" t="inlineStr">
        <is>
          <t>c26744</t>
        </is>
      </c>
      <c r="I1652" s="11" t="inlineStr">
        <is>
          <t>name</t>
        </is>
      </c>
      <c r="J1652" s="11" t="inlineStr">
        <is>
          <t>no</t>
        </is>
      </c>
      <c r="K1652" s="11" t="inlineStr">
        <is>
          <t>no</t>
        </is>
      </c>
      <c r="L1652" s="11" t="inlineStr"/>
    </row>
    <row r="1653">
      <c r="A1653" s="11" t="inlineStr">
        <is>
          <t>1650</t>
        </is>
      </c>
      <c r="B1653" s="11" t="inlineStr">
        <is>
          <t>254</t>
        </is>
      </c>
      <c r="C1653" s="11" t="inlineStr">
        <is>
          <t>HC/tribunal/other</t>
        </is>
      </c>
      <c r="D1653" s="11" t="inlineStr">
        <is>
          <t>no</t>
        </is>
      </c>
      <c r="E1653" s="11" t="inlineStr">
        <is>
          <t>no</t>
        </is>
      </c>
      <c r="F1653" s="11" t="inlineStr"/>
      <c r="G1653" s="11" t="inlineStr"/>
      <c r="H1653" s="11" t="inlineStr">
        <is>
          <t>c12359</t>
        </is>
      </c>
      <c r="I1653" s="11" t="inlineStr">
        <is>
          <t>name</t>
        </is>
      </c>
      <c r="J1653" s="11" t="inlineStr">
        <is>
          <t>no</t>
        </is>
      </c>
      <c r="K1653" s="11" t="inlineStr">
        <is>
          <t>no</t>
        </is>
      </c>
      <c r="L1653" s="11" t="inlineStr"/>
    </row>
    <row r="1654">
      <c r="A1654" s="11" t="inlineStr">
        <is>
          <t>1651</t>
        </is>
      </c>
      <c r="B1654" s="11" t="inlineStr">
        <is>
          <t>255</t>
        </is>
      </c>
      <c r="C1654" s="11" t="inlineStr">
        <is>
          <t>HC/tribunal/other</t>
        </is>
      </c>
      <c r="D1654" s="11" t="inlineStr">
        <is>
          <t>yes</t>
        </is>
      </c>
      <c r="E1654" s="11" t="inlineStr">
        <is>
          <t>no</t>
        </is>
      </c>
      <c r="F1654" s="11" t="inlineStr"/>
      <c r="G1654" s="11" t="inlineStr"/>
      <c r="H1654" s="11" t="inlineStr">
        <is>
          <t>c8755</t>
        </is>
      </c>
      <c r="I1654" s="11" t="inlineStr">
        <is>
          <t>cite</t>
        </is>
      </c>
      <c r="J1654" s="11" t="inlineStr">
        <is>
          <t>no</t>
        </is>
      </c>
      <c r="K1654" s="11" t="inlineStr">
        <is>
          <t>no</t>
        </is>
      </c>
      <c r="L1654" s="11" t="inlineStr"/>
    </row>
    <row r="1655">
      <c r="A1655" s="11" t="inlineStr">
        <is>
          <t>1652</t>
        </is>
      </c>
      <c r="B1655" s="11" t="inlineStr">
        <is>
          <t>255</t>
        </is>
      </c>
      <c r="C1655" s="11" t="inlineStr">
        <is>
          <t>HC/tribunal/other</t>
        </is>
      </c>
      <c r="D1655" s="11" t="inlineStr">
        <is>
          <t>no</t>
        </is>
      </c>
      <c r="E1655" s="11" t="inlineStr">
        <is>
          <t>no</t>
        </is>
      </c>
      <c r="F1655" s="11" t="inlineStr"/>
      <c r="G1655" s="11" t="inlineStr"/>
      <c r="H1655" s="11" t="inlineStr"/>
      <c r="I1655" s="11" t="inlineStr"/>
      <c r="J1655" s="11" t="inlineStr">
        <is>
          <t>no</t>
        </is>
      </c>
      <c r="K1655" s="11" t="inlineStr">
        <is>
          <t>no</t>
        </is>
      </c>
      <c r="L1655" s="11" t="inlineStr"/>
    </row>
    <row r="1656">
      <c r="A1656" s="11" t="inlineStr">
        <is>
          <t>1653</t>
        </is>
      </c>
      <c r="B1656" s="11" t="inlineStr">
        <is>
          <t>255</t>
        </is>
      </c>
      <c r="C1656" s="11" t="inlineStr">
        <is>
          <t>HC/tribunal/other</t>
        </is>
      </c>
      <c r="D1656" s="11" t="inlineStr">
        <is>
          <t>no</t>
        </is>
      </c>
      <c r="E1656" s="11" t="inlineStr">
        <is>
          <t>no</t>
        </is>
      </c>
      <c r="F1656" s="11" t="inlineStr"/>
      <c r="G1656" s="11" t="inlineStr"/>
      <c r="H1656" s="11" t="inlineStr"/>
      <c r="I1656" s="11" t="inlineStr"/>
      <c r="J1656" s="11" t="inlineStr">
        <is>
          <t>no</t>
        </is>
      </c>
      <c r="K1656" s="11" t="inlineStr">
        <is>
          <t>no</t>
        </is>
      </c>
      <c r="L1656" s="11" t="inlineStr"/>
    </row>
    <row r="1657">
      <c r="A1657" s="11" t="inlineStr">
        <is>
          <t>1654</t>
        </is>
      </c>
      <c r="B1657" s="11" t="inlineStr">
        <is>
          <t>255</t>
        </is>
      </c>
      <c r="C1657" s="11" t="inlineStr">
        <is>
          <t>HC/tribunal/other</t>
        </is>
      </c>
      <c r="D1657" s="11" t="inlineStr">
        <is>
          <t>no</t>
        </is>
      </c>
      <c r="E1657" s="11" t="inlineStr">
        <is>
          <t>yes</t>
        </is>
      </c>
      <c r="F1657" s="11" t="inlineStr"/>
      <c r="G1657" s="11" t="inlineStr"/>
      <c r="H1657" s="11" t="inlineStr">
        <is>
          <t>c16277</t>
        </is>
      </c>
      <c r="I1657" s="11" t="inlineStr">
        <is>
          <t>name</t>
        </is>
      </c>
      <c r="J1657" s="11" t="inlineStr">
        <is>
          <t>no</t>
        </is>
      </c>
      <c r="K1657" s="11" t="inlineStr">
        <is>
          <t>no</t>
        </is>
      </c>
      <c r="L1657" s="11" t="inlineStr"/>
    </row>
    <row r="1658">
      <c r="A1658" s="11" t="inlineStr">
        <is>
          <t>1655</t>
        </is>
      </c>
      <c r="B1658" s="11" t="inlineStr">
        <is>
          <t>255</t>
        </is>
      </c>
      <c r="C1658" s="11" t="inlineStr">
        <is>
          <t>HC/tribunal/other</t>
        </is>
      </c>
      <c r="D1658" s="11" t="inlineStr">
        <is>
          <t>no</t>
        </is>
      </c>
      <c r="E1658" s="11" t="inlineStr">
        <is>
          <t>no</t>
        </is>
      </c>
      <c r="F1658" s="11" t="inlineStr"/>
      <c r="G1658" s="11" t="inlineStr"/>
      <c r="H1658" s="11" t="inlineStr"/>
      <c r="I1658" s="11" t="inlineStr"/>
      <c r="J1658" s="11" t="inlineStr">
        <is>
          <t>no</t>
        </is>
      </c>
      <c r="K1658" s="11" t="inlineStr">
        <is>
          <t>no</t>
        </is>
      </c>
      <c r="L1658" s="11" t="inlineStr"/>
    </row>
    <row r="1659">
      <c r="A1659" s="11" t="inlineStr">
        <is>
          <t>1656</t>
        </is>
      </c>
      <c r="B1659" s="11" t="inlineStr">
        <is>
          <t>255</t>
        </is>
      </c>
      <c r="C1659" s="11" t="inlineStr">
        <is>
          <t>HC/tribunal/other</t>
        </is>
      </c>
      <c r="D1659" s="11" t="inlineStr">
        <is>
          <t>yes</t>
        </is>
      </c>
      <c r="E1659" s="11" t="inlineStr">
        <is>
          <t>no</t>
        </is>
      </c>
      <c r="F1659" s="11" t="inlineStr"/>
      <c r="G1659" s="11" t="inlineStr"/>
      <c r="H1659" s="11" t="inlineStr"/>
      <c r="I1659" s="11" t="inlineStr"/>
      <c r="J1659" s="11" t="inlineStr">
        <is>
          <t>no</t>
        </is>
      </c>
      <c r="K1659" s="11" t="inlineStr">
        <is>
          <t>no</t>
        </is>
      </c>
      <c r="L1659" s="11" t="inlineStr"/>
    </row>
    <row r="1660">
      <c r="A1660" s="11" t="inlineStr">
        <is>
          <t>1657</t>
        </is>
      </c>
      <c r="B1660" s="11" t="inlineStr">
        <is>
          <t>256</t>
        </is>
      </c>
      <c r="C1660" s="11" t="inlineStr">
        <is>
          <t>HC/tribunal/other</t>
        </is>
      </c>
      <c r="D1660" s="11" t="inlineStr">
        <is>
          <t>no</t>
        </is>
      </c>
      <c r="E1660" s="11" t="inlineStr">
        <is>
          <t>no</t>
        </is>
      </c>
      <c r="F1660" s="11" t="inlineStr"/>
      <c r="G1660" s="11" t="inlineStr"/>
      <c r="H1660" s="11" t="inlineStr">
        <is>
          <t>c9362</t>
        </is>
      </c>
      <c r="I1660" s="11" t="inlineStr">
        <is>
          <t>cite</t>
        </is>
      </c>
      <c r="J1660" s="11" t="inlineStr">
        <is>
          <t>no</t>
        </is>
      </c>
      <c r="K1660" s="11" t="inlineStr">
        <is>
          <t>no</t>
        </is>
      </c>
      <c r="L1660" s="11" t="inlineStr"/>
    </row>
    <row r="1661">
      <c r="A1661" s="11" t="inlineStr">
        <is>
          <t>1658</t>
        </is>
      </c>
      <c r="B1661" s="11" t="inlineStr">
        <is>
          <t>256</t>
        </is>
      </c>
      <c r="C1661" s="11" t="inlineStr">
        <is>
          <t>HC/tribunal/other</t>
        </is>
      </c>
      <c r="D1661" s="11" t="inlineStr">
        <is>
          <t>no</t>
        </is>
      </c>
      <c r="E1661" s="11" t="inlineStr">
        <is>
          <t>no</t>
        </is>
      </c>
      <c r="F1661" s="11" t="inlineStr"/>
      <c r="G1661" s="11" t="inlineStr"/>
      <c r="H1661" s="11" t="inlineStr">
        <is>
          <t>c9488</t>
        </is>
      </c>
      <c r="I1661" s="11" t="inlineStr">
        <is>
          <t>cite</t>
        </is>
      </c>
      <c r="J1661" s="11" t="inlineStr">
        <is>
          <t>no</t>
        </is>
      </c>
      <c r="K1661" s="11" t="inlineStr">
        <is>
          <t>no</t>
        </is>
      </c>
      <c r="L1661" s="11" t="inlineStr"/>
    </row>
    <row r="1662">
      <c r="A1662" s="11" t="inlineStr">
        <is>
          <t>1659</t>
        </is>
      </c>
      <c r="B1662" s="11" t="inlineStr">
        <is>
          <t>256</t>
        </is>
      </c>
      <c r="C1662" s="11" t="inlineStr">
        <is>
          <t>HC/tribunal/other</t>
        </is>
      </c>
      <c r="D1662" s="11" t="inlineStr">
        <is>
          <t>no</t>
        </is>
      </c>
      <c r="E1662" s="11" t="inlineStr">
        <is>
          <t>yes</t>
        </is>
      </c>
      <c r="F1662" s="11" t="inlineStr"/>
      <c r="G1662" s="11" t="inlineStr"/>
      <c r="H1662" s="11" t="inlineStr"/>
      <c r="I1662" s="11" t="inlineStr"/>
      <c r="J1662" s="11" t="inlineStr">
        <is>
          <t>no</t>
        </is>
      </c>
      <c r="K1662" s="11" t="inlineStr">
        <is>
          <t>no</t>
        </is>
      </c>
      <c r="L1662" s="11" t="inlineStr"/>
    </row>
    <row r="1663">
      <c r="A1663" s="11" t="inlineStr">
        <is>
          <t>1660</t>
        </is>
      </c>
      <c r="B1663" s="11" t="inlineStr">
        <is>
          <t>256</t>
        </is>
      </c>
      <c r="C1663" s="11" t="inlineStr">
        <is>
          <t>HC/tribunal/other</t>
        </is>
      </c>
      <c r="D1663" s="11" t="inlineStr">
        <is>
          <t>no</t>
        </is>
      </c>
      <c r="E1663" s="11" t="inlineStr">
        <is>
          <t>no</t>
        </is>
      </c>
      <c r="F1663" s="11" t="inlineStr"/>
      <c r="G1663" s="11" t="inlineStr"/>
      <c r="H1663" s="11" t="inlineStr">
        <is>
          <t>c4456</t>
        </is>
      </c>
      <c r="I1663" s="11" t="inlineStr">
        <is>
          <t>cite</t>
        </is>
      </c>
      <c r="J1663" s="11" t="inlineStr">
        <is>
          <t>no</t>
        </is>
      </c>
      <c r="K1663" s="11" t="inlineStr">
        <is>
          <t>no</t>
        </is>
      </c>
      <c r="L1663" s="11" t="inlineStr"/>
    </row>
    <row r="1664">
      <c r="A1664" s="11" t="inlineStr">
        <is>
          <t>1661</t>
        </is>
      </c>
      <c r="B1664" s="11" t="inlineStr">
        <is>
          <t>256</t>
        </is>
      </c>
      <c r="C1664" s="11" t="inlineStr">
        <is>
          <t>HC/tribunal/other</t>
        </is>
      </c>
      <c r="D1664" s="11" t="inlineStr">
        <is>
          <t>yes</t>
        </is>
      </c>
      <c r="E1664" s="11" t="inlineStr">
        <is>
          <t>no</t>
        </is>
      </c>
      <c r="F1664" s="11" t="inlineStr"/>
      <c r="G1664" s="11" t="inlineStr"/>
      <c r="H1664" s="11" t="inlineStr">
        <is>
          <t>c18978</t>
        </is>
      </c>
      <c r="I1664" s="11" t="inlineStr">
        <is>
          <t>cite</t>
        </is>
      </c>
      <c r="J1664" s="11" t="inlineStr">
        <is>
          <t>no</t>
        </is>
      </c>
      <c r="K1664" s="11" t="inlineStr">
        <is>
          <t>no</t>
        </is>
      </c>
      <c r="L1664" s="11" t="inlineStr"/>
    </row>
    <row r="1665">
      <c r="A1665" s="11" t="inlineStr">
        <is>
          <t>1662</t>
        </is>
      </c>
      <c r="B1665" s="11" t="inlineStr">
        <is>
          <t>256</t>
        </is>
      </c>
      <c r="C1665" s="11" t="inlineStr">
        <is>
          <t>HC/tribunal/other</t>
        </is>
      </c>
      <c r="D1665" s="11" t="inlineStr">
        <is>
          <t>no</t>
        </is>
      </c>
      <c r="E1665" s="11" t="inlineStr">
        <is>
          <t>yes</t>
        </is>
      </c>
      <c r="F1665" s="11" t="inlineStr"/>
      <c r="G1665" s="11" t="inlineStr"/>
      <c r="H1665" s="11" t="inlineStr"/>
      <c r="I1665" s="11" t="inlineStr"/>
      <c r="J1665" s="11" t="inlineStr">
        <is>
          <t>no</t>
        </is>
      </c>
      <c r="K1665" s="11" t="inlineStr">
        <is>
          <t>no</t>
        </is>
      </c>
      <c r="L1665" s="11" t="inlineStr"/>
    </row>
    <row r="1666">
      <c r="A1666" s="11" t="inlineStr">
        <is>
          <t>1663</t>
        </is>
      </c>
      <c r="B1666" s="11" t="inlineStr">
        <is>
          <t>257</t>
        </is>
      </c>
      <c r="C1666" s="11" t="inlineStr">
        <is>
          <t>HC/tribunal/other</t>
        </is>
      </c>
      <c r="D1666" s="11" t="inlineStr">
        <is>
          <t>yes</t>
        </is>
      </c>
      <c r="E1666" s="11" t="inlineStr">
        <is>
          <t>no</t>
        </is>
      </c>
      <c r="F1666" s="11" t="inlineStr"/>
      <c r="G1666" s="11" t="inlineStr"/>
      <c r="H1666" s="11" t="inlineStr"/>
      <c r="I1666" s="11" t="inlineStr"/>
      <c r="J1666" s="11" t="inlineStr">
        <is>
          <t>no</t>
        </is>
      </c>
      <c r="K1666" s="11" t="inlineStr">
        <is>
          <t>no</t>
        </is>
      </c>
      <c r="L1666" s="11" t="inlineStr"/>
    </row>
    <row r="1667">
      <c r="A1667" s="11" t="inlineStr">
        <is>
          <t>1664</t>
        </is>
      </c>
      <c r="B1667" s="11" t="inlineStr">
        <is>
          <t>257</t>
        </is>
      </c>
      <c r="C1667" s="11" t="inlineStr">
        <is>
          <t>HC/tribunal/other</t>
        </is>
      </c>
      <c r="D1667" s="11" t="inlineStr">
        <is>
          <t>no</t>
        </is>
      </c>
      <c r="E1667" s="11" t="inlineStr">
        <is>
          <t>yes</t>
        </is>
      </c>
      <c r="F1667" s="11" t="inlineStr"/>
      <c r="G1667" s="11" t="inlineStr"/>
      <c r="H1667" s="11" t="inlineStr">
        <is>
          <t>c37334</t>
        </is>
      </c>
      <c r="I1667" s="11" t="inlineStr">
        <is>
          <t>name</t>
        </is>
      </c>
      <c r="J1667" s="11" t="inlineStr">
        <is>
          <t>no</t>
        </is>
      </c>
      <c r="K1667" s="11" t="inlineStr">
        <is>
          <t>no</t>
        </is>
      </c>
      <c r="L1667" s="11" t="inlineStr"/>
    </row>
    <row r="1668">
      <c r="A1668" s="11" t="inlineStr">
        <is>
          <t>1665</t>
        </is>
      </c>
      <c r="B1668" s="11" t="inlineStr">
        <is>
          <t>257</t>
        </is>
      </c>
      <c r="C1668" s="11" t="inlineStr">
        <is>
          <t>HC/tribunal/other</t>
        </is>
      </c>
      <c r="D1668" s="11" t="inlineStr">
        <is>
          <t>yes</t>
        </is>
      </c>
      <c r="E1668" s="11" t="inlineStr">
        <is>
          <t>no</t>
        </is>
      </c>
      <c r="F1668" s="11" t="inlineStr"/>
      <c r="G1668" s="11" t="inlineStr"/>
      <c r="H1668" s="11" t="inlineStr">
        <is>
          <t>c31454</t>
        </is>
      </c>
      <c r="I1668" s="11" t="inlineStr">
        <is>
          <t>name</t>
        </is>
      </c>
      <c r="J1668" s="11" t="inlineStr">
        <is>
          <t>no</t>
        </is>
      </c>
      <c r="K1668" s="11" t="inlineStr">
        <is>
          <t>no</t>
        </is>
      </c>
      <c r="L1668" s="11" t="inlineStr"/>
    </row>
    <row r="1669">
      <c r="A1669" s="11" t="inlineStr">
        <is>
          <t>1666</t>
        </is>
      </c>
      <c r="B1669" s="11" t="inlineStr">
        <is>
          <t>257</t>
        </is>
      </c>
      <c r="C1669" s="11" t="inlineStr">
        <is>
          <t>HC/tribunal/other</t>
        </is>
      </c>
      <c r="D1669" s="11" t="inlineStr">
        <is>
          <t>yes</t>
        </is>
      </c>
      <c r="E1669" s="11" t="inlineStr">
        <is>
          <t>no</t>
        </is>
      </c>
      <c r="F1669" s="11" t="inlineStr"/>
      <c r="G1669" s="11" t="inlineStr"/>
      <c r="H1669" s="11" t="inlineStr">
        <is>
          <t>c31000</t>
        </is>
      </c>
      <c r="I1669" s="11" t="inlineStr">
        <is>
          <t>name</t>
        </is>
      </c>
      <c r="J1669" s="11" t="inlineStr">
        <is>
          <t>no</t>
        </is>
      </c>
      <c r="K1669" s="11" t="inlineStr">
        <is>
          <t>no</t>
        </is>
      </c>
      <c r="L1669" s="11" t="inlineStr"/>
    </row>
    <row r="1670">
      <c r="A1670" s="11" t="inlineStr">
        <is>
          <t>1667</t>
        </is>
      </c>
      <c r="B1670" s="11" t="inlineStr">
        <is>
          <t>257</t>
        </is>
      </c>
      <c r="C1670" s="11" t="inlineStr">
        <is>
          <t>HC/tribunal/other</t>
        </is>
      </c>
      <c r="D1670" s="11" t="inlineStr">
        <is>
          <t>no</t>
        </is>
      </c>
      <c r="E1670" s="11" t="inlineStr">
        <is>
          <t>yes</t>
        </is>
      </c>
      <c r="F1670" s="11" t="inlineStr"/>
      <c r="G1670" s="11" t="inlineStr"/>
      <c r="H1670" s="11" t="inlineStr">
        <is>
          <t>bS_1993_1_131_140</t>
        </is>
      </c>
      <c r="I1670" s="11" t="inlineStr">
        <is>
          <t>name</t>
        </is>
      </c>
      <c r="J1670" s="11" t="inlineStr">
        <is>
          <t>no</t>
        </is>
      </c>
      <c r="K1670" s="11" t="inlineStr">
        <is>
          <t>no</t>
        </is>
      </c>
      <c r="L1670" s="11" t="inlineStr"/>
    </row>
    <row r="1671">
      <c r="A1671" s="11" t="inlineStr">
        <is>
          <t>1668</t>
        </is>
      </c>
      <c r="B1671" s="11" t="inlineStr">
        <is>
          <t>257</t>
        </is>
      </c>
      <c r="C1671" s="11" t="inlineStr">
        <is>
          <t>HC/tribunal/other</t>
        </is>
      </c>
      <c r="D1671" s="11" t="inlineStr">
        <is>
          <t>no</t>
        </is>
      </c>
      <c r="E1671" s="11" t="inlineStr">
        <is>
          <t>no</t>
        </is>
      </c>
      <c r="F1671" s="11" t="inlineStr"/>
      <c r="G1671" s="11" t="inlineStr"/>
      <c r="H1671" s="11" t="inlineStr">
        <is>
          <t>c19584</t>
        </is>
      </c>
      <c r="I1671" s="11" t="inlineStr">
        <is>
          <t>cite</t>
        </is>
      </c>
      <c r="J1671" s="11" t="inlineStr">
        <is>
          <t>no</t>
        </is>
      </c>
      <c r="K1671" s="11" t="inlineStr">
        <is>
          <t>no</t>
        </is>
      </c>
      <c r="L1671" s="11" t="inlineStr"/>
    </row>
    <row r="1672">
      <c r="A1672" s="11" t="inlineStr">
        <is>
          <t>1669</t>
        </is>
      </c>
      <c r="B1672" s="11" t="inlineStr">
        <is>
          <t>258</t>
        </is>
      </c>
      <c r="C1672" s="11" t="inlineStr">
        <is>
          <t>HC/tribunal/other</t>
        </is>
      </c>
      <c r="D1672" s="11" t="inlineStr">
        <is>
          <t>no</t>
        </is>
      </c>
      <c r="E1672" s="11" t="inlineStr">
        <is>
          <t>no</t>
        </is>
      </c>
      <c r="F1672" s="11" t="inlineStr"/>
      <c r="G1672" s="11" t="inlineStr"/>
      <c r="H1672" s="11" t="inlineStr">
        <is>
          <t>c10639</t>
        </is>
      </c>
      <c r="I1672" s="11" t="inlineStr">
        <is>
          <t>cite</t>
        </is>
      </c>
      <c r="J1672" s="11" t="inlineStr">
        <is>
          <t>no</t>
        </is>
      </c>
      <c r="K1672" s="11" t="inlineStr">
        <is>
          <t>no</t>
        </is>
      </c>
      <c r="L1672" s="11" t="inlineStr"/>
    </row>
    <row r="1673">
      <c r="A1673" s="11" t="inlineStr">
        <is>
          <t>1670</t>
        </is>
      </c>
      <c r="B1673" s="11" t="inlineStr">
        <is>
          <t>258</t>
        </is>
      </c>
      <c r="C1673" s="11" t="inlineStr">
        <is>
          <t>HC/tribunal/other</t>
        </is>
      </c>
      <c r="D1673" s="11" t="inlineStr">
        <is>
          <t>no</t>
        </is>
      </c>
      <c r="E1673" s="11" t="inlineStr">
        <is>
          <t>no</t>
        </is>
      </c>
      <c r="F1673" s="11" t="inlineStr"/>
      <c r="G1673" s="11" t="inlineStr"/>
      <c r="H1673" s="11" t="inlineStr"/>
      <c r="I1673" s="11" t="inlineStr"/>
      <c r="J1673" s="11" t="inlineStr">
        <is>
          <t>no</t>
        </is>
      </c>
      <c r="K1673" s="11" t="inlineStr">
        <is>
          <t>no</t>
        </is>
      </c>
      <c r="L1673" s="11" t="inlineStr"/>
    </row>
    <row r="1674">
      <c r="A1674" s="11" t="inlineStr">
        <is>
          <t>1671</t>
        </is>
      </c>
      <c r="B1674" s="11" t="inlineStr">
        <is>
          <t>258</t>
        </is>
      </c>
      <c r="C1674" s="11" t="inlineStr">
        <is>
          <t>HC/tribunal/other</t>
        </is>
      </c>
      <c r="D1674" s="11" t="inlineStr">
        <is>
          <t>no</t>
        </is>
      </c>
      <c r="E1674" s="11" t="inlineStr">
        <is>
          <t>no</t>
        </is>
      </c>
      <c r="F1674" s="11" t="inlineStr"/>
      <c r="G1674" s="11" t="inlineStr"/>
      <c r="H1674" s="11" t="inlineStr">
        <is>
          <t>c30357</t>
        </is>
      </c>
      <c r="I1674" s="11" t="inlineStr">
        <is>
          <t>name</t>
        </is>
      </c>
      <c r="J1674" s="11" t="inlineStr">
        <is>
          <t>no</t>
        </is>
      </c>
      <c r="K1674" s="11" t="inlineStr">
        <is>
          <t>no</t>
        </is>
      </c>
      <c r="L1674" s="11" t="inlineStr"/>
    </row>
    <row r="1675">
      <c r="A1675" s="11" t="inlineStr">
        <is>
          <t>1672</t>
        </is>
      </c>
      <c r="B1675" s="11" t="inlineStr">
        <is>
          <t>258</t>
        </is>
      </c>
      <c r="C1675" s="11" t="inlineStr">
        <is>
          <t>HC/tribunal/other</t>
        </is>
      </c>
      <c r="D1675" s="11" t="inlineStr">
        <is>
          <t>no</t>
        </is>
      </c>
      <c r="E1675" s="11" t="inlineStr">
        <is>
          <t>no</t>
        </is>
      </c>
      <c r="F1675" s="11" t="inlineStr"/>
      <c r="G1675" s="11" t="inlineStr"/>
      <c r="H1675" s="11" t="inlineStr">
        <is>
          <t>c15146</t>
        </is>
      </c>
      <c r="I1675" s="11" t="inlineStr">
        <is>
          <t>name</t>
        </is>
      </c>
      <c r="J1675" s="11" t="inlineStr">
        <is>
          <t>no</t>
        </is>
      </c>
      <c r="K1675" s="11" t="inlineStr">
        <is>
          <t>no</t>
        </is>
      </c>
      <c r="L1675" s="11" t="inlineStr"/>
    </row>
    <row r="1676">
      <c r="A1676" s="11" t="inlineStr">
        <is>
          <t>1673</t>
        </is>
      </c>
      <c r="B1676" s="11" t="inlineStr">
        <is>
          <t>258</t>
        </is>
      </c>
      <c r="C1676" s="11" t="inlineStr">
        <is>
          <t>HC/tribunal/other</t>
        </is>
      </c>
      <c r="D1676" s="11" t="inlineStr">
        <is>
          <t>no</t>
        </is>
      </c>
      <c r="E1676" s="11" t="inlineStr">
        <is>
          <t>no</t>
        </is>
      </c>
      <c r="F1676" s="11" t="inlineStr"/>
      <c r="G1676" s="11" t="inlineStr"/>
      <c r="H1676" s="11" t="inlineStr">
        <is>
          <t>c26446</t>
        </is>
      </c>
      <c r="I1676" s="11" t="inlineStr">
        <is>
          <t>name</t>
        </is>
      </c>
      <c r="J1676" s="11" t="inlineStr">
        <is>
          <t>no</t>
        </is>
      </c>
      <c r="K1676" s="11" t="inlineStr">
        <is>
          <t>no</t>
        </is>
      </c>
      <c r="L1676" s="11" t="inlineStr"/>
    </row>
    <row r="1677">
      <c r="A1677" s="11" t="inlineStr">
        <is>
          <t>1674</t>
        </is>
      </c>
      <c r="B1677" s="11" t="inlineStr">
        <is>
          <t>258</t>
        </is>
      </c>
      <c r="C1677" s="11" t="inlineStr">
        <is>
          <t>HC/tribunal/other</t>
        </is>
      </c>
      <c r="D1677" s="11" t="inlineStr">
        <is>
          <t>yes</t>
        </is>
      </c>
      <c r="E1677" s="11" t="inlineStr">
        <is>
          <t>no</t>
        </is>
      </c>
      <c r="F1677" s="11" t="inlineStr"/>
      <c r="G1677" s="11" t="inlineStr"/>
      <c r="H1677" s="11" t="inlineStr">
        <is>
          <t>c29004</t>
        </is>
      </c>
      <c r="I1677" s="11" t="inlineStr">
        <is>
          <t>cite</t>
        </is>
      </c>
      <c r="J1677" s="11" t="inlineStr">
        <is>
          <t>no</t>
        </is>
      </c>
      <c r="K1677" s="11" t="inlineStr">
        <is>
          <t>no</t>
        </is>
      </c>
      <c r="L1677" s="11" t="inlineStr"/>
    </row>
    <row r="1678">
      <c r="A1678" s="11" t="inlineStr">
        <is>
          <t>1675</t>
        </is>
      </c>
      <c r="B1678" s="11" t="inlineStr">
        <is>
          <t>258</t>
        </is>
      </c>
      <c r="C1678" s="11" t="inlineStr">
        <is>
          <t>HC/tribunal/other</t>
        </is>
      </c>
      <c r="D1678" s="11" t="inlineStr">
        <is>
          <t>no</t>
        </is>
      </c>
      <c r="E1678" s="11" t="inlineStr">
        <is>
          <t>no</t>
        </is>
      </c>
      <c r="F1678" s="11" t="inlineStr"/>
      <c r="G1678" s="11" t="inlineStr"/>
      <c r="H1678" s="11" t="inlineStr">
        <is>
          <t>c27455</t>
        </is>
      </c>
      <c r="I1678" s="11" t="inlineStr">
        <is>
          <t>cite</t>
        </is>
      </c>
      <c r="J1678" s="11" t="inlineStr">
        <is>
          <t>no</t>
        </is>
      </c>
      <c r="K1678" s="11" t="inlineStr">
        <is>
          <t>no</t>
        </is>
      </c>
      <c r="L1678" s="11" t="inlineStr"/>
    </row>
    <row r="1679">
      <c r="A1679" s="11" t="inlineStr">
        <is>
          <t>1676</t>
        </is>
      </c>
      <c r="B1679" s="11" t="inlineStr">
        <is>
          <t>259</t>
        </is>
      </c>
      <c r="C1679" s="11" t="inlineStr">
        <is>
          <t>HC/tribunal/other</t>
        </is>
      </c>
      <c r="D1679" s="11" t="inlineStr">
        <is>
          <t>yes</t>
        </is>
      </c>
      <c r="E1679" s="11" t="inlineStr">
        <is>
          <t>yes</t>
        </is>
      </c>
      <c r="F1679" s="11" t="inlineStr"/>
      <c r="G1679" s="11" t="inlineStr"/>
      <c r="H1679" s="11" t="inlineStr">
        <is>
          <t>c29573</t>
        </is>
      </c>
      <c r="I1679" s="11" t="inlineStr">
        <is>
          <t>cite</t>
        </is>
      </c>
      <c r="J1679" s="11" t="inlineStr">
        <is>
          <t>no</t>
        </is>
      </c>
      <c r="K1679" s="11" t="inlineStr">
        <is>
          <t>no</t>
        </is>
      </c>
      <c r="L1679" s="11" t="inlineStr"/>
    </row>
    <row r="1680">
      <c r="A1680" s="11" t="inlineStr">
        <is>
          <t>1677</t>
        </is>
      </c>
      <c r="B1680" s="11" t="inlineStr">
        <is>
          <t>259</t>
        </is>
      </c>
      <c r="C1680" s="11" t="inlineStr">
        <is>
          <t>HC/tribunal/other</t>
        </is>
      </c>
      <c r="D1680" s="11" t="inlineStr">
        <is>
          <t>no</t>
        </is>
      </c>
      <c r="E1680" s="11" t="inlineStr">
        <is>
          <t>no</t>
        </is>
      </c>
      <c r="F1680" s="11" t="inlineStr"/>
      <c r="G1680" s="11" t="inlineStr"/>
      <c r="H1680" s="11" t="inlineStr">
        <is>
          <t>c14287</t>
        </is>
      </c>
      <c r="I1680" s="11" t="inlineStr">
        <is>
          <t>cite</t>
        </is>
      </c>
      <c r="J1680" s="11" t="inlineStr">
        <is>
          <t>no</t>
        </is>
      </c>
      <c r="K1680" s="11" t="inlineStr">
        <is>
          <t>no</t>
        </is>
      </c>
      <c r="L1680" s="11" t="inlineStr"/>
    </row>
    <row r="1681">
      <c r="A1681" s="11" t="inlineStr">
        <is>
          <t>1678</t>
        </is>
      </c>
      <c r="B1681" s="11" t="inlineStr">
        <is>
          <t>259</t>
        </is>
      </c>
      <c r="C1681" s="11" t="inlineStr">
        <is>
          <t>HC/tribunal/other</t>
        </is>
      </c>
      <c r="D1681" s="11" t="inlineStr">
        <is>
          <t>no</t>
        </is>
      </c>
      <c r="E1681" s="11" t="inlineStr">
        <is>
          <t>no</t>
        </is>
      </c>
      <c r="F1681" s="11" t="inlineStr"/>
      <c r="G1681" s="11" t="inlineStr"/>
      <c r="H1681" s="11" t="inlineStr">
        <is>
          <t>c34263</t>
        </is>
      </c>
      <c r="I1681" s="11" t="inlineStr">
        <is>
          <t>cite</t>
        </is>
      </c>
      <c r="J1681" s="11" t="inlineStr">
        <is>
          <t>no</t>
        </is>
      </c>
      <c r="K1681" s="11" t="inlineStr">
        <is>
          <t>no</t>
        </is>
      </c>
      <c r="L1681" s="11" t="inlineStr"/>
    </row>
    <row r="1682">
      <c r="A1682" s="11" t="inlineStr">
        <is>
          <t>1679</t>
        </is>
      </c>
      <c r="B1682" s="11" t="inlineStr">
        <is>
          <t>259</t>
        </is>
      </c>
      <c r="C1682" s="11" t="inlineStr">
        <is>
          <t>HC/tribunal/other</t>
        </is>
      </c>
      <c r="D1682" s="11" t="inlineStr">
        <is>
          <t>yes</t>
        </is>
      </c>
      <c r="E1682" s="11" t="inlineStr">
        <is>
          <t>no</t>
        </is>
      </c>
      <c r="F1682" s="11" t="inlineStr"/>
      <c r="G1682" s="11" t="inlineStr"/>
      <c r="H1682" s="11" t="inlineStr">
        <is>
          <t>c5576</t>
        </is>
      </c>
      <c r="I1682" s="11" t="inlineStr">
        <is>
          <t>cite</t>
        </is>
      </c>
      <c r="J1682" s="11" t="inlineStr">
        <is>
          <t>no</t>
        </is>
      </c>
      <c r="K1682" s="11" t="inlineStr">
        <is>
          <t>no</t>
        </is>
      </c>
      <c r="L1682" s="11" t="inlineStr"/>
    </row>
    <row r="1683">
      <c r="A1683" s="11" t="inlineStr">
        <is>
          <t>1680</t>
        </is>
      </c>
      <c r="B1683" s="11" t="inlineStr">
        <is>
          <t>259</t>
        </is>
      </c>
      <c r="C1683" s="11" t="inlineStr">
        <is>
          <t>HC/tribunal/other</t>
        </is>
      </c>
      <c r="D1683" s="11" t="inlineStr">
        <is>
          <t>no</t>
        </is>
      </c>
      <c r="E1683" s="11" t="inlineStr">
        <is>
          <t>no</t>
        </is>
      </c>
      <c r="F1683" s="11" t="inlineStr"/>
      <c r="G1683" s="11" t="inlineStr"/>
      <c r="H1683" s="11" t="inlineStr"/>
      <c r="I1683" s="11" t="inlineStr"/>
      <c r="J1683" s="11" t="inlineStr">
        <is>
          <t>no</t>
        </is>
      </c>
      <c r="K1683" s="11" t="inlineStr">
        <is>
          <t>no</t>
        </is>
      </c>
      <c r="L1683" s="11" t="inlineStr"/>
    </row>
    <row r="1684">
      <c r="A1684" s="11" t="inlineStr">
        <is>
          <t>1681</t>
        </is>
      </c>
      <c r="B1684" s="11" t="inlineStr">
        <is>
          <t>259</t>
        </is>
      </c>
      <c r="C1684" s="11" t="inlineStr">
        <is>
          <t>HC/tribunal/other</t>
        </is>
      </c>
      <c r="D1684" s="11" t="inlineStr">
        <is>
          <t>no</t>
        </is>
      </c>
      <c r="E1684" s="11" t="inlineStr">
        <is>
          <t>yes</t>
        </is>
      </c>
      <c r="F1684" s="11" t="inlineStr"/>
      <c r="G1684" s="11" t="inlineStr"/>
      <c r="H1684" s="11" t="inlineStr">
        <is>
          <t>c34032</t>
        </is>
      </c>
      <c r="I1684" s="11" t="inlineStr">
        <is>
          <t>cite</t>
        </is>
      </c>
      <c r="J1684" s="11" t="inlineStr">
        <is>
          <t>no</t>
        </is>
      </c>
      <c r="K1684" s="11" t="inlineStr">
        <is>
          <t>no</t>
        </is>
      </c>
      <c r="L1684" s="11" t="inlineStr"/>
    </row>
    <row r="1685">
      <c r="A1685" s="11" t="inlineStr">
        <is>
          <t>1682</t>
        </is>
      </c>
      <c r="B1685" s="11" t="inlineStr">
        <is>
          <t>259</t>
        </is>
      </c>
      <c r="C1685" s="11" t="inlineStr">
        <is>
          <t>HC/tribunal/other</t>
        </is>
      </c>
      <c r="D1685" s="11" t="inlineStr">
        <is>
          <t>yes</t>
        </is>
      </c>
      <c r="E1685" s="11" t="inlineStr">
        <is>
          <t>no</t>
        </is>
      </c>
      <c r="F1685" s="11" t="inlineStr"/>
      <c r="G1685" s="11" t="inlineStr"/>
      <c r="H1685" s="11" t="inlineStr">
        <is>
          <t>c4432</t>
        </is>
      </c>
      <c r="I1685" s="11" t="inlineStr">
        <is>
          <t>cite</t>
        </is>
      </c>
      <c r="J1685" s="11" t="inlineStr">
        <is>
          <t>no</t>
        </is>
      </c>
      <c r="K1685" s="11" t="inlineStr">
        <is>
          <t>no</t>
        </is>
      </c>
      <c r="L1685" s="11" t="inlineStr"/>
    </row>
    <row r="1686">
      <c r="A1686" s="11" t="inlineStr">
        <is>
          <t>1683</t>
        </is>
      </c>
      <c r="B1686" s="11" t="inlineStr">
        <is>
          <t>260</t>
        </is>
      </c>
      <c r="C1686" s="11" t="inlineStr">
        <is>
          <t>HC/tribunal/other</t>
        </is>
      </c>
      <c r="D1686" s="11" t="inlineStr">
        <is>
          <t>no</t>
        </is>
      </c>
      <c r="E1686" s="11" t="inlineStr">
        <is>
          <t>no</t>
        </is>
      </c>
      <c r="F1686" s="11" t="inlineStr"/>
      <c r="G1686" s="11" t="inlineStr"/>
      <c r="H1686" s="11" t="inlineStr">
        <is>
          <t>c28145</t>
        </is>
      </c>
      <c r="I1686" s="11" t="inlineStr">
        <is>
          <t>name</t>
        </is>
      </c>
      <c r="J1686" s="11" t="inlineStr">
        <is>
          <t>no</t>
        </is>
      </c>
      <c r="K1686" s="11" t="inlineStr">
        <is>
          <t>no</t>
        </is>
      </c>
      <c r="L1686" s="11" t="inlineStr"/>
    </row>
    <row r="1687">
      <c r="A1687" s="11" t="inlineStr">
        <is>
          <t>1684</t>
        </is>
      </c>
      <c r="B1687" s="11" t="inlineStr">
        <is>
          <t>260</t>
        </is>
      </c>
      <c r="C1687" s="11" t="inlineStr">
        <is>
          <t>HC/tribunal/other</t>
        </is>
      </c>
      <c r="D1687" s="11" t="inlineStr">
        <is>
          <t>no</t>
        </is>
      </c>
      <c r="E1687" s="11" t="inlineStr">
        <is>
          <t>no</t>
        </is>
      </c>
      <c r="F1687" s="11" t="inlineStr"/>
      <c r="G1687" s="11" t="inlineStr"/>
      <c r="H1687" s="11" t="inlineStr">
        <is>
          <t>b1977_2_460_463</t>
        </is>
      </c>
      <c r="I1687" s="11" t="inlineStr">
        <is>
          <t>cite</t>
        </is>
      </c>
      <c r="J1687" s="11" t="inlineStr">
        <is>
          <t>no</t>
        </is>
      </c>
      <c r="K1687" s="11" t="inlineStr">
        <is>
          <t>no</t>
        </is>
      </c>
      <c r="L1687" s="11" t="inlineStr"/>
    </row>
    <row r="1688">
      <c r="A1688" s="11" t="inlineStr">
        <is>
          <t>1685</t>
        </is>
      </c>
      <c r="B1688" s="11" t="inlineStr">
        <is>
          <t>260</t>
        </is>
      </c>
      <c r="C1688" s="11" t="inlineStr">
        <is>
          <t>HC/tribunal/other</t>
        </is>
      </c>
      <c r="D1688" s="11" t="inlineStr">
        <is>
          <t>yes</t>
        </is>
      </c>
      <c r="E1688" s="11" t="inlineStr">
        <is>
          <t>no</t>
        </is>
      </c>
      <c r="F1688" s="11" t="inlineStr"/>
      <c r="G1688" s="11" t="inlineStr"/>
      <c r="H1688" s="11" t="inlineStr">
        <is>
          <t>c37364</t>
        </is>
      </c>
      <c r="I1688" s="11" t="inlineStr">
        <is>
          <t>cite</t>
        </is>
      </c>
      <c r="J1688" s="11" t="inlineStr">
        <is>
          <t>no</t>
        </is>
      </c>
      <c r="K1688" s="11" t="inlineStr">
        <is>
          <t>no</t>
        </is>
      </c>
      <c r="L1688" s="11" t="inlineStr"/>
    </row>
    <row r="1689">
      <c r="A1689" s="11" t="inlineStr">
        <is>
          <t>1686</t>
        </is>
      </c>
      <c r="B1689" s="11" t="inlineStr">
        <is>
          <t>260</t>
        </is>
      </c>
      <c r="C1689" s="11" t="inlineStr">
        <is>
          <t>HC/tribunal/other</t>
        </is>
      </c>
      <c r="D1689" s="11" t="inlineStr">
        <is>
          <t>no</t>
        </is>
      </c>
      <c r="E1689" s="11" t="inlineStr">
        <is>
          <t>no</t>
        </is>
      </c>
      <c r="F1689" s="11" t="inlineStr"/>
      <c r="G1689" s="11" t="inlineStr"/>
      <c r="H1689" s="11" t="inlineStr">
        <is>
          <t>c9360</t>
        </is>
      </c>
      <c r="I1689" s="11" t="inlineStr">
        <is>
          <t>cite</t>
        </is>
      </c>
      <c r="J1689" s="11" t="inlineStr">
        <is>
          <t>no</t>
        </is>
      </c>
      <c r="K1689" s="11" t="inlineStr">
        <is>
          <t>no</t>
        </is>
      </c>
      <c r="L1689" s="11" t="inlineStr"/>
    </row>
    <row r="1690">
      <c r="A1690" s="11" t="inlineStr">
        <is>
          <t>1687</t>
        </is>
      </c>
      <c r="B1690" s="11" t="inlineStr">
        <is>
          <t>260</t>
        </is>
      </c>
      <c r="C1690" s="11" t="inlineStr">
        <is>
          <t>HC/tribunal/other</t>
        </is>
      </c>
      <c r="D1690" s="11" t="inlineStr">
        <is>
          <t>no</t>
        </is>
      </c>
      <c r="E1690" s="11" t="inlineStr">
        <is>
          <t>yes</t>
        </is>
      </c>
      <c r="F1690" s="11" t="inlineStr"/>
      <c r="G1690" s="11" t="inlineStr"/>
      <c r="H1690" s="11" t="inlineStr">
        <is>
          <t>b1984_2_431_437</t>
        </is>
      </c>
      <c r="I1690" s="11" t="inlineStr">
        <is>
          <t>cite</t>
        </is>
      </c>
      <c r="J1690" s="11" t="inlineStr">
        <is>
          <t>no</t>
        </is>
      </c>
      <c r="K1690" s="11" t="inlineStr">
        <is>
          <t>no</t>
        </is>
      </c>
      <c r="L1690" s="11" t="inlineStr"/>
    </row>
    <row r="1691">
      <c r="A1691" s="11" t="inlineStr">
        <is>
          <t>1688</t>
        </is>
      </c>
      <c r="B1691" s="11" t="inlineStr">
        <is>
          <t>260</t>
        </is>
      </c>
      <c r="C1691" s="11" t="inlineStr">
        <is>
          <t>HC/tribunal/other</t>
        </is>
      </c>
      <c r="D1691" s="11" t="inlineStr">
        <is>
          <t>no</t>
        </is>
      </c>
      <c r="E1691" s="11" t="inlineStr">
        <is>
          <t>no</t>
        </is>
      </c>
      <c r="F1691" s="11" t="inlineStr"/>
      <c r="G1691" s="11" t="inlineStr"/>
      <c r="H1691" s="11" t="inlineStr">
        <is>
          <t>c16007</t>
        </is>
      </c>
      <c r="I1691" s="11" t="inlineStr">
        <is>
          <t>cite</t>
        </is>
      </c>
      <c r="J1691" s="11" t="inlineStr">
        <is>
          <t>no</t>
        </is>
      </c>
      <c r="K1691" s="11" t="inlineStr">
        <is>
          <t>no</t>
        </is>
      </c>
      <c r="L1691" s="11" t="inlineStr"/>
    </row>
  </sheetData>
  <autoFilter ref="A3:L1691"/>
  <mergeCells count="1">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3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90" customWidth="1" min="14" max="14"/>
  </cols>
  <sheetData>
    <row r="1" ht="44" customHeight="1">
      <c r="A1" s="9" t="inlineStr">
        <is>
          <t>The 308 usable pairs. Half 'tune' (even rows, 146 pairs) was run: 38 of 146 (26%) read as adverse before the fixes of 2026-10-07 and 42 (29%) after (in-sample). Half 'held' (odd rows, 162 pairs) has NOT been run and must be run once, at a frozen commit. Every pair is a positive: recall only, not false alarms.</t>
        </is>
      </c>
    </row>
    <row r="3">
      <c r="A3" s="10" t="inlineStr">
        <is>
          <t>List row</t>
        </is>
      </c>
      <c r="B3" s="10" t="inlineStr">
        <is>
          <t>Half</t>
        </is>
      </c>
      <c r="C3" s="10" t="inlineStr">
        <is>
          <t>Overruled key</t>
        </is>
      </c>
      <c r="D3" s="10" t="inlineStr">
        <is>
          <t>Overruling key</t>
        </is>
      </c>
      <c r="E3" s="10" t="inlineStr">
        <is>
          <t>Overruled date</t>
        </is>
      </c>
      <c r="F3" s="10" t="inlineStr">
        <is>
          <t>Overruling date</t>
        </is>
      </c>
      <c r="G3" s="10" t="inlineStr">
        <is>
          <t>Reading before fixes</t>
        </is>
      </c>
      <c r="H3" s="10" t="inlineStr">
        <is>
          <t>Reading after fixes</t>
        </is>
      </c>
      <c r="I3" s="10" t="inlineStr">
        <is>
          <t>Adverse after fixes</t>
        </is>
      </c>
      <c r="J3" s="10" t="inlineStr">
        <is>
          <t>Cue</t>
        </is>
      </c>
      <c r="K3" s="10" t="inlineStr">
        <is>
          <t>Voice</t>
        </is>
      </c>
      <c r="L3" s="10" t="inlineStr">
        <is>
          <t>Confident, court/headnote voice</t>
        </is>
      </c>
      <c r="M3" s="10" t="inlineStr">
        <is>
          <t>Matched how</t>
        </is>
      </c>
      <c r="N3" s="10" t="inlineStr">
        <is>
          <t>Sentence read</t>
        </is>
      </c>
    </row>
    <row r="4">
      <c r="A4" s="11" t="n">
        <v>226</v>
      </c>
      <c r="B4" s="11" t="inlineStr">
        <is>
          <t>tune</t>
        </is>
      </c>
      <c r="C4" s="11" t="inlineStr">
        <is>
          <t>c1233</t>
        </is>
      </c>
      <c r="D4" s="11" t="inlineStr">
        <is>
          <t>c9438</t>
        </is>
      </c>
      <c r="E4" s="11" t="inlineStr">
        <is>
          <t>1950-11-14</t>
        </is>
      </c>
      <c r="F4" s="11" t="inlineStr">
        <is>
          <t>1984-10-29</t>
        </is>
      </c>
      <c r="G4" s="11" t="inlineStr">
        <is>
          <t>NEUTRAL</t>
        </is>
      </c>
      <c r="H4" s="11" t="inlineStr">
        <is>
          <t>NEUTRAL</t>
        </is>
      </c>
      <c r="I4" s="11" t="inlineStr">
        <is>
          <t>no</t>
        </is>
      </c>
      <c r="J4" s="11" t="inlineStr"/>
      <c r="K4" s="11" t="inlineStr">
        <is>
          <t>headnote</t>
        </is>
      </c>
      <c r="L4" s="11" t="inlineStr">
        <is>
          <t>yes</t>
        </is>
      </c>
      <c r="M4" s="11" t="inlineStr">
        <is>
          <t>cite/cite</t>
        </is>
      </c>
      <c r="N4" s="2" t="inlineStr">
        <is>
          <t>Sarju Prasad v. Raja Jwaleshwari Pratap Narain Singh &amp; Ors. [1950] S.C.R 781.</t>
        </is>
      </c>
    </row>
    <row r="5">
      <c r="A5" s="11" t="n">
        <v>227</v>
      </c>
      <c r="B5" s="11" t="inlineStr">
        <is>
          <t>untouched</t>
        </is>
      </c>
      <c r="C5" s="11" t="inlineStr">
        <is>
          <t>c15373</t>
        </is>
      </c>
      <c r="D5" s="11" t="inlineStr">
        <is>
          <t>c26613</t>
        </is>
      </c>
      <c r="E5" s="11" t="inlineStr">
        <is>
          <t>1996-07-31</t>
        </is>
      </c>
      <c r="F5" s="11" t="inlineStr">
        <is>
          <t>2004-11-29</t>
        </is>
      </c>
      <c r="G5" s="11" t="n"/>
      <c r="H5" s="11" t="n"/>
      <c r="I5" s="11" t="n"/>
      <c r="J5" s="11" t="n"/>
      <c r="K5" s="11" t="n"/>
      <c r="L5" s="11" t="n"/>
      <c r="M5" s="11" t="n"/>
      <c r="N5" s="2" t="n"/>
    </row>
    <row r="6">
      <c r="A6" s="11" t="n">
        <v>231</v>
      </c>
      <c r="B6" s="11" t="inlineStr">
        <is>
          <t>untouched</t>
        </is>
      </c>
      <c r="C6" s="11" t="inlineStr">
        <is>
          <t>c15358</t>
        </is>
      </c>
      <c r="D6" s="11" t="inlineStr">
        <is>
          <t>c26522</t>
        </is>
      </c>
      <c r="E6" s="11" t="inlineStr">
        <is>
          <t>1996-08-05</t>
        </is>
      </c>
      <c r="F6" s="11" t="inlineStr">
        <is>
          <t>2004-10-07</t>
        </is>
      </c>
      <c r="G6" s="11" t="n"/>
      <c r="H6" s="11" t="n"/>
      <c r="I6" s="11" t="n"/>
      <c r="J6" s="11" t="n"/>
      <c r="K6" s="11" t="n"/>
      <c r="L6" s="11" t="n"/>
      <c r="M6" s="11" t="n"/>
      <c r="N6" s="2" t="n"/>
    </row>
    <row r="7">
      <c r="A7" s="11" t="n">
        <v>232</v>
      </c>
      <c r="B7" s="11" t="inlineStr">
        <is>
          <t>tune</t>
        </is>
      </c>
      <c r="C7" s="11" t="inlineStr">
        <is>
          <t>c334</t>
        </is>
      </c>
      <c r="D7" s="11" t="inlineStr">
        <is>
          <t>c5680</t>
        </is>
      </c>
      <c r="E7" s="11" t="inlineStr">
        <is>
          <t>1959-05-21</t>
        </is>
      </c>
      <c r="F7" s="11" t="inlineStr">
        <is>
          <t>1976-03-23</t>
        </is>
      </c>
      <c r="G7" s="11" t="inlineStr">
        <is>
          <t>NEUTRAL</t>
        </is>
      </c>
      <c r="H7" s="11" t="inlineStr">
        <is>
          <t>NEUTRAL</t>
        </is>
      </c>
      <c r="I7" s="11" t="inlineStr">
        <is>
          <t>no</t>
        </is>
      </c>
      <c r="J7" s="11" t="inlineStr"/>
      <c r="K7" s="11" t="inlineStr">
        <is>
          <t>headnote</t>
        </is>
      </c>
      <c r="L7" s="11" t="inlineStr">
        <is>
          <t>yes</t>
        </is>
      </c>
      <c r="M7" s="11" t="inlineStr">
        <is>
          <t>cite/cite</t>
        </is>
      </c>
      <c r="N7" s="2" t="inlineStr">
        <is>
          <t>The observation in the Hotel Imperial case [1960] 1 S.C.R. 476, 487, that in the Phulbari Tea Estate case [1960] 1 S.C.R. 32, it was held that in a case where the employer makes good the defects in the domestic enquiry by producing necessary evidence before the Industrial Tribunal, the employer "will have to pay the wages up to the date of the award of the Tribunal" even if the award went in favou</t>
        </is>
      </c>
    </row>
    <row r="8">
      <c r="A8" s="11" t="n">
        <v>233</v>
      </c>
      <c r="B8" s="11" t="inlineStr">
        <is>
          <t>untouched</t>
        </is>
      </c>
      <c r="C8" s="11" t="inlineStr">
        <is>
          <t>bS_1992_3_768_785</t>
        </is>
      </c>
      <c r="D8" s="11" t="inlineStr">
        <is>
          <t>c14261</t>
        </is>
      </c>
      <c r="E8" s="11" t="inlineStr">
        <is>
          <t>1992-12-18</t>
        </is>
      </c>
      <c r="F8" s="11" t="inlineStr">
        <is>
          <t>1997-03-10</t>
        </is>
      </c>
      <c r="G8" s="11" t="n"/>
      <c r="H8" s="11" t="n"/>
      <c r="I8" s="11" t="n"/>
      <c r="J8" s="11" t="n"/>
      <c r="K8" s="11" t="n"/>
      <c r="L8" s="11" t="n"/>
      <c r="M8" s="11" t="n"/>
      <c r="N8" s="2" t="n"/>
    </row>
    <row r="9">
      <c r="A9" s="11" t="n">
        <v>234</v>
      </c>
      <c r="B9" s="11" t="inlineStr">
        <is>
          <t>tune</t>
        </is>
      </c>
      <c r="C9" s="11" t="inlineStr">
        <is>
          <t>c14133</t>
        </is>
      </c>
      <c r="D9" s="11" t="inlineStr">
        <is>
          <t>c30319</t>
        </is>
      </c>
      <c r="E9" s="11" t="inlineStr">
        <is>
          <t>1997-04-04</t>
        </is>
      </c>
      <c r="F9" s="11" t="inlineStr">
        <is>
          <t>1998-04-17</t>
        </is>
      </c>
      <c r="G9" s="11" t="inlineStr">
        <is>
          <t>NEUTRAL</t>
        </is>
      </c>
      <c r="H9" s="11" t="inlineStr">
        <is>
          <t>NEUTRAL</t>
        </is>
      </c>
      <c r="I9" s="11" t="inlineStr">
        <is>
          <t>no</t>
        </is>
      </c>
      <c r="J9" s="11" t="inlineStr"/>
      <c r="K9" s="11" t="inlineStr">
        <is>
          <t>court</t>
        </is>
      </c>
      <c r="L9" s="11" t="inlineStr">
        <is>
          <t>yes</t>
        </is>
      </c>
      <c r="M9" s="11" t="inlineStr">
        <is>
          <t>cite/cite</t>
        </is>
      </c>
      <c r="N9" s="2" t="inlineStr">
        <is>
          <t>A contrary view, however, has been taken in the decision of State of Bihar and Ors. Vs. Bageshwari Prasad and Anr. (1995 Supp. 1 SCC 432), Shri Suresh Chandra Vs. Shri J.B. Agarwal and others (JT 1997 (5) SC 72), and later on in a three Judges’ Bench decision in Union of India and Anr. Vs. Madhav (1997 (2) SCC 332).</t>
        </is>
      </c>
    </row>
    <row r="10">
      <c r="A10" s="11" t="n">
        <v>235</v>
      </c>
      <c r="B10" s="11" t="inlineStr">
        <is>
          <t>untouched</t>
        </is>
      </c>
      <c r="C10" s="11" t="inlineStr">
        <is>
          <t>c15809</t>
        </is>
      </c>
      <c r="D10" s="11" t="inlineStr">
        <is>
          <t>c17740</t>
        </is>
      </c>
      <c r="E10" s="11" t="inlineStr">
        <is>
          <t>1996-03-25</t>
        </is>
      </c>
      <c r="F10" s="11" t="inlineStr">
        <is>
          <t>2001-04-11</t>
        </is>
      </c>
      <c r="G10" s="11" t="n"/>
      <c r="H10" s="11" t="n"/>
      <c r="I10" s="11" t="n"/>
      <c r="J10" s="11" t="n"/>
      <c r="K10" s="11" t="n"/>
      <c r="L10" s="11" t="n"/>
      <c r="M10" s="11" t="n"/>
      <c r="N10" s="2" t="n"/>
    </row>
    <row r="11">
      <c r="A11" s="11" t="n">
        <v>237</v>
      </c>
      <c r="B11" s="11" t="inlineStr">
        <is>
          <t>untouched</t>
        </is>
      </c>
      <c r="C11" s="11" t="inlineStr">
        <is>
          <t>c4751</t>
        </is>
      </c>
      <c r="D11" s="11" t="inlineStr">
        <is>
          <t>c7515</t>
        </is>
      </c>
      <c r="E11" s="11" t="inlineStr">
        <is>
          <t>1979-08-23</t>
        </is>
      </c>
      <c r="F11" s="11" t="inlineStr">
        <is>
          <t>1990-05-03</t>
        </is>
      </c>
      <c r="G11" s="11" t="n"/>
      <c r="H11" s="11" t="n"/>
      <c r="I11" s="11" t="n"/>
      <c r="J11" s="11" t="n"/>
      <c r="K11" s="11" t="n"/>
      <c r="L11" s="11" t="n"/>
      <c r="M11" s="11" t="n"/>
      <c r="N11" s="2" t="n"/>
    </row>
    <row r="12">
      <c r="A12" s="11" t="n">
        <v>238</v>
      </c>
      <c r="B12" s="11" t="inlineStr">
        <is>
          <t>tune</t>
        </is>
      </c>
      <c r="C12" s="11" t="inlineStr">
        <is>
          <t>c7262</t>
        </is>
      </c>
      <c r="D12" s="11" t="inlineStr">
        <is>
          <t>c9438</t>
        </is>
      </c>
      <c r="E12" s="11" t="inlineStr">
        <is>
          <t>1971-01-22</t>
        </is>
      </c>
      <c r="F12" s="11" t="inlineStr">
        <is>
          <t>1984-10-29</t>
        </is>
      </c>
      <c r="G12" s="11" t="inlineStr">
        <is>
          <t>NEUTRAL</t>
        </is>
      </c>
      <c r="H12" s="11" t="inlineStr">
        <is>
          <t>NEUTRAL</t>
        </is>
      </c>
      <c r="I12" s="11" t="inlineStr">
        <is>
          <t>no</t>
        </is>
      </c>
      <c r="J12" s="11" t="inlineStr"/>
      <c r="K12" s="11" t="inlineStr">
        <is>
          <t>headnote</t>
        </is>
      </c>
      <c r="L12" s="11" t="inlineStr">
        <is>
          <t>yes</t>
        </is>
      </c>
      <c r="M12" s="11" t="inlineStr">
        <is>
          <t>cite/cite</t>
        </is>
      </c>
      <c r="N12" s="2" t="inlineStr">
        <is>
          <t>[1066E-G,1070G-H ] Ramabhai Ashabhai Patel v. Dabhi Ajitkumar Fulsinji &amp; Ors. [1965] I S.C.R. 712, Bhanu Kumar Shastri v. Mohan Lal Sukhadia &amp; Ors. [1971] 3 S.C.R. 522.</t>
        </is>
      </c>
    </row>
    <row r="13">
      <c r="A13" s="11" t="n">
        <v>239</v>
      </c>
      <c r="B13" s="11" t="inlineStr">
        <is>
          <t>untouched</t>
        </is>
      </c>
      <c r="C13" s="11" t="inlineStr">
        <is>
          <t>c10167</t>
        </is>
      </c>
      <c r="D13" s="11" t="inlineStr">
        <is>
          <t>c27500</t>
        </is>
      </c>
      <c r="E13" s="11" t="inlineStr">
        <is>
          <t>1995-12-15</t>
        </is>
      </c>
      <c r="F13" s="11" t="inlineStr">
        <is>
          <t>2006-02-15</t>
        </is>
      </c>
      <c r="G13" s="11" t="n"/>
      <c r="H13" s="11" t="n"/>
      <c r="I13" s="11" t="n"/>
      <c r="J13" s="11" t="n"/>
      <c r="K13" s="11" t="n"/>
      <c r="L13" s="11" t="n"/>
      <c r="M13" s="11" t="n"/>
      <c r="N13" s="2" t="n"/>
    </row>
    <row r="14">
      <c r="A14" s="11" t="n">
        <v>240</v>
      </c>
      <c r="B14" s="11" t="inlineStr">
        <is>
          <t>tune</t>
        </is>
      </c>
      <c r="C14" s="11" t="inlineStr">
        <is>
          <t>c27577</t>
        </is>
      </c>
      <c r="D14" s="11" t="inlineStr">
        <is>
          <t>c42483</t>
        </is>
      </c>
      <c r="E14" s="11" t="inlineStr">
        <is>
          <t>2006-03-20</t>
        </is>
      </c>
      <c r="F14" s="11" t="inlineStr">
        <is>
          <t>2015</t>
        </is>
      </c>
      <c r="G14" s="11" t="inlineStr">
        <is>
          <t>no mention found</t>
        </is>
      </c>
      <c r="H14" s="11" t="inlineStr">
        <is>
          <t>no mention found</t>
        </is>
      </c>
      <c r="I14" s="11" t="inlineStr">
        <is>
          <t>no</t>
        </is>
      </c>
      <c r="J14" s="11" t="inlineStr"/>
      <c r="K14" s="11" t="inlineStr"/>
      <c r="L14" s="11" t="inlineStr">
        <is>
          <t>no</t>
        </is>
      </c>
      <c r="M14" s="11" t="inlineStr">
        <is>
          <t>name/name</t>
        </is>
      </c>
      <c r="N14" s="2" t="inlineStr"/>
    </row>
    <row r="15">
      <c r="A15" s="11" t="n">
        <v>242</v>
      </c>
      <c r="B15" s="11" t="inlineStr">
        <is>
          <t>tune</t>
        </is>
      </c>
      <c r="C15" s="11" t="inlineStr">
        <is>
          <t>c5448</t>
        </is>
      </c>
      <c r="D15" s="11" t="inlineStr">
        <is>
          <t>c5442</t>
        </is>
      </c>
      <c r="E15" s="11" t="inlineStr">
        <is>
          <t>1976-11-26</t>
        </is>
      </c>
      <c r="F15" s="11" t="inlineStr">
        <is>
          <t>1976-12-01</t>
        </is>
      </c>
      <c r="G15" s="11" t="inlineStr">
        <is>
          <t>no mention found</t>
        </is>
      </c>
      <c r="H15" s="11" t="inlineStr">
        <is>
          <t>no mention found</t>
        </is>
      </c>
      <c r="I15" s="11" t="inlineStr">
        <is>
          <t>no</t>
        </is>
      </c>
      <c r="J15" s="11" t="inlineStr"/>
      <c r="K15" s="11" t="inlineStr"/>
      <c r="L15" s="11" t="inlineStr">
        <is>
          <t>no</t>
        </is>
      </c>
      <c r="M15" s="11" t="inlineStr">
        <is>
          <t>cite/cite</t>
        </is>
      </c>
      <c r="N15" s="2" t="inlineStr"/>
    </row>
    <row r="16">
      <c r="A16" s="11" t="n">
        <v>243</v>
      </c>
      <c r="B16" s="11" t="inlineStr">
        <is>
          <t>untouched</t>
        </is>
      </c>
      <c r="C16" s="11" t="inlineStr">
        <is>
          <t>c2653</t>
        </is>
      </c>
      <c r="D16" s="11" t="inlineStr">
        <is>
          <t>c5933</t>
        </is>
      </c>
      <c r="E16" s="11" t="inlineStr">
        <is>
          <t>1966-04-26</t>
        </is>
      </c>
      <c r="F16" s="11" t="inlineStr">
        <is>
          <t>1975-08-04</t>
        </is>
      </c>
      <c r="G16" s="11" t="n"/>
      <c r="H16" s="11" t="n"/>
      <c r="I16" s="11" t="n"/>
      <c r="J16" s="11" t="n"/>
      <c r="K16" s="11" t="n"/>
      <c r="L16" s="11" t="n"/>
      <c r="M16" s="11" t="n"/>
      <c r="N16" s="2" t="n"/>
    </row>
    <row r="17">
      <c r="A17" s="11" t="n">
        <v>244</v>
      </c>
      <c r="B17" s="11" t="inlineStr">
        <is>
          <t>tune</t>
        </is>
      </c>
      <c r="C17" s="11" t="inlineStr">
        <is>
          <t>c2500</t>
        </is>
      </c>
      <c r="D17" s="11" t="inlineStr">
        <is>
          <t>c2238</t>
        </is>
      </c>
      <c r="E17" s="11" t="inlineStr">
        <is>
          <t>1966-12-15</t>
        </is>
      </c>
      <c r="F17" s="11" t="inlineStr">
        <is>
          <t>1967-11-10</t>
        </is>
      </c>
      <c r="G17" s="11" t="inlineStr">
        <is>
          <t>DISAGREES</t>
        </is>
      </c>
      <c r="H17" s="11" t="inlineStr">
        <is>
          <t>DISAGREES</t>
        </is>
      </c>
      <c r="I17" s="11" t="inlineStr">
        <is>
          <t>yes</t>
        </is>
      </c>
      <c r="J17" s="11" t="inlineStr">
        <is>
          <t>differ from the view</t>
        </is>
      </c>
      <c r="K17" s="11" t="inlineStr">
        <is>
          <t>court</t>
        </is>
      </c>
      <c r="L17" s="11" t="inlineStr">
        <is>
          <t>yes</t>
        </is>
      </c>
      <c r="M17" s="11" t="inlineStr">
        <is>
          <t>cite/cite</t>
        </is>
      </c>
      <c r="N17" s="2" t="inlineStr">
        <is>
          <t>We must therefore respectfully differ from the view taken in Ghulam Sarwar’s case(1) and hold that an order passed under Art. 359(1) cannot be tested with the aid of Art. 13(2) under that very fundamental right the enforcement of which it suspends.</t>
        </is>
      </c>
    </row>
    <row r="18">
      <c r="A18" s="11" t="n">
        <v>245</v>
      </c>
      <c r="B18" s="11" t="inlineStr">
        <is>
          <t>untouched</t>
        </is>
      </c>
      <c r="C18" s="11" t="inlineStr">
        <is>
          <t>c16548</t>
        </is>
      </c>
      <c r="D18" s="11" t="inlineStr">
        <is>
          <t>c17565</t>
        </is>
      </c>
      <c r="E18" s="11" t="inlineStr">
        <is>
          <t>2000-02-02</t>
        </is>
      </c>
      <c r="F18" s="11" t="inlineStr">
        <is>
          <t>2001-01-25</t>
        </is>
      </c>
      <c r="G18" s="11" t="n"/>
      <c r="H18" s="11" t="n"/>
      <c r="I18" s="11" t="n"/>
      <c r="J18" s="11" t="n"/>
      <c r="K18" s="11" t="n"/>
      <c r="L18" s="11" t="n"/>
      <c r="M18" s="11" t="n"/>
      <c r="N18" s="2" t="n"/>
    </row>
    <row r="19">
      <c r="A19" s="11" t="n">
        <v>246</v>
      </c>
      <c r="B19" s="11" t="inlineStr">
        <is>
          <t>tune</t>
        </is>
      </c>
      <c r="C19" s="11" t="inlineStr">
        <is>
          <t>c3342</t>
        </is>
      </c>
      <c r="D19" s="11" t="inlineStr">
        <is>
          <t>c8193</t>
        </is>
      </c>
      <c r="E19" s="11" t="inlineStr">
        <is>
          <t>1964-02-07</t>
        </is>
      </c>
      <c r="F19" s="11" t="inlineStr">
        <is>
          <t>1988-09-12</t>
        </is>
      </c>
      <c r="G19" s="11" t="inlineStr">
        <is>
          <t>LEGISLATIVE</t>
        </is>
      </c>
      <c r="H19" s="11" t="inlineStr">
        <is>
          <t>LEGISLATIVE</t>
        </is>
      </c>
      <c r="I19" s="11" t="inlineStr">
        <is>
          <t>no</t>
        </is>
      </c>
      <c r="J19" s="11" t="inlineStr">
        <is>
          <t>Parliament to effect an amendment</t>
        </is>
      </c>
      <c r="K19" s="11" t="inlineStr">
        <is>
          <t>court</t>
        </is>
      </c>
      <c r="L19" s="11" t="inlineStr">
        <is>
          <t>yes</t>
        </is>
      </c>
      <c r="M19" s="11" t="inlineStr">
        <is>
          <t>cite/cite</t>
        </is>
      </c>
      <c r="N19" s="2" t="inlineStr">
        <is>
          <t>Therefore, the Act was in line with sub-s. (3) of s 195 of the Code, there was no occasion for Parliament to effect an amendment of the Act, particularly having regard to the majority decision in Lalji Haridas’ case.</t>
        </is>
      </c>
    </row>
    <row r="20">
      <c r="A20" s="11" t="n">
        <v>247</v>
      </c>
      <c r="B20" s="11" t="inlineStr">
        <is>
          <t>untouched</t>
        </is>
      </c>
      <c r="C20" s="11" t="inlineStr">
        <is>
          <t>c151</t>
        </is>
      </c>
      <c r="D20" s="11" t="inlineStr">
        <is>
          <t>c2507</t>
        </is>
      </c>
      <c r="E20" s="11" t="inlineStr">
        <is>
          <t>1960-08-16</t>
        </is>
      </c>
      <c r="F20" s="11" t="inlineStr">
        <is>
          <t>1966-12-07</t>
        </is>
      </c>
      <c r="G20" s="11" t="n"/>
      <c r="H20" s="11" t="n"/>
      <c r="I20" s="11" t="n"/>
      <c r="J20" s="11" t="n"/>
      <c r="K20" s="11" t="n"/>
      <c r="L20" s="11" t="n"/>
      <c r="M20" s="11" t="n"/>
      <c r="N20" s="2" t="n"/>
    </row>
    <row r="21">
      <c r="A21" s="11" t="n">
        <v>248</v>
      </c>
      <c r="B21" s="11" t="inlineStr">
        <is>
          <t>tune</t>
        </is>
      </c>
      <c r="C21" s="11" t="inlineStr">
        <is>
          <t>c429</t>
        </is>
      </c>
      <c r="D21" s="11" t="inlineStr">
        <is>
          <t>c12419</t>
        </is>
      </c>
      <c r="E21" s="11" t="inlineStr">
        <is>
          <t>1959-01-15</t>
        </is>
      </c>
      <c r="F21" s="11" t="inlineStr">
        <is>
          <t>1992-04-22</t>
        </is>
      </c>
      <c r="G21" s="11" t="inlineStr">
        <is>
          <t>NEUTRAL</t>
        </is>
      </c>
      <c r="H21" s="11" t="inlineStr">
        <is>
          <t>NEUTRAL</t>
        </is>
      </c>
      <c r="I21" s="11" t="inlineStr">
        <is>
          <t>no</t>
        </is>
      </c>
      <c r="J21" s="11" t="inlineStr"/>
      <c r="K21" s="11" t="inlineStr">
        <is>
          <t>headnote</t>
        </is>
      </c>
      <c r="L21" s="11" t="inlineStr">
        <is>
          <t>yes</t>
        </is>
      </c>
      <c r="M21" s="11" t="inlineStr">
        <is>
          <t>cite/cite</t>
        </is>
      </c>
      <c r="N21" s="2" t="inlineStr">
        <is>
          <t>[665 H, 666 A] Deep Chand v. State of Uttar Pradesh and Ors., [1959] suppl.</t>
        </is>
      </c>
    </row>
    <row r="22">
      <c r="A22" s="11" t="n">
        <v>251</v>
      </c>
      <c r="B22" s="11" t="inlineStr">
        <is>
          <t>untouched</t>
        </is>
      </c>
      <c r="C22" s="11" t="inlineStr">
        <is>
          <t>c14192</t>
        </is>
      </c>
      <c r="D22" s="11" t="inlineStr">
        <is>
          <t>c16578</t>
        </is>
      </c>
      <c r="E22" s="11" t="inlineStr">
        <is>
          <t>1997-03-21</t>
        </is>
      </c>
      <c r="F22" s="11" t="inlineStr">
        <is>
          <t>1999-12-17</t>
        </is>
      </c>
      <c r="G22" s="11" t="n"/>
      <c r="H22" s="11" t="n"/>
      <c r="I22" s="11" t="n"/>
      <c r="J22" s="11" t="n"/>
      <c r="K22" s="11" t="n"/>
      <c r="L22" s="11" t="n"/>
      <c r="M22" s="11" t="n"/>
      <c r="N22" s="2" t="n"/>
    </row>
    <row r="23">
      <c r="A23" s="11" t="n">
        <v>254</v>
      </c>
      <c r="B23" s="11" t="inlineStr">
        <is>
          <t>tune</t>
        </is>
      </c>
      <c r="C23" s="11" t="inlineStr">
        <is>
          <t>c15220</t>
        </is>
      </c>
      <c r="D23" s="11" t="inlineStr">
        <is>
          <t>c18319</t>
        </is>
      </c>
      <c r="E23" s="11" t="inlineStr">
        <is>
          <t>1996-08-26</t>
        </is>
      </c>
      <c r="F23" s="11" t="inlineStr">
        <is>
          <t>2002-03-13</t>
        </is>
      </c>
      <c r="G23" s="11" t="inlineStr">
        <is>
          <t>NOT_OVERRULED</t>
        </is>
      </c>
      <c r="H23" s="11" t="inlineStr">
        <is>
          <t>OVERRULES</t>
        </is>
      </c>
      <c r="I23" s="11" t="inlineStr">
        <is>
          <t>yes</t>
        </is>
      </c>
      <c r="J23" s="11" t="inlineStr">
        <is>
          <t>is over-ruled</t>
        </is>
      </c>
      <c r="K23" s="11" t="inlineStr">
        <is>
          <t>court</t>
        </is>
      </c>
      <c r="L23" s="11" t="inlineStr">
        <is>
          <t>yes</t>
        </is>
      </c>
      <c r="M23" s="11" t="inlineStr">
        <is>
          <t>name/cite</t>
        </is>
      </c>
      <c r="N23" s="2" t="inlineStr">
        <is>
          <t>The view expressed in Narasimhaiah’s case (supra) and Nanjudaiah’s case (supra), is not correct and is over-ruled while that expressed in A.S. Naidu’s case (supra) and Oxford’s case (supra) is affirmed.</t>
        </is>
      </c>
    </row>
    <row r="24">
      <c r="A24" s="11" t="n">
        <v>255</v>
      </c>
      <c r="B24" s="11" t="inlineStr">
        <is>
          <t>untouched</t>
        </is>
      </c>
      <c r="C24" s="11" t="inlineStr">
        <is>
          <t>c16042</t>
        </is>
      </c>
      <c r="D24" s="11" t="inlineStr">
        <is>
          <t>c13240</t>
        </is>
      </c>
      <c r="E24" s="11" t="inlineStr">
        <is>
          <t>1996-02-08</t>
        </is>
      </c>
      <c r="F24" s="11" t="inlineStr">
        <is>
          <t>1998-04-30</t>
        </is>
      </c>
      <c r="G24" s="11" t="n"/>
      <c r="H24" s="11" t="n"/>
      <c r="I24" s="11" t="n"/>
      <c r="J24" s="11" t="n"/>
      <c r="K24" s="11" t="n"/>
      <c r="L24" s="11" t="n"/>
      <c r="M24" s="11" t="n"/>
      <c r="N24" s="2" t="n"/>
    </row>
    <row r="25">
      <c r="A25" s="11" t="n">
        <v>257</v>
      </c>
      <c r="B25" s="11" t="inlineStr">
        <is>
          <t>untouched</t>
        </is>
      </c>
      <c r="C25" s="11" t="inlineStr">
        <is>
          <t>c10403</t>
        </is>
      </c>
      <c r="D25" s="11" t="inlineStr">
        <is>
          <t>c20387</t>
        </is>
      </c>
      <c r="E25" s="11" t="inlineStr">
        <is>
          <t>1995-11-02</t>
        </is>
      </c>
      <c r="F25" s="11" t="inlineStr">
        <is>
          <t>2001-02-27</t>
        </is>
      </c>
      <c r="G25" s="11" t="n"/>
      <c r="H25" s="11" t="n"/>
      <c r="I25" s="11" t="n"/>
      <c r="J25" s="11" t="n"/>
      <c r="K25" s="11" t="n"/>
      <c r="L25" s="11" t="n"/>
      <c r="M25" s="11" t="n"/>
      <c r="N25" s="2" t="n"/>
    </row>
    <row r="26">
      <c r="A26" s="11" t="n">
        <v>258</v>
      </c>
      <c r="B26" s="11" t="inlineStr">
        <is>
          <t>tune</t>
        </is>
      </c>
      <c r="C26" s="11" t="inlineStr">
        <is>
          <t>c14590</t>
        </is>
      </c>
      <c r="D26" s="11" t="inlineStr">
        <is>
          <t>c13784</t>
        </is>
      </c>
      <c r="E26" s="11" t="inlineStr">
        <is>
          <t>1996-12-17</t>
        </is>
      </c>
      <c r="F26" s="11" t="inlineStr">
        <is>
          <t>1997-09-15</t>
        </is>
      </c>
      <c r="G26" s="11" t="inlineStr">
        <is>
          <t>OVERRULES</t>
        </is>
      </c>
      <c r="H26" s="11" t="inlineStr">
        <is>
          <t>OVERRULES</t>
        </is>
      </c>
      <c r="I26" s="11" t="inlineStr">
        <is>
          <t>yes</t>
        </is>
      </c>
      <c r="J26" s="11" t="inlineStr">
        <is>
          <t>does not lay down the correct law</t>
        </is>
      </c>
      <c r="K26" s="11" t="inlineStr">
        <is>
          <t>court</t>
        </is>
      </c>
      <c r="L26" s="11" t="inlineStr">
        <is>
          <t>yes</t>
        </is>
      </c>
      <c r="M26" s="11" t="inlineStr">
        <is>
          <t>name/name</t>
        </is>
      </c>
      <c r="N26" s="2" t="inlineStr">
        <is>
          <t>With respect, the decision in Mediwell hospital (supra) does not lay down the correct law on this point.</t>
        </is>
      </c>
    </row>
    <row r="27">
      <c r="A27" s="11" t="n">
        <v>263</v>
      </c>
      <c r="B27" s="11" t="inlineStr">
        <is>
          <t>untouched</t>
        </is>
      </c>
      <c r="C27" s="11" t="inlineStr">
        <is>
          <t>c1778</t>
        </is>
      </c>
      <c r="D27" s="11" t="inlineStr">
        <is>
          <t>c12350</t>
        </is>
      </c>
      <c r="E27" s="11" t="inlineStr">
        <is>
          <t>1969-03-20</t>
        </is>
      </c>
      <c r="F27" s="11" t="inlineStr">
        <is>
          <t>1992-07-29</t>
        </is>
      </c>
      <c r="G27" s="11" t="n"/>
      <c r="H27" s="11" t="n"/>
      <c r="I27" s="11" t="n"/>
      <c r="J27" s="11" t="n"/>
      <c r="K27" s="11" t="n"/>
      <c r="L27" s="11" t="n"/>
      <c r="M27" s="11" t="n"/>
      <c r="N27" s="2" t="n"/>
    </row>
    <row r="28">
      <c r="A28" s="11" t="n">
        <v>267</v>
      </c>
      <c r="B28" s="11" t="inlineStr">
        <is>
          <t>untouched</t>
        </is>
      </c>
      <c r="C28" s="11" t="inlineStr">
        <is>
          <t>c991</t>
        </is>
      </c>
      <c r="D28" s="11" t="inlineStr">
        <is>
          <t>c2107</t>
        </is>
      </c>
      <c r="E28" s="11" t="inlineStr">
        <is>
          <t>1953-12-03</t>
        </is>
      </c>
      <c r="F28" s="11" t="inlineStr">
        <is>
          <t>1968-03-27</t>
        </is>
      </c>
      <c r="G28" s="11" t="n"/>
      <c r="H28" s="11" t="n"/>
      <c r="I28" s="11" t="n"/>
      <c r="J28" s="11" t="n"/>
      <c r="K28" s="11" t="n"/>
      <c r="L28" s="11" t="n"/>
      <c r="M28" s="11" t="n"/>
      <c r="N28" s="2" t="n"/>
    </row>
    <row r="29">
      <c r="A29" s="11" t="n">
        <v>271</v>
      </c>
      <c r="B29" s="11" t="inlineStr">
        <is>
          <t>untouched</t>
        </is>
      </c>
      <c r="C29" s="11" t="inlineStr">
        <is>
          <t>bS_1994_4_318_321</t>
        </is>
      </c>
      <c r="D29" s="11" t="inlineStr">
        <is>
          <t>c30319</t>
        </is>
      </c>
      <c r="E29" s="11" t="inlineStr">
        <is>
          <t>1994-10-06</t>
        </is>
      </c>
      <c r="F29" s="11" t="inlineStr">
        <is>
          <t>1998-04-17</t>
        </is>
      </c>
      <c r="G29" s="11" t="n"/>
      <c r="H29" s="11" t="n"/>
      <c r="I29" s="11" t="n"/>
      <c r="J29" s="11" t="n"/>
      <c r="K29" s="11" t="n"/>
      <c r="L29" s="11" t="n"/>
      <c r="M29" s="11" t="n"/>
      <c r="N29" s="2" t="n"/>
    </row>
    <row r="30">
      <c r="A30" s="11" t="n">
        <v>272</v>
      </c>
      <c r="B30" s="11" t="inlineStr">
        <is>
          <t>tune</t>
        </is>
      </c>
      <c r="C30" s="11" t="inlineStr">
        <is>
          <t>c8728</t>
        </is>
      </c>
      <c r="D30" s="11" t="inlineStr">
        <is>
          <t>c31862</t>
        </is>
      </c>
      <c r="E30" s="11" t="inlineStr">
        <is>
          <t>1987-04-22</t>
        </is>
      </c>
      <c r="F30" s="11" t="inlineStr">
        <is>
          <t>2000-02-16</t>
        </is>
      </c>
      <c r="G30" s="11" t="inlineStr">
        <is>
          <t>OVERRULES</t>
        </is>
      </c>
      <c r="H30" s="11" t="inlineStr">
        <is>
          <t>OVERRULES</t>
        </is>
      </c>
      <c r="I30" s="11" t="inlineStr">
        <is>
          <t>yes</t>
        </is>
      </c>
      <c r="J30" s="11" t="inlineStr">
        <is>
          <t>do not lay down the correct law</t>
        </is>
      </c>
      <c r="K30" s="11" t="inlineStr">
        <is>
          <t>court</t>
        </is>
      </c>
      <c r="L30" s="11" t="inlineStr">
        <is>
          <t>yes</t>
        </is>
      </c>
      <c r="M30" s="11" t="inlineStr">
        <is>
          <t>cite/cite</t>
        </is>
      </c>
      <c r="N30" s="2" t="inlineStr">
        <is>
          <t>I, therefore, hold that Harish Makhija, Poonam Lata and Pushpa Devi do not lay down the correct law on the point.</t>
        </is>
      </c>
    </row>
    <row r="31">
      <c r="A31" s="11" t="n">
        <v>273</v>
      </c>
      <c r="B31" s="11" t="inlineStr">
        <is>
          <t>untouched</t>
        </is>
      </c>
      <c r="C31" s="11" t="inlineStr">
        <is>
          <t>c15892</t>
        </is>
      </c>
      <c r="D31" s="11" t="inlineStr">
        <is>
          <t>c16304</t>
        </is>
      </c>
      <c r="E31" s="11" t="inlineStr">
        <is>
          <t>1996-03-11</t>
        </is>
      </c>
      <c r="F31" s="11" t="inlineStr">
        <is>
          <t>2000-07-19</t>
        </is>
      </c>
      <c r="G31" s="11" t="n"/>
      <c r="H31" s="11" t="n"/>
      <c r="I31" s="11" t="n"/>
      <c r="J31" s="11" t="n"/>
      <c r="K31" s="11" t="n"/>
      <c r="L31" s="11" t="n"/>
      <c r="M31" s="11" t="n"/>
      <c r="N31" s="2" t="n"/>
    </row>
    <row r="32">
      <c r="A32" s="11" t="n">
        <v>275</v>
      </c>
      <c r="B32" s="11" t="inlineStr">
        <is>
          <t>untouched</t>
        </is>
      </c>
      <c r="C32" s="11" t="inlineStr">
        <is>
          <t>c14060</t>
        </is>
      </c>
      <c r="D32" s="11" t="inlineStr">
        <is>
          <t>c18774</t>
        </is>
      </c>
      <c r="E32" s="11" t="inlineStr">
        <is>
          <t>1997-04-25</t>
        </is>
      </c>
      <c r="F32" s="11" t="inlineStr">
        <is>
          <t>2002-11-22</t>
        </is>
      </c>
      <c r="G32" s="11" t="n"/>
      <c r="H32" s="11" t="n"/>
      <c r="I32" s="11" t="n"/>
      <c r="J32" s="11" t="n"/>
      <c r="K32" s="11" t="n"/>
      <c r="L32" s="11" t="n"/>
      <c r="M32" s="11" t="n"/>
      <c r="N32" s="2" t="n"/>
    </row>
    <row r="33">
      <c r="A33" s="11" t="n">
        <v>281</v>
      </c>
      <c r="B33" s="11" t="inlineStr">
        <is>
          <t>untouched</t>
        </is>
      </c>
      <c r="C33" s="11" t="inlineStr">
        <is>
          <t>c14057</t>
        </is>
      </c>
      <c r="D33" s="11" t="inlineStr">
        <is>
          <t>c26522</t>
        </is>
      </c>
      <c r="E33" s="11" t="inlineStr">
        <is>
          <t>1997-04-28</t>
        </is>
      </c>
      <c r="F33" s="11" t="inlineStr">
        <is>
          <t>2004-10-07</t>
        </is>
      </c>
      <c r="G33" s="11" t="n"/>
      <c r="H33" s="11" t="n"/>
      <c r="I33" s="11" t="n"/>
      <c r="J33" s="11" t="n"/>
      <c r="K33" s="11" t="n"/>
      <c r="L33" s="11" t="n"/>
      <c r="M33" s="11" t="n"/>
      <c r="N33" s="2" t="n"/>
    </row>
    <row r="34">
      <c r="A34" s="11" t="n">
        <v>284</v>
      </c>
      <c r="B34" s="11" t="inlineStr">
        <is>
          <t>tune</t>
        </is>
      </c>
      <c r="C34" s="11" t="inlineStr">
        <is>
          <t>c19368</t>
        </is>
      </c>
      <c r="D34" s="11" t="inlineStr">
        <is>
          <t>c27525</t>
        </is>
      </c>
      <c r="E34" s="11" t="inlineStr">
        <is>
          <t>2003-09-16</t>
        </is>
      </c>
      <c r="F34" s="11" t="inlineStr">
        <is>
          <t>2006-02-24</t>
        </is>
      </c>
      <c r="G34" s="11" t="inlineStr">
        <is>
          <t>no mention found</t>
        </is>
      </c>
      <c r="H34" s="11" t="inlineStr">
        <is>
          <t>no mention found</t>
        </is>
      </c>
      <c r="I34" s="11" t="inlineStr">
        <is>
          <t>no</t>
        </is>
      </c>
      <c r="J34" s="11" t="inlineStr"/>
      <c r="K34" s="11" t="inlineStr"/>
      <c r="L34" s="11" t="inlineStr">
        <is>
          <t>no</t>
        </is>
      </c>
      <c r="M34" s="11" t="inlineStr">
        <is>
          <t>name/name</t>
        </is>
      </c>
      <c r="N34" s="2" t="inlineStr"/>
    </row>
    <row r="35">
      <c r="A35" s="11" t="n">
        <v>286</v>
      </c>
      <c r="B35" s="11" t="inlineStr">
        <is>
          <t>tune</t>
        </is>
      </c>
      <c r="C35" s="11" t="inlineStr">
        <is>
          <t>c7267</t>
        </is>
      </c>
      <c r="D35" s="11" t="inlineStr">
        <is>
          <t>c8660</t>
        </is>
      </c>
      <c r="E35" s="11" t="inlineStr">
        <is>
          <t>1971-01-21</t>
        </is>
      </c>
      <c r="F35" s="11" t="inlineStr">
        <is>
          <t>1987-07-31</t>
        </is>
      </c>
      <c r="G35" s="11" t="inlineStr">
        <is>
          <t>NEUTRAL</t>
        </is>
      </c>
      <c r="H35" s="11" t="inlineStr">
        <is>
          <t>NEUTRAL</t>
        </is>
      </c>
      <c r="I35" s="11" t="inlineStr">
        <is>
          <t>no</t>
        </is>
      </c>
      <c r="J35" s="11" t="inlineStr"/>
      <c r="K35" s="11" t="inlineStr">
        <is>
          <t>headnote</t>
        </is>
      </c>
      <c r="L35" s="11" t="inlineStr">
        <is>
          <t>yes</t>
        </is>
      </c>
      <c r="M35" s="11" t="inlineStr">
        <is>
          <t>cite/cite</t>
        </is>
      </c>
      <c r="N35" s="2" t="inlineStr">
        <is>
          <t>PETITIONER: BAKSHI SARDARI LAL (DEAD) THROUGH LRs&amp; ORS. ETC. Vs. RESPONDENT: UNION OF INDIA &amp; ANR. DATE OF JUDGMENT31/07/1987 BENCH: MISRA RANGNATH BENCH: MISRA RANGNATH DUTT, M.M. (J) CITATION: 1987 AIR 2106 1987 SCR (3) 704 1987 SCC (4) 114 JT 1987 (3) 180 1987 SCALE (2)147 ACT: Constitution of India, 1950: Article 311(2)(c) Police personnel--Dismissed from service--Enquiry dispensed with- Satis</t>
        </is>
      </c>
    </row>
    <row r="36">
      <c r="A36" s="11" t="n">
        <v>287</v>
      </c>
      <c r="B36" s="11" t="inlineStr">
        <is>
          <t>untouched</t>
        </is>
      </c>
      <c r="C36" s="11" t="inlineStr">
        <is>
          <t>b1994_1_901_914</t>
        </is>
      </c>
      <c r="D36" s="11" t="inlineStr">
        <is>
          <t>c16097</t>
        </is>
      </c>
      <c r="E36" s="11" t="inlineStr">
        <is>
          <t>1994-02-11</t>
        </is>
      </c>
      <c r="F36" s="11" t="inlineStr">
        <is>
          <t>1996-01-30</t>
        </is>
      </c>
      <c r="G36" s="11" t="n"/>
      <c r="H36" s="11" t="n"/>
      <c r="I36" s="11" t="n"/>
      <c r="J36" s="11" t="n"/>
      <c r="K36" s="11" t="n"/>
      <c r="L36" s="11" t="n"/>
      <c r="M36" s="11" t="n"/>
      <c r="N36" s="2" t="n"/>
    </row>
    <row r="37">
      <c r="A37" s="11" t="n">
        <v>288</v>
      </c>
      <c r="B37" s="11" t="inlineStr">
        <is>
          <t>tune</t>
        </is>
      </c>
      <c r="C37" s="11" t="inlineStr">
        <is>
          <t>c15380</t>
        </is>
      </c>
      <c r="D37" s="11" t="inlineStr">
        <is>
          <t>c17904</t>
        </is>
      </c>
      <c r="E37" s="11" t="inlineStr">
        <is>
          <t>1996-07-26</t>
        </is>
      </c>
      <c r="F37" s="11" t="inlineStr">
        <is>
          <t>2001-07-31</t>
        </is>
      </c>
      <c r="G37" s="11" t="inlineStr">
        <is>
          <t>OVERRULES</t>
        </is>
      </c>
      <c r="H37" s="11" t="inlineStr">
        <is>
          <t>OVERRULES</t>
        </is>
      </c>
      <c r="I37" s="11" t="inlineStr">
        <is>
          <t>yes</t>
        </is>
      </c>
      <c r="J37" s="11" t="inlineStr">
        <is>
          <t>NOT CORRECTLY DECIDED</t>
        </is>
      </c>
      <c r="K37" s="11" t="inlineStr">
        <is>
          <t>court</t>
        </is>
      </c>
      <c r="L37" s="11" t="inlineStr">
        <is>
          <t>yes</t>
        </is>
      </c>
      <c r="M37" s="11" t="inlineStr">
        <is>
          <t>name/name</t>
        </is>
      </c>
      <c r="N37" s="2" t="inlineStr">
        <is>
          <t>IN OUR CONSIDERED OPINION, THEREFORE, THE EARLIER DECISION IN KANNADASAN’S CASE TO THE CONTRARY MUST BE HELD TO HAVE BEEN NOT CORRECTLY DECIDED.</t>
        </is>
      </c>
    </row>
    <row r="38">
      <c r="A38" s="11" t="n">
        <v>290</v>
      </c>
      <c r="B38" s="11" t="inlineStr">
        <is>
          <t>tune</t>
        </is>
      </c>
      <c r="C38" s="11" t="inlineStr">
        <is>
          <t>c10928</t>
        </is>
      </c>
      <c r="D38" s="11" t="inlineStr">
        <is>
          <t>c20387</t>
        </is>
      </c>
      <c r="E38" s="11" t="inlineStr">
        <is>
          <t>1995-01-27</t>
        </is>
      </c>
      <c r="F38" s="11" t="inlineStr">
        <is>
          <t>2001-02-27</t>
        </is>
      </c>
      <c r="G38" s="11" t="inlineStr">
        <is>
          <t>NEUTRAL</t>
        </is>
      </c>
      <c r="H38" s="11" t="inlineStr">
        <is>
          <t>NEUTRAL</t>
        </is>
      </c>
      <c r="I38" s="11" t="inlineStr">
        <is>
          <t>no</t>
        </is>
      </c>
      <c r="J38" s="11" t="inlineStr"/>
      <c r="K38" s="11" t="inlineStr">
        <is>
          <t>court</t>
        </is>
      </c>
      <c r="L38" s="11" t="inlineStr">
        <is>
          <t>yes</t>
        </is>
      </c>
      <c r="M38" s="11" t="inlineStr">
        <is>
          <t>cite/cite</t>
        </is>
      </c>
      <c r="N38" s="2" t="inlineStr">
        <is>
          <t>[1993] 3 SCC 240 and P. Ram Reddy v. Land Acquisition Officer, Hyderabad, [1995] 2 SCC 305.</t>
        </is>
      </c>
    </row>
    <row r="39">
      <c r="A39" s="11" t="n">
        <v>293</v>
      </c>
      <c r="B39" s="11" t="inlineStr">
        <is>
          <t>untouched</t>
        </is>
      </c>
      <c r="C39" s="11" t="inlineStr">
        <is>
          <t>c7420</t>
        </is>
      </c>
      <c r="D39" s="11" t="inlineStr">
        <is>
          <t>c7334</t>
        </is>
      </c>
      <c r="E39" s="11" t="inlineStr">
        <is>
          <t>1990-09-12</t>
        </is>
      </c>
      <c r="F39" s="11" t="inlineStr">
        <is>
          <t>1990-11-20</t>
        </is>
      </c>
      <c r="G39" s="11" t="n"/>
      <c r="H39" s="11" t="n"/>
      <c r="I39" s="11" t="n"/>
      <c r="J39" s="11" t="n"/>
      <c r="K39" s="11" t="n"/>
      <c r="L39" s="11" t="n"/>
      <c r="M39" s="11" t="n"/>
      <c r="N39" s="2" t="n"/>
    </row>
    <row r="40">
      <c r="A40" s="11" t="n">
        <v>294</v>
      </c>
      <c r="B40" s="11" t="inlineStr">
        <is>
          <t>tune</t>
        </is>
      </c>
      <c r="C40" s="11" t="inlineStr">
        <is>
          <t>c10621</t>
        </is>
      </c>
      <c r="D40" s="11" t="inlineStr">
        <is>
          <t>c20389</t>
        </is>
      </c>
      <c r="E40" s="11" t="inlineStr">
        <is>
          <t>1995-08-17</t>
        </is>
      </c>
      <c r="F40" s="11" t="inlineStr">
        <is>
          <t>2001-10-16</t>
        </is>
      </c>
      <c r="G40" s="11" t="inlineStr">
        <is>
          <t>NEUTRAL</t>
        </is>
      </c>
      <c r="H40" s="11" t="inlineStr">
        <is>
          <t>NEUTRAL</t>
        </is>
      </c>
      <c r="I40" s="11" t="inlineStr">
        <is>
          <t>no</t>
        </is>
      </c>
      <c r="J40" s="11" t="inlineStr"/>
      <c r="K40" s="11" t="inlineStr">
        <is>
          <t>court</t>
        </is>
      </c>
      <c r="L40" s="11" t="inlineStr">
        <is>
          <t>no</t>
        </is>
      </c>
      <c r="M40" s="11" t="inlineStr">
        <is>
          <t>cite/name</t>
        </is>
      </c>
      <c r="N40" s="2" t="inlineStr">
        <is>
          <t>Commr., Gadag Sub-Division, Gadag \.</t>
        </is>
      </c>
    </row>
    <row r="41">
      <c r="A41" s="11" t="n">
        <v>295</v>
      </c>
      <c r="B41" s="11" t="inlineStr">
        <is>
          <t>untouched</t>
        </is>
      </c>
      <c r="C41" s="11" t="inlineStr">
        <is>
          <t>c12555</t>
        </is>
      </c>
      <c r="D41" s="11" t="inlineStr">
        <is>
          <t>c26355</t>
        </is>
      </c>
      <c r="E41" s="11" t="inlineStr">
        <is>
          <t>1991-11-19</t>
        </is>
      </c>
      <c r="F41" s="11" t="inlineStr">
        <is>
          <t>2004-08-25</t>
        </is>
      </c>
      <c r="G41" s="11" t="n"/>
      <c r="H41" s="11" t="n"/>
      <c r="I41" s="11" t="n"/>
      <c r="J41" s="11" t="n"/>
      <c r="K41" s="11" t="n"/>
      <c r="L41" s="11" t="n"/>
      <c r="M41" s="11" t="n"/>
      <c r="N41" s="2" t="n"/>
    </row>
    <row r="42">
      <c r="A42" s="11" t="n">
        <v>298</v>
      </c>
      <c r="B42" s="11" t="inlineStr">
        <is>
          <t>tune</t>
        </is>
      </c>
      <c r="C42" s="11" t="inlineStr">
        <is>
          <t>c1725</t>
        </is>
      </c>
      <c r="D42" s="11" t="inlineStr">
        <is>
          <t>c6156</t>
        </is>
      </c>
      <c r="E42" s="11" t="inlineStr">
        <is>
          <t>1969-05-20</t>
        </is>
      </c>
      <c r="F42" s="11" t="inlineStr">
        <is>
          <t>1974-10-17</t>
        </is>
      </c>
      <c r="G42" s="11" t="inlineStr">
        <is>
          <t>FOLLOWS</t>
        </is>
      </c>
      <c r="H42" s="11" t="inlineStr">
        <is>
          <t>FOLLOWS</t>
        </is>
      </c>
      <c r="I42" s="11" t="inlineStr">
        <is>
          <t>no</t>
        </is>
      </c>
      <c r="J42" s="11" t="inlineStr">
        <is>
          <t>followed</t>
        </is>
      </c>
      <c r="K42" s="11" t="inlineStr">
        <is>
          <t>headnote</t>
        </is>
      </c>
      <c r="L42" s="11" t="inlineStr">
        <is>
          <t>yes</t>
        </is>
      </c>
      <c r="M42" s="11" t="inlineStr">
        <is>
          <t>cite/cite</t>
        </is>
      </c>
      <c r="N42" s="2" t="inlineStr">
        <is>
          <t>[490 A-B] Manak Chand v. Shri Chandra Kishore Agarwal and Ors., [1970] 1 S.C.R. 565, followed.</t>
        </is>
      </c>
    </row>
    <row r="43">
      <c r="A43" s="11" t="n">
        <v>300</v>
      </c>
      <c r="B43" s="11" t="inlineStr">
        <is>
          <t>tune</t>
        </is>
      </c>
      <c r="C43" s="11" t="inlineStr">
        <is>
          <t>c16439</t>
        </is>
      </c>
      <c r="D43" s="11" t="inlineStr">
        <is>
          <t>c26869</t>
        </is>
      </c>
      <c r="E43" s="11" t="inlineStr">
        <is>
          <t>2000-04-10</t>
        </is>
      </c>
      <c r="F43" s="11" t="inlineStr">
        <is>
          <t>2005-03-14</t>
        </is>
      </c>
      <c r="G43" s="11" t="inlineStr">
        <is>
          <t>OVERRULES</t>
        </is>
      </c>
      <c r="H43" s="11" t="inlineStr">
        <is>
          <t>OVERRULES</t>
        </is>
      </c>
      <c r="I43" s="11" t="inlineStr">
        <is>
          <t>yes</t>
        </is>
      </c>
      <c r="J43" s="11" t="inlineStr">
        <is>
          <t>does not lay down the correct law</t>
        </is>
      </c>
      <c r="K43" s="11" t="inlineStr">
        <is>
          <t>court</t>
        </is>
      </c>
      <c r="L43" s="11" t="inlineStr">
        <is>
          <t>no</t>
        </is>
      </c>
      <c r="M43" s="11" t="inlineStr">
        <is>
          <t>cite/cite</t>
        </is>
      </c>
      <c r="N43" s="2" t="inlineStr">
        <is>
          <t>We have, therefore, no hesitation in holding that finding of this Court in Allahabad Bank (supra) to the aforementioned extent does not lay down the correct law.</t>
        </is>
      </c>
    </row>
    <row r="44">
      <c r="A44" s="11" t="n">
        <v>301</v>
      </c>
      <c r="B44" s="11" t="inlineStr">
        <is>
          <t>untouched</t>
        </is>
      </c>
      <c r="C44" s="11" t="inlineStr">
        <is>
          <t>b1960_1_941_945</t>
        </is>
      </c>
      <c r="D44" s="11" t="inlineStr">
        <is>
          <t>c6483</t>
        </is>
      </c>
      <c r="E44" s="11" t="inlineStr">
        <is>
          <t>1959-10-06</t>
        </is>
      </c>
      <c r="F44" s="11" t="inlineStr">
        <is>
          <t>1973-08-20</t>
        </is>
      </c>
      <c r="G44" s="11" t="n"/>
      <c r="H44" s="11" t="n"/>
      <c r="I44" s="11" t="n"/>
      <c r="J44" s="11" t="n"/>
      <c r="K44" s="11" t="n"/>
      <c r="L44" s="11" t="n"/>
      <c r="M44" s="11" t="n"/>
      <c r="N44" s="2" t="n"/>
    </row>
    <row r="45">
      <c r="A45" s="11" t="n">
        <v>302</v>
      </c>
      <c r="B45" s="11" t="inlineStr">
        <is>
          <t>tune</t>
        </is>
      </c>
      <c r="C45" s="11" t="inlineStr">
        <is>
          <t>c17166</t>
        </is>
      </c>
      <c r="D45" s="11" t="inlineStr">
        <is>
          <t>c18261</t>
        </is>
      </c>
      <c r="E45" s="11" t="inlineStr">
        <is>
          <t>2000-09-29</t>
        </is>
      </c>
      <c r="F45" s="11" t="inlineStr">
        <is>
          <t>2002-02-14</t>
        </is>
      </c>
      <c r="G45" s="11" t="inlineStr">
        <is>
          <t>FOLLOWS</t>
        </is>
      </c>
      <c r="H45" s="11" t="inlineStr">
        <is>
          <t>FOLLOWS</t>
        </is>
      </c>
      <c r="I45" s="11" t="inlineStr">
        <is>
          <t>no</t>
        </is>
      </c>
      <c r="J45" s="11" t="inlineStr">
        <is>
          <t>correctly decided</t>
        </is>
      </c>
      <c r="K45" s="11" t="inlineStr">
        <is>
          <t>court</t>
        </is>
      </c>
      <c r="L45" s="11" t="inlineStr">
        <is>
          <t>yes</t>
        </is>
      </c>
      <c r="M45" s="11" t="inlineStr">
        <is>
          <t>name/cite</t>
        </is>
      </c>
      <c r="N45" s="2" t="inlineStr">
        <is>
          <t>(3) Whether the Judgment of this Court in Krishi Utpadan Mandi Samiti’s case can be held to be correctly decided?</t>
        </is>
      </c>
    </row>
    <row r="46">
      <c r="A46" s="11" t="n">
        <v>304</v>
      </c>
      <c r="B46" s="11" t="inlineStr">
        <is>
          <t>tune</t>
        </is>
      </c>
      <c r="C46" s="11" t="inlineStr">
        <is>
          <t>c6772</t>
        </is>
      </c>
      <c r="D46" s="11" t="inlineStr">
        <is>
          <t>c7515</t>
        </is>
      </c>
      <c r="E46" s="11" t="inlineStr">
        <is>
          <t>1972-08-09</t>
        </is>
      </c>
      <c r="F46" s="11" t="inlineStr">
        <is>
          <t>1990-05-03</t>
        </is>
      </c>
      <c r="G46" s="11" t="inlineStr">
        <is>
          <t>NEUTRAL</t>
        </is>
      </c>
      <c r="H46" s="11" t="inlineStr">
        <is>
          <t>NEUTRAL</t>
        </is>
      </c>
      <c r="I46" s="11" t="inlineStr">
        <is>
          <t>no</t>
        </is>
      </c>
      <c r="J46" s="11" t="inlineStr"/>
      <c r="K46" s="11" t="inlineStr">
        <is>
          <t>headnote</t>
        </is>
      </c>
      <c r="L46" s="11" t="inlineStr">
        <is>
          <t>yes</t>
        </is>
      </c>
      <c r="M46" s="11" t="inlineStr">
        <is>
          <t>cite/cite</t>
        </is>
      </c>
      <c r="N46" s="2" t="inlineStr">
        <is>
          <t>[19B-C] J.C. Chaterjee v. Sri Kishan, [1973] 1 SCR 850; Damadi- lal &amp; Ors. v. Parashram &amp; Ors., [1976] Suppl.</t>
        </is>
      </c>
    </row>
    <row r="47">
      <c r="A47" s="11" t="n">
        <v>305</v>
      </c>
      <c r="B47" s="11" t="inlineStr">
        <is>
          <t>untouched</t>
        </is>
      </c>
      <c r="C47" s="11" t="inlineStr">
        <is>
          <t>c6853</t>
        </is>
      </c>
      <c r="D47" s="11" t="inlineStr">
        <is>
          <t>c13429</t>
        </is>
      </c>
      <c r="E47" s="11" t="inlineStr">
        <is>
          <t>1972-03-21</t>
        </is>
      </c>
      <c r="F47" s="11" t="inlineStr">
        <is>
          <t>1998-02-12</t>
        </is>
      </c>
      <c r="G47" s="11" t="n"/>
      <c r="H47" s="11" t="n"/>
      <c r="I47" s="11" t="n"/>
      <c r="J47" s="11" t="n"/>
      <c r="K47" s="11" t="n"/>
      <c r="L47" s="11" t="n"/>
      <c r="M47" s="11" t="n"/>
      <c r="N47" s="2" t="n"/>
    </row>
    <row r="48">
      <c r="A48" s="11" t="n">
        <v>306</v>
      </c>
      <c r="B48" s="11" t="inlineStr">
        <is>
          <t>tune</t>
        </is>
      </c>
      <c r="C48" s="11" t="inlineStr">
        <is>
          <t>c12691</t>
        </is>
      </c>
      <c r="D48" s="11" t="inlineStr">
        <is>
          <t>c13285</t>
        </is>
      </c>
      <c r="E48" s="11" t="inlineStr">
        <is>
          <t>1991-07-25</t>
        </is>
      </c>
      <c r="F48" s="11" t="inlineStr">
        <is>
          <t>1998-04-17</t>
        </is>
      </c>
      <c r="G48" s="11" t="inlineStr">
        <is>
          <t>NEUTRAL</t>
        </is>
      </c>
      <c r="H48" s="11" t="inlineStr">
        <is>
          <t>NEUTRAL</t>
        </is>
      </c>
      <c r="I48" s="11" t="inlineStr">
        <is>
          <t>no</t>
        </is>
      </c>
      <c r="J48" s="11" t="inlineStr"/>
      <c r="K48" s="11" t="inlineStr">
        <is>
          <t>court</t>
        </is>
      </c>
      <c r="L48" s="11" t="inlineStr">
        <is>
          <t>yes</t>
        </is>
      </c>
      <c r="M48" s="11" t="inlineStr">
        <is>
          <t>cite/cite</t>
        </is>
      </c>
      <c r="N48" s="2" t="inlineStr">
        <is>
          <t>In this behalf, reliance was placed upon the judgement in K. Veeraswamy vs. Union of India, 1991 (3) S.C.R. 189.</t>
        </is>
      </c>
    </row>
    <row r="49">
      <c r="A49" s="11" t="n">
        <v>308</v>
      </c>
      <c r="B49" s="11" t="inlineStr">
        <is>
          <t>tune</t>
        </is>
      </c>
      <c r="C49" s="11" t="inlineStr">
        <is>
          <t>c16146</t>
        </is>
      </c>
      <c r="D49" s="11" t="inlineStr">
        <is>
          <t>c25628</t>
        </is>
      </c>
      <c r="E49" s="11" t="inlineStr">
        <is>
          <t>1996-01-22</t>
        </is>
      </c>
      <c r="F49" s="11" t="inlineStr">
        <is>
          <t>2003-11-20</t>
        </is>
      </c>
      <c r="G49" s="11" t="inlineStr">
        <is>
          <t>no mention found</t>
        </is>
      </c>
      <c r="H49" s="11" t="inlineStr">
        <is>
          <t>no mention found</t>
        </is>
      </c>
      <c r="I49" s="11" t="inlineStr">
        <is>
          <t>no</t>
        </is>
      </c>
      <c r="J49" s="11" t="inlineStr"/>
      <c r="K49" s="11" t="inlineStr"/>
      <c r="L49" s="11" t="inlineStr">
        <is>
          <t>no</t>
        </is>
      </c>
      <c r="M49" s="11" t="inlineStr">
        <is>
          <t>cite/name</t>
        </is>
      </c>
      <c r="N49" s="2" t="inlineStr"/>
    </row>
    <row r="50">
      <c r="A50" s="11" t="n">
        <v>310</v>
      </c>
      <c r="B50" s="11" t="inlineStr">
        <is>
          <t>tune</t>
        </is>
      </c>
      <c r="C50" s="11" t="inlineStr">
        <is>
          <t>c6883</t>
        </is>
      </c>
      <c r="D50" s="11" t="inlineStr">
        <is>
          <t>c6012</t>
        </is>
      </c>
      <c r="E50" s="11" t="inlineStr">
        <is>
          <t>1972-02-18</t>
        </is>
      </c>
      <c r="F50" s="11" t="inlineStr">
        <is>
          <t>1975-03-19</t>
        </is>
      </c>
      <c r="G50" s="11" t="inlineStr">
        <is>
          <t>OVERRULES</t>
        </is>
      </c>
      <c r="H50" s="11" t="inlineStr">
        <is>
          <t>OVERRULES</t>
        </is>
      </c>
      <c r="I50" s="11" t="inlineStr">
        <is>
          <t>yes</t>
        </is>
      </c>
      <c r="J50" s="11" t="inlineStr">
        <is>
          <t>no longer good law</t>
        </is>
      </c>
      <c r="K50" s="11" t="inlineStr">
        <is>
          <t>court</t>
        </is>
      </c>
      <c r="L50" s="11" t="inlineStr">
        <is>
          <t>yes</t>
        </is>
      </c>
      <c r="M50" s="11" t="inlineStr">
        <is>
          <t>cite/cite</t>
        </is>
      </c>
      <c r="N50" s="2" t="inlineStr">
        <is>
          <t>Its effect is that the decision of this Court in Gopinath’s case (supra) is no longer good law.</t>
        </is>
      </c>
    </row>
    <row r="51">
      <c r="A51" s="11" t="n">
        <v>311</v>
      </c>
      <c r="B51" s="11" t="inlineStr">
        <is>
          <t>untouched</t>
        </is>
      </c>
      <c r="C51" s="11" t="inlineStr">
        <is>
          <t>c14171</t>
        </is>
      </c>
      <c r="D51" s="11" t="inlineStr">
        <is>
          <t>c30319</t>
        </is>
      </c>
      <c r="E51" s="11" t="inlineStr">
        <is>
          <t>1997-03-27</t>
        </is>
      </c>
      <c r="F51" s="11" t="inlineStr">
        <is>
          <t>1998-04-17</t>
        </is>
      </c>
      <c r="G51" s="11" t="n"/>
      <c r="H51" s="11" t="n"/>
      <c r="I51" s="11" t="n"/>
      <c r="J51" s="11" t="n"/>
      <c r="K51" s="11" t="n"/>
      <c r="L51" s="11" t="n"/>
      <c r="M51" s="11" t="n"/>
      <c r="N51" s="2" t="n"/>
    </row>
    <row r="52">
      <c r="A52" s="11" t="n">
        <v>314</v>
      </c>
      <c r="B52" s="11" t="inlineStr">
        <is>
          <t>tune</t>
        </is>
      </c>
      <c r="C52" s="11" t="inlineStr">
        <is>
          <t>c5757</t>
        </is>
      </c>
      <c r="D52" s="11" t="inlineStr">
        <is>
          <t>c5324</t>
        </is>
      </c>
      <c r="E52" s="11" t="inlineStr">
        <is>
          <t>1975-12-18</t>
        </is>
      </c>
      <c r="F52" s="11" t="inlineStr">
        <is>
          <t>1977-03-17</t>
        </is>
      </c>
      <c r="G52" s="11" t="inlineStr">
        <is>
          <t>OVERRULES</t>
        </is>
      </c>
      <c r="H52" s="11" t="inlineStr">
        <is>
          <t>OVERRULES</t>
        </is>
      </c>
      <c r="I52" s="11" t="inlineStr">
        <is>
          <t>yes</t>
        </is>
      </c>
      <c r="J52" s="11" t="inlineStr">
        <is>
          <t>not correctly decided</t>
        </is>
      </c>
      <c r="K52" s="11" t="inlineStr">
        <is>
          <t>court</t>
        </is>
      </c>
      <c r="L52" s="11" t="inlineStr">
        <is>
          <t>yes</t>
        </is>
      </c>
      <c r="M52" s="11" t="inlineStr">
        <is>
          <t>cite/cite</t>
        </is>
      </c>
      <c r="N52" s="2" t="inlineStr">
        <is>
          <t>For the reasons that we have. already given, after taking an overall view of the situation, we are satisfied that the Division Bench decision of this Court in Naraini Devi’s case (supra) was not correctly decided and is therefore, overruled.</t>
        </is>
      </c>
    </row>
    <row r="53">
      <c r="A53" s="11" t="n">
        <v>316</v>
      </c>
      <c r="B53" s="11" t="inlineStr">
        <is>
          <t>tune</t>
        </is>
      </c>
      <c r="C53" s="11" t="inlineStr">
        <is>
          <t>c8879</t>
        </is>
      </c>
      <c r="D53" s="11" t="inlineStr">
        <is>
          <t>c8434</t>
        </is>
      </c>
      <c r="E53" s="11" t="inlineStr">
        <is>
          <t>1986-12-09</t>
        </is>
      </c>
      <c r="F53" s="11" t="inlineStr">
        <is>
          <t>1988-02-04</t>
        </is>
      </c>
      <c r="G53" s="11" t="inlineStr">
        <is>
          <t>OVERRULES</t>
        </is>
      </c>
      <c r="H53" s="11" t="inlineStr">
        <is>
          <t>OVERRULES</t>
        </is>
      </c>
      <c r="I53" s="11" t="inlineStr">
        <is>
          <t>yes</t>
        </is>
      </c>
      <c r="J53" s="11" t="inlineStr">
        <is>
          <t>was overruled</t>
        </is>
      </c>
      <c r="K53" s="11" t="inlineStr">
        <is>
          <t>court</t>
        </is>
      </c>
      <c r="L53" s="11" t="inlineStr">
        <is>
          <t>yes</t>
        </is>
      </c>
      <c r="M53" s="11" t="inlineStr">
        <is>
          <t>cite/cite</t>
        </is>
      </c>
      <c r="N53" s="2" t="inlineStr">
        <is>
          <t>This view was sought to be reversed by the subsequent Full Bench in Yaragatti’s case, in the light of the decision in Aundal Ammal, but that attempt was overruled in Shyamaraju’s case.</t>
        </is>
      </c>
    </row>
    <row r="54">
      <c r="A54" s="11" t="n">
        <v>319</v>
      </c>
      <c r="B54" s="11" t="inlineStr">
        <is>
          <t>untouched</t>
        </is>
      </c>
      <c r="C54" s="11" t="inlineStr">
        <is>
          <t>c1639</t>
        </is>
      </c>
      <c r="D54" s="11" t="inlineStr">
        <is>
          <t>c4627</t>
        </is>
      </c>
      <c r="E54" s="11" t="inlineStr">
        <is>
          <t>1969-09-08</t>
        </is>
      </c>
      <c r="F54" s="11" t="inlineStr">
        <is>
          <t>1980-01-16</t>
        </is>
      </c>
      <c r="G54" s="11" t="n"/>
      <c r="H54" s="11" t="n"/>
      <c r="I54" s="11" t="n"/>
      <c r="J54" s="11" t="n"/>
      <c r="K54" s="11" t="n"/>
      <c r="L54" s="11" t="n"/>
      <c r="M54" s="11" t="n"/>
      <c r="N54" s="2" t="n"/>
    </row>
    <row r="55">
      <c r="A55" s="11" t="n">
        <v>321</v>
      </c>
      <c r="B55" s="11" t="inlineStr">
        <is>
          <t>untouched</t>
        </is>
      </c>
      <c r="C55" s="11" t="inlineStr">
        <is>
          <t>c7495</t>
        </is>
      </c>
      <c r="D55" s="11" t="inlineStr">
        <is>
          <t>bS_2003_4_84_120</t>
        </is>
      </c>
      <c r="E55" s="11" t="inlineStr">
        <is>
          <t>1990-07-13</t>
        </is>
      </c>
      <c r="F55" s="11" t="inlineStr">
        <is>
          <t>2003-09-26</t>
        </is>
      </c>
      <c r="G55" s="11" t="n"/>
      <c r="H55" s="11" t="n"/>
      <c r="I55" s="11" t="n"/>
      <c r="J55" s="11" t="n"/>
      <c r="K55" s="11" t="n"/>
      <c r="L55" s="11" t="n"/>
      <c r="M55" s="11" t="n"/>
      <c r="N55" s="2" t="n"/>
    </row>
    <row r="56">
      <c r="A56" s="11" t="n">
        <v>322</v>
      </c>
      <c r="B56" s="11" t="inlineStr">
        <is>
          <t>tune</t>
        </is>
      </c>
      <c r="C56" s="11" t="inlineStr">
        <is>
          <t>c4522</t>
        </is>
      </c>
      <c r="D56" s="11" t="inlineStr">
        <is>
          <t>c13429</t>
        </is>
      </c>
      <c r="E56" s="11" t="inlineStr">
        <is>
          <t>1980-05-07</t>
        </is>
      </c>
      <c r="F56" s="11" t="inlineStr">
        <is>
          <t>1998-02-12</t>
        </is>
      </c>
      <c r="G56" s="11" t="inlineStr">
        <is>
          <t>no mention found</t>
        </is>
      </c>
      <c r="H56" s="11" t="inlineStr">
        <is>
          <t>no mention found</t>
        </is>
      </c>
      <c r="I56" s="11" t="inlineStr">
        <is>
          <t>no</t>
        </is>
      </c>
      <c r="J56" s="11" t="inlineStr"/>
      <c r="K56" s="11" t="inlineStr"/>
      <c r="L56" s="11" t="inlineStr">
        <is>
          <t>no</t>
        </is>
      </c>
      <c r="M56" s="11" t="inlineStr">
        <is>
          <t>cite/cite</t>
        </is>
      </c>
      <c r="N56" s="2" t="inlineStr"/>
    </row>
    <row r="57">
      <c r="A57" s="11" t="n">
        <v>324</v>
      </c>
      <c r="B57" s="11" t="inlineStr">
        <is>
          <t>tune</t>
        </is>
      </c>
      <c r="C57" s="11" t="inlineStr">
        <is>
          <t>c6582</t>
        </is>
      </c>
      <c r="D57" s="11" t="inlineStr">
        <is>
          <t>c5559</t>
        </is>
      </c>
      <c r="E57" s="11" t="inlineStr">
        <is>
          <t>1973-03-14</t>
        </is>
      </c>
      <c r="F57" s="11" t="inlineStr">
        <is>
          <t>1976-08-23</t>
        </is>
      </c>
      <c r="G57" s="11" t="inlineStr">
        <is>
          <t>OVERRULES</t>
        </is>
      </c>
      <c r="H57" s="11" t="inlineStr">
        <is>
          <t>OVERRULES</t>
        </is>
      </c>
      <c r="I57" s="11" t="inlineStr">
        <is>
          <t>yes</t>
        </is>
      </c>
      <c r="J57" s="11" t="inlineStr">
        <is>
          <t>was wrongly decided</t>
        </is>
      </c>
      <c r="K57" s="11" t="inlineStr">
        <is>
          <t>headnote</t>
        </is>
      </c>
      <c r="L57" s="11" t="inlineStr">
        <is>
          <t>yes</t>
        </is>
      </c>
      <c r="M57" s="11" t="inlineStr">
        <is>
          <t>cite/cite</t>
        </is>
      </c>
      <c r="N57" s="2" t="inlineStr">
        <is>
          <t>Dismissing the appeal, HELD: (1) Phul Rani’s case was wrongly decided.</t>
        </is>
      </c>
    </row>
    <row r="58">
      <c r="A58" s="11" t="n">
        <v>326</v>
      </c>
      <c r="B58" s="11" t="inlineStr">
        <is>
          <t>tune</t>
        </is>
      </c>
      <c r="C58" s="11" t="inlineStr">
        <is>
          <t>c12516</t>
        </is>
      </c>
      <c r="D58" s="11" t="inlineStr">
        <is>
          <t>c13429</t>
        </is>
      </c>
      <c r="E58" s="11" t="inlineStr">
        <is>
          <t>1992-01-22</t>
        </is>
      </c>
      <c r="F58" s="11" t="inlineStr">
        <is>
          <t>1998-02-12</t>
        </is>
      </c>
      <c r="G58" s="11" t="inlineStr">
        <is>
          <t>no mention found</t>
        </is>
      </c>
      <c r="H58" s="11" t="inlineStr">
        <is>
          <t>no mention found</t>
        </is>
      </c>
      <c r="I58" s="11" t="inlineStr">
        <is>
          <t>no</t>
        </is>
      </c>
      <c r="J58" s="11" t="inlineStr"/>
      <c r="K58" s="11" t="inlineStr"/>
      <c r="L58" s="11" t="inlineStr">
        <is>
          <t>no</t>
        </is>
      </c>
      <c r="M58" s="11" t="inlineStr">
        <is>
          <t>cite/cite</t>
        </is>
      </c>
      <c r="N58" s="2" t="inlineStr"/>
    </row>
    <row r="59">
      <c r="A59" s="11" t="n">
        <v>327</v>
      </c>
      <c r="B59" s="11" t="inlineStr">
        <is>
          <t>untouched</t>
        </is>
      </c>
      <c r="C59" s="11" t="inlineStr">
        <is>
          <t>c9916</t>
        </is>
      </c>
      <c r="D59" s="11" t="inlineStr">
        <is>
          <t>c20408</t>
        </is>
      </c>
      <c r="E59" s="11" t="inlineStr">
        <is>
          <t>1982-03-05</t>
        </is>
      </c>
      <c r="F59" s="11" t="inlineStr">
        <is>
          <t>2001-02-16</t>
        </is>
      </c>
      <c r="G59" s="11" t="n"/>
      <c r="H59" s="11" t="n"/>
      <c r="I59" s="11" t="n"/>
      <c r="J59" s="11" t="n"/>
      <c r="K59" s="11" t="n"/>
      <c r="L59" s="11" t="n"/>
      <c r="M59" s="11" t="n"/>
      <c r="N59" s="2" t="n"/>
    </row>
    <row r="60">
      <c r="A60" s="11" t="n">
        <v>328</v>
      </c>
      <c r="B60" s="11" t="inlineStr">
        <is>
          <t>tune</t>
        </is>
      </c>
      <c r="C60" s="11" t="inlineStr">
        <is>
          <t>c12544</t>
        </is>
      </c>
      <c r="D60" s="11" t="inlineStr">
        <is>
          <t>c18806</t>
        </is>
      </c>
      <c r="E60" s="11" t="inlineStr">
        <is>
          <t>1991-11-22</t>
        </is>
      </c>
      <c r="F60" s="11" t="inlineStr">
        <is>
          <t>2002-09-26</t>
        </is>
      </c>
      <c r="G60" s="11" t="inlineStr">
        <is>
          <t>OVERRULES</t>
        </is>
      </c>
      <c r="H60" s="11" t="inlineStr">
        <is>
          <t>OVERRULES</t>
        </is>
      </c>
      <c r="I60" s="11" t="inlineStr">
        <is>
          <t>yes</t>
        </is>
      </c>
      <c r="J60" s="11" t="inlineStr">
        <is>
          <t>overruled</t>
        </is>
      </c>
      <c r="K60" s="11" t="inlineStr">
        <is>
          <t>court</t>
        </is>
      </c>
      <c r="L60" s="11" t="inlineStr">
        <is>
          <t>yes</t>
        </is>
      </c>
      <c r="M60" s="11" t="inlineStr">
        <is>
          <t>cite/name</t>
        </is>
      </c>
      <c r="N60" s="2" t="inlineStr">
        <is>
          <t>However, a larger bench of 5 judges reconsidered the matter in K.S. Paripoornan vs. State of Kerala and others : 1994(5) SCC 593 and overruled the decision in Zora Singh’s case.</t>
        </is>
      </c>
    </row>
    <row r="61">
      <c r="A61" s="11" t="n">
        <v>329</v>
      </c>
      <c r="B61" s="11" t="inlineStr">
        <is>
          <t>untouched</t>
        </is>
      </c>
      <c r="C61" s="11" t="inlineStr">
        <is>
          <t>c4597</t>
        </is>
      </c>
      <c r="D61" s="11" t="inlineStr">
        <is>
          <t>c8668</t>
        </is>
      </c>
      <c r="E61" s="11" t="inlineStr">
        <is>
          <t>1980-02-26</t>
        </is>
      </c>
      <c r="F61" s="11" t="inlineStr">
        <is>
          <t>1987-07-24</t>
        </is>
      </c>
      <c r="G61" s="11" t="n"/>
      <c r="H61" s="11" t="n"/>
      <c r="I61" s="11" t="n"/>
      <c r="J61" s="11" t="n"/>
      <c r="K61" s="11" t="n"/>
      <c r="L61" s="11" t="n"/>
      <c r="M61" s="11" t="n"/>
      <c r="N61" s="2" t="n"/>
    </row>
    <row r="62">
      <c r="A62" s="11" t="n">
        <v>330</v>
      </c>
      <c r="B62" s="11" t="inlineStr">
        <is>
          <t>tune</t>
        </is>
      </c>
      <c r="C62" s="11" t="inlineStr">
        <is>
          <t>c1777</t>
        </is>
      </c>
      <c r="D62" s="11" t="inlineStr">
        <is>
          <t>c4475</t>
        </is>
      </c>
      <c r="E62" s="11" t="inlineStr">
        <is>
          <t>1969-03-21</t>
        </is>
      </c>
      <c r="F62" s="11" t="inlineStr">
        <is>
          <t>1980-08-21</t>
        </is>
      </c>
      <c r="G62" s="11" t="inlineStr">
        <is>
          <t>OVERRULES</t>
        </is>
      </c>
      <c r="H62" s="11" t="inlineStr">
        <is>
          <t>OVERRULES</t>
        </is>
      </c>
      <c r="I62" s="11" t="inlineStr">
        <is>
          <t>yes</t>
        </is>
      </c>
      <c r="J62" s="11" t="inlineStr">
        <is>
          <t>overruled</t>
        </is>
      </c>
      <c r="K62" s="11" t="inlineStr">
        <is>
          <t>headnote</t>
        </is>
      </c>
      <c r="L62" s="11" t="inlineStr">
        <is>
          <t>yes</t>
        </is>
      </c>
      <c r="M62" s="11" t="inlineStr">
        <is>
          <t>cite/cite</t>
        </is>
      </c>
      <c r="N62" s="2" t="inlineStr">
        <is>
          <t>Vidya Prachar Trust v. Pandit Basarat Ram [1970] 1 S.C.R. 65, overruled.</t>
        </is>
      </c>
    </row>
    <row r="63">
      <c r="A63" s="11" t="n">
        <v>333</v>
      </c>
      <c r="B63" s="11" t="inlineStr">
        <is>
          <t>untouched</t>
        </is>
      </c>
      <c r="C63" s="11" t="inlineStr">
        <is>
          <t>c5753</t>
        </is>
      </c>
      <c r="D63" s="11" t="inlineStr">
        <is>
          <t>c15675</t>
        </is>
      </c>
      <c r="E63" s="11" t="inlineStr">
        <is>
          <t>1975-12-19</t>
        </is>
      </c>
      <c r="F63" s="11" t="inlineStr">
        <is>
          <t>1996-04-18</t>
        </is>
      </c>
      <c r="G63" s="11" t="n"/>
      <c r="H63" s="11" t="n"/>
      <c r="I63" s="11" t="n"/>
      <c r="J63" s="11" t="n"/>
      <c r="K63" s="11" t="n"/>
      <c r="L63" s="11" t="n"/>
      <c r="M63" s="11" t="n"/>
      <c r="N63" s="2" t="n"/>
    </row>
    <row r="64">
      <c r="A64" s="11" t="n">
        <v>335</v>
      </c>
      <c r="B64" s="11" t="inlineStr">
        <is>
          <t>untouched</t>
        </is>
      </c>
      <c r="C64" s="11" t="inlineStr">
        <is>
          <t>b1994_3_673_716</t>
        </is>
      </c>
      <c r="D64" s="11" t="inlineStr">
        <is>
          <t>c15825</t>
        </is>
      </c>
      <c r="E64" s="11" t="inlineStr">
        <is>
          <t>1994-04-26</t>
        </is>
      </c>
      <c r="F64" s="11" t="inlineStr">
        <is>
          <t>1996-03-21</t>
        </is>
      </c>
      <c r="G64" s="11" t="n"/>
      <c r="H64" s="11" t="n"/>
      <c r="I64" s="11" t="n"/>
      <c r="J64" s="11" t="n"/>
      <c r="K64" s="11" t="n"/>
      <c r="L64" s="11" t="n"/>
      <c r="M64" s="11" t="n"/>
      <c r="N64" s="2" t="n"/>
    </row>
    <row r="65">
      <c r="A65" s="11" t="n">
        <v>336</v>
      </c>
      <c r="B65" s="11" t="inlineStr">
        <is>
          <t>tune</t>
        </is>
      </c>
      <c r="C65" s="11" t="inlineStr">
        <is>
          <t>c20560</t>
        </is>
      </c>
      <c r="D65" s="11" t="inlineStr">
        <is>
          <t>c26363</t>
        </is>
      </c>
      <c r="E65" s="11" t="inlineStr">
        <is>
          <t>2002-05-01</t>
        </is>
      </c>
      <c r="F65" s="11" t="inlineStr">
        <is>
          <t>2004-08-27</t>
        </is>
      </c>
      <c r="G65" s="11" t="inlineStr">
        <is>
          <t>NEUTRAL</t>
        </is>
      </c>
      <c r="H65" s="11" t="inlineStr">
        <is>
          <t>NEUTRAL</t>
        </is>
      </c>
      <c r="I65" s="11" t="inlineStr">
        <is>
          <t>no</t>
        </is>
      </c>
      <c r="J65" s="11" t="inlineStr"/>
      <c r="K65" s="11" t="inlineStr">
        <is>
          <t>headnote</t>
        </is>
      </c>
      <c r="L65" s="11" t="inlineStr">
        <is>
          <t>yes</t>
        </is>
      </c>
      <c r="M65" s="11" t="inlineStr">
        <is>
          <t>cite/name</t>
        </is>
      </c>
      <c r="N65" s="2" t="inlineStr">
        <is>
          <t>CASE NO.: Appeal (civil) 6296 of 1998 PETITIONER: M/s Mahendra Saree Emporium RESPONDENT: G.V. Srinivasa Murthy DATE OF JUDGMENT: 27/08/2004 BENCH: CJI,G.P. Mathur &amp; C.K. Thakker JUDGMENT: J U D G M E N T R.C. Lahoti, CJI Respondent, G.V. Srinivasa Murthy is the owner-cum- landlord of the suit premises, non-residential in nature.</t>
        </is>
      </c>
    </row>
    <row r="66">
      <c r="A66" s="11" t="n">
        <v>337</v>
      </c>
      <c r="B66" s="11" t="inlineStr">
        <is>
          <t>untouched</t>
        </is>
      </c>
      <c r="C66" s="11" t="inlineStr">
        <is>
          <t>c10728</t>
        </is>
      </c>
      <c r="D66" s="11" t="inlineStr">
        <is>
          <t>c26138</t>
        </is>
      </c>
      <c r="E66" s="11" t="inlineStr">
        <is>
          <t>1995-07-02</t>
        </is>
      </c>
      <c r="F66" s="11" t="inlineStr">
        <is>
          <t>2004-04-28</t>
        </is>
      </c>
      <c r="G66" s="11" t="n"/>
      <c r="H66" s="11" t="n"/>
      <c r="I66" s="11" t="n"/>
      <c r="J66" s="11" t="n"/>
      <c r="K66" s="11" t="n"/>
      <c r="L66" s="11" t="n"/>
      <c r="M66" s="11" t="n"/>
      <c r="N66" s="2" t="n"/>
    </row>
    <row r="67">
      <c r="A67" s="11" t="n">
        <v>338</v>
      </c>
      <c r="B67" s="11" t="inlineStr">
        <is>
          <t>tune</t>
        </is>
      </c>
      <c r="C67" s="11" t="inlineStr">
        <is>
          <t>b1995_3_817_827</t>
        </is>
      </c>
      <c r="D67" s="11" t="inlineStr">
        <is>
          <t>c13429</t>
        </is>
      </c>
      <c r="E67" s="11" t="inlineStr">
        <is>
          <t>1995-04-26</t>
        </is>
      </c>
      <c r="F67" s="11" t="inlineStr">
        <is>
          <t>1998-02-12</t>
        </is>
      </c>
      <c r="G67" s="11" t="inlineStr">
        <is>
          <t>NEUTRAL</t>
        </is>
      </c>
      <c r="H67" s="11" t="inlineStr">
        <is>
          <t>NEUTRAL</t>
        </is>
      </c>
      <c r="I67" s="11" t="inlineStr">
        <is>
          <t>no</t>
        </is>
      </c>
      <c r="J67" s="11" t="inlineStr"/>
      <c r="K67" s="11" t="inlineStr">
        <is>
          <t>court</t>
        </is>
      </c>
      <c r="L67" s="11" t="inlineStr">
        <is>
          <t>no</t>
        </is>
      </c>
      <c r="M67" s="11" t="inlineStr">
        <is>
          <t>cite/cite</t>
        </is>
      </c>
      <c r="N67" s="2" t="inlineStr">
        <is>
          <t>In Parripati Chandrasekharrao &amp; Sons Versus Alapati Jalaiah (1995) 3 S.C.C. 709 a Division Bench pointed out the distinction between the rights of a landlord and the rights of a tenant.</t>
        </is>
      </c>
    </row>
    <row r="68">
      <c r="A68" s="11" t="n">
        <v>339</v>
      </c>
      <c r="B68" s="11" t="inlineStr">
        <is>
          <t>untouched</t>
        </is>
      </c>
      <c r="C68" s="11" t="inlineStr">
        <is>
          <t>c8954</t>
        </is>
      </c>
      <c r="D68" s="11" t="inlineStr">
        <is>
          <t>c7648</t>
        </is>
      </c>
      <c r="E68" s="11" t="inlineStr">
        <is>
          <t>1986-09-10</t>
        </is>
      </c>
      <c r="F68" s="11" t="inlineStr">
        <is>
          <t>1990-02-20</t>
        </is>
      </c>
      <c r="G68" s="11" t="n"/>
      <c r="H68" s="11" t="n"/>
      <c r="I68" s="11" t="n"/>
      <c r="J68" s="11" t="n"/>
      <c r="K68" s="11" t="n"/>
      <c r="L68" s="11" t="n"/>
      <c r="M68" s="11" t="n"/>
      <c r="N68" s="2" t="n"/>
    </row>
    <row r="69">
      <c r="A69" s="11" t="n">
        <v>341</v>
      </c>
      <c r="B69" s="11" t="inlineStr">
        <is>
          <t>untouched</t>
        </is>
      </c>
      <c r="C69" s="11" t="inlineStr">
        <is>
          <t>c39251</t>
        </is>
      </c>
      <c r="D69" s="11" t="inlineStr">
        <is>
          <t>c41505</t>
        </is>
      </c>
      <c r="E69" s="11" t="inlineStr">
        <is>
          <t>2012-04-12</t>
        </is>
      </c>
      <c r="F69" s="11" t="inlineStr">
        <is>
          <t>2014-05-06</t>
        </is>
      </c>
      <c r="G69" s="11" t="n"/>
      <c r="H69" s="11" t="n"/>
      <c r="I69" s="11" t="n"/>
      <c r="J69" s="11" t="n"/>
      <c r="K69" s="11" t="n"/>
      <c r="L69" s="11" t="n"/>
      <c r="M69" s="11" t="n"/>
      <c r="N69" s="2" t="n"/>
    </row>
    <row r="70">
      <c r="A70" s="11" t="n">
        <v>343</v>
      </c>
      <c r="B70" s="11" t="inlineStr">
        <is>
          <t>untouched</t>
        </is>
      </c>
      <c r="C70" s="11" t="inlineStr">
        <is>
          <t>c6013</t>
        </is>
      </c>
      <c r="D70" s="11" t="inlineStr">
        <is>
          <t>c13429</t>
        </is>
      </c>
      <c r="E70" s="11" t="inlineStr">
        <is>
          <t>1975-03-18</t>
        </is>
      </c>
      <c r="F70" s="11" t="inlineStr">
        <is>
          <t>1998-02-12</t>
        </is>
      </c>
      <c r="G70" s="11" t="n"/>
      <c r="H70" s="11" t="n"/>
      <c r="I70" s="11" t="n"/>
      <c r="J70" s="11" t="n"/>
      <c r="K70" s="11" t="n"/>
      <c r="L70" s="11" t="n"/>
      <c r="M70" s="11" t="n"/>
      <c r="N70" s="2" t="n"/>
    </row>
    <row r="71">
      <c r="A71" s="11" t="n">
        <v>344</v>
      </c>
      <c r="B71" s="11" t="inlineStr">
        <is>
          <t>tune</t>
        </is>
      </c>
      <c r="C71" s="11" t="inlineStr">
        <is>
          <t>c5457</t>
        </is>
      </c>
      <c r="D71" s="11" t="inlineStr">
        <is>
          <t>c9353</t>
        </is>
      </c>
      <c r="E71" s="11" t="inlineStr">
        <is>
          <t>1976-11-23</t>
        </is>
      </c>
      <c r="F71" s="11" t="inlineStr">
        <is>
          <t>1985-03-01</t>
        </is>
      </c>
      <c r="G71" s="11" t="inlineStr">
        <is>
          <t>OVERRULES</t>
        </is>
      </c>
      <c r="H71" s="11" t="inlineStr">
        <is>
          <t>OVERRULES</t>
        </is>
      </c>
      <c r="I71" s="11" t="inlineStr">
        <is>
          <t>yes</t>
        </is>
      </c>
      <c r="J71" s="11" t="inlineStr">
        <is>
          <t>is not good law</t>
        </is>
      </c>
      <c r="K71" s="11" t="inlineStr">
        <is>
          <t>headnote</t>
        </is>
      </c>
      <c r="L71" s="11" t="inlineStr">
        <is>
          <t>yes</t>
        </is>
      </c>
      <c r="M71" s="11" t="inlineStr">
        <is>
          <t>cite/cite</t>
        </is>
      </c>
      <c r="N71" s="2" t="inlineStr">
        <is>
          <t>(a) The case of State of M.P. v. Orient Paper Mills Ltd. [1977] 2 SCR 1219 on which the appellant relied is not good law as that decision was given per incurium and had laid down principles of interpretation which are wrong in law.</t>
        </is>
      </c>
    </row>
    <row r="72">
      <c r="A72" s="11" t="n">
        <v>346</v>
      </c>
      <c r="B72" s="11" t="inlineStr">
        <is>
          <t>tune</t>
        </is>
      </c>
      <c r="C72" s="11" t="inlineStr">
        <is>
          <t>b1994_1_327_335</t>
        </is>
      </c>
      <c r="D72" s="11" t="inlineStr">
        <is>
          <t>c13429</t>
        </is>
      </c>
      <c r="E72" s="11" t="inlineStr">
        <is>
          <t>1994-01-25</t>
        </is>
      </c>
      <c r="F72" s="11" t="inlineStr">
        <is>
          <t>1998-02-12</t>
        </is>
      </c>
      <c r="G72" s="11" t="inlineStr">
        <is>
          <t>NEUTRAL</t>
        </is>
      </c>
      <c r="H72" s="11" t="inlineStr">
        <is>
          <t>NEUTRAL</t>
        </is>
      </c>
      <c r="I72" s="11" t="inlineStr">
        <is>
          <t>no</t>
        </is>
      </c>
      <c r="J72" s="11" t="inlineStr"/>
      <c r="K72" s="11" t="inlineStr">
        <is>
          <t>court</t>
        </is>
      </c>
      <c r="L72" s="11" t="inlineStr">
        <is>
          <t>yes</t>
        </is>
      </c>
      <c r="M72" s="11" t="inlineStr">
        <is>
          <t>cite/cite</t>
        </is>
      </c>
      <c r="N72" s="2" t="inlineStr">
        <is>
          <t>In Bhola Nath Varshney Versus Mulk Raj Madan (1994) 2 S.C.C. 127, the case was again under the U.P. Act.</t>
        </is>
      </c>
    </row>
    <row r="73">
      <c r="A73" s="11" t="n">
        <v>347</v>
      </c>
      <c r="B73" s="11" t="inlineStr">
        <is>
          <t>untouched</t>
        </is>
      </c>
      <c r="C73" s="11" t="inlineStr">
        <is>
          <t>c9834</t>
        </is>
      </c>
      <c r="D73" s="11" t="inlineStr">
        <is>
          <t>c8050</t>
        </is>
      </c>
      <c r="E73" s="11" t="inlineStr">
        <is>
          <t>1983-02-16</t>
        </is>
      </c>
      <c r="F73" s="11" t="inlineStr">
        <is>
          <t>1989-02-07</t>
        </is>
      </c>
      <c r="G73" s="11" t="n"/>
      <c r="H73" s="11" t="n"/>
      <c r="I73" s="11" t="n"/>
      <c r="J73" s="11" t="n"/>
      <c r="K73" s="11" t="n"/>
      <c r="L73" s="11" t="n"/>
      <c r="M73" s="11" t="n"/>
      <c r="N73" s="2" t="n"/>
    </row>
    <row r="74">
      <c r="A74" s="11" t="n">
        <v>349</v>
      </c>
      <c r="B74" s="11" t="inlineStr">
        <is>
          <t>untouched</t>
        </is>
      </c>
      <c r="C74" s="11" t="inlineStr">
        <is>
          <t>c8922</t>
        </is>
      </c>
      <c r="D74" s="11" t="inlineStr">
        <is>
          <t>c12574</t>
        </is>
      </c>
      <c r="E74" s="11" t="inlineStr">
        <is>
          <t>1986-10-24</t>
        </is>
      </c>
      <c r="F74" s="11" t="inlineStr">
        <is>
          <t>1991-10-31</t>
        </is>
      </c>
      <c r="G74" s="11" t="n"/>
      <c r="H74" s="11" t="n"/>
      <c r="I74" s="11" t="n"/>
      <c r="J74" s="11" t="n"/>
      <c r="K74" s="11" t="n"/>
      <c r="L74" s="11" t="n"/>
      <c r="M74" s="11" t="n"/>
      <c r="N74" s="2" t="n"/>
    </row>
    <row r="75">
      <c r="A75" s="11" t="n">
        <v>350</v>
      </c>
      <c r="B75" s="11" t="inlineStr">
        <is>
          <t>tune</t>
        </is>
      </c>
      <c r="C75" s="11" t="inlineStr">
        <is>
          <t>c4812</t>
        </is>
      </c>
      <c r="D75" s="11" t="inlineStr">
        <is>
          <t>c16789</t>
        </is>
      </c>
      <c r="E75" s="11" t="inlineStr">
        <is>
          <t>1979-05-02</t>
        </is>
      </c>
      <c r="F75" s="11" t="inlineStr">
        <is>
          <t>1999-07-27</t>
        </is>
      </c>
      <c r="G75" s="11" t="inlineStr">
        <is>
          <t>FOLLOWS</t>
        </is>
      </c>
      <c r="H75" s="11" t="inlineStr">
        <is>
          <t>FOLLOWS</t>
        </is>
      </c>
      <c r="I75" s="11" t="inlineStr">
        <is>
          <t>no</t>
        </is>
      </c>
      <c r="J75" s="11" t="inlineStr">
        <is>
          <t>followed</t>
        </is>
      </c>
      <c r="K75" s="11" t="inlineStr">
        <is>
          <t>court</t>
        </is>
      </c>
      <c r="L75" s="11" t="inlineStr">
        <is>
          <t>yes</t>
        </is>
      </c>
      <c r="M75" s="11" t="inlineStr">
        <is>
          <t>cite/cite</t>
        </is>
      </c>
      <c r="N75" s="2" t="inlineStr">
        <is>
          <t>It held that the supply of firewood to the employees could not be said to be a purpose ancillary to the cultivation of the plantation crops, and in this regard it followed the judgment of this Court in Chettian Veetil Ammad &amp; Anr. vs. Taluk Land Board &amp; Ors., [1980 (1) SCC 499].</t>
        </is>
      </c>
    </row>
    <row r="76">
      <c r="A76" s="11" t="n">
        <v>351</v>
      </c>
      <c r="B76" s="11" t="inlineStr">
        <is>
          <t>untouched</t>
        </is>
      </c>
      <c r="C76" s="11" t="inlineStr">
        <is>
          <t>c12693</t>
        </is>
      </c>
      <c r="D76" s="11" t="inlineStr">
        <is>
          <t>c30335</t>
        </is>
      </c>
      <c r="E76" s="11" t="inlineStr">
        <is>
          <t>1991-07-24</t>
        </is>
      </c>
      <c r="F76" s="11" t="inlineStr">
        <is>
          <t>1995-07-14</t>
        </is>
      </c>
      <c r="G76" s="11" t="n"/>
      <c r="H76" s="11" t="n"/>
      <c r="I76" s="11" t="n"/>
      <c r="J76" s="11" t="n"/>
      <c r="K76" s="11" t="n"/>
      <c r="L76" s="11" t="n"/>
      <c r="M76" s="11" t="n"/>
      <c r="N76" s="2" t="n"/>
    </row>
    <row r="77">
      <c r="A77" s="11" t="n">
        <v>352</v>
      </c>
      <c r="B77" s="11" t="inlineStr">
        <is>
          <t>tune</t>
        </is>
      </c>
      <c r="C77" s="11" t="inlineStr">
        <is>
          <t>c386</t>
        </is>
      </c>
      <c r="D77" s="11" t="inlineStr">
        <is>
          <t>c4139</t>
        </is>
      </c>
      <c r="E77" s="11" t="inlineStr">
        <is>
          <t>1959-04-22</t>
        </is>
      </c>
      <c r="F77" s="11" t="inlineStr">
        <is>
          <t>1961-08-24</t>
        </is>
      </c>
      <c r="G77" s="11" t="inlineStr">
        <is>
          <t>FOLLOWS</t>
        </is>
      </c>
      <c r="H77" s="11" t="inlineStr">
        <is>
          <t>FOLLOWS</t>
        </is>
      </c>
      <c r="I77" s="11" t="inlineStr">
        <is>
          <t>no</t>
        </is>
      </c>
      <c r="J77" s="11" t="inlineStr">
        <is>
          <t>follow</t>
        </is>
      </c>
      <c r="K77" s="11" t="inlineStr">
        <is>
          <t>court</t>
        </is>
      </c>
      <c r="L77" s="11" t="inlineStr">
        <is>
          <t>yes</t>
        </is>
      </c>
      <c r="M77" s="11" t="inlineStr">
        <is>
          <t>cite/cite</t>
        </is>
      </c>
      <c r="N77" s="2" t="inlineStr">
        <is>
          <t>The mistake in the judgemnt of this court in the aforsaid ruling in the State of Ajmer v. Shivji Lal (1) shas arisen from reading those words. which are part merely of the nomenclature of the offence created by the Statute, whose ingredients are set out in sub-claused (1) to (d) that follow as descriptive of an essential and additional ingriedent of each of the types of offence in the four sub-cla</t>
        </is>
      </c>
    </row>
    <row r="78">
      <c r="A78" s="11" t="n">
        <v>353</v>
      </c>
      <c r="B78" s="11" t="inlineStr">
        <is>
          <t>untouched</t>
        </is>
      </c>
      <c r="C78" s="11" t="inlineStr">
        <is>
          <t>c1097</t>
        </is>
      </c>
      <c r="D78" s="11" t="inlineStr">
        <is>
          <t>bS_1991_3_239_241</t>
        </is>
      </c>
      <c r="E78" s="11" t="inlineStr">
        <is>
          <t>1952-12-02</t>
        </is>
      </c>
      <c r="F78" s="11" t="inlineStr">
        <is>
          <t>1991-12-06</t>
        </is>
      </c>
      <c r="G78" s="11" t="n"/>
      <c r="H78" s="11" t="n"/>
      <c r="I78" s="11" t="n"/>
      <c r="J78" s="11" t="n"/>
      <c r="K78" s="11" t="n"/>
      <c r="L78" s="11" t="n"/>
      <c r="M78" s="11" t="n"/>
      <c r="N78" s="2" t="n"/>
    </row>
    <row r="79">
      <c r="A79" s="11" t="n">
        <v>354</v>
      </c>
      <c r="B79" s="11" t="inlineStr">
        <is>
          <t>tune</t>
        </is>
      </c>
      <c r="C79" s="11" t="inlineStr">
        <is>
          <t>c3157</t>
        </is>
      </c>
      <c r="D79" s="11" t="inlineStr">
        <is>
          <t>c4564</t>
        </is>
      </c>
      <c r="E79" s="11" t="inlineStr">
        <is>
          <t>1964-10-05</t>
        </is>
      </c>
      <c r="F79" s="11" t="inlineStr">
        <is>
          <t>1980-04-02</t>
        </is>
      </c>
      <c r="G79" s="11" t="inlineStr">
        <is>
          <t>OVERRULED_OTHER</t>
        </is>
      </c>
      <c r="H79" s="11" t="inlineStr">
        <is>
          <t>OVERRULED_OTHER</t>
        </is>
      </c>
      <c r="I79" s="11" t="inlineStr">
        <is>
          <t>no</t>
        </is>
      </c>
      <c r="J79" s="11" t="inlineStr">
        <is>
          <t>is overruled</t>
        </is>
      </c>
      <c r="K79" s="11" t="inlineStr">
        <is>
          <t>court</t>
        </is>
      </c>
      <c r="L79" s="11" t="inlineStr">
        <is>
          <t>no</t>
        </is>
      </c>
      <c r="M79" s="11" t="inlineStr">
        <is>
          <t>cite/cite</t>
        </is>
      </c>
      <c r="N79" s="2" t="inlineStr">
        <is>
          <t>It was, however, said that this decision in Shantilal Mangaldas is overruled in Cooper’s case and, therefore, the wheel has moved the full circle and the expression ’compensation’ and principle for determining the compensation as interpreted in Vajravelu Mudaliar’s case (supra) is restored.</t>
        </is>
      </c>
    </row>
    <row r="80">
      <c r="A80" s="11" t="n">
        <v>355</v>
      </c>
      <c r="B80" s="11" t="inlineStr">
        <is>
          <t>untouched</t>
        </is>
      </c>
      <c r="C80" s="11" t="inlineStr">
        <is>
          <t>c9780</t>
        </is>
      </c>
      <c r="D80" s="11" t="inlineStr">
        <is>
          <t>c12419</t>
        </is>
      </c>
      <c r="E80" s="11" t="inlineStr">
        <is>
          <t>1983-05-06</t>
        </is>
      </c>
      <c r="F80" s="11" t="inlineStr">
        <is>
          <t>1992-04-22</t>
        </is>
      </c>
      <c r="G80" s="11" t="n"/>
      <c r="H80" s="11" t="n"/>
      <c r="I80" s="11" t="n"/>
      <c r="J80" s="11" t="n"/>
      <c r="K80" s="11" t="n"/>
      <c r="L80" s="11" t="n"/>
      <c r="M80" s="11" t="n"/>
      <c r="N80" s="2" t="n"/>
    </row>
    <row r="81">
      <c r="A81" s="11" t="n">
        <v>356</v>
      </c>
      <c r="B81" s="11" t="inlineStr">
        <is>
          <t>tune</t>
        </is>
      </c>
      <c r="C81" s="11" t="inlineStr">
        <is>
          <t>c7425</t>
        </is>
      </c>
      <c r="D81" s="11" t="inlineStr">
        <is>
          <t>c16115</t>
        </is>
      </c>
      <c r="E81" s="11" t="inlineStr">
        <is>
          <t>1990-09-06</t>
        </is>
      </c>
      <c r="F81" s="11" t="inlineStr">
        <is>
          <t>1996-01-24</t>
        </is>
      </c>
      <c r="G81" s="11" t="inlineStr">
        <is>
          <t>NEUTRAL</t>
        </is>
      </c>
      <c r="H81" s="11" t="inlineStr">
        <is>
          <t>NEUTRAL</t>
        </is>
      </c>
      <c r="I81" s="11" t="inlineStr">
        <is>
          <t>no</t>
        </is>
      </c>
      <c r="J81" s="11" t="inlineStr"/>
      <c r="K81" s="11" t="inlineStr">
        <is>
          <t>court</t>
        </is>
      </c>
      <c r="L81" s="11" t="inlineStr">
        <is>
          <t>yes</t>
        </is>
      </c>
      <c r="M81" s="11" t="inlineStr">
        <is>
          <t>cite/cite</t>
        </is>
      </c>
      <c r="N81" s="2" t="inlineStr">
        <is>
          <t>It is true that in Periyar’s case this Court had held that interest on solatium is part of the component under Section 23(1).</t>
        </is>
      </c>
    </row>
    <row r="82">
      <c r="A82" s="11" t="n">
        <v>358</v>
      </c>
      <c r="B82" s="11" t="inlineStr">
        <is>
          <t>tune</t>
        </is>
      </c>
      <c r="C82" s="11" t="inlineStr">
        <is>
          <t>c7421</t>
        </is>
      </c>
      <c r="D82" s="11" t="inlineStr">
        <is>
          <t>c13993</t>
        </is>
      </c>
      <c r="E82" s="11" t="inlineStr">
        <is>
          <t>1990-09-12</t>
        </is>
      </c>
      <c r="F82" s="11" t="inlineStr">
        <is>
          <t>1997-05-07</t>
        </is>
      </c>
      <c r="G82" s="11" t="inlineStr">
        <is>
          <t>DISAGREES</t>
        </is>
      </c>
      <c r="H82" s="11" t="inlineStr">
        <is>
          <t>DISAGREES</t>
        </is>
      </c>
      <c r="I82" s="11" t="inlineStr">
        <is>
          <t>yes</t>
        </is>
      </c>
      <c r="J82" s="11" t="inlineStr">
        <is>
          <t>is not correct</t>
        </is>
      </c>
      <c r="K82" s="11" t="inlineStr">
        <is>
          <t>court</t>
        </is>
      </c>
      <c r="L82" s="11" t="inlineStr">
        <is>
          <t>yes</t>
        </is>
      </c>
      <c r="M82" s="11" t="inlineStr">
        <is>
          <t>cite/name</t>
        </is>
      </c>
      <c r="N82" s="2" t="inlineStr">
        <is>
          <t>Inview of the aforesaiddecisions and in view of the findings recorded by the labour court, weare of the considered opinion that the view expressed in Desh Raj Gupta’scase is not correct.</t>
        </is>
      </c>
    </row>
    <row r="83">
      <c r="A83" s="11" t="n">
        <v>359</v>
      </c>
      <c r="B83" s="11" t="inlineStr">
        <is>
          <t>untouched</t>
        </is>
      </c>
      <c r="C83" s="11" t="inlineStr">
        <is>
          <t>c4844</t>
        </is>
      </c>
      <c r="D83" s="11" t="inlineStr">
        <is>
          <t>c20431</t>
        </is>
      </c>
      <c r="E83" s="11" t="inlineStr">
        <is>
          <t>1979-03-06</t>
        </is>
      </c>
      <c r="F83" s="11" t="inlineStr">
        <is>
          <t>2001-03-26</t>
        </is>
      </c>
      <c r="G83" s="11" t="n"/>
      <c r="H83" s="11" t="n"/>
      <c r="I83" s="11" t="n"/>
      <c r="J83" s="11" t="n"/>
      <c r="K83" s="11" t="n"/>
      <c r="L83" s="11" t="n"/>
      <c r="M83" s="11" t="n"/>
      <c r="N83" s="2" t="n"/>
    </row>
    <row r="84">
      <c r="A84" s="11" t="n">
        <v>360</v>
      </c>
      <c r="B84" s="11" t="inlineStr">
        <is>
          <t>tune</t>
        </is>
      </c>
      <c r="C84" s="11" t="inlineStr">
        <is>
          <t>c5126</t>
        </is>
      </c>
      <c r="D84" s="11" t="inlineStr">
        <is>
          <t>c9286</t>
        </is>
      </c>
      <c r="E84" s="11" t="inlineStr">
        <is>
          <t>1978-02-21</t>
        </is>
      </c>
      <c r="F84" s="11" t="inlineStr">
        <is>
          <t>1985-05-01</t>
        </is>
      </c>
      <c r="G84" s="11" t="inlineStr">
        <is>
          <t>OVERRULES</t>
        </is>
      </c>
      <c r="H84" s="11" t="inlineStr">
        <is>
          <t>OVERRULES</t>
        </is>
      </c>
      <c r="I84" s="11" t="inlineStr">
        <is>
          <t>yes</t>
        </is>
      </c>
      <c r="J84" s="11" t="inlineStr">
        <is>
          <t>do not lay down the correct law</t>
        </is>
      </c>
      <c r="K84" s="11" t="inlineStr">
        <is>
          <t>court</t>
        </is>
      </c>
      <c r="L84" s="11" t="inlineStr">
        <is>
          <t>yes</t>
        </is>
      </c>
      <c r="M84" s="11" t="inlineStr">
        <is>
          <t>cite/cite</t>
        </is>
      </c>
      <c r="N84" s="2" t="inlineStr">
        <is>
          <t>In our opinion, the view expressed by this Court in Ganpat Ladha’s case and the observations made therein which we have earlier quoted, do not lay down the correct law.</t>
        </is>
      </c>
    </row>
    <row r="85">
      <c r="A85" s="11" t="n">
        <v>361</v>
      </c>
      <c r="B85" s="11" t="inlineStr">
        <is>
          <t>untouched</t>
        </is>
      </c>
      <c r="C85" s="11" t="inlineStr">
        <is>
          <t>c1441</t>
        </is>
      </c>
      <c r="D85" s="11" t="inlineStr">
        <is>
          <t>c5125</t>
        </is>
      </c>
      <c r="E85" s="11" t="inlineStr">
        <is>
          <t>1970-04-01</t>
        </is>
      </c>
      <c r="F85" s="11" t="inlineStr">
        <is>
          <t>1978-02-21</t>
        </is>
      </c>
      <c r="G85" s="11" t="n"/>
      <c r="H85" s="11" t="n"/>
      <c r="I85" s="11" t="n"/>
      <c r="J85" s="11" t="n"/>
      <c r="K85" s="11" t="n"/>
      <c r="L85" s="11" t="n"/>
      <c r="M85" s="11" t="n"/>
      <c r="N85" s="2" t="n"/>
    </row>
    <row r="86">
      <c r="A86" s="11" t="n">
        <v>362</v>
      </c>
      <c r="B86" s="11" t="inlineStr">
        <is>
          <t>tune</t>
        </is>
      </c>
      <c r="C86" s="11" t="inlineStr">
        <is>
          <t>c12684</t>
        </is>
      </c>
      <c r="D86" s="11" t="inlineStr">
        <is>
          <t>c14444</t>
        </is>
      </c>
      <c r="E86" s="11" t="inlineStr">
        <is>
          <t>1991-08-06</t>
        </is>
      </c>
      <c r="F86" s="11" t="inlineStr">
        <is>
          <t>1997-02-03</t>
        </is>
      </c>
      <c r="G86" s="11" t="inlineStr">
        <is>
          <t>OVERRULES</t>
        </is>
      </c>
      <c r="H86" s="11" t="inlineStr">
        <is>
          <t>OVERRULES</t>
        </is>
      </c>
      <c r="I86" s="11" t="inlineStr">
        <is>
          <t>yes</t>
        </is>
      </c>
      <c r="J86" s="11" t="inlineStr">
        <is>
          <t>been over-ruled</t>
        </is>
      </c>
      <c r="K86" s="11" t="inlineStr">
        <is>
          <t>court</t>
        </is>
      </c>
      <c r="L86" s="11" t="inlineStr">
        <is>
          <t>yes</t>
        </is>
      </c>
      <c r="M86" s="11" t="inlineStr">
        <is>
          <t>cite/cite</t>
        </is>
      </c>
      <c r="N86" s="2" t="inlineStr">
        <is>
          <t>Yousef [(1991) 4 SCC 224] has been over-ruled by a later decision of three-Judge Bench of this Court in State of Tamil Nadu &amp; Ors. v. L. Krishnan &amp; Ors. [(1996) 1 SCC 250].</t>
        </is>
      </c>
    </row>
    <row r="87">
      <c r="A87" s="11" t="n">
        <v>363</v>
      </c>
      <c r="B87" s="11" t="inlineStr">
        <is>
          <t>untouched</t>
        </is>
      </c>
      <c r="C87" s="11" t="inlineStr">
        <is>
          <t>c3427</t>
        </is>
      </c>
      <c r="D87" s="11" t="inlineStr">
        <is>
          <t>c5699</t>
        </is>
      </c>
      <c r="E87" s="11" t="inlineStr">
        <is>
          <t>1963-10-22</t>
        </is>
      </c>
      <c r="F87" s="11" t="inlineStr">
        <is>
          <t>1976-03-12</t>
        </is>
      </c>
      <c r="G87" s="11" t="n"/>
      <c r="H87" s="11" t="n"/>
      <c r="I87" s="11" t="n"/>
      <c r="J87" s="11" t="n"/>
      <c r="K87" s="11" t="n"/>
      <c r="L87" s="11" t="n"/>
      <c r="M87" s="11" t="n"/>
      <c r="N87" s="2" t="n"/>
    </row>
    <row r="88">
      <c r="A88" s="11" t="n">
        <v>365</v>
      </c>
      <c r="B88" s="11" t="inlineStr">
        <is>
          <t>untouched</t>
        </is>
      </c>
      <c r="C88" s="11" t="inlineStr">
        <is>
          <t>c9731</t>
        </is>
      </c>
      <c r="D88" s="11" t="inlineStr">
        <is>
          <t>c13473</t>
        </is>
      </c>
      <c r="E88" s="11" t="inlineStr">
        <is>
          <t>1983-09-05</t>
        </is>
      </c>
      <c r="F88" s="11" t="inlineStr">
        <is>
          <t>1998-02-03</t>
        </is>
      </c>
      <c r="G88" s="11" t="n"/>
      <c r="H88" s="11" t="n"/>
      <c r="I88" s="11" t="n"/>
      <c r="J88" s="11" t="n"/>
      <c r="K88" s="11" t="n"/>
      <c r="L88" s="11" t="n"/>
      <c r="M88" s="11" t="n"/>
      <c r="N88" s="2" t="n"/>
    </row>
    <row r="89">
      <c r="A89" s="11" t="n">
        <v>366</v>
      </c>
      <c r="B89" s="11" t="inlineStr">
        <is>
          <t>tune</t>
        </is>
      </c>
      <c r="C89" s="11" t="inlineStr">
        <is>
          <t>c487</t>
        </is>
      </c>
      <c r="D89" s="11" t="inlineStr">
        <is>
          <t>c3148</t>
        </is>
      </c>
      <c r="E89" s="11" t="inlineStr">
        <is>
          <t>1958-09-30</t>
        </is>
      </c>
      <c r="F89" s="11" t="inlineStr">
        <is>
          <t>1964-10-09</t>
        </is>
      </c>
      <c r="G89" s="11" t="inlineStr">
        <is>
          <t>NEUTRAL</t>
        </is>
      </c>
      <c r="H89" s="11" t="inlineStr">
        <is>
          <t>NEUTRAL</t>
        </is>
      </c>
      <c r="I89" s="11" t="inlineStr">
        <is>
          <t>no</t>
        </is>
      </c>
      <c r="J89" s="11" t="inlineStr"/>
      <c r="K89" s="11" t="inlineStr">
        <is>
          <t>court</t>
        </is>
      </c>
      <c r="L89" s="11" t="inlineStr">
        <is>
          <t>yes</t>
        </is>
      </c>
      <c r="M89" s="11" t="inlineStr">
        <is>
          <t>cite/cite</t>
        </is>
      </c>
      <c r="N89" s="2" t="inlineStr">
        <is>
          <t>Sri Baru Ram v. Shrimati Prasanni and others, [1959] S.C.R. 1403, referred to. &amp; CIVIL APPELLATE JURISDICTION : Civil Appeal No. 506 of 1964.</t>
        </is>
      </c>
    </row>
    <row r="90">
      <c r="A90" s="11" t="n">
        <v>368</v>
      </c>
      <c r="B90" s="11" t="inlineStr">
        <is>
          <t>tune</t>
        </is>
      </c>
      <c r="C90" s="11" t="inlineStr">
        <is>
          <t>c6546</t>
        </is>
      </c>
      <c r="D90" s="11" t="inlineStr">
        <is>
          <t>c29358</t>
        </is>
      </c>
      <c r="E90" s="11" t="inlineStr">
        <is>
          <t>1973-04-16</t>
        </is>
      </c>
      <c r="F90" s="11" t="inlineStr">
        <is>
          <t>2005-09-28</t>
        </is>
      </c>
      <c r="G90" s="11" t="inlineStr">
        <is>
          <t>OVERRULES</t>
        </is>
      </c>
      <c r="H90" s="11" t="inlineStr">
        <is>
          <t>OVERRULES</t>
        </is>
      </c>
      <c r="I90" s="11" t="inlineStr">
        <is>
          <t>yes</t>
        </is>
      </c>
      <c r="J90" s="11" t="inlineStr">
        <is>
          <t>stands overruled</t>
        </is>
      </c>
      <c r="K90" s="11" t="inlineStr">
        <is>
          <t>court</t>
        </is>
      </c>
      <c r="L90" s="11" t="inlineStr">
        <is>
          <t>no</t>
        </is>
      </c>
      <c r="M90" s="11" t="inlineStr">
        <is>
          <t>cite/name</t>
        </is>
      </c>
      <c r="N90" s="2" t="inlineStr">
        <is>
          <t>The three Judge Bench has held that the Judgment in M/s Annapurna Biscuit Manufacturing Cos’ case stands overruled.</t>
        </is>
      </c>
    </row>
    <row r="91">
      <c r="A91" s="11" t="n">
        <v>369</v>
      </c>
      <c r="B91" s="11" t="inlineStr">
        <is>
          <t>untouched</t>
        </is>
      </c>
      <c r="C91" s="11" t="inlineStr">
        <is>
          <t>c1730</t>
        </is>
      </c>
      <c r="D91" s="11" t="inlineStr">
        <is>
          <t>b1999_1_555_568</t>
        </is>
      </c>
      <c r="E91" s="11" t="inlineStr">
        <is>
          <t>1969-04-30</t>
        </is>
      </c>
      <c r="F91" s="11" t="inlineStr">
        <is>
          <t>1999-02-10</t>
        </is>
      </c>
      <c r="G91" s="11" t="n"/>
      <c r="H91" s="11" t="n"/>
      <c r="I91" s="11" t="n"/>
      <c r="J91" s="11" t="n"/>
      <c r="K91" s="11" t="n"/>
      <c r="L91" s="11" t="n"/>
      <c r="M91" s="11" t="n"/>
      <c r="N91" s="2" t="n"/>
    </row>
    <row r="92">
      <c r="A92" s="11" t="n">
        <v>370</v>
      </c>
      <c r="B92" s="11" t="inlineStr">
        <is>
          <t>tune</t>
        </is>
      </c>
      <c r="C92" s="11" t="inlineStr">
        <is>
          <t>c10755</t>
        </is>
      </c>
      <c r="D92" s="11" t="inlineStr">
        <is>
          <t>c14809</t>
        </is>
      </c>
      <c r="E92" s="11" t="inlineStr">
        <is>
          <t>1995-05-09</t>
        </is>
      </c>
      <c r="F92" s="11" t="inlineStr">
        <is>
          <t>1996-11-06</t>
        </is>
      </c>
      <c r="G92" s="11" t="inlineStr">
        <is>
          <t>NEUTRAL</t>
        </is>
      </c>
      <c r="H92" s="11" t="inlineStr">
        <is>
          <t>NEUTRAL</t>
        </is>
      </c>
      <c r="I92" s="11" t="inlineStr">
        <is>
          <t>no</t>
        </is>
      </c>
      <c r="J92" s="11" t="inlineStr"/>
      <c r="K92" s="11" t="inlineStr">
        <is>
          <t>court</t>
        </is>
      </c>
      <c r="L92" s="11" t="inlineStr">
        <is>
          <t>yes</t>
        </is>
      </c>
      <c r="M92" s="11" t="inlineStr">
        <is>
          <t>cite/name</t>
        </is>
      </c>
      <c r="N92" s="2" t="inlineStr">
        <is>
          <t>This court in Gujarat Electricity Board v. Hind Mazdoor Sabha &amp; Ors. [(1995) 5 SCC 27] had pointed out the lacuna in the act and given directions of the manner in which the industrial action has to be take on abolition of the contract labour system.</t>
        </is>
      </c>
    </row>
    <row r="93">
      <c r="A93" s="11" t="n">
        <v>371</v>
      </c>
      <c r="B93" s="11" t="inlineStr">
        <is>
          <t>untouched</t>
        </is>
      </c>
      <c r="C93" s="11" t="inlineStr">
        <is>
          <t>c4930</t>
        </is>
      </c>
      <c r="D93" s="11" t="inlineStr">
        <is>
          <t>c4742</t>
        </is>
      </c>
      <c r="E93" s="11" t="inlineStr">
        <is>
          <t>1978-11-28</t>
        </is>
      </c>
      <c r="F93" s="11" t="inlineStr">
        <is>
          <t>1979-09-03</t>
        </is>
      </c>
      <c r="G93" s="11" t="n"/>
      <c r="H93" s="11" t="n"/>
      <c r="I93" s="11" t="n"/>
      <c r="J93" s="11" t="n"/>
      <c r="K93" s="11" t="n"/>
      <c r="L93" s="11" t="n"/>
      <c r="M93" s="11" t="n"/>
      <c r="N93" s="2" t="n"/>
    </row>
    <row r="94">
      <c r="A94" s="11" t="n">
        <v>374</v>
      </c>
      <c r="B94" s="11" t="inlineStr">
        <is>
          <t>tune</t>
        </is>
      </c>
      <c r="C94" s="11" t="inlineStr">
        <is>
          <t>c4641</t>
        </is>
      </c>
      <c r="D94" s="11" t="inlineStr">
        <is>
          <t>c7774</t>
        </is>
      </c>
      <c r="E94" s="11" t="inlineStr">
        <is>
          <t>1979-12-19</t>
        </is>
      </c>
      <c r="F94" s="11" t="inlineStr">
        <is>
          <t>1989-10-25</t>
        </is>
      </c>
      <c r="G94" s="11" t="inlineStr">
        <is>
          <t>OVERRULES</t>
        </is>
      </c>
      <c r="H94" s="11" t="inlineStr">
        <is>
          <t>OVERRULES</t>
        </is>
      </c>
      <c r="I94" s="11" t="inlineStr">
        <is>
          <t>yes</t>
        </is>
      </c>
      <c r="J94" s="11" t="inlineStr">
        <is>
          <t>overruled</t>
        </is>
      </c>
      <c r="K94" s="11" t="inlineStr">
        <is>
          <t>headnote</t>
        </is>
      </c>
      <c r="L94" s="11" t="inlineStr">
        <is>
          <t>yes</t>
        </is>
      </c>
      <c r="M94" s="11" t="inlineStr">
        <is>
          <t>cite/cite</t>
        </is>
      </c>
      <c r="N94" s="2" t="inlineStr">
        <is>
          <t>[679C-D] State of U.P., etc. v. Synthetics &amp; Chemicals Ltd. &amp; Ors. etc., 634 [1980] 2 SCR 531 and State of Bombay &amp; Anr. v. F.N. Balsara, [1951] 11 SCR 682, overruled.</t>
        </is>
      </c>
    </row>
    <row r="95">
      <c r="A95" s="11" t="n">
        <v>375</v>
      </c>
      <c r="B95" s="11" t="inlineStr">
        <is>
          <t>untouched</t>
        </is>
      </c>
      <c r="C95" s="11" t="inlineStr">
        <is>
          <t>c6845</t>
        </is>
      </c>
      <c r="D95" s="11" t="inlineStr">
        <is>
          <t>c10761</t>
        </is>
      </c>
      <c r="E95" s="11" t="inlineStr">
        <is>
          <t>1972-03-29</t>
        </is>
      </c>
      <c r="F95" s="11" t="inlineStr">
        <is>
          <t>1995-05-08</t>
        </is>
      </c>
      <c r="G95" s="11" t="n"/>
      <c r="H95" s="11" t="n"/>
      <c r="I95" s="11" t="n"/>
      <c r="J95" s="11" t="n"/>
      <c r="K95" s="11" t="n"/>
      <c r="L95" s="11" t="n"/>
      <c r="M95" s="11" t="n"/>
      <c r="N95" s="2" t="n"/>
    </row>
    <row r="96">
      <c r="A96" s="11" t="n">
        <v>376</v>
      </c>
      <c r="B96" s="11" t="inlineStr">
        <is>
          <t>tune</t>
        </is>
      </c>
      <c r="C96" s="11" t="inlineStr">
        <is>
          <t>c4084</t>
        </is>
      </c>
      <c r="D96" s="11" t="inlineStr">
        <is>
          <t>c2523</t>
        </is>
      </c>
      <c r="E96" s="11" t="inlineStr">
        <is>
          <t>1961-10-26</t>
        </is>
      </c>
      <c r="F96" s="11" t="inlineStr">
        <is>
          <t>1966-11-01</t>
        </is>
      </c>
      <c r="G96" s="11" t="inlineStr">
        <is>
          <t>NEUTRAL</t>
        </is>
      </c>
      <c r="H96" s="11" t="inlineStr">
        <is>
          <t>NEUTRAL</t>
        </is>
      </c>
      <c r="I96" s="11" t="inlineStr">
        <is>
          <t>no</t>
        </is>
      </c>
      <c r="J96" s="11" t="inlineStr"/>
      <c r="K96" s="11" t="inlineStr">
        <is>
          <t>court</t>
        </is>
      </c>
      <c r="L96" s="11" t="inlineStr">
        <is>
          <t>no</t>
        </is>
      </c>
      <c r="M96" s="11" t="inlineStr">
        <is>
          <t>cite/cite</t>
        </is>
      </c>
      <c r="N96" s="2" t="inlineStr">
        <is>
          <t>In Janakirama Iyer v. Nilakanta Iyer(2) the decree as drawn up in the High Court had used the words " mesne profits" instead of "net profits".</t>
        </is>
      </c>
    </row>
    <row r="97">
      <c r="A97" s="11" t="n">
        <v>377</v>
      </c>
      <c r="B97" s="11" t="inlineStr">
        <is>
          <t>untouched</t>
        </is>
      </c>
      <c r="C97" s="11" t="inlineStr">
        <is>
          <t>c4678</t>
        </is>
      </c>
      <c r="D97" s="11" t="inlineStr">
        <is>
          <t>c27563</t>
        </is>
      </c>
      <c r="E97" s="11" t="inlineStr">
        <is>
          <t>1979-11-07</t>
        </is>
      </c>
      <c r="F97" s="11" t="inlineStr">
        <is>
          <t>2006-03-08</t>
        </is>
      </c>
      <c r="G97" s="11" t="n"/>
      <c r="H97" s="11" t="n"/>
      <c r="I97" s="11" t="n"/>
      <c r="J97" s="11" t="n"/>
      <c r="K97" s="11" t="n"/>
      <c r="L97" s="11" t="n"/>
      <c r="M97" s="11" t="n"/>
      <c r="N97" s="2" t="n"/>
    </row>
    <row r="98">
      <c r="A98" s="11" t="n">
        <v>379</v>
      </c>
      <c r="B98" s="11" t="inlineStr">
        <is>
          <t>untouched</t>
        </is>
      </c>
      <c r="C98" s="11" t="inlineStr">
        <is>
          <t>c16080</t>
        </is>
      </c>
      <c r="D98" s="11" t="inlineStr">
        <is>
          <t>c13456</t>
        </is>
      </c>
      <c r="E98" s="11" t="inlineStr">
        <is>
          <t>1996-02-02</t>
        </is>
      </c>
      <c r="F98" s="11" t="inlineStr">
        <is>
          <t>1998-02-05</t>
        </is>
      </c>
      <c r="G98" s="11" t="n"/>
      <c r="H98" s="11" t="n"/>
      <c r="I98" s="11" t="n"/>
      <c r="J98" s="11" t="n"/>
      <c r="K98" s="11" t="n"/>
      <c r="L98" s="11" t="n"/>
      <c r="M98" s="11" t="n"/>
      <c r="N98" s="2" t="n"/>
    </row>
    <row r="99">
      <c r="A99" s="11" t="n">
        <v>381</v>
      </c>
      <c r="B99" s="11" t="inlineStr">
        <is>
          <t>untouched</t>
        </is>
      </c>
      <c r="C99" s="11" t="inlineStr">
        <is>
          <t>c8800</t>
        </is>
      </c>
      <c r="D99" s="11" t="inlineStr">
        <is>
          <t>c13528</t>
        </is>
      </c>
      <c r="E99" s="11" t="inlineStr">
        <is>
          <t>1987-02-19</t>
        </is>
      </c>
      <c r="F99" s="11" t="inlineStr">
        <is>
          <t>1998-03-18</t>
        </is>
      </c>
      <c r="G99" s="11" t="n"/>
      <c r="H99" s="11" t="n"/>
      <c r="I99" s="11" t="n"/>
      <c r="J99" s="11" t="n"/>
      <c r="K99" s="11" t="n"/>
      <c r="L99" s="11" t="n"/>
      <c r="M99" s="11" t="n"/>
      <c r="N99" s="2" t="n"/>
    </row>
    <row r="100">
      <c r="A100" s="11" t="n">
        <v>382</v>
      </c>
      <c r="B100" s="11" t="inlineStr">
        <is>
          <t>tune</t>
        </is>
      </c>
      <c r="C100" s="11" t="inlineStr">
        <is>
          <t>c6502</t>
        </is>
      </c>
      <c r="D100" s="11" t="inlineStr">
        <is>
          <t>b1995_3_745_753</t>
        </is>
      </c>
      <c r="E100" s="11" t="inlineStr">
        <is>
          <t>1973-07-31</t>
        </is>
      </c>
      <c r="F100" s="11" t="inlineStr">
        <is>
          <t>1995-04-25</t>
        </is>
      </c>
      <c r="G100" s="11" t="inlineStr">
        <is>
          <t>DISAGREES</t>
        </is>
      </c>
      <c r="H100" s="11" t="inlineStr">
        <is>
          <t>DISAGREES</t>
        </is>
      </c>
      <c r="I100" s="11" t="inlineStr">
        <is>
          <t>yes</t>
        </is>
      </c>
      <c r="J100" s="11" t="inlineStr">
        <is>
          <t>not following</t>
        </is>
      </c>
      <c r="K100" s="11" t="inlineStr">
        <is>
          <t>headnote</t>
        </is>
      </c>
      <c r="L100" s="11" t="inlineStr">
        <is>
          <t>yes</t>
        </is>
      </c>
      <c r="M100" s="11" t="inlineStr">
        <is>
          <t>cite/cite</t>
        </is>
      </c>
      <c r="N100" s="2" t="inlineStr">
        <is>
          <t>It was contended for the appellant that the High Court erred in not following the decision of this Court in Chandrika Misr's* case which laid D down that the civil court had no jurisdiction to entertain the suit of the nature involved in that case in respect of agricultural lands and that such a suit could be filed only before the Revenue Court.</t>
        </is>
      </c>
    </row>
    <row r="101">
      <c r="A101" s="11" t="n">
        <v>385</v>
      </c>
      <c r="B101" s="11" t="inlineStr">
        <is>
          <t>untouched</t>
        </is>
      </c>
      <c r="C101" s="11" t="inlineStr">
        <is>
          <t>c6624</t>
        </is>
      </c>
      <c r="D101" s="11" t="inlineStr">
        <is>
          <t>c7921</t>
        </is>
      </c>
      <c r="E101" s="11" t="inlineStr">
        <is>
          <t>1973-01-09</t>
        </is>
      </c>
      <c r="F101" s="11" t="inlineStr">
        <is>
          <t>1989-05-02</t>
        </is>
      </c>
      <c r="G101" s="11" t="n"/>
      <c r="H101" s="11" t="n"/>
      <c r="I101" s="11" t="n"/>
      <c r="J101" s="11" t="n"/>
      <c r="K101" s="11" t="n"/>
      <c r="L101" s="11" t="n"/>
      <c r="M101" s="11" t="n"/>
      <c r="N101" s="2" t="n"/>
    </row>
    <row r="102">
      <c r="A102" s="11" t="n">
        <v>389</v>
      </c>
      <c r="B102" s="11" t="inlineStr">
        <is>
          <t>untouched</t>
        </is>
      </c>
      <c r="C102" s="11" t="inlineStr">
        <is>
          <t>c10073</t>
        </is>
      </c>
      <c r="D102" s="11" t="inlineStr">
        <is>
          <t>c9148</t>
        </is>
      </c>
      <c r="E102" s="11" t="inlineStr">
        <is>
          <t>1981-04-07</t>
        </is>
      </c>
      <c r="F102" s="11" t="inlineStr">
        <is>
          <t>1985-12-11</t>
        </is>
      </c>
      <c r="G102" s="11" t="n"/>
      <c r="H102" s="11" t="n"/>
      <c r="I102" s="11" t="n"/>
      <c r="J102" s="11" t="n"/>
      <c r="K102" s="11" t="n"/>
      <c r="L102" s="11" t="n"/>
      <c r="M102" s="11" t="n"/>
      <c r="N102" s="2" t="n"/>
    </row>
    <row r="103">
      <c r="A103" s="11" t="n">
        <v>390</v>
      </c>
      <c r="B103" s="11" t="inlineStr">
        <is>
          <t>tune</t>
        </is>
      </c>
      <c r="C103" s="11" t="inlineStr">
        <is>
          <t>c8857</t>
        </is>
      </c>
      <c r="D103" s="11" t="inlineStr">
        <is>
          <t>b1995_3_1143_1196</t>
        </is>
      </c>
      <c r="E103" s="11" t="inlineStr">
        <is>
          <t>1986-12-20</t>
        </is>
      </c>
      <c r="F103" s="11" t="inlineStr">
        <is>
          <t>1995-05-03</t>
        </is>
      </c>
      <c r="G103" s="11" t="inlineStr">
        <is>
          <t>no mention found</t>
        </is>
      </c>
      <c r="H103" s="11" t="inlineStr">
        <is>
          <t>no mention found</t>
        </is>
      </c>
      <c r="I103" s="11" t="inlineStr">
        <is>
          <t>no</t>
        </is>
      </c>
      <c r="J103" s="11" t="inlineStr"/>
      <c r="K103" s="11" t="inlineStr"/>
      <c r="L103" s="11" t="inlineStr">
        <is>
          <t>no</t>
        </is>
      </c>
      <c r="M103" s="11" t="inlineStr">
        <is>
          <t>cite/cite</t>
        </is>
      </c>
      <c r="N103" s="2" t="inlineStr"/>
    </row>
    <row r="104">
      <c r="A104" s="11" t="n">
        <v>391</v>
      </c>
      <c r="B104" s="11" t="inlineStr">
        <is>
          <t>untouched</t>
        </is>
      </c>
      <c r="C104" s="11" t="inlineStr">
        <is>
          <t>c3972</t>
        </is>
      </c>
      <c r="D104" s="11" t="inlineStr">
        <is>
          <t>c5125</t>
        </is>
      </c>
      <c r="E104" s="11" t="inlineStr">
        <is>
          <t>1962-02-13</t>
        </is>
      </c>
      <c r="F104" s="11" t="inlineStr">
        <is>
          <t>1978-02-21</t>
        </is>
      </c>
      <c r="G104" s="11" t="n"/>
      <c r="H104" s="11" t="n"/>
      <c r="I104" s="11" t="n"/>
      <c r="J104" s="11" t="n"/>
      <c r="K104" s="11" t="n"/>
      <c r="L104" s="11" t="n"/>
      <c r="M104" s="11" t="n"/>
      <c r="N104" s="2" t="n"/>
    </row>
    <row r="105">
      <c r="A105" s="11" t="n">
        <v>392</v>
      </c>
      <c r="B105" s="11" t="inlineStr">
        <is>
          <t>tune</t>
        </is>
      </c>
      <c r="C105" s="11" t="inlineStr">
        <is>
          <t>c145</t>
        </is>
      </c>
      <c r="D105" s="11" t="inlineStr">
        <is>
          <t>c5124</t>
        </is>
      </c>
      <c r="E105" s="11" t="inlineStr">
        <is>
          <t>1960-08-25</t>
        </is>
      </c>
      <c r="F105" s="11" t="inlineStr">
        <is>
          <t>1978-02-21</t>
        </is>
      </c>
      <c r="G105" s="11" t="inlineStr">
        <is>
          <t>DISTINGUISHES</t>
        </is>
      </c>
      <c r="H105" s="11" t="inlineStr">
        <is>
          <t>DISTINGUISHES</t>
        </is>
      </c>
      <c r="I105" s="11" t="inlineStr">
        <is>
          <t>no</t>
        </is>
      </c>
      <c r="J105" s="11" t="inlineStr">
        <is>
          <t>cannot be extended</t>
        </is>
      </c>
      <c r="K105" s="11" t="inlineStr">
        <is>
          <t>court</t>
        </is>
      </c>
      <c r="L105" s="11" t="inlineStr">
        <is>
          <t>yes</t>
        </is>
      </c>
      <c r="M105" s="11" t="inlineStr">
        <is>
          <t>cite/cite</t>
        </is>
      </c>
      <c r="N105" s="2" t="inlineStr">
        <is>
          <t>We are, however, of the opinion, respectfully, that the decision in Vasantlal Maganbhai (supra) does not reflect the true legal position which, according to us, is that the immunity enjoyed by an Act placed in the Ninth Schedule cannot be extended to an order or notification issued under it.</t>
        </is>
      </c>
    </row>
    <row r="106">
      <c r="A106" s="11" t="n">
        <v>394</v>
      </c>
      <c r="B106" s="11" t="inlineStr">
        <is>
          <t>tune</t>
        </is>
      </c>
      <c r="C106" s="11" t="inlineStr">
        <is>
          <t>c5641</t>
        </is>
      </c>
      <c r="D106" s="11" t="inlineStr">
        <is>
          <t>c9438</t>
        </is>
      </c>
      <c r="E106" s="11" t="inlineStr">
        <is>
          <t>1976-04-14</t>
        </is>
      </c>
      <c r="F106" s="11" t="inlineStr">
        <is>
          <t>1984-10-29</t>
        </is>
      </c>
      <c r="G106" s="11" t="inlineStr">
        <is>
          <t>NEUTRAL</t>
        </is>
      </c>
      <c r="H106" s="11" t="inlineStr">
        <is>
          <t>NEUTRAL</t>
        </is>
      </c>
      <c r="I106" s="11" t="inlineStr">
        <is>
          <t>no</t>
        </is>
      </c>
      <c r="J106" s="11" t="inlineStr"/>
      <c r="K106" s="11" t="inlineStr">
        <is>
          <t>court</t>
        </is>
      </c>
      <c r="L106" s="11" t="inlineStr">
        <is>
          <t>yes</t>
        </is>
      </c>
      <c r="M106" s="11" t="inlineStr">
        <is>
          <t>cite/cite</t>
        </is>
      </c>
      <c r="N106" s="2" t="inlineStr">
        <is>
          <t>In Mohd.</t>
        </is>
      </c>
    </row>
    <row r="107">
      <c r="A107" s="11" t="n">
        <v>395</v>
      </c>
      <c r="B107" s="11" t="inlineStr">
        <is>
          <t>untouched</t>
        </is>
      </c>
      <c r="C107" s="11" t="inlineStr">
        <is>
          <t>c6167</t>
        </is>
      </c>
      <c r="D107" s="11" t="inlineStr">
        <is>
          <t>c9438</t>
        </is>
      </c>
      <c r="E107" s="11" t="inlineStr">
        <is>
          <t>1974-10-11</t>
        </is>
      </c>
      <c r="F107" s="11" t="inlineStr">
        <is>
          <t>1984-10-29</t>
        </is>
      </c>
      <c r="G107" s="11" t="n"/>
      <c r="H107" s="11" t="n"/>
      <c r="I107" s="11" t="n"/>
      <c r="J107" s="11" t="n"/>
      <c r="K107" s="11" t="n"/>
      <c r="L107" s="11" t="n"/>
      <c r="M107" s="11" t="n"/>
      <c r="N107" s="2" t="n"/>
    </row>
    <row r="108">
      <c r="A108" s="11" t="n">
        <v>398</v>
      </c>
      <c r="B108" s="11" t="inlineStr">
        <is>
          <t>tune</t>
        </is>
      </c>
      <c r="C108" s="11" t="inlineStr">
        <is>
          <t>c6301</t>
        </is>
      </c>
      <c r="D108" s="11" t="inlineStr">
        <is>
          <t>c6209</t>
        </is>
      </c>
      <c r="E108" s="11" t="inlineStr">
        <is>
          <t>1974-03-25</t>
        </is>
      </c>
      <c r="F108" s="11" t="inlineStr">
        <is>
          <t>1974-08-28</t>
        </is>
      </c>
      <c r="G108" s="11" t="inlineStr">
        <is>
          <t>OVERRULES</t>
        </is>
      </c>
      <c r="H108" s="11" t="inlineStr">
        <is>
          <t>OVERRULES</t>
        </is>
      </c>
      <c r="I108" s="11" t="inlineStr">
        <is>
          <t>yes</t>
        </is>
      </c>
      <c r="J108" s="11" t="inlineStr">
        <is>
          <t>be overruled</t>
        </is>
      </c>
      <c r="K108" s="11" t="inlineStr">
        <is>
          <t>headnote</t>
        </is>
      </c>
      <c r="L108" s="11" t="inlineStr">
        <is>
          <t>no</t>
        </is>
      </c>
      <c r="M108" s="11" t="inlineStr">
        <is>
          <t>cite/cite</t>
        </is>
      </c>
      <c r="N108" s="2" t="inlineStr">
        <is>
          <t>Yunus Saleem’s case (A.I.R. 1974] S.C. 1218) is erroneous and must be overruled.</t>
        </is>
      </c>
    </row>
    <row r="109">
      <c r="A109" s="11" t="n">
        <v>399</v>
      </c>
      <c r="B109" s="11" t="inlineStr">
        <is>
          <t>untouched</t>
        </is>
      </c>
      <c r="C109" s="11" t="inlineStr">
        <is>
          <t>c2990</t>
        </is>
      </c>
      <c r="D109" s="11" t="inlineStr">
        <is>
          <t>c2567</t>
        </is>
      </c>
      <c r="E109" s="11" t="inlineStr">
        <is>
          <t>1965-03-26</t>
        </is>
      </c>
      <c r="F109" s="11" t="inlineStr">
        <is>
          <t>1966-10-03</t>
        </is>
      </c>
      <c r="G109" s="11" t="n"/>
      <c r="H109" s="11" t="n"/>
      <c r="I109" s="11" t="n"/>
      <c r="J109" s="11" t="n"/>
      <c r="K109" s="11" t="n"/>
      <c r="L109" s="11" t="n"/>
      <c r="M109" s="11" t="n"/>
      <c r="N109" s="2" t="n"/>
    </row>
    <row r="110">
      <c r="A110" s="11" t="n">
        <v>400</v>
      </c>
      <c r="B110" s="11" t="inlineStr">
        <is>
          <t>tune</t>
        </is>
      </c>
      <c r="C110" s="11" t="inlineStr">
        <is>
          <t>c3158</t>
        </is>
      </c>
      <c r="D110" s="11" t="inlineStr">
        <is>
          <t>c2212</t>
        </is>
      </c>
      <c r="E110" s="11" t="inlineStr">
        <is>
          <t>1964-10-05</t>
        </is>
      </c>
      <c r="F110" s="11" t="inlineStr">
        <is>
          <t>1967-11-29</t>
        </is>
      </c>
      <c r="G110" s="11" t="inlineStr">
        <is>
          <t>LIMITS</t>
        </is>
      </c>
      <c r="H110" s="11" t="inlineStr">
        <is>
          <t>LIMITS</t>
        </is>
      </c>
      <c r="I110" s="11" t="inlineStr">
        <is>
          <t>no</t>
        </is>
      </c>
      <c r="J110" s="11" t="inlineStr">
        <is>
          <t>explained</t>
        </is>
      </c>
      <c r="K110" s="11" t="inlineStr">
        <is>
          <t>headnote</t>
        </is>
      </c>
      <c r="L110" s="11" t="inlineStr">
        <is>
          <t>yes</t>
        </is>
      </c>
      <c r="M110" s="11" t="inlineStr">
        <is>
          <t>cite/cite</t>
        </is>
      </c>
      <c r="N110" s="2" t="inlineStr">
        <is>
          <t>[496 A-C] The State of Kerala v. K. M. Cheria Ahdulla and Company, [1965] 1 S.C.R. 601, explained and followed.</t>
        </is>
      </c>
    </row>
    <row r="111">
      <c r="A111" s="11" t="n">
        <v>407</v>
      </c>
      <c r="B111" s="11" t="inlineStr">
        <is>
          <t>untouched</t>
        </is>
      </c>
      <c r="C111" s="11" t="inlineStr">
        <is>
          <t>c4903</t>
        </is>
      </c>
      <c r="D111" s="11" t="inlineStr">
        <is>
          <t>c14565</t>
        </is>
      </c>
      <c r="E111" s="11" t="inlineStr">
        <is>
          <t>1979-01-10</t>
        </is>
      </c>
      <c r="F111" s="11" t="inlineStr">
        <is>
          <t>1996-12-20</t>
        </is>
      </c>
      <c r="G111" s="11" t="n"/>
      <c r="H111" s="11" t="n"/>
      <c r="I111" s="11" t="n"/>
      <c r="J111" s="11" t="n"/>
      <c r="K111" s="11" t="n"/>
      <c r="L111" s="11" t="n"/>
      <c r="M111" s="11" t="n"/>
      <c r="N111" s="2" t="n"/>
    </row>
    <row r="112">
      <c r="A112" s="11" t="n">
        <v>408</v>
      </c>
      <c r="B112" s="11" t="inlineStr">
        <is>
          <t>tune</t>
        </is>
      </c>
      <c r="C112" s="11" t="inlineStr">
        <is>
          <t>c12276</t>
        </is>
      </c>
      <c r="D112" s="11" t="inlineStr">
        <is>
          <t>c14479</t>
        </is>
      </c>
      <c r="E112" s="11" t="inlineStr">
        <is>
          <t>1993-01-07</t>
        </is>
      </c>
      <c r="F112" s="11" t="inlineStr">
        <is>
          <t>1997-01-24</t>
        </is>
      </c>
      <c r="G112" s="11" t="inlineStr">
        <is>
          <t>NEUTRAL</t>
        </is>
      </c>
      <c r="H112" s="11" t="inlineStr">
        <is>
          <t>NEUTRAL</t>
        </is>
      </c>
      <c r="I112" s="11" t="inlineStr">
        <is>
          <t>no</t>
        </is>
      </c>
      <c r="J112" s="11" t="inlineStr"/>
      <c r="K112" s="11" t="inlineStr">
        <is>
          <t>counsel</t>
        </is>
      </c>
      <c r="L112" s="11" t="inlineStr">
        <is>
          <t>no</t>
        </is>
      </c>
      <c r="M112" s="11" t="inlineStr">
        <is>
          <t>cite/cite</t>
        </is>
      </c>
      <c r="N112" s="2" t="inlineStr">
        <is>
          <t>When the matter had come up for hearing upon consideration of the decision cited by the learned counsel for the appellants, in particular Dharampal &amp; ORS. V/S Ramshri (Smt.) &amp; Ors. [(1993)] 1 SCC 435 and Rajan Kumar Manchanda V/s State of Kerala {(1990 supp. SCC 132) the matter was referred to a three-Judge Bench.</t>
        </is>
      </c>
    </row>
    <row r="113">
      <c r="A113" s="11" t="n">
        <v>410</v>
      </c>
      <c r="B113" s="11" t="inlineStr">
        <is>
          <t>tune</t>
        </is>
      </c>
      <c r="C113" s="11" t="inlineStr">
        <is>
          <t>c6584</t>
        </is>
      </c>
      <c r="D113" s="11" t="inlineStr">
        <is>
          <t>c12663</t>
        </is>
      </c>
      <c r="E113" s="11" t="inlineStr">
        <is>
          <t>1973-03-09</t>
        </is>
      </c>
      <c r="F113" s="11" t="inlineStr">
        <is>
          <t>1991-08-14</t>
        </is>
      </c>
      <c r="G113" s="11" t="inlineStr">
        <is>
          <t>no mention found</t>
        </is>
      </c>
      <c r="H113" s="11" t="inlineStr">
        <is>
          <t>no mention found</t>
        </is>
      </c>
      <c r="I113" s="11" t="inlineStr">
        <is>
          <t>no</t>
        </is>
      </c>
      <c r="J113" s="11" t="inlineStr"/>
      <c r="K113" s="11" t="inlineStr"/>
      <c r="L113" s="11" t="inlineStr">
        <is>
          <t>no</t>
        </is>
      </c>
      <c r="M113" s="11" t="inlineStr">
        <is>
          <t>cite/cite</t>
        </is>
      </c>
      <c r="N113" s="2" t="inlineStr"/>
    </row>
    <row r="114">
      <c r="A114" s="11" t="n">
        <v>411</v>
      </c>
      <c r="B114" s="11" t="inlineStr">
        <is>
          <t>untouched</t>
        </is>
      </c>
      <c r="C114" s="11" t="inlineStr">
        <is>
          <t>c3410</t>
        </is>
      </c>
      <c r="D114" s="11" t="inlineStr">
        <is>
          <t>c2722</t>
        </is>
      </c>
      <c r="E114" s="11" t="inlineStr">
        <is>
          <t>1963-11-20</t>
        </is>
      </c>
      <c r="F114" s="11" t="inlineStr">
        <is>
          <t>1966-02-11</t>
        </is>
      </c>
      <c r="G114" s="11" t="n"/>
      <c r="H114" s="11" t="n"/>
      <c r="I114" s="11" t="n"/>
      <c r="J114" s="11" t="n"/>
      <c r="K114" s="11" t="n"/>
      <c r="L114" s="11" t="n"/>
      <c r="M114" s="11" t="n"/>
      <c r="N114" s="2" t="n"/>
    </row>
    <row r="115">
      <c r="A115" s="11" t="n">
        <v>413</v>
      </c>
      <c r="B115" s="11" t="inlineStr">
        <is>
          <t>untouched</t>
        </is>
      </c>
      <c r="C115" s="11" t="inlineStr">
        <is>
          <t>c132</t>
        </is>
      </c>
      <c r="D115" s="11" t="inlineStr">
        <is>
          <t>c2704</t>
        </is>
      </c>
      <c r="E115" s="11" t="inlineStr">
        <is>
          <t>1960-09-07</t>
        </is>
      </c>
      <c r="F115" s="11" t="inlineStr">
        <is>
          <t>1966-03-02</t>
        </is>
      </c>
      <c r="G115" s="11" t="n"/>
      <c r="H115" s="11" t="n"/>
      <c r="I115" s="11" t="n"/>
      <c r="J115" s="11" t="n"/>
      <c r="K115" s="11" t="n"/>
      <c r="L115" s="11" t="n"/>
      <c r="M115" s="11" t="n"/>
      <c r="N115" s="2" t="n"/>
    </row>
    <row r="116">
      <c r="A116" s="11" t="n">
        <v>414</v>
      </c>
      <c r="B116" s="11" t="inlineStr">
        <is>
          <t>tune</t>
        </is>
      </c>
      <c r="C116" s="11" t="inlineStr">
        <is>
          <t>c74</t>
        </is>
      </c>
      <c r="D116" s="11" t="inlineStr">
        <is>
          <t>c3556</t>
        </is>
      </c>
      <c r="E116" s="11" t="inlineStr">
        <is>
          <t>1960-11-17</t>
        </is>
      </c>
      <c r="F116" s="11" t="inlineStr">
        <is>
          <t>1963-04-01</t>
        </is>
      </c>
      <c r="G116" s="11" t="inlineStr">
        <is>
          <t>NEUTRAL</t>
        </is>
      </c>
      <c r="H116" s="11" t="inlineStr">
        <is>
          <t>NEUTRAL</t>
        </is>
      </c>
      <c r="I116" s="11" t="inlineStr">
        <is>
          <t>no</t>
        </is>
      </c>
      <c r="J116" s="11" t="inlineStr"/>
      <c r="K116" s="11" t="inlineStr">
        <is>
          <t>court</t>
        </is>
      </c>
      <c r="L116" s="11" t="inlineStr">
        <is>
          <t>yes</t>
        </is>
      </c>
      <c r="M116" s="11" t="inlineStr">
        <is>
          <t>cite/cite</t>
        </is>
      </c>
      <c r="N116" s="2" t="inlineStr">
        <is>
          <t>In the Ahmedabad Textile Industry’s Research Association v. The State of Bombay (2), while discussing the question as to the character of the work undertaken by the Research Association, this Court took the precaution of observing that the activities of the Association had little in common with the activities of what may be called a purely educational institution.</t>
        </is>
      </c>
    </row>
    <row r="117">
      <c r="A117" s="11" t="n">
        <v>416</v>
      </c>
      <c r="B117" s="11" t="inlineStr">
        <is>
          <t>tune</t>
        </is>
      </c>
      <c r="C117" s="11" t="inlineStr">
        <is>
          <t>c261</t>
        </is>
      </c>
      <c r="D117" s="11" t="inlineStr">
        <is>
          <t>c3500</t>
        </is>
      </c>
      <c r="E117" s="11" t="inlineStr">
        <is>
          <t>1960-01-29</t>
        </is>
      </c>
      <c r="F117" s="11" t="inlineStr">
        <is>
          <t>1963-05-07</t>
        </is>
      </c>
      <c r="G117" s="11" t="inlineStr">
        <is>
          <t>NEUTRAL</t>
        </is>
      </c>
      <c r="H117" s="11" t="inlineStr">
        <is>
          <t>NEUTRAL</t>
        </is>
      </c>
      <c r="I117" s="11" t="inlineStr">
        <is>
          <t>no</t>
        </is>
      </c>
      <c r="J117" s="11" t="inlineStr"/>
      <c r="K117" s="11" t="inlineStr">
        <is>
          <t>headnote</t>
        </is>
      </c>
      <c r="L117" s="11" t="inlineStr">
        <is>
          <t>yes</t>
        </is>
      </c>
      <c r="M117" s="11" t="inlineStr">
        <is>
          <t>cite/cite</t>
        </is>
      </c>
      <c r="N117" s="2" t="inlineStr">
        <is>
          <t>State of Bombay v. Hospital Mazdoor Sabha [1960] 2 S.C.R. 866, The Corporation of the City of Nagpur v. Ito Employees, [1960] 2 S. C. R. 942 and Satya Narain v. District Engineer, P. W. D., A. I. R. 1962 S. C. 1161.</t>
        </is>
      </c>
    </row>
    <row r="118">
      <c r="A118" s="11" t="n">
        <v>417</v>
      </c>
      <c r="B118" s="11" t="inlineStr">
        <is>
          <t>untouched</t>
        </is>
      </c>
      <c r="C118" s="11" t="inlineStr">
        <is>
          <t>c12114</t>
        </is>
      </c>
      <c r="D118" s="11" t="inlineStr">
        <is>
          <t>c15748</t>
        </is>
      </c>
      <c r="E118" s="11" t="inlineStr">
        <is>
          <t>1993-03-30</t>
        </is>
      </c>
      <c r="F118" s="11" t="inlineStr">
        <is>
          <t>1996-04-08</t>
        </is>
      </c>
      <c r="G118" s="11" t="n"/>
      <c r="H118" s="11" t="n"/>
      <c r="I118" s="11" t="n"/>
      <c r="J118" s="11" t="n"/>
      <c r="K118" s="11" t="n"/>
      <c r="L118" s="11" t="n"/>
      <c r="M118" s="11" t="n"/>
      <c r="N118" s="2" t="n"/>
    </row>
    <row r="119">
      <c r="A119" s="11" t="n">
        <v>418</v>
      </c>
      <c r="B119" s="11" t="inlineStr">
        <is>
          <t>tune</t>
        </is>
      </c>
      <c r="C119" s="11" t="inlineStr">
        <is>
          <t>c4250</t>
        </is>
      </c>
      <c r="D119" s="11" t="inlineStr">
        <is>
          <t>c2774</t>
        </is>
      </c>
      <c r="E119" s="11" t="inlineStr">
        <is>
          <t>1961-04-06</t>
        </is>
      </c>
      <c r="F119" s="11" t="inlineStr">
        <is>
          <t>1965-12-15</t>
        </is>
      </c>
      <c r="G119" s="11" t="inlineStr">
        <is>
          <t>DISTINGUISHES</t>
        </is>
      </c>
      <c r="H119" s="11" t="inlineStr">
        <is>
          <t>DISTINGUISHES</t>
        </is>
      </c>
      <c r="I119" s="11" t="inlineStr">
        <is>
          <t>no</t>
        </is>
      </c>
      <c r="J119" s="11" t="inlineStr">
        <is>
          <t>cannot be extended</t>
        </is>
      </c>
      <c r="K119" s="11" t="inlineStr">
        <is>
          <t>court</t>
        </is>
      </c>
      <c r="L119" s="11" t="inlineStr">
        <is>
          <t>yes</t>
        </is>
      </c>
      <c r="M119" s="11" t="inlineStr">
        <is>
          <t>cite/cite</t>
        </is>
      </c>
      <c r="N119" s="2" t="inlineStr">
        <is>
          <t>In terms, it is not retrospective, and we cannot import into its construction matters which are ad extra legis, and thereby alter its true effect." ’In The Commissioner of Sales Tax, Uttar Pradesh v. The ModiSugar Mills Ltd.(2) this Court held by a majority as follows: "A legal fiction must be limited to the purposes for which it has been created and cannot be extended beyond (2) [1961] 2 S.CR. 18</t>
        </is>
      </c>
    </row>
    <row r="120">
      <c r="A120" s="11" t="n">
        <v>419</v>
      </c>
      <c r="B120" s="11" t="inlineStr">
        <is>
          <t>untouched</t>
        </is>
      </c>
      <c r="C120" s="11" t="inlineStr">
        <is>
          <t>c6114</t>
        </is>
      </c>
      <c r="D120" s="11" t="inlineStr">
        <is>
          <t>c5146</t>
        </is>
      </c>
      <c r="E120" s="11" t="inlineStr">
        <is>
          <t>1974-12-03</t>
        </is>
      </c>
      <c r="F120" s="11" t="inlineStr">
        <is>
          <t>1978-02-10</t>
        </is>
      </c>
      <c r="G120" s="11" t="n"/>
      <c r="H120" s="11" t="n"/>
      <c r="I120" s="11" t="n"/>
      <c r="J120" s="11" t="n"/>
      <c r="K120" s="11" t="n"/>
      <c r="L120" s="11" t="n"/>
      <c r="M120" s="11" t="n"/>
      <c r="N120" s="2" t="n"/>
    </row>
    <row r="121">
      <c r="A121" s="11" t="n">
        <v>420</v>
      </c>
      <c r="B121" s="11" t="inlineStr">
        <is>
          <t>tune</t>
        </is>
      </c>
      <c r="C121" s="11" t="inlineStr">
        <is>
          <t>c12312</t>
        </is>
      </c>
      <c r="D121" s="11" t="inlineStr">
        <is>
          <t>c15016</t>
        </is>
      </c>
      <c r="E121" s="11" t="inlineStr">
        <is>
          <t>1992-10-20</t>
        </is>
      </c>
      <c r="F121" s="11" t="inlineStr">
        <is>
          <t>1996-09-26</t>
        </is>
      </c>
      <c r="G121" s="11" t="inlineStr">
        <is>
          <t>FOLLOWS</t>
        </is>
      </c>
      <c r="H121" s="11" t="inlineStr">
        <is>
          <t>OVERRULES</t>
        </is>
      </c>
      <c r="I121" s="11" t="inlineStr">
        <is>
          <t>yes</t>
        </is>
      </c>
      <c r="J121" s="11" t="inlineStr">
        <is>
          <t>be not good law</t>
        </is>
      </c>
      <c r="K121" s="11" t="inlineStr">
        <is>
          <t>court</t>
        </is>
      </c>
      <c r="L121" s="11" t="inlineStr">
        <is>
          <t>yes</t>
        </is>
      </c>
      <c r="M121" s="11" t="inlineStr">
        <is>
          <t>name/name</t>
        </is>
      </c>
      <c r="N121" s="2" t="inlineStr">
        <is>
          <t>The law laid down by this Court in Paras Ram vs. State of Haryana, (1992) 4 SCC 662, that for an offence under Section 5, the recovery must be of "arms and ammunitions" and not of either arm or "ammunition" has been held to be not good law by the Constitution Bench in Sanjay Dutt’s case (supra) wherein it was opined that while interpreting the expression arms and "ammunitions" in section 5 of TADA</t>
        </is>
      </c>
    </row>
    <row r="122">
      <c r="A122" s="11" t="n">
        <v>422</v>
      </c>
      <c r="B122" s="11" t="inlineStr">
        <is>
          <t>tune</t>
        </is>
      </c>
      <c r="C122" s="11" t="inlineStr">
        <is>
          <t>bS_1994_6_168_170</t>
        </is>
      </c>
      <c r="D122" s="11" t="inlineStr">
        <is>
          <t>c16554</t>
        </is>
      </c>
      <c r="E122" s="11" t="inlineStr">
        <is>
          <t>1994-11-28</t>
        </is>
      </c>
      <c r="F122" s="11" t="inlineStr">
        <is>
          <t>2000-02-01</t>
        </is>
      </c>
      <c r="G122" s="11" t="inlineStr">
        <is>
          <t>NEUTRAL</t>
        </is>
      </c>
      <c r="H122" s="11" t="inlineStr">
        <is>
          <t>DISAGREES</t>
        </is>
      </c>
      <c r="I122" s="11" t="inlineStr">
        <is>
          <t>yes</t>
        </is>
      </c>
      <c r="J122" s="11" t="inlineStr">
        <is>
          <t>1s erroneous</t>
        </is>
      </c>
      <c r="K122" s="11" t="inlineStr">
        <is>
          <t>court</t>
        </is>
      </c>
      <c r="L122" s="11" t="inlineStr">
        <is>
          <t>no</t>
        </is>
      </c>
      <c r="M122" s="11" t="inlineStr">
        <is>
          <t>name/cite</t>
        </is>
      </c>
      <c r="N122" s="2" t="inlineStr">
        <is>
          <t>We are of the view that the decision in Jugraj Singh’s case 1s erroneous.</t>
        </is>
      </c>
    </row>
    <row r="123">
      <c r="A123" s="11" t="n">
        <v>425</v>
      </c>
      <c r="B123" s="11" t="inlineStr">
        <is>
          <t>untouched</t>
        </is>
      </c>
      <c r="C123" s="11" t="inlineStr">
        <is>
          <t>c2983</t>
        </is>
      </c>
      <c r="D123" s="11" t="inlineStr">
        <is>
          <t>c6706</t>
        </is>
      </c>
      <c r="E123" s="11" t="inlineStr">
        <is>
          <t>1965-03-31</t>
        </is>
      </c>
      <c r="F123" s="11" t="inlineStr">
        <is>
          <t>1972-09-27</t>
        </is>
      </c>
      <c r="G123" s="11" t="n"/>
      <c r="H123" s="11" t="n"/>
      <c r="I123" s="11" t="n"/>
      <c r="J123" s="11" t="n"/>
      <c r="K123" s="11" t="n"/>
      <c r="L123" s="11" t="n"/>
      <c r="M123" s="11" t="n"/>
      <c r="N123" s="2" t="n"/>
    </row>
    <row r="124">
      <c r="A124" s="11" t="n">
        <v>426</v>
      </c>
      <c r="B124" s="11" t="inlineStr">
        <is>
          <t>tune</t>
        </is>
      </c>
      <c r="C124" s="11" t="inlineStr">
        <is>
          <t>c4302</t>
        </is>
      </c>
      <c r="D124" s="11" t="inlineStr">
        <is>
          <t>c4133</t>
        </is>
      </c>
      <c r="E124" s="11" t="inlineStr">
        <is>
          <t>1961-03-13</t>
        </is>
      </c>
      <c r="F124" s="11" t="inlineStr">
        <is>
          <t>1961-08-31</t>
        </is>
      </c>
      <c r="G124" s="11" t="inlineStr">
        <is>
          <t>FOLLOWS</t>
        </is>
      </c>
      <c r="H124" s="11" t="inlineStr">
        <is>
          <t>FOLLOWS</t>
        </is>
      </c>
      <c r="I124" s="11" t="inlineStr">
        <is>
          <t>no</t>
        </is>
      </c>
      <c r="J124" s="11" t="inlineStr">
        <is>
          <t>approval</t>
        </is>
      </c>
      <c r="K124" s="11" t="inlineStr">
        <is>
          <t>court</t>
        </is>
      </c>
      <c r="L124" s="11" t="inlineStr">
        <is>
          <t>yes</t>
        </is>
      </c>
      <c r="M124" s="11" t="inlineStr">
        <is>
          <t>cite/cite</t>
        </is>
      </c>
      <c r="N124" s="2" t="inlineStr">
        <is>
          <t>These observations of the Privy Council were quoted with approval by this Court in many cases and recently in Senairam Doongarmall v. Commissioner of IncometaX (2).</t>
        </is>
      </c>
    </row>
    <row r="125">
      <c r="A125" s="11" t="n">
        <v>428</v>
      </c>
      <c r="B125" s="11" t="inlineStr">
        <is>
          <t>tune</t>
        </is>
      </c>
      <c r="C125" s="11" t="inlineStr">
        <is>
          <t>c553</t>
        </is>
      </c>
      <c r="D125" s="11" t="inlineStr">
        <is>
          <t>c3489</t>
        </is>
      </c>
      <c r="E125" s="11" t="inlineStr">
        <is>
          <t>1958-03-11</t>
        </is>
      </c>
      <c r="F125" s="11" t="inlineStr">
        <is>
          <t>1963-05-10</t>
        </is>
      </c>
      <c r="G125" s="11" t="inlineStr">
        <is>
          <t>NEUTRAL</t>
        </is>
      </c>
      <c r="H125" s="11" t="inlineStr">
        <is>
          <t>NEUTRAL</t>
        </is>
      </c>
      <c r="I125" s="11" t="inlineStr">
        <is>
          <t>no</t>
        </is>
      </c>
      <c r="J125" s="11" t="inlineStr"/>
      <c r="K125" s="11" t="inlineStr">
        <is>
          <t>court</t>
        </is>
      </c>
      <c r="L125" s="11" t="inlineStr">
        <is>
          <t>yes</t>
        </is>
      </c>
      <c r="M125" s="11" t="inlineStr">
        <is>
          <t>cite/cite</t>
        </is>
      </c>
      <c r="N125" s="2" t="inlineStr">
        <is>
          <t>In M. P. V. Sundararamier &amp; Co. v. The State of Andhra Pradesh (1), this court observed that our Constitution was not written on a tabula rasa; and that a Federal Constitution had been established under the Government of India Act, 1935, and though that has undergone considerable change by way of repeal, modification and addition, it still remains the frame work on which the present Constitution i</t>
        </is>
      </c>
    </row>
    <row r="126">
      <c r="A126" s="11" t="n">
        <v>431</v>
      </c>
      <c r="B126" s="11" t="inlineStr">
        <is>
          <t>untouched</t>
        </is>
      </c>
      <c r="C126" s="11" t="inlineStr">
        <is>
          <t>c9819</t>
        </is>
      </c>
      <c r="D126" s="11" t="inlineStr">
        <is>
          <t>c8050</t>
        </is>
      </c>
      <c r="E126" s="11" t="inlineStr">
        <is>
          <t>1983-03-24</t>
        </is>
      </c>
      <c r="F126" s="11" t="inlineStr">
        <is>
          <t>1989-02-07</t>
        </is>
      </c>
      <c r="G126" s="11" t="n"/>
      <c r="H126" s="11" t="n"/>
      <c r="I126" s="11" t="n"/>
      <c r="J126" s="11" t="n"/>
      <c r="K126" s="11" t="n"/>
      <c r="L126" s="11" t="n"/>
      <c r="M126" s="11" t="n"/>
      <c r="N126" s="2" t="n"/>
    </row>
    <row r="127">
      <c r="A127" s="11" t="n">
        <v>433</v>
      </c>
      <c r="B127" s="11" t="inlineStr">
        <is>
          <t>untouched</t>
        </is>
      </c>
      <c r="C127" s="11" t="inlineStr">
        <is>
          <t>c232</t>
        </is>
      </c>
      <c r="D127" s="11" t="inlineStr">
        <is>
          <t>c3556</t>
        </is>
      </c>
      <c r="E127" s="11" t="inlineStr">
        <is>
          <t>1960-02-10</t>
        </is>
      </c>
      <c r="F127" s="11" t="inlineStr">
        <is>
          <t>1963-04-01</t>
        </is>
      </c>
      <c r="G127" s="11" t="n"/>
      <c r="H127" s="11" t="n"/>
      <c r="I127" s="11" t="n"/>
      <c r="J127" s="11" t="n"/>
      <c r="K127" s="11" t="n"/>
      <c r="L127" s="11" t="n"/>
      <c r="M127" s="11" t="n"/>
      <c r="N127" s="2" t="n"/>
    </row>
    <row r="128">
      <c r="A128" s="11" t="n">
        <v>434</v>
      </c>
      <c r="B128" s="11" t="inlineStr">
        <is>
          <t>tune</t>
        </is>
      </c>
      <c r="C128" s="11" t="inlineStr">
        <is>
          <t>c608</t>
        </is>
      </c>
      <c r="D128" s="11" t="inlineStr">
        <is>
          <t>c3450</t>
        </is>
      </c>
      <c r="E128" s="11" t="inlineStr">
        <is>
          <t>1957-09-25</t>
        </is>
      </c>
      <c r="F128" s="11" t="inlineStr">
        <is>
          <t>1963-09-02</t>
        </is>
      </c>
      <c r="G128" s="11" t="inlineStr">
        <is>
          <t>NEUTRAL</t>
        </is>
      </c>
      <c r="H128" s="11" t="inlineStr">
        <is>
          <t>NEUTRAL</t>
        </is>
      </c>
      <c r="I128" s="11" t="inlineStr">
        <is>
          <t>no</t>
        </is>
      </c>
      <c r="J128" s="11" t="inlineStr"/>
      <c r="K128" s="11" t="inlineStr">
        <is>
          <t>counsel</t>
        </is>
      </c>
      <c r="L128" s="11" t="inlineStr">
        <is>
          <t>no</t>
        </is>
      </c>
      <c r="M128" s="11" t="inlineStr">
        <is>
          <t>cite/cite</t>
        </is>
      </c>
      <c r="N128" s="2" t="inlineStr">
        <is>
          <t>The following observations at p. 579 of the case reported as The State of Bombay v. Saubhagchand M. Doshl(1) do not support the contention of the appellant.</t>
        </is>
      </c>
    </row>
    <row r="129">
      <c r="A129" s="11" t="n">
        <v>435</v>
      </c>
      <c r="B129" s="11" t="inlineStr">
        <is>
          <t>untouched</t>
        </is>
      </c>
      <c r="C129" s="11" t="inlineStr">
        <is>
          <t>c2612</t>
        </is>
      </c>
      <c r="D129" s="11" t="inlineStr">
        <is>
          <t>c1857</t>
        </is>
      </c>
      <c r="E129" s="11" t="inlineStr">
        <is>
          <t>1966-09-05</t>
        </is>
      </c>
      <c r="F129" s="11" t="inlineStr">
        <is>
          <t>1969-01-13</t>
        </is>
      </c>
      <c r="G129" s="11" t="n"/>
      <c r="H129" s="11" t="n"/>
      <c r="I129" s="11" t="n"/>
      <c r="J129" s="11" t="n"/>
      <c r="K129" s="11" t="n"/>
      <c r="L129" s="11" t="n"/>
      <c r="M129" s="11" t="n"/>
      <c r="N129" s="2" t="n"/>
    </row>
    <row r="130">
      <c r="A130" s="11" t="n">
        <v>437</v>
      </c>
      <c r="B130" s="11" t="inlineStr">
        <is>
          <t>untouched</t>
        </is>
      </c>
      <c r="C130" s="11" t="inlineStr">
        <is>
          <t>c1076</t>
        </is>
      </c>
      <c r="D130" s="11" t="inlineStr">
        <is>
          <t>c3824</t>
        </is>
      </c>
      <c r="E130" s="11" t="inlineStr">
        <is>
          <t>1952-12-22</t>
        </is>
      </c>
      <c r="F130" s="11" t="inlineStr">
        <is>
          <t>1962-05-04</t>
        </is>
      </c>
      <c r="G130" s="11" t="n"/>
      <c r="H130" s="11" t="n"/>
      <c r="I130" s="11" t="n"/>
      <c r="J130" s="11" t="n"/>
      <c r="K130" s="11" t="n"/>
      <c r="L130" s="11" t="n"/>
      <c r="M130" s="11" t="n"/>
      <c r="N130" s="2" t="n"/>
    </row>
    <row r="131">
      <c r="A131" s="11" t="n">
        <v>439</v>
      </c>
      <c r="B131" s="11" t="inlineStr">
        <is>
          <t>untouched</t>
        </is>
      </c>
      <c r="C131" s="11" t="inlineStr">
        <is>
          <t>c9608</t>
        </is>
      </c>
      <c r="D131" s="11" t="inlineStr">
        <is>
          <t>c8342</t>
        </is>
      </c>
      <c r="E131" s="11" t="inlineStr">
        <is>
          <t>1984-02-16</t>
        </is>
      </c>
      <c r="F131" s="11" t="inlineStr">
        <is>
          <t>1988-04-29</t>
        </is>
      </c>
      <c r="G131" s="11" t="n"/>
      <c r="H131" s="11" t="n"/>
      <c r="I131" s="11" t="n"/>
      <c r="J131" s="11" t="n"/>
      <c r="K131" s="11" t="n"/>
      <c r="L131" s="11" t="n"/>
      <c r="M131" s="11" t="n"/>
      <c r="N131" s="2" t="n"/>
    </row>
    <row r="132">
      <c r="A132" s="11" t="n">
        <v>441</v>
      </c>
      <c r="B132" s="11" t="inlineStr">
        <is>
          <t>untouched</t>
        </is>
      </c>
      <c r="C132" s="11" t="inlineStr">
        <is>
          <t>c3049</t>
        </is>
      </c>
      <c r="D132" s="11" t="inlineStr">
        <is>
          <t>c6845</t>
        </is>
      </c>
      <c r="E132" s="11" t="inlineStr">
        <is>
          <t>1965-02-08</t>
        </is>
      </c>
      <c r="F132" s="11" t="inlineStr">
        <is>
          <t>1972-03-29</t>
        </is>
      </c>
      <c r="G132" s="11" t="n"/>
      <c r="H132" s="11" t="n"/>
      <c r="I132" s="11" t="n"/>
      <c r="J132" s="11" t="n"/>
      <c r="K132" s="11" t="n"/>
      <c r="L132" s="11" t="n"/>
      <c r="M132" s="11" t="n"/>
      <c r="N132" s="2" t="n"/>
    </row>
    <row r="133">
      <c r="A133" s="11" t="n">
        <v>442</v>
      </c>
      <c r="B133" s="11" t="inlineStr">
        <is>
          <t>tune</t>
        </is>
      </c>
      <c r="C133" s="11" t="inlineStr">
        <is>
          <t>c9928</t>
        </is>
      </c>
      <c r="D133" s="11" t="inlineStr">
        <is>
          <t>c7506</t>
        </is>
      </c>
      <c r="E133" s="11" t="inlineStr">
        <is>
          <t>1982-02-16</t>
        </is>
      </c>
      <c r="F133" s="11" t="inlineStr">
        <is>
          <t>1990-05-04</t>
        </is>
      </c>
      <c r="G133" s="11" t="inlineStr">
        <is>
          <t>NEUTRAL</t>
        </is>
      </c>
      <c r="H133" s="11" t="inlineStr">
        <is>
          <t>NEUTRAL</t>
        </is>
      </c>
      <c r="I133" s="11" t="inlineStr">
        <is>
          <t>no</t>
        </is>
      </c>
      <c r="J133" s="11" t="inlineStr"/>
      <c r="K133" s="11" t="inlineStr">
        <is>
          <t>headnote</t>
        </is>
      </c>
      <c r="L133" s="11" t="inlineStr">
        <is>
          <t>yes</t>
        </is>
      </c>
      <c r="M133" s="11" t="inlineStr">
        <is>
          <t>cite/cite</t>
        </is>
      </c>
      <c r="N133" s="2" t="inlineStr">
        <is>
          <t>[143B-C; 145E] L. Robert D’Souza v. Executive Engineer, Southern Rail- way and Anr., [1979] 1 LLJ 211; Rajasthan State Electricity Board v. Labour Court, [1966] 1 LLJ 381 (Raj.); Goodlas Nerolac Paints v. Chief Commissioner, Delhi, [1967] 1 LLJ 545 (Punj.) and The Managing Director, National Garages v. J. Gonsalves, [1962] 1 LLJ 56 (Bom.), overruled.</t>
        </is>
      </c>
    </row>
    <row r="134">
      <c r="A134" s="11" t="n">
        <v>444</v>
      </c>
      <c r="B134" s="11" t="inlineStr">
        <is>
          <t>tune</t>
        </is>
      </c>
      <c r="C134" s="11" t="inlineStr">
        <is>
          <t>c5427</t>
        </is>
      </c>
      <c r="D134" s="11" t="inlineStr">
        <is>
          <t>c9438</t>
        </is>
      </c>
      <c r="E134" s="11" t="inlineStr">
        <is>
          <t>1976-12-13</t>
        </is>
      </c>
      <c r="F134" s="11" t="inlineStr">
        <is>
          <t>1984-10-29</t>
        </is>
      </c>
      <c r="G134" s="11" t="inlineStr">
        <is>
          <t>NEUTRAL</t>
        </is>
      </c>
      <c r="H134" s="11" t="inlineStr">
        <is>
          <t>NEUTRAL</t>
        </is>
      </c>
      <c r="I134" s="11" t="inlineStr">
        <is>
          <t>no</t>
        </is>
      </c>
      <c r="J134" s="11" t="inlineStr"/>
      <c r="K134" s="11" t="inlineStr">
        <is>
          <t>headnote</t>
        </is>
      </c>
      <c r="L134" s="11" t="inlineStr">
        <is>
          <t>yes</t>
        </is>
      </c>
      <c r="M134" s="11" t="inlineStr">
        <is>
          <t>cite/cite</t>
        </is>
      </c>
      <c r="N134" s="2" t="inlineStr">
        <is>
          <t>Sumitra Devi v; Sheo Shankar Prasad Yadav [1973] 2 S.C.R. 920, Chand Singh v. Shiv Ram 1061 AIR 1975 SC 403, Vital Nagaraj v. R. Dayanand Sagar, [1975] 2 S.C.R. 384 and Laxmi Narain v. Chander Singh [1977] 2 S.C.R. 412 referred to.</t>
        </is>
      </c>
    </row>
    <row r="135">
      <c r="A135" s="11" t="n">
        <v>445</v>
      </c>
      <c r="B135" s="11" t="inlineStr">
        <is>
          <t>untouched</t>
        </is>
      </c>
      <c r="C135" s="11" t="inlineStr">
        <is>
          <t>c353</t>
        </is>
      </c>
      <c r="D135" s="11" t="inlineStr">
        <is>
          <t>c3244</t>
        </is>
      </c>
      <c r="E135" s="11" t="inlineStr">
        <is>
          <t>1959-05-12</t>
        </is>
      </c>
      <c r="F135" s="11" t="inlineStr">
        <is>
          <t>1964-04-17</t>
        </is>
      </c>
      <c r="G135" s="11" t="n"/>
      <c r="H135" s="11" t="n"/>
      <c r="I135" s="11" t="n"/>
      <c r="J135" s="11" t="n"/>
      <c r="K135" s="11" t="n"/>
      <c r="L135" s="11" t="n"/>
      <c r="M135" s="11" t="n"/>
      <c r="N135" s="2" t="n"/>
    </row>
    <row r="136">
      <c r="A136" s="11" t="n">
        <v>446</v>
      </c>
      <c r="B136" s="11" t="inlineStr">
        <is>
          <t>tune</t>
        </is>
      </c>
      <c r="C136" s="11" t="inlineStr">
        <is>
          <t>c5665</t>
        </is>
      </c>
      <c r="D136" s="11" t="inlineStr">
        <is>
          <t>c9336</t>
        </is>
      </c>
      <c r="E136" s="11" t="inlineStr">
        <is>
          <t>1976-03-29</t>
        </is>
      </c>
      <c r="F136" s="11" t="inlineStr">
        <is>
          <t>1985-03-19</t>
        </is>
      </c>
      <c r="G136" s="11" t="inlineStr">
        <is>
          <t>NEUTRAL</t>
        </is>
      </c>
      <c r="H136" s="11" t="inlineStr">
        <is>
          <t>NEUTRAL</t>
        </is>
      </c>
      <c r="I136" s="11" t="inlineStr">
        <is>
          <t>no</t>
        </is>
      </c>
      <c r="J136" s="11" t="inlineStr"/>
      <c r="K136" s="11" t="inlineStr">
        <is>
          <t>headnote</t>
        </is>
      </c>
      <c r="L136" s="11" t="inlineStr">
        <is>
          <t>yes</t>
        </is>
      </c>
      <c r="M136" s="11" t="inlineStr">
        <is>
          <t>cite/cite</t>
        </is>
      </c>
      <c r="N136" s="2" t="inlineStr">
        <is>
          <t>The High Court, relying upon a judgment of a two-Judge Bench of the Supreme 385 Court in Trilok Singh &amp; Co. v. District Magistrate, Lucknow, JUDGMENT: the amendment of the Act by Uttar Pradesh Urban Buildings (regulation of Letting, Rent and Eviction) Amendment Act 1976 (for short, the 1976 Amendment Act), dismissed both the petitions as pre-mature holding that where a release of a building is sou</t>
        </is>
      </c>
    </row>
    <row r="137">
      <c r="A137" s="11" t="n">
        <v>447</v>
      </c>
      <c r="B137" s="11" t="inlineStr">
        <is>
          <t>untouched</t>
        </is>
      </c>
      <c r="C137" s="11" t="inlineStr">
        <is>
          <t>c1041</t>
        </is>
      </c>
      <c r="D137" s="11" t="inlineStr">
        <is>
          <t>c859</t>
        </is>
      </c>
      <c r="E137" s="11" t="inlineStr">
        <is>
          <t>1953-03-30</t>
        </is>
      </c>
      <c r="F137" s="11" t="inlineStr">
        <is>
          <t>1955-09-06</t>
        </is>
      </c>
      <c r="G137" s="11" t="n"/>
      <c r="H137" s="11" t="n"/>
      <c r="I137" s="11" t="n"/>
      <c r="J137" s="11" t="n"/>
      <c r="K137" s="11" t="n"/>
      <c r="L137" s="11" t="n"/>
      <c r="M137" s="11" t="n"/>
      <c r="N137" s="2" t="n"/>
    </row>
    <row r="138">
      <c r="A138" s="11" t="n">
        <v>449</v>
      </c>
      <c r="B138" s="11" t="inlineStr">
        <is>
          <t>untouched</t>
        </is>
      </c>
      <c r="C138" s="11" t="inlineStr">
        <is>
          <t>c7690</t>
        </is>
      </c>
      <c r="D138" s="11" t="inlineStr">
        <is>
          <t>c26396</t>
        </is>
      </c>
      <c r="E138" s="11" t="inlineStr">
        <is>
          <t>1990-01-12</t>
        </is>
      </c>
      <c r="F138" s="11" t="inlineStr">
        <is>
          <t>2004-09-09</t>
        </is>
      </c>
      <c r="G138" s="11" t="n"/>
      <c r="H138" s="11" t="n"/>
      <c r="I138" s="11" t="n"/>
      <c r="J138" s="11" t="n"/>
      <c r="K138" s="11" t="n"/>
      <c r="L138" s="11" t="n"/>
      <c r="M138" s="11" t="n"/>
      <c r="N138" s="2" t="n"/>
    </row>
    <row r="139">
      <c r="A139" s="11" t="n">
        <v>450</v>
      </c>
      <c r="B139" s="11" t="inlineStr">
        <is>
          <t>tune</t>
        </is>
      </c>
      <c r="C139" s="11" t="inlineStr">
        <is>
          <t>c4521</t>
        </is>
      </c>
      <c r="D139" s="11" t="inlineStr">
        <is>
          <t>c9855</t>
        </is>
      </c>
      <c r="E139" s="11" t="inlineStr">
        <is>
          <t>1980-05-07</t>
        </is>
      </c>
      <c r="F139" s="11" t="inlineStr">
        <is>
          <t>1982-12-10</t>
        </is>
      </c>
      <c r="G139" s="11" t="inlineStr">
        <is>
          <t>no mention found</t>
        </is>
      </c>
      <c r="H139" s="11" t="inlineStr">
        <is>
          <t>no mention found</t>
        </is>
      </c>
      <c r="I139" s="11" t="inlineStr">
        <is>
          <t>no</t>
        </is>
      </c>
      <c r="J139" s="11" t="inlineStr"/>
      <c r="K139" s="11" t="inlineStr"/>
      <c r="L139" s="11" t="inlineStr">
        <is>
          <t>no</t>
        </is>
      </c>
      <c r="M139" s="11" t="inlineStr">
        <is>
          <t>cite/cite</t>
        </is>
      </c>
      <c r="N139" s="2" t="inlineStr"/>
    </row>
    <row r="140">
      <c r="A140" s="11" t="n">
        <v>451</v>
      </c>
      <c r="B140" s="11" t="inlineStr">
        <is>
          <t>untouched</t>
        </is>
      </c>
      <c r="C140" s="11" t="inlineStr">
        <is>
          <t>c10596</t>
        </is>
      </c>
      <c r="D140" s="11" t="inlineStr">
        <is>
          <t>c18609</t>
        </is>
      </c>
      <c r="E140" s="11" t="inlineStr">
        <is>
          <t>1995-08-25</t>
        </is>
      </c>
      <c r="F140" s="11" t="inlineStr">
        <is>
          <t>2002-09-12</t>
        </is>
      </c>
      <c r="G140" s="11" t="n"/>
      <c r="H140" s="11" t="n"/>
      <c r="I140" s="11" t="n"/>
      <c r="J140" s="11" t="n"/>
      <c r="K140" s="11" t="n"/>
      <c r="L140" s="11" t="n"/>
      <c r="M140" s="11" t="n"/>
      <c r="N140" s="2" t="n"/>
    </row>
    <row r="141">
      <c r="A141" s="11" t="n">
        <v>452</v>
      </c>
      <c r="B141" s="11" t="inlineStr">
        <is>
          <t>tune</t>
        </is>
      </c>
      <c r="C141" s="11" t="inlineStr">
        <is>
          <t>c3717</t>
        </is>
      </c>
      <c r="D141" s="11" t="inlineStr">
        <is>
          <t>c10844</t>
        </is>
      </c>
      <c r="E141" s="11" t="inlineStr">
        <is>
          <t>1962-11-06</t>
        </is>
      </c>
      <c r="F141" s="11" t="inlineStr">
        <is>
          <t>1995-03-10</t>
        </is>
      </c>
      <c r="G141" s="11" t="inlineStr">
        <is>
          <t>no mention found</t>
        </is>
      </c>
      <c r="H141" s="11" t="inlineStr">
        <is>
          <t>no mention found</t>
        </is>
      </c>
      <c r="I141" s="11" t="inlineStr">
        <is>
          <t>no</t>
        </is>
      </c>
      <c r="J141" s="11" t="inlineStr"/>
      <c r="K141" s="11" t="inlineStr"/>
      <c r="L141" s="11" t="inlineStr">
        <is>
          <t>no</t>
        </is>
      </c>
      <c r="M141" s="11" t="inlineStr">
        <is>
          <t>cite/cite</t>
        </is>
      </c>
      <c r="N141" s="2" t="inlineStr"/>
    </row>
    <row r="142">
      <c r="A142" s="11" t="n">
        <v>454</v>
      </c>
      <c r="B142" s="11" t="inlineStr">
        <is>
          <t>tune</t>
        </is>
      </c>
      <c r="C142" s="11" t="inlineStr">
        <is>
          <t>c4217</t>
        </is>
      </c>
      <c r="D142" s="11" t="inlineStr">
        <is>
          <t>c7921</t>
        </is>
      </c>
      <c r="E142" s="11" t="inlineStr">
        <is>
          <t>1961-04-21</t>
        </is>
      </c>
      <c r="F142" s="11" t="inlineStr">
        <is>
          <t>1989-05-02</t>
        </is>
      </c>
      <c r="G142" s="11" t="inlineStr">
        <is>
          <t>NEUTRAL</t>
        </is>
      </c>
      <c r="H142" s="11" t="inlineStr">
        <is>
          <t>NEUTRAL</t>
        </is>
      </c>
      <c r="I142" s="11" t="inlineStr">
        <is>
          <t>no</t>
        </is>
      </c>
      <c r="J142" s="11" t="inlineStr"/>
      <c r="K142" s="11" t="inlineStr">
        <is>
          <t>headnote</t>
        </is>
      </c>
      <c r="L142" s="11" t="inlineStr">
        <is>
          <t>yes</t>
        </is>
      </c>
      <c r="M142" s="11" t="inlineStr">
        <is>
          <t>cite/cite</t>
        </is>
      </c>
      <c r="N142" s="2" t="inlineStr">
        <is>
          <t>[1017B] P.J. Irani v. State of Madras, [1962] 2 SCR 169; Sadhu Singh v. The District Board Gurdaspur, C.A. No. 2594/66 decided on 29.10.1968 and State of Madhya Pradesh v. Kan- haiyalal, [1970] 15 MPLJ 973, referred to.</t>
        </is>
      </c>
    </row>
    <row r="143">
      <c r="A143" s="11" t="n">
        <v>455</v>
      </c>
      <c r="B143" s="11" t="inlineStr">
        <is>
          <t>untouched</t>
        </is>
      </c>
      <c r="C143" s="11" t="inlineStr">
        <is>
          <t>c4506</t>
        </is>
      </c>
      <c r="D143" s="11" t="inlineStr">
        <is>
          <t>c12112</t>
        </is>
      </c>
      <c r="E143" s="11" t="inlineStr">
        <is>
          <t>1980-05-09</t>
        </is>
      </c>
      <c r="F143" s="11" t="inlineStr">
        <is>
          <t>1993-03-30</t>
        </is>
      </c>
      <c r="G143" s="11" t="n"/>
      <c r="H143" s="11" t="n"/>
      <c r="I143" s="11" t="n"/>
      <c r="J143" s="11" t="n"/>
      <c r="K143" s="11" t="n"/>
      <c r="L143" s="11" t="n"/>
      <c r="M143" s="11" t="n"/>
      <c r="N143" s="2" t="n"/>
    </row>
    <row r="144">
      <c r="A144" s="11" t="n">
        <v>459</v>
      </c>
      <c r="B144" s="11" t="inlineStr">
        <is>
          <t>untouched</t>
        </is>
      </c>
      <c r="C144" s="11" t="inlineStr">
        <is>
          <t>c8599</t>
        </is>
      </c>
      <c r="D144" s="11" t="inlineStr">
        <is>
          <t>c13429</t>
        </is>
      </c>
      <c r="E144" s="11" t="inlineStr">
        <is>
          <t>1987-09-17</t>
        </is>
      </c>
      <c r="F144" s="11" t="inlineStr">
        <is>
          <t>1998-02-12</t>
        </is>
      </c>
      <c r="G144" s="11" t="n"/>
      <c r="H144" s="11" t="n"/>
      <c r="I144" s="11" t="n"/>
      <c r="J144" s="11" t="n"/>
      <c r="K144" s="11" t="n"/>
      <c r="L144" s="11" t="n"/>
      <c r="M144" s="11" t="n"/>
      <c r="N144" s="2" t="n"/>
    </row>
    <row r="145">
      <c r="A145" s="11" t="n">
        <v>460</v>
      </c>
      <c r="B145" s="11" t="inlineStr">
        <is>
          <t>tune</t>
        </is>
      </c>
      <c r="C145" s="11" t="inlineStr">
        <is>
          <t>c2211</t>
        </is>
      </c>
      <c r="D145" s="11" t="inlineStr">
        <is>
          <t>c2107</t>
        </is>
      </c>
      <c r="E145" s="11" t="inlineStr">
        <is>
          <t>1967-12-01</t>
        </is>
      </c>
      <c r="F145" s="11" t="inlineStr">
        <is>
          <t>1968-03-27</t>
        </is>
      </c>
      <c r="G145" s="11" t="inlineStr">
        <is>
          <t>FOLLOWS</t>
        </is>
      </c>
      <c r="H145" s="11" t="inlineStr">
        <is>
          <t>FOLLOWS</t>
        </is>
      </c>
      <c r="I145" s="11" t="inlineStr">
        <is>
          <t>no</t>
        </is>
      </c>
      <c r="J145" s="11" t="inlineStr">
        <is>
          <t>followed</t>
        </is>
      </c>
      <c r="K145" s="11" t="inlineStr">
        <is>
          <t>headnote</t>
        </is>
      </c>
      <c r="L145" s="11" t="inlineStr">
        <is>
          <t>yes</t>
        </is>
      </c>
      <c r="M145" s="11" t="inlineStr">
        <is>
          <t>cite/cite</t>
        </is>
      </c>
      <c r="N145" s="2" t="inlineStr">
        <is>
          <t>CI/68-13 588 Dr. RaM Krishan Bhardwaj v. State of Delhi, [1953] S.C.R. 708, Shibban Lal Saksena v. State of U.P. [1954] S.C.R. 418, Dwarka Dass Bhatia v. State of Jammu and Kashmir, [1956] S.C.R. 948 and Rameshwar Lal Patwari v. State of Bihar, [1968] 2 S.C.R. 505, followed.</t>
        </is>
      </c>
    </row>
    <row r="146">
      <c r="A146" s="11" t="n">
        <v>462</v>
      </c>
      <c r="B146" s="11" t="inlineStr">
        <is>
          <t>tune</t>
        </is>
      </c>
      <c r="C146" s="11" t="inlineStr">
        <is>
          <t>c3892</t>
        </is>
      </c>
      <c r="D146" s="11" t="inlineStr">
        <is>
          <t>c3801</t>
        </is>
      </c>
      <c r="E146" s="11" t="inlineStr">
        <is>
          <t>1962-04-09</t>
        </is>
      </c>
      <c r="F146" s="11" t="inlineStr">
        <is>
          <t>1962-07-31</t>
        </is>
      </c>
      <c r="G146" s="11" t="inlineStr">
        <is>
          <t>no mention found</t>
        </is>
      </c>
      <c r="H146" s="11" t="inlineStr">
        <is>
          <t>no mention found</t>
        </is>
      </c>
      <c r="I146" s="11" t="inlineStr">
        <is>
          <t>no</t>
        </is>
      </c>
      <c r="J146" s="11" t="inlineStr"/>
      <c r="K146" s="11" t="inlineStr"/>
      <c r="L146" s="11" t="inlineStr">
        <is>
          <t>no</t>
        </is>
      </c>
      <c r="M146" s="11" t="inlineStr">
        <is>
          <t>cite/cite</t>
        </is>
      </c>
      <c r="N146" s="2" t="inlineStr"/>
    </row>
    <row r="147">
      <c r="A147" s="11" t="n">
        <v>466</v>
      </c>
      <c r="B147" s="11" t="inlineStr">
        <is>
          <t>tune</t>
        </is>
      </c>
      <c r="C147" s="11" t="inlineStr">
        <is>
          <t>c3130</t>
        </is>
      </c>
      <c r="D147" s="11" t="inlineStr">
        <is>
          <t>c2449</t>
        </is>
      </c>
      <c r="E147" s="11" t="inlineStr">
        <is>
          <t>1964-10-30</t>
        </is>
      </c>
      <c r="F147" s="11" t="inlineStr">
        <is>
          <t>1967-02-27</t>
        </is>
      </c>
      <c r="G147" s="11" t="inlineStr">
        <is>
          <t>OVERRULES</t>
        </is>
      </c>
      <c r="H147" s="11" t="inlineStr">
        <is>
          <t>OVERRULES</t>
        </is>
      </c>
      <c r="I147" s="11" t="inlineStr">
        <is>
          <t>yes</t>
        </is>
      </c>
      <c r="J147" s="11" t="inlineStr">
        <is>
          <t>wrongly decided</t>
        </is>
      </c>
      <c r="K147" s="11" t="inlineStr">
        <is>
          <t>headnote</t>
        </is>
      </c>
      <c r="L147" s="11" t="inlineStr">
        <is>
          <t>yes</t>
        </is>
      </c>
      <c r="M147" s="11" t="inlineStr">
        <is>
          <t>cite/cite</t>
        </is>
      </c>
      <c r="N147" s="2" t="inlineStr">
        <is>
          <t>In this connection it was urged that Sankari Prasad’s case in which the validity of the constitution (First) Amendment Act, 1951 had been upheld and Sajjan Singh’s case in which the validity of the Constitution (Seventeenth) Amendment Act, 1964, had been upheld by this Court, had been wrongly decided.</t>
        </is>
      </c>
    </row>
    <row r="148">
      <c r="A148" s="11" t="n">
        <v>468</v>
      </c>
      <c r="B148" s="11" t="inlineStr">
        <is>
          <t>tune</t>
        </is>
      </c>
      <c r="C148" s="11" t="inlineStr">
        <is>
          <t>c2918</t>
        </is>
      </c>
      <c r="D148" s="11" t="inlineStr">
        <is>
          <t>c2418</t>
        </is>
      </c>
      <c r="E148" s="11" t="inlineStr">
        <is>
          <t>1965-08-16</t>
        </is>
      </c>
      <c r="F148" s="11" t="inlineStr">
        <is>
          <t>1967-03-29</t>
        </is>
      </c>
      <c r="G148" s="11" t="inlineStr">
        <is>
          <t>NEUTRAL</t>
        </is>
      </c>
      <c r="H148" s="11" t="inlineStr">
        <is>
          <t>NEUTRAL</t>
        </is>
      </c>
      <c r="I148" s="11" t="inlineStr">
        <is>
          <t>no</t>
        </is>
      </c>
      <c r="J148" s="11" t="inlineStr"/>
      <c r="K148" s="11" t="inlineStr">
        <is>
          <t>headnote</t>
        </is>
      </c>
      <c r="L148" s="11" t="inlineStr">
        <is>
          <t>yes</t>
        </is>
      </c>
      <c r="M148" s="11" t="inlineStr">
        <is>
          <t>cite/cite</t>
        </is>
      </c>
      <c r="N148" s="2" t="inlineStr">
        <is>
          <t>[315H] Shivji Nathubhai v. The Union of India, [1960] 2 S.C.R. 775, M.P. Industries v. Union, [1966] 1 S.C.R. 466, Harinagar Sugar Mills Ltd. v. Shyam Sundar Jhunihunwala, [1962] 2 S.C.R. 339 and Sardar Govindraov.</t>
        </is>
      </c>
    </row>
    <row r="149">
      <c r="A149" s="11" t="n">
        <v>470</v>
      </c>
      <c r="B149" s="11" t="inlineStr">
        <is>
          <t>tune</t>
        </is>
      </c>
      <c r="C149" s="11" t="inlineStr">
        <is>
          <t>c1174</t>
        </is>
      </c>
      <c r="D149" s="11" t="inlineStr">
        <is>
          <t>c2449</t>
        </is>
      </c>
      <c r="E149" s="11" t="inlineStr">
        <is>
          <t>1951-10-05</t>
        </is>
      </c>
      <c r="F149" s="11" t="inlineStr">
        <is>
          <t>1967-02-27</t>
        </is>
      </c>
      <c r="G149" s="11" t="inlineStr">
        <is>
          <t>OVERRULES</t>
        </is>
      </c>
      <c r="H149" s="11" t="inlineStr">
        <is>
          <t>OVERRULES</t>
        </is>
      </c>
      <c r="I149" s="11" t="inlineStr">
        <is>
          <t>yes</t>
        </is>
      </c>
      <c r="J149" s="11" t="inlineStr">
        <is>
          <t>not correctly decided</t>
        </is>
      </c>
      <c r="K149" s="11" t="inlineStr">
        <is>
          <t>court</t>
        </is>
      </c>
      <c r="L149" s="11" t="inlineStr">
        <is>
          <t>yes</t>
        </is>
      </c>
      <c r="M149" s="11" t="inlineStr">
        <is>
          <t>cite/cite</t>
        </is>
      </c>
      <c r="N149" s="2" t="inlineStr">
        <is>
          <t>852 Sankari Prasad’s case (1) was not correctly decided and thus disturb all that has been done during the last fifteen years and create chaos into the lives of millions. of our countrymen who have benefited by these laws relating, to agrarian reforms.</t>
        </is>
      </c>
    </row>
    <row r="150">
      <c r="A150" s="11" t="n">
        <v>473</v>
      </c>
      <c r="B150" s="11" t="inlineStr">
        <is>
          <t>untouched</t>
        </is>
      </c>
      <c r="C150" s="11" t="inlineStr">
        <is>
          <t>c3509</t>
        </is>
      </c>
      <c r="D150" s="11" t="inlineStr">
        <is>
          <t>c3427</t>
        </is>
      </c>
      <c r="E150" s="11" t="inlineStr">
        <is>
          <t>1963-05-02</t>
        </is>
      </c>
      <c r="F150" s="11" t="inlineStr">
        <is>
          <t>1963-10-22</t>
        </is>
      </c>
      <c r="G150" s="11" t="n"/>
      <c r="H150" s="11" t="n"/>
      <c r="I150" s="11" t="n"/>
      <c r="J150" s="11" t="n"/>
      <c r="K150" s="11" t="n"/>
      <c r="L150" s="11" t="n"/>
      <c r="M150" s="11" t="n"/>
      <c r="N150" s="2" t="n"/>
    </row>
    <row r="151">
      <c r="A151" s="11" t="n">
        <v>474</v>
      </c>
      <c r="B151" s="11" t="inlineStr">
        <is>
          <t>tune</t>
        </is>
      </c>
      <c r="C151" s="11" t="inlineStr">
        <is>
          <t>c5576</t>
        </is>
      </c>
      <c r="D151" s="11" t="inlineStr">
        <is>
          <t>c5575</t>
        </is>
      </c>
      <c r="E151" s="11" t="inlineStr">
        <is>
          <t>1976-08-17</t>
        </is>
      </c>
      <c r="F151" s="11" t="inlineStr">
        <is>
          <t>1976-08-17</t>
        </is>
      </c>
      <c r="G151" s="11" t="inlineStr">
        <is>
          <t>no mention found</t>
        </is>
      </c>
      <c r="H151" s="11" t="inlineStr">
        <is>
          <t>no mention found</t>
        </is>
      </c>
      <c r="I151" s="11" t="inlineStr">
        <is>
          <t>no</t>
        </is>
      </c>
      <c r="J151" s="11" t="inlineStr"/>
      <c r="K151" s="11" t="inlineStr"/>
      <c r="L151" s="11" t="inlineStr">
        <is>
          <t>no</t>
        </is>
      </c>
      <c r="M151" s="11" t="inlineStr">
        <is>
          <t>cite/cite</t>
        </is>
      </c>
      <c r="N151" s="2" t="inlineStr"/>
    </row>
    <row r="152">
      <c r="A152" s="11" t="n">
        <v>477</v>
      </c>
      <c r="B152" s="11" t="inlineStr">
        <is>
          <t>untouched</t>
        </is>
      </c>
      <c r="C152" s="11" t="inlineStr">
        <is>
          <t>c4924</t>
        </is>
      </c>
      <c r="D152" s="11" t="inlineStr">
        <is>
          <t>c9510</t>
        </is>
      </c>
      <c r="E152" s="11" t="inlineStr">
        <is>
          <t>1978-12-01</t>
        </is>
      </c>
      <c r="F152" s="11" t="inlineStr">
        <is>
          <t>1984-07-27</t>
        </is>
      </c>
      <c r="G152" s="11" t="n"/>
      <c r="H152" s="11" t="n"/>
      <c r="I152" s="11" t="n"/>
      <c r="J152" s="11" t="n"/>
      <c r="K152" s="11" t="n"/>
      <c r="L152" s="11" t="n"/>
      <c r="M152" s="11" t="n"/>
      <c r="N152" s="2" t="n"/>
    </row>
    <row r="153">
      <c r="A153" s="11" t="n">
        <v>478</v>
      </c>
      <c r="B153" s="11" t="inlineStr">
        <is>
          <t>tune</t>
        </is>
      </c>
      <c r="C153" s="11" t="inlineStr">
        <is>
          <t>c420</t>
        </is>
      </c>
      <c r="D153" s="11" t="inlineStr">
        <is>
          <t>c3534</t>
        </is>
      </c>
      <c r="E153" s="11" t="inlineStr">
        <is>
          <t>1959-02-03</t>
        </is>
      </c>
      <c r="F153" s="11" t="inlineStr">
        <is>
          <t>1963-04-17</t>
        </is>
      </c>
      <c r="G153" s="11" t="inlineStr">
        <is>
          <t>NEUTRAL</t>
        </is>
      </c>
      <c r="H153" s="11" t="inlineStr">
        <is>
          <t>NEUTRAL</t>
        </is>
      </c>
      <c r="I153" s="11" t="inlineStr">
        <is>
          <t>no</t>
        </is>
      </c>
      <c r="J153" s="11" t="inlineStr"/>
      <c r="K153" s="11" t="inlineStr">
        <is>
          <t>court</t>
        </is>
      </c>
      <c r="L153" s="11" t="inlineStr">
        <is>
          <t>yes</t>
        </is>
      </c>
      <c r="M153" s="11" t="inlineStr">
        <is>
          <t>cite/cite</t>
        </is>
      </c>
      <c r="N153" s="2" t="inlineStr">
        <is>
          <t>The scope of the said section and the reason underlying the said provision and others were considered by this Court in The State of Madhya Pradesh v. Mubarak Ali (1).</t>
        </is>
      </c>
    </row>
    <row r="154">
      <c r="A154" s="11" t="n">
        <v>479</v>
      </c>
      <c r="B154" s="11" t="inlineStr">
        <is>
          <t>untouched</t>
        </is>
      </c>
      <c r="C154" s="11" t="inlineStr">
        <is>
          <t>c792</t>
        </is>
      </c>
      <c r="D154" s="11" t="inlineStr">
        <is>
          <t>c3465</t>
        </is>
      </c>
      <c r="E154" s="11" t="inlineStr">
        <is>
          <t>1955-10-31</t>
        </is>
      </c>
      <c r="F154" s="11" t="inlineStr">
        <is>
          <t>1963-08-16</t>
        </is>
      </c>
      <c r="G154" s="11" t="n"/>
      <c r="H154" s="11" t="n"/>
      <c r="I154" s="11" t="n"/>
      <c r="J154" s="11" t="n"/>
      <c r="K154" s="11" t="n"/>
      <c r="L154" s="11" t="n"/>
      <c r="M154" s="11" t="n"/>
      <c r="N154" s="2" t="n"/>
    </row>
    <row r="155">
      <c r="A155" s="11" t="n">
        <v>481</v>
      </c>
      <c r="B155" s="11" t="inlineStr">
        <is>
          <t>untouched</t>
        </is>
      </c>
      <c r="C155" s="11" t="inlineStr">
        <is>
          <t>c5089</t>
        </is>
      </c>
      <c r="D155" s="11" t="inlineStr">
        <is>
          <t>c26446</t>
        </is>
      </c>
      <c r="E155" s="11" t="inlineStr">
        <is>
          <t>1978-04-07</t>
        </is>
      </c>
      <c r="F155" s="11" t="inlineStr">
        <is>
          <t>2004-09-14</t>
        </is>
      </c>
      <c r="G155" s="11" t="n"/>
      <c r="H155" s="11" t="n"/>
      <c r="I155" s="11" t="n"/>
      <c r="J155" s="11" t="n"/>
      <c r="K155" s="11" t="n"/>
      <c r="L155" s="11" t="n"/>
      <c r="M155" s="11" t="n"/>
      <c r="N155" s="2" t="n"/>
    </row>
    <row r="156">
      <c r="A156" s="11" t="n">
        <v>482</v>
      </c>
      <c r="B156" s="11" t="inlineStr">
        <is>
          <t>tune</t>
        </is>
      </c>
      <c r="C156" s="11" t="inlineStr">
        <is>
          <t>c3838</t>
        </is>
      </c>
      <c r="D156" s="11" t="inlineStr">
        <is>
          <t>c7921</t>
        </is>
      </c>
      <c r="E156" s="11" t="inlineStr">
        <is>
          <t>1962-05-02</t>
        </is>
      </c>
      <c r="F156" s="11" t="inlineStr">
        <is>
          <t>1989-05-02</t>
        </is>
      </c>
      <c r="G156" s="11" t="inlineStr">
        <is>
          <t>NEUTRAL</t>
        </is>
      </c>
      <c r="H156" s="11" t="inlineStr">
        <is>
          <t>NEUTRAL</t>
        </is>
      </c>
      <c r="I156" s="11" t="inlineStr">
        <is>
          <t>no</t>
        </is>
      </c>
      <c r="J156" s="11" t="inlineStr"/>
      <c r="K156" s="11" t="inlineStr">
        <is>
          <t>headnote</t>
        </is>
      </c>
      <c r="L156" s="11" t="inlineStr">
        <is>
          <t>yes</t>
        </is>
      </c>
      <c r="M156" s="11" t="inlineStr">
        <is>
          <t>cite/cite</t>
        </is>
      </c>
      <c r="N156" s="2" t="inlineStr">
        <is>
          <t>[1016C] Smt. Somavanti &amp; Ors. v. State of Punjab, [1963] 2 SCR 774; T. Govindaraja Mudaliar v. State of Tamil Nadu, [1973] 1 SCC 336 and Anil Kumar Neotia v. Union of India, [1988] 2 SCC 587, referred to.</t>
        </is>
      </c>
    </row>
    <row r="157">
      <c r="A157" s="11" t="n">
        <v>484</v>
      </c>
      <c r="B157" s="11" t="inlineStr">
        <is>
          <t>tune</t>
        </is>
      </c>
      <c r="C157" s="11" t="inlineStr">
        <is>
          <t>c3365</t>
        </is>
      </c>
      <c r="D157" s="11" t="inlineStr">
        <is>
          <t>c15118</t>
        </is>
      </c>
      <c r="E157" s="11" t="inlineStr">
        <is>
          <t>1964-01-20</t>
        </is>
      </c>
      <c r="F157" s="11" t="inlineStr">
        <is>
          <t>1996-09-11</t>
        </is>
      </c>
      <c r="G157" s="11" t="inlineStr">
        <is>
          <t>no mention found</t>
        </is>
      </c>
      <c r="H157" s="11" t="inlineStr">
        <is>
          <t>no mention found</t>
        </is>
      </c>
      <c r="I157" s="11" t="inlineStr">
        <is>
          <t>no</t>
        </is>
      </c>
      <c r="J157" s="11" t="inlineStr"/>
      <c r="K157" s="11" t="inlineStr"/>
      <c r="L157" s="11" t="inlineStr">
        <is>
          <t>no</t>
        </is>
      </c>
      <c r="M157" s="11" t="inlineStr">
        <is>
          <t>cite/name</t>
        </is>
      </c>
      <c r="N157" s="2" t="inlineStr"/>
    </row>
    <row r="158">
      <c r="A158" s="11" t="n">
        <v>485</v>
      </c>
      <c r="B158" s="11" t="inlineStr">
        <is>
          <t>untouched</t>
        </is>
      </c>
      <c r="C158" s="11" t="inlineStr">
        <is>
          <t>c8346</t>
        </is>
      </c>
      <c r="D158" s="11" t="inlineStr">
        <is>
          <t>c7921</t>
        </is>
      </c>
      <c r="E158" s="11" t="inlineStr">
        <is>
          <t>1988-04-26</t>
        </is>
      </c>
      <c r="F158" s="11" t="inlineStr">
        <is>
          <t>1989-05-02</t>
        </is>
      </c>
      <c r="G158" s="11" t="n"/>
      <c r="H158" s="11" t="n"/>
      <c r="I158" s="11" t="n"/>
      <c r="J158" s="11" t="n"/>
      <c r="K158" s="11" t="n"/>
      <c r="L158" s="11" t="n"/>
      <c r="M158" s="11" t="n"/>
      <c r="N158" s="2" t="n"/>
    </row>
    <row r="159">
      <c r="A159" s="11" t="n">
        <v>487</v>
      </c>
      <c r="B159" s="11" t="inlineStr">
        <is>
          <t>untouched</t>
        </is>
      </c>
      <c r="C159" s="11" t="inlineStr">
        <is>
          <t>c13525</t>
        </is>
      </c>
      <c r="D159" s="11" t="inlineStr">
        <is>
          <t>c17448</t>
        </is>
      </c>
      <c r="E159" s="11" t="inlineStr">
        <is>
          <t>1998-01-09</t>
        </is>
      </c>
      <c r="F159" s="11" t="inlineStr">
        <is>
          <t>2000-02-22</t>
        </is>
      </c>
      <c r="G159" s="11" t="n"/>
      <c r="H159" s="11" t="n"/>
      <c r="I159" s="11" t="n"/>
      <c r="J159" s="11" t="n"/>
      <c r="K159" s="11" t="n"/>
      <c r="L159" s="11" t="n"/>
      <c r="M159" s="11" t="n"/>
      <c r="N159" s="2" t="n"/>
    </row>
    <row r="160">
      <c r="A160" s="11" t="n">
        <v>488</v>
      </c>
      <c r="B160" s="11" t="inlineStr">
        <is>
          <t>tune</t>
        </is>
      </c>
      <c r="C160" s="11" t="inlineStr">
        <is>
          <t>c412</t>
        </is>
      </c>
      <c r="D160" s="11" t="inlineStr">
        <is>
          <t>c2874</t>
        </is>
      </c>
      <c r="E160" s="11" t="inlineStr">
        <is>
          <t>1959-03-09</t>
        </is>
      </c>
      <c r="F160" s="11" t="inlineStr">
        <is>
          <t>1965-10-06</t>
        </is>
      </c>
      <c r="G160" s="11" t="inlineStr">
        <is>
          <t>NEUTRAL</t>
        </is>
      </c>
      <c r="H160" s="11" t="inlineStr">
        <is>
          <t>NEUTRAL</t>
        </is>
      </c>
      <c r="I160" s="11" t="inlineStr">
        <is>
          <t>no</t>
        </is>
      </c>
      <c r="J160" s="11" t="inlineStr"/>
      <c r="K160" s="11" t="inlineStr">
        <is>
          <t>court</t>
        </is>
      </c>
      <c r="L160" s="11" t="inlineStr">
        <is>
          <t>yes</t>
        </is>
      </c>
      <c r="M160" s="11" t="inlineStr">
        <is>
          <t>cite/cite</t>
        </is>
      </c>
      <c r="N160" s="2" t="inlineStr">
        <is>
          <t>As they have been summarized once before in Mahadeo v. State of Bombay(3) we may quote from that case.</t>
        </is>
      </c>
    </row>
    <row r="161">
      <c r="A161" s="11" t="n">
        <v>489</v>
      </c>
      <c r="B161" s="11" t="inlineStr">
        <is>
          <t>untouched</t>
        </is>
      </c>
      <c r="C161" s="11" t="inlineStr">
        <is>
          <t>c708</t>
        </is>
      </c>
      <c r="D161" s="11" t="inlineStr">
        <is>
          <t>c2107</t>
        </is>
      </c>
      <c r="E161" s="11" t="inlineStr">
        <is>
          <t>1956-11-01</t>
        </is>
      </c>
      <c r="F161" s="11" t="inlineStr">
        <is>
          <t>1968-03-27</t>
        </is>
      </c>
      <c r="G161" s="11" t="n"/>
      <c r="H161" s="11" t="n"/>
      <c r="I161" s="11" t="n"/>
      <c r="J161" s="11" t="n"/>
      <c r="K161" s="11" t="n"/>
      <c r="L161" s="11" t="n"/>
      <c r="M161" s="11" t="n"/>
      <c r="N161" s="2" t="n"/>
    </row>
    <row r="162">
      <c r="A162" s="11" t="n">
        <v>490</v>
      </c>
      <c r="B162" s="11" t="inlineStr">
        <is>
          <t>tune</t>
        </is>
      </c>
      <c r="C162" s="11" t="inlineStr">
        <is>
          <t>c805</t>
        </is>
      </c>
      <c r="D162" s="11" t="inlineStr">
        <is>
          <t>c429</t>
        </is>
      </c>
      <c r="E162" s="11" t="inlineStr">
        <is>
          <t>1955-09-29</t>
        </is>
      </c>
      <c r="F162" s="11" t="inlineStr">
        <is>
          <t>1959-01-15</t>
        </is>
      </c>
      <c r="G162" s="11" t="inlineStr">
        <is>
          <t>LIMITS</t>
        </is>
      </c>
      <c r="H162" s="11" t="inlineStr">
        <is>
          <t>LIMITS</t>
        </is>
      </c>
      <c r="I162" s="11" t="inlineStr">
        <is>
          <t>no</t>
        </is>
      </c>
      <c r="J162" s="11" t="inlineStr">
        <is>
          <t>explained</t>
        </is>
      </c>
      <c r="K162" s="11" t="inlineStr">
        <is>
          <t>headnote</t>
        </is>
      </c>
      <c r="L162" s="11" t="inlineStr">
        <is>
          <t>yes</t>
        </is>
      </c>
      <c r="M162" s="11" t="inlineStr">
        <is>
          <t>cite/cite</t>
        </is>
      </c>
      <c r="N162" s="2" t="inlineStr">
        <is>
          <t>Per Das, C.J., and Sinha J.-There was no reason why the doctrine of eclipse as explained in Bhikaji Narain Dhakras v. The State of Madhya Pradesh, [1955] 2 S.C.R. 589, could not also apply to a post-Constitution law that infringed a fundamental right conferred on citizens alone.</t>
        </is>
      </c>
    </row>
    <row r="163">
      <c r="A163" s="11" t="n">
        <v>491</v>
      </c>
      <c r="B163" s="11" t="inlineStr">
        <is>
          <t>untouched</t>
        </is>
      </c>
      <c r="C163" s="11" t="inlineStr">
        <is>
          <t>c1087</t>
        </is>
      </c>
      <c r="D163" s="11" t="inlineStr">
        <is>
          <t>c5482</t>
        </is>
      </c>
      <c r="E163" s="11" t="inlineStr">
        <is>
          <t>1952-12-09</t>
        </is>
      </c>
      <c r="F163" s="11" t="inlineStr">
        <is>
          <t>1976-10-29</t>
        </is>
      </c>
      <c r="G163" s="11" t="n"/>
      <c r="H163" s="11" t="n"/>
      <c r="I163" s="11" t="n"/>
      <c r="J163" s="11" t="n"/>
      <c r="K163" s="11" t="n"/>
      <c r="L163" s="11" t="n"/>
      <c r="M163" s="11" t="n"/>
      <c r="N163" s="2" t="n"/>
    </row>
    <row r="164">
      <c r="A164" s="11" t="n">
        <v>493</v>
      </c>
      <c r="B164" s="11" t="inlineStr">
        <is>
          <t>untouched</t>
        </is>
      </c>
      <c r="C164" s="11" t="inlineStr">
        <is>
          <t>c1227</t>
        </is>
      </c>
      <c r="D164" s="11" t="inlineStr">
        <is>
          <t>c3479</t>
        </is>
      </c>
      <c r="E164" s="11" t="inlineStr">
        <is>
          <t>1950-12-04</t>
        </is>
      </c>
      <c r="F164" s="11" t="inlineStr">
        <is>
          <t>1963-07-26</t>
        </is>
      </c>
      <c r="G164" s="11" t="n"/>
      <c r="H164" s="11" t="n"/>
      <c r="I164" s="11" t="n"/>
      <c r="J164" s="11" t="n"/>
      <c r="K164" s="11" t="n"/>
      <c r="L164" s="11" t="n"/>
      <c r="M164" s="11" t="n"/>
      <c r="N164" s="2" t="n"/>
    </row>
    <row r="165">
      <c r="A165" s="11" t="n">
        <v>494</v>
      </c>
      <c r="B165" s="11" t="inlineStr">
        <is>
          <t>tune</t>
        </is>
      </c>
      <c r="C165" s="11" t="inlineStr">
        <is>
          <t>c1194</t>
        </is>
      </c>
      <c r="D165" s="11" t="inlineStr">
        <is>
          <t>c5862</t>
        </is>
      </c>
      <c r="E165" s="11" t="inlineStr">
        <is>
          <t>1951-04-09</t>
        </is>
      </c>
      <c r="F165" s="11" t="inlineStr">
        <is>
          <t>1975-09-19</t>
        </is>
      </c>
      <c r="G165" s="11" t="inlineStr">
        <is>
          <t>OVERRULES</t>
        </is>
      </c>
      <c r="H165" s="11" t="inlineStr">
        <is>
          <t>OVERRULES</t>
        </is>
      </c>
      <c r="I165" s="11" t="inlineStr">
        <is>
          <t>yes</t>
        </is>
      </c>
      <c r="J165" s="11" t="inlineStr">
        <is>
          <t>been overruled</t>
        </is>
      </c>
      <c r="K165" s="11" t="inlineStr">
        <is>
          <t>counsel</t>
        </is>
      </c>
      <c r="L165" s="11" t="inlineStr">
        <is>
          <t>no</t>
        </is>
      </c>
      <c r="M165" s="11" t="inlineStr">
        <is>
          <t>cite/cite</t>
        </is>
      </c>
      <c r="N165" s="2" t="inlineStr">
        <is>
          <t>It has been argued that there are observations in the case of Champakam (supra) relating to the Directive Principles of State Policy which should be deemed to have been overruled by the decision of this Court in the case of Kesavananda Bharati(2).</t>
        </is>
      </c>
    </row>
    <row r="166">
      <c r="A166" s="11" t="n">
        <v>495</v>
      </c>
      <c r="B166" s="11" t="inlineStr">
        <is>
          <t>untouched</t>
        </is>
      </c>
      <c r="C166" s="11" t="inlineStr">
        <is>
          <t>c1245</t>
        </is>
      </c>
      <c r="D166" s="11" t="inlineStr">
        <is>
          <t>c5403</t>
        </is>
      </c>
      <c r="E166" s="11" t="inlineStr">
        <is>
          <t>1950-05-26</t>
        </is>
      </c>
      <c r="F166" s="11" t="inlineStr">
        <is>
          <t>1977-01-17</t>
        </is>
      </c>
      <c r="G166" s="11" t="n"/>
      <c r="H166" s="11" t="n"/>
      <c r="I166" s="11" t="n"/>
      <c r="J166" s="11" t="n"/>
      <c r="K166" s="11" t="n"/>
      <c r="L166" s="11" t="n"/>
      <c r="M166" s="11" t="n"/>
      <c r="N166" s="2" t="n"/>
    </row>
    <row r="167">
      <c r="A167" s="11" t="n">
        <v>496</v>
      </c>
      <c r="B167" s="11" t="inlineStr">
        <is>
          <t>tune</t>
        </is>
      </c>
      <c r="C167" s="11" t="inlineStr">
        <is>
          <t>c8592</t>
        </is>
      </c>
      <c r="D167" s="11" t="inlineStr">
        <is>
          <t>c20256</t>
        </is>
      </c>
      <c r="E167" s="11" t="inlineStr">
        <is>
          <t>1987-09-22</t>
        </is>
      </c>
      <c r="F167" s="11" t="inlineStr">
        <is>
          <t>2000-02-23</t>
        </is>
      </c>
      <c r="G167" s="11" t="inlineStr">
        <is>
          <t>no mention found</t>
        </is>
      </c>
      <c r="H167" s="11" t="inlineStr">
        <is>
          <t>no mention found</t>
        </is>
      </c>
      <c r="I167" s="11" t="inlineStr">
        <is>
          <t>no</t>
        </is>
      </c>
      <c r="J167" s="11" t="inlineStr"/>
      <c r="K167" s="11" t="inlineStr"/>
      <c r="L167" s="11" t="inlineStr">
        <is>
          <t>no</t>
        </is>
      </c>
      <c r="M167" s="11" t="inlineStr">
        <is>
          <t>cite/cite</t>
        </is>
      </c>
      <c r="N167" s="2" t="inlineStr"/>
    </row>
    <row r="168">
      <c r="A168" s="11" t="n">
        <v>497</v>
      </c>
      <c r="B168" s="11" t="inlineStr">
        <is>
          <t>untouched</t>
        </is>
      </c>
      <c r="C168" s="11" t="inlineStr">
        <is>
          <t>c502</t>
        </is>
      </c>
      <c r="D168" s="11" t="inlineStr">
        <is>
          <t>c2304</t>
        </is>
      </c>
      <c r="E168" s="11" t="inlineStr">
        <is>
          <t>1958-08-22</t>
        </is>
      </c>
      <c r="F168" s="11" t="inlineStr">
        <is>
          <t>1967-08-29</t>
        </is>
      </c>
      <c r="G168" s="11" t="n"/>
      <c r="H168" s="11" t="n"/>
      <c r="I168" s="11" t="n"/>
      <c r="J168" s="11" t="n"/>
      <c r="K168" s="11" t="n"/>
      <c r="L168" s="11" t="n"/>
      <c r="M168" s="11" t="n"/>
      <c r="N168" s="2" t="n"/>
    </row>
    <row r="169">
      <c r="A169" s="11" t="n">
        <v>498</v>
      </c>
      <c r="B169" s="11" t="inlineStr">
        <is>
          <t>tune</t>
        </is>
      </c>
      <c r="C169" s="11" t="inlineStr">
        <is>
          <t>c6319</t>
        </is>
      </c>
      <c r="D169" s="11" t="inlineStr">
        <is>
          <t>c14752</t>
        </is>
      </c>
      <c r="E169" s="11" t="inlineStr">
        <is>
          <t>1974-03-12</t>
        </is>
      </c>
      <c r="F169" s="11" t="inlineStr">
        <is>
          <t>1996-11-20</t>
        </is>
      </c>
      <c r="G169" s="11" t="inlineStr">
        <is>
          <t>NEUTRAL</t>
        </is>
      </c>
      <c r="H169" s="11" t="inlineStr">
        <is>
          <t>NEUTRAL</t>
        </is>
      </c>
      <c r="I169" s="11" t="inlineStr">
        <is>
          <t>no</t>
        </is>
      </c>
      <c r="J169" s="11" t="inlineStr"/>
      <c r="K169" s="11" t="inlineStr">
        <is>
          <t>counsel</t>
        </is>
      </c>
      <c r="L169" s="11" t="inlineStr">
        <is>
          <t>no</t>
        </is>
      </c>
      <c r="M169" s="11" t="inlineStr">
        <is>
          <t>cite/name</t>
        </is>
      </c>
      <c r="N169" s="2" t="inlineStr">
        <is>
          <t>He placed strong reliance on the judgment of a two Judge Bench of this Court in Union of India v. Raman Iron Foundry [(1974) 3 SCR 556].</t>
        </is>
      </c>
    </row>
    <row r="170">
      <c r="A170" s="11" t="n">
        <v>499</v>
      </c>
      <c r="B170" s="11" t="inlineStr">
        <is>
          <t>untouched</t>
        </is>
      </c>
      <c r="C170" s="11" t="inlineStr">
        <is>
          <t>c1182</t>
        </is>
      </c>
      <c r="D170" s="11" t="inlineStr">
        <is>
          <t>c7774</t>
        </is>
      </c>
      <c r="E170" s="11" t="inlineStr">
        <is>
          <t>1951-05-25</t>
        </is>
      </c>
      <c r="F170" s="11" t="inlineStr">
        <is>
          <t>1989-10-25</t>
        </is>
      </c>
      <c r="G170" s="11" t="n"/>
      <c r="H170" s="11" t="n"/>
      <c r="I170" s="11" t="n"/>
      <c r="J170" s="11" t="n"/>
      <c r="K170" s="11" t="n"/>
      <c r="L170" s="11" t="n"/>
      <c r="M170" s="11" t="n"/>
      <c r="N170" s="2" t="n"/>
    </row>
    <row r="171">
      <c r="A171" s="11" t="n">
        <v>500</v>
      </c>
      <c r="B171" s="11" t="inlineStr">
        <is>
          <t>tune</t>
        </is>
      </c>
      <c r="C171" s="11" t="inlineStr">
        <is>
          <t>c1035</t>
        </is>
      </c>
      <c r="D171" s="11" t="inlineStr">
        <is>
          <t>c2107</t>
        </is>
      </c>
      <c r="E171" s="11" t="inlineStr">
        <is>
          <t>1953-04-16</t>
        </is>
      </c>
      <c r="F171" s="11" t="inlineStr">
        <is>
          <t>1968-03-27</t>
        </is>
      </c>
      <c r="G171" s="11" t="inlineStr">
        <is>
          <t>FOLLOWS</t>
        </is>
      </c>
      <c r="H171" s="11" t="inlineStr">
        <is>
          <t>FOLLOWS</t>
        </is>
      </c>
      <c r="I171" s="11" t="inlineStr">
        <is>
          <t>no</t>
        </is>
      </c>
      <c r="J171" s="11" t="inlineStr">
        <is>
          <t>followed</t>
        </is>
      </c>
      <c r="K171" s="11" t="inlineStr">
        <is>
          <t>headnote</t>
        </is>
      </c>
      <c r="L171" s="11" t="inlineStr">
        <is>
          <t>yes</t>
        </is>
      </c>
      <c r="M171" s="11" t="inlineStr">
        <is>
          <t>cite/cite</t>
        </is>
      </c>
      <c r="N171" s="2" t="inlineStr">
        <is>
          <t>CI/68-13 588 Dr. RaM Krishan Bhardwaj v. State of Delhi, [1953] S.C.R. 708, Shibban Lal Saksena v. State of U.P. [1954] S.C.R. 418, Dwarka Dass Bhatia v. State of Jammu and Kashmir, [1956] S.C.R. 948 and Rameshwar Lal Patwari v. State of Bihar, [1968] 2 S.C.R. 505, followed.</t>
        </is>
      </c>
    </row>
    <row r="172">
      <c r="A172" s="11" t="n">
        <v>501</v>
      </c>
      <c r="B172" s="11" t="inlineStr">
        <is>
          <t>untouched</t>
        </is>
      </c>
      <c r="C172" s="11" t="inlineStr">
        <is>
          <t>c4274</t>
        </is>
      </c>
      <c r="D172" s="11" t="inlineStr">
        <is>
          <t>c9578</t>
        </is>
      </c>
      <c r="E172" s="11" t="inlineStr">
        <is>
          <t>1961-03-27</t>
        </is>
      </c>
      <c r="F172" s="11" t="inlineStr">
        <is>
          <t>1984-03-20</t>
        </is>
      </c>
      <c r="G172" s="11" t="n"/>
      <c r="H172" s="11" t="n"/>
      <c r="I172" s="11" t="n"/>
      <c r="J172" s="11" t="n"/>
      <c r="K172" s="11" t="n"/>
      <c r="L172" s="11" t="n"/>
      <c r="M172" s="11" t="n"/>
      <c r="N172" s="2" t="n"/>
    </row>
    <row r="173">
      <c r="A173" s="11" t="n">
        <v>502</v>
      </c>
      <c r="B173" s="11" t="inlineStr">
        <is>
          <t>tune</t>
        </is>
      </c>
      <c r="C173" s="11" t="inlineStr">
        <is>
          <t>c1251</t>
        </is>
      </c>
      <c r="D173" s="11" t="inlineStr">
        <is>
          <t>c6119</t>
        </is>
      </c>
      <c r="E173" s="11" t="inlineStr">
        <is>
          <t>1950-05-19</t>
        </is>
      </c>
      <c r="F173" s="11" t="inlineStr">
        <is>
          <t>1974-11-26</t>
        </is>
      </c>
      <c r="G173" s="11" t="inlineStr">
        <is>
          <t>NEUTRAL</t>
        </is>
      </c>
      <c r="H173" s="11" t="inlineStr">
        <is>
          <t>NEUTRAL</t>
        </is>
      </c>
      <c r="I173" s="11" t="inlineStr">
        <is>
          <t>no</t>
        </is>
      </c>
      <c r="J173" s="11" t="inlineStr"/>
      <c r="K173" s="11" t="inlineStr">
        <is>
          <t>court</t>
        </is>
      </c>
      <c r="L173" s="11" t="inlineStr">
        <is>
          <t>yes</t>
        </is>
      </c>
      <c r="M173" s="11" t="inlineStr">
        <is>
          <t>cite/cite</t>
        </is>
      </c>
      <c r="N173" s="2" t="inlineStr">
        <is>
          <t>Subsequently in Haradhan Saha v. State of West Bengal &amp; Ors.(4) a Bench of five judges, after referring to the decisions in A. K. Gopalan’s case (supra) and R. C. Cooper’s ease (supra and pointing out the context in which R. C. Cooper’s case supra) held that the acquisition of property directly impinged the right of the bank to carry on business, other than banking, guaranteed under article 19 and</t>
        </is>
      </c>
    </row>
    <row r="174">
      <c r="A174" s="11" t="n">
        <v>503</v>
      </c>
      <c r="B174" s="11" t="inlineStr">
        <is>
          <t>untouched</t>
        </is>
      </c>
      <c r="C174" s="11" t="inlineStr">
        <is>
          <t>c1146</t>
        </is>
      </c>
      <c r="D174" s="11" t="inlineStr">
        <is>
          <t>c952</t>
        </is>
      </c>
      <c r="E174" s="11" t="inlineStr">
        <is>
          <t>1952-02-27</t>
        </is>
      </c>
      <c r="F174" s="11" t="inlineStr">
        <is>
          <t>1954-03-16</t>
        </is>
      </c>
      <c r="G174" s="11" t="n"/>
      <c r="H174" s="11" t="n"/>
      <c r="I174" s="11" t="n"/>
      <c r="J174" s="11" t="n"/>
      <c r="K174" s="11" t="n"/>
      <c r="L174" s="11" t="n"/>
      <c r="M174" s="11" t="n"/>
      <c r="N174" s="2" t="n"/>
    </row>
    <row r="175">
      <c r="A175" s="11" t="n">
        <v>504</v>
      </c>
      <c r="B175" s="11" t="inlineStr">
        <is>
          <t>tune</t>
        </is>
      </c>
      <c r="C175" s="11" t="inlineStr">
        <is>
          <t>c9274</t>
        </is>
      </c>
      <c r="D175" s="11" t="inlineStr">
        <is>
          <t>c18743</t>
        </is>
      </c>
      <c r="E175" s="11" t="inlineStr">
        <is>
          <t>1985-05-07</t>
        </is>
      </c>
      <c r="F175" s="11" t="inlineStr">
        <is>
          <t>2002-10-30</t>
        </is>
      </c>
      <c r="G175" s="11" t="inlineStr">
        <is>
          <t>OVERRULES</t>
        </is>
      </c>
      <c r="H175" s="11" t="inlineStr">
        <is>
          <t>OVERRULES</t>
        </is>
      </c>
      <c r="I175" s="11" t="inlineStr">
        <is>
          <t>yes</t>
        </is>
      </c>
      <c r="J175" s="11" t="inlineStr">
        <is>
          <t>is not good law</t>
        </is>
      </c>
      <c r="K175" s="11" t="inlineStr">
        <is>
          <t>court</t>
        </is>
      </c>
      <c r="L175" s="11" t="inlineStr">
        <is>
          <t>yes</t>
        </is>
      </c>
      <c r="M175" s="11" t="inlineStr">
        <is>
          <t>cite/name</t>
        </is>
      </c>
      <c r="N175" s="2" t="inlineStr">
        <is>
          <t>Banshi Ram’s case on which emphasis was laid by the company is not good law in view of the subsequent decisions of this Court in Ambica Quarry Works v. State of Gujarat and Ors. (1987 (1) SCC 213).</t>
        </is>
      </c>
    </row>
    <row r="176">
      <c r="A176" s="11" t="n">
        <v>507</v>
      </c>
      <c r="B176" s="11" t="inlineStr">
        <is>
          <t>untouched</t>
        </is>
      </c>
      <c r="C176" s="11" t="inlineStr">
        <is>
          <t>c924</t>
        </is>
      </c>
      <c r="D176" s="11" t="inlineStr">
        <is>
          <t>c3352</t>
        </is>
      </c>
      <c r="E176" s="11" t="inlineStr">
        <is>
          <t>1954-04-29</t>
        </is>
      </c>
      <c r="F176" s="11" t="inlineStr">
        <is>
          <t>1964-01-30</t>
        </is>
      </c>
      <c r="G176" s="11" t="n"/>
      <c r="H176" s="11" t="n"/>
      <c r="I176" s="11" t="n"/>
      <c r="J176" s="11" t="n"/>
      <c r="K176" s="11" t="n"/>
      <c r="L176" s="11" t="n"/>
      <c r="M176" s="11" t="n"/>
      <c r="N176" s="2" t="n"/>
    </row>
    <row r="177">
      <c r="A177" s="11" t="n">
        <v>508</v>
      </c>
      <c r="B177" s="11" t="inlineStr">
        <is>
          <t>tune</t>
        </is>
      </c>
      <c r="C177" s="11" t="inlineStr">
        <is>
          <t>c10592</t>
        </is>
      </c>
      <c r="D177" s="11" t="inlineStr">
        <is>
          <t>c20389</t>
        </is>
      </c>
      <c r="E177" s="11" t="inlineStr">
        <is>
          <t>1995-08-25</t>
        </is>
      </c>
      <c r="F177" s="11" t="inlineStr">
        <is>
          <t>2001-10-16</t>
        </is>
      </c>
      <c r="G177" s="11" t="inlineStr">
        <is>
          <t>no mention found</t>
        </is>
      </c>
      <c r="H177" s="11" t="inlineStr">
        <is>
          <t>no mention found</t>
        </is>
      </c>
      <c r="I177" s="11" t="inlineStr">
        <is>
          <t>no</t>
        </is>
      </c>
      <c r="J177" s="11" t="inlineStr"/>
      <c r="K177" s="11" t="inlineStr"/>
      <c r="L177" s="11" t="inlineStr">
        <is>
          <t>no</t>
        </is>
      </c>
      <c r="M177" s="11" t="inlineStr">
        <is>
          <t>cite/name</t>
        </is>
      </c>
      <c r="N177" s="2" t="inlineStr"/>
    </row>
    <row r="178">
      <c r="A178" s="11" t="n">
        <v>509</v>
      </c>
      <c r="B178" s="11" t="inlineStr">
        <is>
          <t>untouched</t>
        </is>
      </c>
      <c r="C178" s="11" t="inlineStr">
        <is>
          <t>c2449</t>
        </is>
      </c>
      <c r="D178" s="11" t="inlineStr">
        <is>
          <t>c29981</t>
        </is>
      </c>
      <c r="E178" s="11" t="inlineStr">
        <is>
          <t>1967-02-27</t>
        </is>
      </c>
      <c r="F178" s="11" t="inlineStr">
        <is>
          <t>1973-04-24</t>
        </is>
      </c>
      <c r="G178" s="11" t="n"/>
      <c r="H178" s="11" t="n"/>
      <c r="I178" s="11" t="n"/>
      <c r="J178" s="11" t="n"/>
      <c r="K178" s="11" t="n"/>
      <c r="L178" s="11" t="n"/>
      <c r="M178" s="11" t="n"/>
      <c r="N178" s="2" t="n"/>
    </row>
    <row r="179">
      <c r="A179" s="11" t="n">
        <v>510</v>
      </c>
      <c r="B179" s="11" t="inlineStr">
        <is>
          <t>tune</t>
        </is>
      </c>
      <c r="C179" s="11" t="inlineStr">
        <is>
          <t>c8230</t>
        </is>
      </c>
      <c r="D179" s="11" t="inlineStr">
        <is>
          <t>c7921</t>
        </is>
      </c>
      <c r="E179" s="11" t="inlineStr">
        <is>
          <t>1988-08-22</t>
        </is>
      </c>
      <c r="F179" s="11" t="inlineStr">
        <is>
          <t>1989-05-02</t>
        </is>
      </c>
      <c r="G179" s="11" t="inlineStr">
        <is>
          <t>no mention found</t>
        </is>
      </c>
      <c r="H179" s="11" t="inlineStr">
        <is>
          <t>no mention found</t>
        </is>
      </c>
      <c r="I179" s="11" t="inlineStr">
        <is>
          <t>no</t>
        </is>
      </c>
      <c r="J179" s="11" t="inlineStr"/>
      <c r="K179" s="11" t="inlineStr"/>
      <c r="L179" s="11" t="inlineStr">
        <is>
          <t>no</t>
        </is>
      </c>
      <c r="M179" s="11" t="inlineStr">
        <is>
          <t>cite/cite</t>
        </is>
      </c>
      <c r="N179" s="2" t="inlineStr"/>
    </row>
    <row r="180">
      <c r="A180" s="11" t="n">
        <v>512</v>
      </c>
      <c r="B180" s="11" t="inlineStr">
        <is>
          <t>tune</t>
        </is>
      </c>
      <c r="C180" s="11" t="inlineStr">
        <is>
          <t>c9199</t>
        </is>
      </c>
      <c r="D180" s="11" t="inlineStr">
        <is>
          <t>c13429</t>
        </is>
      </c>
      <c r="E180" s="11" t="inlineStr">
        <is>
          <t>1985-09-18</t>
        </is>
      </c>
      <c r="F180" s="11" t="inlineStr">
        <is>
          <t>1998-02-12</t>
        </is>
      </c>
      <c r="G180" s="11" t="inlineStr">
        <is>
          <t>no mention found</t>
        </is>
      </c>
      <c r="H180" s="11" t="inlineStr">
        <is>
          <t>NEUTRAL</t>
        </is>
      </c>
      <c r="I180" s="11" t="inlineStr">
        <is>
          <t>no</t>
        </is>
      </c>
      <c r="J180" s="11" t="inlineStr"/>
      <c r="K180" s="11" t="inlineStr">
        <is>
          <t>court</t>
        </is>
      </c>
      <c r="L180" s="11" t="inlineStr">
        <is>
          <t>yes</t>
        </is>
      </c>
      <c r="M180" s="11" t="inlineStr">
        <is>
          <t>cite/cite</t>
        </is>
      </c>
      <c r="N180" s="2" t="inlineStr">
        <is>
          <t>In Mohinder Kumar and others Versus State of Haryana and another (1985).</t>
        </is>
      </c>
    </row>
    <row r="181">
      <c r="A181" s="11" t="n">
        <v>514</v>
      </c>
      <c r="B181" s="11" t="inlineStr">
        <is>
          <t>tune</t>
        </is>
      </c>
      <c r="C181" s="11" t="inlineStr">
        <is>
          <t>c3731</t>
        </is>
      </c>
      <c r="D181" s="11" t="inlineStr">
        <is>
          <t>c9510</t>
        </is>
      </c>
      <c r="E181" s="11" t="inlineStr">
        <is>
          <t>1962-10-19</t>
        </is>
      </c>
      <c r="F181" s="11" t="inlineStr">
        <is>
          <t>1984-07-27</t>
        </is>
      </c>
      <c r="G181" s="11" t="inlineStr">
        <is>
          <t>NEUTRAL</t>
        </is>
      </c>
      <c r="H181" s="11" t="inlineStr">
        <is>
          <t>NEUTRAL</t>
        </is>
      </c>
      <c r="I181" s="11" t="inlineStr">
        <is>
          <t>no</t>
        </is>
      </c>
      <c r="J181" s="11" t="inlineStr"/>
      <c r="K181" s="11" t="inlineStr">
        <is>
          <t>headnote</t>
        </is>
      </c>
      <c r="L181" s="11" t="inlineStr">
        <is>
          <t>yes</t>
        </is>
      </c>
      <c r="M181" s="11" t="inlineStr">
        <is>
          <t>cite/cite</t>
        </is>
      </c>
      <c r="N181" s="2" t="inlineStr">
        <is>
          <t>454, Dwarkanath, Hindu Undivided Family v. Income Tax Officer, Special Circle, Kanpur and another, [1965] 3 SCR 536, 540-41 and Udit Narain Singh Malpaharia v. Additional Member, Board of Revenue, Bihar, [1963] Suppl.</t>
        </is>
      </c>
    </row>
    <row r="182">
      <c r="A182" s="11" t="n">
        <v>516</v>
      </c>
      <c r="B182" s="11" t="inlineStr">
        <is>
          <t>tune</t>
        </is>
      </c>
      <c r="C182" s="11" t="inlineStr">
        <is>
          <t>c6900</t>
        </is>
      </c>
      <c r="D182" s="11" t="inlineStr">
        <is>
          <t>c26752</t>
        </is>
      </c>
      <c r="E182" s="11" t="inlineStr">
        <is>
          <t>1972-02-02</t>
        </is>
      </c>
      <c r="F182" s="11" t="inlineStr">
        <is>
          <t>2005-01-28</t>
        </is>
      </c>
      <c r="G182" s="11" t="inlineStr">
        <is>
          <t>FOLLOWS</t>
        </is>
      </c>
      <c r="H182" s="11" t="inlineStr">
        <is>
          <t>FOLLOWS</t>
        </is>
      </c>
      <c r="I182" s="11" t="inlineStr">
        <is>
          <t>no</t>
        </is>
      </c>
      <c r="J182" s="11" t="inlineStr">
        <is>
          <t>approved</t>
        </is>
      </c>
      <c r="K182" s="11" t="inlineStr">
        <is>
          <t>counsel</t>
        </is>
      </c>
      <c r="L182" s="11" t="inlineStr">
        <is>
          <t>no</t>
        </is>
      </c>
      <c r="M182" s="11" t="inlineStr">
        <is>
          <t>cite/name</t>
        </is>
      </c>
      <c r="N182" s="2" t="inlineStr">
        <is>
          <t xml:space="preserve">Learned counsel placed reliance on the decision of this Court in N.E. Horo vs. Smt. Jahan Ara Jaipal Singh , AIR 1972 SC 1840, to contend that once a marriage of a male pertaining to a Scheduled Tribe with a female pertaining to a non Scheduled Tribe was approved or sanctioned by the concerned Panchayat they became members of the community and even if a female is not a member of a tribe by virtue </t>
        </is>
      </c>
    </row>
    <row r="183">
      <c r="A183" s="11" t="n">
        <v>519</v>
      </c>
      <c r="B183" s="11" t="inlineStr">
        <is>
          <t>untouched</t>
        </is>
      </c>
      <c r="C183" s="11" t="inlineStr">
        <is>
          <t>c2922</t>
        </is>
      </c>
      <c r="D183" s="11" t="inlineStr">
        <is>
          <t>c14575</t>
        </is>
      </c>
      <c r="E183" s="11" t="inlineStr">
        <is>
          <t>1965-08-11</t>
        </is>
      </c>
      <c r="F183" s="11" t="inlineStr">
        <is>
          <t>1996-12-19</t>
        </is>
      </c>
      <c r="G183" s="11" t="n"/>
      <c r="H183" s="11" t="n"/>
      <c r="I183" s="11" t="n"/>
      <c r="J183" s="11" t="n"/>
      <c r="K183" s="11" t="n"/>
      <c r="L183" s="11" t="n"/>
      <c r="M183" s="11" t="n"/>
      <c r="N183" s="2" t="n"/>
    </row>
    <row r="184">
      <c r="A184" s="11" t="n">
        <v>520</v>
      </c>
      <c r="B184" s="11" t="inlineStr">
        <is>
          <t>tune</t>
        </is>
      </c>
      <c r="C184" s="11" t="inlineStr">
        <is>
          <t>c3975</t>
        </is>
      </c>
      <c r="D184" s="11" t="inlineStr">
        <is>
          <t>c3500</t>
        </is>
      </c>
      <c r="E184" s="11" t="inlineStr">
        <is>
          <t>1962-02-08</t>
        </is>
      </c>
      <c r="F184" s="11" t="inlineStr">
        <is>
          <t>1963-05-07</t>
        </is>
      </c>
      <c r="G184" s="11" t="inlineStr">
        <is>
          <t>NEUTRAL</t>
        </is>
      </c>
      <c r="H184" s="11" t="inlineStr">
        <is>
          <t>NEUTRAL</t>
        </is>
      </c>
      <c r="I184" s="11" t="inlineStr">
        <is>
          <t>no</t>
        </is>
      </c>
      <c r="J184" s="11" t="inlineStr"/>
      <c r="K184" s="11" t="inlineStr">
        <is>
          <t>court</t>
        </is>
      </c>
      <c r="L184" s="11" t="inlineStr">
        <is>
          <t>no</t>
        </is>
      </c>
      <c r="M184" s="11" t="inlineStr">
        <is>
          <t>cite/cite</t>
        </is>
      </c>
      <c r="N184" s="2" t="inlineStr">
        <is>
          <t>"Barring the regal functions of a municipality, if such other activities of it, if undertaken by an individual, would be industry, then they would equally be industry in the hands of a municipality, (1) [1960] a S.C.R. 942, 962, 632 Lastly, in Satya Narain v. District Engineer, P.W.D. (1), the question for determination was whether plying motor buses by the Government by way of commercial activity</t>
        </is>
      </c>
    </row>
    <row r="185">
      <c r="A185" s="11" t="n">
        <v>522</v>
      </c>
      <c r="B185" s="11" t="inlineStr">
        <is>
          <t>tune</t>
        </is>
      </c>
      <c r="C185" s="11" t="inlineStr">
        <is>
          <t>c6045</t>
        </is>
      </c>
      <c r="D185" s="11" t="inlineStr">
        <is>
          <t>c26609</t>
        </is>
      </c>
      <c r="E185" s="11" t="inlineStr">
        <is>
          <t>1975-02-21</t>
        </is>
      </c>
      <c r="F185" s="11" t="inlineStr">
        <is>
          <t>2004-11-23</t>
        </is>
      </c>
      <c r="G185" s="11" t="inlineStr">
        <is>
          <t>OVERRULES</t>
        </is>
      </c>
      <c r="H185" s="11" t="inlineStr">
        <is>
          <t>OVERRULES</t>
        </is>
      </c>
      <c r="I185" s="11" t="inlineStr">
        <is>
          <t>yes</t>
        </is>
      </c>
      <c r="J185" s="11" t="inlineStr">
        <is>
          <t>overruled</t>
        </is>
      </c>
      <c r="K185" s="11" t="inlineStr">
        <is>
          <t>court</t>
        </is>
      </c>
      <c r="L185" s="11" t="inlineStr">
        <is>
          <t>yes</t>
        </is>
      </c>
      <c r="M185" s="11" t="inlineStr">
        <is>
          <t>cite/name</t>
        </is>
      </c>
      <c r="N185" s="2" t="inlineStr">
        <is>
          <t>The seven judges Constitution Bench in the case of Pradeep Kumar Biswas (supra) overruled the decision of five judges Constitution Bench in the case of Sabhajit Tewary vs. Union of India [1975 (1) SCC 485.</t>
        </is>
      </c>
    </row>
    <row r="186">
      <c r="A186" s="11" t="n">
        <v>523</v>
      </c>
      <c r="B186" s="11" t="inlineStr">
        <is>
          <t>untouched</t>
        </is>
      </c>
      <c r="C186" s="11" t="inlineStr">
        <is>
          <t>c794</t>
        </is>
      </c>
      <c r="D186" s="11" t="inlineStr">
        <is>
          <t>c7547</t>
        </is>
      </c>
      <c r="E186" s="11" t="inlineStr">
        <is>
          <t>1955-10-28</t>
        </is>
      </c>
      <c r="F186" s="11" t="inlineStr">
        <is>
          <t>1990-04-20</t>
        </is>
      </c>
      <c r="G186" s="11" t="n"/>
      <c r="H186" s="11" t="n"/>
      <c r="I186" s="11" t="n"/>
      <c r="J186" s="11" t="n"/>
      <c r="K186" s="11" t="n"/>
      <c r="L186" s="11" t="n"/>
      <c r="M186" s="11" t="n"/>
      <c r="N186" s="2" t="n"/>
    </row>
    <row r="187">
      <c r="A187" s="11" t="n">
        <v>524</v>
      </c>
      <c r="B187" s="11" t="inlineStr">
        <is>
          <t>tune</t>
        </is>
      </c>
      <c r="C187" s="11" t="inlineStr">
        <is>
          <t>c6371</t>
        </is>
      </c>
      <c r="D187" s="11" t="inlineStr">
        <is>
          <t>c26664</t>
        </is>
      </c>
      <c r="E187" s="11" t="inlineStr">
        <is>
          <t>1973-12-21</t>
        </is>
      </c>
      <c r="F187" s="11" t="inlineStr">
        <is>
          <t>2004-12-15</t>
        </is>
      </c>
      <c r="G187" s="11" t="inlineStr">
        <is>
          <t>NEUTRAL</t>
        </is>
      </c>
      <c r="H187" s="11" t="inlineStr">
        <is>
          <t>NEUTRAL</t>
        </is>
      </c>
      <c r="I187" s="11" t="inlineStr">
        <is>
          <t>no</t>
        </is>
      </c>
      <c r="J187" s="11" t="inlineStr"/>
      <c r="K187" s="11" t="inlineStr">
        <is>
          <t>court</t>
        </is>
      </c>
      <c r="L187" s="11" t="inlineStr">
        <is>
          <t>yes</t>
        </is>
      </c>
      <c r="M187" s="11" t="inlineStr">
        <is>
          <t>cite/name</t>
        </is>
      </c>
      <c r="N187" s="2" t="inlineStr">
        <is>
          <t>Relying on the decision in the case of Satya Narain Vs. Dhuja Ram &amp; Ors. [1974 (3) SCC 20], a 3-Judge Bench of this Court held that when the period of limitation for filing an election petition was over, it was not open for the appellant to file documents or other materials for compliance of Sections 81 (3) and 83(1)(c) of the Act.</t>
        </is>
      </c>
    </row>
    <row r="188">
      <c r="A188" s="11" t="n">
        <v>525</v>
      </c>
      <c r="B188" s="11" t="inlineStr">
        <is>
          <t>untouched</t>
        </is>
      </c>
      <c r="C188" s="11" t="inlineStr">
        <is>
          <t>c9530</t>
        </is>
      </c>
      <c r="D188" s="11" t="inlineStr">
        <is>
          <t>c9531</t>
        </is>
      </c>
      <c r="E188" s="11" t="inlineStr">
        <is>
          <t>1984-05-17</t>
        </is>
      </c>
      <c r="F188" s="11" t="inlineStr">
        <is>
          <t>1984-05-17</t>
        </is>
      </c>
      <c r="G188" s="11" t="n"/>
      <c r="H188" s="11" t="n"/>
      <c r="I188" s="11" t="n"/>
      <c r="J188" s="11" t="n"/>
      <c r="K188" s="11" t="n"/>
      <c r="L188" s="11" t="n"/>
      <c r="M188" s="11" t="n"/>
      <c r="N188" s="2" t="n"/>
    </row>
    <row r="189">
      <c r="A189" s="11" t="n">
        <v>527</v>
      </c>
      <c r="B189" s="11" t="inlineStr">
        <is>
          <t>untouched</t>
        </is>
      </c>
      <c r="C189" s="11" t="inlineStr">
        <is>
          <t>c13446</t>
        </is>
      </c>
      <c r="D189" s="11" t="inlineStr">
        <is>
          <t>c12904</t>
        </is>
      </c>
      <c r="E189" s="11" t="inlineStr">
        <is>
          <t>1998-02-06</t>
        </is>
      </c>
      <c r="F189" s="11" t="inlineStr">
        <is>
          <t>1998-11-20</t>
        </is>
      </c>
      <c r="G189" s="11" t="n"/>
      <c r="H189" s="11" t="n"/>
      <c r="I189" s="11" t="n"/>
      <c r="J189" s="11" t="n"/>
      <c r="K189" s="11" t="n"/>
      <c r="L189" s="11" t="n"/>
      <c r="M189" s="11" t="n"/>
      <c r="N189" s="2" t="n"/>
    </row>
    <row r="190">
      <c r="A190" s="11" t="n">
        <v>528</v>
      </c>
      <c r="B190" s="11" t="inlineStr">
        <is>
          <t>tune</t>
        </is>
      </c>
      <c r="C190" s="11" t="inlineStr">
        <is>
          <t>b1959_1_583_610</t>
        </is>
      </c>
      <c r="D190" s="11" t="inlineStr">
        <is>
          <t>c3564</t>
        </is>
      </c>
      <c r="E190" s="11" t="inlineStr">
        <is>
          <t>1958-04-22</t>
        </is>
      </c>
      <c r="F190" s="11" t="inlineStr">
        <is>
          <t>1963-03-26</t>
        </is>
      </c>
      <c r="G190" s="11" t="inlineStr">
        <is>
          <t>NEUTRAL</t>
        </is>
      </c>
      <c r="H190" s="11" t="inlineStr">
        <is>
          <t>NEUTRAL</t>
        </is>
      </c>
      <c r="I190" s="11" t="inlineStr">
        <is>
          <t>no</t>
        </is>
      </c>
      <c r="J190" s="11" t="inlineStr"/>
      <c r="K190" s="11" t="inlineStr">
        <is>
          <t>court</t>
        </is>
      </c>
      <c r="L190" s="11" t="inlineStr">
        <is>
          <t>no</t>
        </is>
      </c>
      <c r="M190" s="11" t="inlineStr">
        <is>
          <t>cite/cite</t>
        </is>
      </c>
      <c r="N190" s="2" t="inlineStr">
        <is>
          <t>That is why pro- vision is made for substituting any elector who might have filed the petition in order to preserve the purity of elections see Kamaraja Nadar v. Kunju Thevar (1) .</t>
        </is>
      </c>
    </row>
    <row r="191">
      <c r="A191" s="11" t="n">
        <v>529</v>
      </c>
      <c r="B191" s="11" t="inlineStr">
        <is>
          <t>untouched</t>
        </is>
      </c>
      <c r="C191" s="11" t="inlineStr">
        <is>
          <t>c5122</t>
        </is>
      </c>
      <c r="D191" s="11" t="inlineStr">
        <is>
          <t>c30313</t>
        </is>
      </c>
      <c r="E191" s="11" t="inlineStr">
        <is>
          <t>1978-02-21</t>
        </is>
      </c>
      <c r="F191" s="11" t="inlineStr">
        <is>
          <t>2002-01-17</t>
        </is>
      </c>
      <c r="G191" s="11" t="n"/>
      <c r="H191" s="11" t="n"/>
      <c r="I191" s="11" t="n"/>
      <c r="J191" s="11" t="n"/>
      <c r="K191" s="11" t="n"/>
      <c r="L191" s="11" t="n"/>
      <c r="M191" s="11" t="n"/>
      <c r="N191" s="2" t="n"/>
    </row>
    <row r="192">
      <c r="A192" s="11" t="n">
        <v>531</v>
      </c>
      <c r="B192" s="11" t="inlineStr">
        <is>
          <t>untouched</t>
        </is>
      </c>
      <c r="C192" s="11" t="inlineStr">
        <is>
          <t>c1363</t>
        </is>
      </c>
      <c r="D192" s="11" t="inlineStr">
        <is>
          <t>c27563</t>
        </is>
      </c>
      <c r="E192" s="11" t="inlineStr">
        <is>
          <t>1970-08-14</t>
        </is>
      </c>
      <c r="F192" s="11" t="inlineStr">
        <is>
          <t>2006-03-08</t>
        </is>
      </c>
      <c r="G192" s="11" t="n"/>
      <c r="H192" s="11" t="n"/>
      <c r="I192" s="11" t="n"/>
      <c r="J192" s="11" t="n"/>
      <c r="K192" s="11" t="n"/>
      <c r="L192" s="11" t="n"/>
      <c r="M192" s="11" t="n"/>
      <c r="N192" s="2" t="n"/>
    </row>
    <row r="193">
      <c r="A193" s="11" t="n">
        <v>532</v>
      </c>
      <c r="B193" s="11" t="inlineStr">
        <is>
          <t>tune</t>
        </is>
      </c>
      <c r="C193" s="11" t="inlineStr">
        <is>
          <t>c91</t>
        </is>
      </c>
      <c r="D193" s="11" t="inlineStr">
        <is>
          <t>c3476</t>
        </is>
      </c>
      <c r="E193" s="11" t="inlineStr">
        <is>
          <t>1960-10-28</t>
        </is>
      </c>
      <c r="F193" s="11" t="inlineStr">
        <is>
          <t>1963-08-02</t>
        </is>
      </c>
      <c r="G193" s="11" t="inlineStr">
        <is>
          <t>NEUTRAL</t>
        </is>
      </c>
      <c r="H193" s="11" t="inlineStr">
        <is>
          <t>NEUTRAL</t>
        </is>
      </c>
      <c r="I193" s="11" t="inlineStr">
        <is>
          <t>no</t>
        </is>
      </c>
      <c r="J193" s="11" t="inlineStr"/>
      <c r="K193" s="11" t="inlineStr">
        <is>
          <t>headnote</t>
        </is>
      </c>
      <c r="L193" s="11" t="inlineStr">
        <is>
          <t>yes</t>
        </is>
      </c>
      <c r="M193" s="11" t="inlineStr">
        <is>
          <t>cite/cite</t>
        </is>
      </c>
      <c r="N193" s="2" t="inlineStr">
        <is>
          <t>PETITIONER: R. P. KAPUR Vs. RESPONDENT: PRATAP SINGH KAIRON &amp; OTHERS DATE OF JUDGMENT: 02/08/1963 BENCH: HIDAYATULLAH, M. BENCH: HIDAYATULLAH, M. DAS, S.K. GAJENDRAGADKAR, P.B. SARKAR, A.K. WANCHOO, K.N. GUPTA, K.C. DAS AYYANGAR, N. RAJAGOPALA CITATION: 1964 AIR 295 1964 SCR (4) 224 ACT: Civil Servant-Enquiry under Public Servants (Inquiries) Act, 1850-Order of enquiry whether competent when First</t>
        </is>
      </c>
    </row>
    <row r="194">
      <c r="A194" s="11" t="n">
        <v>533</v>
      </c>
      <c r="B194" s="11" t="inlineStr">
        <is>
          <t>untouched</t>
        </is>
      </c>
      <c r="C194" s="11" t="inlineStr">
        <is>
          <t>c1150</t>
        </is>
      </c>
      <c r="D194" s="11" t="inlineStr">
        <is>
          <t>c489</t>
        </is>
      </c>
      <c r="E194" s="11" t="inlineStr">
        <is>
          <t>1952-02-14</t>
        </is>
      </c>
      <c r="F194" s="11" t="inlineStr">
        <is>
          <t>1958-09-24</t>
        </is>
      </c>
      <c r="G194" s="11" t="n"/>
      <c r="H194" s="11" t="n"/>
      <c r="I194" s="11" t="n"/>
      <c r="J194" s="11" t="n"/>
      <c r="K194" s="11" t="n"/>
      <c r="L194" s="11" t="n"/>
      <c r="M194" s="11" t="n"/>
      <c r="N194" s="2" t="n"/>
    </row>
    <row r="195">
      <c r="A195" s="11" t="n">
        <v>535</v>
      </c>
      <c r="B195" s="11" t="inlineStr">
        <is>
          <t>untouched</t>
        </is>
      </c>
      <c r="C195" s="11" t="inlineStr">
        <is>
          <t>c9883</t>
        </is>
      </c>
      <c r="D195" s="11" t="inlineStr">
        <is>
          <t>c9310</t>
        </is>
      </c>
      <c r="E195" s="11" t="inlineStr">
        <is>
          <t>1982-08-26</t>
        </is>
      </c>
      <c r="F195" s="11" t="inlineStr">
        <is>
          <t>1985-04-16</t>
        </is>
      </c>
      <c r="G195" s="11" t="n"/>
      <c r="H195" s="11" t="n"/>
      <c r="I195" s="11" t="n"/>
      <c r="J195" s="11" t="n"/>
      <c r="K195" s="11" t="n"/>
      <c r="L195" s="11" t="n"/>
      <c r="M195" s="11" t="n"/>
      <c r="N195" s="2" t="n"/>
    </row>
    <row r="196">
      <c r="A196" s="11" t="n">
        <v>536</v>
      </c>
      <c r="B196" s="11" t="inlineStr">
        <is>
          <t>tune</t>
        </is>
      </c>
      <c r="C196" s="11" t="inlineStr">
        <is>
          <t>c12302</t>
        </is>
      </c>
      <c r="D196" s="11" t="inlineStr">
        <is>
          <t>c13091</t>
        </is>
      </c>
      <c r="E196" s="11" t="inlineStr">
        <is>
          <t>1992-10-23</t>
        </is>
      </c>
      <c r="F196" s="11" t="inlineStr">
        <is>
          <t>1998-08-11</t>
        </is>
      </c>
      <c r="G196" s="11" t="inlineStr">
        <is>
          <t>NEUTRAL</t>
        </is>
      </c>
      <c r="H196" s="11" t="inlineStr">
        <is>
          <t>NEUTRAL</t>
        </is>
      </c>
      <c r="I196" s="11" t="inlineStr">
        <is>
          <t>no</t>
        </is>
      </c>
      <c r="J196" s="11" t="inlineStr"/>
      <c r="K196" s="11" t="inlineStr">
        <is>
          <t>counsel</t>
        </is>
      </c>
      <c r="L196" s="11" t="inlineStr">
        <is>
          <t>no</t>
        </is>
      </c>
      <c r="M196" s="11" t="inlineStr">
        <is>
          <t>name/cite</t>
        </is>
      </c>
      <c r="N196" s="2" t="inlineStr">
        <is>
          <t xml:space="preserve">In support of the said objection learned counsel cited the decision of a two Judge Bench of this Court (K. Jayachandra Reddy and S. C. Agrawal, JJ) in R. N. Gosain v. Yashpal Dhir (1992 4 SCC 683) wherein it was held as follows: " By furnishing the said undertaking the petitioner elected to avail the protection from eviction from the premises and he enjoyed the said protection till the passing of </t>
        </is>
      </c>
    </row>
    <row r="197">
      <c r="A197" s="11" t="n">
        <v>537</v>
      </c>
      <c r="B197" s="11" t="inlineStr">
        <is>
          <t>untouched</t>
        </is>
      </c>
      <c r="C197" s="11" t="inlineStr">
        <is>
          <t>c3749</t>
        </is>
      </c>
      <c r="D197" s="11" t="inlineStr">
        <is>
          <t>c3356</t>
        </is>
      </c>
      <c r="E197" s="11" t="inlineStr">
        <is>
          <t>1962-09-28</t>
        </is>
      </c>
      <c r="F197" s="11" t="inlineStr">
        <is>
          <t>1964-01-29</t>
        </is>
      </c>
      <c r="G197" s="11" t="n"/>
      <c r="H197" s="11" t="n"/>
      <c r="I197" s="11" t="n"/>
      <c r="J197" s="11" t="n"/>
      <c r="K197" s="11" t="n"/>
      <c r="L197" s="11" t="n"/>
      <c r="M197" s="11" t="n"/>
      <c r="N197" s="2" t="n"/>
    </row>
    <row r="198">
      <c r="A198" s="11" t="n">
        <v>538</v>
      </c>
      <c r="B198" s="11" t="inlineStr">
        <is>
          <t>tune</t>
        </is>
      </c>
      <c r="C198" s="11" t="inlineStr">
        <is>
          <t>c812</t>
        </is>
      </c>
      <c r="D198" s="11" t="inlineStr">
        <is>
          <t>c3148</t>
        </is>
      </c>
      <c r="E198" s="11" t="inlineStr">
        <is>
          <t>1955-09-20</t>
        </is>
      </c>
      <c r="F198" s="11" t="inlineStr">
        <is>
          <t>1964-10-09</t>
        </is>
      </c>
      <c r="G198" s="11" t="inlineStr">
        <is>
          <t>no mention found</t>
        </is>
      </c>
      <c r="H198" s="11" t="inlineStr">
        <is>
          <t>no mention found</t>
        </is>
      </c>
      <c r="I198" s="11" t="inlineStr">
        <is>
          <t>no</t>
        </is>
      </c>
      <c r="J198" s="11" t="inlineStr"/>
      <c r="K198" s="11" t="inlineStr"/>
      <c r="L198" s="11" t="inlineStr">
        <is>
          <t>no</t>
        </is>
      </c>
      <c r="M198" s="11" t="inlineStr">
        <is>
          <t>cite/cite</t>
        </is>
      </c>
      <c r="N198" s="2" t="inlineStr"/>
    </row>
    <row r="199">
      <c r="A199" s="11" t="n">
        <v>539</v>
      </c>
      <c r="B199" s="11" t="inlineStr">
        <is>
          <t>untouched</t>
        </is>
      </c>
      <c r="C199" s="11" t="inlineStr">
        <is>
          <t>c9148</t>
        </is>
      </c>
      <c r="D199" s="11" t="inlineStr">
        <is>
          <t>c14639</t>
        </is>
      </c>
      <c r="E199" s="11" t="inlineStr">
        <is>
          <t>1985-12-11</t>
        </is>
      </c>
      <c r="F199" s="11" t="inlineStr">
        <is>
          <t>1996-12-10</t>
        </is>
      </c>
      <c r="G199" s="11" t="n"/>
      <c r="H199" s="11" t="n"/>
      <c r="I199" s="11" t="n"/>
      <c r="J199" s="11" t="n"/>
      <c r="K199" s="11" t="n"/>
      <c r="L199" s="11" t="n"/>
      <c r="M199" s="11" t="n"/>
      <c r="N199" s="2" t="n"/>
    </row>
    <row r="200">
      <c r="A200" s="11" t="n">
        <v>540</v>
      </c>
      <c r="B200" s="11" t="inlineStr">
        <is>
          <t>tune</t>
        </is>
      </c>
      <c r="C200" s="11" t="inlineStr">
        <is>
          <t>c2935</t>
        </is>
      </c>
      <c r="D200" s="11" t="inlineStr">
        <is>
          <t>c2438</t>
        </is>
      </c>
      <c r="E200" s="11" t="inlineStr">
        <is>
          <t>1965-06-01</t>
        </is>
      </c>
      <c r="F200" s="11" t="inlineStr">
        <is>
          <t>1967-03-07</t>
        </is>
      </c>
      <c r="G200" s="11" t="inlineStr">
        <is>
          <t>DISAGREES</t>
        </is>
      </c>
      <c r="H200" s="11" t="inlineStr">
        <is>
          <t>DISAGREES</t>
        </is>
      </c>
      <c r="I200" s="11" t="inlineStr">
        <is>
          <t>yes</t>
        </is>
      </c>
      <c r="J200" s="11" t="inlineStr">
        <is>
          <t>dissented from</t>
        </is>
      </c>
      <c r="K200" s="11" t="inlineStr">
        <is>
          <t>headnote</t>
        </is>
      </c>
      <c r="L200" s="11" t="inlineStr">
        <is>
          <t>yes</t>
        </is>
      </c>
      <c r="M200" s="11" t="inlineStr">
        <is>
          <t>cite/cite</t>
        </is>
      </c>
      <c r="N200" s="2" t="inlineStr">
        <is>
          <t>[123 F-G; 124 C-D] Sadhu Singh v. Delhi Administration, [1966] 1 S.C.R. 243, dissented from.</t>
        </is>
      </c>
    </row>
    <row r="201">
      <c r="A201" s="11" t="n">
        <v>541</v>
      </c>
      <c r="B201" s="11" t="inlineStr">
        <is>
          <t>untouched</t>
        </is>
      </c>
      <c r="C201" s="11" t="inlineStr">
        <is>
          <t>c4858</t>
        </is>
      </c>
      <c r="D201" s="11" t="inlineStr">
        <is>
          <t>c9886</t>
        </is>
      </c>
      <c r="E201" s="11" t="inlineStr">
        <is>
          <t>1979-02-22</t>
        </is>
      </c>
      <c r="F201" s="11" t="inlineStr">
        <is>
          <t>1982-08-16</t>
        </is>
      </c>
      <c r="G201" s="11" t="n"/>
      <c r="H201" s="11" t="n"/>
      <c r="I201" s="11" t="n"/>
      <c r="J201" s="11" t="n"/>
      <c r="K201" s="11" t="n"/>
      <c r="L201" s="11" t="n"/>
      <c r="M201" s="11" t="n"/>
      <c r="N201" s="2" t="n"/>
    </row>
    <row r="202">
      <c r="A202" s="11" t="n">
        <v>542</v>
      </c>
      <c r="B202" s="11" t="inlineStr">
        <is>
          <t>tune</t>
        </is>
      </c>
      <c r="C202" s="11" t="inlineStr">
        <is>
          <t>c3442</t>
        </is>
      </c>
      <c r="D202" s="11" t="inlineStr">
        <is>
          <t>c3373</t>
        </is>
      </c>
      <c r="E202" s="11" t="inlineStr">
        <is>
          <t>1963-09-20</t>
        </is>
      </c>
      <c r="F202" s="11" t="inlineStr">
        <is>
          <t>1963-12-20</t>
        </is>
      </c>
      <c r="G202" s="11" t="inlineStr">
        <is>
          <t>NEUTRAL</t>
        </is>
      </c>
      <c r="H202" s="11" t="inlineStr">
        <is>
          <t>NEUTRAL</t>
        </is>
      </c>
      <c r="I202" s="11" t="inlineStr">
        <is>
          <t>no</t>
        </is>
      </c>
      <c r="J202" s="11" t="inlineStr"/>
      <c r="K202" s="11" t="inlineStr">
        <is>
          <t>court</t>
        </is>
      </c>
      <c r="L202" s="11" t="inlineStr">
        <is>
          <t>yes</t>
        </is>
      </c>
      <c r="M202" s="11" t="inlineStr">
        <is>
          <t>cite/cite</t>
        </is>
      </c>
      <c r="N202" s="2" t="inlineStr">
        <is>
          <t>This Court, in Kaushalya Rani v. Gopal Singh (1), had to. consider this question incidentally in the context of the application of s. 29(2) of the Limitation Act to an application for special leave to appeal against an order of acquittal under sub-s. (3) of s. 417 of the Code of Criminal Procedure.</t>
        </is>
      </c>
    </row>
    <row r="203">
      <c r="A203" s="11" t="n">
        <v>543</v>
      </c>
      <c r="B203" s="11" t="inlineStr">
        <is>
          <t>untouched</t>
        </is>
      </c>
      <c r="C203" s="11" t="inlineStr">
        <is>
          <t>c9432</t>
        </is>
      </c>
      <c r="D203" s="11" t="inlineStr">
        <is>
          <t>c8050</t>
        </is>
      </c>
      <c r="E203" s="11" t="inlineStr">
        <is>
          <t>1984-11-09</t>
        </is>
      </c>
      <c r="F203" s="11" t="inlineStr">
        <is>
          <t>1989-02-07</t>
        </is>
      </c>
      <c r="G203" s="11" t="n"/>
      <c r="H203" s="11" t="n"/>
      <c r="I203" s="11" t="n"/>
      <c r="J203" s="11" t="n"/>
      <c r="K203" s="11" t="n"/>
      <c r="L203" s="11" t="n"/>
      <c r="M203" s="11" t="n"/>
      <c r="N203" s="2" t="n"/>
    </row>
    <row r="204">
      <c r="A204" s="11" t="n">
        <v>544</v>
      </c>
      <c r="B204" s="11" t="inlineStr">
        <is>
          <t>tune</t>
        </is>
      </c>
      <c r="C204" s="11" t="inlineStr">
        <is>
          <t>c476</t>
        </is>
      </c>
      <c r="D204" s="11" t="inlineStr">
        <is>
          <t>c3225</t>
        </is>
      </c>
      <c r="E204" s="11" t="inlineStr">
        <is>
          <t>1958-10-07</t>
        </is>
      </c>
      <c r="F204" s="11" t="inlineStr">
        <is>
          <t>1964-05-01</t>
        </is>
      </c>
      <c r="G204" s="11" t="inlineStr">
        <is>
          <t>NEUTRAL</t>
        </is>
      </c>
      <c r="H204" s="11" t="inlineStr">
        <is>
          <t>NEUTRAL</t>
        </is>
      </c>
      <c r="I204" s="11" t="inlineStr">
        <is>
          <t>no</t>
        </is>
      </c>
      <c r="J204" s="11" t="inlineStr"/>
      <c r="K204" s="11" t="inlineStr">
        <is>
          <t>headnote</t>
        </is>
      </c>
      <c r="L204" s="11" t="inlineStr">
        <is>
          <t>yes</t>
        </is>
      </c>
      <c r="M204" s="11" t="inlineStr">
        <is>
          <t>cite/cite</t>
        </is>
      </c>
      <c r="N204" s="2" t="inlineStr">
        <is>
          <t>Commissioner of Income-tax Nagpur v. Rai Bahadur Jairam Yalji, 35 I.T.R. 148, referred to.</t>
        </is>
      </c>
    </row>
    <row r="205">
      <c r="A205" s="11" t="n">
        <v>546</v>
      </c>
      <c r="B205" s="11" t="inlineStr">
        <is>
          <t>tune</t>
        </is>
      </c>
      <c r="C205" s="11" t="inlineStr">
        <is>
          <t>c910</t>
        </is>
      </c>
      <c r="D205" s="11" t="inlineStr">
        <is>
          <t>c3148</t>
        </is>
      </c>
      <c r="E205" s="11" t="inlineStr">
        <is>
          <t>1954-05-20</t>
        </is>
      </c>
      <c r="F205" s="11" t="inlineStr">
        <is>
          <t>1964-10-09</t>
        </is>
      </c>
      <c r="G205" s="11" t="inlineStr">
        <is>
          <t>OVERRULES</t>
        </is>
      </c>
      <c r="H205" s="11" t="inlineStr">
        <is>
          <t>OVERRULES</t>
        </is>
      </c>
      <c r="I205" s="11" t="inlineStr">
        <is>
          <t>yes</t>
        </is>
      </c>
      <c r="J205" s="11" t="inlineStr">
        <is>
          <t>disapproved</t>
        </is>
      </c>
      <c r="K205" s="11" t="inlineStr">
        <is>
          <t>court</t>
        </is>
      </c>
      <c r="L205" s="11" t="inlineStr">
        <is>
          <t>yes</t>
        </is>
      </c>
      <c r="M205" s="11" t="inlineStr">
        <is>
          <t>cite/cite</t>
        </is>
      </c>
      <c r="N205" s="2" t="inlineStr">
        <is>
          <t>Observations in Vashist Narain Sharma v. Dev Chandra &amp; Ors. [1955] 1 S.C.R. 509, 519, disapproved.</t>
        </is>
      </c>
    </row>
    <row r="206">
      <c r="A206" s="11" t="n">
        <v>547</v>
      </c>
      <c r="B206" s="11" t="inlineStr">
        <is>
          <t>untouched</t>
        </is>
      </c>
      <c r="C206" s="11" t="inlineStr">
        <is>
          <t>c4942</t>
        </is>
      </c>
      <c r="D206" s="11" t="inlineStr">
        <is>
          <t>c17906</t>
        </is>
      </c>
      <c r="E206" s="11" t="inlineStr">
        <is>
          <t>1978-11-16</t>
        </is>
      </c>
      <c r="F206" s="11" t="inlineStr">
        <is>
          <t>2001-07-25</t>
        </is>
      </c>
      <c r="G206" s="11" t="n"/>
      <c r="H206" s="11" t="n"/>
      <c r="I206" s="11" t="n"/>
      <c r="J206" s="11" t="n"/>
      <c r="K206" s="11" t="n"/>
      <c r="L206" s="11" t="n"/>
      <c r="M206" s="11" t="n"/>
      <c r="N206" s="2" t="n"/>
    </row>
    <row r="207">
      <c r="A207" s="11" t="n">
        <v>549</v>
      </c>
      <c r="B207" s="11" t="inlineStr">
        <is>
          <t>untouched</t>
        </is>
      </c>
      <c r="C207" s="11" t="inlineStr">
        <is>
          <t>c7140</t>
        </is>
      </c>
      <c r="D207" s="11" t="inlineStr">
        <is>
          <t>c4932</t>
        </is>
      </c>
      <c r="E207" s="11" t="inlineStr">
        <is>
          <t>1971-05-07</t>
        </is>
      </c>
      <c r="F207" s="11" t="inlineStr">
        <is>
          <t>1978-11-23</t>
        </is>
      </c>
      <c r="G207" s="11" t="n"/>
      <c r="H207" s="11" t="n"/>
      <c r="I207" s="11" t="n"/>
      <c r="J207" s="11" t="n"/>
      <c r="K207" s="11" t="n"/>
      <c r="L207" s="11" t="n"/>
      <c r="M207" s="11" t="n"/>
      <c r="N207" s="2" t="n"/>
    </row>
    <row r="208">
      <c r="A208" s="11" t="n">
        <v>550</v>
      </c>
      <c r="B208" s="11" t="inlineStr">
        <is>
          <t>tune</t>
        </is>
      </c>
      <c r="C208" s="11" t="inlineStr">
        <is>
          <t>c2752</t>
        </is>
      </c>
      <c r="D208" s="11" t="inlineStr">
        <is>
          <t>c6845</t>
        </is>
      </c>
      <c r="E208" s="11" t="inlineStr">
        <is>
          <t>1966-01-17</t>
        </is>
      </c>
      <c r="F208" s="11" t="inlineStr">
        <is>
          <t>1972-03-29</t>
        </is>
      </c>
      <c r="G208" s="11" t="inlineStr">
        <is>
          <t>FOLLOWS</t>
        </is>
      </c>
      <c r="H208" s="11" t="inlineStr">
        <is>
          <t>FOLLOWS</t>
        </is>
      </c>
      <c r="I208" s="11" t="inlineStr">
        <is>
          <t>no</t>
        </is>
      </c>
      <c r="J208" s="11" t="inlineStr">
        <is>
          <t>following</t>
        </is>
      </c>
      <c r="K208" s="11" t="inlineStr">
        <is>
          <t>headnote</t>
        </is>
      </c>
      <c r="L208" s="11" t="inlineStr">
        <is>
          <t>yes</t>
        </is>
      </c>
      <c r="M208" s="11" t="inlineStr">
        <is>
          <t>cite/cite</t>
        </is>
      </c>
      <c r="N208" s="2" t="inlineStr">
        <is>
          <t>The High Court held against the assessee following the decision of this Court in Travancore Titanium Product Ltd. v. C.I.T., [1966] 3 S.C.R. 321.</t>
        </is>
      </c>
    </row>
    <row r="209">
      <c r="A209" s="11" t="n">
        <v>551</v>
      </c>
      <c r="B209" s="11" t="inlineStr">
        <is>
          <t>untouched</t>
        </is>
      </c>
      <c r="C209" s="11" t="inlineStr">
        <is>
          <t>c17482</t>
        </is>
      </c>
      <c r="D209" s="11" t="inlineStr">
        <is>
          <t>c17898</t>
        </is>
      </c>
      <c r="E209" s="11" t="inlineStr">
        <is>
          <t>2000-02-22</t>
        </is>
      </c>
      <c r="F209" s="11" t="inlineStr">
        <is>
          <t>2001-08-10</t>
        </is>
      </c>
      <c r="G209" s="11" t="n"/>
      <c r="H209" s="11" t="n"/>
      <c r="I209" s="11" t="n"/>
      <c r="J209" s="11" t="n"/>
      <c r="K209" s="11" t="n"/>
      <c r="L209" s="11" t="n"/>
      <c r="M209" s="11" t="n"/>
      <c r="N209" s="2" t="n"/>
    </row>
    <row r="210">
      <c r="A210" s="11" t="n">
        <v>552</v>
      </c>
      <c r="B210" s="11" t="inlineStr">
        <is>
          <t>tune</t>
        </is>
      </c>
      <c r="C210" s="11" t="inlineStr">
        <is>
          <t>c512</t>
        </is>
      </c>
      <c r="D210" s="11" t="inlineStr">
        <is>
          <t>c3432</t>
        </is>
      </c>
      <c r="E210" s="11" t="inlineStr">
        <is>
          <t>1958-05-20</t>
        </is>
      </c>
      <c r="F210" s="11" t="inlineStr">
        <is>
          <t>1963-10-10</t>
        </is>
      </c>
      <c r="G210" s="11" t="inlineStr">
        <is>
          <t>NEUTRAL</t>
        </is>
      </c>
      <c r="H210" s="11" t="inlineStr">
        <is>
          <t>NEUTRAL</t>
        </is>
      </c>
      <c r="I210" s="11" t="inlineStr">
        <is>
          <t>no</t>
        </is>
      </c>
      <c r="J210" s="11" t="inlineStr"/>
      <c r="K210" s="11" t="inlineStr">
        <is>
          <t>headnote</t>
        </is>
      </c>
      <c r="L210" s="11" t="inlineStr">
        <is>
          <t>yes</t>
        </is>
      </c>
      <c r="M210" s="11" t="inlineStr">
        <is>
          <t>cite/cite</t>
        </is>
      </c>
      <c r="N210" s="2" t="inlineStr">
        <is>
          <t>Bishan Singh v. Khazan Singh, [1959] S.C.R. 878, Goblad Dayal v. Inayatullah, (1885) I.L.R. 7 All 775, Sakina Bibi v. Amiran, (1888) I.L.R. 10 All 472, Dashrathlal v. Bai Dhondubai, A.I.R. (1941) Bom. 262, Shri Audh Behari Singh v. Gajadhar Jaipuria, [1955] 1 S.C.R. 70, Mr. Bibi Saleha v. Amiruddin(1929)I.L.R. 8 Pat.</t>
        </is>
      </c>
    </row>
    <row r="211">
      <c r="A211" s="11" t="n">
        <v>553</v>
      </c>
      <c r="B211" s="11" t="inlineStr">
        <is>
          <t>untouched</t>
        </is>
      </c>
      <c r="C211" s="11" t="inlineStr">
        <is>
          <t>c611</t>
        </is>
      </c>
      <c r="D211" s="11" t="inlineStr">
        <is>
          <t>c4976</t>
        </is>
      </c>
      <c r="E211" s="11" t="inlineStr">
        <is>
          <t>1957-09-20</t>
        </is>
      </c>
      <c r="F211" s="11" t="inlineStr">
        <is>
          <t>1978-10-04</t>
        </is>
      </c>
      <c r="G211" s="11" t="n"/>
      <c r="H211" s="11" t="n"/>
      <c r="I211" s="11" t="n"/>
      <c r="J211" s="11" t="n"/>
      <c r="K211" s="11" t="n"/>
      <c r="L211" s="11" t="n"/>
      <c r="M211" s="11" t="n"/>
      <c r="N211" s="2" t="n"/>
    </row>
    <row r="212">
      <c r="A212" s="11" t="n">
        <v>556</v>
      </c>
      <c r="B212" s="11" t="inlineStr">
        <is>
          <t>tune</t>
        </is>
      </c>
      <c r="C212" s="11" t="inlineStr">
        <is>
          <t>c490</t>
        </is>
      </c>
      <c r="D212" s="11" t="inlineStr">
        <is>
          <t>c15118</t>
        </is>
      </c>
      <c r="E212" s="11" t="inlineStr">
        <is>
          <t>1958-09-23</t>
        </is>
      </c>
      <c r="F212" s="11" t="inlineStr">
        <is>
          <t>1996-09-11</t>
        </is>
      </c>
      <c r="G212" s="11" t="inlineStr">
        <is>
          <t>no mention found</t>
        </is>
      </c>
      <c r="H212" s="11" t="inlineStr">
        <is>
          <t>no mention found</t>
        </is>
      </c>
      <c r="I212" s="11" t="inlineStr">
        <is>
          <t>no</t>
        </is>
      </c>
      <c r="J212" s="11" t="inlineStr"/>
      <c r="K212" s="11" t="inlineStr"/>
      <c r="L212" s="11" t="inlineStr">
        <is>
          <t>no</t>
        </is>
      </c>
      <c r="M212" s="11" t="inlineStr">
        <is>
          <t>cite/name</t>
        </is>
      </c>
      <c r="N212" s="2" t="inlineStr"/>
    </row>
    <row r="213">
      <c r="A213" s="11" t="n">
        <v>557</v>
      </c>
      <c r="B213" s="11" t="inlineStr">
        <is>
          <t>untouched</t>
        </is>
      </c>
      <c r="C213" s="11" t="inlineStr">
        <is>
          <t>c3207</t>
        </is>
      </c>
      <c r="D213" s="11" t="inlineStr">
        <is>
          <t>c2135</t>
        </is>
      </c>
      <c r="E213" s="11" t="inlineStr">
        <is>
          <t>1964-07-29</t>
        </is>
      </c>
      <c r="F213" s="11" t="inlineStr">
        <is>
          <t>1968-03-04</t>
        </is>
      </c>
      <c r="G213" s="11" t="n"/>
      <c r="H213" s="11" t="n"/>
      <c r="I213" s="11" t="n"/>
      <c r="J213" s="11" t="n"/>
      <c r="K213" s="11" t="n"/>
      <c r="L213" s="11" t="n"/>
      <c r="M213" s="11" t="n"/>
      <c r="N213" s="2" t="n"/>
    </row>
    <row r="214">
      <c r="A214" s="11" t="n">
        <v>558</v>
      </c>
      <c r="B214" s="11" t="inlineStr">
        <is>
          <t>tune</t>
        </is>
      </c>
      <c r="C214" s="11" t="inlineStr">
        <is>
          <t>c12497</t>
        </is>
      </c>
      <c r="D214" s="11" t="inlineStr">
        <is>
          <t>c29332</t>
        </is>
      </c>
      <c r="E214" s="11" t="inlineStr">
        <is>
          <t>1992-02-12</t>
        </is>
      </c>
      <c r="F214" s="11" t="inlineStr">
        <is>
          <t>2005-03-30</t>
        </is>
      </c>
      <c r="G214" s="11" t="inlineStr">
        <is>
          <t>DISTINGUISHES</t>
        </is>
      </c>
      <c r="H214" s="11" t="inlineStr">
        <is>
          <t>DISTINGUISHES</t>
        </is>
      </c>
      <c r="I214" s="11" t="inlineStr">
        <is>
          <t>no</t>
        </is>
      </c>
      <c r="J214" s="11" t="inlineStr">
        <is>
          <t>distinguished</t>
        </is>
      </c>
      <c r="K214" s="11" t="inlineStr">
        <is>
          <t>court</t>
        </is>
      </c>
      <c r="L214" s="11" t="inlineStr">
        <is>
          <t>yes</t>
        </is>
      </c>
      <c r="M214" s="11" t="inlineStr">
        <is>
          <t>cite/cite</t>
        </is>
      </c>
      <c r="N214" s="2" t="inlineStr">
        <is>
          <t>The subsequent line of cases have distinguished the decision in Mahesh Chandra’s case.</t>
        </is>
      </c>
    </row>
    <row r="215">
      <c r="A215" s="11" t="n">
        <v>561</v>
      </c>
      <c r="B215" s="11" t="inlineStr">
        <is>
          <t>untouched</t>
        </is>
      </c>
      <c r="C215" s="11" t="inlineStr">
        <is>
          <t>c9221</t>
        </is>
      </c>
      <c r="D215" s="11" t="inlineStr">
        <is>
          <t>c17166</t>
        </is>
      </c>
      <c r="E215" s="11" t="inlineStr">
        <is>
          <t>1985-08-14</t>
        </is>
      </c>
      <c r="F215" s="11" t="inlineStr">
        <is>
          <t>2000-09-29</t>
        </is>
      </c>
      <c r="G215" s="11" t="n"/>
      <c r="H215" s="11" t="n"/>
      <c r="I215" s="11" t="n"/>
      <c r="J215" s="11" t="n"/>
      <c r="K215" s="11" t="n"/>
      <c r="L215" s="11" t="n"/>
      <c r="M215" s="11" t="n"/>
      <c r="N215" s="2" t="n"/>
    </row>
    <row r="216">
      <c r="A216" s="11" t="n">
        <v>567</v>
      </c>
      <c r="B216" s="11" t="inlineStr">
        <is>
          <t>untouched</t>
        </is>
      </c>
      <c r="C216" s="11" t="inlineStr">
        <is>
          <t>c3556</t>
        </is>
      </c>
      <c r="D216" s="11" t="inlineStr">
        <is>
          <t>c13678</t>
        </is>
      </c>
      <c r="E216" s="11" t="inlineStr">
        <is>
          <t>1963-04-01</t>
        </is>
      </c>
      <c r="F216" s="11" t="inlineStr">
        <is>
          <t>1997-11-18</t>
        </is>
      </c>
      <c r="G216" s="11" t="n"/>
      <c r="H216" s="11" t="n"/>
      <c r="I216" s="11" t="n"/>
      <c r="J216" s="11" t="n"/>
      <c r="K216" s="11" t="n"/>
      <c r="L216" s="11" t="n"/>
      <c r="M216" s="11" t="n"/>
      <c r="N216" s="2" t="n"/>
    </row>
    <row r="217">
      <c r="A217" s="11" t="n">
        <v>570</v>
      </c>
      <c r="B217" s="11" t="inlineStr">
        <is>
          <t>tune</t>
        </is>
      </c>
      <c r="C217" s="11" t="inlineStr">
        <is>
          <t>c8991</t>
        </is>
      </c>
      <c r="D217" s="11" t="inlineStr">
        <is>
          <t>c27500</t>
        </is>
      </c>
      <c r="E217" s="11" t="inlineStr">
        <is>
          <t>1986-07-21</t>
        </is>
      </c>
      <c r="F217" s="11" t="inlineStr">
        <is>
          <t>2006-02-15</t>
        </is>
      </c>
      <c r="G217" s="11" t="inlineStr">
        <is>
          <t>DOUBTS_REFERS</t>
        </is>
      </c>
      <c r="H217" s="11" t="inlineStr">
        <is>
          <t>DOUBTS_REFERS</t>
        </is>
      </c>
      <c r="I217" s="11" t="inlineStr">
        <is>
          <t>yes</t>
        </is>
      </c>
      <c r="J217" s="11" t="inlineStr">
        <is>
          <t>need reconsideration</t>
        </is>
      </c>
      <c r="K217" s="11" t="inlineStr">
        <is>
          <t>court</t>
        </is>
      </c>
      <c r="L217" s="11" t="inlineStr">
        <is>
          <t>yes</t>
        </is>
      </c>
      <c r="M217" s="11" t="inlineStr">
        <is>
          <t>cite/name</t>
        </is>
      </c>
      <c r="N217" s="2" t="inlineStr">
        <is>
          <t>We are, therefore, of the view that the judgments of this court in the above two cases of Sterling Foods (supra) and Vijaylakshmi Cashew Company (supra) need reconsideration.</t>
        </is>
      </c>
    </row>
    <row r="218">
      <c r="A218" s="11" t="n">
        <v>571</v>
      </c>
      <c r="B218" s="11" t="inlineStr">
        <is>
          <t>untouched</t>
        </is>
      </c>
      <c r="C218" s="11" t="inlineStr">
        <is>
          <t>c6124</t>
        </is>
      </c>
      <c r="D218" s="11" t="inlineStr">
        <is>
          <t>c9718</t>
        </is>
      </c>
      <c r="E218" s="11" t="inlineStr">
        <is>
          <t>1974-11-20</t>
        </is>
      </c>
      <c r="F218" s="11" t="inlineStr">
        <is>
          <t>1983-09-23</t>
        </is>
      </c>
      <c r="G218" s="11" t="n"/>
      <c r="H218" s="11" t="n"/>
      <c r="I218" s="11" t="n"/>
      <c r="J218" s="11" t="n"/>
      <c r="K218" s="11" t="n"/>
      <c r="L218" s="11" t="n"/>
      <c r="M218" s="11" t="n"/>
      <c r="N218" s="2" t="n"/>
    </row>
    <row r="219">
      <c r="A219" s="11" t="n">
        <v>574</v>
      </c>
      <c r="B219" s="11" t="inlineStr">
        <is>
          <t>tune</t>
        </is>
      </c>
      <c r="C219" s="11" t="inlineStr">
        <is>
          <t>c9593</t>
        </is>
      </c>
      <c r="D219" s="11" t="inlineStr">
        <is>
          <t>c26664</t>
        </is>
      </c>
      <c r="E219" s="11" t="inlineStr">
        <is>
          <t>1984-02-27</t>
        </is>
      </c>
      <c r="F219" s="11" t="inlineStr">
        <is>
          <t>2004-12-15</t>
        </is>
      </c>
      <c r="G219" s="11" t="inlineStr">
        <is>
          <t>NEUTRAL</t>
        </is>
      </c>
      <c r="H219" s="11" t="inlineStr">
        <is>
          <t>NEUTRAL</t>
        </is>
      </c>
      <c r="I219" s="11" t="inlineStr">
        <is>
          <t>no</t>
        </is>
      </c>
      <c r="J219" s="11" t="inlineStr"/>
      <c r="K219" s="11" t="inlineStr">
        <is>
          <t>counsel</t>
        </is>
      </c>
      <c r="L219" s="11" t="inlineStr">
        <is>
          <t>no</t>
        </is>
      </c>
      <c r="M219" s="11" t="inlineStr">
        <is>
          <t>cite/name</t>
        </is>
      </c>
      <c r="N219" s="2" t="inlineStr">
        <is>
          <t>The other decision on which Mr.Thali appearing for Respondent No.1 also placed strong reliance was a decision of this Court in the case of J.P.Goyal Vs. Raj Narain &amp; Ors. [1984 (3) SCC 339].</t>
        </is>
      </c>
    </row>
    <row r="220">
      <c r="A220" s="11" t="n">
        <v>576</v>
      </c>
      <c r="B220" s="11" t="inlineStr">
        <is>
          <t>tune</t>
        </is>
      </c>
      <c r="C220" s="11" t="inlineStr">
        <is>
          <t>c2989</t>
        </is>
      </c>
      <c r="D220" s="11" t="inlineStr">
        <is>
          <t>c9510</t>
        </is>
      </c>
      <c r="E220" s="11" t="inlineStr">
        <is>
          <t>1965-03-29</t>
        </is>
      </c>
      <c r="F220" s="11" t="inlineStr">
        <is>
          <t>1984-07-27</t>
        </is>
      </c>
      <c r="G220" s="11" t="inlineStr">
        <is>
          <t>NEUTRAL</t>
        </is>
      </c>
      <c r="H220" s="11" t="inlineStr">
        <is>
          <t>NEUTRAL</t>
        </is>
      </c>
      <c r="I220" s="11" t="inlineStr">
        <is>
          <t>no</t>
        </is>
      </c>
      <c r="J220" s="11" t="inlineStr"/>
      <c r="K220" s="11" t="inlineStr">
        <is>
          <t>headnote</t>
        </is>
      </c>
      <c r="L220" s="11" t="inlineStr">
        <is>
          <t>yes</t>
        </is>
      </c>
      <c r="M220" s="11" t="inlineStr">
        <is>
          <t>cite/cite</t>
        </is>
      </c>
      <c r="N220" s="2" t="inlineStr">
        <is>
          <t>454, Dwarkanath, Hindu Undivided Family v. Income Tax Officer, Special Circle, Kanpur and another, [1965] 3 SCR 536, 540-41 and Udit Narain Singh Malpaharia v. Additional Member, Board of Revenue, Bihar, [1963] Suppl.</t>
        </is>
      </c>
    </row>
    <row r="221">
      <c r="A221" s="11" t="n">
        <v>577</v>
      </c>
      <c r="B221" s="11" t="inlineStr">
        <is>
          <t>untouched</t>
        </is>
      </c>
      <c r="C221" s="11" t="inlineStr">
        <is>
          <t>c7674</t>
        </is>
      </c>
      <c r="D221" s="11" t="inlineStr">
        <is>
          <t>c13429</t>
        </is>
      </c>
      <c r="E221" s="11" t="inlineStr">
        <is>
          <t>1990-01-31</t>
        </is>
      </c>
      <c r="F221" s="11" t="inlineStr">
        <is>
          <t>1998-02-12</t>
        </is>
      </c>
      <c r="G221" s="11" t="n"/>
      <c r="H221" s="11" t="n"/>
      <c r="I221" s="11" t="n"/>
      <c r="J221" s="11" t="n"/>
      <c r="K221" s="11" t="n"/>
      <c r="L221" s="11" t="n"/>
      <c r="M221" s="11" t="n"/>
      <c r="N221" s="2" t="n"/>
    </row>
    <row r="222">
      <c r="A222" s="11" t="n">
        <v>578</v>
      </c>
      <c r="B222" s="11" t="inlineStr">
        <is>
          <t>tune</t>
        </is>
      </c>
      <c r="C222" s="11" t="inlineStr">
        <is>
          <t>c7635</t>
        </is>
      </c>
      <c r="D222" s="11" t="inlineStr">
        <is>
          <t>c10160</t>
        </is>
      </c>
      <c r="E222" s="11" t="inlineStr">
        <is>
          <t>1990-02-27</t>
        </is>
      </c>
      <c r="F222" s="11" t="inlineStr">
        <is>
          <t>1995-12-15</t>
        </is>
      </c>
      <c r="G222" s="11" t="inlineStr">
        <is>
          <t>no mention found</t>
        </is>
      </c>
      <c r="H222" s="11" t="inlineStr">
        <is>
          <t>no mention found</t>
        </is>
      </c>
      <c r="I222" s="11" t="inlineStr">
        <is>
          <t>no</t>
        </is>
      </c>
      <c r="J222" s="11" t="inlineStr"/>
      <c r="K222" s="11" t="inlineStr"/>
      <c r="L222" s="11" t="inlineStr">
        <is>
          <t>no</t>
        </is>
      </c>
      <c r="M222" s="11" t="inlineStr">
        <is>
          <t>cite/cite</t>
        </is>
      </c>
      <c r="N222" s="2" t="inlineStr"/>
    </row>
    <row r="223">
      <c r="A223" s="11" t="n">
        <v>579</v>
      </c>
      <c r="B223" s="11" t="inlineStr">
        <is>
          <t>untouched</t>
        </is>
      </c>
      <c r="C223" s="11" t="inlineStr">
        <is>
          <t>c396</t>
        </is>
      </c>
      <c r="D223" s="11" t="inlineStr">
        <is>
          <t>c7246</t>
        </is>
      </c>
      <c r="E223" s="11" t="inlineStr">
        <is>
          <t>1959-04-15</t>
        </is>
      </c>
      <c r="F223" s="11" t="inlineStr">
        <is>
          <t>1971-02-09</t>
        </is>
      </c>
      <c r="G223" s="11" t="n"/>
      <c r="H223" s="11" t="n"/>
      <c r="I223" s="11" t="n"/>
      <c r="J223" s="11" t="n"/>
      <c r="K223" s="11" t="n"/>
      <c r="L223" s="11" t="n"/>
      <c r="M223" s="11" t="n"/>
      <c r="N223" s="2" t="n"/>
    </row>
    <row r="224">
      <c r="A224" s="11" t="n">
        <v>580</v>
      </c>
      <c r="B224" s="11" t="inlineStr">
        <is>
          <t>tune</t>
        </is>
      </c>
      <c r="C224" s="11" t="inlineStr">
        <is>
          <t>c16475</t>
        </is>
      </c>
      <c r="D224" s="11" t="inlineStr">
        <is>
          <t>c27014</t>
        </is>
      </c>
      <c r="E224" s="11" t="inlineStr">
        <is>
          <t>2000-03-14</t>
        </is>
      </c>
      <c r="F224" s="11" t="inlineStr">
        <is>
          <t>2005-05-04</t>
        </is>
      </c>
      <c r="G224" s="11" t="inlineStr">
        <is>
          <t>FOLLOWS</t>
        </is>
      </c>
      <c r="H224" s="11" t="inlineStr">
        <is>
          <t>FOLLOWS</t>
        </is>
      </c>
      <c r="I224" s="11" t="inlineStr">
        <is>
          <t>no</t>
        </is>
      </c>
      <c r="J224" s="11" t="inlineStr">
        <is>
          <t>law laid down</t>
        </is>
      </c>
      <c r="K224" s="11" t="inlineStr">
        <is>
          <t>court</t>
        </is>
      </c>
      <c r="L224" s="11" t="inlineStr">
        <is>
          <t>no</t>
        </is>
      </c>
      <c r="M224" s="11" t="inlineStr">
        <is>
          <t>name/cite</t>
        </is>
      </c>
      <c r="N224" s="2" t="inlineStr">
        <is>
          <t>The Bench felt the need of giving a fresh look at the law laid down in Molar Mal’s case and hence for the appeal being heard by a three-Judge Bench inasmuch as Molar Mal’s case is a two-Judge Bench decision.</t>
        </is>
      </c>
    </row>
    <row r="225">
      <c r="A225" s="11" t="n">
        <v>581</v>
      </c>
      <c r="B225" s="11" t="inlineStr">
        <is>
          <t>untouched</t>
        </is>
      </c>
      <c r="C225" s="11" t="inlineStr">
        <is>
          <t>c57</t>
        </is>
      </c>
      <c r="D225" s="11" t="inlineStr">
        <is>
          <t>c6215</t>
        </is>
      </c>
      <c r="E225" s="11" t="inlineStr">
        <is>
          <t>1960-11-25</t>
        </is>
      </c>
      <c r="F225" s="11" t="inlineStr">
        <is>
          <t>1974-08-23</t>
        </is>
      </c>
      <c r="G225" s="11" t="n"/>
      <c r="H225" s="11" t="n"/>
      <c r="I225" s="11" t="n"/>
      <c r="J225" s="11" t="n"/>
      <c r="K225" s="11" t="n"/>
      <c r="L225" s="11" t="n"/>
      <c r="M225" s="11" t="n"/>
      <c r="N225" s="2" t="n"/>
    </row>
    <row r="226">
      <c r="A226" s="11" t="n">
        <v>583</v>
      </c>
      <c r="B226" s="11" t="inlineStr">
        <is>
          <t>untouched</t>
        </is>
      </c>
      <c r="C226" s="11" t="inlineStr">
        <is>
          <t>c8777</t>
        </is>
      </c>
      <c r="D226" s="11" t="inlineStr">
        <is>
          <t>c12487</t>
        </is>
      </c>
      <c r="E226" s="11" t="inlineStr">
        <is>
          <t>1987-03-11</t>
        </is>
      </c>
      <c r="F226" s="11" t="inlineStr">
        <is>
          <t>1992-02-19</t>
        </is>
      </c>
      <c r="G226" s="11" t="n"/>
      <c r="H226" s="11" t="n"/>
      <c r="I226" s="11" t="n"/>
      <c r="J226" s="11" t="n"/>
      <c r="K226" s="11" t="n"/>
      <c r="L226" s="11" t="n"/>
      <c r="M226" s="11" t="n"/>
      <c r="N226" s="2" t="n"/>
    </row>
    <row r="227">
      <c r="A227" s="11" t="n">
        <v>585</v>
      </c>
      <c r="B227" s="11" t="inlineStr">
        <is>
          <t>untouched</t>
        </is>
      </c>
      <c r="C227" s="11" t="inlineStr">
        <is>
          <t>c5250</t>
        </is>
      </c>
      <c r="D227" s="11" t="inlineStr">
        <is>
          <t>c4745</t>
        </is>
      </c>
      <c r="E227" s="11" t="inlineStr">
        <is>
          <t>1977-08-11</t>
        </is>
      </c>
      <c r="F227" s="11" t="inlineStr">
        <is>
          <t>1979-08-31</t>
        </is>
      </c>
      <c r="G227" s="11" t="n"/>
      <c r="H227" s="11" t="n"/>
      <c r="I227" s="11" t="n"/>
      <c r="J227" s="11" t="n"/>
      <c r="K227" s="11" t="n"/>
      <c r="L227" s="11" t="n"/>
      <c r="M227" s="11" t="n"/>
      <c r="N227" s="2" t="n"/>
    </row>
    <row r="228">
      <c r="A228" s="11" t="n">
        <v>586</v>
      </c>
      <c r="B228" s="11" t="inlineStr">
        <is>
          <t>tune</t>
        </is>
      </c>
      <c r="C228" s="11" t="inlineStr">
        <is>
          <t>c8462</t>
        </is>
      </c>
      <c r="D228" s="11" t="inlineStr">
        <is>
          <t>c16578</t>
        </is>
      </c>
      <c r="E228" s="11" t="inlineStr">
        <is>
          <t>1988-01-12</t>
        </is>
      </c>
      <c r="F228" s="11" t="inlineStr">
        <is>
          <t>1999-12-17</t>
        </is>
      </c>
      <c r="G228" s="11" t="inlineStr">
        <is>
          <t>OVERRULES</t>
        </is>
      </c>
      <c r="H228" s="11" t="inlineStr">
        <is>
          <t>OVERRULES</t>
        </is>
      </c>
      <c r="I228" s="11" t="inlineStr">
        <is>
          <t>yes</t>
        </is>
      </c>
      <c r="J228" s="11" t="inlineStr">
        <is>
          <t>do not lay down the correct law</t>
        </is>
      </c>
      <c r="K228" s="11" t="inlineStr">
        <is>
          <t>court</t>
        </is>
      </c>
      <c r="L228" s="11" t="inlineStr">
        <is>
          <t>yes</t>
        </is>
      </c>
      <c r="M228" s="11" t="inlineStr">
        <is>
          <t>cite/name</t>
        </is>
      </c>
      <c r="N228" s="2" t="inlineStr">
        <is>
          <t>It was also their submission that the decisions of this Court in Indian Cement (supra) and Shri Digvijay Cement Co. (supra) do not lay down the correct law and need to be reconsidered.</t>
        </is>
      </c>
    </row>
    <row r="229">
      <c r="A229" s="11" t="n">
        <v>587</v>
      </c>
      <c r="B229" s="11" t="inlineStr">
        <is>
          <t>untouched</t>
        </is>
      </c>
      <c r="C229" s="11" t="inlineStr">
        <is>
          <t>c6365</t>
        </is>
      </c>
      <c r="D229" s="11" t="inlineStr">
        <is>
          <t>c15367</t>
        </is>
      </c>
      <c r="E229" s="11" t="inlineStr">
        <is>
          <t>1974-01-09</t>
        </is>
      </c>
      <c r="F229" s="11" t="inlineStr">
        <is>
          <t>1996-08-01</t>
        </is>
      </c>
      <c r="G229" s="11" t="n"/>
      <c r="H229" s="11" t="n"/>
      <c r="I229" s="11" t="n"/>
      <c r="J229" s="11" t="n"/>
      <c r="K229" s="11" t="n"/>
      <c r="L229" s="11" t="n"/>
      <c r="M229" s="11" t="n"/>
      <c r="N229" s="2" t="n"/>
    </row>
    <row r="230">
      <c r="A230" s="11" t="n">
        <v>589</v>
      </c>
      <c r="B230" s="11" t="inlineStr">
        <is>
          <t>untouched</t>
        </is>
      </c>
      <c r="C230" s="11" t="inlineStr">
        <is>
          <t>c1788</t>
        </is>
      </c>
      <c r="D230" s="11" t="inlineStr">
        <is>
          <t>c14809</t>
        </is>
      </c>
      <c r="E230" s="11" t="inlineStr">
        <is>
          <t>1969-03-12</t>
        </is>
      </c>
      <c r="F230" s="11" t="inlineStr">
        <is>
          <t>1996-11-06</t>
        </is>
      </c>
      <c r="G230" s="11" t="n"/>
      <c r="H230" s="11" t="n"/>
      <c r="I230" s="11" t="n"/>
      <c r="J230" s="11" t="n"/>
      <c r="K230" s="11" t="n"/>
      <c r="L230" s="11" t="n"/>
      <c r="M230" s="11" t="n"/>
      <c r="N230" s="2" t="n"/>
    </row>
    <row r="231">
      <c r="A231" s="11" t="n">
        <v>591</v>
      </c>
      <c r="B231" s="11" t="inlineStr">
        <is>
          <t>untouched</t>
        </is>
      </c>
      <c r="C231" s="11" t="inlineStr">
        <is>
          <t>c9355</t>
        </is>
      </c>
      <c r="D231" s="11" t="inlineStr">
        <is>
          <t>c10841</t>
        </is>
      </c>
      <c r="E231" s="11" t="inlineStr">
        <is>
          <t>1985-03-01</t>
        </is>
      </c>
      <c r="F231" s="11" t="inlineStr">
        <is>
          <t>1995-03-10</t>
        </is>
      </c>
      <c r="G231" s="11" t="n"/>
      <c r="H231" s="11" t="n"/>
      <c r="I231" s="11" t="n"/>
      <c r="J231" s="11" t="n"/>
      <c r="K231" s="11" t="n"/>
      <c r="L231" s="11" t="n"/>
      <c r="M231" s="11" t="n"/>
      <c r="N231" s="2" t="n"/>
    </row>
    <row r="232">
      <c r="A232" s="11" t="n">
        <v>592</v>
      </c>
      <c r="B232" s="11" t="inlineStr">
        <is>
          <t>tune</t>
        </is>
      </c>
      <c r="C232" s="11" t="inlineStr">
        <is>
          <t>c5781</t>
        </is>
      </c>
      <c r="D232" s="11" t="inlineStr">
        <is>
          <t>c4751</t>
        </is>
      </c>
      <c r="E232" s="11" t="inlineStr">
        <is>
          <t>1975-12-09</t>
        </is>
      </c>
      <c r="F232" s="11" t="inlineStr">
        <is>
          <t>1979-08-23</t>
        </is>
      </c>
      <c r="G232" s="11" t="inlineStr">
        <is>
          <t>DISAGREES</t>
        </is>
      </c>
      <c r="H232" s="11" t="inlineStr">
        <is>
          <t>DISAGREES</t>
        </is>
      </c>
      <c r="I232" s="11" t="inlineStr">
        <is>
          <t>yes</t>
        </is>
      </c>
      <c r="J232" s="11" t="inlineStr">
        <is>
          <t>not approved</t>
        </is>
      </c>
      <c r="K232" s="11" t="inlineStr">
        <is>
          <t>headnote</t>
        </is>
      </c>
      <c r="L232" s="11" t="inlineStr">
        <is>
          <t>yes</t>
        </is>
      </c>
      <c r="M232" s="11" t="inlineStr">
        <is>
          <t>cite/cite</t>
        </is>
      </c>
      <c r="N232" s="2" t="inlineStr">
        <is>
          <t>SCR. 67, Ratan Lal v. Vardesh Chander &amp; ors. [1976] 2 SCR. 906 and Sardarilal Vishwanath and Ors. v. Pritam Singh [1978] 1 SCR. 111 not approved.</t>
        </is>
      </c>
    </row>
    <row r="233">
      <c r="A233" s="11" t="n">
        <v>594</v>
      </c>
      <c r="B233" s="11" t="inlineStr">
        <is>
          <t>tune</t>
        </is>
      </c>
      <c r="C233" s="11" t="inlineStr">
        <is>
          <t>c5575</t>
        </is>
      </c>
      <c r="D233" s="11" t="inlineStr">
        <is>
          <t>c5576</t>
        </is>
      </c>
      <c r="E233" s="11" t="inlineStr">
        <is>
          <t>1976-08-17</t>
        </is>
      </c>
      <c r="F233" s="11" t="inlineStr">
        <is>
          <t>1976-08-17</t>
        </is>
      </c>
      <c r="G233" s="11" t="inlineStr">
        <is>
          <t>no mention found</t>
        </is>
      </c>
      <c r="H233" s="11" t="inlineStr">
        <is>
          <t>no mention found</t>
        </is>
      </c>
      <c r="I233" s="11" t="inlineStr">
        <is>
          <t>no</t>
        </is>
      </c>
      <c r="J233" s="11" t="inlineStr"/>
      <c r="K233" s="11" t="inlineStr"/>
      <c r="L233" s="11" t="inlineStr">
        <is>
          <t>no</t>
        </is>
      </c>
      <c r="M233" s="11" t="inlineStr">
        <is>
          <t>cite/cite</t>
        </is>
      </c>
      <c r="N233" s="2" t="inlineStr"/>
    </row>
    <row r="234">
      <c r="A234" s="11" t="n">
        <v>595</v>
      </c>
      <c r="B234" s="11" t="inlineStr">
        <is>
          <t>untouched</t>
        </is>
      </c>
      <c r="C234" s="11" t="inlineStr">
        <is>
          <t>c3424</t>
        </is>
      </c>
      <c r="D234" s="11" t="inlineStr">
        <is>
          <t>c4751</t>
        </is>
      </c>
      <c r="E234" s="11" t="inlineStr">
        <is>
          <t>1963-10-24</t>
        </is>
      </c>
      <c r="F234" s="11" t="inlineStr">
        <is>
          <t>1979-08-23</t>
        </is>
      </c>
      <c r="G234" s="11" t="n"/>
      <c r="H234" s="11" t="n"/>
      <c r="I234" s="11" t="n"/>
      <c r="J234" s="11" t="n"/>
      <c r="K234" s="11" t="n"/>
      <c r="L234" s="11" t="n"/>
      <c r="M234" s="11" t="n"/>
      <c r="N234" s="2" t="n"/>
    </row>
    <row r="235">
      <c r="A235" s="11" t="n">
        <v>596</v>
      </c>
      <c r="B235" s="11" t="inlineStr">
        <is>
          <t>tune</t>
        </is>
      </c>
      <c r="C235" s="11" t="inlineStr">
        <is>
          <t>c9879</t>
        </is>
      </c>
      <c r="D235" s="11" t="inlineStr">
        <is>
          <t>c14899</t>
        </is>
      </c>
      <c r="E235" s="11" t="inlineStr">
        <is>
          <t>1982-10-13</t>
        </is>
      </c>
      <c r="F235" s="11" t="inlineStr">
        <is>
          <t>1996-10-24</t>
        </is>
      </c>
      <c r="G235" s="11" t="inlineStr">
        <is>
          <t>DISAGREES</t>
        </is>
      </c>
      <c r="H235" s="11" t="inlineStr">
        <is>
          <t>DISAGREES</t>
        </is>
      </c>
      <c r="I235" s="11" t="inlineStr">
        <is>
          <t>yes</t>
        </is>
      </c>
      <c r="J235" s="11" t="inlineStr">
        <is>
          <t>is not correct</t>
        </is>
      </c>
      <c r="K235" s="11" t="inlineStr">
        <is>
          <t>court</t>
        </is>
      </c>
      <c r="L235" s="11" t="inlineStr">
        <is>
          <t>yes</t>
        </is>
      </c>
      <c r="M235" s="11" t="inlineStr">
        <is>
          <t>cite/name</t>
        </is>
      </c>
      <c r="N235" s="2" t="inlineStr">
        <is>
          <t>The view taken in Batti’s case is not correct in law.</t>
        </is>
      </c>
    </row>
    <row r="236">
      <c r="A236" s="11" t="n">
        <v>597</v>
      </c>
      <c r="B236" s="11" t="inlineStr">
        <is>
          <t>untouched</t>
        </is>
      </c>
      <c r="C236" s="11" t="inlineStr">
        <is>
          <t>c2266</t>
        </is>
      </c>
      <c r="D236" s="11" t="inlineStr">
        <is>
          <t>c5125</t>
        </is>
      </c>
      <c r="E236" s="11" t="inlineStr">
        <is>
          <t>1967-10-03</t>
        </is>
      </c>
      <c r="F236" s="11" t="inlineStr">
        <is>
          <t>1978-02-21</t>
        </is>
      </c>
      <c r="G236" s="11" t="n"/>
      <c r="H236" s="11" t="n"/>
      <c r="I236" s="11" t="n"/>
      <c r="J236" s="11" t="n"/>
      <c r="K236" s="11" t="n"/>
      <c r="L236" s="11" t="n"/>
      <c r="M236" s="11" t="n"/>
      <c r="N236" s="2" t="n"/>
    </row>
    <row r="237">
      <c r="A237" s="11" t="n">
        <v>598</v>
      </c>
      <c r="B237" s="11" t="inlineStr">
        <is>
          <t>tune</t>
        </is>
      </c>
      <c r="C237" s="11" t="inlineStr">
        <is>
          <t>c3346</t>
        </is>
      </c>
      <c r="D237" s="11" t="inlineStr">
        <is>
          <t>c7773</t>
        </is>
      </c>
      <c r="E237" s="11" t="inlineStr">
        <is>
          <t>1964-02-04</t>
        </is>
      </c>
      <c r="F237" s="11" t="inlineStr">
        <is>
          <t>1989-10-25</t>
        </is>
      </c>
      <c r="G237" s="11" t="inlineStr">
        <is>
          <t>OVERRULES</t>
        </is>
      </c>
      <c r="H237" s="11" t="inlineStr">
        <is>
          <t>OVERRULES</t>
        </is>
      </c>
      <c r="I237" s="11" t="inlineStr">
        <is>
          <t>yes</t>
        </is>
      </c>
      <c r="J237" s="11" t="inlineStr">
        <is>
          <t>overruled</t>
        </is>
      </c>
      <c r="K237" s="11" t="inlineStr">
        <is>
          <t>headnote</t>
        </is>
      </c>
      <c r="L237" s="11" t="inlineStr">
        <is>
          <t>yes</t>
        </is>
      </c>
      <c r="M237" s="11" t="inlineStr">
        <is>
          <t>cite/cite</t>
        </is>
      </c>
      <c r="N237" s="2" t="inlineStr">
        <is>
          <t>H.R.S. Murthy v. Collector of Chittoor &amp; Anr., [1964] 6 SCR 666, overruled.</t>
        </is>
      </c>
    </row>
    <row r="238">
      <c r="A238" s="11" t="n">
        <v>599</v>
      </c>
      <c r="B238" s="11" t="inlineStr">
        <is>
          <t>untouched</t>
        </is>
      </c>
      <c r="C238" s="11" t="inlineStr">
        <is>
          <t>c8628</t>
        </is>
      </c>
      <c r="D238" s="11" t="inlineStr">
        <is>
          <t>c8465</t>
        </is>
      </c>
      <c r="E238" s="11" t="inlineStr">
        <is>
          <t>1987-08-21</t>
        </is>
      </c>
      <c r="F238" s="11" t="inlineStr">
        <is>
          <t>1988-01-11</t>
        </is>
      </c>
      <c r="G238" s="11" t="n"/>
      <c r="H238" s="11" t="n"/>
      <c r="I238" s="11" t="n"/>
      <c r="J238" s="11" t="n"/>
      <c r="K238" s="11" t="n"/>
      <c r="L238" s="11" t="n"/>
      <c r="M238" s="11" t="n"/>
      <c r="N238" s="2" t="n"/>
    </row>
    <row r="239">
      <c r="A239" s="11" t="n">
        <v>600</v>
      </c>
      <c r="B239" s="11" t="inlineStr">
        <is>
          <t>tune</t>
        </is>
      </c>
      <c r="C239" s="11" t="inlineStr">
        <is>
          <t>c3447</t>
        </is>
      </c>
      <c r="D239" s="11" t="inlineStr">
        <is>
          <t>c7515</t>
        </is>
      </c>
      <c r="E239" s="11" t="inlineStr">
        <is>
          <t>1963-09-05</t>
        </is>
      </c>
      <c r="F239" s="11" t="inlineStr">
        <is>
          <t>1990-05-03</t>
        </is>
      </c>
      <c r="G239" s="11" t="inlineStr">
        <is>
          <t>NEUTRAL</t>
        </is>
      </c>
      <c r="H239" s="11" t="inlineStr">
        <is>
          <t>NEUTRAL</t>
        </is>
      </c>
      <c r="I239" s="11" t="inlineStr">
        <is>
          <t>no</t>
        </is>
      </c>
      <c r="J239" s="11" t="inlineStr"/>
      <c r="K239" s="11" t="inlineStr">
        <is>
          <t>headnote</t>
        </is>
      </c>
      <c r="L239" s="11" t="inlineStr">
        <is>
          <t>yes</t>
        </is>
      </c>
      <c r="M239" s="11" t="inlineStr">
        <is>
          <t>cite/cite</t>
        </is>
      </c>
      <c r="N239" s="2" t="inlineStr">
        <is>
          <t>SCR 645; Anand Niwas (Pvt.) Ltd. v. Anandji Kalyanji Pedhi &amp; Ors., [1964] 4 SCR 892; Smt. Gian Devi Anand v. Jeevan Kumar &amp; Ors., [1985] Suppl.</t>
        </is>
      </c>
    </row>
    <row r="240">
      <c r="A240" s="11" t="n">
        <v>601</v>
      </c>
      <c r="B240" s="11" t="inlineStr">
        <is>
          <t>untouched</t>
        </is>
      </c>
      <c r="C240" s="11" t="inlineStr">
        <is>
          <t>c4162</t>
        </is>
      </c>
      <c r="D240" s="11" t="inlineStr">
        <is>
          <t>c2635</t>
        </is>
      </c>
      <c r="E240" s="11" t="inlineStr">
        <is>
          <t>1961-07-28</t>
        </is>
      </c>
      <c r="F240" s="11" t="inlineStr">
        <is>
          <t>1966-08-05</t>
        </is>
      </c>
      <c r="G240" s="11" t="n"/>
      <c r="H240" s="11" t="n"/>
      <c r="I240" s="11" t="n"/>
      <c r="J240" s="11" t="n"/>
      <c r="K240" s="11" t="n"/>
      <c r="L240" s="11" t="n"/>
      <c r="M240" s="11" t="n"/>
      <c r="N240" s="2" t="n"/>
    </row>
    <row r="241">
      <c r="A241" s="11" t="n">
        <v>602</v>
      </c>
      <c r="B241" s="11" t="inlineStr">
        <is>
          <t>tune</t>
        </is>
      </c>
      <c r="C241" s="11" t="inlineStr">
        <is>
          <t>c6531</t>
        </is>
      </c>
      <c r="D241" s="11" t="inlineStr">
        <is>
          <t>c5940</t>
        </is>
      </c>
      <c r="E241" s="11" t="inlineStr">
        <is>
          <t>1973-04-25</t>
        </is>
      </c>
      <c r="F241" s="11" t="inlineStr">
        <is>
          <t>1975-07-31</t>
        </is>
      </c>
      <c r="G241" s="11" t="inlineStr">
        <is>
          <t>NEUTRAL</t>
        </is>
      </c>
      <c r="H241" s="11" t="inlineStr">
        <is>
          <t>NEUTRAL</t>
        </is>
      </c>
      <c r="I241" s="11" t="inlineStr">
        <is>
          <t>no</t>
        </is>
      </c>
      <c r="J241" s="11" t="inlineStr"/>
      <c r="K241" s="11" t="inlineStr">
        <is>
          <t>court</t>
        </is>
      </c>
      <c r="L241" s="11" t="inlineStr">
        <is>
          <t>yes</t>
        </is>
      </c>
      <c r="M241" s="11" t="inlineStr">
        <is>
          <t>cite/cite</t>
        </is>
      </c>
      <c r="N241" s="2" t="inlineStr">
        <is>
          <t>Before us both sides admitted that the question is covered by the decision of this Court in Raghunath Prasad Poddar v. Commissioner of Income-tax, Calcutta(1) where it was held that such transactions were not speculative transactions within the meaning of explanation 2 to sec. 24(1).</t>
        </is>
      </c>
    </row>
    <row r="242">
      <c r="A242" s="11" t="n">
        <v>603</v>
      </c>
      <c r="B242" s="11" t="inlineStr">
        <is>
          <t>untouched</t>
        </is>
      </c>
      <c r="C242" s="11" t="inlineStr">
        <is>
          <t>c5375</t>
        </is>
      </c>
      <c r="D242" s="11" t="inlineStr">
        <is>
          <t>c8689</t>
        </is>
      </c>
      <c r="E242" s="11" t="inlineStr">
        <is>
          <t>1977-01-28</t>
        </is>
      </c>
      <c r="F242" s="11" t="inlineStr">
        <is>
          <t>1987-05-11</t>
        </is>
      </c>
      <c r="G242" s="11" t="n"/>
      <c r="H242" s="11" t="n"/>
      <c r="I242" s="11" t="n"/>
      <c r="J242" s="11" t="n"/>
      <c r="K242" s="11" t="n"/>
      <c r="L242" s="11" t="n"/>
      <c r="M242" s="11" t="n"/>
      <c r="N242" s="2" t="n"/>
    </row>
    <row r="243">
      <c r="A243" s="11" t="n">
        <v>604</v>
      </c>
      <c r="B243" s="11" t="inlineStr">
        <is>
          <t>tune</t>
        </is>
      </c>
      <c r="C243" s="11" t="inlineStr">
        <is>
          <t>c2587</t>
        </is>
      </c>
      <c r="D243" s="11" t="inlineStr">
        <is>
          <t>c4751</t>
        </is>
      </c>
      <c r="E243" s="11" t="inlineStr">
        <is>
          <t>1966-09-22</t>
        </is>
      </c>
      <c r="F243" s="11" t="inlineStr">
        <is>
          <t>1979-08-23</t>
        </is>
      </c>
      <c r="G243" s="11" t="inlineStr">
        <is>
          <t>DISTINGUISHES</t>
        </is>
      </c>
      <c r="H243" s="11" t="inlineStr">
        <is>
          <t>DISTINGUISHES</t>
        </is>
      </c>
      <c r="I243" s="11" t="inlineStr">
        <is>
          <t>no</t>
        </is>
      </c>
      <c r="J243" s="11" t="inlineStr">
        <is>
          <t>distinguishing</t>
        </is>
      </c>
      <c r="K243" s="11" t="inlineStr">
        <is>
          <t>court</t>
        </is>
      </c>
      <c r="L243" s="11" t="inlineStr">
        <is>
          <t>yes</t>
        </is>
      </c>
      <c r="M243" s="11" t="inlineStr">
        <is>
          <t>cite/cite</t>
        </is>
      </c>
      <c r="N243" s="2" t="inlineStr">
        <is>
          <t>This apart there is scope for distinguishing Manujendra’s case because clause 7 of the lease deed therein ran as follows:- "Provided always and it is hereby agreed and declared that if it be required that the lessee should vacate the said premises at the end of the said term of 10 years the lessee will be served with a 6 months notice ending with the expiry of the said term and it is further agree</t>
        </is>
      </c>
    </row>
    <row r="244">
      <c r="A244" s="11" t="n">
        <v>605</v>
      </c>
      <c r="B244" s="11" t="inlineStr">
        <is>
          <t>untouched</t>
        </is>
      </c>
      <c r="C244" s="11" t="inlineStr">
        <is>
          <t>c5870</t>
        </is>
      </c>
      <c r="D244" s="11" t="inlineStr">
        <is>
          <t>c4665</t>
        </is>
      </c>
      <c r="E244" s="11" t="inlineStr">
        <is>
          <t>1975-09-17</t>
        </is>
      </c>
      <c r="F244" s="11" t="inlineStr">
        <is>
          <t>1979-11-19</t>
        </is>
      </c>
      <c r="G244" s="11" t="n"/>
      <c r="H244" s="11" t="n"/>
      <c r="I244" s="11" t="n"/>
      <c r="J244" s="11" t="n"/>
      <c r="K244" s="11" t="n"/>
      <c r="L244" s="11" t="n"/>
      <c r="M244" s="11" t="n"/>
      <c r="N244" s="2" t="n"/>
    </row>
    <row r="245">
      <c r="A245" s="11" t="n">
        <v>606</v>
      </c>
      <c r="B245" s="11" t="inlineStr">
        <is>
          <t>tune</t>
        </is>
      </c>
      <c r="C245" s="11" t="inlineStr">
        <is>
          <t>c5289</t>
        </is>
      </c>
      <c r="D245" s="11" t="inlineStr">
        <is>
          <t>c4892</t>
        </is>
      </c>
      <c r="E245" s="11" t="inlineStr">
        <is>
          <t>1977-04-07</t>
        </is>
      </c>
      <c r="F245" s="11" t="inlineStr">
        <is>
          <t>1979-01-24</t>
        </is>
      </c>
      <c r="G245" s="11" t="inlineStr">
        <is>
          <t>DISTINGUISHES</t>
        </is>
      </c>
      <c r="H245" s="11" t="inlineStr">
        <is>
          <t>DISTINGUISHES</t>
        </is>
      </c>
      <c r="I245" s="11" t="inlineStr">
        <is>
          <t>no</t>
        </is>
      </c>
      <c r="J245" s="11" t="inlineStr">
        <is>
          <t>inapplicable</t>
        </is>
      </c>
      <c r="K245" s="11" t="inlineStr">
        <is>
          <t>court</t>
        </is>
      </c>
      <c r="L245" s="11" t="inlineStr">
        <is>
          <t>yes</t>
        </is>
      </c>
      <c r="M245" s="11" t="inlineStr">
        <is>
          <t>cite/cite</t>
        </is>
      </c>
      <c r="N245" s="2" t="inlineStr">
        <is>
          <t>In the first place, the learned Chief Justice distinguished the judgment in the Telco case by observing that the agreement in that case could not be understood without reference to the actual facts to which 1078 it was sought to be applied and extraneous evidence in regard to those facts for explaining "the nature of the special agreement for restricting or distribution of areas" was, therefore, a</t>
        </is>
      </c>
    </row>
    <row r="246">
      <c r="A246" s="11" t="n">
        <v>607</v>
      </c>
      <c r="B246" s="11" t="inlineStr">
        <is>
          <t>untouched</t>
        </is>
      </c>
      <c r="C246" s="11" t="inlineStr">
        <is>
          <t>c19028</t>
        </is>
      </c>
      <c r="D246" s="11" t="inlineStr">
        <is>
          <t>c27701</t>
        </is>
      </c>
      <c r="E246" s="11" t="inlineStr">
        <is>
          <t>2003-03-31</t>
        </is>
      </c>
      <c r="F246" s="11" t="inlineStr">
        <is>
          <t>2006-05-02</t>
        </is>
      </c>
      <c r="G246" s="11" t="n"/>
      <c r="H246" s="11" t="n"/>
      <c r="I246" s="11" t="n"/>
      <c r="J246" s="11" t="n"/>
      <c r="K246" s="11" t="n"/>
      <c r="L246" s="11" t="n"/>
      <c r="M246" s="11" t="n"/>
      <c r="N246" s="2" t="n"/>
    </row>
    <row r="247">
      <c r="A247" s="11" t="n">
        <v>608</v>
      </c>
      <c r="B247" s="11" t="inlineStr">
        <is>
          <t>tune</t>
        </is>
      </c>
      <c r="C247" s="11" t="inlineStr">
        <is>
          <t>c142</t>
        </is>
      </c>
      <c r="D247" s="11" t="inlineStr">
        <is>
          <t>c15675</t>
        </is>
      </c>
      <c r="E247" s="11" t="inlineStr">
        <is>
          <t>1960-08-29</t>
        </is>
      </c>
      <c r="F247" s="11" t="inlineStr">
        <is>
          <t>1996-04-18</t>
        </is>
      </c>
      <c r="G247" s="11" t="inlineStr">
        <is>
          <t>no mention found</t>
        </is>
      </c>
      <c r="H247" s="11" t="inlineStr">
        <is>
          <t>no mention found</t>
        </is>
      </c>
      <c r="I247" s="11" t="inlineStr">
        <is>
          <t>no</t>
        </is>
      </c>
      <c r="J247" s="11" t="inlineStr"/>
      <c r="K247" s="11" t="inlineStr"/>
      <c r="L247" s="11" t="inlineStr">
        <is>
          <t>no</t>
        </is>
      </c>
      <c r="M247" s="11" t="inlineStr">
        <is>
          <t>cite/cite</t>
        </is>
      </c>
      <c r="N247" s="2" t="inlineStr"/>
    </row>
    <row r="248">
      <c r="A248" s="11" t="n">
        <v>611</v>
      </c>
      <c r="B248" s="11" t="inlineStr">
        <is>
          <t>untouched</t>
        </is>
      </c>
      <c r="C248" s="11" t="inlineStr">
        <is>
          <t>c89</t>
        </is>
      </c>
      <c r="D248" s="11" t="inlineStr">
        <is>
          <t>c2774</t>
        </is>
      </c>
      <c r="E248" s="11" t="inlineStr">
        <is>
          <t>1960-10-31</t>
        </is>
      </c>
      <c r="F248" s="11" t="inlineStr">
        <is>
          <t>1965-12-15</t>
        </is>
      </c>
      <c r="G248" s="11" t="n"/>
      <c r="H248" s="11" t="n"/>
      <c r="I248" s="11" t="n"/>
      <c r="J248" s="11" t="n"/>
      <c r="K248" s="11" t="n"/>
      <c r="L248" s="11" t="n"/>
      <c r="M248" s="11" t="n"/>
      <c r="N248" s="2" t="n"/>
    </row>
    <row r="249">
      <c r="A249" s="11" t="n">
        <v>613</v>
      </c>
      <c r="B249" s="11" t="inlineStr">
        <is>
          <t>untouched</t>
        </is>
      </c>
      <c r="C249" s="11" t="inlineStr">
        <is>
          <t>c3233</t>
        </is>
      </c>
      <c r="D249" s="11" t="inlineStr">
        <is>
          <t>c14072</t>
        </is>
      </c>
      <c r="E249" s="11" t="inlineStr">
        <is>
          <t>1964-04-28</t>
        </is>
      </c>
      <c r="F249" s="11" t="inlineStr">
        <is>
          <t>1997-04-24</t>
        </is>
      </c>
      <c r="G249" s="11" t="n"/>
      <c r="H249" s="11" t="n"/>
      <c r="I249" s="11" t="n"/>
      <c r="J249" s="11" t="n"/>
      <c r="K249" s="11" t="n"/>
      <c r="L249" s="11" t="n"/>
      <c r="M249" s="11" t="n"/>
      <c r="N249" s="2" t="n"/>
    </row>
    <row r="250">
      <c r="A250" s="11" t="n">
        <v>614</v>
      </c>
      <c r="B250" s="11" t="inlineStr">
        <is>
          <t>tune</t>
        </is>
      </c>
      <c r="C250" s="11" t="inlineStr">
        <is>
          <t>c4803</t>
        </is>
      </c>
      <c r="D250" s="11" t="inlineStr">
        <is>
          <t>c12844</t>
        </is>
      </c>
      <c r="E250" s="11" t="inlineStr">
        <is>
          <t>1979-05-04</t>
        </is>
      </c>
      <c r="F250" s="11" t="inlineStr">
        <is>
          <t>1991-01-23</t>
        </is>
      </c>
      <c r="G250" s="11" t="inlineStr">
        <is>
          <t>no mention found</t>
        </is>
      </c>
      <c r="H250" s="11" t="inlineStr">
        <is>
          <t>no mention found</t>
        </is>
      </c>
      <c r="I250" s="11" t="inlineStr">
        <is>
          <t>no</t>
        </is>
      </c>
      <c r="J250" s="11" t="inlineStr"/>
      <c r="K250" s="11" t="inlineStr"/>
      <c r="L250" s="11" t="inlineStr">
        <is>
          <t>no</t>
        </is>
      </c>
      <c r="M250" s="11" t="inlineStr">
        <is>
          <t>cite/cite</t>
        </is>
      </c>
      <c r="N250" s="2" t="inlineStr"/>
    </row>
    <row r="251">
      <c r="A251" s="11" t="n">
        <v>615</v>
      </c>
      <c r="B251" s="11" t="inlineStr">
        <is>
          <t>untouched</t>
        </is>
      </c>
      <c r="C251" s="11" t="inlineStr">
        <is>
          <t>c4507</t>
        </is>
      </c>
      <c r="D251" s="11" t="inlineStr">
        <is>
          <t>c9438</t>
        </is>
      </c>
      <c r="E251" s="11" t="inlineStr">
        <is>
          <t>1980-05-09</t>
        </is>
      </c>
      <c r="F251" s="11" t="inlineStr">
        <is>
          <t>1984-10-29</t>
        </is>
      </c>
      <c r="G251" s="11" t="n"/>
      <c r="H251" s="11" t="n"/>
      <c r="I251" s="11" t="n"/>
      <c r="J251" s="11" t="n"/>
      <c r="K251" s="11" t="n"/>
      <c r="L251" s="11" t="n"/>
      <c r="M251" s="11" t="n"/>
      <c r="N251" s="2" t="n"/>
    </row>
    <row r="252">
      <c r="A252" s="11" t="n">
        <v>616</v>
      </c>
      <c r="B252" s="11" t="inlineStr">
        <is>
          <t>tune</t>
        </is>
      </c>
      <c r="C252" s="11" t="inlineStr">
        <is>
          <t>c9691</t>
        </is>
      </c>
      <c r="D252" s="11" t="inlineStr">
        <is>
          <t>c7921</t>
        </is>
      </c>
      <c r="E252" s="11" t="inlineStr">
        <is>
          <t>1983-10-20</t>
        </is>
      </c>
      <c r="F252" s="11" t="inlineStr">
        <is>
          <t>1989-05-02</t>
        </is>
      </c>
      <c r="G252" s="11" t="inlineStr">
        <is>
          <t>NEUTRAL</t>
        </is>
      </c>
      <c r="H252" s="11" t="inlineStr">
        <is>
          <t>NEUTRAL</t>
        </is>
      </c>
      <c r="I252" s="11" t="inlineStr">
        <is>
          <t>no</t>
        </is>
      </c>
      <c r="J252" s="11" t="inlineStr"/>
      <c r="K252" s="11" t="inlineStr">
        <is>
          <t>headnote</t>
        </is>
      </c>
      <c r="L252" s="11" t="inlineStr">
        <is>
          <t>yes</t>
        </is>
      </c>
      <c r="M252" s="11" t="inlineStr">
        <is>
          <t>cite/cite</t>
        </is>
      </c>
      <c r="N252" s="2" t="inlineStr">
        <is>
          <t>In Punjab Tin Supply Company Chandigarh v. Central Government &amp; Ors., [1984] 1 SCR 428 this Court had held that the notification granting exemption advanced the scheme, object and purposes of the Act, and It did ’not violate any of the provisions of the Act and was not discriminatory, 1006 arbitrary or unreasonable.</t>
        </is>
      </c>
    </row>
    <row r="253">
      <c r="A253" s="11" t="n">
        <v>617</v>
      </c>
      <c r="B253" s="11" t="inlineStr">
        <is>
          <t>untouched</t>
        </is>
      </c>
      <c r="C253" s="11" t="inlineStr">
        <is>
          <t>c1680</t>
        </is>
      </c>
      <c r="D253" s="11" t="inlineStr">
        <is>
          <t>c7423</t>
        </is>
      </c>
      <c r="E253" s="11" t="inlineStr">
        <is>
          <t>1969-08-18</t>
        </is>
      </c>
      <c r="F253" s="11" t="inlineStr">
        <is>
          <t>1990-09-11</t>
        </is>
      </c>
      <c r="G253" s="11" t="n"/>
      <c r="H253" s="11" t="n"/>
      <c r="I253" s="11" t="n"/>
      <c r="J253" s="11" t="n"/>
      <c r="K253" s="11" t="n"/>
      <c r="L253" s="11" t="n"/>
      <c r="M253" s="11" t="n"/>
      <c r="N253" s="2" t="n"/>
    </row>
    <row r="254">
      <c r="A254" s="11" t="n">
        <v>619</v>
      </c>
      <c r="B254" s="11" t="inlineStr">
        <is>
          <t>untouched</t>
        </is>
      </c>
      <c r="C254" s="11" t="inlineStr">
        <is>
          <t>c5876</t>
        </is>
      </c>
      <c r="D254" s="11" t="inlineStr">
        <is>
          <t>c9242</t>
        </is>
      </c>
      <c r="E254" s="11" t="inlineStr">
        <is>
          <t>1975-09-15</t>
        </is>
      </c>
      <c r="F254" s="11" t="inlineStr">
        <is>
          <t>1985-07-11</t>
        </is>
      </c>
      <c r="G254" s="11" t="n"/>
      <c r="H254" s="11" t="n"/>
      <c r="I254" s="11" t="n"/>
      <c r="J254" s="11" t="n"/>
      <c r="K254" s="11" t="n"/>
      <c r="L254" s="11" t="n"/>
      <c r="M254" s="11" t="n"/>
      <c r="N254" s="2" t="n"/>
    </row>
    <row r="255">
      <c r="A255" s="11" t="n">
        <v>621</v>
      </c>
      <c r="B255" s="11" t="inlineStr">
        <is>
          <t>untouched</t>
        </is>
      </c>
      <c r="C255" s="11" t="inlineStr">
        <is>
          <t>c4870</t>
        </is>
      </c>
      <c r="D255" s="11" t="inlineStr">
        <is>
          <t>c7649</t>
        </is>
      </c>
      <c r="E255" s="11" t="inlineStr">
        <is>
          <t>1979-02-13</t>
        </is>
      </c>
      <c r="F255" s="11" t="inlineStr">
        <is>
          <t>1990-02-20</t>
        </is>
      </c>
      <c r="G255" s="11" t="n"/>
      <c r="H255" s="11" t="n"/>
      <c r="I255" s="11" t="n"/>
      <c r="J255" s="11" t="n"/>
      <c r="K255" s="11" t="n"/>
      <c r="L255" s="11" t="n"/>
      <c r="M255" s="11" t="n"/>
      <c r="N255" s="2" t="n"/>
    </row>
    <row r="256">
      <c r="A256" s="11" t="n">
        <v>623</v>
      </c>
      <c r="B256" s="11" t="inlineStr">
        <is>
          <t>untouched</t>
        </is>
      </c>
      <c r="C256" s="11" t="inlineStr">
        <is>
          <t>c1378</t>
        </is>
      </c>
      <c r="D256" s="11" t="inlineStr">
        <is>
          <t>c14544</t>
        </is>
      </c>
      <c r="E256" s="11" t="inlineStr">
        <is>
          <t>1970-07-21</t>
        </is>
      </c>
      <c r="F256" s="11" t="inlineStr">
        <is>
          <t>1997-01-28</t>
        </is>
      </c>
      <c r="G256" s="11" t="n"/>
      <c r="H256" s="11" t="n"/>
      <c r="I256" s="11" t="n"/>
      <c r="J256" s="11" t="n"/>
      <c r="K256" s="11" t="n"/>
      <c r="L256" s="11" t="n"/>
      <c r="M256" s="11" t="n"/>
      <c r="N256" s="2" t="n"/>
    </row>
    <row r="257">
      <c r="A257" s="11" t="n">
        <v>624</v>
      </c>
      <c r="B257" s="11" t="inlineStr">
        <is>
          <t>tune</t>
        </is>
      </c>
      <c r="C257" s="11" t="inlineStr">
        <is>
          <t>c1348</t>
        </is>
      </c>
      <c r="D257" s="11" t="inlineStr">
        <is>
          <t>c12470</t>
        </is>
      </c>
      <c r="E257" s="11" t="inlineStr">
        <is>
          <t>1970-09-04</t>
        </is>
      </c>
      <c r="F257" s="11" t="inlineStr">
        <is>
          <t>1992-03-06</t>
        </is>
      </c>
      <c r="G257" s="11" t="inlineStr">
        <is>
          <t>NEUTRAL</t>
        </is>
      </c>
      <c r="H257" s="11" t="inlineStr">
        <is>
          <t>NEUTRAL</t>
        </is>
      </c>
      <c r="I257" s="11" t="inlineStr">
        <is>
          <t>no</t>
        </is>
      </c>
      <c r="J257" s="11" t="inlineStr"/>
      <c r="K257" s="11" t="inlineStr">
        <is>
          <t>headnote</t>
        </is>
      </c>
      <c r="L257" s="11" t="inlineStr">
        <is>
          <t>yes</t>
        </is>
      </c>
      <c r="M257" s="11" t="inlineStr">
        <is>
          <t>cite/cite</t>
        </is>
      </c>
      <c r="N257" s="2" t="inlineStr">
        <is>
          <t>[78F,G] State Bank of Travancore v. Elias Elias &amp; Ors., [1971] 2 SCR 28, referred to.</t>
        </is>
      </c>
    </row>
    <row r="258">
      <c r="A258" s="11" t="n">
        <v>625</v>
      </c>
      <c r="B258" s="11" t="inlineStr">
        <is>
          <t>untouched</t>
        </is>
      </c>
      <c r="C258" s="11" t="inlineStr">
        <is>
          <t>b1995_3_765_772</t>
        </is>
      </c>
      <c r="D258" s="11" t="inlineStr">
        <is>
          <t>c10258</t>
        </is>
      </c>
      <c r="E258" s="11" t="inlineStr">
        <is>
          <t>1995-04-25</t>
        </is>
      </c>
      <c r="F258" s="11" t="inlineStr">
        <is>
          <t>1995-11-29</t>
        </is>
      </c>
      <c r="G258" s="11" t="n"/>
      <c r="H258" s="11" t="n"/>
      <c r="I258" s="11" t="n"/>
      <c r="J258" s="11" t="n"/>
      <c r="K258" s="11" t="n"/>
      <c r="L258" s="11" t="n"/>
      <c r="M258" s="11" t="n"/>
      <c r="N258" s="2" t="n"/>
    </row>
    <row r="259">
      <c r="A259" s="11" t="n">
        <v>627</v>
      </c>
      <c r="B259" s="11" t="inlineStr">
        <is>
          <t>untouched</t>
        </is>
      </c>
      <c r="C259" s="11" t="inlineStr">
        <is>
          <t>c8041</t>
        </is>
      </c>
      <c r="D259" s="11" t="inlineStr">
        <is>
          <t>c10920</t>
        </is>
      </c>
      <c r="E259" s="11" t="inlineStr">
        <is>
          <t>1989-02-14</t>
        </is>
      </c>
      <c r="F259" s="11" t="inlineStr">
        <is>
          <t>1995-01-31</t>
        </is>
      </c>
      <c r="G259" s="11" t="n"/>
      <c r="H259" s="11" t="n"/>
      <c r="I259" s="11" t="n"/>
      <c r="J259" s="11" t="n"/>
      <c r="K259" s="11" t="n"/>
      <c r="L259" s="11" t="n"/>
      <c r="M259" s="11" t="n"/>
      <c r="N259" s="2" t="n"/>
    </row>
    <row r="260">
      <c r="A260" s="11" t="n">
        <v>628</v>
      </c>
      <c r="B260" s="11" t="inlineStr">
        <is>
          <t>tune</t>
        </is>
      </c>
      <c r="C260" s="11" t="inlineStr">
        <is>
          <t>c6248</t>
        </is>
      </c>
      <c r="D260" s="11" t="inlineStr">
        <is>
          <t>c9164</t>
        </is>
      </c>
      <c r="E260" s="11" t="inlineStr">
        <is>
          <t>1974-05-17</t>
        </is>
      </c>
      <c r="F260" s="11" t="inlineStr">
        <is>
          <t>1985-10-17</t>
        </is>
      </c>
      <c r="G260" s="11" t="inlineStr">
        <is>
          <t>OVERRULES</t>
        </is>
      </c>
      <c r="H260" s="11" t="inlineStr">
        <is>
          <t>OVERRULES</t>
        </is>
      </c>
      <c r="I260" s="11" t="inlineStr">
        <is>
          <t>yes</t>
        </is>
      </c>
      <c r="J260" s="11" t="inlineStr">
        <is>
          <t>over-ruled</t>
        </is>
      </c>
      <c r="K260" s="11" t="inlineStr">
        <is>
          <t>headnote</t>
        </is>
      </c>
      <c r="L260" s="11" t="inlineStr">
        <is>
          <t>yes</t>
        </is>
      </c>
      <c r="M260" s="11" t="inlineStr">
        <is>
          <t>cite/cite</t>
        </is>
      </c>
      <c r="N260" s="2" t="inlineStr">
        <is>
          <t>Mysore State Road Transport Corporation v. The Mysore Revenue Appellate Tribunal [1975] 1 S.C.R. 493, over-ruled.</t>
        </is>
      </c>
    </row>
    <row r="261">
      <c r="A261" s="11" t="n">
        <v>629</v>
      </c>
      <c r="B261" s="11" t="inlineStr">
        <is>
          <t>untouched</t>
        </is>
      </c>
      <c r="C261" s="11" t="inlineStr">
        <is>
          <t>c9633</t>
        </is>
      </c>
      <c r="D261" s="11" t="inlineStr">
        <is>
          <t>c13429</t>
        </is>
      </c>
      <c r="E261" s="11" t="inlineStr">
        <is>
          <t>1984-01-05</t>
        </is>
      </c>
      <c r="F261" s="11" t="inlineStr">
        <is>
          <t>1998-02-12</t>
        </is>
      </c>
      <c r="G261" s="11" t="n"/>
      <c r="H261" s="11" t="n"/>
      <c r="I261" s="11" t="n"/>
      <c r="J261" s="11" t="n"/>
      <c r="K261" s="11" t="n"/>
      <c r="L261" s="11" t="n"/>
      <c r="M261" s="11" t="n"/>
      <c r="N261" s="2" t="n"/>
    </row>
    <row r="262">
      <c r="A262" s="11" t="n">
        <v>630</v>
      </c>
      <c r="B262" s="11" t="inlineStr">
        <is>
          <t>tune</t>
        </is>
      </c>
      <c r="C262" s="11" t="inlineStr">
        <is>
          <t>c2008</t>
        </is>
      </c>
      <c r="D262" s="11" t="inlineStr">
        <is>
          <t>c5125</t>
        </is>
      </c>
      <c r="E262" s="11" t="inlineStr">
        <is>
          <t>1968-08-07</t>
        </is>
      </c>
      <c r="F262" s="11" t="inlineStr">
        <is>
          <t>1978-02-21</t>
        </is>
      </c>
      <c r="G262" s="11" t="inlineStr">
        <is>
          <t>OVERRULES</t>
        </is>
      </c>
      <c r="H262" s="11" t="inlineStr">
        <is>
          <t>OVERRULES</t>
        </is>
      </c>
      <c r="I262" s="11" t="inlineStr">
        <is>
          <t>yes</t>
        </is>
      </c>
      <c r="J262" s="11" t="inlineStr">
        <is>
          <t>over-ruled</t>
        </is>
      </c>
      <c r="K262" s="11" t="inlineStr">
        <is>
          <t>headnote</t>
        </is>
      </c>
      <c r="L262" s="11" t="inlineStr">
        <is>
          <t>yes</t>
        </is>
      </c>
      <c r="M262" s="11" t="inlineStr">
        <is>
          <t>cite/cite</t>
        </is>
      </c>
      <c r="N262" s="2" t="inlineStr">
        <is>
          <t>Cricket Club of India v. Bombay Labour Union &amp; Anr. [1969] 1 SCR 600= AIR [1969] SC 276 over-ruled; Hospital Mazdoor’s case AIR 1960 S.C. 610 approved.</t>
        </is>
      </c>
    </row>
    <row r="263">
      <c r="A263" s="11" t="n">
        <v>631</v>
      </c>
      <c r="B263" s="11" t="inlineStr">
        <is>
          <t>untouched</t>
        </is>
      </c>
      <c r="C263" s="11" t="inlineStr">
        <is>
          <t>c7921</t>
        </is>
      </c>
      <c r="D263" s="11" t="inlineStr">
        <is>
          <t>c13429</t>
        </is>
      </c>
      <c r="E263" s="11" t="inlineStr">
        <is>
          <t>1989-05-02</t>
        </is>
      </c>
      <c r="F263" s="11" t="inlineStr">
        <is>
          <t>1998-02-12</t>
        </is>
      </c>
      <c r="G263" s="11" t="n"/>
      <c r="H263" s="11" t="n"/>
      <c r="I263" s="11" t="n"/>
      <c r="J263" s="11" t="n"/>
      <c r="K263" s="11" t="n"/>
      <c r="L263" s="11" t="n"/>
      <c r="M263" s="11" t="n"/>
      <c r="N263" s="2" t="n"/>
    </row>
    <row r="264">
      <c r="A264" s="11" t="n">
        <v>632</v>
      </c>
      <c r="B264" s="11" t="inlineStr">
        <is>
          <t>tune</t>
        </is>
      </c>
      <c r="C264" s="11" t="inlineStr">
        <is>
          <t>c4226</t>
        </is>
      </c>
      <c r="D264" s="11" t="inlineStr">
        <is>
          <t>c2906</t>
        </is>
      </c>
      <c r="E264" s="11" t="inlineStr">
        <is>
          <t>1961-04-19</t>
        </is>
      </c>
      <c r="F264" s="11" t="inlineStr">
        <is>
          <t>1965-08-27</t>
        </is>
      </c>
      <c r="G264" s="11" t="inlineStr">
        <is>
          <t>OVERRULES</t>
        </is>
      </c>
      <c r="H264" s="11" t="inlineStr">
        <is>
          <t>OVERRULES</t>
        </is>
      </c>
      <c r="I264" s="11" t="inlineStr">
        <is>
          <t>yes</t>
        </is>
      </c>
      <c r="J264" s="11" t="inlineStr">
        <is>
          <t>disapproved</t>
        </is>
      </c>
      <c r="K264" s="11" t="inlineStr">
        <is>
          <t>headnote</t>
        </is>
      </c>
      <c r="L264" s="11" t="inlineStr">
        <is>
          <t>yes</t>
        </is>
      </c>
      <c r="M264" s="11" t="inlineStr">
        <is>
          <t>cite/cite</t>
        </is>
      </c>
      <c r="N264" s="2" t="inlineStr">
        <is>
          <t>[627 D-E] Sakharam v. Manikchand, [1962] 2 S.C.R. 59, disapproved.</t>
        </is>
      </c>
    </row>
    <row r="265">
      <c r="A265" s="11" t="n">
        <v>633</v>
      </c>
      <c r="B265" s="11" t="inlineStr">
        <is>
          <t>untouched</t>
        </is>
      </c>
      <c r="C265" s="11" t="inlineStr">
        <is>
          <t>c4545</t>
        </is>
      </c>
      <c r="D265" s="11" t="inlineStr">
        <is>
          <t>c9186</t>
        </is>
      </c>
      <c r="E265" s="11" t="inlineStr">
        <is>
          <t>1980-04-16</t>
        </is>
      </c>
      <c r="F265" s="11" t="inlineStr">
        <is>
          <t>1985-09-30</t>
        </is>
      </c>
      <c r="G265" s="11" t="n"/>
      <c r="H265" s="11" t="n"/>
      <c r="I265" s="11" t="n"/>
      <c r="J265" s="11" t="n"/>
      <c r="K265" s="11" t="n"/>
      <c r="L265" s="11" t="n"/>
      <c r="M265" s="11" t="n"/>
      <c r="N265" s="2" t="n"/>
    </row>
    <row r="266">
      <c r="A266" s="11" t="n">
        <v>635</v>
      </c>
      <c r="B266" s="11" t="inlineStr">
        <is>
          <t>untouched</t>
        </is>
      </c>
      <c r="C266" s="11" t="inlineStr">
        <is>
          <t>bS_1991_3_112_116</t>
        </is>
      </c>
      <c r="D266" s="11" t="inlineStr">
        <is>
          <t>c31845</t>
        </is>
      </c>
      <c r="E266" s="11" t="inlineStr">
        <is>
          <t>1991-12-05</t>
        </is>
      </c>
      <c r="F266" s="11" t="inlineStr">
        <is>
          <t>1999-10-28</t>
        </is>
      </c>
      <c r="G266" s="11" t="n"/>
      <c r="H266" s="11" t="n"/>
      <c r="I266" s="11" t="n"/>
      <c r="J266" s="11" t="n"/>
      <c r="K266" s="11" t="n"/>
      <c r="L266" s="11" t="n"/>
      <c r="M266" s="11" t="n"/>
      <c r="N266" s="2" t="n"/>
    </row>
    <row r="267">
      <c r="A267" s="11" t="n">
        <v>636</v>
      </c>
      <c r="B267" s="11" t="inlineStr">
        <is>
          <t>tune</t>
        </is>
      </c>
      <c r="C267" s="11" t="inlineStr">
        <is>
          <t>c3684</t>
        </is>
      </c>
      <c r="D267" s="11" t="inlineStr">
        <is>
          <t>c5174</t>
        </is>
      </c>
      <c r="E267" s="11" t="inlineStr">
        <is>
          <t>1962-11-26</t>
        </is>
      </c>
      <c r="F267" s="11" t="inlineStr">
        <is>
          <t>1977-12-16</t>
        </is>
      </c>
      <c r="G267" s="11" t="inlineStr">
        <is>
          <t>OVERRULES</t>
        </is>
      </c>
      <c r="H267" s="11" t="inlineStr">
        <is>
          <t>OVERRULES</t>
        </is>
      </c>
      <c r="I267" s="11" t="inlineStr">
        <is>
          <t>yes</t>
        </is>
      </c>
      <c r="J267" s="11" t="inlineStr">
        <is>
          <t>overruled</t>
        </is>
      </c>
      <c r="K267" s="11" t="inlineStr">
        <is>
          <t>headnote</t>
        </is>
      </c>
      <c r="L267" s="11" t="inlineStr">
        <is>
          <t>yes</t>
        </is>
      </c>
      <c r="M267" s="11" t="inlineStr">
        <is>
          <t>cite/cite</t>
        </is>
      </c>
      <c r="N267" s="2" t="inlineStr">
        <is>
          <t>[464C-D] Majority decision in New India Sugar Mills v. Commissioner of Sales Tax, Bihar, AIR 1963 SC 1207; [1963] Supp. 2 SCR 459 overruled.</t>
        </is>
      </c>
    </row>
    <row r="268">
      <c r="A268" s="11" t="n">
        <v>639</v>
      </c>
      <c r="B268" s="11" t="inlineStr">
        <is>
          <t>untouched</t>
        </is>
      </c>
      <c r="C268" s="11" t="inlineStr">
        <is>
          <t>c8887</t>
        </is>
      </c>
      <c r="D268" s="11" t="inlineStr">
        <is>
          <t>c20683</t>
        </is>
      </c>
      <c r="E268" s="11" t="inlineStr">
        <is>
          <t>1986-11-28</t>
        </is>
      </c>
      <c r="F268" s="11" t="inlineStr">
        <is>
          <t>2003-02-19</t>
        </is>
      </c>
      <c r="G268" s="11" t="n"/>
      <c r="H268" s="11" t="n"/>
      <c r="I268" s="11" t="n"/>
      <c r="J268" s="11" t="n"/>
      <c r="K268" s="11" t="n"/>
      <c r="L268" s="11" t="n"/>
      <c r="M268" s="11" t="n"/>
      <c r="N268" s="2" t="n"/>
    </row>
    <row r="269">
      <c r="A269" s="11" t="n">
        <v>640</v>
      </c>
      <c r="B269" s="11" t="inlineStr">
        <is>
          <t>tune</t>
        </is>
      </c>
      <c r="C269" s="11" t="inlineStr">
        <is>
          <t>c5272</t>
        </is>
      </c>
      <c r="D269" s="11" t="inlineStr">
        <is>
          <t>c9950</t>
        </is>
      </c>
      <c r="E269" s="11" t="inlineStr">
        <is>
          <t>1977-05-06</t>
        </is>
      </c>
      <c r="F269" s="11" t="inlineStr">
        <is>
          <t>1981-12-28</t>
        </is>
      </c>
      <c r="G269" s="11" t="inlineStr">
        <is>
          <t>no mention found</t>
        </is>
      </c>
      <c r="H269" s="11" t="inlineStr">
        <is>
          <t>no mention found</t>
        </is>
      </c>
      <c r="I269" s="11" t="inlineStr">
        <is>
          <t>no</t>
        </is>
      </c>
      <c r="J269" s="11" t="inlineStr"/>
      <c r="K269" s="11" t="inlineStr"/>
      <c r="L269" s="11" t="inlineStr">
        <is>
          <t>no</t>
        </is>
      </c>
      <c r="M269" s="11" t="inlineStr">
        <is>
          <t>cite/cite</t>
        </is>
      </c>
      <c r="N269" s="2" t="inlineStr"/>
    </row>
    <row r="270">
      <c r="A270" s="11" t="n">
        <v>641</v>
      </c>
      <c r="B270" s="11" t="inlineStr">
        <is>
          <t>untouched</t>
        </is>
      </c>
      <c r="C270" s="11" t="inlineStr">
        <is>
          <t>c3816</t>
        </is>
      </c>
      <c r="D270" s="11" t="inlineStr">
        <is>
          <t>c4751</t>
        </is>
      </c>
      <c r="E270" s="11" t="inlineStr">
        <is>
          <t>1962-05-04</t>
        </is>
      </c>
      <c r="F270" s="11" t="inlineStr">
        <is>
          <t>1979-08-23</t>
        </is>
      </c>
      <c r="G270" s="11" t="n"/>
      <c r="H270" s="11" t="n"/>
      <c r="I270" s="11" t="n"/>
      <c r="J270" s="11" t="n"/>
      <c r="K270" s="11" t="n"/>
      <c r="L270" s="11" t="n"/>
      <c r="M270" s="11" t="n"/>
      <c r="N270" s="2" t="n"/>
    </row>
    <row r="271">
      <c r="A271" s="11" t="n">
        <v>642</v>
      </c>
      <c r="B271" s="11" t="inlineStr">
        <is>
          <t>tune</t>
        </is>
      </c>
      <c r="C271" s="11" t="inlineStr">
        <is>
          <t>c9386</t>
        </is>
      </c>
      <c r="D271" s="11" t="inlineStr">
        <is>
          <t>c10223</t>
        </is>
      </c>
      <c r="E271" s="11" t="inlineStr">
        <is>
          <t>1985-01-22</t>
        </is>
      </c>
      <c r="F271" s="11" t="inlineStr">
        <is>
          <t>1995-12-05</t>
        </is>
      </c>
      <c r="G271" s="11" t="inlineStr">
        <is>
          <t>DISAGREES</t>
        </is>
      </c>
      <c r="H271" s="11" t="inlineStr">
        <is>
          <t>DISAGREES</t>
        </is>
      </c>
      <c r="I271" s="11" t="inlineStr">
        <is>
          <t>yes</t>
        </is>
      </c>
      <c r="J271" s="11" t="inlineStr">
        <is>
          <t>not correctly laid down</t>
        </is>
      </c>
      <c r="K271" s="11" t="inlineStr">
        <is>
          <t>court</t>
        </is>
      </c>
      <c r="L271" s="11" t="inlineStr">
        <is>
          <t>yes</t>
        </is>
      </c>
      <c r="M271" s="11" t="inlineStr">
        <is>
          <t>cite/cite</t>
        </is>
      </c>
      <c r="N271" s="2" t="inlineStr">
        <is>
          <t>We are of the considered view that law was not correctly laid down in Bhartu’s case / by the majority in Piars Singh’s case.</t>
        </is>
      </c>
    </row>
    <row r="272">
      <c r="A272" s="11" t="n">
        <v>647</v>
      </c>
      <c r="B272" s="11" t="inlineStr">
        <is>
          <t>untouched</t>
        </is>
      </c>
      <c r="C272" s="11" t="inlineStr">
        <is>
          <t>c9299</t>
        </is>
      </c>
      <c r="D272" s="11" t="inlineStr">
        <is>
          <t>c11008</t>
        </is>
      </c>
      <c r="E272" s="11" t="inlineStr">
        <is>
          <t>1985-04-23</t>
        </is>
      </c>
      <c r="F272" s="11" t="inlineStr">
        <is>
          <t>1995-01-05</t>
        </is>
      </c>
      <c r="G272" s="11" t="n"/>
      <c r="H272" s="11" t="n"/>
      <c r="I272" s="11" t="n"/>
      <c r="J272" s="11" t="n"/>
      <c r="K272" s="11" t="n"/>
      <c r="L272" s="11" t="n"/>
      <c r="M272" s="11" t="n"/>
      <c r="N272" s="2" t="n"/>
    </row>
    <row r="273">
      <c r="A273" s="11" t="n">
        <v>648</v>
      </c>
      <c r="B273" s="11" t="inlineStr">
        <is>
          <t>tune</t>
        </is>
      </c>
      <c r="C273" s="11" t="inlineStr">
        <is>
          <t>c4263</t>
        </is>
      </c>
      <c r="D273" s="11" t="inlineStr">
        <is>
          <t>c4946</t>
        </is>
      </c>
      <c r="E273" s="11" t="inlineStr">
        <is>
          <t>1961-03-30</t>
        </is>
      </c>
      <c r="F273" s="11" t="inlineStr">
        <is>
          <t>1978-11-07</t>
        </is>
      </c>
      <c r="G273" s="11" t="inlineStr">
        <is>
          <t>NEUTRAL</t>
        </is>
      </c>
      <c r="H273" s="11" t="inlineStr">
        <is>
          <t>NEUTRAL</t>
        </is>
      </c>
      <c r="I273" s="11" t="inlineStr">
        <is>
          <t>no</t>
        </is>
      </c>
      <c r="J273" s="11" t="inlineStr"/>
      <c r="K273" s="11" t="inlineStr">
        <is>
          <t>headnote</t>
        </is>
      </c>
      <c r="L273" s="11" t="inlineStr">
        <is>
          <t>yes</t>
        </is>
      </c>
      <c r="M273" s="11" t="inlineStr">
        <is>
          <t>cite/cite</t>
        </is>
      </c>
      <c r="N273" s="2" t="inlineStr">
        <is>
          <t>Pramatha Nath v. Secretary of State, ILR 57 Cal. 1148; Ezra v. Secretary of State for India ILR 32 Cal. 60S and ILR 30 Cal. 36; Harish Chandra v. Deputy Land Acquisition officer, [1962] 1 SCR 676; and The Administrator General of Bengal v. The Land Acquisition Collector, 24 Parganas, [1907-8] 12 CWN 241; referred to.</t>
        </is>
      </c>
    </row>
    <row r="274">
      <c r="A274" s="11" t="n">
        <v>649</v>
      </c>
      <c r="B274" s="11" t="inlineStr">
        <is>
          <t>untouched</t>
        </is>
      </c>
      <c r="C274" s="11" t="inlineStr">
        <is>
          <t>c6226</t>
        </is>
      </c>
      <c r="D274" s="11" t="inlineStr">
        <is>
          <t>c4751</t>
        </is>
      </c>
      <c r="E274" s="11" t="inlineStr">
        <is>
          <t>1974-08-14</t>
        </is>
      </c>
      <c r="F274" s="11" t="inlineStr">
        <is>
          <t>1979-08-23</t>
        </is>
      </c>
      <c r="G274" s="11" t="n"/>
      <c r="H274" s="11" t="n"/>
      <c r="I274" s="11" t="n"/>
      <c r="J274" s="11" t="n"/>
      <c r="K274" s="11" t="n"/>
      <c r="L274" s="11" t="n"/>
      <c r="M274" s="11" t="n"/>
      <c r="N274" s="2" t="n"/>
    </row>
    <row r="275">
      <c r="A275" s="11" t="n">
        <v>650</v>
      </c>
      <c r="B275" s="11" t="inlineStr">
        <is>
          <t>tune</t>
        </is>
      </c>
      <c r="C275" s="11" t="inlineStr">
        <is>
          <t>c6166</t>
        </is>
      </c>
      <c r="D275" s="11" t="inlineStr">
        <is>
          <t>c4751</t>
        </is>
      </c>
      <c r="E275" s="11" t="inlineStr">
        <is>
          <t>1974-10-11</t>
        </is>
      </c>
      <c r="F275" s="11" t="inlineStr">
        <is>
          <t>1979-08-23</t>
        </is>
      </c>
      <c r="G275" s="11" t="inlineStr">
        <is>
          <t>FOLLOWS</t>
        </is>
      </c>
      <c r="H275" s="11" t="inlineStr">
        <is>
          <t>FOLLOWS</t>
        </is>
      </c>
      <c r="I275" s="11" t="inlineStr">
        <is>
          <t>no</t>
        </is>
      </c>
      <c r="J275" s="11" t="inlineStr">
        <is>
          <t>following</t>
        </is>
      </c>
      <c r="K275" s="11" t="inlineStr">
        <is>
          <t>court</t>
        </is>
      </c>
      <c r="L275" s="11" t="inlineStr">
        <is>
          <t>yes</t>
        </is>
      </c>
      <c r="M275" s="11" t="inlineStr">
        <is>
          <t>cite/cite</t>
        </is>
      </c>
      <c r="N275" s="2" t="inlineStr">
        <is>
          <t>Beg J. as he then was in P. J. Gupta &amp; Co. v. K. Venkatesan Merchant &amp; Ors. speaking for himself and Krishna Iyer J. following Raval’s case observed at page 403:- "In other words, the special procedure provided by the Act displaces the requirements of the procedure for eviction under the Transfer of Property Act and by an ordinary civil suit.</t>
        </is>
      </c>
    </row>
    <row r="276">
      <c r="A276" s="11" t="n">
        <v>651</v>
      </c>
      <c r="B276" s="11" t="inlineStr">
        <is>
          <t>untouched</t>
        </is>
      </c>
      <c r="C276" s="11" t="inlineStr">
        <is>
          <t>c6001</t>
        </is>
      </c>
      <c r="D276" s="11" t="inlineStr">
        <is>
          <t>c4751</t>
        </is>
      </c>
      <c r="E276" s="11" t="inlineStr">
        <is>
          <t>1975-04-03</t>
        </is>
      </c>
      <c r="F276" s="11" t="inlineStr">
        <is>
          <t>1979-08-23</t>
        </is>
      </c>
      <c r="G276" s="11" t="n"/>
      <c r="H276" s="11" t="n"/>
      <c r="I276" s="11" t="n"/>
      <c r="J276" s="11" t="n"/>
      <c r="K276" s="11" t="n"/>
      <c r="L276" s="11" t="n"/>
      <c r="M276" s="11" t="n"/>
      <c r="N276" s="2" t="n"/>
    </row>
    <row r="277">
      <c r="A277" s="11" t="n">
        <v>652</v>
      </c>
      <c r="B277" s="11" t="inlineStr">
        <is>
          <t>tune</t>
        </is>
      </c>
      <c r="C277" s="11" t="inlineStr">
        <is>
          <t>c4509</t>
        </is>
      </c>
      <c r="D277" s="11" t="inlineStr">
        <is>
          <t>c9063</t>
        </is>
      </c>
      <c r="E277" s="11" t="inlineStr">
        <is>
          <t>1980-05-09</t>
        </is>
      </c>
      <c r="F277" s="11" t="inlineStr">
        <is>
          <t>1986-04-15</t>
        </is>
      </c>
      <c r="G277" s="11" t="inlineStr">
        <is>
          <t>DISTINGUISHES</t>
        </is>
      </c>
      <c r="H277" s="11" t="inlineStr">
        <is>
          <t>DISTINGUISHES</t>
        </is>
      </c>
      <c r="I277" s="11" t="inlineStr">
        <is>
          <t>no</t>
        </is>
      </c>
      <c r="J277" s="11" t="inlineStr">
        <is>
          <t>distinguished</t>
        </is>
      </c>
      <c r="K277" s="11" t="inlineStr">
        <is>
          <t>headnote</t>
        </is>
      </c>
      <c r="L277" s="11" t="inlineStr">
        <is>
          <t>yes</t>
        </is>
      </c>
      <c r="M277" s="11" t="inlineStr">
        <is>
          <t>cite/cite</t>
        </is>
      </c>
      <c r="N277" s="2" t="inlineStr">
        <is>
          <t>Deputy Commissioner, Sales-tax (Law) Board of Revenue (Taxes) Ernakulam v. Pio Food Packers, [1980] 3 S.C.R. 1271 and Chiranjit Lal Anand v. State of Assam and Anr., [1985] A.I.R. S.C. 1387, distinguished.</t>
        </is>
      </c>
    </row>
    <row r="278">
      <c r="A278" s="11" t="n">
        <v>653</v>
      </c>
      <c r="B278" s="11" t="inlineStr">
        <is>
          <t>untouched</t>
        </is>
      </c>
      <c r="C278" s="11" t="inlineStr">
        <is>
          <t>c10004</t>
        </is>
      </c>
      <c r="D278" s="11" t="inlineStr">
        <is>
          <t>c17675</t>
        </is>
      </c>
      <c r="E278" s="11" t="inlineStr">
        <is>
          <t>1981-09-02</t>
        </is>
      </c>
      <c r="F278" s="11" t="inlineStr">
        <is>
          <t>2001-03-27</t>
        </is>
      </c>
      <c r="G278" s="11" t="n"/>
      <c r="H278" s="11" t="n"/>
      <c r="I278" s="11" t="n"/>
      <c r="J278" s="11" t="n"/>
      <c r="K278" s="11" t="n"/>
      <c r="L278" s="11" t="n"/>
      <c r="M278" s="11" t="n"/>
      <c r="N278" s="2" t="n"/>
    </row>
    <row r="279">
      <c r="A279" s="11" t="n">
        <v>656</v>
      </c>
      <c r="B279" s="11" t="inlineStr">
        <is>
          <t>tune</t>
        </is>
      </c>
      <c r="C279" s="11" t="inlineStr">
        <is>
          <t>c7281</t>
        </is>
      </c>
      <c r="D279" s="11" t="inlineStr">
        <is>
          <t>c20253</t>
        </is>
      </c>
      <c r="E279" s="11" t="inlineStr">
        <is>
          <t>1971-01-15</t>
        </is>
      </c>
      <c r="F279" s="11" t="inlineStr">
        <is>
          <t>2000-02-28</t>
        </is>
      </c>
      <c r="G279" s="11" t="inlineStr">
        <is>
          <t>NEUTRAL</t>
        </is>
      </c>
      <c r="H279" s="11" t="inlineStr">
        <is>
          <t>NEUTRAL</t>
        </is>
      </c>
      <c r="I279" s="11" t="inlineStr">
        <is>
          <t>no</t>
        </is>
      </c>
      <c r="J279" s="11" t="inlineStr"/>
      <c r="K279" s="11" t="inlineStr">
        <is>
          <t>court</t>
        </is>
      </c>
      <c r="L279" s="11" t="inlineStr">
        <is>
          <t>no</t>
        </is>
      </c>
      <c r="M279" s="11" t="inlineStr">
        <is>
          <t>cite/cite</t>
        </is>
      </c>
      <c r="N279" s="2" t="inlineStr">
        <is>
          <t>Before going into the above Report of the Special Committee which preceded the Partnership Act, 1932, it will be necessary to refer to the case in Commissioner of Income Tax, AP v. Jayalakshmi Rice and Oil Mills Contractor Co., [1971] 1 SCC 280, where this Court refused to refer to this very Report for construing Section 59 of the Partnership Act.</t>
        </is>
      </c>
    </row>
    <row r="280">
      <c r="A280" s="11" t="n">
        <v>658</v>
      </c>
      <c r="B280" s="11" t="inlineStr">
        <is>
          <t>tune</t>
        </is>
      </c>
      <c r="C280" s="11" t="inlineStr">
        <is>
          <t>c6294</t>
        </is>
      </c>
      <c r="D280" s="11" t="inlineStr">
        <is>
          <t>c6219</t>
        </is>
      </c>
      <c r="E280" s="11" t="inlineStr">
        <is>
          <t>1974-03-28</t>
        </is>
      </c>
      <c r="F280" s="11" t="inlineStr">
        <is>
          <t>1974-08-21</t>
        </is>
      </c>
      <c r="G280" s="11" t="inlineStr">
        <is>
          <t>OVERRULES</t>
        </is>
      </c>
      <c r="H280" s="11" t="inlineStr">
        <is>
          <t>OVERRULES</t>
        </is>
      </c>
      <c r="I280" s="11" t="inlineStr">
        <is>
          <t>yes</t>
        </is>
      </c>
      <c r="J280" s="11" t="inlineStr">
        <is>
          <t>overruled</t>
        </is>
      </c>
      <c r="K280" s="11" t="inlineStr">
        <is>
          <t>headnote</t>
        </is>
      </c>
      <c r="L280" s="11" t="inlineStr">
        <is>
          <t>yes</t>
        </is>
      </c>
      <c r="M280" s="11" t="inlineStr">
        <is>
          <t>cite/cite</t>
        </is>
      </c>
      <c r="N280" s="2" t="inlineStr">
        <is>
          <t>Biram Chand v. State of Uttar Pradesh &amp; Ors, AIR 1974 SC 1161 overruled.</t>
        </is>
      </c>
    </row>
    <row r="281">
      <c r="A281" s="11" t="n">
        <v>659</v>
      </c>
      <c r="B281" s="11" t="inlineStr">
        <is>
          <t>untouched</t>
        </is>
      </c>
      <c r="C281" s="11" t="inlineStr">
        <is>
          <t>c12596</t>
        </is>
      </c>
      <c r="D281" s="11" t="inlineStr">
        <is>
          <t>c18806</t>
        </is>
      </c>
      <c r="E281" s="11" t="inlineStr">
        <is>
          <t>1991-10-09</t>
        </is>
      </c>
      <c r="F281" s="11" t="inlineStr">
        <is>
          <t>2002-09-26</t>
        </is>
      </c>
      <c r="G281" s="11" t="n"/>
      <c r="H281" s="11" t="n"/>
      <c r="I281" s="11" t="n"/>
      <c r="J281" s="11" t="n"/>
      <c r="K281" s="11" t="n"/>
      <c r="L281" s="11" t="n"/>
      <c r="M281" s="11" t="n"/>
      <c r="N281" s="2" t="n"/>
    </row>
    <row r="282">
      <c r="A282" s="11" t="n">
        <v>660</v>
      </c>
      <c r="B282" s="11" t="inlineStr">
        <is>
          <t>tune</t>
        </is>
      </c>
      <c r="C282" s="11" t="inlineStr">
        <is>
          <t>c1513</t>
        </is>
      </c>
      <c r="D282" s="11" t="inlineStr">
        <is>
          <t>c8918</t>
        </is>
      </c>
      <c r="E282" s="11" t="inlineStr">
        <is>
          <t>1970-01-30</t>
        </is>
      </c>
      <c r="F282" s="11" t="inlineStr">
        <is>
          <t>1986-10-29</t>
        </is>
      </c>
      <c r="G282" s="11" t="inlineStr">
        <is>
          <t>OVERRULES</t>
        </is>
      </c>
      <c r="H282" s="11" t="inlineStr">
        <is>
          <t>OVERRULES</t>
        </is>
      </c>
      <c r="I282" s="11" t="inlineStr">
        <is>
          <t>yes</t>
        </is>
      </c>
      <c r="J282" s="11" t="inlineStr">
        <is>
          <t>disapproved</t>
        </is>
      </c>
      <c r="K282" s="11" t="inlineStr">
        <is>
          <t>court</t>
        </is>
      </c>
      <c r="L282" s="11" t="inlineStr">
        <is>
          <t>yes</t>
        </is>
      </c>
      <c r="M282" s="11" t="inlineStr">
        <is>
          <t>cite/cite</t>
        </is>
      </c>
      <c r="N282" s="2" t="inlineStr">
        <is>
          <t>But this Court in R.S. Joshi’s case (supra) clearly and categorically disapproved of the decision in Ashoka Marketing Company’s case and reaffirmed the view taken in Orient Paper Mill’s case (supra).</t>
        </is>
      </c>
    </row>
    <row r="283">
      <c r="A283" s="11" t="n">
        <v>661</v>
      </c>
      <c r="B283" s="11" t="inlineStr">
        <is>
          <t>untouched</t>
        </is>
      </c>
      <c r="C283" s="11" t="inlineStr">
        <is>
          <t>c12663</t>
        </is>
      </c>
      <c r="D283" s="11" t="inlineStr">
        <is>
          <t>c17635</t>
        </is>
      </c>
      <c r="E283" s="11" t="inlineStr">
        <is>
          <t>1991-08-14</t>
        </is>
      </c>
      <c r="F283" s="11" t="inlineStr">
        <is>
          <t>2001-02-23</t>
        </is>
      </c>
      <c r="G283" s="11" t="n"/>
      <c r="H283" s="11" t="n"/>
      <c r="I283" s="11" t="n"/>
      <c r="J283" s="11" t="n"/>
      <c r="K283" s="11" t="n"/>
      <c r="L283" s="11" t="n"/>
      <c r="M283" s="11" t="n"/>
      <c r="N283" s="2" t="n"/>
    </row>
    <row r="284">
      <c r="A284" s="11" t="n">
        <v>663</v>
      </c>
      <c r="B284" s="11" t="inlineStr">
        <is>
          <t>untouched</t>
        </is>
      </c>
      <c r="C284" s="11" t="inlineStr">
        <is>
          <t>c5600</t>
        </is>
      </c>
      <c r="D284" s="11" t="inlineStr">
        <is>
          <t>c7515</t>
        </is>
      </c>
      <c r="E284" s="11" t="inlineStr">
        <is>
          <t>1976-05-07</t>
        </is>
      </c>
      <c r="F284" s="11" t="inlineStr">
        <is>
          <t>1990-05-03</t>
        </is>
      </c>
      <c r="G284" s="11" t="n"/>
      <c r="H284" s="11" t="n"/>
      <c r="I284" s="11" t="n"/>
      <c r="J284" s="11" t="n"/>
      <c r="K284" s="11" t="n"/>
      <c r="L284" s="11" t="n"/>
      <c r="M284" s="11" t="n"/>
      <c r="N284" s="2" t="n"/>
    </row>
    <row r="285">
      <c r="A285" s="11" t="n">
        <v>665</v>
      </c>
      <c r="B285" s="11" t="inlineStr">
        <is>
          <t>untouched</t>
        </is>
      </c>
      <c r="C285" s="11" t="inlineStr">
        <is>
          <t>c8920</t>
        </is>
      </c>
      <c r="D285" s="11" t="inlineStr">
        <is>
          <t>c13368</t>
        </is>
      </c>
      <c r="E285" s="11" t="inlineStr">
        <is>
          <t>1986-10-27</t>
        </is>
      </c>
      <c r="F285" s="11" t="inlineStr">
        <is>
          <t>1998-03-04</t>
        </is>
      </c>
      <c r="G285" s="11" t="n"/>
      <c r="H285" s="11" t="n"/>
      <c r="I285" s="11" t="n"/>
      <c r="J285" s="11" t="n"/>
      <c r="K285" s="11" t="n"/>
      <c r="L285" s="11" t="n"/>
      <c r="M285" s="11" t="n"/>
      <c r="N285" s="2" t="n"/>
    </row>
    <row r="286">
      <c r="A286" s="11" t="n">
        <v>666</v>
      </c>
      <c r="B286" s="11" t="inlineStr">
        <is>
          <t>tune</t>
        </is>
      </c>
      <c r="C286" s="11" t="inlineStr">
        <is>
          <t>c8200</t>
        </is>
      </c>
      <c r="D286" s="11" t="inlineStr">
        <is>
          <t>c31856</t>
        </is>
      </c>
      <c r="E286" s="11" t="inlineStr">
        <is>
          <t>1988-09-07</t>
        </is>
      </c>
      <c r="F286" s="11" t="inlineStr">
        <is>
          <t>1995-04-17</t>
        </is>
      </c>
      <c r="G286" s="11" t="inlineStr">
        <is>
          <t>FOLLOWS</t>
        </is>
      </c>
      <c r="H286" s="11" t="inlineStr">
        <is>
          <t>FOLLOWS</t>
        </is>
      </c>
      <c r="I286" s="11" t="inlineStr">
        <is>
          <t>no</t>
        </is>
      </c>
      <c r="J286" s="11" t="inlineStr">
        <is>
          <t>law laid down</t>
        </is>
      </c>
      <c r="K286" s="11" t="inlineStr">
        <is>
          <t>counsel</t>
        </is>
      </c>
      <c r="L286" s="11" t="inlineStr">
        <is>
          <t>no</t>
        </is>
      </c>
      <c r="M286" s="11" t="inlineStr">
        <is>
          <t>cite/cite</t>
        </is>
      </c>
      <c r="N286" s="2" t="inlineStr">
        <is>
          <t>The learned Additional Solicitor General has pleaded for acceptance of the law laid down in Smt. Sushila Mafatlal Shah (supra).</t>
        </is>
      </c>
    </row>
    <row r="287">
      <c r="A287" s="11" t="n">
        <v>667</v>
      </c>
      <c r="B287" s="11" t="inlineStr">
        <is>
          <t>untouched</t>
        </is>
      </c>
      <c r="C287" s="11" t="inlineStr">
        <is>
          <t>c1607</t>
        </is>
      </c>
      <c r="D287" s="11" t="inlineStr">
        <is>
          <t>c8149</t>
        </is>
      </c>
      <c r="E287" s="11" t="inlineStr">
        <is>
          <t>1969-09-24</t>
        </is>
      </c>
      <c r="F287" s="11" t="inlineStr">
        <is>
          <t>1988-10-10</t>
        </is>
      </c>
      <c r="G287" s="11" t="n"/>
      <c r="H287" s="11" t="n"/>
      <c r="I287" s="11" t="n"/>
      <c r="J287" s="11" t="n"/>
      <c r="K287" s="11" t="n"/>
      <c r="L287" s="11" t="n"/>
      <c r="M287" s="11" t="n"/>
      <c r="N287" s="2" t="n"/>
    </row>
    <row r="288">
      <c r="A288" s="11" t="n">
        <v>668</v>
      </c>
      <c r="B288" s="11" t="inlineStr">
        <is>
          <t>tune</t>
        </is>
      </c>
      <c r="C288" s="11" t="inlineStr">
        <is>
          <t>c8976</t>
        </is>
      </c>
      <c r="D288" s="11" t="inlineStr">
        <is>
          <t>c27049</t>
        </is>
      </c>
      <c r="E288" s="11" t="inlineStr">
        <is>
          <t>1986-08-08</t>
        </is>
      </c>
      <c r="F288" s="11" t="inlineStr">
        <is>
          <t>2005-07-14</t>
        </is>
      </c>
      <c r="G288" s="11" t="inlineStr">
        <is>
          <t>NEUTRAL</t>
        </is>
      </c>
      <c r="H288" s="11" t="inlineStr">
        <is>
          <t>OVERRULES</t>
        </is>
      </c>
      <c r="I288" s="11" t="inlineStr">
        <is>
          <t>yes</t>
        </is>
      </c>
      <c r="J288" s="11" t="inlineStr">
        <is>
          <t>is hereby over-ruled</t>
        </is>
      </c>
      <c r="K288" s="11" t="inlineStr">
        <is>
          <t>court</t>
        </is>
      </c>
      <c r="L288" s="11" t="inlineStr">
        <is>
          <t>yes</t>
        </is>
      </c>
      <c r="M288" s="11" t="inlineStr">
        <is>
          <t>cite/name</t>
        </is>
      </c>
      <c r="N288" s="2" t="inlineStr">
        <is>
          <t>The decision in Smt. Rajinder Kaur vs. State of Punjab is hereby over-ruled.</t>
        </is>
      </c>
    </row>
    <row r="289">
      <c r="A289" s="11" t="n">
        <v>671</v>
      </c>
      <c r="B289" s="11" t="inlineStr">
        <is>
          <t>untouched</t>
        </is>
      </c>
      <c r="C289" s="11" t="inlineStr">
        <is>
          <t>c14229</t>
        </is>
      </c>
      <c r="D289" s="11" t="inlineStr">
        <is>
          <t>c30319</t>
        </is>
      </c>
      <c r="E289" s="11" t="inlineStr">
        <is>
          <t>1997-03-17</t>
        </is>
      </c>
      <c r="F289" s="11" t="inlineStr">
        <is>
          <t>1998-04-17</t>
        </is>
      </c>
      <c r="G289" s="11" t="n"/>
      <c r="H289" s="11" t="n"/>
      <c r="I289" s="11" t="n"/>
      <c r="J289" s="11" t="n"/>
      <c r="K289" s="11" t="n"/>
      <c r="L289" s="11" t="n"/>
      <c r="M289" s="11" t="n"/>
      <c r="N289" s="2" t="n"/>
    </row>
    <row r="290">
      <c r="A290" s="11" t="n">
        <v>672</v>
      </c>
      <c r="B290" s="11" t="inlineStr">
        <is>
          <t>tune</t>
        </is>
      </c>
      <c r="C290" s="11" t="inlineStr">
        <is>
          <t>c13745</t>
        </is>
      </c>
      <c r="D290" s="11" t="inlineStr">
        <is>
          <t>c16392</t>
        </is>
      </c>
      <c r="E290" s="11" t="inlineStr">
        <is>
          <t>1997-10-15</t>
        </is>
      </c>
      <c r="F290" s="11" t="inlineStr">
        <is>
          <t>2000-04-24</t>
        </is>
      </c>
      <c r="G290" s="11" t="inlineStr">
        <is>
          <t>FOLLOWS</t>
        </is>
      </c>
      <c r="H290" s="11" t="inlineStr">
        <is>
          <t>FOLLOWS</t>
        </is>
      </c>
      <c r="I290" s="11" t="inlineStr">
        <is>
          <t>no</t>
        </is>
      </c>
      <c r="J290" s="11" t="inlineStr">
        <is>
          <t>Following</t>
        </is>
      </c>
      <c r="K290" s="11" t="inlineStr">
        <is>
          <t>court</t>
        </is>
      </c>
      <c r="L290" s="11" t="inlineStr">
        <is>
          <t>yes</t>
        </is>
      </c>
      <c r="M290" s="11" t="inlineStr">
        <is>
          <t>name/name</t>
        </is>
      </c>
      <c r="N290" s="2" t="inlineStr">
        <is>
          <t>Following the Judgment of this Court in the case of Venkatesh Thimmaiah Gurjalkar vs. S.S. Hawaldar, JT 1997(8) SC 528, the High Court came to the conclusion that the premises in question being non- residential and under the Act the tenancy in respect of non-residential premise being not heritable and admittedly the tenant having died, the revisional application is liable to be dismissed.</t>
        </is>
      </c>
    </row>
    <row r="291">
      <c r="A291" s="11" t="n">
        <v>673</v>
      </c>
      <c r="B291" s="11" t="inlineStr">
        <is>
          <t>untouched</t>
        </is>
      </c>
      <c r="C291" s="11" t="inlineStr">
        <is>
          <t>c12040</t>
        </is>
      </c>
      <c r="D291" s="11" t="inlineStr">
        <is>
          <t>c26522</t>
        </is>
      </c>
      <c r="E291" s="11" t="inlineStr">
        <is>
          <t>1993-04-27</t>
        </is>
      </c>
      <c r="F291" s="11" t="inlineStr">
        <is>
          <t>2004-10-07</t>
        </is>
      </c>
      <c r="G291" s="11" t="n"/>
      <c r="H291" s="11" t="n"/>
      <c r="I291" s="11" t="n"/>
      <c r="J291" s="11" t="n"/>
      <c r="K291" s="11" t="n"/>
      <c r="L291" s="11" t="n"/>
      <c r="M291" s="11" t="n"/>
      <c r="N291" s="2" t="n"/>
    </row>
    <row r="292">
      <c r="A292" s="11" t="n">
        <v>676</v>
      </c>
      <c r="B292" s="11" t="inlineStr">
        <is>
          <t>tune</t>
        </is>
      </c>
      <c r="C292" s="11" t="inlineStr">
        <is>
          <t>c5554</t>
        </is>
      </c>
      <c r="D292" s="11" t="inlineStr">
        <is>
          <t>c8651</t>
        </is>
      </c>
      <c r="E292" s="11" t="inlineStr">
        <is>
          <t>1976-08-24</t>
        </is>
      </c>
      <c r="F292" s="11" t="inlineStr">
        <is>
          <t>1987-08-07</t>
        </is>
      </c>
      <c r="G292" s="11" t="inlineStr">
        <is>
          <t>FOLLOWS</t>
        </is>
      </c>
      <c r="H292" s="11" t="inlineStr">
        <is>
          <t>FOLLOWS</t>
        </is>
      </c>
      <c r="I292" s="11" t="inlineStr">
        <is>
          <t>no</t>
        </is>
      </c>
      <c r="J292" s="11" t="inlineStr">
        <is>
          <t>relied on</t>
        </is>
      </c>
      <c r="K292" s="11" t="inlineStr">
        <is>
          <t>court</t>
        </is>
      </c>
      <c r="L292" s="11" t="inlineStr">
        <is>
          <t>yes</t>
        </is>
      </c>
      <c r="M292" s="11" t="inlineStr">
        <is>
          <t>cite/cite</t>
        </is>
      </c>
      <c r="N292" s="2" t="inlineStr">
        <is>
          <t>The decisions in Reserve Bank of India v. C. Paliwal (supra) &amp; Reserve Bank of India v. C.N. Sahasranaman (supra) relied on by Mr. Misra are of no assistance in this case because what we are concerned is whether diferent pay scales and allowances can be given to a section of the staff when they belong to a unified cadre and are governed by common re- cruitment policy, common seniority list and com</t>
        </is>
      </c>
    </row>
    <row r="293">
      <c r="A293" s="11" t="n">
        <v>679</v>
      </c>
      <c r="B293" s="11" t="inlineStr">
        <is>
          <t>untouched</t>
        </is>
      </c>
      <c r="C293" s="11" t="inlineStr">
        <is>
          <t>c6658</t>
        </is>
      </c>
      <c r="D293" s="11" t="inlineStr">
        <is>
          <t>c5174</t>
        </is>
      </c>
      <c r="E293" s="11" t="inlineStr">
        <is>
          <t>1972-11-22</t>
        </is>
      </c>
      <c r="F293" s="11" t="inlineStr">
        <is>
          <t>1977-12-16</t>
        </is>
      </c>
      <c r="G293" s="11" t="n"/>
      <c r="H293" s="11" t="n"/>
      <c r="I293" s="11" t="n"/>
      <c r="J293" s="11" t="n"/>
      <c r="K293" s="11" t="n"/>
      <c r="L293" s="11" t="n"/>
      <c r="M293" s="11" t="n"/>
      <c r="N293" s="2" t="n"/>
    </row>
    <row r="294">
      <c r="A294" s="11" t="n">
        <v>680</v>
      </c>
      <c r="B294" s="11" t="inlineStr">
        <is>
          <t>tune</t>
        </is>
      </c>
      <c r="C294" s="11" t="inlineStr">
        <is>
          <t>c26289</t>
        </is>
      </c>
      <c r="D294" s="11" t="inlineStr">
        <is>
          <t>c26727</t>
        </is>
      </c>
      <c r="E294" s="11" t="inlineStr">
        <is>
          <t>2004-08-03</t>
        </is>
      </c>
      <c r="F294" s="11" t="inlineStr">
        <is>
          <t>2005-01-18</t>
        </is>
      </c>
      <c r="G294" s="11" t="inlineStr">
        <is>
          <t>FOLLOWS</t>
        </is>
      </c>
      <c r="H294" s="11" t="inlineStr">
        <is>
          <t>NEUTRAL</t>
        </is>
      </c>
      <c r="I294" s="11" t="inlineStr">
        <is>
          <t>no</t>
        </is>
      </c>
      <c r="J294" s="11" t="inlineStr"/>
      <c r="K294" s="11" t="inlineStr">
        <is>
          <t>court</t>
        </is>
      </c>
      <c r="L294" s="11" t="inlineStr">
        <is>
          <t>yes</t>
        </is>
      </c>
      <c r="M294" s="11" t="inlineStr">
        <is>
          <t>name/name</t>
        </is>
      </c>
      <c r="N294" s="2" t="inlineStr">
        <is>
          <t>It is to be noted that the writ petition in Phulan Rani’s case (supra) was disposed of at the Lok Adalat and the writ petition to recall the order passed by the Lok Adalat was rejected and a review application made also met the same fate.</t>
        </is>
      </c>
    </row>
    <row r="295">
      <c r="A295" s="11" t="n">
        <v>681</v>
      </c>
      <c r="B295" s="11" t="inlineStr">
        <is>
          <t>untouched</t>
        </is>
      </c>
      <c r="C295" s="11" t="inlineStr">
        <is>
          <t>c11170</t>
        </is>
      </c>
      <c r="D295" s="11" t="inlineStr">
        <is>
          <t>c10687</t>
        </is>
      </c>
      <c r="E295" s="11" t="inlineStr">
        <is>
          <t>1994-10-27</t>
        </is>
      </c>
      <c r="F295" s="11" t="inlineStr">
        <is>
          <t>1995-07-26</t>
        </is>
      </c>
      <c r="G295" s="11" t="n"/>
      <c r="H295" s="11" t="n"/>
      <c r="I295" s="11" t="n"/>
      <c r="J295" s="11" t="n"/>
      <c r="K295" s="11" t="n"/>
      <c r="L295" s="11" t="n"/>
      <c r="M295" s="11" t="n"/>
      <c r="N295" s="2" t="n"/>
    </row>
    <row r="296">
      <c r="A296" s="11" t="n">
        <v>682</v>
      </c>
      <c r="B296" s="11" t="inlineStr">
        <is>
          <t>tune</t>
        </is>
      </c>
      <c r="C296" s="11" t="inlineStr">
        <is>
          <t>c8446</t>
        </is>
      </c>
      <c r="D296" s="11" t="inlineStr">
        <is>
          <t>c10832</t>
        </is>
      </c>
      <c r="E296" s="11" t="inlineStr">
        <is>
          <t>1988-01-20</t>
        </is>
      </c>
      <c r="F296" s="11" t="inlineStr">
        <is>
          <t>1995-03-21</t>
        </is>
      </c>
      <c r="G296" s="11" t="inlineStr">
        <is>
          <t>FOLLOWS</t>
        </is>
      </c>
      <c r="H296" s="11" t="inlineStr">
        <is>
          <t>FOLLOWS</t>
        </is>
      </c>
      <c r="I296" s="11" t="inlineStr">
        <is>
          <t>no</t>
        </is>
      </c>
      <c r="J296" s="11" t="inlineStr">
        <is>
          <t>law laid down</t>
        </is>
      </c>
      <c r="K296" s="11" t="inlineStr">
        <is>
          <t>court</t>
        </is>
      </c>
      <c r="L296" s="11" t="inlineStr">
        <is>
          <t>yes</t>
        </is>
      </c>
      <c r="M296" s="11" t="inlineStr">
        <is>
          <t>cite/cite</t>
        </is>
      </c>
      <c r="N296" s="2" t="inlineStr">
        <is>
          <t>In Gokak Patel Volkart Ltd. v. Dundayya Gurushiddaiah Hiremath And Others {(1991) 2 SCC, 141 )}, the Division 534 rendered by this Court and relying upon the law laid down in Baldev Krishna Sahi’s case (supra) and Amrit Lal Chum’s case (supra) held that the offence under Section 630 of the Act is not such as-can be said to have consummated once for all and that the offence continues until the offi</t>
        </is>
      </c>
    </row>
    <row r="297">
      <c r="A297" s="11" t="n">
        <v>689</v>
      </c>
      <c r="B297" s="11" t="inlineStr">
        <is>
          <t>untouched</t>
        </is>
      </c>
      <c r="C297" s="11" t="inlineStr">
        <is>
          <t>c7166</t>
        </is>
      </c>
      <c r="D297" s="11" t="inlineStr">
        <is>
          <t>c6044</t>
        </is>
      </c>
      <c r="E297" s="11" t="inlineStr">
        <is>
          <t>1971-04-27</t>
        </is>
      </c>
      <c r="F297" s="11" t="inlineStr">
        <is>
          <t>1975-02-21</t>
        </is>
      </c>
      <c r="G297" s="11" t="n"/>
      <c r="H297" s="11" t="n"/>
      <c r="I297" s="11" t="n"/>
      <c r="J297" s="11" t="n"/>
      <c r="K297" s="11" t="n"/>
      <c r="L297" s="11" t="n"/>
      <c r="M297" s="11" t="n"/>
      <c r="N297" s="2" t="n"/>
    </row>
    <row r="298">
      <c r="A298" s="11" t="n">
        <v>690</v>
      </c>
      <c r="B298" s="11" t="inlineStr">
        <is>
          <t>tune</t>
        </is>
      </c>
      <c r="C298" s="11" t="inlineStr">
        <is>
          <t>c8577</t>
        </is>
      </c>
      <c r="D298" s="11" t="inlineStr">
        <is>
          <t>c12747</t>
        </is>
      </c>
      <c r="E298" s="11" t="inlineStr">
        <is>
          <t>1987-10-08</t>
        </is>
      </c>
      <c r="F298" s="11" t="inlineStr">
        <is>
          <t>1991-04-23</t>
        </is>
      </c>
      <c r="G298" s="11" t="inlineStr">
        <is>
          <t>NEUTRAL</t>
        </is>
      </c>
      <c r="H298" s="11" t="inlineStr">
        <is>
          <t>NEUTRAL</t>
        </is>
      </c>
      <c r="I298" s="11" t="inlineStr">
        <is>
          <t>no</t>
        </is>
      </c>
      <c r="J298" s="11" t="inlineStr"/>
      <c r="K298" s="11" t="inlineStr">
        <is>
          <t>headnote</t>
        </is>
      </c>
      <c r="L298" s="11" t="inlineStr">
        <is>
          <t>yes</t>
        </is>
      </c>
      <c r="M298" s="11" t="inlineStr">
        <is>
          <t>cite/cite</t>
        </is>
      </c>
      <c r="N298" s="2" t="inlineStr">
        <is>
          <t>This Court by its judgment dated October 8, 1987 in P.K. Dixit v. State of U.P., [1988] 1 S.C.R. 398 partly allowed the writ petitions and directed the High Court to frame the seniority list afresh keeping in view the observations made in that judgment.</t>
        </is>
      </c>
    </row>
    <row r="299">
      <c r="A299" s="11" t="n">
        <v>691</v>
      </c>
      <c r="B299" s="11" t="inlineStr">
        <is>
          <t>untouched</t>
        </is>
      </c>
      <c r="C299" s="11" t="inlineStr">
        <is>
          <t>c7242</t>
        </is>
      </c>
      <c r="D299" s="11" t="inlineStr">
        <is>
          <t>b1994_2_51_61</t>
        </is>
      </c>
      <c r="E299" s="11" t="inlineStr">
        <is>
          <t>1971-02-12</t>
        </is>
      </c>
      <c r="F299" s="11" t="inlineStr">
        <is>
          <t>1994-02-21</t>
        </is>
      </c>
      <c r="G299" s="11" t="n"/>
      <c r="H299" s="11" t="n"/>
      <c r="I299" s="11" t="n"/>
      <c r="J299" s="11" t="n"/>
      <c r="K299" s="11" t="n"/>
      <c r="L299" s="11" t="n"/>
      <c r="M299" s="11" t="n"/>
      <c r="N299" s="2" t="n"/>
    </row>
    <row r="300">
      <c r="A300" s="11" t="n">
        <v>693</v>
      </c>
      <c r="B300" s="11" t="inlineStr">
        <is>
          <t>untouched</t>
        </is>
      </c>
      <c r="C300" s="11" t="inlineStr">
        <is>
          <t>c14043</t>
        </is>
      </c>
      <c r="D300" s="11" t="inlineStr">
        <is>
          <t>c26522</t>
        </is>
      </c>
      <c r="E300" s="11" t="inlineStr">
        <is>
          <t>1997-04-30</t>
        </is>
      </c>
      <c r="F300" s="11" t="inlineStr">
        <is>
          <t>2004-10-07</t>
        </is>
      </c>
      <c r="G300" s="11" t="n"/>
      <c r="H300" s="11" t="n"/>
      <c r="I300" s="11" t="n"/>
      <c r="J300" s="11" t="n"/>
      <c r="K300" s="11" t="n"/>
      <c r="L300" s="11" t="n"/>
      <c r="M300" s="11" t="n"/>
      <c r="N300" s="2" t="n"/>
    </row>
    <row r="301">
      <c r="A301" s="11" t="n">
        <v>694</v>
      </c>
      <c r="B301" s="11" t="inlineStr">
        <is>
          <t>tune</t>
        </is>
      </c>
      <c r="C301" s="11" t="inlineStr">
        <is>
          <t>b1995_2_379_385</t>
        </is>
      </c>
      <c r="D301" s="11" t="inlineStr">
        <is>
          <t>c26522</t>
        </is>
      </c>
      <c r="E301" s="11" t="inlineStr">
        <is>
          <t>1995-02-28</t>
        </is>
      </c>
      <c r="F301" s="11" t="inlineStr">
        <is>
          <t>2004-10-07</t>
        </is>
      </c>
      <c r="G301" s="11" t="inlineStr">
        <is>
          <t>NEUTRAL</t>
        </is>
      </c>
      <c r="H301" s="11" t="inlineStr">
        <is>
          <t>NEUTRAL</t>
        </is>
      </c>
      <c r="I301" s="11" t="inlineStr">
        <is>
          <t>no</t>
        </is>
      </c>
      <c r="J301" s="11" t="inlineStr"/>
      <c r="K301" s="11" t="inlineStr">
        <is>
          <t>court</t>
        </is>
      </c>
      <c r="L301" s="11" t="inlineStr">
        <is>
          <t>no</t>
        </is>
      </c>
      <c r="M301" s="11" t="inlineStr">
        <is>
          <t>cite/name</t>
        </is>
      </c>
      <c r="N301" s="2" t="inlineStr">
        <is>
          <t>In Kummari Veeraiah &amp; Ors. vs. State of A.P. 1995 (4) SCC 136 another two Judge Bench of this Court held ; "it is true that the certified copies of the sale deeds are admissible in evidence as secondary evidence under Section 51A of the Act since owners would be reluctant to part with their original sale deeds.</t>
        </is>
      </c>
    </row>
    <row r="302">
      <c r="A302" s="11" t="n">
        <v>695</v>
      </c>
      <c r="B302" s="11" t="inlineStr">
        <is>
          <t>untouched</t>
        </is>
      </c>
      <c r="C302" s="11" t="inlineStr">
        <is>
          <t>c26393</t>
        </is>
      </c>
      <c r="D302" s="11" t="inlineStr">
        <is>
          <t>c27426</t>
        </is>
      </c>
      <c r="E302" s="11" t="inlineStr">
        <is>
          <t>2004-09-10</t>
        </is>
      </c>
      <c r="F302" s="11" t="inlineStr">
        <is>
          <t>2006-01-18</t>
        </is>
      </c>
      <c r="G302" s="11" t="n"/>
      <c r="H302" s="11" t="n"/>
      <c r="I302" s="11" t="n"/>
      <c r="J302" s="11" t="n"/>
      <c r="K302" s="11" t="n"/>
      <c r="L302" s="11" t="n"/>
      <c r="M302" s="11" t="n"/>
      <c r="N302" s="2" t="n"/>
    </row>
    <row r="303">
      <c r="A303" s="11" t="n">
        <v>696</v>
      </c>
      <c r="B303" s="11" t="inlineStr">
        <is>
          <t>tune</t>
        </is>
      </c>
      <c r="C303" s="11" t="inlineStr">
        <is>
          <t>c8783</t>
        </is>
      </c>
      <c r="D303" s="11" t="inlineStr">
        <is>
          <t>b1994_1_377_386</t>
        </is>
      </c>
      <c r="E303" s="11" t="inlineStr">
        <is>
          <t>1987-03-04</t>
        </is>
      </c>
      <c r="F303" s="11" t="inlineStr">
        <is>
          <t>1994-01-27</t>
        </is>
      </c>
      <c r="G303" s="11" t="inlineStr">
        <is>
          <t>DISTINGUISHES</t>
        </is>
      </c>
      <c r="H303" s="11" t="inlineStr">
        <is>
          <t>DISTINGUISHES</t>
        </is>
      </c>
      <c r="I303" s="11" t="inlineStr">
        <is>
          <t>no</t>
        </is>
      </c>
      <c r="J303" s="11" t="inlineStr">
        <is>
          <t>distinguished</t>
        </is>
      </c>
      <c r="K303" s="11" t="inlineStr">
        <is>
          <t>court</t>
        </is>
      </c>
      <c r="L303" s="11" t="inlineStr">
        <is>
          <t>no</t>
        </is>
      </c>
      <c r="M303" s="11" t="inlineStr">
        <is>
          <t>cite/cite</t>
        </is>
      </c>
      <c r="N303" s="2" t="inlineStr">
        <is>
          <t>Budhwanti v. Guiab Chand Prasad, [1987] 2 S.C.C. 1531, explained and distinguished.</t>
        </is>
      </c>
    </row>
    <row r="304">
      <c r="A304" s="11" t="n">
        <v>698</v>
      </c>
      <c r="B304" s="11" t="inlineStr">
        <is>
          <t>tune</t>
        </is>
      </c>
      <c r="C304" s="11" t="inlineStr">
        <is>
          <t>b1994_3_592_607</t>
        </is>
      </c>
      <c r="D304" s="11" t="inlineStr">
        <is>
          <t>c27430</t>
        </is>
      </c>
      <c r="E304" s="11" t="inlineStr">
        <is>
          <t>1994-04-21</t>
        </is>
      </c>
      <c r="F304" s="11" t="inlineStr">
        <is>
          <t>2006-01-20</t>
        </is>
      </c>
      <c r="G304" s="11" t="inlineStr">
        <is>
          <t>NEUTRAL</t>
        </is>
      </c>
      <c r="H304" s="11" t="inlineStr">
        <is>
          <t>NEUTRAL</t>
        </is>
      </c>
      <c r="I304" s="11" t="inlineStr">
        <is>
          <t>no</t>
        </is>
      </c>
      <c r="J304" s="11" t="inlineStr"/>
      <c r="K304" s="11" t="inlineStr">
        <is>
          <t>court</t>
        </is>
      </c>
      <c r="L304" s="11" t="inlineStr">
        <is>
          <t>no</t>
        </is>
      </c>
      <c r="M304" s="11" t="inlineStr">
        <is>
          <t>cite/cite</t>
        </is>
      </c>
      <c r="N304" s="2" t="inlineStr">
        <is>
          <t>In support of this contention strong reliance has been placed on some observations made by a two- Judge Bench of this Court in Meharaj Singh v. State of U.P. 1994(5) SCC 188 in para 11 of the reports which read as under : "..................................</t>
        </is>
      </c>
    </row>
    <row r="305">
      <c r="A305" s="11" t="n">
        <v>699</v>
      </c>
      <c r="B305" s="11" t="inlineStr">
        <is>
          <t>untouched</t>
        </is>
      </c>
      <c r="C305" s="11" t="inlineStr">
        <is>
          <t>c14075</t>
        </is>
      </c>
      <c r="D305" s="11" t="inlineStr">
        <is>
          <t>c26073</t>
        </is>
      </c>
      <c r="E305" s="11" t="inlineStr">
        <is>
          <t>1997-04-23</t>
        </is>
      </c>
      <c r="F305" s="11" t="inlineStr">
        <is>
          <t>2004-04-08</t>
        </is>
      </c>
      <c r="G305" s="11" t="n"/>
      <c r="H305" s="11" t="n"/>
      <c r="I305" s="11" t="n"/>
      <c r="J305" s="11" t="n"/>
      <c r="K305" s="11" t="n"/>
      <c r="L305" s="11" t="n"/>
      <c r="M305" s="11" t="n"/>
      <c r="N305" s="2" t="n"/>
    </row>
    <row r="306">
      <c r="A306" s="11" t="n">
        <v>701</v>
      </c>
      <c r="B306" s="11" t="inlineStr">
        <is>
          <t>untouched</t>
        </is>
      </c>
      <c r="C306" s="11" t="inlineStr">
        <is>
          <t>bS_1997_3_624_635</t>
        </is>
      </c>
      <c r="D306" s="11" t="inlineStr">
        <is>
          <t>c17914</t>
        </is>
      </c>
      <c r="E306" s="11" t="inlineStr">
        <is>
          <t>1997-08-28</t>
        </is>
      </c>
      <c r="F306" s="11" t="inlineStr">
        <is>
          <t>2001-08-14</t>
        </is>
      </c>
      <c r="G306" s="11" t="n"/>
      <c r="H306" s="11" t="n"/>
      <c r="I306" s="11" t="n"/>
      <c r="J306" s="11" t="n"/>
      <c r="K306" s="11" t="n"/>
      <c r="L306" s="11" t="n"/>
      <c r="M306" s="11" t="n"/>
      <c r="N306" s="2" t="n"/>
    </row>
    <row r="307">
      <c r="A307" s="11" t="n">
        <v>709</v>
      </c>
      <c r="B307" s="11" t="inlineStr">
        <is>
          <t>untouched</t>
        </is>
      </c>
      <c r="C307" s="11" t="inlineStr">
        <is>
          <t>c16156</t>
        </is>
      </c>
      <c r="D307" s="11" t="inlineStr">
        <is>
          <t>c20427</t>
        </is>
      </c>
      <c r="E307" s="11" t="inlineStr">
        <is>
          <t>1996-01-19</t>
        </is>
      </c>
      <c r="F307" s="11" t="inlineStr">
        <is>
          <t>2001-08-22</t>
        </is>
      </c>
      <c r="G307" s="11" t="n"/>
      <c r="H307" s="11" t="n"/>
      <c r="I307" s="11" t="n"/>
      <c r="J307" s="11" t="n"/>
      <c r="K307" s="11" t="n"/>
      <c r="L307" s="11" t="n"/>
      <c r="M307" s="11" t="n"/>
      <c r="N307" s="2" t="n"/>
    </row>
    <row r="308">
      <c r="A308" s="11" t="n">
        <v>711</v>
      </c>
      <c r="B308" s="11" t="inlineStr">
        <is>
          <t>untouched</t>
        </is>
      </c>
      <c r="C308" s="11" t="inlineStr">
        <is>
          <t>c16167</t>
        </is>
      </c>
      <c r="D308" s="11" t="inlineStr">
        <is>
          <t>c18319</t>
        </is>
      </c>
      <c r="E308" s="11" t="inlineStr">
        <is>
          <t>1996-01-17</t>
        </is>
      </c>
      <c r="F308" s="11" t="inlineStr">
        <is>
          <t>2002-03-13</t>
        </is>
      </c>
      <c r="G308" s="11" t="n"/>
      <c r="H308" s="11" t="n"/>
      <c r="I308" s="11" t="n"/>
      <c r="J308" s="11" t="n"/>
      <c r="K308" s="11" t="n"/>
      <c r="L308" s="11" t="n"/>
      <c r="M308" s="11" t="n"/>
      <c r="N308" s="2" t="n"/>
    </row>
    <row r="309">
      <c r="A309" s="11" t="n">
        <v>715</v>
      </c>
      <c r="B309" s="11" t="inlineStr">
        <is>
          <t>untouched</t>
        </is>
      </c>
      <c r="C309" s="11" t="inlineStr">
        <is>
          <t>c14968</t>
        </is>
      </c>
      <c r="D309" s="11" t="inlineStr">
        <is>
          <t>c13382</t>
        </is>
      </c>
      <c r="E309" s="11" t="inlineStr">
        <is>
          <t>1996-10-08</t>
        </is>
      </c>
      <c r="F309" s="11" t="inlineStr">
        <is>
          <t>1998-03-22</t>
        </is>
      </c>
      <c r="G309" s="11" t="n"/>
      <c r="H309" s="11" t="n"/>
      <c r="I309" s="11" t="n"/>
      <c r="J309" s="11" t="n"/>
      <c r="K309" s="11" t="n"/>
      <c r="L309" s="11" t="n"/>
      <c r="M309" s="11" t="n"/>
      <c r="N309" s="2" t="n"/>
    </row>
    <row r="310">
      <c r="A310" s="11" t="n">
        <v>717</v>
      </c>
      <c r="B310" s="11" t="inlineStr">
        <is>
          <t>untouched</t>
        </is>
      </c>
      <c r="C310" s="11" t="inlineStr">
        <is>
          <t>c13737</t>
        </is>
      </c>
      <c r="D310" s="11" t="inlineStr">
        <is>
          <t>c39584</t>
        </is>
      </c>
      <c r="E310" s="11" t="inlineStr">
        <is>
          <t>1997-10-15</t>
        </is>
      </c>
      <c r="F310" s="11" t="inlineStr">
        <is>
          <t>2012-09-26</t>
        </is>
      </c>
      <c r="G310" s="11" t="n"/>
      <c r="H310" s="11" t="n"/>
      <c r="I310" s="11" t="n"/>
      <c r="J310" s="11" t="n"/>
      <c r="K310" s="11" t="n"/>
      <c r="L310" s="11" t="n"/>
      <c r="M310" s="11" t="n"/>
      <c r="N310" s="2" t="n"/>
    </row>
    <row r="311">
      <c r="A311" s="11" t="n">
        <v>727</v>
      </c>
      <c r="B311" s="11" t="inlineStr">
        <is>
          <t>untouched</t>
        </is>
      </c>
      <c r="C311" s="11" t="inlineStr">
        <is>
          <t>c5774</t>
        </is>
      </c>
      <c r="D311" s="11" t="inlineStr">
        <is>
          <t>c12797</t>
        </is>
      </c>
      <c r="E311" s="11" t="inlineStr">
        <is>
          <t>1975-12-10</t>
        </is>
      </c>
      <c r="F311" s="11" t="inlineStr">
        <is>
          <t>1991-02-21</t>
        </is>
      </c>
      <c r="G311" s="11" t="n"/>
      <c r="H311" s="11" t="n"/>
      <c r="I311" s="11" t="n"/>
      <c r="J311" s="11" t="n"/>
      <c r="K311" s="11" t="n"/>
      <c r="L311" s="11" t="n"/>
      <c r="M311" s="11" t="n"/>
      <c r="N311" s="2" t="n"/>
    </row>
  </sheetData>
  <autoFilter ref="A3:N311"/>
  <mergeCells count="1">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7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6" customWidth="1" min="6" max="6"/>
    <col width="60" customWidth="1" min="7" max="7"/>
    <col width="16" customWidth="1" min="8" max="8"/>
    <col width="40"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40" customWidth="1" min="18" max="18"/>
    <col width="16" customWidth="1" min="19" max="19"/>
    <col width="60" customWidth="1" min="20" max="20"/>
    <col width="40" customWidth="1" min="21" max="21"/>
  </cols>
  <sheetData>
    <row r="1" ht="44" customHeight="1">
      <c r="A1" s="9" t="inlineStr">
        <is>
          <t>The checker's card for each case Recourse can show (2026-10-06). Pattern-rule reading of Supreme Court texts; not lawyer-validated. 'No adverse found' is silence in what we hold, not a finding about the law. Counts: NO_ADVERSE_FOUND 46, INSUFFICIENT 18, NOT_CHECKABLE_HIGH_COURT 10, ADVERSE_SIGNAL 2.</t>
        </is>
      </c>
    </row>
    <row r="3">
      <c r="A3" s="10" t="inlineStr">
        <is>
          <t>Case</t>
        </is>
      </c>
      <c r="B3" s="10" t="inlineStr">
        <is>
          <t>Citation</t>
        </is>
      </c>
      <c r="C3" s="10" t="inlineStr">
        <is>
          <t>Year</t>
        </is>
      </c>
      <c r="D3" s="10" t="inlineStr">
        <is>
          <t>Court</t>
        </is>
      </c>
      <c r="E3" s="10" t="inlineStr">
        <is>
          <t>Checker status</t>
        </is>
      </c>
      <c r="F3" s="10" t="inlineStr">
        <is>
          <t>Statute flag</t>
        </is>
      </c>
      <c r="G3" s="10" t="inlineStr">
        <is>
          <t>Note the site would show</t>
        </is>
      </c>
      <c r="H3" s="10" t="inlineStr">
        <is>
          <t>Judgment key</t>
        </is>
      </c>
      <c r="I3" s="10" t="inlineStr">
        <is>
          <t>Matched judgment</t>
        </is>
      </c>
      <c r="J3" s="10" t="inlineStr">
        <is>
          <t>Date</t>
        </is>
      </c>
      <c r="K3" s="10" t="inlineStr">
        <is>
          <t>Bench</t>
        </is>
      </c>
      <c r="L3" s="10" t="inlineStr">
        <is>
          <t>Match method</t>
        </is>
      </c>
      <c r="M3" s="10" t="inlineStr">
        <is>
          <t>Match confidence</t>
        </is>
      </c>
      <c r="N3" s="10" t="inlineStr">
        <is>
          <t>Later judgments citing it</t>
        </is>
      </c>
      <c r="O3" s="10" t="inlineStr">
        <is>
          <t>Latest citing year</t>
        </is>
      </c>
      <c r="P3" s="10" t="inlineStr">
        <is>
          <t>Citing in last 10 years</t>
        </is>
      </c>
      <c r="Q3" s="10" t="inlineStr">
        <is>
          <t>Share of later judgments we hold</t>
        </is>
      </c>
      <c r="R3" s="10" t="inlineStr">
        <is>
          <t>Second reader</t>
        </is>
      </c>
      <c r="S3" s="10" t="inlineStr">
        <is>
          <t>Register rows</t>
        </is>
      </c>
      <c r="T3" s="10" t="inlineStr">
        <is>
          <t>Internal note</t>
        </is>
      </c>
      <c r="U3" s="10" t="inlineStr">
        <is>
          <t>Report file</t>
        </is>
      </c>
    </row>
    <row r="4">
      <c r="A4" s="2" t="inlineStr">
        <is>
          <t>All Cargo Movers (I) Pvt. Ltd. and Ors. v Dhanesh Badarmal Jain and Anr.</t>
        </is>
      </c>
      <c r="B4" s="11" t="inlineStr">
        <is>
          <t>(2007) 14 SCC 776</t>
        </is>
      </c>
      <c r="C4" s="11" t="n">
        <v>2007</v>
      </c>
      <c r="D4" s="11" t="inlineStr">
        <is>
          <t>SC</t>
        </is>
      </c>
      <c r="E4" s="11" t="inlineStr">
        <is>
          <t>NO_ADVERSE_FOUND</t>
        </is>
      </c>
      <c r="F4" s="11" t="inlineStr">
        <is>
          <t>STATUTE_CHANGED</t>
        </is>
      </c>
      <c r="G4" s="2" t="n"/>
      <c r="H4" s="11" t="inlineStr">
        <is>
          <t>c29675</t>
        </is>
      </c>
      <c r="I4" s="2" t="inlineStr">
        <is>
          <t>All Cargo Movers (I) Pvt. Ltd. &amp; Ors v. Dhanesh Badarmal Jain &amp; Anr</t>
        </is>
      </c>
      <c r="J4" s="11" t="inlineStr">
        <is>
          <t>2007-10-12</t>
        </is>
      </c>
      <c r="K4" s="11" t="n">
        <v>2</v>
      </c>
      <c r="L4" s="11" t="inlineStr">
        <is>
          <t>source_url</t>
        </is>
      </c>
      <c r="M4" s="11" t="inlineStr">
        <is>
          <t>high</t>
        </is>
      </c>
      <c r="N4" s="11" t="n">
        <v>4</v>
      </c>
      <c r="O4" s="11" t="n">
        <v>2016</v>
      </c>
      <c r="P4" s="11" t="n">
        <v>1</v>
      </c>
      <c r="Q4" s="11" t="n">
        <v>0.89</v>
      </c>
      <c r="R4" s="2" t="inlineStr">
        <is>
          <t>second reading by a model (a session reading the passages); not lawyer-validated and not independent of the checker's author</t>
        </is>
      </c>
      <c r="S4" s="11" t="inlineStr"/>
      <c r="T4" s="2" t="inlineStr">
        <is>
          <t>No overruling or doubt found in the 4 later judgments we hold that cite it (collection runs to 2026-08-12; we hold about 89% of what Indian Kanoon lists after it). This is silence in what we hold, not a finding about the law.</t>
        </is>
      </c>
      <c r="U4" s="11" t="inlineStr">
        <is>
          <t>reports/all_cargo_movers_i_pvt_ltd_and_ors_v_dhanesh_badarmal_jain_and_anr.md</t>
        </is>
      </c>
    </row>
    <row r="5">
      <c r="A5" s="2" t="inlineStr">
        <is>
          <t>Alpic Finance Ltd. v P. Sadasivan and Anr.</t>
        </is>
      </c>
      <c r="B5" s="11" t="inlineStr">
        <is>
          <t>(2001) 3 SCC 513</t>
        </is>
      </c>
      <c r="C5" s="11" t="n">
        <v>2001</v>
      </c>
      <c r="D5" s="11" t="inlineStr">
        <is>
          <t>SC</t>
        </is>
      </c>
      <c r="E5" s="11" t="inlineStr">
        <is>
          <t>NO_ADVERSE_FOUND</t>
        </is>
      </c>
      <c r="F5" s="11" t="inlineStr">
        <is>
          <t>STATUTE_CHANGED</t>
        </is>
      </c>
      <c r="G5" s="2" t="n"/>
      <c r="H5" s="11" t="inlineStr">
        <is>
          <t>c17594</t>
        </is>
      </c>
      <c r="I5" s="2" t="inlineStr">
        <is>
          <t>ALPIC FINANCE LTD v. P. SADASIVAN AND ANR</t>
        </is>
      </c>
      <c r="J5" s="11" t="inlineStr">
        <is>
          <t>2001-02-16</t>
        </is>
      </c>
      <c r="K5" s="11" t="n">
        <v>2</v>
      </c>
      <c r="L5" s="11" t="inlineStr">
        <is>
          <t>source_url</t>
        </is>
      </c>
      <c r="M5" s="11" t="inlineStr">
        <is>
          <t>high</t>
        </is>
      </c>
      <c r="N5" s="11" t="n">
        <v>5</v>
      </c>
      <c r="O5" s="11" t="n">
        <v>2026</v>
      </c>
      <c r="P5" s="11" t="n">
        <v>1</v>
      </c>
      <c r="Q5" s="11" t="n">
        <v>0.86</v>
      </c>
      <c r="R5" s="2" t="inlineStr">
        <is>
          <t>second reading by a model (a session reading the passages); not lawyer-validated and not independent of the checker's author</t>
        </is>
      </c>
      <c r="S5" s="11" t="inlineStr"/>
      <c r="T5" s="2" t="inlineStr">
        <is>
          <t>No overruling or doubt found in the 5 later judgments we hold that cite it (collection runs to 2026-08-12; we hold about 86% of what Indian Kanoon lists after it). This is silence in what we hold, not a finding about the law.</t>
        </is>
      </c>
      <c r="U5" s="11" t="inlineStr">
        <is>
          <t>reports/alpic_finance_ltd_v_p_sadasivan_and_anr.md</t>
        </is>
      </c>
    </row>
    <row r="6">
      <c r="A6" s="2" t="inlineStr">
        <is>
          <t>Anwarul Haq v State of Uttar Pradesh</t>
        </is>
      </c>
      <c r="B6" s="11" t="inlineStr">
        <is>
          <t>[2005] 3 S.C.R. 917</t>
        </is>
      </c>
      <c r="C6" s="11" t="n">
        <v>2005</v>
      </c>
      <c r="D6" s="11" t="inlineStr">
        <is>
          <t>SC</t>
        </is>
      </c>
      <c r="E6" s="11" t="inlineStr">
        <is>
          <t>INSUFFICIENT</t>
        </is>
      </c>
      <c r="F6" s="11" t="inlineStr">
        <is>
          <t>STATUTE_CHANGED</t>
        </is>
      </c>
      <c r="G6" s="2" t="n"/>
      <c r="H6" s="11" t="inlineStr">
        <is>
          <t>c26969</t>
        </is>
      </c>
      <c r="I6" s="2" t="inlineStr">
        <is>
          <t>Anwarul Haq v. The State of Uttar Pradesh</t>
        </is>
      </c>
      <c r="J6" s="11" t="inlineStr">
        <is>
          <t>2005-04-26</t>
        </is>
      </c>
      <c r="K6" s="11" t="n">
        <v>2</v>
      </c>
      <c r="L6" s="11" t="inlineStr">
        <is>
          <t>source_url</t>
        </is>
      </c>
      <c r="M6" s="11" t="inlineStr">
        <is>
          <t>high</t>
        </is>
      </c>
      <c r="N6" s="11" t="n">
        <v>0</v>
      </c>
      <c r="O6" s="11" t="n"/>
      <c r="P6" s="11" t="n">
        <v>0</v>
      </c>
      <c r="Q6" s="11" t="n">
        <v>0.89</v>
      </c>
      <c r="R6" s="2" t="n"/>
      <c r="S6" s="11" t="inlineStr"/>
      <c r="T6" s="2" t="inlineStr">
        <is>
          <t>Only 0 later judgments in our collection cite this case; too few to say anything.</t>
        </is>
      </c>
      <c r="U6" s="11" t="inlineStr">
        <is>
          <t>reports/anwarul_haq_v_state_of_uttar_pradesh.md</t>
        </is>
      </c>
    </row>
    <row r="7">
      <c r="A7" s="2" t="inlineStr">
        <is>
          <t>Arnesh Kumar v State of Bihar</t>
        </is>
      </c>
      <c r="B7" s="11" t="inlineStr">
        <is>
          <t>(2014) 8 SCC 273</t>
        </is>
      </c>
      <c r="C7" s="11" t="n">
        <v>2014</v>
      </c>
      <c r="D7" s="11" t="inlineStr">
        <is>
          <t>SC</t>
        </is>
      </c>
      <c r="E7" s="11" t="inlineStr">
        <is>
          <t>NO_ADVERSE_FOUND</t>
        </is>
      </c>
      <c r="F7" s="11" t="inlineStr">
        <is>
          <t>STATUTE_CHANGED</t>
        </is>
      </c>
      <c r="G7" s="2" t="n"/>
      <c r="H7" s="11" t="inlineStr">
        <is>
          <t>c41736</t>
        </is>
      </c>
      <c r="I7" s="2" t="inlineStr">
        <is>
          <t>ARNESH KUMAR v. STATE OF BIHAR &amp; ANR</t>
        </is>
      </c>
      <c r="J7" s="11" t="inlineStr">
        <is>
          <t>2014-07-02</t>
        </is>
      </c>
      <c r="K7" s="11" t="n">
        <v>2</v>
      </c>
      <c r="L7" s="11" t="inlineStr">
        <is>
          <t>name_year</t>
        </is>
      </c>
      <c r="M7" s="11" t="inlineStr">
        <is>
          <t>high</t>
        </is>
      </c>
      <c r="N7" s="11" t="n">
        <v>29</v>
      </c>
      <c r="O7" s="11" t="n">
        <v>2026</v>
      </c>
      <c r="P7" s="11" t="n">
        <v>29</v>
      </c>
      <c r="Q7" s="11" t="n">
        <v>0.83</v>
      </c>
      <c r="R7" s="2" t="inlineStr">
        <is>
          <t>second reading by a model (a session reading the passages); not lawyer-validated and not independent of the checker's author</t>
        </is>
      </c>
      <c r="S7" s="11" t="inlineStr"/>
      <c r="T7" s="2" t="inlineStr">
        <is>
          <t>No overruling or doubt found in the 29 later judgments we hold that cite it (collection runs to 2026-08-12; we hold about 83% of what Indian Kanoon lists after it). This is silence in what we hold, not a finding about the law.</t>
        </is>
      </c>
      <c r="U7" s="11" t="inlineStr">
        <is>
          <t>reports/arnesh_kumar_v_state_of_bihar.md</t>
        </is>
      </c>
    </row>
    <row r="8">
      <c r="A8" s="2" t="inlineStr">
        <is>
          <t>Bikramjit Singh v State of Punjab</t>
        </is>
      </c>
      <c r="B8" s="11" t="inlineStr">
        <is>
          <t>(2020) 10 SCC 616</t>
        </is>
      </c>
      <c r="C8" s="11" t="n">
        <v>2020</v>
      </c>
      <c r="D8" s="11" t="inlineStr">
        <is>
          <t>SC</t>
        </is>
      </c>
      <c r="E8" s="11" t="inlineStr">
        <is>
          <t>NO_ADVERSE_FOUND</t>
        </is>
      </c>
      <c r="F8" s="11" t="inlineStr">
        <is>
          <t>STATUTE_CHANGED</t>
        </is>
      </c>
      <c r="G8" s="2" t="n"/>
      <c r="H8" s="11" t="inlineStr">
        <is>
          <t>b2020_12_875_914</t>
        </is>
      </c>
      <c r="I8" s="2" t="inlineStr">
        <is>
          <t>BIKRAMJIT SINGH versus THE STATE OF PUNJAB</t>
        </is>
      </c>
      <c r="J8" s="11" t="inlineStr">
        <is>
          <t>2020-10-12</t>
        </is>
      </c>
      <c r="K8" s="11" t="n">
        <v>3</v>
      </c>
      <c r="L8" s="11" t="inlineStr">
        <is>
          <t>name_year</t>
        </is>
      </c>
      <c r="M8" s="11" t="inlineStr">
        <is>
          <t>high</t>
        </is>
      </c>
      <c r="N8" s="11" t="n">
        <v>9</v>
      </c>
      <c r="O8" s="11" t="n">
        <v>2026</v>
      </c>
      <c r="P8" s="11" t="n">
        <v>9</v>
      </c>
      <c r="Q8" s="11" t="n">
        <v>0.67</v>
      </c>
      <c r="R8" s="2" t="inlineStr">
        <is>
          <t>second reading by a model (a session reading the passages); not lawyer-validated and not independent of the checker's author</t>
        </is>
      </c>
      <c r="S8" s="11" t="inlineStr"/>
      <c r="T8" s="2" t="inlineStr">
        <is>
          <t>No overruling or doubt found in the 9 later judgments we hold that cite it (collection runs to 2026-08-12; we hold about 67% of what Indian Kanoon lists after it). This is silence in what we hold, not a finding about the law.</t>
        </is>
      </c>
      <c r="U8" s="11" t="inlineStr">
        <is>
          <t>reports/bikramjit_singh_v_state_of_punjab.md</t>
        </is>
      </c>
    </row>
    <row r="9">
      <c r="A9" s="2" t="inlineStr">
        <is>
          <t>Bir Singh v Mukesh Kumar</t>
        </is>
      </c>
      <c r="B9" s="11" t="inlineStr">
        <is>
          <t>(2019) 4 SCC 197</t>
        </is>
      </c>
      <c r="C9" s="11" t="n">
        <v>2019</v>
      </c>
      <c r="D9" s="11" t="inlineStr">
        <is>
          <t>SC</t>
        </is>
      </c>
      <c r="E9" s="11" t="inlineStr">
        <is>
          <t>NO_ADVERSE_FOUND</t>
        </is>
      </c>
      <c r="F9" s="11" t="inlineStr">
        <is>
          <t>STATUTE_CHANGED</t>
        </is>
      </c>
      <c r="G9" s="2" t="n"/>
      <c r="H9" s="11" t="inlineStr">
        <is>
          <t>b2019_2_24_40</t>
        </is>
      </c>
      <c r="I9" s="2" t="inlineStr">
        <is>
          <t>BIR SINGH versus MUKESH KUMAR</t>
        </is>
      </c>
      <c r="J9" s="11" t="inlineStr">
        <is>
          <t>2019-02-06</t>
        </is>
      </c>
      <c r="K9" s="11" t="n">
        <v>2</v>
      </c>
      <c r="L9" s="11" t="inlineStr">
        <is>
          <t>name_year</t>
        </is>
      </c>
      <c r="M9" s="11" t="inlineStr">
        <is>
          <t>high</t>
        </is>
      </c>
      <c r="N9" s="11" t="n">
        <v>12</v>
      </c>
      <c r="O9" s="11" t="n">
        <v>2025</v>
      </c>
      <c r="P9" s="11" t="n">
        <v>12</v>
      </c>
      <c r="Q9" s="11" t="n">
        <v>0.6899999999999999</v>
      </c>
      <c r="R9" s="2" t="inlineStr">
        <is>
          <t>second reading by a model (a session reading the passages); not lawyer-validated and not independent of the checker's author</t>
        </is>
      </c>
      <c r="S9" s="11" t="inlineStr"/>
      <c r="T9" s="2" t="inlineStr">
        <is>
          <t>No overruling or doubt found in the 12 later judgments we hold that cite it (collection runs to 2026-08-12; we hold about 69% of what Indian Kanoon lists after it). This is silence in what we hold, not a finding about the law.</t>
        </is>
      </c>
      <c r="U9" s="11" t="inlineStr">
        <is>
          <t>reports/bir_singh_v_mukesh_kumar.md</t>
        </is>
      </c>
    </row>
    <row r="10">
      <c r="A10" s="2" t="inlineStr">
        <is>
          <t>D. Velusamy v D. Patchaiammal</t>
        </is>
      </c>
      <c r="B10" s="11" t="inlineStr">
        <is>
          <t>AIR 2011 SC 479</t>
        </is>
      </c>
      <c r="C10" s="11" t="n">
        <v>2011</v>
      </c>
      <c r="D10" s="11" t="inlineStr">
        <is>
          <t>SC</t>
        </is>
      </c>
      <c r="E10" s="11" t="inlineStr">
        <is>
          <t>NO_ADVERSE_FOUND</t>
        </is>
      </c>
      <c r="F10" s="11" t="inlineStr">
        <is>
          <t>STATUTE_CHANGED</t>
        </is>
      </c>
      <c r="G10" s="2" t="n"/>
      <c r="H10" s="11" t="inlineStr">
        <is>
          <t>c37007</t>
        </is>
      </c>
      <c r="I10" s="2" t="inlineStr">
        <is>
          <t>[Arising out of Special Leave Petition (Crl.) Nos.2273-2274/2010] D. Velusamy v. D. Patchaiammal</t>
        </is>
      </c>
      <c r="J10" s="11" t="inlineStr">
        <is>
          <t>2010-10-21</t>
        </is>
      </c>
      <c r="K10" s="11" t="n">
        <v>2</v>
      </c>
      <c r="L10" s="11" t="inlineStr">
        <is>
          <t>name_year</t>
        </is>
      </c>
      <c r="M10" s="11" t="inlineStr">
        <is>
          <t>medium</t>
        </is>
      </c>
      <c r="N10" s="11" t="n">
        <v>3</v>
      </c>
      <c r="O10" s="11" t="n">
        <v>2022</v>
      </c>
      <c r="P10" s="11" t="n">
        <v>2</v>
      </c>
      <c r="Q10" s="11" t="n">
        <v>0.88</v>
      </c>
      <c r="R10" s="2" t="inlineStr">
        <is>
          <t>second reading by a model (a session reading the passages); not lawyer-validated and not independent of the checker's author</t>
        </is>
      </c>
      <c r="S10" s="11" t="inlineStr"/>
      <c r="T10" s="2" t="inlineStr">
        <is>
          <t>No overruling or doubt found in the 3 later judgments we hold that cite it (collection runs to 2026-08-12; we hold about 88% of what Indian Kanoon lists after it). This is silence in what we hold, not a finding about the law.</t>
        </is>
      </c>
      <c r="U10" s="11" t="inlineStr">
        <is>
          <t>reports/d_velusamy_v_d_patchaiammal.md</t>
        </is>
      </c>
    </row>
    <row r="11">
      <c r="A11" s="2" t="inlineStr">
        <is>
          <t>D.K. Basu v State of West Bengal</t>
        </is>
      </c>
      <c r="B11" s="11" t="inlineStr">
        <is>
          <t>(1997) 1 SCC 416</t>
        </is>
      </c>
      <c r="C11" s="11" t="n">
        <v>1997</v>
      </c>
      <c r="D11" s="11" t="inlineStr">
        <is>
          <t>SC</t>
        </is>
      </c>
      <c r="E11" s="11" t="inlineStr">
        <is>
          <t>NO_ADVERSE_FOUND</t>
        </is>
      </c>
      <c r="F11" s="11" t="inlineStr">
        <is>
          <t>STATUTE_CHANGED</t>
        </is>
      </c>
      <c r="G11" s="2" t="n"/>
      <c r="H11" s="11" t="inlineStr">
        <is>
          <t>c14580</t>
        </is>
      </c>
      <c r="I11" s="2" t="inlineStr">
        <is>
          <t>SHRI D.K. BASU,ASHOK K. JOHRI v. STATE OF WEST BENGAL,STATE OF U.P</t>
        </is>
      </c>
      <c r="J11" s="11" t="inlineStr">
        <is>
          <t>1996-12-18</t>
        </is>
      </c>
      <c r="K11" s="11" t="n">
        <v>2</v>
      </c>
      <c r="L11" s="11" t="inlineStr">
        <is>
          <t>name_year</t>
        </is>
      </c>
      <c r="M11" s="11" t="inlineStr">
        <is>
          <t>medium</t>
        </is>
      </c>
      <c r="N11" s="11" t="n">
        <v>86</v>
      </c>
      <c r="O11" s="11" t="n">
        <v>2025</v>
      </c>
      <c r="P11" s="11" t="n">
        <v>39</v>
      </c>
      <c r="Q11" s="11" t="n">
        <v>0.8100000000000001</v>
      </c>
      <c r="R11" s="2" t="inlineStr">
        <is>
          <t>second reading by a model (a session reading the passages); not lawyer-validated and not independent of the checker's author</t>
        </is>
      </c>
      <c r="S11" s="11" t="inlineStr"/>
      <c r="T11" s="2" t="inlineStr">
        <is>
          <t>No overruling or doubt found in the 86 later judgments we hold that cite it (collection runs to 2026-08-12; we hold about 81% of what Indian Kanoon lists after it). This is silence in what we hold, not a finding about the law.</t>
        </is>
      </c>
      <c r="U11" s="11" t="inlineStr">
        <is>
          <t>reports/d_k_basu_v_state_of_west_bengal.md</t>
        </is>
      </c>
    </row>
    <row r="12">
      <c r="A12" s="2" t="inlineStr">
        <is>
          <t>Damodar S. Prabhu v Sayed Babalal H</t>
        </is>
      </c>
      <c r="B12" s="11" t="inlineStr">
        <is>
          <t>(2010) 5 SCC 663</t>
        </is>
      </c>
      <c r="C12" s="11" t="n">
        <v>2010</v>
      </c>
      <c r="D12" s="11" t="inlineStr">
        <is>
          <t>SC</t>
        </is>
      </c>
      <c r="E12" s="11" t="inlineStr">
        <is>
          <t>NO_ADVERSE_FOUND</t>
        </is>
      </c>
      <c r="F12" s="11" t="inlineStr">
        <is>
          <t>STATUTE_CHANGED</t>
        </is>
      </c>
      <c r="G12" s="2" t="n"/>
      <c r="H12" s="11" t="inlineStr">
        <is>
          <t>c36294</t>
        </is>
      </c>
      <c r="I12" s="2" t="inlineStr">
        <is>
          <t>Damodar S. Prabhu v. Sayed Babalal H</t>
        </is>
      </c>
      <c r="J12" s="11" t="inlineStr">
        <is>
          <t>2010-05-03</t>
        </is>
      </c>
      <c r="K12" s="11" t="n">
        <v>3</v>
      </c>
      <c r="L12" s="11" t="inlineStr">
        <is>
          <t>name_year</t>
        </is>
      </c>
      <c r="M12" s="11" t="inlineStr">
        <is>
          <t>high</t>
        </is>
      </c>
      <c r="N12" s="11" t="n">
        <v>14</v>
      </c>
      <c r="O12" s="11" t="n">
        <v>2025</v>
      </c>
      <c r="P12" s="11" t="n">
        <v>8</v>
      </c>
      <c r="Q12" s="11" t="n">
        <v>0.88</v>
      </c>
      <c r="R12" s="2" t="inlineStr">
        <is>
          <t>second reading by a model (a session reading the passages); not lawyer-validated and not independent of the checker's author</t>
        </is>
      </c>
      <c r="S12" s="11" t="inlineStr"/>
      <c r="T12" s="2" t="inlineStr">
        <is>
          <t>No overruling or doubt found in the 14 later judgments we hold that cite it (collection runs to 2026-08-12; we hold about 88% of what Indian Kanoon lists after it). This is silence in what we hold, not a finding about the law.</t>
        </is>
      </c>
      <c r="U12" s="11" t="inlineStr">
        <is>
          <t>reports/damodar_s_prabhu_v_sayed_babalal_h.md</t>
        </is>
      </c>
    </row>
    <row r="13">
      <c r="A13" s="2" t="inlineStr">
        <is>
          <t>Deepa v S. Vijayalakshmi</t>
        </is>
      </c>
      <c r="B13" s="11" t="inlineStr">
        <is>
          <t>2025 SCC OnLine Mad (MD) (W.A.(MD) Nos. 1155 of 2020, 1200 &amp; 1216 of 2019)</t>
        </is>
      </c>
      <c r="C13" s="11" t="n">
        <v>2025</v>
      </c>
      <c r="D13" s="11" t="inlineStr">
        <is>
          <t>HC</t>
        </is>
      </c>
      <c r="E13" s="11" t="inlineStr">
        <is>
          <t>NOT_CHECKABLE_HIGH_COURT</t>
        </is>
      </c>
      <c r="F13" s="11" t="n"/>
      <c r="G13" s="2" t="n"/>
      <c r="H13" s="11" t="n"/>
      <c r="I13" s="2" t="n"/>
      <c r="J13" s="11" t="n"/>
      <c r="K13" s="11" t="n"/>
      <c r="L13" s="11" t="n"/>
      <c r="M13" s="11" t="n"/>
      <c r="N13" s="11" t="n"/>
      <c r="O13" s="11" t="n"/>
      <c r="P13" s="11" t="n"/>
      <c r="Q13" s="11" t="n"/>
      <c r="R13" s="2" t="n"/>
      <c r="S13" s="11" t="inlineStr"/>
      <c r="T13" s="2" t="inlineStr">
        <is>
          <t>This is a High Court decision; our collection holds only Supreme Court judgments, so what later judgments did with it was not checked. (decided by a court other than the Supreme Court; the collection holds only Supreme Court judgments)</t>
        </is>
      </c>
      <c r="U13" s="11" t="n"/>
    </row>
    <row r="14">
      <c r="A14" s="2" t="inlineStr">
        <is>
          <t>G. Sagar Suri and Anr. v State of U.P. and Ors.</t>
        </is>
      </c>
      <c r="B14" s="11" t="inlineStr">
        <is>
          <t>(2000) 2 SCC 636</t>
        </is>
      </c>
      <c r="C14" s="11" t="n">
        <v>2000</v>
      </c>
      <c r="D14" s="11" t="inlineStr">
        <is>
          <t>SC</t>
        </is>
      </c>
      <c r="E14" s="11" t="inlineStr">
        <is>
          <t>NO_ADVERSE_FOUND</t>
        </is>
      </c>
      <c r="F14" s="11" t="inlineStr">
        <is>
          <t>STATUTE_CHANGED</t>
        </is>
      </c>
      <c r="G14" s="2" t="n"/>
      <c r="H14" s="11" t="inlineStr">
        <is>
          <t>c20281</t>
        </is>
      </c>
      <c r="I14" s="2" t="inlineStr">
        <is>
          <t>G. SAGAR SURI AND ANR v. STATE OF UP. AND ORS</t>
        </is>
      </c>
      <c r="J14" s="11" t="inlineStr">
        <is>
          <t>2000-01-28</t>
        </is>
      </c>
      <c r="K14" s="11" t="n">
        <v>2</v>
      </c>
      <c r="L14" s="11" t="inlineStr">
        <is>
          <t>source_url</t>
        </is>
      </c>
      <c r="M14" s="11" t="inlineStr">
        <is>
          <t>high</t>
        </is>
      </c>
      <c r="N14" s="11" t="n">
        <v>42</v>
      </c>
      <c r="O14" s="11" t="n">
        <v>2025</v>
      </c>
      <c r="P14" s="11" t="n">
        <v>18</v>
      </c>
      <c r="Q14" s="11" t="n">
        <v>0.85</v>
      </c>
      <c r="R14" s="2" t="inlineStr">
        <is>
          <t>second reading by a model (a session reading the passages); not lawyer-validated and not independent of the checker's author</t>
        </is>
      </c>
      <c r="S14" s="11" t="inlineStr"/>
      <c r="T14" s="2" t="inlineStr">
        <is>
          <t>No overruling or doubt found in the 42 later judgments we hold that cite it (collection runs to 2026-08-12; we hold about 85% of what Indian Kanoon lists after it). This is silence in what we hold, not a finding about the law.</t>
        </is>
      </c>
      <c r="U14" s="11" t="inlineStr">
        <is>
          <t>reports/g_sagar_suri_and_anr_v_state_of_u_p_and_ors.md</t>
        </is>
      </c>
    </row>
    <row r="15">
      <c r="A15" s="2" t="inlineStr">
        <is>
          <t>Gurbaksh Singh Sibbia v State of Punjab</t>
        </is>
      </c>
      <c r="B15" s="11" t="inlineStr">
        <is>
          <t>1980 AIR 1632, (1980) 2 SCC 565</t>
        </is>
      </c>
      <c r="C15" s="11" t="n">
        <v>1980</v>
      </c>
      <c r="D15" s="11" t="inlineStr">
        <is>
          <t>SC</t>
        </is>
      </c>
      <c r="E15" s="11" t="inlineStr">
        <is>
          <t>NO_ADVERSE_FOUND</t>
        </is>
      </c>
      <c r="F15" s="11" t="inlineStr">
        <is>
          <t>STATUTE_CHANGED</t>
        </is>
      </c>
      <c r="G15" s="2" t="n"/>
      <c r="H15" s="11" t="inlineStr">
        <is>
          <t>c4562</t>
        </is>
      </c>
      <c r="I15" s="2" t="inlineStr">
        <is>
          <t>GURBAKSH SINGH SIBBIA ETC v. STATE OF PUNJAB</t>
        </is>
      </c>
      <c r="J15" s="11" t="inlineStr">
        <is>
          <t>1980-04-09</t>
        </is>
      </c>
      <c r="K15" s="11" t="n">
        <v>5</v>
      </c>
      <c r="L15" s="11" t="inlineStr">
        <is>
          <t>source_url</t>
        </is>
      </c>
      <c r="M15" s="11" t="inlineStr">
        <is>
          <t>high</t>
        </is>
      </c>
      <c r="N15" s="11" t="n">
        <v>61</v>
      </c>
      <c r="O15" s="11" t="n">
        <v>2026</v>
      </c>
      <c r="P15" s="11" t="n">
        <v>34</v>
      </c>
      <c r="Q15" s="11" t="n">
        <v>0.77</v>
      </c>
      <c r="R15" s="2" t="inlineStr">
        <is>
          <t>second reading by a model (a session reading the passages); not lawyer-validated and not independent of the checker's author</t>
        </is>
      </c>
      <c r="S15" s="11" t="inlineStr"/>
      <c r="T15" s="2" t="inlineStr">
        <is>
          <t>No overruling or doubt found in the 61 later judgments we hold that cite it (collection runs to 2026-08-12; we hold about 77% of what Indian Kanoon lists after it). This is silence in what we hold, not a finding about the law.</t>
        </is>
      </c>
      <c r="U15" s="11" t="inlineStr">
        <is>
          <t>reports/gurbaksh_singh_sibbia_v_state_of_punjab.md</t>
        </is>
      </c>
    </row>
    <row r="16">
      <c r="A16" s="2" t="inlineStr">
        <is>
          <t>Hiral P. Harsora v Kusum Narottamdas Harsora</t>
        </is>
      </c>
      <c r="B16" s="11" t="inlineStr">
        <is>
          <t>AIR 2016 SC 4774, (2016) 10 SCC 165</t>
        </is>
      </c>
      <c r="C16" s="11" t="n">
        <v>2016</v>
      </c>
      <c r="D16" s="11" t="inlineStr">
        <is>
          <t>SC</t>
        </is>
      </c>
      <c r="E16" s="11" t="inlineStr">
        <is>
          <t>NO_ADVERSE_FOUND</t>
        </is>
      </c>
      <c r="F16" s="11" t="inlineStr">
        <is>
          <t>STATUTE_CHANGED</t>
        </is>
      </c>
      <c r="G16" s="2" t="n"/>
      <c r="H16" s="11" t="inlineStr">
        <is>
          <t>c44159</t>
        </is>
      </c>
      <c r="I16" s="2" t="inlineStr">
        <is>
          <t>HIRAL P. HARSORA AND ORS v. KUSUM NAROTTAMDAS HARSORA AND ORS</t>
        </is>
      </c>
      <c r="J16" s="11" t="inlineStr">
        <is>
          <t>2016-10-06</t>
        </is>
      </c>
      <c r="K16" s="11" t="n">
        <v>2</v>
      </c>
      <c r="L16" s="11" t="inlineStr">
        <is>
          <t>name_year</t>
        </is>
      </c>
      <c r="M16" s="11" t="inlineStr">
        <is>
          <t>high</t>
        </is>
      </c>
      <c r="N16" s="11" t="n">
        <v>6</v>
      </c>
      <c r="O16" s="11" t="n">
        <v>2026</v>
      </c>
      <c r="P16" s="11" t="n">
        <v>6</v>
      </c>
      <c r="Q16" s="11" t="n">
        <v>0.75</v>
      </c>
      <c r="R16" s="2" t="inlineStr">
        <is>
          <t>second reading by a model (a session reading the passages); not lawyer-validated and not independent of the checker's author</t>
        </is>
      </c>
      <c r="S16" s="11" t="inlineStr"/>
      <c r="T16" s="2" t="inlineStr">
        <is>
          <t>No overruling or doubt found in the 6 later judgments we hold that cite it (collection runs to 2026-08-12; we hold about 75% of what Indian Kanoon lists after it). This is silence in what we hold, not a finding about the law.</t>
        </is>
      </c>
      <c r="U16" s="11" t="inlineStr">
        <is>
          <t>reports/hiral_p_harsora_v_kusum_narottamdas_harsora.md</t>
        </is>
      </c>
    </row>
    <row r="17">
      <c r="A17" s="2" t="inlineStr">
        <is>
          <t>Hori Lal v State of Uttar Pradesh</t>
        </is>
      </c>
      <c r="B17" s="11" t="inlineStr">
        <is>
          <t>[2006] Supp. 10 S.C.R. 60</t>
        </is>
      </c>
      <c r="C17" s="11" t="n">
        <v>2006</v>
      </c>
      <c r="D17" s="11" t="inlineStr">
        <is>
          <t>SC</t>
        </is>
      </c>
      <c r="E17" s="11" t="inlineStr">
        <is>
          <t>INSUFFICIENT</t>
        </is>
      </c>
      <c r="F17" s="11" t="inlineStr">
        <is>
          <t>STATUTE_CHANGED</t>
        </is>
      </c>
      <c r="G17" s="2" t="n"/>
      <c r="H17" s="11" t="inlineStr">
        <is>
          <t>c28365</t>
        </is>
      </c>
      <c r="I17" s="2" t="inlineStr">
        <is>
          <t>Hori Lal &amp; Anr v. State of U.P</t>
        </is>
      </c>
      <c r="J17" s="11" t="inlineStr">
        <is>
          <t>2006-12-05</t>
        </is>
      </c>
      <c r="K17" s="11" t="n">
        <v>2</v>
      </c>
      <c r="L17" s="11" t="inlineStr">
        <is>
          <t>source_url</t>
        </is>
      </c>
      <c r="M17" s="11" t="inlineStr">
        <is>
          <t>high</t>
        </is>
      </c>
      <c r="N17" s="11" t="n">
        <v>0</v>
      </c>
      <c r="O17" s="11" t="n"/>
      <c r="P17" s="11" t="n">
        <v>0</v>
      </c>
      <c r="Q17" s="11" t="n">
        <v>0.89</v>
      </c>
      <c r="R17" s="2" t="n"/>
      <c r="S17" s="11" t="inlineStr"/>
      <c r="T17" s="2" t="inlineStr">
        <is>
          <t>Only 0 later judgments in our collection cite this case; too few to say anything.</t>
        </is>
      </c>
      <c r="U17" s="11" t="inlineStr">
        <is>
          <t>reports/hori_lal_v_state_of_uttar_pradesh.md</t>
        </is>
      </c>
    </row>
    <row r="18">
      <c r="A18" s="2" t="inlineStr">
        <is>
          <t>Hridaya Rangan Pd. Verma and Ors. v State of Bihar and Anr.</t>
        </is>
      </c>
      <c r="B18" s="11" t="inlineStr">
        <is>
          <t>(2000) 4 SCC 168</t>
        </is>
      </c>
      <c r="C18" s="11" t="n">
        <v>2000</v>
      </c>
      <c r="D18" s="11" t="inlineStr">
        <is>
          <t>SC</t>
        </is>
      </c>
      <c r="E18" s="11" t="inlineStr">
        <is>
          <t>NO_ADVERSE_FOUND</t>
        </is>
      </c>
      <c r="F18" s="11" t="inlineStr">
        <is>
          <t>STATUTE_CHANGED</t>
        </is>
      </c>
      <c r="G18" s="2" t="n"/>
      <c r="H18" s="11" t="inlineStr">
        <is>
          <t>c20323</t>
        </is>
      </c>
      <c r="I18" s="2" t="inlineStr">
        <is>
          <t>HRIDAYA RANGAN PD. VERMA AND ORS v. STATE OF BIHAR AND ANR</t>
        </is>
      </c>
      <c r="J18" s="11" t="inlineStr">
        <is>
          <t>2000-03-31</t>
        </is>
      </c>
      <c r="K18" s="11" t="n">
        <v>2</v>
      </c>
      <c r="L18" s="11" t="inlineStr">
        <is>
          <t>source_url</t>
        </is>
      </c>
      <c r="M18" s="11" t="inlineStr">
        <is>
          <t>high</t>
        </is>
      </c>
      <c r="N18" s="11" t="n">
        <v>19</v>
      </c>
      <c r="O18" s="11" t="n">
        <v>2025</v>
      </c>
      <c r="P18" s="11" t="n">
        <v>10</v>
      </c>
      <c r="Q18" s="11" t="n">
        <v>0.85</v>
      </c>
      <c r="R18" s="2" t="inlineStr">
        <is>
          <t>second reading by a model (a session reading the passages); not lawyer-validated and not independent of the checker's author</t>
        </is>
      </c>
      <c r="S18" s="11" t="inlineStr"/>
      <c r="T18" s="2" t="inlineStr">
        <is>
          <t>No overruling or doubt found in the 19 later judgments we hold that cite it (collection runs to 2026-08-12; we hold about 85% of what Indian Kanoon lists after it). This is silence in what we hold, not a finding about the law.</t>
        </is>
      </c>
      <c r="U18" s="11" t="inlineStr">
        <is>
          <t>reports/hridaya_rangan_pd_verma_and_ors_v_state_of_bihar_and_anr.md</t>
        </is>
      </c>
    </row>
    <row r="19">
      <c r="A19" s="2" t="inlineStr">
        <is>
          <t>Inder Mohan Goswami and Anr. v State of Uttaranchal and Ors.</t>
        </is>
      </c>
      <c r="B19" s="11" t="inlineStr">
        <is>
          <t>(2007) 12 SCC 1</t>
        </is>
      </c>
      <c r="C19" s="11" t="n">
        <v>2007</v>
      </c>
      <c r="D19" s="11" t="inlineStr">
        <is>
          <t>SC</t>
        </is>
      </c>
      <c r="E19" s="11" t="inlineStr">
        <is>
          <t>NO_ADVERSE_FOUND</t>
        </is>
      </c>
      <c r="F19" s="11" t="inlineStr">
        <is>
          <t>STATUTE_CHANGED</t>
        </is>
      </c>
      <c r="G19" s="2" t="n"/>
      <c r="H19" s="11" t="inlineStr">
        <is>
          <t>c29628</t>
        </is>
      </c>
      <c r="I19" s="2" t="inlineStr">
        <is>
          <t>Inder Mohan Goswami &amp; Another v. State of Uttaranchal &amp; Others</t>
        </is>
      </c>
      <c r="J19" s="11" t="inlineStr">
        <is>
          <t>2007-10-09</t>
        </is>
      </c>
      <c r="K19" s="11" t="n">
        <v>3</v>
      </c>
      <c r="L19" s="11" t="inlineStr">
        <is>
          <t>source_url</t>
        </is>
      </c>
      <c r="M19" s="11" t="inlineStr">
        <is>
          <t>high</t>
        </is>
      </c>
      <c r="N19" s="11" t="n">
        <v>28</v>
      </c>
      <c r="O19" s="11" t="n">
        <v>2025</v>
      </c>
      <c r="P19" s="11" t="n">
        <v>15</v>
      </c>
      <c r="Q19" s="11" t="n">
        <v>0.89</v>
      </c>
      <c r="R19" s="2" t="n"/>
      <c r="S19" s="11" t="inlineStr"/>
      <c r="T19" s="2" t="inlineStr">
        <is>
          <t>No overruling or doubt found in the 28 later judgments we hold that cite it (collection runs to 2026-08-12; we hold about 89% of what Indian Kanoon lists after it). This is silence in what we hold, not a finding about the law.</t>
        </is>
      </c>
      <c r="U19" s="11" t="inlineStr">
        <is>
          <t>reports/inder_mohan_goswami_and_anr_v_state_of_uttaranchal_and_ors.md</t>
        </is>
      </c>
    </row>
    <row r="20">
      <c r="A20" s="2" t="inlineStr">
        <is>
          <t>Indra Sarma v V.K.V. Sarma</t>
        </is>
      </c>
      <c r="B20" s="11" t="inlineStr">
        <is>
          <t>2013 AIR SCW 6783, (2013) 15 SCC 755</t>
        </is>
      </c>
      <c r="C20" s="11" t="n">
        <v>2013</v>
      </c>
      <c r="D20" s="11" t="inlineStr">
        <is>
          <t>SC</t>
        </is>
      </c>
      <c r="E20" s="11" t="inlineStr">
        <is>
          <t>NO_ADVERSE_FOUND</t>
        </is>
      </c>
      <c r="F20" s="11" t="inlineStr">
        <is>
          <t>STATUTE_CHANGED</t>
        </is>
      </c>
      <c r="G20" s="2" t="n"/>
      <c r="H20" s="11" t="inlineStr">
        <is>
          <t>c41007</t>
        </is>
      </c>
      <c r="I20" s="2" t="inlineStr">
        <is>
          <t>Indra Sarma v. V.K.V. Sarma</t>
        </is>
      </c>
      <c r="J20" s="11" t="inlineStr">
        <is>
          <t>2013-11-26</t>
        </is>
      </c>
      <c r="K20" s="11" t="n">
        <v>2</v>
      </c>
      <c r="L20" s="11" t="inlineStr">
        <is>
          <t>name_year</t>
        </is>
      </c>
      <c r="M20" s="11" t="inlineStr">
        <is>
          <t>high</t>
        </is>
      </c>
      <c r="N20" s="11" t="n">
        <v>9</v>
      </c>
      <c r="O20" s="11" t="n">
        <v>2023</v>
      </c>
      <c r="P20" s="11" t="n">
        <v>9</v>
      </c>
      <c r="Q20" s="11" t="n">
        <v>0.85</v>
      </c>
      <c r="R20" s="2" t="inlineStr">
        <is>
          <t>second reading by a model (a session reading the passages); not lawyer-validated and not independent of the checker's author</t>
        </is>
      </c>
      <c r="S20" s="11" t="inlineStr"/>
      <c r="T20" s="2" t="inlineStr">
        <is>
          <t>No overruling or doubt found in the 9 later judgments we hold that cite it (collection runs to 2026-08-12; we hold about 85% of what Indian Kanoon lists after it). This is silence in what we hold, not a finding about the law.</t>
        </is>
      </c>
      <c r="U20" s="11" t="inlineStr">
        <is>
          <t>reports/indra_sarma_v_v_k_v_sarma.md</t>
        </is>
      </c>
    </row>
    <row r="21">
      <c r="A21" s="2" t="inlineStr">
        <is>
          <t>Jagrup Singh v State of Haryana</t>
        </is>
      </c>
      <c r="B21" s="11" t="inlineStr">
        <is>
          <t>[1981] 3 S.C.R. 839</t>
        </is>
      </c>
      <c r="C21" s="11" t="n">
        <v>1981</v>
      </c>
      <c r="D21" s="11" t="inlineStr">
        <is>
          <t>SC</t>
        </is>
      </c>
      <c r="E21" s="11" t="inlineStr">
        <is>
          <t>NO_ADVERSE_FOUND</t>
        </is>
      </c>
      <c r="F21" s="11" t="inlineStr">
        <is>
          <t>STATUTE_CHANGED</t>
        </is>
      </c>
      <c r="G21" s="2" t="n"/>
      <c r="H21" s="11" t="inlineStr">
        <is>
          <t>c10048</t>
        </is>
      </c>
      <c r="I21" s="2" t="inlineStr">
        <is>
          <t>JAGRUP SINGH v. STATE OF HARYANA</t>
        </is>
      </c>
      <c r="J21" s="11" t="inlineStr">
        <is>
          <t>1981-05-07</t>
        </is>
      </c>
      <c r="K21" s="11" t="n">
        <v>2</v>
      </c>
      <c r="L21" s="11" t="inlineStr">
        <is>
          <t>source_url</t>
        </is>
      </c>
      <c r="M21" s="11" t="inlineStr">
        <is>
          <t>high</t>
        </is>
      </c>
      <c r="N21" s="11" t="n">
        <v>11</v>
      </c>
      <c r="O21" s="11" t="n">
        <v>2023</v>
      </c>
      <c r="P21" s="11" t="n">
        <v>2</v>
      </c>
      <c r="Q21" s="11" t="n">
        <v>0.77</v>
      </c>
      <c r="R21" s="2" t="n"/>
      <c r="S21" s="11" t="inlineStr"/>
      <c r="T21" s="2" t="inlineStr">
        <is>
          <t>No overruling or doubt found in the 11 later judgments we hold that cite it (collection runs to 2026-08-12; we hold about 77% of what Indian Kanoon lists after it). This is silence in what we hold, not a finding about the law.</t>
        </is>
      </c>
      <c r="U21" s="11" t="inlineStr">
        <is>
          <t>reports/jagrup_singh_v_state_of_haryana.md</t>
        </is>
      </c>
    </row>
    <row r="22">
      <c r="A22" s="2" t="inlineStr">
        <is>
          <t>Jatin Narendrabhai Sanghvi &amp; Ors v State of Gujarat &amp; Anr</t>
        </is>
      </c>
      <c r="B22" s="11" t="inlineStr">
        <is>
          <t>R/Criminal Misc. Application No. 18659 of 2023 (Gujarat HC, 19 June 2026) -- no independent neutral/SCC citation confirmed</t>
        </is>
      </c>
      <c r="C22" s="11" t="n">
        <v>2023</v>
      </c>
      <c r="D22" s="11" t="inlineStr">
        <is>
          <t>HC</t>
        </is>
      </c>
      <c r="E22" s="11" t="inlineStr">
        <is>
          <t>NOT_CHECKABLE_HIGH_COURT</t>
        </is>
      </c>
      <c r="F22" s="11" t="n"/>
      <c r="G22" s="2" t="n"/>
      <c r="H22" s="11" t="n"/>
      <c r="I22" s="2" t="n"/>
      <c r="J22" s="11" t="n"/>
      <c r="K22" s="11" t="n"/>
      <c r="L22" s="11" t="n"/>
      <c r="M22" s="11" t="n"/>
      <c r="N22" s="11" t="n"/>
      <c r="O22" s="11" t="n"/>
      <c r="P22" s="11" t="n"/>
      <c r="Q22" s="11" t="n"/>
      <c r="R22" s="2" t="n"/>
      <c r="S22" s="11" t="inlineStr"/>
      <c r="T22" s="2" t="inlineStr">
        <is>
          <t>This is a High Court decision; our collection holds only Supreme Court judgments, so what later judgments did with it was not checked. (decided by High Court of Gujarat at Ahmedabad; the collection holds only Supreme Court judgments)</t>
        </is>
      </c>
      <c r="U22" s="11" t="n"/>
    </row>
    <row r="23">
      <c r="A23" s="2" t="inlineStr">
        <is>
          <t>Johnson V.U. v State of Kerala</t>
        </is>
      </c>
      <c r="B23" s="11" t="inlineStr">
        <is>
          <t>2024:KER:60051 (Crl.M.C. No. 6262 of 2016)</t>
        </is>
      </c>
      <c r="C23" s="11" t="n">
        <v>2024</v>
      </c>
      <c r="D23" s="11" t="inlineStr">
        <is>
          <t>HC</t>
        </is>
      </c>
      <c r="E23" s="11" t="inlineStr">
        <is>
          <t>NOT_CHECKABLE_HIGH_COURT</t>
        </is>
      </c>
      <c r="F23" s="11" t="n"/>
      <c r="G23" s="2" t="n"/>
      <c r="H23" s="11" t="n"/>
      <c r="I23" s="2" t="n"/>
      <c r="J23" s="11" t="n"/>
      <c r="K23" s="11" t="n"/>
      <c r="L23" s="11" t="n"/>
      <c r="M23" s="11" t="n"/>
      <c r="N23" s="11" t="n"/>
      <c r="O23" s="11" t="n"/>
      <c r="P23" s="11" t="n"/>
      <c r="Q23" s="11" t="n"/>
      <c r="R23" s="2" t="n"/>
      <c r="S23" s="11" t="inlineStr"/>
      <c r="T23" s="2" t="inlineStr">
        <is>
          <t>This is a High Court decision; our collection holds only Supreme Court judgments, so what later judgments did with it was not checked. (decided by Kerala High Court; the collection holds only Supreme Court judgments)</t>
        </is>
      </c>
      <c r="U23" s="11" t="n"/>
    </row>
    <row r="24">
      <c r="A24" s="2" t="inlineStr">
        <is>
          <t>K.N. Mehra v State of Rajasthan</t>
        </is>
      </c>
      <c r="B24" s="11" t="inlineStr">
        <is>
          <t>1957 AIR 369</t>
        </is>
      </c>
      <c r="C24" s="11" t="n">
        <v>1957</v>
      </c>
      <c r="D24" s="11" t="inlineStr">
        <is>
          <t>SC</t>
        </is>
      </c>
      <c r="E24" s="11" t="inlineStr">
        <is>
          <t>INSUFFICIENT</t>
        </is>
      </c>
      <c r="F24" s="11" t="inlineStr">
        <is>
          <t>STATUTE_CHANGED</t>
        </is>
      </c>
      <c r="G24" s="2" t="n"/>
      <c r="H24" s="11" t="inlineStr">
        <is>
          <t>c674</t>
        </is>
      </c>
      <c r="I24" s="2" t="inlineStr">
        <is>
          <t>K. N. MEHRA v. THE STATE OF RAJASTHAN</t>
        </is>
      </c>
      <c r="J24" s="11" t="inlineStr">
        <is>
          <t>1957-02-11</t>
        </is>
      </c>
      <c r="K24" s="11" t="n">
        <v>3</v>
      </c>
      <c r="L24" s="11" t="inlineStr">
        <is>
          <t>citation</t>
        </is>
      </c>
      <c r="M24" s="11" t="inlineStr">
        <is>
          <t>high</t>
        </is>
      </c>
      <c r="N24" s="11" t="n">
        <v>2</v>
      </c>
      <c r="O24" s="11" t="n">
        <v>2019</v>
      </c>
      <c r="P24" s="11" t="n">
        <v>1</v>
      </c>
      <c r="Q24" s="11" t="n">
        <v>0.75</v>
      </c>
      <c r="R24" s="2" t="n"/>
      <c r="S24" s="11" t="inlineStr"/>
      <c r="T24" s="2" t="inlineStr">
        <is>
          <t>Only 2 later judgments in our collection cite this case; too few to say anything.</t>
        </is>
      </c>
      <c r="U24" s="11" t="inlineStr">
        <is>
          <t>reports/k_n_mehra_v_state_of_rajasthan.md</t>
        </is>
      </c>
    </row>
    <row r="25">
      <c r="A25" s="2" t="inlineStr">
        <is>
          <t>Kahkashan Kausar @ Sonam v State of Bihar</t>
        </is>
      </c>
      <c r="B25" s="11" t="inlineStr">
        <is>
          <t>(2022) 6 SCC 599</t>
        </is>
      </c>
      <c r="C25" s="11" t="n">
        <v>2022</v>
      </c>
      <c r="D25" s="11" t="inlineStr">
        <is>
          <t>SC</t>
        </is>
      </c>
      <c r="E25" s="11" t="inlineStr">
        <is>
          <t>NO_ADVERSE_FOUND</t>
        </is>
      </c>
      <c r="F25" s="11" t="inlineStr">
        <is>
          <t>STATUTE_CHANGED</t>
        </is>
      </c>
      <c r="G25" s="2" t="n"/>
      <c r="H25" s="11" t="inlineStr">
        <is>
          <t>b2022_1_558_569</t>
        </is>
      </c>
      <c r="I25" s="2" t="inlineStr">
        <is>
          <t>KAHKASHAN KAUSAR @ SONAM &amp; ORS. versus STATE OF BIHAR &amp; ORS.</t>
        </is>
      </c>
      <c r="J25" s="11" t="inlineStr">
        <is>
          <t>2022-02-08</t>
        </is>
      </c>
      <c r="K25" s="11" t="n">
        <v>2</v>
      </c>
      <c r="L25" s="11" t="inlineStr">
        <is>
          <t>name_year</t>
        </is>
      </c>
      <c r="M25" s="11" t="inlineStr">
        <is>
          <t>high</t>
        </is>
      </c>
      <c r="N25" s="11" t="n">
        <v>4</v>
      </c>
      <c r="O25" s="11" t="n">
        <v>2024</v>
      </c>
      <c r="P25" s="11" t="n">
        <v>4</v>
      </c>
      <c r="Q25" s="11" t="n">
        <v>0.61</v>
      </c>
      <c r="R25" s="2" t="n"/>
      <c r="S25" s="11" t="inlineStr"/>
      <c r="T25" s="2" t="inlineStr">
        <is>
          <t>No overruling or doubt found in the 4 later judgments we hold that cite it (collection runs to 2026-08-12; we hold about 61% of what Indian Kanoon lists after it). This is silence in what we hold, not a finding about the law.</t>
        </is>
      </c>
      <c r="U25" s="11" t="inlineStr">
        <is>
          <t>reports/kahkashan_kausar_sonam_v_state_of_bihar.md</t>
        </is>
      </c>
    </row>
    <row r="26">
      <c r="A26" s="2" t="inlineStr">
        <is>
          <t>Karnail Singh v State of Haryana</t>
        </is>
      </c>
      <c r="B26" s="11" t="inlineStr">
        <is>
          <t>(2009) 8 SCC 539</t>
        </is>
      </c>
      <c r="C26" s="11" t="n">
        <v>2009</v>
      </c>
      <c r="D26" s="11" t="inlineStr">
        <is>
          <t>SC</t>
        </is>
      </c>
      <c r="E26" s="11" t="inlineStr">
        <is>
          <t>NO_ADVERSE_FOUND</t>
        </is>
      </c>
      <c r="F26" s="11" t="inlineStr">
        <is>
          <t>STATUTE_CHANGED</t>
        </is>
      </c>
      <c r="G26" s="2" t="n"/>
      <c r="H26" s="11" t="inlineStr">
        <is>
          <t>c35186</t>
        </is>
      </c>
      <c r="I26" s="2" t="inlineStr">
        <is>
          <t>Karnail Singh v. State of Haryana</t>
        </is>
      </c>
      <c r="J26" s="11" t="n"/>
      <c r="K26" s="11" t="n">
        <v>5</v>
      </c>
      <c r="L26" s="11" t="inlineStr">
        <is>
          <t>source_url</t>
        </is>
      </c>
      <c r="M26" s="11" t="inlineStr">
        <is>
          <t>high</t>
        </is>
      </c>
      <c r="N26" s="11" t="n">
        <v>20</v>
      </c>
      <c r="O26" s="11" t="n">
        <v>2024</v>
      </c>
      <c r="P26" s="11" t="n">
        <v>9</v>
      </c>
      <c r="Q26" s="11" t="n">
        <v>0.88</v>
      </c>
      <c r="R26" s="2" t="inlineStr">
        <is>
          <t>second reading by a model (a session reading the passages); not lawyer-validated and not independent of the checker's author</t>
        </is>
      </c>
      <c r="S26" s="11" t="inlineStr"/>
      <c r="T26" s="2" t="inlineStr">
        <is>
          <t>No overruling or doubt found in the 20 later judgments we hold that cite it (collection runs to 2026-08-12; we hold about 88% of what Indian Kanoon lists after it). This is silence in what we hold, not a finding about the law.</t>
        </is>
      </c>
      <c r="U26" s="11" t="inlineStr">
        <is>
          <t>reports/karnail_singh_v_state_of_haryana.md</t>
        </is>
      </c>
    </row>
    <row r="27">
      <c r="A27" s="2" t="inlineStr">
        <is>
          <t>Kaveri Plastics v Mahdoom Bawa Bahrudeen Noorul</t>
        </is>
      </c>
      <c r="B27" s="11" t="inlineStr">
        <is>
          <t>2025 INSC 1133</t>
        </is>
      </c>
      <c r="C27" s="11" t="n">
        <v>2025</v>
      </c>
      <c r="D27" s="11" t="inlineStr">
        <is>
          <t>SC</t>
        </is>
      </c>
      <c r="E27" s="11" t="inlineStr">
        <is>
          <t>INSUFFICIENT</t>
        </is>
      </c>
      <c r="F27" s="11" t="inlineStr">
        <is>
          <t>STATUTE_CHANGED</t>
        </is>
      </c>
      <c r="G27" s="2" t="n"/>
      <c r="H27" s="11" t="inlineStr">
        <is>
          <t>b2025_9_1210_1228</t>
        </is>
      </c>
      <c r="I27" s="2" t="inlineStr">
        <is>
          <t>KAVERI PLASTICS versus MAHDOOM BAWA BAHRUDEEN NOORUL</t>
        </is>
      </c>
      <c r="J27" s="11" t="inlineStr">
        <is>
          <t>2025-09-19</t>
        </is>
      </c>
      <c r="K27" s="11" t="n">
        <v>2</v>
      </c>
      <c r="L27" s="11" t="inlineStr">
        <is>
          <t>citation</t>
        </is>
      </c>
      <c r="M27" s="11" t="inlineStr">
        <is>
          <t>high</t>
        </is>
      </c>
      <c r="N27" s="11" t="n">
        <v>0</v>
      </c>
      <c r="O27" s="11" t="n"/>
      <c r="P27" s="11" t="n">
        <v>0</v>
      </c>
      <c r="Q27" s="11" t="n">
        <v>0.22</v>
      </c>
      <c r="R27" s="2" t="n"/>
      <c r="S27" s="11" t="inlineStr"/>
      <c r="T27" s="2" t="inlineStr">
        <is>
          <t>Only 0 later judgments in our collection cite this case; too few to say anything.</t>
        </is>
      </c>
      <c r="U27" s="11" t="inlineStr">
        <is>
          <t>reports/kaveri_plastics_v_mahdoom_bawa_bahrudeen_noorul.md</t>
        </is>
      </c>
    </row>
    <row r="28">
      <c r="A28" s="2" t="inlineStr">
        <is>
          <t>L. Muruganantham v State of Tamil Nadu</t>
        </is>
      </c>
      <c r="B28" s="11" t="inlineStr">
        <is>
          <t>2025 INSC 844</t>
        </is>
      </c>
      <c r="C28" s="11" t="n">
        <v>2025</v>
      </c>
      <c r="D28" s="11" t="inlineStr">
        <is>
          <t>SC</t>
        </is>
      </c>
      <c r="E28" s="11" t="inlineStr">
        <is>
          <t>INSUFFICIENT</t>
        </is>
      </c>
      <c r="F28" s="11" t="inlineStr">
        <is>
          <t>STATUTE_CHANGED</t>
        </is>
      </c>
      <c r="G28" s="2" t="n"/>
      <c r="H28" s="11" t="inlineStr">
        <is>
          <t>b2025_7_935_983</t>
        </is>
      </c>
      <c r="I28" s="2" t="inlineStr">
        <is>
          <t>L. MURUGANANTHAM versus STATE OF TAMIL NADU &amp; OTHERS</t>
        </is>
      </c>
      <c r="J28" s="11" t="inlineStr">
        <is>
          <t>2025-07-15</t>
        </is>
      </c>
      <c r="K28" s="11" t="n">
        <v>2</v>
      </c>
      <c r="L28" s="11" t="inlineStr">
        <is>
          <t>citation</t>
        </is>
      </c>
      <c r="M28" s="11" t="inlineStr">
        <is>
          <t>high</t>
        </is>
      </c>
      <c r="N28" s="11" t="n">
        <v>0</v>
      </c>
      <c r="O28" s="11" t="n"/>
      <c r="P28" s="11" t="n">
        <v>0</v>
      </c>
      <c r="Q28" s="11" t="n">
        <v>0.22</v>
      </c>
      <c r="R28" s="2" t="n"/>
      <c r="S28" s="11" t="inlineStr"/>
      <c r="T28" s="2" t="inlineStr">
        <is>
          <t>Only 0 later judgments in our collection cite this case; too few to say anything.</t>
        </is>
      </c>
      <c r="U28" s="11" t="inlineStr">
        <is>
          <t>reports/l_muruganantham_v_state_of_tamil_nadu.md</t>
        </is>
      </c>
    </row>
    <row r="29">
      <c r="A29" s="2" t="inlineStr">
        <is>
          <t>Lalita Kumari v Government of Uttar Pradesh</t>
        </is>
      </c>
      <c r="B29" s="11" t="inlineStr">
        <is>
          <t>(2014) 2 SCC 1</t>
        </is>
      </c>
      <c r="C29" s="11" t="n">
        <v>2014</v>
      </c>
      <c r="D29" s="11" t="inlineStr">
        <is>
          <t>SC</t>
        </is>
      </c>
      <c r="E29" s="11" t="inlineStr">
        <is>
          <t>NO_ADVERSE_FOUND</t>
        </is>
      </c>
      <c r="F29" s="11" t="inlineStr">
        <is>
          <t>STATUTE_CHANGED</t>
        </is>
      </c>
      <c r="G29" s="2" t="n"/>
      <c r="H29" s="11" t="inlineStr">
        <is>
          <t>c40960</t>
        </is>
      </c>
      <c r="I29" s="2" t="inlineStr">
        <is>
          <t>Lalita Kumari v. Govt. of U.P. &amp; Ors</t>
        </is>
      </c>
      <c r="J29" s="11" t="inlineStr">
        <is>
          <t>2013-11-12</t>
        </is>
      </c>
      <c r="K29" s="11" t="n">
        <v>5</v>
      </c>
      <c r="L29" s="11" t="inlineStr">
        <is>
          <t>name_year</t>
        </is>
      </c>
      <c r="M29" s="11" t="inlineStr">
        <is>
          <t>medium</t>
        </is>
      </c>
      <c r="N29" s="11" t="n">
        <v>59</v>
      </c>
      <c r="O29" s="11" t="n">
        <v>2025</v>
      </c>
      <c r="P29" s="11" t="n">
        <v>55</v>
      </c>
      <c r="Q29" s="11" t="n">
        <v>0.85</v>
      </c>
      <c r="R29" s="2" t="inlineStr">
        <is>
          <t>second reading by a model (a session reading the passages); not lawyer-validated and not independent of the checker's author</t>
        </is>
      </c>
      <c r="S29" s="11" t="inlineStr"/>
      <c r="T29" s="2" t="inlineStr">
        <is>
          <t>No overruling or doubt found in the 59 later judgments we hold that cite it (collection runs to 2026-08-12; we hold about 85% of what Indian Kanoon lists after it). This is silence in what we hold, not a finding about the law.</t>
        </is>
      </c>
      <c r="U29" s="11" t="inlineStr">
        <is>
          <t>reports/lalita_kumari_v_government_of_uttar_pradesh.md</t>
        </is>
      </c>
    </row>
    <row r="30">
      <c r="A30" s="2" t="inlineStr">
        <is>
          <t>Lata Singh v State of Uttar Pradesh</t>
        </is>
      </c>
      <c r="B30" s="11" t="inlineStr">
        <is>
          <t>(2006) 5 SCC 475</t>
        </is>
      </c>
      <c r="C30" s="11" t="n">
        <v>2006</v>
      </c>
      <c r="D30" s="11" t="inlineStr">
        <is>
          <t>SC</t>
        </is>
      </c>
      <c r="E30" s="11" t="inlineStr">
        <is>
          <t>NO_ADVERSE_FOUND</t>
        </is>
      </c>
      <c r="F30" s="11" t="inlineStr">
        <is>
          <t>STATUTE_CHANGED</t>
        </is>
      </c>
      <c r="G30" s="2" t="n"/>
      <c r="H30" s="11" t="inlineStr">
        <is>
          <t>c27831</t>
        </is>
      </c>
      <c r="I30" s="2" t="inlineStr">
        <is>
          <t>Lata Singh v. State of U.P. &amp; Another</t>
        </is>
      </c>
      <c r="J30" s="11" t="inlineStr">
        <is>
          <t>2006-07-07</t>
        </is>
      </c>
      <c r="K30" s="11" t="n">
        <v>2</v>
      </c>
      <c r="L30" s="11" t="inlineStr">
        <is>
          <t>name_year</t>
        </is>
      </c>
      <c r="M30" s="11" t="inlineStr">
        <is>
          <t>high</t>
        </is>
      </c>
      <c r="N30" s="11" t="n">
        <v>13</v>
      </c>
      <c r="O30" s="11" t="n">
        <v>2023</v>
      </c>
      <c r="P30" s="11" t="n">
        <v>9</v>
      </c>
      <c r="Q30" s="11" t="n">
        <v>0.89</v>
      </c>
      <c r="R30" s="2" t="inlineStr">
        <is>
          <t>second reading by a model (a session reading the passages); not lawyer-validated and not independent of the checker's author</t>
        </is>
      </c>
      <c r="S30" s="11" t="inlineStr"/>
      <c r="T30" s="2" t="inlineStr">
        <is>
          <t>No overruling or doubt found in the 13 later judgments we hold that cite it (collection runs to 2026-08-12; we hold about 89% of what Indian Kanoon lists after it). This is silence in what we hold, not a finding about the law.</t>
        </is>
      </c>
      <c r="U30" s="11" t="inlineStr">
        <is>
          <t>reports/lata_singh_v_state_of_uttar_pradesh.md</t>
        </is>
      </c>
    </row>
    <row r="31">
      <c r="A31" s="2" t="inlineStr">
        <is>
          <t>Lokesh B.H v State of Karnataka</t>
        </is>
      </c>
      <c r="B31" s="11" t="inlineStr">
        <is>
          <t>2026 INSC 784</t>
        </is>
      </c>
      <c r="C31" s="11" t="n">
        <v>2026</v>
      </c>
      <c r="D31" s="11" t="inlineStr">
        <is>
          <t>SC</t>
        </is>
      </c>
      <c r="E31" s="11" t="inlineStr">
        <is>
          <t>INSUFFICIENT</t>
        </is>
      </c>
      <c r="F31" s="11" t="n"/>
      <c r="G31" s="2" t="n"/>
      <c r="H31" s="11" t="n"/>
      <c r="I31" s="2" t="inlineStr">
        <is>
          <t>Lokesh B.H v State of Karnataka</t>
        </is>
      </c>
      <c r="J31" s="11" t="n"/>
      <c r="K31" s="11" t="n"/>
      <c r="L31" s="11" t="inlineStr">
        <is>
          <t>external_target</t>
        </is>
      </c>
      <c r="M31" s="11" t="n"/>
      <c r="N31" s="11" t="n">
        <v>0</v>
      </c>
      <c r="O31" s="11" t="n"/>
      <c r="P31" s="11" t="n">
        <v>0</v>
      </c>
      <c r="Q31" s="11" t="n"/>
      <c r="R31" s="2" t="n"/>
      <c r="S31" s="11" t="inlineStr"/>
      <c r="T31" s="2" t="inlineStr">
        <is>
          <t>Only 0 later judgments in our collection cite this case; too few to say anything.</t>
        </is>
      </c>
      <c r="U31" s="11" t="inlineStr">
        <is>
          <t>reports/lokesh_b_h_v_state_of_karnataka.md</t>
        </is>
      </c>
    </row>
    <row r="32">
      <c r="A32" s="2" t="inlineStr">
        <is>
          <t>M. Ravindran v Intelligence Officer, Directorate of Revenue Intelligence</t>
        </is>
      </c>
      <c r="B32" s="11" t="inlineStr">
        <is>
          <t>(2021) 2 SCC 485</t>
        </is>
      </c>
      <c r="C32" s="11" t="n">
        <v>2021</v>
      </c>
      <c r="D32" s="11" t="inlineStr">
        <is>
          <t>SC</t>
        </is>
      </c>
      <c r="E32" s="11" t="inlineStr">
        <is>
          <t>NO_ADVERSE_FOUND</t>
        </is>
      </c>
      <c r="F32" s="11" t="inlineStr">
        <is>
          <t>STATUTE_CHANGED</t>
        </is>
      </c>
      <c r="G32" s="2" t="n"/>
      <c r="H32" s="11" t="inlineStr">
        <is>
          <t>b2020_12_915_955</t>
        </is>
      </c>
      <c r="I32" s="2" t="inlineStr">
        <is>
          <t>M. RAVINDRAN versus THE INTELLIGENCE OFFICER, DIRECTORATE OF REVENUE INTELLIGENCE</t>
        </is>
      </c>
      <c r="J32" s="11" t="inlineStr">
        <is>
          <t>2020-10-26</t>
        </is>
      </c>
      <c r="K32" s="11" t="n">
        <v>3</v>
      </c>
      <c r="L32" s="11" t="inlineStr">
        <is>
          <t>name_year</t>
        </is>
      </c>
      <c r="M32" s="11" t="inlineStr">
        <is>
          <t>medium</t>
        </is>
      </c>
      <c r="N32" s="11" t="n">
        <v>12</v>
      </c>
      <c r="O32" s="11" t="n">
        <v>2025</v>
      </c>
      <c r="P32" s="11" t="n">
        <v>12</v>
      </c>
      <c r="Q32" s="11" t="n">
        <v>0.67</v>
      </c>
      <c r="R32" s="2" t="inlineStr">
        <is>
          <t>second reading by a model (a session reading the passages); not lawyer-validated and not independent of the checker's author</t>
        </is>
      </c>
      <c r="S32" s="11" t="inlineStr"/>
      <c r="T32" s="2" t="inlineStr">
        <is>
          <t>No overruling or doubt found in the 12 later judgments we hold that cite it (collection runs to 2026-08-12; we hold about 67% of what Indian Kanoon lists after it). This is silence in what we hold, not a finding about the law.</t>
        </is>
      </c>
      <c r="U32" s="11" t="inlineStr">
        <is>
          <t>reports/m_ravindran_v_intelligence_officer_directorate_of_revenue_intelligence.md</t>
        </is>
      </c>
    </row>
    <row r="33">
      <c r="A33" s="2" t="inlineStr">
        <is>
          <t>Malabar Gold and Diamond Limited v Union of India</t>
        </is>
      </c>
      <c r="B33" s="11" t="inlineStr">
        <is>
          <t>2026 SCC OnLine Del 297</t>
        </is>
      </c>
      <c r="C33" s="11" t="n">
        <v>2026</v>
      </c>
      <c r="D33" s="11" t="inlineStr">
        <is>
          <t>HC</t>
        </is>
      </c>
      <c r="E33" s="11" t="inlineStr">
        <is>
          <t>NOT_CHECKABLE_HIGH_COURT</t>
        </is>
      </c>
      <c r="F33" s="11" t="n"/>
      <c r="G33" s="2" t="n"/>
      <c r="H33" s="11" t="n"/>
      <c r="I33" s="2" t="n"/>
      <c r="J33" s="11" t="n"/>
      <c r="K33" s="11" t="n"/>
      <c r="L33" s="11" t="n"/>
      <c r="M33" s="11" t="n"/>
      <c r="N33" s="11" t="n"/>
      <c r="O33" s="11" t="n"/>
      <c r="P33" s="11" t="n"/>
      <c r="Q33" s="11" t="n"/>
      <c r="R33" s="2" t="n"/>
      <c r="S33" s="11" t="inlineStr"/>
      <c r="T33" s="2" t="inlineStr">
        <is>
          <t>This is a High Court decision; our collection holds only Supreme Court judgments, so what later judgments did with it was not checked. (decided by High Court of Delhi; the collection holds only Supreme Court judgments)</t>
        </is>
      </c>
      <c r="U33" s="11" t="n"/>
    </row>
    <row r="34">
      <c r="A34" s="2" t="inlineStr">
        <is>
          <t>Mathai v State of Kerala</t>
        </is>
      </c>
      <c r="B34" s="11" t="inlineStr">
        <is>
          <t>(2005) 3 SCC 260</t>
        </is>
      </c>
      <c r="C34" s="11" t="n">
        <v>2005</v>
      </c>
      <c r="D34" s="11" t="inlineStr">
        <is>
          <t>SC</t>
        </is>
      </c>
      <c r="E34" s="11" t="inlineStr">
        <is>
          <t>NO_ADVERSE_FOUND</t>
        </is>
      </c>
      <c r="F34" s="11" t="inlineStr">
        <is>
          <t>STATUTE_CHANGED</t>
        </is>
      </c>
      <c r="G34" s="2" t="n"/>
      <c r="H34" s="11" t="inlineStr">
        <is>
          <t>c26717</t>
        </is>
      </c>
      <c r="I34" s="2" t="inlineStr">
        <is>
          <t>Mathai v. State of Kerala</t>
        </is>
      </c>
      <c r="J34" s="11" t="inlineStr">
        <is>
          <t>2005-01-12</t>
        </is>
      </c>
      <c r="K34" s="11" t="n">
        <v>2</v>
      </c>
      <c r="L34" s="11" t="inlineStr">
        <is>
          <t>name_year</t>
        </is>
      </c>
      <c r="M34" s="11" t="inlineStr">
        <is>
          <t>high</t>
        </is>
      </c>
      <c r="N34" s="11" t="n">
        <v>3</v>
      </c>
      <c r="O34" s="11" t="n">
        <v>2015</v>
      </c>
      <c r="P34" s="11" t="n">
        <v>0</v>
      </c>
      <c r="Q34" s="11" t="n">
        <v>0.89</v>
      </c>
      <c r="R34" s="2" t="n"/>
      <c r="S34" s="11" t="inlineStr"/>
      <c r="T34" s="2" t="inlineStr">
        <is>
          <t>No overruling or doubt found in the 3 later judgments we hold that cite it (collection runs to 2026-08-12; we hold about 89% of what Indian Kanoon lists after it). This is silence in what we hold, not a finding about the law.</t>
        </is>
      </c>
      <c r="U34" s="11" t="inlineStr">
        <is>
          <t>reports/mathai_v_state_of_kerala.md</t>
        </is>
      </c>
    </row>
    <row r="35">
      <c r="A35" s="2" t="inlineStr">
        <is>
          <t>Mathai Verghese v State of Kerala</t>
        </is>
      </c>
      <c r="B35" s="11" t="inlineStr">
        <is>
          <t>[1987] 1 S.C.R. 317</t>
        </is>
      </c>
      <c r="C35" s="11" t="n">
        <v>1987</v>
      </c>
      <c r="D35" s="11" t="inlineStr">
        <is>
          <t>SC</t>
        </is>
      </c>
      <c r="E35" s="11" t="inlineStr">
        <is>
          <t>NO_ADVERSE_FOUND</t>
        </is>
      </c>
      <c r="F35" s="11" t="inlineStr">
        <is>
          <t>STATUTE_CHANGED</t>
        </is>
      </c>
      <c r="G35" s="2" t="n"/>
      <c r="H35" s="11" t="inlineStr">
        <is>
          <t>c8897</t>
        </is>
      </c>
      <c r="I35" s="2" t="inlineStr">
        <is>
          <t>STATE OF KERALA v. MATHAl VERGHESE &amp; ORS</t>
        </is>
      </c>
      <c r="J35" s="11" t="inlineStr">
        <is>
          <t>1986-11-19</t>
        </is>
      </c>
      <c r="K35" s="11" t="n">
        <v>2</v>
      </c>
      <c r="L35" s="11" t="inlineStr">
        <is>
          <t>source_url</t>
        </is>
      </c>
      <c r="M35" s="11" t="inlineStr">
        <is>
          <t>high</t>
        </is>
      </c>
      <c r="N35" s="11" t="n">
        <v>9</v>
      </c>
      <c r="O35" s="11" t="n">
        <v>2022</v>
      </c>
      <c r="P35" s="11" t="n">
        <v>2</v>
      </c>
      <c r="Q35" s="11" t="n">
        <v>0.78</v>
      </c>
      <c r="R35" s="2" t="inlineStr">
        <is>
          <t>second reading by a model (a session reading the passages); not lawyer-validated and not independent of the checker's author</t>
        </is>
      </c>
      <c r="S35" s="11" t="inlineStr"/>
      <c r="T35" s="2" t="inlineStr">
        <is>
          <t>No overruling or doubt found in the 9 later judgments we hold that cite it (collection runs to 2026-08-12; we hold about 78% of what Indian Kanoon lists after it). This is silence in what we hold, not a finding about the law.</t>
        </is>
      </c>
      <c r="U35" s="11" t="inlineStr">
        <is>
          <t>reports/mathai_verghese_v_state_of_kerala.md</t>
        </is>
      </c>
    </row>
    <row r="36">
      <c r="A36" s="2" t="inlineStr">
        <is>
          <t>Md. Ibrahim &amp; Ors v State of Bihar &amp; Anr</t>
        </is>
      </c>
      <c r="B36" s="11" t="inlineStr">
        <is>
          <t>(2009) 8 SCC 751</t>
        </is>
      </c>
      <c r="C36" s="11" t="n">
        <v>2009</v>
      </c>
      <c r="D36" s="11" t="inlineStr">
        <is>
          <t>SC</t>
        </is>
      </c>
      <c r="E36" s="11" t="inlineStr">
        <is>
          <t>NO_ADVERSE_FOUND</t>
        </is>
      </c>
      <c r="F36" s="11" t="inlineStr">
        <is>
          <t>STATUTE_CHANGED</t>
        </is>
      </c>
      <c r="G36" s="2" t="n"/>
      <c r="H36" s="11" t="inlineStr">
        <is>
          <t>c35436</t>
        </is>
      </c>
      <c r="I36" s="2" t="inlineStr">
        <is>
          <t>Md. Ibrahim &amp; Ors v. State of Bihar &amp; Anr</t>
        </is>
      </c>
      <c r="J36" s="11" t="inlineStr">
        <is>
          <t>2009-09-04</t>
        </is>
      </c>
      <c r="K36" s="11" t="n">
        <v>2</v>
      </c>
      <c r="L36" s="11" t="inlineStr">
        <is>
          <t>name_year</t>
        </is>
      </c>
      <c r="M36" s="11" t="inlineStr">
        <is>
          <t>high</t>
        </is>
      </c>
      <c r="N36" s="11" t="n">
        <v>11</v>
      </c>
      <c r="O36" s="11" t="n">
        <v>2025</v>
      </c>
      <c r="P36" s="11" t="n">
        <v>9</v>
      </c>
      <c r="Q36" s="11" t="n">
        <v>0.88</v>
      </c>
      <c r="R36" s="2" t="n"/>
      <c r="S36" s="11" t="inlineStr"/>
      <c r="T36" s="2" t="inlineStr">
        <is>
          <t>No overruling or doubt found in the 11 later judgments we hold that cite it (collection runs to 2026-08-12; we hold about 88% of what Indian Kanoon lists after it). This is silence in what we hold, not a finding about the law.</t>
        </is>
      </c>
      <c r="U36" s="11" t="inlineStr">
        <is>
          <t>reports/md_ibrahim_ors_v_state_of_bihar_anr.md</t>
        </is>
      </c>
    </row>
    <row r="37">
      <c r="A37" s="2" t="inlineStr">
        <is>
          <t>Mohan Lal v State of Punjab</t>
        </is>
      </c>
      <c r="B37" s="11" t="inlineStr">
        <is>
          <t>(2018) 17 SCC 627</t>
        </is>
      </c>
      <c r="C37" s="11" t="n">
        <v>2018</v>
      </c>
      <c r="D37" s="11" t="inlineStr">
        <is>
          <t>SC</t>
        </is>
      </c>
      <c r="E37" s="11" t="inlineStr">
        <is>
          <t>ADVERSE_SIGNAL</t>
        </is>
      </c>
      <c r="F37" s="11" t="inlineStr">
        <is>
          <t>STATUTE_CHANGED</t>
        </is>
      </c>
      <c r="G37" s="2" t="inlineStr">
        <is>
          <t>A later five-judge bench of the Supreme Court (2020) appears to overrule or reject this case, in whole or in part, so check it before relying on this case.</t>
        </is>
      </c>
      <c r="H37" s="11" t="inlineStr">
        <is>
          <t>b2018_9_1006_1023</t>
        </is>
      </c>
      <c r="I37" s="2" t="inlineStr">
        <is>
          <t>MOHANLAL versus THE STATE OF PUNJAB</t>
        </is>
      </c>
      <c r="J37" s="11" t="inlineStr">
        <is>
          <t>2018-08-16</t>
        </is>
      </c>
      <c r="K37" s="11" t="n">
        <v>3</v>
      </c>
      <c r="L37" s="11" t="inlineStr">
        <is>
          <t>name_year</t>
        </is>
      </c>
      <c r="M37" s="11" t="inlineStr">
        <is>
          <t>high</t>
        </is>
      </c>
      <c r="N37" s="11" t="n">
        <v>13</v>
      </c>
      <c r="O37" s="11" t="n">
        <v>2025</v>
      </c>
      <c r="P37" s="11" t="n">
        <v>13</v>
      </c>
      <c r="Q37" s="11" t="n">
        <v>0.71</v>
      </c>
      <c r="R37" s="2" t="inlineStr">
        <is>
          <t>second reading by a model (a session reading the passages); not lawyer-validated and not independent of the checker's author</t>
        </is>
      </c>
      <c r="S37" s="11" t="inlineStr">
        <is>
          <t>L2-034</t>
        </is>
      </c>
      <c r="T37" s="2" t="inlineStr">
        <is>
          <t>A later judgment appears to overrule or reject this case; read the evidence before relying on it.</t>
        </is>
      </c>
      <c r="U37" s="11" t="inlineStr">
        <is>
          <t>reports/mohan_lal_v_state_of_punjab.md</t>
        </is>
      </c>
    </row>
    <row r="38">
      <c r="A38" s="2" t="inlineStr">
        <is>
          <t>Mukesh Singh v State (Narcotic Branch of Delhi)</t>
        </is>
      </c>
      <c r="B38" s="11" t="inlineStr">
        <is>
          <t>(2020) 10 SCC 120</t>
        </is>
      </c>
      <c r="C38" s="11" t="n">
        <v>2020</v>
      </c>
      <c r="D38" s="11" t="inlineStr">
        <is>
          <t>SC</t>
        </is>
      </c>
      <c r="E38" s="11" t="inlineStr">
        <is>
          <t>NO_ADVERSE_FOUND</t>
        </is>
      </c>
      <c r="F38" s="11" t="inlineStr">
        <is>
          <t>STATUTE_CHANGED</t>
        </is>
      </c>
      <c r="G38" s="2" t="n"/>
      <c r="H38" s="11" t="inlineStr">
        <is>
          <t>b2020_9_245_302</t>
        </is>
      </c>
      <c r="I38" s="2" t="inlineStr">
        <is>
          <t>MUKESH SINGH versus STATE (NARCOTIC BRANCH OF DELHI)</t>
        </is>
      </c>
      <c r="J38" s="11" t="inlineStr">
        <is>
          <t>2020-08-31</t>
        </is>
      </c>
      <c r="K38" s="11" t="n">
        <v>5</v>
      </c>
      <c r="L38" s="11" t="inlineStr">
        <is>
          <t>name_year</t>
        </is>
      </c>
      <c r="M38" s="11" t="inlineStr">
        <is>
          <t>high</t>
        </is>
      </c>
      <c r="N38" s="11" t="n">
        <v>12</v>
      </c>
      <c r="O38" s="11" t="n">
        <v>2025</v>
      </c>
      <c r="P38" s="11" t="n">
        <v>12</v>
      </c>
      <c r="Q38" s="11" t="n">
        <v>0.67</v>
      </c>
      <c r="R38" s="2" t="inlineStr">
        <is>
          <t>second reading by a model (a session reading the passages); not lawyer-validated and not independent of the checker's author</t>
        </is>
      </c>
      <c r="S38" s="11" t="inlineStr"/>
      <c r="T38" s="2" t="inlineStr">
        <is>
          <t>No overruling or doubt found in the 12 later judgments we hold that cite it (collection runs to 2026-08-12; we hold about 67% of what Indian Kanoon lists after it). This is silence in what we hold, not a finding about the law.</t>
        </is>
      </c>
      <c r="U38" s="11" t="inlineStr">
        <is>
          <t>reports/mukesh_singh_v_state_narcotic_branch_of_delhi.md</t>
        </is>
      </c>
    </row>
    <row r="39">
      <c r="A39" s="2" t="inlineStr">
        <is>
          <t>Nanda Gopalan v State of Kerala</t>
        </is>
      </c>
      <c r="B39" s="11" t="inlineStr">
        <is>
          <t>[2015] 4 S.C.R. 563</t>
        </is>
      </c>
      <c r="C39" s="11" t="n">
        <v>2015</v>
      </c>
      <c r="D39" s="11" t="inlineStr">
        <is>
          <t>SC</t>
        </is>
      </c>
      <c r="E39" s="11" t="inlineStr">
        <is>
          <t>INSUFFICIENT</t>
        </is>
      </c>
      <c r="F39" s="11" t="inlineStr">
        <is>
          <t>STATUTE_CHANGED</t>
        </is>
      </c>
      <c r="G39" s="2" t="n"/>
      <c r="H39" s="11" t="inlineStr">
        <is>
          <t>c42630</t>
        </is>
      </c>
      <c r="I39" s="2" t="inlineStr">
        <is>
          <t>NANDA GOPALAN v. STATE OF KERALA</t>
        </is>
      </c>
      <c r="J39" s="11" t="inlineStr">
        <is>
          <t>2015-04-24</t>
        </is>
      </c>
      <c r="K39" s="11" t="n">
        <v>2</v>
      </c>
      <c r="L39" s="11" t="inlineStr">
        <is>
          <t>source_url</t>
        </is>
      </c>
      <c r="M39" s="11" t="inlineStr">
        <is>
          <t>high</t>
        </is>
      </c>
      <c r="N39" s="11" t="n">
        <v>1</v>
      </c>
      <c r="O39" s="11" t="n">
        <v>2021</v>
      </c>
      <c r="P39" s="11" t="n">
        <v>1</v>
      </c>
      <c r="Q39" s="11" t="n">
        <v>0.8</v>
      </c>
      <c r="R39" s="2" t="n"/>
      <c r="S39" s="11" t="inlineStr"/>
      <c r="T39" s="2" t="inlineStr">
        <is>
          <t>Only 1 later judgments in our collection cite this case; too few to say anything.</t>
        </is>
      </c>
      <c r="U39" s="11" t="inlineStr">
        <is>
          <t>reports/nanda_gopalan_v_state_of_kerala.md</t>
        </is>
      </c>
    </row>
    <row r="40">
      <c r="A40" s="2" t="inlineStr">
        <is>
          <t>National Legal Services Authority v Union of India</t>
        </is>
      </c>
      <c r="B40" s="11" t="inlineStr">
        <is>
          <t>AIR 2014 SC 1863</t>
        </is>
      </c>
      <c r="C40" s="11" t="n">
        <v>2014</v>
      </c>
      <c r="D40" s="11" t="inlineStr">
        <is>
          <t>SC</t>
        </is>
      </c>
      <c r="E40" s="11" t="inlineStr">
        <is>
          <t>NO_ADVERSE_FOUND</t>
        </is>
      </c>
      <c r="F40" s="11" t="inlineStr">
        <is>
          <t>STATUTE_CHANGED</t>
        </is>
      </c>
      <c r="G40" s="2" t="n"/>
      <c r="H40" s="11" t="inlineStr">
        <is>
          <t>c41411</t>
        </is>
      </c>
      <c r="I40" s="2" t="inlineStr">
        <is>
          <t>National Legal Services Authority v. Union of India and others</t>
        </is>
      </c>
      <c r="J40" s="11" t="inlineStr">
        <is>
          <t>2014-04-15</t>
        </is>
      </c>
      <c r="K40" s="11" t="n">
        <v>2</v>
      </c>
      <c r="L40" s="11" t="inlineStr">
        <is>
          <t>name_year</t>
        </is>
      </c>
      <c r="M40" s="11" t="inlineStr">
        <is>
          <t>high</t>
        </is>
      </c>
      <c r="N40" s="11" t="n">
        <v>24</v>
      </c>
      <c r="O40" s="11" t="n">
        <v>2025</v>
      </c>
      <c r="P40" s="11" t="n">
        <v>22</v>
      </c>
      <c r="Q40" s="11" t="n">
        <v>0.83</v>
      </c>
      <c r="R40" s="2" t="inlineStr">
        <is>
          <t>second reading by a model (a session reading the passages); not lawyer-validated and not independent of the checker's author</t>
        </is>
      </c>
      <c r="S40" s="11" t="inlineStr"/>
      <c r="T40" s="2" t="inlineStr">
        <is>
          <t>No overruling or doubt found in the 24 later judgments we hold that cite it (collection runs to 2026-08-12; we hold about 83% of what Indian Kanoon lists after it). This is silence in what we hold, not a finding about the law.</t>
        </is>
      </c>
      <c r="U40" s="11" t="inlineStr">
        <is>
          <t>reports/national_legal_services_authority_v_union_of_india.md</t>
        </is>
      </c>
    </row>
    <row r="41">
      <c r="A41" s="2" t="inlineStr">
        <is>
          <t>Neelkanth Pharma Logistics Pvt. Ltd. v Union of India</t>
        </is>
      </c>
      <c r="B41" s="11" t="inlineStr">
        <is>
          <t>2025 SCC OnLine Del 1055</t>
        </is>
      </c>
      <c r="C41" s="11" t="n">
        <v>2025</v>
      </c>
      <c r="D41" s="11" t="inlineStr">
        <is>
          <t>HC</t>
        </is>
      </c>
      <c r="E41" s="11" t="inlineStr">
        <is>
          <t>NOT_CHECKABLE_HIGH_COURT</t>
        </is>
      </c>
      <c r="F41" s="11" t="n"/>
      <c r="G41" s="2" t="n"/>
      <c r="H41" s="11" t="n"/>
      <c r="I41" s="2" t="n"/>
      <c r="J41" s="11" t="n"/>
      <c r="K41" s="11" t="n"/>
      <c r="L41" s="11" t="n"/>
      <c r="M41" s="11" t="n"/>
      <c r="N41" s="11" t="n"/>
      <c r="O41" s="11" t="n"/>
      <c r="P41" s="11" t="n"/>
      <c r="Q41" s="11" t="n"/>
      <c r="R41" s="2" t="n"/>
      <c r="S41" s="11" t="inlineStr"/>
      <c r="T41" s="2" t="inlineStr">
        <is>
          <t>This is a High Court decision; our collection holds only Supreme Court judgments, so what later judgments did with it was not checked. (decided by High Court of Delhi; the collection holds only Supreme Court judgments)</t>
        </is>
      </c>
      <c r="U41" s="11" t="n"/>
    </row>
    <row r="42">
      <c r="A42" s="2" t="inlineStr">
        <is>
          <t>Noor Aga v State of Punjab</t>
        </is>
      </c>
      <c r="B42" s="11" t="inlineStr">
        <is>
          <t>(2008) 16 SCC 417</t>
        </is>
      </c>
      <c r="C42" s="11" t="n">
        <v>2008</v>
      </c>
      <c r="D42" s="11" t="inlineStr">
        <is>
          <t>SC</t>
        </is>
      </c>
      <c r="E42" s="11" t="inlineStr">
        <is>
          <t>NO_ADVERSE_FOUND</t>
        </is>
      </c>
      <c r="F42" s="11" t="inlineStr">
        <is>
          <t>STATUTE_CHANGED</t>
        </is>
      </c>
      <c r="G42" s="2" t="n"/>
      <c r="H42" s="11" t="inlineStr">
        <is>
          <t>c31821</t>
        </is>
      </c>
      <c r="I42" s="2" t="inlineStr">
        <is>
          <t>Noor Aga v. State of Punjab &amp; Anr</t>
        </is>
      </c>
      <c r="J42" s="11" t="inlineStr">
        <is>
          <t>2008-07-09</t>
        </is>
      </c>
      <c r="K42" s="11" t="n">
        <v>2</v>
      </c>
      <c r="L42" s="11" t="inlineStr">
        <is>
          <t>source_url</t>
        </is>
      </c>
      <c r="M42" s="11" t="inlineStr">
        <is>
          <t>high</t>
        </is>
      </c>
      <c r="N42" s="11" t="n">
        <v>52</v>
      </c>
      <c r="O42" s="11" t="n">
        <v>2025</v>
      </c>
      <c r="P42" s="11" t="n">
        <v>32</v>
      </c>
      <c r="Q42" s="11" t="n">
        <v>0.88</v>
      </c>
      <c r="R42" s="2" t="inlineStr">
        <is>
          <t>second reading by a model (a session reading the passages); not lawyer-validated and not independent of the checker's author</t>
        </is>
      </c>
      <c r="S42" s="11" t="inlineStr"/>
      <c r="T42" s="2" t="inlineStr">
        <is>
          <t>No overruling or doubt found in the 52 later judgments we hold that cite it (collection runs to 2026-08-12; we hold about 88% of what Indian Kanoon lists after it). This is silence in what we hold, not a finding about the law.</t>
        </is>
      </c>
      <c r="U42" s="11" t="inlineStr">
        <is>
          <t>reports/noor_aga_v_state_of_punjab.md</t>
        </is>
      </c>
    </row>
    <row r="43">
      <c r="A43" s="2" t="inlineStr">
        <is>
          <t>Pankaj Bansal v Union of India</t>
        </is>
      </c>
      <c r="B43" s="11" t="inlineStr">
        <is>
          <t>2023 INSC 866</t>
        </is>
      </c>
      <c r="C43" s="11" t="n">
        <v>2023</v>
      </c>
      <c r="D43" s="11" t="inlineStr">
        <is>
          <t>SC</t>
        </is>
      </c>
      <c r="E43" s="11" t="inlineStr">
        <is>
          <t>NO_ADVERSE_FOUND</t>
        </is>
      </c>
      <c r="F43" s="11" t="inlineStr">
        <is>
          <t>STATUTE_CHANGED</t>
        </is>
      </c>
      <c r="G43" s="2" t="n"/>
      <c r="H43" s="11" t="inlineStr">
        <is>
          <t>b2023_12_714_739</t>
        </is>
      </c>
      <c r="I43" s="2" t="inlineStr">
        <is>
          <t>PANKAJ BANSAL versus UNION OF INDIA &amp; ORS.</t>
        </is>
      </c>
      <c r="J43" s="11" t="inlineStr">
        <is>
          <t>2023-10-03</t>
        </is>
      </c>
      <c r="K43" s="11" t="n">
        <v>2</v>
      </c>
      <c r="L43" s="11" t="inlineStr">
        <is>
          <t>citation</t>
        </is>
      </c>
      <c r="M43" s="11" t="inlineStr">
        <is>
          <t>high</t>
        </is>
      </c>
      <c r="N43" s="11" t="n">
        <v>10</v>
      </c>
      <c r="O43" s="11" t="n">
        <v>2025</v>
      </c>
      <c r="P43" s="11" t="n">
        <v>10</v>
      </c>
      <c r="Q43" s="11" t="n">
        <v>0.55</v>
      </c>
      <c r="R43" s="2" t="inlineStr">
        <is>
          <t>second reading by a model (a session reading the passages); not lawyer-validated and not independent of the checker's author</t>
        </is>
      </c>
      <c r="S43" s="11" t="inlineStr"/>
      <c r="T43" s="2" t="inlineStr">
        <is>
          <t>No overruling or doubt found in the 10 later judgments we hold that cite it (collection runs to 2026-08-12; we hold about 55% of what Indian Kanoon lists after it). This is silence in what we hold, not a finding about the law.</t>
        </is>
      </c>
      <c r="U43" s="11" t="inlineStr">
        <is>
          <t>reports/pankaj_bansal_v_union_of_india.md</t>
        </is>
      </c>
    </row>
    <row r="44">
      <c r="A44" s="2" t="inlineStr">
        <is>
          <t>Prabha Tyagi v Kamlesh Devi</t>
        </is>
      </c>
      <c r="B44" s="11" t="inlineStr">
        <is>
          <t>Criminal Appeal No. 511 of 2022 (SCC/AIR reporter citation not found in source text)</t>
        </is>
      </c>
      <c r="C44" s="11" t="n">
        <v>2022</v>
      </c>
      <c r="D44" s="11" t="inlineStr">
        <is>
          <t>SC</t>
        </is>
      </c>
      <c r="E44" s="11" t="inlineStr">
        <is>
          <t>NO_ADVERSE_FOUND</t>
        </is>
      </c>
      <c r="F44" s="11" t="inlineStr">
        <is>
          <t>STATUTE_CHANGED</t>
        </is>
      </c>
      <c r="G44" s="2" t="n"/>
      <c r="H44" s="11" t="inlineStr">
        <is>
          <t>b2022_5_970_1033</t>
        </is>
      </c>
      <c r="I44" s="2" t="inlineStr">
        <is>
          <t>PRABHA TYAGI versus KAMLESH DEVI</t>
        </is>
      </c>
      <c r="J44" s="11" t="inlineStr">
        <is>
          <t>2022-05-12</t>
        </is>
      </c>
      <c r="K44" s="11" t="n">
        <v>2</v>
      </c>
      <c r="L44" s="11" t="inlineStr">
        <is>
          <t>name_year</t>
        </is>
      </c>
      <c r="M44" s="11" t="inlineStr">
        <is>
          <t>high</t>
        </is>
      </c>
      <c r="N44" s="11" t="n">
        <v>3</v>
      </c>
      <c r="O44" s="11" t="n">
        <v>2025</v>
      </c>
      <c r="P44" s="11" t="n">
        <v>3</v>
      </c>
      <c r="Q44" s="11" t="n">
        <v>0.61</v>
      </c>
      <c r="R44" s="2" t="n"/>
      <c r="S44" s="11" t="inlineStr"/>
      <c r="T44" s="2" t="inlineStr">
        <is>
          <t>No overruling or doubt found in the 3 later judgments we hold that cite it (collection runs to 2026-08-12; we hold about 61% of what Indian Kanoon lists after it). This is silence in what we hold, not a finding about the law.</t>
        </is>
      </c>
      <c r="U44" s="11" t="inlineStr">
        <is>
          <t>reports/prabha_tyagi_v_kamlesh_devi.md</t>
        </is>
      </c>
    </row>
    <row r="45">
      <c r="A45" s="2" t="inlineStr">
        <is>
          <t>Prabhu v State of Madhya Pradesh</t>
        </is>
      </c>
      <c r="B45" s="11" t="inlineStr">
        <is>
          <t>[2008] 16 S.C.R. 1095</t>
        </is>
      </c>
      <c r="C45" s="11" t="n">
        <v>2008</v>
      </c>
      <c r="D45" s="11" t="inlineStr">
        <is>
          <t>SC</t>
        </is>
      </c>
      <c r="E45" s="11" t="inlineStr">
        <is>
          <t>INSUFFICIENT</t>
        </is>
      </c>
      <c r="F45" s="11" t="inlineStr">
        <is>
          <t>STATUTE_CHANGED</t>
        </is>
      </c>
      <c r="G45" s="2" t="n"/>
      <c r="H45" s="11" t="inlineStr">
        <is>
          <t>c33220</t>
        </is>
      </c>
      <c r="I45" s="2" t="inlineStr">
        <is>
          <t>Prabhu v. State of Madhya Pradesh</t>
        </is>
      </c>
      <c r="J45" s="11" t="inlineStr">
        <is>
          <t>2008-12-03</t>
        </is>
      </c>
      <c r="K45" s="11" t="n">
        <v>2</v>
      </c>
      <c r="L45" s="11" t="inlineStr">
        <is>
          <t>source_url</t>
        </is>
      </c>
      <c r="M45" s="11" t="inlineStr">
        <is>
          <t>high</t>
        </is>
      </c>
      <c r="N45" s="11" t="n">
        <v>0</v>
      </c>
      <c r="O45" s="11" t="n"/>
      <c r="P45" s="11" t="n">
        <v>0</v>
      </c>
      <c r="Q45" s="11" t="n">
        <v>0.88</v>
      </c>
      <c r="R45" s="2" t="n"/>
      <c r="S45" s="11" t="inlineStr"/>
      <c r="T45" s="2" t="inlineStr">
        <is>
          <t>Only 0 later judgments in our collection cite this case; too few to say anything.</t>
        </is>
      </c>
      <c r="U45" s="11" t="inlineStr">
        <is>
          <t>reports/prabhu_v_state_of_madhya_pradesh.md</t>
        </is>
      </c>
    </row>
    <row r="46">
      <c r="A46" s="2" t="inlineStr">
        <is>
          <t>Prabir Purkayastha v State (NCT of Delhi)</t>
        </is>
      </c>
      <c r="B46" s="11" t="inlineStr">
        <is>
          <t>2024 INSC 414</t>
        </is>
      </c>
      <c r="C46" s="11" t="n">
        <v>2024</v>
      </c>
      <c r="D46" s="11" t="inlineStr">
        <is>
          <t>SC</t>
        </is>
      </c>
      <c r="E46" s="11" t="inlineStr">
        <is>
          <t>NO_ADVERSE_FOUND</t>
        </is>
      </c>
      <c r="F46" s="11" t="inlineStr">
        <is>
          <t>STATUTE_CHANGED</t>
        </is>
      </c>
      <c r="G46" s="2" t="n"/>
      <c r="H46" s="11" t="inlineStr">
        <is>
          <t>b2024_6_666_697</t>
        </is>
      </c>
      <c r="I46" s="2" t="inlineStr">
        <is>
          <t>PRABIR PURKAYASTHA versus STATE (NCT OF DELHI)</t>
        </is>
      </c>
      <c r="J46" s="11" t="inlineStr">
        <is>
          <t>2024-05-15</t>
        </is>
      </c>
      <c r="K46" s="11" t="n">
        <v>2</v>
      </c>
      <c r="L46" s="11" t="inlineStr">
        <is>
          <t>citation</t>
        </is>
      </c>
      <c r="M46" s="11" t="inlineStr">
        <is>
          <t>high</t>
        </is>
      </c>
      <c r="N46" s="11" t="n">
        <v>7</v>
      </c>
      <c r="O46" s="11" t="n">
        <v>2025</v>
      </c>
      <c r="P46" s="11" t="n">
        <v>7</v>
      </c>
      <c r="Q46" s="11" t="n">
        <v>0.46</v>
      </c>
      <c r="R46" s="2" t="inlineStr">
        <is>
          <t>second reading by a model (a session reading the passages); not lawyer-validated and not independent of the checker's author</t>
        </is>
      </c>
      <c r="S46" s="11" t="inlineStr"/>
      <c r="T46" s="2" t="inlineStr">
        <is>
          <t>No overruling or doubt found in the 7 later judgments we hold that cite it (collection runs to 2026-08-12; we hold about 46% of what Indian Kanoon lists after it). This is silence in what we hold, not a finding about the law.</t>
        </is>
      </c>
      <c r="U46" s="11" t="inlineStr">
        <is>
          <t>reports/prabir_purkayastha_v_state_nct_of_delhi.md</t>
        </is>
      </c>
    </row>
    <row r="47">
      <c r="A47" s="2" t="inlineStr">
        <is>
          <t>Prakash Chimanlal Sheth v Jagruti Keyur Rajpopat</t>
        </is>
      </c>
      <c r="B47" s="11" t="inlineStr">
        <is>
          <t>2025 INSC 897</t>
        </is>
      </c>
      <c r="C47" s="11" t="n">
        <v>2025</v>
      </c>
      <c r="D47" s="11" t="inlineStr">
        <is>
          <t>SC</t>
        </is>
      </c>
      <c r="E47" s="11" t="inlineStr">
        <is>
          <t>INSUFFICIENT</t>
        </is>
      </c>
      <c r="F47" s="11" t="n"/>
      <c r="G47" s="2" t="n"/>
      <c r="H47" s="11" t="n"/>
      <c r="I47" s="2" t="inlineStr">
        <is>
          <t>Prakash Chimanlal Sheth v Jagruti Keyur Rajpopat</t>
        </is>
      </c>
      <c r="J47" s="11" t="n"/>
      <c r="K47" s="11" t="n"/>
      <c r="L47" s="11" t="inlineStr">
        <is>
          <t>external_target</t>
        </is>
      </c>
      <c r="M47" s="11" t="n"/>
      <c r="N47" s="11" t="n">
        <v>0</v>
      </c>
      <c r="O47" s="11" t="n"/>
      <c r="P47" s="11" t="n">
        <v>0</v>
      </c>
      <c r="Q47" s="11" t="n">
        <v>0.22</v>
      </c>
      <c r="R47" s="2" t="n"/>
      <c r="S47" s="11" t="inlineStr"/>
      <c r="T47" s="2" t="inlineStr">
        <is>
          <t>Only 0 later judgments in our collection cite this case; too few to say anything.</t>
        </is>
      </c>
      <c r="U47" s="11" t="inlineStr">
        <is>
          <t>reports/prakash_chimanlal_sheth_v_jagruti_keyur_rajpopat.md</t>
        </is>
      </c>
    </row>
    <row r="48">
      <c r="A48" s="2" t="inlineStr">
        <is>
          <t>Prakash Ranjan v State of Bihar</t>
        </is>
      </c>
      <c r="B48" s="11" t="inlineStr">
        <is>
          <t>Civil Writ Jurisdiction Case No. 20349 of 2019</t>
        </is>
      </c>
      <c r="C48" s="11" t="n">
        <v>2019</v>
      </c>
      <c r="D48" s="11" t="inlineStr">
        <is>
          <t>HC</t>
        </is>
      </c>
      <c r="E48" s="11" t="inlineStr">
        <is>
          <t>NOT_CHECKABLE_HIGH_COURT</t>
        </is>
      </c>
      <c r="F48" s="11" t="n"/>
      <c r="G48" s="2" t="n"/>
      <c r="H48" s="11" t="n"/>
      <c r="I48" s="2" t="n"/>
      <c r="J48" s="11" t="n"/>
      <c r="K48" s="11" t="n"/>
      <c r="L48" s="11" t="n"/>
      <c r="M48" s="11" t="n"/>
      <c r="N48" s="11" t="n"/>
      <c r="O48" s="11" t="n"/>
      <c r="P48" s="11" t="n"/>
      <c r="Q48" s="11" t="n"/>
      <c r="R48" s="2" t="n"/>
      <c r="S48" s="11" t="inlineStr"/>
      <c r="T48" s="2" t="inlineStr">
        <is>
          <t>This is a High Court decision; our collection holds only Supreme Court judgments, so what later judgments did with it was not checked. (decided by High Court of Judicature at Patna; the collection holds only Supreme Court judgments)</t>
        </is>
      </c>
      <c r="U48" s="11" t="n"/>
    </row>
    <row r="49">
      <c r="A49" s="2" t="inlineStr">
        <is>
          <t>Pravat Chandra Mohanty v State of Odisha</t>
        </is>
      </c>
      <c r="B49" s="11" t="inlineStr">
        <is>
          <t>[2021] 4 S.C.R. 407</t>
        </is>
      </c>
      <c r="C49" s="11" t="n">
        <v>2021</v>
      </c>
      <c r="D49" s="11" t="inlineStr">
        <is>
          <t>SC</t>
        </is>
      </c>
      <c r="E49" s="11" t="inlineStr">
        <is>
          <t>INSUFFICIENT</t>
        </is>
      </c>
      <c r="F49" s="11" t="inlineStr">
        <is>
          <t>STATUTE_CHANGED</t>
        </is>
      </c>
      <c r="G49" s="2" t="n"/>
      <c r="H49" s="11" t="inlineStr">
        <is>
          <t>b2021_4_407_429</t>
        </is>
      </c>
      <c r="I49" s="2" t="inlineStr">
        <is>
          <t>PRAVAT CHANDRA MOHANTY versus THE STATE OF ODISHA &amp; ANR.</t>
        </is>
      </c>
      <c r="J49" s="11" t="inlineStr">
        <is>
          <t>2021-02-11</t>
        </is>
      </c>
      <c r="K49" s="11" t="n">
        <v>2</v>
      </c>
      <c r="L49" s="11" t="inlineStr">
        <is>
          <t>citation</t>
        </is>
      </c>
      <c r="M49" s="11" t="inlineStr">
        <is>
          <t>high</t>
        </is>
      </c>
      <c r="N49" s="11" t="n">
        <v>0</v>
      </c>
      <c r="O49" s="11" t="n"/>
      <c r="P49" s="11" t="n">
        <v>0</v>
      </c>
      <c r="Q49" s="11" t="n">
        <v>0.65</v>
      </c>
      <c r="R49" s="2" t="n"/>
      <c r="S49" s="11" t="inlineStr"/>
      <c r="T49" s="2" t="inlineStr">
        <is>
          <t>Only 0 later judgments in our collection cite this case; too few to say anything.</t>
        </is>
      </c>
      <c r="U49" s="11" t="inlineStr">
        <is>
          <t>reports/pravat_chandra_mohanty_v_state_of_odisha.md</t>
        </is>
      </c>
    </row>
    <row r="50">
      <c r="A50" s="2" t="inlineStr">
        <is>
          <t>Pyare Lal Bhargava v State of Rajasthan</t>
        </is>
      </c>
      <c r="B50" s="11" t="inlineStr">
        <is>
          <t>1963 AIR 1094</t>
        </is>
      </c>
      <c r="C50" s="11" t="n">
        <v>1963</v>
      </c>
      <c r="D50" s="11" t="inlineStr">
        <is>
          <t>SC</t>
        </is>
      </c>
      <c r="E50" s="11" t="inlineStr">
        <is>
          <t>NO_ADVERSE_FOUND</t>
        </is>
      </c>
      <c r="F50" s="11" t="inlineStr">
        <is>
          <t>STATUTE_CHANGED</t>
        </is>
      </c>
      <c r="G50" s="2" t="n"/>
      <c r="H50" s="11" t="inlineStr">
        <is>
          <t>c3730</t>
        </is>
      </c>
      <c r="I50" s="2" t="inlineStr">
        <is>
          <t>PYARE LAL BHARGAVA v. STATE OF RAJASTHAN</t>
        </is>
      </c>
      <c r="J50" s="11" t="inlineStr">
        <is>
          <t>1962-10-22</t>
        </is>
      </c>
      <c r="K50" s="11" t="n">
        <v>4</v>
      </c>
      <c r="L50" s="11" t="inlineStr">
        <is>
          <t>citation</t>
        </is>
      </c>
      <c r="M50" s="11" t="inlineStr">
        <is>
          <t>high</t>
        </is>
      </c>
      <c r="N50" s="11" t="n">
        <v>12</v>
      </c>
      <c r="O50" s="11" t="n">
        <v>2024</v>
      </c>
      <c r="P50" s="11" t="n">
        <v>4</v>
      </c>
      <c r="Q50" s="11" t="n">
        <v>0.75</v>
      </c>
      <c r="R50" s="2" t="n"/>
      <c r="S50" s="11" t="inlineStr"/>
      <c r="T50" s="2" t="inlineStr">
        <is>
          <t>No overruling or doubt found in the 12 later judgments we hold that cite it (collection runs to 2026-08-12; we hold about 75% of what Indian Kanoon lists after it). This is silence in what we hold, not a finding about the law.</t>
        </is>
      </c>
      <c r="U50" s="11" t="inlineStr">
        <is>
          <t>reports/pyare_lal_bhargava_v_state_of_rajasthan.md</t>
        </is>
      </c>
    </row>
    <row r="51">
      <c r="A51" s="2" t="inlineStr">
        <is>
          <t>Rakesh Kumar Paul v State of Assam</t>
        </is>
      </c>
      <c r="B51" s="11" t="inlineStr">
        <is>
          <t>(2017) 15 SCC 67</t>
        </is>
      </c>
      <c r="C51" s="11" t="n">
        <v>2017</v>
      </c>
      <c r="D51" s="11" t="inlineStr">
        <is>
          <t>SC</t>
        </is>
      </c>
      <c r="E51" s="11" t="inlineStr">
        <is>
          <t>NO_ADVERSE_FOUND</t>
        </is>
      </c>
      <c r="F51" s="11" t="inlineStr">
        <is>
          <t>STATUTE_CHANGED</t>
        </is>
      </c>
      <c r="G51" s="2" t="n"/>
      <c r="H51" s="11" t="inlineStr">
        <is>
          <t>b2017_8_785_851</t>
        </is>
      </c>
      <c r="I51" s="2" t="inlineStr">
        <is>
          <t>RAKESH KUMAR PAUL versus STATE OF ASSAM</t>
        </is>
      </c>
      <c r="J51" s="11" t="inlineStr">
        <is>
          <t>2017-08-16</t>
        </is>
      </c>
      <c r="K51" s="11" t="n">
        <v>3</v>
      </c>
      <c r="L51" s="11" t="inlineStr">
        <is>
          <t>name_year</t>
        </is>
      </c>
      <c r="M51" s="11" t="inlineStr">
        <is>
          <t>high</t>
        </is>
      </c>
      <c r="N51" s="11" t="n">
        <v>19</v>
      </c>
      <c r="O51" s="11" t="n">
        <v>2026</v>
      </c>
      <c r="P51" s="11" t="n">
        <v>19</v>
      </c>
      <c r="Q51" s="11" t="n">
        <v>0.72</v>
      </c>
      <c r="R51" s="2" t="inlineStr">
        <is>
          <t>second reading by a model (a session reading the passages); not lawyer-validated and not independent of the checker's author</t>
        </is>
      </c>
      <c r="S51" s="11" t="inlineStr"/>
      <c r="T51" s="2" t="inlineStr">
        <is>
          <t>No overruling or doubt found in the 19 later judgments we hold that cite it (collection runs to 2026-08-12; we hold about 72% of what Indian Kanoon lists after it). This is silence in what we hold, not a finding about the law.</t>
        </is>
      </c>
      <c r="U51" s="11" t="inlineStr">
        <is>
          <t>reports/rakesh_kumar_paul_v_state_of_assam.md</t>
        </is>
      </c>
    </row>
    <row r="52">
      <c r="A52" s="2" t="inlineStr">
        <is>
          <t>Rakhi Mitra and Anr v State of West Bengal</t>
        </is>
      </c>
      <c r="B52" s="11" t="inlineStr">
        <is>
          <t>2025:CHC-AS:1826</t>
        </is>
      </c>
      <c r="C52" s="11" t="n">
        <v>2025</v>
      </c>
      <c r="D52" s="11" t="inlineStr">
        <is>
          <t>HC</t>
        </is>
      </c>
      <c r="E52" s="11" t="inlineStr">
        <is>
          <t>NOT_CHECKABLE_HIGH_COURT</t>
        </is>
      </c>
      <c r="F52" s="11" t="n"/>
      <c r="G52" s="2" t="n"/>
      <c r="H52" s="11" t="n"/>
      <c r="I52" s="2" t="n"/>
      <c r="J52" s="11" t="n"/>
      <c r="K52" s="11" t="n"/>
      <c r="L52" s="11" t="n"/>
      <c r="M52" s="11" t="n"/>
      <c r="N52" s="11" t="n"/>
      <c r="O52" s="11" t="n"/>
      <c r="P52" s="11" t="n"/>
      <c r="Q52" s="11" t="n"/>
      <c r="R52" s="2" t="n"/>
      <c r="S52" s="11" t="inlineStr"/>
      <c r="T52" s="2" t="inlineStr">
        <is>
          <t>This is a High Court decision; our collection holds only Supreme Court judgments, so what later judgments did with it was not checked. (decided by High Court at Calcutta; the collection holds only Supreme Court judgments)</t>
        </is>
      </c>
      <c r="U52" s="11" t="n"/>
    </row>
    <row r="53">
      <c r="A53" s="2" t="inlineStr">
        <is>
          <t>Rangappa v Sri Mohan</t>
        </is>
      </c>
      <c r="B53" s="11" t="inlineStr">
        <is>
          <t>(2010) 11 SCC 441</t>
        </is>
      </c>
      <c r="C53" s="11" t="n">
        <v>2010</v>
      </c>
      <c r="D53" s="11" t="inlineStr">
        <is>
          <t>SC</t>
        </is>
      </c>
      <c r="E53" s="11" t="inlineStr">
        <is>
          <t>NO_ADVERSE_FOUND</t>
        </is>
      </c>
      <c r="F53" s="11" t="inlineStr">
        <is>
          <t>STATUTE_CHANGED</t>
        </is>
      </c>
      <c r="G53" s="2" t="n"/>
      <c r="H53" s="11" t="inlineStr">
        <is>
          <t>c36322</t>
        </is>
      </c>
      <c r="I53" s="2" t="inlineStr">
        <is>
          <t>Rangappa v. Sri Mohan</t>
        </is>
      </c>
      <c r="J53" s="11" t="n"/>
      <c r="K53" s="11" t="n">
        <v>3</v>
      </c>
      <c r="L53" s="11" t="inlineStr">
        <is>
          <t>name_year</t>
        </is>
      </c>
      <c r="M53" s="11" t="inlineStr">
        <is>
          <t>high</t>
        </is>
      </c>
      <c r="N53" s="11" t="n">
        <v>23</v>
      </c>
      <c r="O53" s="11" t="n">
        <v>2026</v>
      </c>
      <c r="P53" s="11" t="n">
        <v>19</v>
      </c>
      <c r="Q53" s="11" t="n">
        <v>0.88</v>
      </c>
      <c r="R53" s="2" t="inlineStr">
        <is>
          <t>second reading by a model (a session reading the passages); not lawyer-validated and not independent of the checker's author</t>
        </is>
      </c>
      <c r="S53" s="11" t="inlineStr"/>
      <c r="T53" s="2" t="inlineStr">
        <is>
          <t>No overruling or doubt found in the 23 later judgments we hold that cite it (collection runs to 2026-08-12; we hold about 88% of what Indian Kanoon lists after it). This is silence in what we hold, not a finding about the law.</t>
        </is>
      </c>
      <c r="U53" s="11" t="inlineStr">
        <is>
          <t>reports/rangappa_v_sri_mohan.md</t>
        </is>
      </c>
    </row>
    <row r="54">
      <c r="A54" s="2" t="inlineStr">
        <is>
          <t>S. Vanitha v Deputy Commissioner, Bengaluru Urban District</t>
        </is>
      </c>
      <c r="B54" s="11" t="inlineStr">
        <is>
          <t>AIRONLINE 2020 SC 897, (2021) 15 SCC 730</t>
        </is>
      </c>
      <c r="C54" s="11" t="n">
        <v>2020</v>
      </c>
      <c r="D54" s="11" t="inlineStr">
        <is>
          <t>SC</t>
        </is>
      </c>
      <c r="E54" s="11" t="inlineStr">
        <is>
          <t>INSUFFICIENT</t>
        </is>
      </c>
      <c r="F54" s="11" t="inlineStr">
        <is>
          <t>STATUTE_CHANGED</t>
        </is>
      </c>
      <c r="G54" s="2" t="n"/>
      <c r="H54" s="11" t="inlineStr">
        <is>
          <t>b2020_12_1057_1089</t>
        </is>
      </c>
      <c r="I54" s="2" t="inlineStr">
        <is>
          <t>SMT. S. VANITHA versus THE DEPUTY COMMISSIONER, BENGALURU URBAN DISTRICT &amp; ORS.</t>
        </is>
      </c>
      <c r="J54" s="11" t="inlineStr">
        <is>
          <t>2020-12-15</t>
        </is>
      </c>
      <c r="K54" s="11" t="n">
        <v>3</v>
      </c>
      <c r="L54" s="11" t="inlineStr">
        <is>
          <t>name_year</t>
        </is>
      </c>
      <c r="M54" s="11" t="inlineStr">
        <is>
          <t>high</t>
        </is>
      </c>
      <c r="N54" s="11" t="n">
        <v>2</v>
      </c>
      <c r="O54" s="11" t="n">
        <v>2025</v>
      </c>
      <c r="P54" s="11" t="n">
        <v>2</v>
      </c>
      <c r="Q54" s="11" t="n">
        <v>0.67</v>
      </c>
      <c r="R54" s="2" t="n"/>
      <c r="S54" s="11" t="inlineStr"/>
      <c r="T54" s="2" t="inlineStr">
        <is>
          <t>Only 2 later judgments in our collection cite this case; too few to say anything.</t>
        </is>
      </c>
      <c r="U54" s="11" t="inlineStr">
        <is>
          <t>reports/s_vanitha_v_deputy_commissioner_bengaluru_urban_district.md</t>
        </is>
      </c>
    </row>
    <row r="55">
      <c r="A55" s="2" t="inlineStr">
        <is>
          <t>S.W. Palanitkar and Ors. v State of Bihar and Anr.</t>
        </is>
      </c>
      <c r="B55" s="11" t="inlineStr">
        <is>
          <t>(2002) 1 SCC 241</t>
        </is>
      </c>
      <c r="C55" s="11" t="n">
        <v>2002</v>
      </c>
      <c r="D55" s="11" t="inlineStr">
        <is>
          <t>SC</t>
        </is>
      </c>
      <c r="E55" s="11" t="inlineStr">
        <is>
          <t>NO_ADVERSE_FOUND</t>
        </is>
      </c>
      <c r="F55" s="11" t="inlineStr">
        <is>
          <t>STATUTE_CHANGED</t>
        </is>
      </c>
      <c r="G55" s="2" t="n"/>
      <c r="H55" s="11" t="inlineStr">
        <is>
          <t>c20022</t>
        </is>
      </c>
      <c r="I55" s="2" t="inlineStr">
        <is>
          <t>S.W. PALANITKAR AND ORS v. STATE OF BIHAR AND ANR</t>
        </is>
      </c>
      <c r="J55" s="11" t="inlineStr">
        <is>
          <t>2001-10-18</t>
        </is>
      </c>
      <c r="K55" s="11" t="n">
        <v>2</v>
      </c>
      <c r="L55" s="11" t="inlineStr">
        <is>
          <t>source_url</t>
        </is>
      </c>
      <c r="M55" s="11" t="inlineStr">
        <is>
          <t>high</t>
        </is>
      </c>
      <c r="N55" s="11" t="n">
        <v>15</v>
      </c>
      <c r="O55" s="11" t="n">
        <v>2024</v>
      </c>
      <c r="P55" s="11" t="n">
        <v>7</v>
      </c>
      <c r="Q55" s="11" t="n">
        <v>0.86</v>
      </c>
      <c r="R55" s="2" t="n"/>
      <c r="S55" s="11" t="inlineStr"/>
      <c r="T55" s="2" t="inlineStr">
        <is>
          <t>No overruling or doubt found in the 15 later judgments we hold that cite it (collection runs to 2026-08-12; we hold about 86% of what Indian Kanoon lists after it). This is silence in what we hold, not a finding about the law.</t>
        </is>
      </c>
      <c r="U55" s="11" t="inlineStr">
        <is>
          <t>reports/s_w_palanitkar_and_ors_v_state_of_bihar_and_anr.md</t>
        </is>
      </c>
    </row>
    <row r="56">
      <c r="A56" s="2" t="inlineStr">
        <is>
          <t>Sakharam v State of Madhya Pradesh</t>
        </is>
      </c>
      <c r="B56" s="11" t="inlineStr">
        <is>
          <t>[1992] 1 S.C.R. 638</t>
        </is>
      </c>
      <c r="C56" s="11" t="n">
        <v>1992</v>
      </c>
      <c r="D56" s="11" t="inlineStr">
        <is>
          <t>SC</t>
        </is>
      </c>
      <c r="E56" s="11" t="inlineStr">
        <is>
          <t>INSUFFICIENT</t>
        </is>
      </c>
      <c r="F56" s="11" t="n"/>
      <c r="G56" s="2" t="n"/>
      <c r="H56" s="11" t="inlineStr">
        <is>
          <t>c12496</t>
        </is>
      </c>
      <c r="I56" s="2" t="inlineStr">
        <is>
          <t>SAKHARAM v. STATE OF MADHYA PRADESH</t>
        </is>
      </c>
      <c r="J56" s="11" t="inlineStr">
        <is>
          <t>1992-02-12</t>
        </is>
      </c>
      <c r="K56" s="11" t="n">
        <v>2</v>
      </c>
      <c r="L56" s="11" t="inlineStr">
        <is>
          <t>source_url</t>
        </is>
      </c>
      <c r="M56" s="11" t="inlineStr">
        <is>
          <t>high</t>
        </is>
      </c>
      <c r="N56" s="11" t="n">
        <v>1</v>
      </c>
      <c r="O56" s="11" t="n">
        <v>2015</v>
      </c>
      <c r="P56" s="11" t="n">
        <v>0</v>
      </c>
      <c r="Q56" s="11" t="n">
        <v>0.8</v>
      </c>
      <c r="R56" s="2" t="n"/>
      <c r="S56" s="11" t="inlineStr"/>
      <c r="T56" s="2" t="inlineStr">
        <is>
          <t>Only 1 later judgments in our collection cite this case; too few to say anything.</t>
        </is>
      </c>
      <c r="U56" s="11" t="inlineStr">
        <is>
          <t>reports/sakharam_v_state_of_madhya_pradesh.md</t>
        </is>
      </c>
    </row>
    <row r="57">
      <c r="A57" s="2" t="inlineStr">
        <is>
          <t>Satender Kumar Antil v Central Bureau of Investigation (2026)</t>
        </is>
      </c>
      <c r="B57" s="11" t="inlineStr">
        <is>
          <t>2026 INSC 115</t>
        </is>
      </c>
      <c r="C57" s="11" t="n">
        <v>2026</v>
      </c>
      <c r="D57" s="11" t="inlineStr">
        <is>
          <t>SC</t>
        </is>
      </c>
      <c r="E57" s="11" t="inlineStr">
        <is>
          <t>INSUFFICIENT</t>
        </is>
      </c>
      <c r="F57" s="11" t="n"/>
      <c r="G57" s="2" t="n"/>
      <c r="H57" s="11" t="n"/>
      <c r="I57" s="2" t="inlineStr">
        <is>
          <t>Satender Kumar Antil v Central Bureau of Investigation (2026)</t>
        </is>
      </c>
      <c r="J57" s="11" t="inlineStr">
        <is>
          <t>2026-01-15</t>
        </is>
      </c>
      <c r="K57" s="11" t="n"/>
      <c r="L57" s="11" t="inlineStr">
        <is>
          <t>external_target</t>
        </is>
      </c>
      <c r="M57" s="11" t="n"/>
      <c r="N57" s="11" t="n">
        <v>0</v>
      </c>
      <c r="O57" s="11" t="n"/>
      <c r="P57" s="11" t="n">
        <v>0</v>
      </c>
      <c r="Q57" s="11" t="n"/>
      <c r="R57" s="2" t="n"/>
      <c r="S57" s="11" t="inlineStr"/>
      <c r="T57" s="2" t="inlineStr">
        <is>
          <t>Only 0 later judgments in our collection cite this case; too few to say anything.</t>
        </is>
      </c>
      <c r="U57" s="11" t="inlineStr">
        <is>
          <t>reports/satender_kumar_antil_v_central_bureau_of_investigation_2026.md</t>
        </is>
      </c>
    </row>
    <row r="58">
      <c r="A58" s="2" t="inlineStr">
        <is>
          <t>Satish Chander Ahuja v Sneha Ahuja</t>
        </is>
      </c>
      <c r="B58" s="11" t="inlineStr">
        <is>
          <t>AIRONLINE 2020 SC 784</t>
        </is>
      </c>
      <c r="C58" s="11" t="n">
        <v>2020</v>
      </c>
      <c r="D58" s="11" t="inlineStr">
        <is>
          <t>SC</t>
        </is>
      </c>
      <c r="E58" s="11" t="inlineStr">
        <is>
          <t>NO_ADVERSE_FOUND</t>
        </is>
      </c>
      <c r="F58" s="11" t="inlineStr">
        <is>
          <t>STATUTE_CHANGED</t>
        </is>
      </c>
      <c r="G58" s="2" t="n"/>
      <c r="H58" s="11" t="inlineStr">
        <is>
          <t>b2020_12_189_278</t>
        </is>
      </c>
      <c r="I58" s="2" t="inlineStr">
        <is>
          <t>SATISH CHANDER AHUJA versus SNEHA AHUJA</t>
        </is>
      </c>
      <c r="J58" s="11" t="inlineStr">
        <is>
          <t>2020-10-15</t>
        </is>
      </c>
      <c r="K58" s="11" t="n">
        <v>3</v>
      </c>
      <c r="L58" s="11" t="inlineStr">
        <is>
          <t>name_year</t>
        </is>
      </c>
      <c r="M58" s="11" t="inlineStr">
        <is>
          <t>high</t>
        </is>
      </c>
      <c r="N58" s="11" t="n">
        <v>4</v>
      </c>
      <c r="O58" s="11" t="n">
        <v>2024</v>
      </c>
      <c r="P58" s="11" t="n">
        <v>4</v>
      </c>
      <c r="Q58" s="11" t="n">
        <v>0.67</v>
      </c>
      <c r="R58" s="2" t="inlineStr">
        <is>
          <t>second reading by a model (a session reading the passages); not lawyer-validated and not independent of the checker's author</t>
        </is>
      </c>
      <c r="S58" s="11" t="inlineStr"/>
      <c r="T58" s="2" t="inlineStr">
        <is>
          <t>No overruling or doubt found in the 4 later judgments we hold that cite it (collection runs to 2026-08-12; we hold about 67% of what Indian Kanoon lists after it). This is silence in what we hold, not a finding about the law.</t>
        </is>
      </c>
      <c r="U58" s="11" t="inlineStr">
        <is>
          <t>reports/satish_chander_ahuja_v_sneha_ahuja.md</t>
        </is>
      </c>
    </row>
    <row r="59">
      <c r="A59" s="2" t="inlineStr">
        <is>
          <t>Satishchandra Ratanlal Shah v State of Gujarat</t>
        </is>
      </c>
      <c r="B59" s="11" t="inlineStr">
        <is>
          <t>(2019) 9 SCC 148</t>
        </is>
      </c>
      <c r="C59" s="11" t="n">
        <v>2019</v>
      </c>
      <c r="D59" s="11" t="inlineStr">
        <is>
          <t>SC</t>
        </is>
      </c>
      <c r="E59" s="11" t="inlineStr">
        <is>
          <t>INSUFFICIENT</t>
        </is>
      </c>
      <c r="F59" s="11" t="inlineStr">
        <is>
          <t>STATUTE_CHANGED</t>
        </is>
      </c>
      <c r="G59" s="2" t="n"/>
      <c r="H59" s="11" t="inlineStr">
        <is>
          <t>b2019_3_273_280</t>
        </is>
      </c>
      <c r="I59" s="2" t="inlineStr">
        <is>
          <t>SATISHCHANDRA RATANLAL SHAH versus STATE OF GUJARAT AND ANOTHER</t>
        </is>
      </c>
      <c r="J59" s="11" t="inlineStr">
        <is>
          <t>2019-01-03</t>
        </is>
      </c>
      <c r="K59" s="11" t="n">
        <v>2</v>
      </c>
      <c r="L59" s="11" t="inlineStr">
        <is>
          <t>name_year</t>
        </is>
      </c>
      <c r="M59" s="11" t="inlineStr">
        <is>
          <t>high</t>
        </is>
      </c>
      <c r="N59" s="11" t="n">
        <v>0</v>
      </c>
      <c r="O59" s="11" t="n"/>
      <c r="P59" s="11" t="n">
        <v>0</v>
      </c>
      <c r="Q59" s="11" t="n">
        <v>0.6899999999999999</v>
      </c>
      <c r="R59" s="2" t="n"/>
      <c r="S59" s="11" t="inlineStr"/>
      <c r="T59" s="2" t="inlineStr">
        <is>
          <t>Only 0 later judgments in our collection cite this case; too few to say anything.</t>
        </is>
      </c>
      <c r="U59" s="11" t="inlineStr">
        <is>
          <t>reports/satishchandra_ratanlal_shah_v_state_of_gujarat.md</t>
        </is>
      </c>
    </row>
    <row r="60">
      <c r="A60" s="2" t="inlineStr">
        <is>
          <t>Shreya Singhal v Union of India</t>
        </is>
      </c>
      <c r="B60" s="11" t="inlineStr">
        <is>
          <t>(2015) 5 SCC 1</t>
        </is>
      </c>
      <c r="C60" s="11" t="n">
        <v>2015</v>
      </c>
      <c r="D60" s="11" t="inlineStr">
        <is>
          <t>SC</t>
        </is>
      </c>
      <c r="E60" s="11" t="inlineStr">
        <is>
          <t>NO_ADVERSE_FOUND</t>
        </is>
      </c>
      <c r="F60" s="11" t="inlineStr">
        <is>
          <t>STATUTE_CHANGED</t>
        </is>
      </c>
      <c r="G60" s="2" t="n"/>
      <c r="H60" s="11" t="inlineStr">
        <is>
          <t>b2015_5_963_1074</t>
        </is>
      </c>
      <c r="I60" s="2" t="inlineStr">
        <is>
          <t>SHREYA SINGHAL versus UNION OF INDIA</t>
        </is>
      </c>
      <c r="J60" s="11" t="inlineStr">
        <is>
          <t>2015-03-24</t>
        </is>
      </c>
      <c r="K60" s="11" t="n">
        <v>2</v>
      </c>
      <c r="L60" s="11" t="inlineStr">
        <is>
          <t>name_year</t>
        </is>
      </c>
      <c r="M60" s="11" t="inlineStr">
        <is>
          <t>high</t>
        </is>
      </c>
      <c r="N60" s="11" t="n">
        <v>21</v>
      </c>
      <c r="O60" s="11" t="n">
        <v>2025</v>
      </c>
      <c r="P60" s="11" t="n">
        <v>20</v>
      </c>
      <c r="Q60" s="11" t="n">
        <v>0.8</v>
      </c>
      <c r="R60" s="2" t="inlineStr">
        <is>
          <t>second reading by a model (a session reading the passages); not lawyer-validated and not independent of the checker's author</t>
        </is>
      </c>
      <c r="S60" s="11" t="inlineStr"/>
      <c r="T60" s="2" t="inlineStr">
        <is>
          <t>No overruling or doubt found in the 21 later judgments we hold that cite it (collection runs to 2026-08-12; we hold about 80% of what Indian Kanoon lists after it). This is silence in what we hold, not a finding about the law.</t>
        </is>
      </c>
      <c r="U60" s="11" t="inlineStr">
        <is>
          <t>reports/shreya_singhal_v_union_of_india.md</t>
        </is>
      </c>
    </row>
    <row r="61">
      <c r="A61" s="2" t="inlineStr">
        <is>
          <t>Siddharam Satlingappa Mhetre v State of Maharashtra</t>
        </is>
      </c>
      <c r="B61" s="11" t="inlineStr">
        <is>
          <t>(2011) 1 SCC 694</t>
        </is>
      </c>
      <c r="C61" s="11" t="n">
        <v>2011</v>
      </c>
      <c r="D61" s="11" t="inlineStr">
        <is>
          <t>SC</t>
        </is>
      </c>
      <c r="E61" s="11" t="inlineStr">
        <is>
          <t>ADVERSE_SIGNAL</t>
        </is>
      </c>
      <c r="F61" s="11" t="inlineStr">
        <is>
          <t>STATUTE_CHANGED</t>
        </is>
      </c>
      <c r="G61" s="2" t="inlineStr">
        <is>
          <t>A later five-judge bench of the Supreme Court (2020) appears to overrule or reject this case, in whole or in part, so check it before relying on this case.</t>
        </is>
      </c>
      <c r="H61" s="11" t="inlineStr">
        <is>
          <t>c37199</t>
        </is>
      </c>
      <c r="I61" s="2" t="inlineStr">
        <is>
          <t>Siddharam Satlingappa Mhetre v. State of Maharashtra and Others</t>
        </is>
      </c>
      <c r="J61" s="11" t="inlineStr">
        <is>
          <t>2010-12-02</t>
        </is>
      </c>
      <c r="K61" s="11" t="n">
        <v>2</v>
      </c>
      <c r="L61" s="11" t="inlineStr">
        <is>
          <t>source_url</t>
        </is>
      </c>
      <c r="M61" s="11" t="inlineStr">
        <is>
          <t>high</t>
        </is>
      </c>
      <c r="N61" s="11" t="n">
        <v>46</v>
      </c>
      <c r="O61" s="11" t="n">
        <v>2026</v>
      </c>
      <c r="P61" s="11" t="n">
        <v>33</v>
      </c>
      <c r="Q61" s="11" t="n">
        <v>0.88</v>
      </c>
      <c r="R61" s="2" t="inlineStr">
        <is>
          <t>second reading by a model (a session reading the passages); not lawyer-validated and not independent of the checker's author</t>
        </is>
      </c>
      <c r="S61" s="11" t="inlineStr">
        <is>
          <t>L2-031</t>
        </is>
      </c>
      <c r="T61" s="2" t="inlineStr">
        <is>
          <t>A later judgment appears to overrule or reject this case; read the evidence before relying on it.</t>
        </is>
      </c>
      <c r="U61" s="11" t="inlineStr">
        <is>
          <t>reports/siddharam_satlingappa_mhetre_v_state_of_maharashtra.md</t>
        </is>
      </c>
    </row>
    <row r="62">
      <c r="A62" s="2" t="inlineStr">
        <is>
          <t>Sri Manjunath M P v State of Karnataka</t>
        </is>
      </c>
      <c r="B62" s="11" t="inlineStr">
        <is>
          <t>2026:KHC:2726</t>
        </is>
      </c>
      <c r="C62" s="11" t="n">
        <v>2026</v>
      </c>
      <c r="D62" s="11" t="inlineStr">
        <is>
          <t>HC</t>
        </is>
      </c>
      <c r="E62" s="11" t="inlineStr">
        <is>
          <t>NOT_CHECKABLE_HIGH_COURT</t>
        </is>
      </c>
      <c r="F62" s="11" t="n"/>
      <c r="G62" s="2" t="n"/>
      <c r="H62" s="11" t="n"/>
      <c r="I62" s="2" t="n"/>
      <c r="J62" s="11" t="n"/>
      <c r="K62" s="11" t="n"/>
      <c r="L62" s="11" t="n"/>
      <c r="M62" s="11" t="n"/>
      <c r="N62" s="11" t="n"/>
      <c r="O62" s="11" t="n"/>
      <c r="P62" s="11" t="n"/>
      <c r="Q62" s="11" t="n"/>
      <c r="R62" s="2" t="n"/>
      <c r="S62" s="11" t="inlineStr"/>
      <c r="T62" s="2" t="inlineStr">
        <is>
          <t>This is a High Court decision; our collection holds only Supreme Court judgments, so what later judgments did with it was not checked. (decided by High Court of Karnataka at Bengaluru; the collection holds only Supreme Court judgments)</t>
        </is>
      </c>
      <c r="U62" s="11" t="n"/>
    </row>
    <row r="63">
      <c r="A63" s="2" t="inlineStr">
        <is>
          <t>State of Gujarat v Haidarali Kalubhai</t>
        </is>
      </c>
      <c r="B63" s="11" t="inlineStr">
        <is>
          <t>1976 AIR 1012, [1976] 3 SCR 303</t>
        </is>
      </c>
      <c r="C63" s="11" t="n">
        <v>1976</v>
      </c>
      <c r="D63" s="11" t="inlineStr">
        <is>
          <t>SC</t>
        </is>
      </c>
      <c r="E63" s="11" t="inlineStr">
        <is>
          <t>INSUFFICIENT</t>
        </is>
      </c>
      <c r="F63" s="11" t="inlineStr">
        <is>
          <t>STATUTE_CHANGED</t>
        </is>
      </c>
      <c r="G63" s="2" t="n"/>
      <c r="H63" s="11" t="inlineStr">
        <is>
          <t>c5735</t>
        </is>
      </c>
      <c r="I63" s="2" t="inlineStr">
        <is>
          <t>STATE OF GUJARAT A v. HAIDARALI KALUBHAI</t>
        </is>
      </c>
      <c r="J63" s="11" t="inlineStr">
        <is>
          <t>1976-02-03</t>
        </is>
      </c>
      <c r="K63" s="11" t="n">
        <v>2</v>
      </c>
      <c r="L63" s="11" t="inlineStr">
        <is>
          <t>source_url</t>
        </is>
      </c>
      <c r="M63" s="11" t="inlineStr">
        <is>
          <t>high</t>
        </is>
      </c>
      <c r="N63" s="11" t="n">
        <v>1</v>
      </c>
      <c r="O63" s="11" t="n">
        <v>2012</v>
      </c>
      <c r="P63" s="11" t="n">
        <v>0</v>
      </c>
      <c r="Q63" s="11" t="n">
        <v>0.77</v>
      </c>
      <c r="R63" s="2" t="inlineStr">
        <is>
          <t>second reading by a model (a session reading the passages); not lawyer-validated and not independent of the checker's author</t>
        </is>
      </c>
      <c r="S63" s="11" t="inlineStr"/>
      <c r="T63" s="2" t="inlineStr">
        <is>
          <t>Only 1 later judgments in our collection cite this case; too few to say anything.</t>
        </is>
      </c>
      <c r="U63" s="11" t="inlineStr">
        <is>
          <t>reports/state_of_gujarat_v_haidarali_kalubhai.md</t>
        </is>
      </c>
    </row>
    <row r="64">
      <c r="A64" s="2" t="inlineStr">
        <is>
          <t>State of Maharashtra v Tapas D. Neogy</t>
        </is>
      </c>
      <c r="B64" s="11" t="inlineStr">
        <is>
          <t>(1999) 7 SCC 685</t>
        </is>
      </c>
      <c r="C64" s="11" t="n">
        <v>1999</v>
      </c>
      <c r="D64" s="11" t="inlineStr">
        <is>
          <t>SC</t>
        </is>
      </c>
      <c r="E64" s="11" t="inlineStr">
        <is>
          <t>NO_ADVERSE_FOUND</t>
        </is>
      </c>
      <c r="F64" s="11" t="inlineStr">
        <is>
          <t>STATUTE_CHANGED</t>
        </is>
      </c>
      <c r="G64" s="2" t="n"/>
      <c r="H64" s="11" t="inlineStr">
        <is>
          <t>c16666</t>
        </is>
      </c>
      <c r="I64" s="2" t="inlineStr">
        <is>
          <t>STATE OF MAHARASHTRA v. TAPAS D. NEOGY</t>
        </is>
      </c>
      <c r="J64" s="11" t="inlineStr">
        <is>
          <t>1999-09-16</t>
        </is>
      </c>
      <c r="K64" s="11" t="n">
        <v>2</v>
      </c>
      <c r="L64" s="11" t="inlineStr">
        <is>
          <t>name_year</t>
        </is>
      </c>
      <c r="M64" s="11" t="inlineStr">
        <is>
          <t>high</t>
        </is>
      </c>
      <c r="N64" s="11" t="n">
        <v>4</v>
      </c>
      <c r="O64" s="11" t="n">
        <v>2025</v>
      </c>
      <c r="P64" s="11" t="n">
        <v>4</v>
      </c>
      <c r="Q64" s="11" t="n">
        <v>0.84</v>
      </c>
      <c r="R64" s="2" t="n"/>
      <c r="S64" s="11" t="inlineStr"/>
      <c r="T64" s="2" t="inlineStr">
        <is>
          <t>No overruling or doubt found in the 4 later judgments we hold that cite it (collection runs to 2026-08-12; we hold about 84% of what Indian Kanoon lists after it). This is silence in what we hold, not a finding about the law.</t>
        </is>
      </c>
      <c r="U64" s="11" t="inlineStr">
        <is>
          <t>reports/state_of_maharashtra_v_tapas_d_neogy.md</t>
        </is>
      </c>
    </row>
    <row r="65">
      <c r="A65" s="2" t="inlineStr">
        <is>
          <t>State of Punjab v Baldev Singh</t>
        </is>
      </c>
      <c r="B65" s="11" t="inlineStr">
        <is>
          <t>(1999) 6 SCC 172</t>
        </is>
      </c>
      <c r="C65" s="11" t="n">
        <v>1999</v>
      </c>
      <c r="D65" s="11" t="inlineStr">
        <is>
          <t>SC</t>
        </is>
      </c>
      <c r="E65" s="11" t="inlineStr">
        <is>
          <t>NO_ADVERSE_FOUND</t>
        </is>
      </c>
      <c r="F65" s="11" t="inlineStr">
        <is>
          <t>STATUTE_CHANGED</t>
        </is>
      </c>
      <c r="G65" s="2" t="n"/>
      <c r="H65" s="11" t="inlineStr">
        <is>
          <t>c30317</t>
        </is>
      </c>
      <c r="I65" s="2" t="inlineStr">
        <is>
          <t>STATE OF PUNJAB v. BALDEV SINGH</t>
        </is>
      </c>
      <c r="J65" s="11" t="inlineStr">
        <is>
          <t>1999-07-21</t>
        </is>
      </c>
      <c r="K65" s="11" t="n">
        <v>5</v>
      </c>
      <c r="L65" s="11" t="inlineStr">
        <is>
          <t>name_year</t>
        </is>
      </c>
      <c r="M65" s="11" t="inlineStr">
        <is>
          <t>high</t>
        </is>
      </c>
      <c r="N65" s="11" t="n">
        <v>83</v>
      </c>
      <c r="O65" s="11" t="n">
        <v>2025</v>
      </c>
      <c r="P65" s="11" t="n">
        <v>22</v>
      </c>
      <c r="Q65" s="11" t="n">
        <v>0.84</v>
      </c>
      <c r="R65" s="2" t="inlineStr">
        <is>
          <t>second reading by a model (a session reading the passages); not lawyer-validated and not independent of the checker's author</t>
        </is>
      </c>
      <c r="S65" s="11" t="inlineStr"/>
      <c r="T65" s="2" t="inlineStr">
        <is>
          <t>No overruling or doubt found in the 83 later judgments we hold that cite it (collection runs to 2026-08-12; we hold about 84% of what Indian Kanoon lists after it). This is silence in what we hold, not a finding about the law.</t>
        </is>
      </c>
      <c r="U65" s="11" t="inlineStr">
        <is>
          <t>reports/state_of_punjab_v_baldev_singh.md</t>
        </is>
      </c>
    </row>
    <row r="66">
      <c r="A66" s="2" t="inlineStr">
        <is>
          <t>State of Rajasthan v Parmanand</t>
        </is>
      </c>
      <c r="B66" s="11" t="inlineStr">
        <is>
          <t>(2014) 5 SCC 345</t>
        </is>
      </c>
      <c r="C66" s="11" t="n">
        <v>2014</v>
      </c>
      <c r="D66" s="11" t="inlineStr">
        <is>
          <t>SC</t>
        </is>
      </c>
      <c r="E66" s="11" t="inlineStr">
        <is>
          <t>NO_ADVERSE_FOUND</t>
        </is>
      </c>
      <c r="F66" s="11" t="n"/>
      <c r="G66" s="2" t="n"/>
      <c r="H66" s="11" t="inlineStr">
        <is>
          <t>c41273</t>
        </is>
      </c>
      <c r="I66" s="2" t="inlineStr">
        <is>
          <t>State of Rajasthan v. Parmanand &amp; Anr</t>
        </is>
      </c>
      <c r="J66" s="11" t="inlineStr">
        <is>
          <t>2014-02-28</t>
        </is>
      </c>
      <c r="K66" s="11" t="n">
        <v>2</v>
      </c>
      <c r="L66" s="11" t="inlineStr">
        <is>
          <t>source_url</t>
        </is>
      </c>
      <c r="M66" s="11" t="inlineStr">
        <is>
          <t>high</t>
        </is>
      </c>
      <c r="N66" s="11" t="n">
        <v>3</v>
      </c>
      <c r="O66" s="11" t="n">
        <v>2023</v>
      </c>
      <c r="P66" s="11" t="n">
        <v>3</v>
      </c>
      <c r="Q66" s="11" t="n">
        <v>0.83</v>
      </c>
      <c r="R66" s="2" t="inlineStr">
        <is>
          <t>second reading by a model (a session reading the passages); not lawyer-validated and not independent of the checker's author</t>
        </is>
      </c>
      <c r="S66" s="11" t="inlineStr"/>
      <c r="T66" s="2" t="inlineStr">
        <is>
          <t>No overruling or doubt found in the 3 later judgments we hold that cite it (collection runs to 2026-08-12; we hold about 83% of what Indian Kanoon lists after it). This is silence in what we hold, not a finding about the law.</t>
        </is>
      </c>
      <c r="U66" s="11" t="inlineStr">
        <is>
          <t>reports/state_of_rajasthan_v_parmanand.md</t>
        </is>
      </c>
    </row>
    <row r="67">
      <c r="A67" s="2" t="inlineStr">
        <is>
          <t>State of Uttar Pradesh v Ram Kishan</t>
        </is>
      </c>
      <c r="B67" s="11" t="inlineStr">
        <is>
          <t>[1976] 3 S.C.R. 379</t>
        </is>
      </c>
      <c r="C67" s="11" t="n">
        <v>1976</v>
      </c>
      <c r="D67" s="11" t="inlineStr">
        <is>
          <t>SC</t>
        </is>
      </c>
      <c r="E67" s="11" t="inlineStr">
        <is>
          <t>INSUFFICIENT</t>
        </is>
      </c>
      <c r="F67" s="11" t="inlineStr">
        <is>
          <t>STATUTE_CHANGED</t>
        </is>
      </c>
      <c r="G67" s="2" t="n"/>
      <c r="H67" s="11" t="inlineStr">
        <is>
          <t>c5725</t>
        </is>
      </c>
      <c r="I67" s="2" t="inlineStr">
        <is>
          <t>STATE OF UTTAR PRADESH v. RAM KISHAN &amp; OTHERS</t>
        </is>
      </c>
      <c r="J67" s="11" t="inlineStr">
        <is>
          <t>1976-02-13</t>
        </is>
      </c>
      <c r="K67" s="11" t="n">
        <v>2</v>
      </c>
      <c r="L67" s="11" t="inlineStr">
        <is>
          <t>source_url</t>
        </is>
      </c>
      <c r="M67" s="11" t="inlineStr">
        <is>
          <t>high</t>
        </is>
      </c>
      <c r="N67" s="11" t="n">
        <v>0</v>
      </c>
      <c r="O67" s="11" t="n"/>
      <c r="P67" s="11" t="n">
        <v>0</v>
      </c>
      <c r="Q67" s="11" t="n">
        <v>0.77</v>
      </c>
      <c r="R67" s="2" t="n"/>
      <c r="S67" s="11" t="inlineStr"/>
      <c r="T67" s="2" t="inlineStr">
        <is>
          <t>Only 0 later judgments in our collection cite this case; too few to say anything.</t>
        </is>
      </c>
      <c r="U67" s="11" t="inlineStr">
        <is>
          <t>reports/state_of_uttar_pradesh_v_ram_kishan.md</t>
        </is>
      </c>
    </row>
    <row r="68">
      <c r="A68" s="2" t="inlineStr">
        <is>
          <t>Sushila Aggarwal v State (NCT of Delhi)</t>
        </is>
      </c>
      <c r="B68" s="11" t="inlineStr">
        <is>
          <t>(2020) 5 SCC 1</t>
        </is>
      </c>
      <c r="C68" s="11" t="n">
        <v>2020</v>
      </c>
      <c r="D68" s="11" t="inlineStr">
        <is>
          <t>SC</t>
        </is>
      </c>
      <c r="E68" s="11" t="inlineStr">
        <is>
          <t>NO_ADVERSE_FOUND</t>
        </is>
      </c>
      <c r="F68" s="11" t="inlineStr">
        <is>
          <t>STATUTE_CHANGED</t>
        </is>
      </c>
      <c r="G68" s="2" t="n"/>
      <c r="H68" s="11" t="inlineStr">
        <is>
          <t>b2020_2_1_131</t>
        </is>
      </c>
      <c r="I68" s="2" t="inlineStr">
        <is>
          <t>SUSHILA AGGARWAL AND OTHERS versus STATE (NCT OF DELHI) AND ANOTHER</t>
        </is>
      </c>
      <c r="J68" s="11" t="inlineStr">
        <is>
          <t>2020-01-29</t>
        </is>
      </c>
      <c r="K68" s="11" t="n">
        <v>5</v>
      </c>
      <c r="L68" s="11" t="inlineStr">
        <is>
          <t>name_year</t>
        </is>
      </c>
      <c r="M68" s="11" t="inlineStr">
        <is>
          <t>high</t>
        </is>
      </c>
      <c r="N68" s="11" t="n">
        <v>22</v>
      </c>
      <c r="O68" s="11" t="n">
        <v>2026</v>
      </c>
      <c r="P68" s="11" t="n">
        <v>22</v>
      </c>
      <c r="Q68" s="11" t="n">
        <v>0.67</v>
      </c>
      <c r="R68" s="2" t="inlineStr">
        <is>
          <t>second reading by a model (a session reading the passages); not lawyer-validated and not independent of the checker's author</t>
        </is>
      </c>
      <c r="S68" s="11" t="inlineStr"/>
      <c r="T68" s="2" t="inlineStr">
        <is>
          <t>No overruling or doubt found in the 22 later judgments we hold that cite it (collection runs to 2026-08-12; we hold about 67% of what Indian Kanoon lists after it). This is silence in what we hold, not a finding about the law.</t>
        </is>
      </c>
      <c r="U68" s="11" t="inlineStr">
        <is>
          <t>reports/sushila_aggarwal_v_state_nct_of_delhi.md</t>
        </is>
      </c>
    </row>
    <row r="69">
      <c r="A69" s="2" t="inlineStr">
        <is>
          <t>T. Manikadan v State (NCT of Delhi) &amp; Anr</t>
        </is>
      </c>
      <c r="B69" s="11" t="inlineStr">
        <is>
          <t>CRL.REV.P. 404/2016 (Delhi HC, 10 January 2017) -- no independent SCC/AIR citation confirmed</t>
        </is>
      </c>
      <c r="C69" s="11" t="n">
        <v>2016</v>
      </c>
      <c r="D69" s="11" t="inlineStr">
        <is>
          <t>HC</t>
        </is>
      </c>
      <c r="E69" s="11" t="inlineStr">
        <is>
          <t>NOT_CHECKABLE_HIGH_COURT</t>
        </is>
      </c>
      <c r="F69" s="11" t="n"/>
      <c r="G69" s="2" t="n"/>
      <c r="H69" s="11" t="n"/>
      <c r="I69" s="2" t="n"/>
      <c r="J69" s="11" t="n"/>
      <c r="K69" s="11" t="n"/>
      <c r="L69" s="11" t="n"/>
      <c r="M69" s="11" t="n"/>
      <c r="N69" s="11" t="n"/>
      <c r="O69" s="11" t="n"/>
      <c r="P69" s="11" t="n"/>
      <c r="Q69" s="11" t="n"/>
      <c r="R69" s="2" t="n"/>
      <c r="S69" s="11" t="inlineStr"/>
      <c r="T69" s="2" t="inlineStr">
        <is>
          <t>This is a High Court decision; our collection holds only Supreme Court judgments, so what later judgments did with it was not checked. (decided by High Court of Delhi; the collection holds only Supreme Court judgments)</t>
        </is>
      </c>
      <c r="U69" s="11" t="n"/>
    </row>
    <row r="70">
      <c r="A70" s="2" t="inlineStr">
        <is>
          <t>Tofan Singh v State of Tamil Nadu</t>
        </is>
      </c>
      <c r="B70" s="11" t="inlineStr">
        <is>
          <t>(2021) 4 SCC 1</t>
        </is>
      </c>
      <c r="C70" s="11" t="n">
        <v>2021</v>
      </c>
      <c r="D70" s="11" t="inlineStr">
        <is>
          <t>SC</t>
        </is>
      </c>
      <c r="E70" s="11" t="inlineStr">
        <is>
          <t>NO_ADVERSE_FOUND</t>
        </is>
      </c>
      <c r="F70" s="11" t="inlineStr">
        <is>
          <t>STATUTE_CHANGED</t>
        </is>
      </c>
      <c r="G70" s="2" t="n"/>
      <c r="H70" s="11" t="inlineStr">
        <is>
          <t>b2020_12_583_874</t>
        </is>
      </c>
      <c r="I70" s="2" t="inlineStr">
        <is>
          <t>TOFAN SINGH versus STATE OF TAMIL NADU</t>
        </is>
      </c>
      <c r="J70" s="11" t="inlineStr">
        <is>
          <t>2020-10-29</t>
        </is>
      </c>
      <c r="K70" s="11" t="n">
        <v>3</v>
      </c>
      <c r="L70" s="11" t="inlineStr">
        <is>
          <t>name_year</t>
        </is>
      </c>
      <c r="M70" s="11" t="inlineStr">
        <is>
          <t>medium</t>
        </is>
      </c>
      <c r="N70" s="11" t="n">
        <v>11</v>
      </c>
      <c r="O70" s="11" t="n">
        <v>2025</v>
      </c>
      <c r="P70" s="11" t="n">
        <v>11</v>
      </c>
      <c r="Q70" s="11" t="n">
        <v>0.67</v>
      </c>
      <c r="R70" s="2" t="inlineStr">
        <is>
          <t>second reading by a model (a session reading the passages); not lawyer-validated and not independent of the checker's author</t>
        </is>
      </c>
      <c r="S70" s="11" t="inlineStr"/>
      <c r="T70" s="2" t="inlineStr">
        <is>
          <t>No overruling or doubt found in the 11 later judgments we hold that cite it (collection runs to 2026-08-12; we hold about 67% of what Indian Kanoon lists after it). This is silence in what we hold, not a finding about the law.</t>
        </is>
      </c>
      <c r="U70" s="11" t="inlineStr">
        <is>
          <t>reports/tofan_singh_v_state_of_tamil_nadu.md</t>
        </is>
      </c>
    </row>
    <row r="71">
      <c r="A71" s="2" t="inlineStr">
        <is>
          <t>Union of India v Md Nawaz Khan</t>
        </is>
      </c>
      <c r="B71" s="11" t="inlineStr">
        <is>
          <t>(2021) 10 SCC 100</t>
        </is>
      </c>
      <c r="C71" s="11" t="n">
        <v>2021</v>
      </c>
      <c r="D71" s="11" t="inlineStr">
        <is>
          <t>SC</t>
        </is>
      </c>
      <c r="E71" s="11" t="inlineStr">
        <is>
          <t>INSUFFICIENT</t>
        </is>
      </c>
      <c r="F71" s="11" t="inlineStr">
        <is>
          <t>STATUTE_CHANGED</t>
        </is>
      </c>
      <c r="G71" s="2" t="n"/>
      <c r="H71" s="11" t="inlineStr">
        <is>
          <t>b2021_7_819_837</t>
        </is>
      </c>
      <c r="I71" s="2" t="inlineStr">
        <is>
          <t>UNION OF INDIA THROUGH NARCOTICS CONTROL BUREAU, LUCKNOW versus MD. NAWAZ KHAN</t>
        </is>
      </c>
      <c r="J71" s="11" t="inlineStr">
        <is>
          <t>2021-09-22</t>
        </is>
      </c>
      <c r="K71" s="11" t="n">
        <v>2</v>
      </c>
      <c r="L71" s="11" t="inlineStr">
        <is>
          <t>name_year</t>
        </is>
      </c>
      <c r="M71" s="11" t="inlineStr">
        <is>
          <t>high</t>
        </is>
      </c>
      <c r="N71" s="11" t="n">
        <v>0</v>
      </c>
      <c r="O71" s="11" t="n"/>
      <c r="P71" s="11" t="n">
        <v>0</v>
      </c>
      <c r="Q71" s="11" t="n">
        <v>0.65</v>
      </c>
      <c r="R71" s="2" t="n"/>
      <c r="S71" s="11" t="inlineStr"/>
      <c r="T71" s="2" t="inlineStr">
        <is>
          <t>Only 0 later judgments in our collection cite this case; too few to say anything.</t>
        </is>
      </c>
      <c r="U71" s="11" t="inlineStr">
        <is>
          <t>reports/union_of_india_v_md_nawaz_khan.md</t>
        </is>
      </c>
    </row>
    <row r="72">
      <c r="A72" s="2" t="inlineStr">
        <is>
          <t>Union of India v Mohanlal</t>
        </is>
      </c>
      <c r="B72" s="11" t="inlineStr">
        <is>
          <t>(2016) 3 SCC 379</t>
        </is>
      </c>
      <c r="C72" s="11" t="n">
        <v>2016</v>
      </c>
      <c r="D72" s="11" t="inlineStr">
        <is>
          <t>SC</t>
        </is>
      </c>
      <c r="E72" s="11" t="inlineStr">
        <is>
          <t>NO_ADVERSE_FOUND</t>
        </is>
      </c>
      <c r="F72" s="11" t="n"/>
      <c r="G72" s="2" t="n"/>
      <c r="H72" s="11" t="inlineStr">
        <is>
          <t>c43312</t>
        </is>
      </c>
      <c r="I72" s="2" t="inlineStr">
        <is>
          <t>Union of India v. Mohanlal &amp; Anr</t>
        </is>
      </c>
      <c r="J72" s="11" t="inlineStr">
        <is>
          <t>2016-01-28</t>
        </is>
      </c>
      <c r="K72" s="11" t="n">
        <v>2</v>
      </c>
      <c r="L72" s="11" t="inlineStr">
        <is>
          <t>source_url</t>
        </is>
      </c>
      <c r="M72" s="11" t="inlineStr">
        <is>
          <t>high</t>
        </is>
      </c>
      <c r="N72" s="11" t="n">
        <v>5</v>
      </c>
      <c r="O72" s="11" t="n">
        <v>2025</v>
      </c>
      <c r="P72" s="11" t="n">
        <v>5</v>
      </c>
      <c r="Q72" s="11" t="n">
        <v>0.75</v>
      </c>
      <c r="R72" s="2" t="inlineStr">
        <is>
          <t>second reading by a model (a session reading the passages); not lawyer-validated and not independent of the checker's author</t>
        </is>
      </c>
      <c r="S72" s="11" t="inlineStr"/>
      <c r="T72" s="2" t="inlineStr">
        <is>
          <t>No overruling or doubt found in the 5 later judgments we hold that cite it (collection runs to 2026-08-12; we hold about 75% of what Indian Kanoon lists after it). This is silence in what we hold, not a finding about the law.</t>
        </is>
      </c>
      <c r="U72" s="11" t="inlineStr">
        <is>
          <t>reports/union_of_india_v_mohanlal.md</t>
        </is>
      </c>
    </row>
    <row r="73">
      <c r="A73" s="2" t="inlineStr">
        <is>
          <t>Union of India v Shiv Shanker Kesari</t>
        </is>
      </c>
      <c r="B73" s="11" t="inlineStr">
        <is>
          <t>(2007) 7 SCC 798</t>
        </is>
      </c>
      <c r="C73" s="11" t="n">
        <v>2007</v>
      </c>
      <c r="D73" s="11" t="inlineStr">
        <is>
          <t>SC</t>
        </is>
      </c>
      <c r="E73" s="11" t="inlineStr">
        <is>
          <t>NO_ADVERSE_FOUND</t>
        </is>
      </c>
      <c r="F73" s="11" t="n"/>
      <c r="G73" s="2" t="n"/>
      <c r="H73" s="11" t="inlineStr">
        <is>
          <t>c29564</t>
        </is>
      </c>
      <c r="I73" s="2" t="inlineStr">
        <is>
          <t>Union of India v. Shri Shiv Shanker Kesari</t>
        </is>
      </c>
      <c r="J73" s="11" t="inlineStr">
        <is>
          <t>2007-09-14</t>
        </is>
      </c>
      <c r="K73" s="11" t="n">
        <v>2</v>
      </c>
      <c r="L73" s="11" t="inlineStr">
        <is>
          <t>source_url</t>
        </is>
      </c>
      <c r="M73" s="11" t="inlineStr">
        <is>
          <t>high</t>
        </is>
      </c>
      <c r="N73" s="11" t="n">
        <v>3</v>
      </c>
      <c r="O73" s="11" t="n">
        <v>2021</v>
      </c>
      <c r="P73" s="11" t="n">
        <v>1</v>
      </c>
      <c r="Q73" s="11" t="n">
        <v>0.89</v>
      </c>
      <c r="R73" s="2" t="n"/>
      <c r="S73" s="11" t="inlineStr"/>
      <c r="T73" s="2" t="inlineStr">
        <is>
          <t>No overruling or doubt found in the 3 later judgments we hold that cite it (collection runs to 2026-08-12; we hold about 89% of what Indian Kanoon lists after it). This is silence in what we hold, not a finding about the law.</t>
        </is>
      </c>
      <c r="U73" s="11" t="inlineStr">
        <is>
          <t>reports/union_of_india_v_shiv_shanker_kesari.md</t>
        </is>
      </c>
    </row>
    <row r="74">
      <c r="A74" s="2" t="inlineStr">
        <is>
          <t>Usha Chakraborty v State of West Bengal</t>
        </is>
      </c>
      <c r="B74" s="11" t="inlineStr">
        <is>
          <t>2023 SCC OnLine SC 90</t>
        </is>
      </c>
      <c r="C74" s="11" t="n">
        <v>2023</v>
      </c>
      <c r="D74" s="11" t="inlineStr">
        <is>
          <t>SC</t>
        </is>
      </c>
      <c r="E74" s="11" t="inlineStr">
        <is>
          <t>NO_ADVERSE_FOUND</t>
        </is>
      </c>
      <c r="F74" s="11" t="n"/>
      <c r="G74" s="2" t="n"/>
      <c r="H74" s="11" t="n"/>
      <c r="I74" s="2" t="inlineStr">
        <is>
          <t>Usha Chakraborty v State of West Bengal</t>
        </is>
      </c>
      <c r="J74" s="11" t="n"/>
      <c r="K74" s="11" t="n"/>
      <c r="L74" s="11" t="inlineStr">
        <is>
          <t>external_target</t>
        </is>
      </c>
      <c r="M74" s="11" t="n"/>
      <c r="N74" s="11" t="n">
        <v>3</v>
      </c>
      <c r="O74" s="11" t="n">
        <v>2025</v>
      </c>
      <c r="P74" s="11" t="n">
        <v>3</v>
      </c>
      <c r="Q74" s="11" t="n">
        <v>0.55</v>
      </c>
      <c r="R74" s="2" t="n"/>
      <c r="S74" s="11" t="inlineStr"/>
      <c r="T74" s="2" t="inlineStr">
        <is>
          <t>No overruling or doubt found in the 3 later judgments we hold that cite it (collection runs to 2026-08-12; we hold about 55% of what Indian Kanoon lists after it). This is silence in what we hold, not a finding about the law.</t>
        </is>
      </c>
      <c r="U74" s="11" t="inlineStr">
        <is>
          <t>reports/usha_chakraborty_v_state_of_west_bengal.md</t>
        </is>
      </c>
    </row>
    <row r="75">
      <c r="A75" s="2" t="inlineStr">
        <is>
          <t>Vihaan Kumar v State of Haryana</t>
        </is>
      </c>
      <c r="B75" s="11" t="inlineStr">
        <is>
          <t>2025 INSC 162</t>
        </is>
      </c>
      <c r="C75" s="11" t="n">
        <v>2025</v>
      </c>
      <c r="D75" s="11" t="inlineStr">
        <is>
          <t>SC</t>
        </is>
      </c>
      <c r="E75" s="11" t="inlineStr">
        <is>
          <t>NO_ADVERSE_FOUND</t>
        </is>
      </c>
      <c r="F75" s="11" t="inlineStr">
        <is>
          <t>STATUTE_CHANGED</t>
        </is>
      </c>
      <c r="G75" s="2" t="n"/>
      <c r="H75" s="11" t="inlineStr">
        <is>
          <t>b2025_2_424_451</t>
        </is>
      </c>
      <c r="I75" s="2" t="inlineStr">
        <is>
          <t>VIHAAN KUMAR versus STATE OF HARYANA &amp; ANR.</t>
        </is>
      </c>
      <c r="J75" s="11" t="inlineStr">
        <is>
          <t>2025-02-06</t>
        </is>
      </c>
      <c r="K75" s="11" t="n">
        <v>2</v>
      </c>
      <c r="L75" s="11" t="inlineStr">
        <is>
          <t>citation</t>
        </is>
      </c>
      <c r="M75" s="11" t="inlineStr">
        <is>
          <t>high</t>
        </is>
      </c>
      <c r="N75" s="11" t="n">
        <v>3</v>
      </c>
      <c r="O75" s="11" t="n">
        <v>2025</v>
      </c>
      <c r="P75" s="11" t="n">
        <v>3</v>
      </c>
      <c r="Q75" s="11" t="n">
        <v>0.22</v>
      </c>
      <c r="R75" s="2" t="n"/>
      <c r="S75" s="11" t="inlineStr"/>
      <c r="T75" s="2" t="inlineStr">
        <is>
          <t>No overruling or doubt found in the 3 later judgments we hold that cite it (collection runs to 2026-08-12; we hold about 22% of what Indian Kanoon lists after it). This is silence in what we hold, not a finding about the law.</t>
        </is>
      </c>
      <c r="U75" s="11" t="inlineStr">
        <is>
          <t>reports/vihaan_kumar_v_state_of_haryana.md</t>
        </is>
      </c>
    </row>
    <row r="76">
      <c r="A76" s="2" t="inlineStr">
        <is>
          <t>Vijay Kumar Ghai v State of West Bengal</t>
        </is>
      </c>
      <c r="B76" s="11" t="inlineStr">
        <is>
          <t>2022 LiveLaw (SC) 305</t>
        </is>
      </c>
      <c r="C76" s="11" t="n">
        <v>2022</v>
      </c>
      <c r="D76" s="11" t="inlineStr">
        <is>
          <t>SC</t>
        </is>
      </c>
      <c r="E76" s="11" t="inlineStr">
        <is>
          <t>NO_ADVERSE_FOUND</t>
        </is>
      </c>
      <c r="F76" s="11" t="inlineStr">
        <is>
          <t>STATUTE_CHANGED</t>
        </is>
      </c>
      <c r="G76" s="2" t="n"/>
      <c r="H76" s="11" t="inlineStr">
        <is>
          <t>b2022_1_884_912</t>
        </is>
      </c>
      <c r="I76" s="2" t="inlineStr">
        <is>
          <t>VIJAY KUMAR GHAI &amp; ORS. versus THE STATE OF WEST BENGAL &amp; ORS.</t>
        </is>
      </c>
      <c r="J76" s="11" t="inlineStr">
        <is>
          <t>2022-03-22</t>
        </is>
      </c>
      <c r="K76" s="11" t="n">
        <v>2</v>
      </c>
      <c r="L76" s="11" t="inlineStr">
        <is>
          <t>name_year</t>
        </is>
      </c>
      <c r="M76" s="11" t="inlineStr">
        <is>
          <t>high</t>
        </is>
      </c>
      <c r="N76" s="11" t="n">
        <v>4</v>
      </c>
      <c r="O76" s="11" t="n">
        <v>2025</v>
      </c>
      <c r="P76" s="11" t="n">
        <v>4</v>
      </c>
      <c r="Q76" s="11" t="n">
        <v>0.61</v>
      </c>
      <c r="R76" s="2" t="n"/>
      <c r="S76" s="11" t="inlineStr"/>
      <c r="T76" s="2" t="inlineStr">
        <is>
          <t>No overruling or doubt found in the 4 later judgments we hold that cite it (collection runs to 2026-08-12; we hold about 61% of what Indian Kanoon lists after it). This is silence in what we hold, not a finding about the law.</t>
        </is>
      </c>
      <c r="U76" s="11" t="inlineStr">
        <is>
          <t>reports/vijay_kumar_ghai_v_state_of_west_bengal.md</t>
        </is>
      </c>
    </row>
    <row r="77">
      <c r="A77" s="2" t="inlineStr">
        <is>
          <t>Vijaysinh Chandubha Jadeja v State of Gujarat</t>
        </is>
      </c>
      <c r="B77" s="11" t="inlineStr">
        <is>
          <t>(2011) 1 SCC 609</t>
        </is>
      </c>
      <c r="C77" s="11" t="n">
        <v>2011</v>
      </c>
      <c r="D77" s="11" t="inlineStr">
        <is>
          <t>SC</t>
        </is>
      </c>
      <c r="E77" s="11" t="inlineStr">
        <is>
          <t>NO_ADVERSE_FOUND</t>
        </is>
      </c>
      <c r="F77" s="11" t="inlineStr">
        <is>
          <t>STATUTE_CHANGED</t>
        </is>
      </c>
      <c r="G77" s="2" t="n"/>
      <c r="H77" s="11" t="inlineStr">
        <is>
          <t>c37060</t>
        </is>
      </c>
      <c r="I77" s="2" t="inlineStr">
        <is>
          <t>VIJAYSINH CHANDUBHA JADEJA — v. STATE OF GUJARAT —</t>
        </is>
      </c>
      <c r="J77" s="11" t="n"/>
      <c r="K77" s="11" t="n">
        <v>5</v>
      </c>
      <c r="L77" s="11" t="inlineStr">
        <is>
          <t>source_url</t>
        </is>
      </c>
      <c r="M77" s="11" t="inlineStr">
        <is>
          <t>high</t>
        </is>
      </c>
      <c r="N77" s="11" t="n">
        <v>15</v>
      </c>
      <c r="O77" s="11" t="n">
        <v>2023</v>
      </c>
      <c r="P77" s="11" t="n">
        <v>7</v>
      </c>
      <c r="Q77" s="11" t="n">
        <v>0.88</v>
      </c>
      <c r="R77" s="2" t="inlineStr">
        <is>
          <t>second reading by a model (a session reading the passages); not lawyer-validated and not independent of the checker's author</t>
        </is>
      </c>
      <c r="S77" s="11" t="inlineStr"/>
      <c r="T77" s="2" t="inlineStr">
        <is>
          <t>No overruling or doubt found in the 15 later judgments we hold that cite it (collection runs to 2026-08-12; we hold about 88% of what Indian Kanoon lists after it). This is silence in what we hold, not a finding about the law.</t>
        </is>
      </c>
      <c r="U77" s="11" t="inlineStr">
        <is>
          <t>reports/vijaysinh_chandubha_jadeja_v_state_of_gujarat.md</t>
        </is>
      </c>
    </row>
    <row r="78">
      <c r="A78" s="2" t="inlineStr">
        <is>
          <t>Viraj Chetan Shah v Union of India &amp; Anr (&amp; Connected Matters)</t>
        </is>
      </c>
      <c r="B78" s="11" t="inlineStr">
        <is>
          <t>2024:BHC-OS:6672-DB</t>
        </is>
      </c>
      <c r="C78" s="11" t="n">
        <v>2024</v>
      </c>
      <c r="D78" s="11" t="inlineStr">
        <is>
          <t>HC</t>
        </is>
      </c>
      <c r="E78" s="11" t="inlineStr">
        <is>
          <t>NOT_CHECKABLE_HIGH_COURT</t>
        </is>
      </c>
      <c r="F78" s="11" t="n"/>
      <c r="G78" s="2" t="n"/>
      <c r="H78" s="11" t="n"/>
      <c r="I78" s="2" t="n"/>
      <c r="J78" s="11" t="n"/>
      <c r="K78" s="11" t="n"/>
      <c r="L78" s="11" t="n"/>
      <c r="M78" s="11" t="n"/>
      <c r="N78" s="11" t="n"/>
      <c r="O78" s="11" t="n"/>
      <c r="P78" s="11" t="n"/>
      <c r="Q78" s="11" t="n"/>
      <c r="R78" s="2" t="n"/>
      <c r="S78" s="11" t="inlineStr"/>
      <c r="T78" s="2" t="inlineStr">
        <is>
          <t>This is a High Court decision; our collection holds only Supreme Court judgments, so what later judgments did with it was not checked. (decided by High Court of Judicature at Bombay (Ordinary Original Civil Jurisdiction); the collection holds only Supreme Court judgments)</t>
        </is>
      </c>
      <c r="U78" s="11" t="n"/>
    </row>
    <row r="79">
      <c r="A79" s="2" t="inlineStr">
        <is>
          <t>Youth Bar Association v Union of India</t>
        </is>
      </c>
      <c r="B79" s="11" t="inlineStr">
        <is>
          <t>AIR 2016 SC 4136</t>
        </is>
      </c>
      <c r="C79" s="11" t="n">
        <v>2016</v>
      </c>
      <c r="D79" s="11" t="inlineStr">
        <is>
          <t>SC</t>
        </is>
      </c>
      <c r="E79" s="11" t="inlineStr">
        <is>
          <t>INSUFFICIENT</t>
        </is>
      </c>
      <c r="F79" s="11" t="n"/>
      <c r="G79" s="2" t="n"/>
      <c r="H79" s="11" t="n"/>
      <c r="I79" s="2" t="inlineStr">
        <is>
          <t>Youth Bar Association of India v Union of India</t>
        </is>
      </c>
      <c r="J79" s="11" t="inlineStr">
        <is>
          <t>2016-09-07</t>
        </is>
      </c>
      <c r="K79" s="11" t="n">
        <v>2</v>
      </c>
      <c r="L79" s="11" t="inlineStr">
        <is>
          <t>external_target</t>
        </is>
      </c>
      <c r="M79" s="11" t="n"/>
      <c r="N79" s="11" t="n">
        <v>2</v>
      </c>
      <c r="O79" s="11" t="n">
        <v>2023</v>
      </c>
      <c r="P79" s="11" t="n">
        <v>2</v>
      </c>
      <c r="Q79" s="11" t="n">
        <v>0.75</v>
      </c>
      <c r="R79" s="2" t="n"/>
      <c r="S79" s="11" t="inlineStr"/>
      <c r="T79" s="2" t="inlineStr">
        <is>
          <t>Only 2 later judgments in our collection cite this case; too few to say anything.</t>
        </is>
      </c>
      <c r="U79" s="11" t="inlineStr">
        <is>
          <t>reports/youth_bar_association_v_union_of_india.md</t>
        </is>
      </c>
    </row>
  </sheetData>
  <autoFilter ref="A3:U79"/>
  <mergeCells count="1">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 width="90" customWidth="1" min="7" max="7"/>
    <col width="40" customWidth="1" min="8" max="8"/>
  </cols>
  <sheetData>
    <row r="1" ht="44" customHeight="1">
      <c r="A1" s="9" t="inlineStr">
        <is>
          <t>Cases whose later history is known from outside (7 overruled/doubted/overcome and 13 settled, labelled by an AI assistant from general knowledge, plus 3 added 2026-10-08). 'In the register' says whether the register would word them. Not lawyer-checked.</t>
        </is>
      </c>
    </row>
    <row r="3">
      <c r="A3" s="10" t="inlineStr">
        <is>
          <t>Case</t>
        </is>
      </c>
      <c r="B3" s="10" t="inlineStr">
        <is>
          <t>Expected</t>
        </is>
      </c>
      <c r="C3" s="10" t="inlineStr">
        <is>
          <t>Judgment key</t>
        </is>
      </c>
      <c r="D3" s="10" t="inlineStr">
        <is>
          <t>In the register</t>
        </is>
      </c>
      <c r="E3" s="10" t="inlineStr">
        <is>
          <t>Trust</t>
        </is>
      </c>
      <c r="F3" s="10" t="inlineStr">
        <is>
          <t>False alarm</t>
        </is>
      </c>
      <c r="G3" s="10" t="inlineStr">
        <is>
          <t>What the later court did / why it is listed</t>
        </is>
      </c>
      <c r="H3" s="10" t="inlineStr">
        <is>
          <t>Source</t>
        </is>
      </c>
    </row>
    <row r="4">
      <c r="A4" s="2" t="inlineStr">
        <is>
          <t>Suresh Kumar Koushal v. Naz Foundation (2013)</t>
        </is>
      </c>
      <c r="B4" s="11" t="inlineStr">
        <is>
          <t>adverse</t>
        </is>
      </c>
      <c r="C4" s="11" t="inlineStr">
        <is>
          <t>c41070</t>
        </is>
      </c>
      <c r="D4" s="11" t="inlineStr">
        <is>
          <t>yes</t>
        </is>
      </c>
      <c r="E4" s="11" t="inlineStr">
        <is>
          <t>candidate</t>
        </is>
      </c>
      <c r="F4" s="11" t="inlineStr"/>
      <c r="G4" s="2" t="inlineStr">
        <is>
          <t>Overruled by Navtej Singh Johar v. Union of India (2018), five judges (in the collection as b2018_7_379_746).</t>
        </is>
      </c>
      <c r="H4" s="2" t="inlineStr">
        <is>
          <t>goodlaw/targets/known.json</t>
        </is>
      </c>
    </row>
    <row r="5">
      <c r="A5" s="2" t="inlineStr">
        <is>
          <t>Sowmithri Vishnu v. Union of India (1985)</t>
        </is>
      </c>
      <c r="B5" s="11" t="inlineStr">
        <is>
          <t>adverse</t>
        </is>
      </c>
      <c r="C5" s="11" t="inlineStr">
        <is>
          <t>c9258</t>
        </is>
      </c>
      <c r="D5" s="11" t="inlineStr">
        <is>
          <t>yes</t>
        </is>
      </c>
      <c r="E5" s="11" t="inlineStr">
        <is>
          <t>candidate</t>
        </is>
      </c>
      <c r="F5" s="11" t="inlineStr"/>
      <c r="G5" s="2" t="inlineStr">
        <is>
          <t>Overruled by Joseph Shine v. Union of India (2018), five judges (b2018_11_765_950), on section 497 IPC.</t>
        </is>
      </c>
      <c r="H5" s="2" t="inlineStr">
        <is>
          <t>goodlaw/targets/known.json</t>
        </is>
      </c>
    </row>
    <row r="6">
      <c r="A6" s="2" t="inlineStr">
        <is>
          <t>ADM Jabalpur v. Shivkant Shukla (1976)</t>
        </is>
      </c>
      <c r="B6" s="11" t="inlineStr">
        <is>
          <t>adverse</t>
        </is>
      </c>
      <c r="C6" s="11" t="inlineStr">
        <is>
          <t>c5622</t>
        </is>
      </c>
      <c r="D6" s="11" t="inlineStr">
        <is>
          <t>yes</t>
        </is>
      </c>
      <c r="E6" s="11" t="inlineStr">
        <is>
          <t>candidate</t>
        </is>
      </c>
      <c r="F6" s="11" t="inlineStr"/>
      <c r="G6" s="2" t="inlineStr">
        <is>
          <t>Overruled by K.S. Puttaswamy v. Union of India (2017), nine judges (b2017_10_569_999).</t>
        </is>
      </c>
      <c r="H6" s="2" t="inlineStr">
        <is>
          <t>goodlaw/targets/known.json</t>
        </is>
      </c>
    </row>
    <row r="7">
      <c r="A7" s="2" t="inlineStr">
        <is>
          <t>Prabha Shankar Dubey v. State of M.P. (2003)</t>
        </is>
      </c>
      <c r="B7" s="11" t="inlineStr">
        <is>
          <t>adverse</t>
        </is>
      </c>
      <c r="C7" s="11" t="inlineStr">
        <is>
          <t>c25607</t>
        </is>
      </c>
      <c r="D7" s="11" t="inlineStr">
        <is>
          <t>NO: a gap</t>
        </is>
      </c>
      <c r="E7" s="11" t="inlineStr"/>
      <c r="F7" s="11" t="inlineStr"/>
      <c r="G7" s="2" t="inlineStr">
        <is>
          <t>Its 'substantial compliance' view of section 50 NDPS rejected by Vijaysinh Chandubha Jadeja v. State of Gujarat (2010), Constitution Bench (c37060); verified in the text of Jadeja.</t>
        </is>
      </c>
      <c r="H7" s="2" t="inlineStr">
        <is>
          <t>goodlaw/targets/known.json</t>
        </is>
      </c>
    </row>
    <row r="8">
      <c r="A8" s="2" t="inlineStr">
        <is>
          <t>A.K. Gopalan v. State of Madras (1950)</t>
        </is>
      </c>
      <c r="B8" s="11" t="inlineStr">
        <is>
          <t>adverse</t>
        </is>
      </c>
      <c r="C8" s="11" t="inlineStr">
        <is>
          <t>c1251</t>
        </is>
      </c>
      <c r="D8" s="11" t="inlineStr">
        <is>
          <t>yes</t>
        </is>
      </c>
      <c r="E8" s="11" t="inlineStr">
        <is>
          <t>verified</t>
        </is>
      </c>
      <c r="F8" s="11" t="inlineStr"/>
      <c r="G8" s="2" t="inlineStr">
        <is>
          <t>Its reading of Articles 19, 21 and 22 as mutually exclusive was rejected in R.C. Cooper (1970) and Maneka Gandhi (1978); the reporter's headnotes say so.</t>
        </is>
      </c>
      <c r="H8" s="2" t="inlineStr">
        <is>
          <t>goodlaw/targets/known.json</t>
        </is>
      </c>
    </row>
    <row r="9">
      <c r="A9" s="2" t="inlineStr">
        <is>
          <t>Rajesh Sharma v. State of U.P. (2017)</t>
        </is>
      </c>
      <c r="B9" s="11" t="inlineStr">
        <is>
          <t>adverse</t>
        </is>
      </c>
      <c r="C9" s="11" t="inlineStr">
        <is>
          <t>b2017_9_529_543</t>
        </is>
      </c>
      <c r="D9" s="11" t="inlineStr">
        <is>
          <t>NO: a gap</t>
        </is>
      </c>
      <c r="E9" s="11" t="inlineStr"/>
      <c r="F9" s="11" t="inlineStr"/>
      <c r="G9" s="2" t="inlineStr">
        <is>
          <t>Its directions on section 498A IPC (family welfare committees) set aside by Social Action Forum for Manav Adhikar v. Union of India (2018), three judges (b2018_12_19_50).</t>
        </is>
      </c>
      <c r="H9" s="2" t="inlineStr">
        <is>
          <t>goodlaw/targets/known.json</t>
        </is>
      </c>
    </row>
    <row r="10">
      <c r="A10" s="2" t="inlineStr">
        <is>
          <t>Dashrath Rupsingh Rathod v. State of Maharashtra (2014)</t>
        </is>
      </c>
      <c r="B10" s="11" t="inlineStr">
        <is>
          <t>adverse</t>
        </is>
      </c>
      <c r="C10" s="11" t="inlineStr">
        <is>
          <t>c41801</t>
        </is>
      </c>
      <c r="D10" s="11" t="inlineStr">
        <is>
          <t>NO: a gap</t>
        </is>
      </c>
      <c r="E10" s="11" t="inlineStr"/>
      <c r="F10" s="11" t="inlineStr"/>
      <c r="G10" s="2" t="inlineStr">
        <is>
          <t>Its rule on where a section 138 NI Act complaint can be filed was overridden by the Negotiable Instruments (Amendment) Act 2015 (section 142(2)); later judgments apply the amendment. Counts as adverse if the checker flags it QUESTIONED or ADVERSE_SIGNAL.</t>
        </is>
      </c>
      <c r="H10" s="2" t="inlineStr">
        <is>
          <t>goodlaw/targets/known.json</t>
        </is>
      </c>
    </row>
    <row r="11">
      <c r="A11" s="2" t="inlineStr">
        <is>
          <t>State of Haryana v. Bhajan Lal (1990)</t>
        </is>
      </c>
      <c r="B11" s="11" t="inlineStr">
        <is>
          <t>not_adverse</t>
        </is>
      </c>
      <c r="C11" s="11" t="inlineStr">
        <is>
          <t>c7332</t>
        </is>
      </c>
      <c r="D11" s="11" t="inlineStr">
        <is>
          <t>no (as it should be)</t>
        </is>
      </c>
      <c r="E11" s="11" t="inlineStr"/>
      <c r="F11" s="11" t="inlineStr"/>
      <c r="G11" s="2" t="inlineStr">
        <is>
          <t>Leading case on quashing FIRs; followed for 30 years.</t>
        </is>
      </c>
      <c r="H11" s="2" t="inlineStr">
        <is>
          <t>goodlaw/targets/known.json</t>
        </is>
      </c>
    </row>
    <row r="12">
      <c r="A12" s="2" t="inlineStr">
        <is>
          <t>Maneka Gandhi v. Union of India (1978)</t>
        </is>
      </c>
      <c r="B12" s="11" t="inlineStr">
        <is>
          <t>not_adverse</t>
        </is>
      </c>
      <c r="C12" s="11" t="inlineStr">
        <is>
          <t>c5154</t>
        </is>
      </c>
      <c r="D12" s="11" t="inlineStr">
        <is>
          <t>no (as it should be)</t>
        </is>
      </c>
      <c r="E12" s="11" t="inlineStr"/>
      <c r="F12" s="11" t="inlineStr"/>
      <c r="G12" s="2" t="inlineStr">
        <is>
          <t>Seven judges; foundation of Article 21 doctrine.</t>
        </is>
      </c>
      <c r="H12" s="2" t="inlineStr">
        <is>
          <t>goodlaw/targets/known.json</t>
        </is>
      </c>
    </row>
    <row r="13">
      <c r="A13" s="2" t="inlineStr">
        <is>
          <t>Gurbaksh Singh Sibbia v. State of Punjab (1980)</t>
        </is>
      </c>
      <c r="B13" s="11" t="inlineStr">
        <is>
          <t>not_adverse</t>
        </is>
      </c>
      <c r="C13" s="11" t="inlineStr">
        <is>
          <t>c4562</t>
        </is>
      </c>
      <c r="D13" s="11" t="inlineStr">
        <is>
          <t>no (as it should be)</t>
        </is>
      </c>
      <c r="E13" s="11" t="inlineStr"/>
      <c r="F13" s="11" t="inlineStr"/>
      <c r="G13" s="2" t="inlineStr">
        <is>
          <t>Constitution Bench on anticipatory bail; affirmed by Sushila Aggarwal (2020).</t>
        </is>
      </c>
      <c r="H13" s="2" t="inlineStr">
        <is>
          <t>goodlaw/targets/known.json</t>
        </is>
      </c>
    </row>
    <row r="14">
      <c r="A14" s="2" t="inlineStr">
        <is>
          <t>Hussainara Khatoon v. Home Secretary, Bihar (1979)</t>
        </is>
      </c>
      <c r="B14" s="11" t="inlineStr">
        <is>
          <t>not_adverse</t>
        </is>
      </c>
      <c r="C14" s="11" t="inlineStr">
        <is>
          <t>c4873</t>
        </is>
      </c>
      <c r="D14" s="11" t="inlineStr">
        <is>
          <t>no (as it should be)</t>
        </is>
      </c>
      <c r="E14" s="11" t="inlineStr"/>
      <c r="F14" s="11" t="inlineStr"/>
      <c r="G14" s="2" t="inlineStr">
        <is>
          <t>Speedy trial as a fundamental right; followed.</t>
        </is>
      </c>
      <c r="H14" s="2" t="inlineStr">
        <is>
          <t>goodlaw/targets/known.json</t>
        </is>
      </c>
    </row>
    <row r="15">
      <c r="A15" s="2" t="inlineStr">
        <is>
          <t>D.K. Basu v. State of West Bengal (1996)</t>
        </is>
      </c>
      <c r="B15" s="11" t="inlineStr">
        <is>
          <t>not_adverse</t>
        </is>
      </c>
      <c r="C15" s="11" t="inlineStr">
        <is>
          <t>c14580</t>
        </is>
      </c>
      <c r="D15" s="11" t="inlineStr">
        <is>
          <t>no (as it should be)</t>
        </is>
      </c>
      <c r="E15" s="11" t="inlineStr"/>
      <c r="F15" s="11" t="inlineStr"/>
      <c r="G15" s="2" t="inlineStr">
        <is>
          <t>Arrest and custody safeguards; Recourse's human map marks it good law.</t>
        </is>
      </c>
      <c r="H15" s="2" t="inlineStr">
        <is>
          <t>goodlaw/targets/known.json</t>
        </is>
      </c>
    </row>
    <row r="16">
      <c r="A16" s="2" t="inlineStr">
        <is>
          <t>State of Punjab v. Baldev Singh (1999)</t>
        </is>
      </c>
      <c r="B16" s="11" t="inlineStr">
        <is>
          <t>not_adverse</t>
        </is>
      </c>
      <c r="C16" s="11" t="inlineStr">
        <is>
          <t>c30317</t>
        </is>
      </c>
      <c r="D16" s="11" t="inlineStr">
        <is>
          <t>no (as it should be)</t>
        </is>
      </c>
      <c r="E16" s="11" t="inlineStr"/>
      <c r="F16" s="11" t="inlineStr"/>
      <c r="G16" s="2" t="inlineStr">
        <is>
          <t>Constitution Bench on section 50 NDPS; reaffirmed in Jadeja (2010).</t>
        </is>
      </c>
      <c r="H16" s="2" t="inlineStr">
        <is>
          <t>goodlaw/targets/known.json</t>
        </is>
      </c>
    </row>
    <row r="17">
      <c r="A17" s="2" t="inlineStr">
        <is>
          <t>Lalita Kumari v. Government of U.P. (2013)</t>
        </is>
      </c>
      <c r="B17" s="11" t="inlineStr">
        <is>
          <t>not_adverse</t>
        </is>
      </c>
      <c r="C17" s="11" t="inlineStr">
        <is>
          <t>c40960</t>
        </is>
      </c>
      <c r="D17" s="11" t="inlineStr">
        <is>
          <t>no (as it should be)</t>
        </is>
      </c>
      <c r="E17" s="11" t="inlineStr"/>
      <c r="F17" s="11" t="inlineStr"/>
      <c r="G17" s="2" t="inlineStr">
        <is>
          <t>Constitution Bench on mandatory registration of FIRs; followed.</t>
        </is>
      </c>
      <c r="H17" s="2" t="inlineStr">
        <is>
          <t>goodlaw/targets/known.json</t>
        </is>
      </c>
    </row>
    <row r="18">
      <c r="A18" s="2" t="inlineStr">
        <is>
          <t>Arnesh Kumar v. State of Bihar (2014)</t>
        </is>
      </c>
      <c r="B18" s="11" t="inlineStr">
        <is>
          <t>not_adverse</t>
        </is>
      </c>
      <c r="C18" s="11" t="inlineStr">
        <is>
          <t>c41736</t>
        </is>
      </c>
      <c r="D18" s="11" t="inlineStr">
        <is>
          <t>no (as it should be)</t>
        </is>
      </c>
      <c r="E18" s="11" t="inlineStr"/>
      <c r="F18" s="11" t="inlineStr"/>
      <c r="G18" s="2" t="inlineStr">
        <is>
          <t>Arrest guidelines; Recourse's map marks it superseded by statute only in numbering (CrPC 41A became BNSS 35), applied under the new numbering.</t>
        </is>
      </c>
      <c r="H18" s="2" t="inlineStr">
        <is>
          <t>goodlaw/targets/known.json</t>
        </is>
      </c>
    </row>
    <row r="19">
      <c r="A19" s="2" t="inlineStr">
        <is>
          <t>Rangappa v. Sri Mohan (2010)</t>
        </is>
      </c>
      <c r="B19" s="11" t="inlineStr">
        <is>
          <t>not_adverse</t>
        </is>
      </c>
      <c r="C19" s="11" t="inlineStr">
        <is>
          <t>c36322</t>
        </is>
      </c>
      <c r="D19" s="11" t="inlineStr">
        <is>
          <t>no (as it should be)</t>
        </is>
      </c>
      <c r="E19" s="11" t="inlineStr"/>
      <c r="F19" s="11" t="inlineStr"/>
      <c r="G19" s="2" t="inlineStr">
        <is>
          <t>Three judges on the section 139 presumption; Recourse's human map marks it good law; followed in Basalingappa (2019).</t>
        </is>
      </c>
      <c r="H19" s="2" t="inlineStr">
        <is>
          <t>goodlaw/targets/known.json</t>
        </is>
      </c>
    </row>
    <row r="20">
      <c r="A20" s="2" t="inlineStr">
        <is>
          <t>Bir Singh v. Mukesh Kumar (2019)</t>
        </is>
      </c>
      <c r="B20" s="11" t="inlineStr">
        <is>
          <t>not_adverse</t>
        </is>
      </c>
      <c r="C20" s="11" t="inlineStr">
        <is>
          <t>b2019_2_24_40</t>
        </is>
      </c>
      <c r="D20" s="11" t="inlineStr">
        <is>
          <t>no (as it should be)</t>
        </is>
      </c>
      <c r="E20" s="11" t="inlineStr"/>
      <c r="F20" s="11" t="inlineStr"/>
      <c r="G20" s="2" t="inlineStr">
        <is>
          <t>Section 139 NI Act (blank cheque); Recourse's human map marks it good law.</t>
        </is>
      </c>
      <c r="H20" s="2" t="inlineStr">
        <is>
          <t>goodlaw/targets/known.json</t>
        </is>
      </c>
    </row>
    <row r="21">
      <c r="A21" s="2" t="inlineStr">
        <is>
          <t>K.S. Puttaswamy v. Union of India (2017)</t>
        </is>
      </c>
      <c r="B21" s="11" t="inlineStr">
        <is>
          <t>not_adverse</t>
        </is>
      </c>
      <c r="C21" s="11" t="inlineStr">
        <is>
          <t>b2017_10_569_999</t>
        </is>
      </c>
      <c r="D21" s="11" t="inlineStr">
        <is>
          <t>no (as it should be)</t>
        </is>
      </c>
      <c r="E21" s="11" t="inlineStr"/>
      <c r="F21" s="11" t="inlineStr"/>
      <c r="G21" s="2" t="inlineStr">
        <is>
          <t>Nine judges, right to privacy.</t>
        </is>
      </c>
      <c r="H21" s="2" t="inlineStr">
        <is>
          <t>goodlaw/targets/known.json</t>
        </is>
      </c>
    </row>
    <row r="22">
      <c r="A22" s="2" t="inlineStr">
        <is>
          <t>Navtej Singh Johar v. Union of India (2018)</t>
        </is>
      </c>
      <c r="B22" s="11" t="inlineStr">
        <is>
          <t>not_adverse</t>
        </is>
      </c>
      <c r="C22" s="11" t="inlineStr">
        <is>
          <t>b2018_7_379_746</t>
        </is>
      </c>
      <c r="D22" s="11" t="inlineStr">
        <is>
          <t>no (as it should be)</t>
        </is>
      </c>
      <c r="E22" s="11" t="inlineStr"/>
      <c r="F22" s="11" t="inlineStr"/>
      <c r="G22" s="2" t="inlineStr">
        <is>
          <t>Five judges, section 377 IPC.</t>
        </is>
      </c>
      <c r="H22" s="2" t="inlineStr">
        <is>
          <t>goodlaw/targets/known.json</t>
        </is>
      </c>
    </row>
    <row r="23">
      <c r="A23" s="2" t="inlineStr">
        <is>
          <t>Joseph Shine v. Union of India (2018)</t>
        </is>
      </c>
      <c r="B23" s="11" t="inlineStr">
        <is>
          <t>not_adverse</t>
        </is>
      </c>
      <c r="C23" s="11" t="inlineStr">
        <is>
          <t>b2018_11_765_950</t>
        </is>
      </c>
      <c r="D23" s="11" t="inlineStr">
        <is>
          <t>no (as it should be)</t>
        </is>
      </c>
      <c r="E23" s="11" t="inlineStr"/>
      <c r="F23" s="11" t="inlineStr"/>
      <c r="G23" s="2" t="inlineStr">
        <is>
          <t>Five judges, section 497 IPC.</t>
        </is>
      </c>
      <c r="H23" s="2" t="inlineStr">
        <is>
          <t>goodlaw/targets/known.json</t>
        </is>
      </c>
    </row>
    <row r="24">
      <c r="A24" s="2" t="inlineStr">
        <is>
          <t>Krishna Janardhan Bhat v. Dattatraya G. Hegde (2008)</t>
        </is>
      </c>
      <c r="B24" s="11" t="inlineStr">
        <is>
          <t>adverse_in_part</t>
        </is>
      </c>
      <c r="C24" s="11" t="inlineStr">
        <is>
          <t>c30108</t>
        </is>
      </c>
      <c r="D24" s="11" t="inlineStr">
        <is>
          <t>NO: a gap</t>
        </is>
      </c>
      <c r="E24" s="11" t="inlineStr"/>
      <c r="F24" s="11" t="inlineStr"/>
      <c r="G24" s="2" t="inlineStr">
        <is>
          <t>Rangappa v. Sri Mohan (2010), three judges: 'the impugned observations in Krishna Janardhan Bhat (supra) may not be correct. However, this does not in any way cast doubt on the correctness of the decision in that case since it was based on the specific facts and circumstances therein.' The observation in question is that Section 139 does not raise a presumption that a legally enforceable debt exists. Not overruled: the decision stands, one view in it does not.</t>
        </is>
      </c>
      <c r="H24" s="2" t="inlineStr">
        <is>
          <t>text of Rangappa (corpus id 29368), read 2026-10-08; three passages of it were in the first review pool</t>
        </is>
      </c>
    </row>
    <row r="25">
      <c r="A25" s="2" t="inlineStr">
        <is>
          <t>Mohan Lal v. State of Punjab (2018)</t>
        </is>
      </c>
      <c r="B25" s="11" t="inlineStr">
        <is>
          <t>adverse</t>
        </is>
      </c>
      <c r="C25" s="11" t="inlineStr">
        <is>
          <t>b2018_9_1006_1023</t>
        </is>
      </c>
      <c r="D25" s="11" t="inlineStr">
        <is>
          <t>yes</t>
        </is>
      </c>
      <c r="E25" s="11" t="inlineStr">
        <is>
          <t>candidate</t>
        </is>
      </c>
      <c r="F25" s="11" t="inlineStr"/>
      <c r="G25" s="2" t="inlineStr">
        <is>
          <t>Overruled by Mukesh Singh v. State (Narcotic Branch of Delhi) (2020), Constitution Bench ('not good law and ... specifically overruled'). In the collection and embedded in the index (doc 1000250931, 'MOHANLAL versus THE STATE OF PUNJAB'), so its own passages can appear in a search; the register holds it as a candidate row (L2-034).</t>
        </is>
      </c>
      <c r="H25" s="2" t="inlineStr">
        <is>
          <t>goodlaw/data/register/register.json (candidate row L2-034) and Recourse's NDPS doctrine map</t>
        </is>
      </c>
    </row>
    <row r="26">
      <c r="A26" s="2" t="inlineStr">
        <is>
          <t>Siddharam Satlingappa Mhetre v. State of Maharashtra (2011)</t>
        </is>
      </c>
      <c r="B26" s="11" t="inlineStr">
        <is>
          <t>adverse_in_part</t>
        </is>
      </c>
      <c r="C26" s="11" t="inlineStr">
        <is>
          <t>c37199</t>
        </is>
      </c>
      <c r="D26" s="11" t="inlineStr">
        <is>
          <t>yes</t>
        </is>
      </c>
      <c r="E26" s="11" t="inlineStr">
        <is>
          <t>candidate</t>
        </is>
      </c>
      <c r="F26" s="11" t="inlineStr"/>
      <c r="G26" s="2" t="inlineStr">
        <is>
          <t>Overruled in part by Sushila Aggarwal v. State (NCT of Delhi) (2020), Constitution Bench, on the time limit of an anticipatory-bail order. The register holds it as a candidate row.</t>
        </is>
      </c>
      <c r="H26" s="2" t="inlineStr">
        <is>
          <t>goodlaw/data/register/register.json and the checker's flag ledger</t>
        </is>
      </c>
    </row>
  </sheetData>
  <autoFilter ref="A3:H26"/>
  <mergeCells count="1">
    <mergeCell ref="A1:H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44" customHeight="1">
      <c r="A1" s="9" t="inlineStr">
        <is>
          <t>The register run over the first review pool (199 passages), top 5 per version. Private; never sent to reviewers. Stale passages are few (0 to 2 per version): too few to rank versions.</t>
        </is>
      </c>
    </row>
    <row r="3">
      <c r="A3" s="10" t="inlineStr">
        <is>
          <t>Search version</t>
        </is>
      </c>
      <c r="B3" s="10" t="inlineStr">
        <is>
          <t>Questions</t>
        </is>
      </c>
      <c r="C3" s="10" t="inlineStr">
        <is>
          <t>Top slots</t>
        </is>
      </c>
      <c r="D3" s="10" t="inlineStr">
        <is>
          <t>Own case held (firm)</t>
        </is>
      </c>
      <c r="E3" s="10" t="inlineStr">
        <is>
          <t>Own case held (candidate)</t>
        </is>
      </c>
      <c r="F3" s="10" t="inlineStr">
        <is>
          <t>Names a held case</t>
        </is>
      </c>
      <c r="G3" s="10" t="inlineStr">
        <is>
          <t>Known-stale slots</t>
        </is>
      </c>
      <c r="H3" s="10" t="inlineStr">
        <is>
          <t>of which register flagged</t>
        </is>
      </c>
      <c r="I3" s="10" t="inlineStr">
        <is>
          <t>After demotion: slots changed</t>
        </is>
      </c>
      <c r="J3" s="10" t="inlineStr">
        <is>
          <t>After demotion: stale slots</t>
        </is>
      </c>
    </row>
    <row r="4">
      <c r="A4" s="11" t="inlineStr">
        <is>
          <t>A today</t>
        </is>
      </c>
      <c r="B4" s="11" t="n">
        <v>12</v>
      </c>
      <c r="C4" s="11" t="n">
        <v>60</v>
      </c>
      <c r="D4" s="11" t="n">
        <v>0</v>
      </c>
      <c r="E4" s="11" t="n">
        <v>0</v>
      </c>
      <c r="F4" s="11" t="n">
        <v>0</v>
      </c>
      <c r="G4" s="11" t="n">
        <v>1</v>
      </c>
      <c r="H4" s="11" t="n">
        <v>0</v>
      </c>
      <c r="I4" s="11" t="n">
        <v>0</v>
      </c>
      <c r="J4" s="11" t="n">
        <v>1</v>
      </c>
    </row>
    <row r="5">
      <c r="A5" s="11" t="inlineStr">
        <is>
          <t>B no repeats</t>
        </is>
      </c>
      <c r="B5" s="11" t="n">
        <v>12</v>
      </c>
      <c r="C5" s="11" t="n">
        <v>60</v>
      </c>
      <c r="D5" s="11" t="n">
        <v>0</v>
      </c>
      <c r="E5" s="11" t="n">
        <v>0</v>
      </c>
      <c r="F5" s="11" t="n">
        <v>0</v>
      </c>
      <c r="G5" s="11" t="n">
        <v>0</v>
      </c>
      <c r="H5" s="11" t="n">
        <v>0</v>
      </c>
      <c r="I5" s="11" t="n">
        <v>0</v>
      </c>
      <c r="J5" s="11" t="n">
        <v>0</v>
      </c>
    </row>
    <row r="6">
      <c r="A6" s="11" t="inlineStr">
        <is>
          <t>C rewrite</t>
        </is>
      </c>
      <c r="B6" s="11" t="n">
        <v>6</v>
      </c>
      <c r="C6" s="11" t="n">
        <v>30</v>
      </c>
      <c r="D6" s="11" t="n">
        <v>0</v>
      </c>
      <c r="E6" s="11" t="n">
        <v>0</v>
      </c>
      <c r="F6" s="11" t="n">
        <v>0</v>
      </c>
      <c r="G6" s="11" t="n">
        <v>0</v>
      </c>
      <c r="H6" s="11" t="n">
        <v>0</v>
      </c>
      <c r="I6" s="11" t="n">
        <v>0</v>
      </c>
      <c r="J6" s="11" t="n">
        <v>0</v>
      </c>
    </row>
    <row r="7">
      <c r="A7" s="11" t="inlineStr">
        <is>
          <t>E no multiplier</t>
        </is>
      </c>
      <c r="B7" s="11" t="n">
        <v>12</v>
      </c>
      <c r="C7" s="11" t="n">
        <v>60</v>
      </c>
      <c r="D7" s="11" t="n">
        <v>0</v>
      </c>
      <c r="E7" s="11" t="n">
        <v>0</v>
      </c>
      <c r="F7" s="11" t="n">
        <v>0</v>
      </c>
      <c r="G7" s="11" t="n">
        <v>2</v>
      </c>
      <c r="H7" s="11" t="n">
        <v>0</v>
      </c>
      <c r="I7" s="11" t="n">
        <v>0</v>
      </c>
      <c r="J7" s="11" t="n">
        <v>2</v>
      </c>
    </row>
    <row r="8">
      <c r="A8" s="11" t="inlineStr">
        <is>
          <t>F merged</t>
        </is>
      </c>
      <c r="B8" s="11" t="n">
        <v>6</v>
      </c>
      <c r="C8" s="11" t="n">
        <v>30</v>
      </c>
      <c r="D8" s="11" t="n">
        <v>0</v>
      </c>
      <c r="E8" s="11" t="n">
        <v>0</v>
      </c>
      <c r="F8" s="11" t="n">
        <v>0</v>
      </c>
      <c r="G8" s="11" t="n">
        <v>0</v>
      </c>
      <c r="H8" s="11" t="n">
        <v>0</v>
      </c>
      <c r="I8" s="11" t="n">
        <v>0</v>
      </c>
      <c r="J8" s="11" t="n">
        <v>0</v>
      </c>
    </row>
    <row r="9">
      <c r="A9" s="11" t="inlineStr">
        <is>
          <t>L landmark key passages</t>
        </is>
      </c>
      <c r="B9" s="11" t="n">
        <v>12</v>
      </c>
      <c r="C9" s="11" t="n">
        <v>20</v>
      </c>
      <c r="D9" s="11" t="n">
        <v>0</v>
      </c>
      <c r="E9" s="11" t="n">
        <v>0</v>
      </c>
      <c r="F9" s="11" t="n">
        <v>0</v>
      </c>
      <c r="G9" s="11" t="n">
        <v>0</v>
      </c>
      <c r="H9" s="11" t="n">
        <v>0</v>
      </c>
      <c r="I9" s="11" t="n">
        <v>0</v>
      </c>
      <c r="J9" s="11" t="n">
        <v>0</v>
      </c>
    </row>
    <row r="10">
      <c r="A10" s="11" t="inlineStr">
        <is>
          <t>M mine top 6</t>
        </is>
      </c>
      <c r="B10" s="11" t="n">
        <v>12</v>
      </c>
      <c r="C10" s="11" t="n">
        <v>72</v>
      </c>
      <c r="D10" s="11" t="n">
        <v>0</v>
      </c>
      <c r="E10" s="11" t="n">
        <v>0</v>
      </c>
      <c r="F10" s="11" t="n">
        <v>0</v>
      </c>
      <c r="G10" s="11" t="n">
        <v>1</v>
      </c>
      <c r="H10" s="11" t="n">
        <v>0</v>
      </c>
      <c r="I10" s="11" t="n">
        <v>0</v>
      </c>
      <c r="J10" s="11" t="n">
        <v>1</v>
      </c>
    </row>
    <row r="11">
      <c r="A11" s="11" t="inlineStr">
        <is>
          <t>S site shown</t>
        </is>
      </c>
      <c r="B11" s="11" t="n">
        <v>12</v>
      </c>
      <c r="C11" s="11" t="n">
        <v>64</v>
      </c>
      <c r="D11" s="11" t="n">
        <v>0</v>
      </c>
      <c r="E11" s="11" t="n">
        <v>0</v>
      </c>
      <c r="F11" s="11" t="n">
        <v>2</v>
      </c>
      <c r="G11" s="11" t="n">
        <v>2</v>
      </c>
      <c r="H11" s="11" t="n">
        <v>0</v>
      </c>
      <c r="I11" s="11" t="n">
        <v>0</v>
      </c>
      <c r="J11" s="11" t="n">
        <v>2</v>
      </c>
    </row>
    <row r="14">
      <c r="A14" s="14" t="inlineStr">
        <is>
          <t>Stale passages found</t>
        </is>
      </c>
    </row>
    <row r="15">
      <c r="A15" s="14" t="inlineStr">
        <is>
          <t>Question</t>
        </is>
      </c>
      <c r="B15" s="14" t="inlineStr">
        <is>
          <t>Passage</t>
        </is>
      </c>
      <c r="C15" s="14" t="inlineStr">
        <is>
          <t>Version</t>
        </is>
      </c>
      <c r="D15" s="14" t="inlineStr">
        <is>
          <t>Case</t>
        </is>
      </c>
      <c r="E15" s="14" t="inlineStr">
        <is>
          <t>Register action</t>
        </is>
      </c>
    </row>
    <row r="16">
      <c r="A16" s="15" t="inlineStr">
        <is>
          <t>Q09</t>
        </is>
      </c>
      <c r="B16" s="15" t="n">
        <v>3</v>
      </c>
      <c r="C16" s="15" t="inlineStr">
        <is>
          <t>A today</t>
        </is>
      </c>
      <c r="D16" s="15" t="inlineStr">
        <is>
          <t>Prabha Shankar Dubey v. State of M.P. (2003)</t>
        </is>
      </c>
      <c r="E16" s="15" t="inlineStr">
        <is>
          <t>none</t>
        </is>
      </c>
    </row>
    <row r="17">
      <c r="A17" s="15" t="inlineStr">
        <is>
          <t>Q09</t>
        </is>
      </c>
      <c r="B17" s="15" t="n">
        <v>3</v>
      </c>
      <c r="C17" s="15" t="inlineStr">
        <is>
          <t>E no multiplier</t>
        </is>
      </c>
      <c r="D17" s="15" t="inlineStr">
        <is>
          <t>Prabha Shankar Dubey v. State of M.P. (2003)</t>
        </is>
      </c>
      <c r="E17" s="15" t="inlineStr">
        <is>
          <t>none</t>
        </is>
      </c>
    </row>
    <row r="18">
      <c r="A18" s="15" t="inlineStr">
        <is>
          <t>Q10</t>
        </is>
      </c>
      <c r="B18" s="15" t="n">
        <v>3</v>
      </c>
      <c r="C18" s="15" t="inlineStr">
        <is>
          <t>E no multiplier</t>
        </is>
      </c>
      <c r="D18" s="15" t="inlineStr">
        <is>
          <t>Prabha Shankar Dubey v. State of M.P. (2003)</t>
        </is>
      </c>
      <c r="E18" s="15" t="inlineStr">
        <is>
          <t>none</t>
        </is>
      </c>
    </row>
    <row r="19">
      <c r="A19" s="15" t="inlineStr">
        <is>
          <t>Q09</t>
        </is>
      </c>
      <c r="B19" s="15" t="n">
        <v>3</v>
      </c>
      <c r="C19" s="15" t="inlineStr">
        <is>
          <t>M mine top 6</t>
        </is>
      </c>
      <c r="D19" s="15" t="inlineStr">
        <is>
          <t>Prabha Shankar Dubey v. State of M.P. (2003)</t>
        </is>
      </c>
      <c r="E19" s="15" t="inlineStr">
        <is>
          <t>none</t>
        </is>
      </c>
    </row>
    <row r="20">
      <c r="A20" s="15" t="inlineStr">
        <is>
          <t>Q08</t>
        </is>
      </c>
      <c r="B20" s="15" t="n">
        <v>11</v>
      </c>
      <c r="C20" s="15" t="inlineStr">
        <is>
          <t>S site shown</t>
        </is>
      </c>
      <c r="D20" s="15" t="inlineStr">
        <is>
          <t>Krishna Janardhan Bhat v. Dattatraya G. Hegde (2008)</t>
        </is>
      </c>
      <c r="E20" s="15" t="inlineStr">
        <is>
          <t>none</t>
        </is>
      </c>
    </row>
    <row r="21">
      <c r="A21" s="15" t="inlineStr">
        <is>
          <t>Q11</t>
        </is>
      </c>
      <c r="B21" s="15" t="n">
        <v>18</v>
      </c>
      <c r="C21" s="15" t="inlineStr">
        <is>
          <t>S site shown</t>
        </is>
      </c>
      <c r="D21" s="15" t="inlineStr">
        <is>
          <t>Krishna Janardhan Bhat v. Dattatraya G. Hegde (2008)</t>
        </is>
      </c>
      <c r="E21" s="15" t="inlineStr">
        <is>
          <t>none</t>
        </is>
      </c>
    </row>
  </sheetData>
  <autoFilter ref="A3:J11"/>
  <mergeCells count="1">
    <mergeCell ref="A1:H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44" customWidth="1" min="2" max="2"/>
    <col width="100" customWidth="1" min="3" max="3"/>
  </cols>
  <sheetData>
    <row r="1" ht="44" customHeight="1">
      <c r="A1" s="9" t="inlineStr">
        <is>
          <t>Cases Recourse relies on that the search over the big index cannot show, and why. Checked with spacing-insensitive title matching and neutral citations.</t>
        </is>
      </c>
    </row>
    <row r="3">
      <c r="A3" s="10" t="inlineStr">
        <is>
          <t>Case</t>
        </is>
      </c>
      <c r="B3" s="10" t="inlineStr">
        <is>
          <t>Why it matters</t>
        </is>
      </c>
      <c r="C3" s="10" t="inlineStr">
        <is>
          <t>Finding</t>
        </is>
      </c>
    </row>
    <row r="4">
      <c r="A4" s="2" t="inlineStr">
        <is>
          <t>Satender Kumar Antil v CBI, 2026 INSC 115 (15 Jan 2026)</t>
        </is>
      </c>
      <c r="B4" s="2" t="inlineStr">
        <is>
          <t>BNSS Section 35(3) notice; Recourse's current-code restatement of Arnesh Kumar</t>
        </is>
      </c>
      <c r="C4" s="2" t="inlineStr">
        <is>
          <t>not in the collection: 2026 INSC 114 and 116 are present, 115 is not. The collection holds 214 judgments dated 2026 (INSC numbers up to 847), so 2026 coverage is partial in general</t>
        </is>
      </c>
    </row>
    <row r="5">
      <c r="A5" s="2" t="inlineStr">
        <is>
          <t>Youth Bar Association of India v Union of India (2016) 9 SCC 473</t>
        </is>
      </c>
      <c r="B5" s="2" t="inlineStr">
        <is>
          <t>right to an FIR copy</t>
        </is>
      </c>
      <c r="C5" s="2" t="inlineStr">
        <is>
          <t>no title match in the collection</t>
        </is>
      </c>
    </row>
    <row r="6">
      <c r="A6" s="2" t="inlineStr">
        <is>
          <t>Usha Chakraborty v State of West Bengal (2023)</t>
        </is>
      </c>
      <c r="B6" s="2" t="inlineStr">
        <is>
          <t>quashing; Bhajan Lal categories</t>
        </is>
      </c>
      <c r="C6" s="2" t="inlineStr">
        <is>
          <t>no title match in the collection</t>
        </is>
      </c>
    </row>
    <row r="7">
      <c r="A7" s="2" t="inlineStr">
        <is>
          <t>Shreya Singhal v Union of India (2015); Hiral P. Harsora v Kusum Narottamdas Harsora (2016); Satish Chander Ahuja v Sneha Ahuja (2020); S. Vanitha v Deputy Commissioner (2020)</t>
        </is>
      </c>
      <c r="B7" s="2" t="inlineStr">
        <is>
          <t>IT Act 66A; domestic violence</t>
        </is>
      </c>
      <c r="C7" s="2" t="inlineStr">
        <is>
          <t>in the collection but left out of the index by its criminal-law filter ('not_criminal'), so a search cannot find them</t>
        </is>
      </c>
    </row>
    <row r="8">
      <c r="A8" s="2" t="inlineStr">
        <is>
          <t>Rakhi Mitra v State of West Bengal (Calcutta HC, 2025); Viraj Chetan Shah v Union of India (Bombay HC, 2024)</t>
        </is>
      </c>
      <c r="B8" s="2" t="inlineStr">
        <is>
          <t>consequence of arrest without notice; look-out circulars</t>
        </is>
      </c>
      <c r="C8" s="2" t="inlineStr">
        <is>
          <t>High Court judgments, outside a Supreme Court collection by design</t>
        </is>
      </c>
    </row>
    <row r="9">
      <c r="A9" s="2" t="inlineStr">
        <is>
          <t>Mohan Lal v State of Punjab (2018) 17 SCC 627</t>
        </is>
      </c>
      <c r="B9" s="2" t="inlineStr">
        <is>
          <t>overruled by Mukesh Singh (2020)</t>
        </is>
      </c>
      <c r="C9" s="2" t="inlineStr">
        <is>
          <t>NOT a gap: in the collection and the index as 'MOHANLAL versus THE STATE OF PUNJAB' (doc 1000250931). An earlier note said it was missing; that was an error.</t>
        </is>
      </c>
    </row>
  </sheetData>
  <autoFilter ref="A3:C9"/>
  <mergeCells count="1">
    <mergeCell ref="A1:C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10" customWidth="1" min="2" max="2"/>
    <col width="50" customWidth="1" min="3" max="3"/>
  </cols>
  <sheetData>
    <row r="1">
      <c r="A1" s="10" t="inlineStr">
        <is>
          <t>What</t>
        </is>
      </c>
      <c r="B1" s="10" t="inlineStr">
        <is>
          <t>Path</t>
        </is>
      </c>
      <c r="C1" s="10" t="inlineStr">
        <is>
          <t>Note</t>
        </is>
      </c>
    </row>
    <row r="2">
      <c r="A2" s="11" t="inlineStr">
        <is>
          <t>The register (1,765 rows)</t>
        </is>
      </c>
      <c r="B2" s="2" t="inlineStr">
        <is>
          <t>goodlaw/data/register/register.json</t>
        </is>
      </c>
      <c r="C2" s="2" t="inlineStr">
        <is>
          <t>the data; edited only by register-build and register-review</t>
        </is>
      </c>
    </row>
    <row r="3">
      <c r="A3" s="11" t="inlineStr">
        <is>
          <t>Checker flags</t>
        </is>
      </c>
      <c r="B3" s="2" t="inlineStr">
        <is>
          <t>goodlaw/data/register/flags.json</t>
        </is>
      </c>
      <c r="C3" s="2" t="inlineStr">
        <is>
          <t>2 open</t>
        </is>
      </c>
    </row>
    <row r="4">
      <c r="A4" s="11" t="inlineStr">
        <is>
          <t>Sweep proposals</t>
        </is>
      </c>
      <c r="B4" s="2" t="inlineStr">
        <is>
          <t>goodlaw/data/register/proposals.json</t>
        </is>
      </c>
      <c r="C4" s="2" t="inlineStr">
        <is>
          <t>329 (232 open)</t>
        </is>
      </c>
    </row>
    <row r="5">
      <c r="A5" s="11" t="inlineStr">
        <is>
          <t>Findings log</t>
        </is>
      </c>
      <c r="B5" s="2" t="inlineStr">
        <is>
          <t>goodlaw/data/register/findings.json</t>
        </is>
      </c>
      <c r="C5" s="2" t="inlineStr">
        <is>
          <t>source of the 'Findings' sheet</t>
        </is>
      </c>
    </row>
    <row r="6">
      <c r="A6" s="11" t="inlineStr">
        <is>
          <t>Description, rules, limits</t>
        </is>
      </c>
      <c r="B6" s="2" t="inlineStr">
        <is>
          <t>REGISTER.md</t>
        </is>
      </c>
      <c r="C6" s="2" t="inlineStr"/>
    </row>
    <row r="7">
      <c r="A7" s="11" t="inlineStr">
        <is>
          <t>Patch for the Recourse owner (not applied)</t>
        </is>
      </c>
      <c r="B7" s="2" t="inlineStr">
        <is>
          <t>REGISTER_SITE_PATCH.md</t>
        </is>
      </c>
      <c r="C7" s="2" t="inlineStr"/>
    </row>
    <row r="8">
      <c r="A8" s="11" t="inlineStr">
        <is>
          <t>Code</t>
        </is>
      </c>
      <c r="B8" s="2" t="inlineStr">
        <is>
          <t>goodlaw/register.py, register_build.py, register_guard.py, register_review.py, register_sweep.py, register_exam.py, register_xlsx.py</t>
        </is>
      </c>
      <c r="C8" s="2" t="inlineStr"/>
    </row>
    <row r="9">
      <c r="A9" s="11" t="inlineStr">
        <is>
          <t>Tests</t>
        </is>
      </c>
      <c r="B9" s="2" t="inlineStr">
        <is>
          <t>test_goodlaw_register.py</t>
        </is>
      </c>
      <c r="C9" s="2" t="inlineStr"/>
    </row>
    <row r="10">
      <c r="A10" s="11" t="inlineStr">
        <is>
          <t>Trap-question exam (not run)</t>
        </is>
      </c>
      <c r="B10" s="2" t="inlineStr">
        <is>
          <t>register_exam/</t>
        </is>
      </c>
      <c r="C10" s="2" t="inlineStr">
        <is>
          <t>50 questions and key</t>
        </is>
      </c>
    </row>
    <row r="11">
      <c r="A11" s="11" t="inlineStr">
        <is>
          <t>Post-2015 list: analysis</t>
        </is>
      </c>
      <c r="B11" s="2" t="inlineStr">
        <is>
          <t>external_lists/2026-10-07_overruled_after_2015_pdf/ (README.md, results.csv, other_candidates_not_on_the_list.csv)</t>
        </is>
      </c>
      <c r="C11" s="2" t="inlineStr"/>
    </row>
    <row r="12">
      <c r="A12" s="11" t="inlineStr">
        <is>
          <t>List 1: analysis</t>
        </is>
      </c>
      <c r="B12" s="2" t="inlineStr">
        <is>
          <t>external_lists/2026-10-07_overruled_cases_pdf/ (README.md, rows_parsed.csv, test_pairs.csv, checker_results_tuning_half.csv)</t>
        </is>
      </c>
      <c r="C12" s="2" t="inlineStr"/>
    </row>
    <row r="13">
      <c r="A13" s="11" t="inlineStr">
        <is>
          <t>Checker cards</t>
        </is>
      </c>
      <c r="B13" s="2" t="inlineStr">
        <is>
          <t>cards/ (currency_cards.json, REVIEW_SHEET.csv, MATCH_CHECK.csv, reports/)</t>
        </is>
      </c>
      <c r="C13" s="2" t="inlineStr"/>
    </row>
    <row r="14">
      <c r="A14" s="11" t="inlineStr">
        <is>
          <t>Currency pass</t>
        </is>
      </c>
      <c r="B14" s="2" t="inlineStr">
        <is>
          <t>review_tools/currency_pass.py; review_results/2026-10-08_currency_pass_first_pool/</t>
        </is>
      </c>
      <c r="C14" s="2" t="inlineStr"/>
    </row>
    <row r="15">
      <c r="A15" s="11" t="inlineStr">
        <is>
          <t>Weekly sheets</t>
        </is>
      </c>
      <c r="B15" s="2" t="inlineStr">
        <is>
          <t>register_review/YYYY-MM-DD/ on branch claude/sharp-euler-unyfv0</t>
        </is>
      </c>
      <c r="C15" s="2" t="inlineStr">
        <is>
          <t>written by the weekly routine</t>
        </is>
      </c>
    </row>
    <row r="16">
      <c r="A16" s="11" t="inlineStr">
        <is>
          <t>Weekly routine instructions</t>
        </is>
      </c>
      <c r="B16" s="2" t="inlineStr">
        <is>
          <t>REGISTER_ROUTINE_RUNBOOK.md</t>
        </is>
      </c>
      <c r="C16" s="2" t="inlineStr"/>
    </row>
    <row r="17">
      <c r="A17" s="11" t="inlineStr">
        <is>
          <t>This workbook</t>
        </is>
      </c>
      <c r="B17" s="2" t="inlineStr">
        <is>
          <t>register_review/2026-10-08/Overruled_Register_Full_Review.xlsx</t>
        </is>
      </c>
      <c r="C17" s="2" t="inlineStr">
        <is>
          <t>rebuild: python sci_goodlaw.py register-export-xlsx --out FILE.xlsx</t>
        </is>
      </c>
    </row>
    <row r="18">
      <c r="A18" s="11" t="inlineStr">
        <is>
          <t>Repository</t>
        </is>
      </c>
      <c r="B18" s="2" t="inlineStr">
        <is>
          <t>github.com/Tanbir-Ahm/recourse-sci-pool (private), branch claude/sharp-euler-unyfv0; not merged to main</t>
        </is>
      </c>
      <c r="C1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2026-10-08T07:40:56Z</dcterms:created>
  <dcterms:modified xmlns:dcterms="http://purl.org/dc/terms/" xmlns:xsi="http://www.w3.org/2001/XMLSchema-instance" xsi:type="dcterms:W3CDTF">2026-10-08T07:41:04Z</dcterms:modified>
</cp:coreProperties>
</file>