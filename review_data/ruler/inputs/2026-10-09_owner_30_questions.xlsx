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30 Questions" sheetId="1" state="visible" r:id="rId3"/>
    <sheet name="Legend &amp; Notes" sheetId="2" state="visible" r:id="rId4"/>
    <sheet name="Compliance Check" sheetId="3" state="visible" r:id="rId5"/>
    <sheet name="Currency Traps" sheetId="4" state="visible" r:id="rId6"/>
    <sheet name="To Verify" sheetId="5" state="visible" r:id="rId7"/>
    <sheet name="Sources" sheetId="6" state="visible" r:id="rId8"/>
  </sheets>
  <definedNames>
    <definedName function="false" hidden="false" localSheetId="0" name="_xlnm.Print_Titles" vbProcedure="false">'30 Questions'!$1:$1</definedName>
    <definedName function="false" hidden="true" localSheetId="0" name="_xlnm._FilterDatabase" vbProcedure="false">'30 Questions'!$A$1:$L$31</definedName>
    <definedName function="false" hidden="false" localSheetId="2" name="_xlnm.Print_Titles" vbProcedure="false">'Compliance Check'!$1:$1</definedName>
    <definedName function="false" hidden="false" localSheetId="3" name="_xlnm.Print_Titles" vbProcedure="false">'Currency Traps'!$1:$1</definedName>
    <definedName function="false" hidden="false" localSheetId="5" name="_xlnm.Print_Titles" vbProcedure="false">Sources!$1:$1</definedName>
    <definedName function="false" hidden="true" localSheetId="5" name="_xlnm._FilterDatabase" vbProcedure="false">Sources!$A$1:$D$121</definedName>
    <definedName function="false" hidden="false" localSheetId="4" name="_xlnm.Print_Titles" vbProcedure="false">'To Verify'!$1:$1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<sst xmlns="http://schemas.openxmlformats.org/spreadsheetml/2006/main" count="926" uniqueCount="638">
  <si>
    <t xml:space="preserve">Q#</t>
  </si>
  <si>
    <t xml:space="preserve">Domain</t>
  </si>
  <si>
    <t xml:space="preserve">Domain name</t>
  </si>
  <si>
    <t xml:space="preserve">Question text</t>
  </si>
  <si>
    <t xml:space="preserve">Phr</t>
  </si>
  <si>
    <t xml:space="preserve">Sec</t>
  </si>
  <si>
    <t xml:space="preserve">CT / Era</t>
  </si>
  <si>
    <t xml:space="preserve">Control type (K only)</t>
  </si>
  <si>
    <t xml:space="preserve">Expected answer</t>
  </si>
  <si>
    <t xml:space="preserve">Key authority (outdated → current) / Why it is a trap (K controls)</t>
  </si>
  <si>
    <t xml:space="preserve">Source URL(s)</t>
  </si>
  <si>
    <t xml:space="preserve">Conf</t>
  </si>
  <si>
    <t xml:space="preserve">Q1</t>
  </si>
  <si>
    <t xml:space="preserve">A</t>
  </si>
  <si>
    <t xml:space="preserve">A. Arrest and custody rights (3)</t>
  </si>
  <si>
    <t xml:space="preserve">"Police picked up my brother last night from Andheri after his car hit a scooter, they just said 'come with us' and took his phone, no paper nothing, my mother is crying since morning. Today they took him to magistrate for remand. The lawyer says it's fine but I read online they must give reasons?? Is this arrest even legal, can we get him out because they gave nothing in writing?"</t>
  </si>
  <si>
    <t xml:space="preserve">N</t>
  </si>
  <si>
    <t xml:space="preserve">NONE</t>
  </si>
  <si>
    <t xml:space="preserve">CT: Y / Era: Y</t>
  </si>
  <si>
    <t xml:space="preserve">—</t>
  </si>
  <si>
    <t xml:space="preserve">Grounds of arrest must be given in writing, in a language the arrestee understands, for every offence (IPC/BNS included), and at least 2 hours before production for remand. If not, the arrest and remand are illegal and he is entitled to release. Some High Courts apply this only to arrests made after 6 Nov 2025.</t>
  </si>
  <si>
    <t xml:space="preserve">Outdated: Pankaj Bansal (2023) and Prabir Purkayastha (2024) required written grounds only under PMLA/UAPA, and Vihaan Kumar (2025) treated writing as ideal rather than mandatory. Current: Mihir Rajesh Shah v. State of Maharashtra, SC, 6 Nov 2025, 2025 INSC 1288 (Gavai CJI, Masih J). A Delhi HC Division Bench in Karan Singh v. State (NCT of Delhi), 2026:DHC:570-DB (reported 28 Jan 2026), held the written-grounds mandate "operates prospectively", but a later Delhi HC NDPS ruling rejected the prospective-only argument, so the Delhi HC is itself split.</t>
  </si>
  <si>
    <t xml:space="preserve">https://indiankanoon.org/doc/75521991/
https://www.livelaw.in/pdf_upload/2025-livelaw-sc-1066-mihir-rajesh-shah-v-state-of-maharashtra-6-nov-2025-632170.pdf
https://www.livelaw.in/high-court/delhi-high-court/delhi-high-court-supreme-court-mihir-rajesh-shah-ruling-written-grounds-arrest-prospectively-520838</t>
  </si>
  <si>
    <t xml:space="preserve">[L]</t>
  </si>
  <si>
    <t xml:space="preserve">Q2</t>
  </si>
  <si>
    <t xml:space="preserve">"Police sent me a notice on WhatsApp under section 35 BNSS to come to the station tomorrow in a cheating case. Is a WhatsApp notice valid? Can they arrest me if I don't go?"</t>
  </si>
  <si>
    <t xml:space="preserve">E</t>
  </si>
  <si>
    <t xml:space="preserve">NEW</t>
  </si>
  <si>
    <t xml:space="preserve">CT: N / Era: Y</t>
  </si>
  <si>
    <t xml:space="preserve">No. A s.35 BNSS (old s.41A CrPC) notice must be served in a mode the statute prescribes; WhatsApp or email service is invalid. For offences punishable up to 7 years, a notice is the rule and arrest the exception. Arrest for non-compliance needs a validly served notice and recorded reasons.</t>
  </si>
  <si>
    <t xml:space="preserve">Satender Kumar Antil v. CBI, SC, 2025 INSC 909 (Sundresh &amp; Kotiswar Singh JJ), upholding the 21 Jan 2025 order. Satender Kumar Antil v. CBI (2022) 10 SCC 51. Arnesh Kumar v. State of Bihar (2014) 8 SCC 273. BNSS s.35 = CrPC s.41A.</t>
  </si>
  <si>
    <t xml:space="preserve">https://www.verdictum.in/court-updates/supreme-court/satender-kumar-antil-v-central-bureau-of-investigation-2025-insc-909-electronic-communication-service-of-notice-section-35-bnss-whatsapp-1586826
https://www.livelaw.in/high-court/karnataka-high-court/karnataka-high-court-appearance-notice-served-physically-whatsapp-email-section35-bnss-528956</t>
  </si>
  <si>
    <t xml:space="preserve">[C]</t>
  </si>
  <si>
    <t xml:space="preserve">Q3</t>
  </si>
  <si>
    <t xml:space="preserve">"What are the mandatory obligations of the arresting officer under Sections 41B, 41D and 50A CrPC, and what are the consequences of non-compliance in light of the D.K. Basu requirements?"</t>
  </si>
  <si>
    <t xml:space="preserve">L</t>
  </si>
  <si>
    <t xml:space="preserve">OLD</t>
  </si>
  <si>
    <t xml:space="preserve">CT: N / Era: N</t>
  </si>
  <si>
    <t xml:space="preserve">The officer must prepare an arrest memo attested by a witness and countersigned by the arrestee, inform a relative or friend, and let the arrestee meet an advocate during (not throughout) interrogation. Breach exposes officers to departmental action and contempt, and the State to public-law compensation. The BNSS equivalents are ss.36, 38 and 48.</t>
  </si>
  <si>
    <t xml:space="preserve">D.K. Basu v. State of West Bengal (1997) 1 SCC 416. CrPC ss.41B/41D/50A = BNSS ss.36/38/48.</t>
  </si>
  <si>
    <t xml:space="preserve">indiankanoon.org (search "D.K. Basu v. State of West Bengal"; URL not retrieved this pass)</t>
  </si>
  <si>
    <t xml:space="preserve">Q4</t>
  </si>
  <si>
    <t xml:space="preserve">B</t>
  </si>
  <si>
    <t xml:space="preserve">B. Bail: regular, anticipatory, default (3)</t>
  </si>
  <si>
    <t xml:space="preserve">"Whether an order of anticipatory bail under Section 438 CrPC must necessarily be limited in time or until the filing of the charge-sheet, or whether it may continue till the end of trial."</t>
  </si>
  <si>
    <t xml:space="preserve">No fixed time limit is needed. Protection ordinarily lasts until the end of trial unless the court restricts it for case-specific reasons. Section 438 CrPC is now s.482 BNSS.</t>
  </si>
  <si>
    <t xml:space="preserve">Outdated: Salauddin Abdulsamad Shaikh v. State of Maharashtra (1996) 1 SCC 667 (time-limited protection). Current: Sushila Aggarwal v. State (NCT of Delhi), SC Constitution Bench, 29 Jan 2020, (2020) 5 SCC 1, 2020 INSC 106.</t>
  </si>
  <si>
    <t xml:space="preserve">https://indiankanoon.org/search/?formInput=cites%3A79537784</t>
  </si>
  <si>
    <t xml:space="preserve">Q5</t>
  </si>
  <si>
    <t xml:space="preserve">"my father is in jail since 88 days in a CBI bank fraud case. CBI filed chargesheet on day 87 but says investigation against 'other accused' is still going on and they didn't even give us copy of chargesheet yet. Our lawyer is saying we can get default bail under section 187 BNSS because chargesheet is incomplete, citing some Ritu Chhabaria case. Someone else told me that case was stopped by Supreme Court. Please tell what is the actual position, we are very confused."</t>
  </si>
  <si>
    <t xml:space="preserve">Probably not. Default bail under s.187(3) BNSS (old s.167(2) CrPC) is lost once a charge-sheet in proper form is filed within 60/90 days. Pending further investigation against other accused does not revive it, and neither does failure to supply copies. Ritu Chhabaria's "incomplete charge-sheet" reasoning was put on hold in 2023; the CBI's review was dismissed in Aug 2025, but its practical reach is narrow.</t>
  </si>
  <si>
    <t xml:space="preserve">Outdated or contested: Ritu Chhabaria v. Union of India (SC, 26 Apr 2023), deferred by order of 1 May 2023 and clarified 12 May 2023. Current: CBI v. Kapil Wadhawan, 24 Jan 2024, (2024) 3 SCC 734, 2024 INSC 58. Shaurya Sunil Kumar Singh v. CBI, 1 Jul 2026, 2026 INSC 666 (non-supply of copies under s.193(8) BNSS is no ground).</t>
  </si>
  <si>
    <t xml:space="preserve">https://www.livelaw.in/top-stories/supreme-court-dismisses-cbis-review-petition-against-ritu-chhabaria-judgment-that-incomplete-chargesheet-wont-defeat-default-bail-300281
https://www.scconline.com/blog/post/2024/01/31/dhfl-fraud-case-accused-cannot-claim-statutory-right-default-bail-investigation-qua-other-accused-was-pending/
https://www.livelaw.in/supreme-court/s-1873-bnss-non-supply-of-charge-sheet-to-accused-not-ground-for-default-bail-supreme-court-539456</t>
  </si>
  <si>
    <t xml:space="preserve">Q6</t>
  </si>
  <si>
    <t xml:space="preserve">"My nephew is first time accused in a 2023 theft case, he's been in jail as undertrial for over a year. Does the new section 479 BNSS one-third rule help him even though the FIR was before the new law?"</t>
  </si>
  <si>
    <t xml:space="preserve">Yes. A first-time offender who has served one-third of the maximum sentence as an undertrial must be released on bond under s.479 BNSS; for theft (IPC 379, up to 3 years) that is 12 months. The Supreme Court held s.479 applies to undertrials whose cases were registered before 1 July 2024. It does not apply to offences punishable with death or life imprisonment.</t>
  </si>
  <si>
    <t xml:space="preserve">In Re: Inhuman Conditions in 1382 Prisons, W.P.(C) 406/2013, SC order of 23 Aug 2024 (Hima Kohli &amp; Sandeep Mehta JJ), 2024 LiveLaw (SC) 632. BNSS s.479 replaces CrPC s.436A (one-half rule).</t>
  </si>
  <si>
    <t xml:space="preserve">https://api.sci.gov.in/supremecourt/2013/18545/18545_2013_9_2_55018_Order_23-Aug-2024.pdf</t>
  </si>
  <si>
    <t xml:space="preserve">Q7</t>
  </si>
  <si>
    <t xml:space="preserve">C</t>
  </si>
  <si>
    <t xml:space="preserve">C. Cheque bounce (NI Act s.138) (3)</t>
  </si>
  <si>
    <t xml:space="preserve">"I gave my old friend 6 lakhs cash for his shop, he gave cheque, it bounced, case going on in Margao court for four years now. Now suddenly he is ready to pay the cheque amount but my lawyer says he will have to pay 10% or 15% extra to settle as per some 2010 Supreme Court rules. His evidence is not recorded yet. How much extra does he actually have to pay, and can court close it even if I want to punish him?"</t>
  </si>
  <si>
    <t xml:space="preserve">Under the 2025 guidelines, payment before defence evidence allows compounding with no cost. After defence evidence but before judgment the cost is 5%; in appeal or revision before the Sessions Court or High Court it is 7.5%; before the Supreme Court it is 10%. The court may suggest compounding. If the complainant resists, it can consider probation-type relief.</t>
  </si>
  <si>
    <t xml:space="preserve">Outdated: Damodar S. Prabhu v. Sayed Babalal H. (2010) 5 SCC 663 (10/15/20% costs). Current: Sanjabij Tari v. Kishore S. Borcar, SC, 25 Sep 2025, 2025 INSC 1158 (Manmohan &amp; N.V. Anjaria JJ).</t>
  </si>
  <si>
    <t xml:space="preserve">https://www.verdictum.in/court-updates/supreme-court/sanjabij-tari-v-kishore-sborcar-2025-insc-1158-summons-accused-payment-cheque-amount-initial-stage-sec138-ni-act-1592654
https://www.verdictum.in/bombay-high-court/cambium-boitech-private-ltd-v-the-state-of-maharashtra-913-crwp-4815-2025-1616479</t>
  </si>
  <si>
    <t xml:space="preserve">Q8</t>
  </si>
  <si>
    <t xml:space="preserve">"In my cheque bounce case the magistrate ordered me to pay 20% interim compensation on the very first date. Is that compulsory?"</t>
  </si>
  <si>
    <t xml:space="preserve">No. Interim compensation under s.143A(1) NI Act is discretionary. The court must first find a prima facie case, weigh how plausible the defence is and the accused's financial position, and record brief reasons. The cap is 20%.</t>
  </si>
  <si>
    <t xml:space="preserve">Rakesh Ranjan Shrivastava v. State of Jharkhand, SC, 15 Mar 2024, 2024 INSC 205.</t>
  </si>
  <si>
    <t xml:space="preserve">https://www.verdictum.in/court-updates/high-courts/rakesh-ranjan-shrivastava-v-state-of-jharkhand-2024-insc-205-section-143a-negotiable-instruments-act-discretionary-not-mandatory-1525808</t>
  </si>
  <si>
    <t xml:space="preserve">Q9</t>
  </si>
  <si>
    <t xml:space="preserve">"Where the payee presents a dishonoured cheque through his account at the branch of his bank in Delhi, though the cheque is drawn on a Kolkata bank, which court has territorial jurisdiction to try the complaint?"</t>
  </si>
  <si>
    <t xml:space="preserve">CT: Y / Era: N</t>
  </si>
  <si>
    <t xml:space="preserve">The Delhi court has jurisdiction. Under s.142(2)(a) NI Act, as amended in 2015, a cheque delivered for collection through an account is triable where the payee's branch is located.</t>
  </si>
  <si>
    <t xml:space="preserve">Outdated: Dashrath Rupsingh Rathod v. State of Maharashtra (2014) 9 SCC 129 (drawee bank's location only). Current: Negotiable Instruments (Amendment) Act, 2015; Bridgestone India Pvt Ltd v. Inderpal Singh, SC, 24 Nov 2015, (2016) 2 SCC 75.</t>
  </si>
  <si>
    <t xml:space="preserve">https://lextechsuite.com/Ms-Bridgestone-India-Pvt-Ltd-Versus-Inderpal-Singh-2015-11-24 (non-preferred portal; verify on indiankanoon)</t>
  </si>
  <si>
    <t xml:space="preserve">Q10</t>
  </si>
  <si>
    <t xml:space="preserve">D</t>
  </si>
  <si>
    <t xml:space="preserve">D. NDPS (2)</t>
  </si>
  <si>
    <t xml:space="preserve">"Whether a prosecution under the NDPS Act stands vitiated merely because the informant/complainant police officer also conducted the investigation."</t>
  </si>
  <si>
    <t xml:space="preserve">No automatic vitiation. Bias must be decided on the facts of each case. Mohan Lal was overruled, and the protection it gave survives only for cases already decided under it.</t>
  </si>
  <si>
    <t xml:space="preserve">Outdated: Mohan Lal v. State of Punjab, 16 Aug 2018, (2018) 17 SCC 627. Current: Mukesh Singh v. State (Narcotic Branch of Delhi), Constitution Bench, 31 Aug 2020, (2020) 10 SCC 120, 2020 INSC 524.</t>
  </si>
  <si>
    <t xml:space="preserve">https://api.sci.gov.in/supremecourt/2018/39528/39528_2018_33_1502_23731_Judgement_31-Aug-2020.pdf
https://narcoticsindia.nic.in/Judgments/Mohan_Lal_vs_The_State_Of_Punjab_on_16_August_2018.pdf</t>
  </si>
  <si>
    <t xml:space="preserve">Q11</t>
  </si>
  <si>
    <t xml:space="preserve">"NCB made my cousin sign a statement in their office saying the ganja was his. Can they use that as his confession in court?"</t>
  </si>
  <si>
    <t xml:space="preserve">No. NCB officers investigating under the NDPS Act are "police officers" for s.25 of the Evidence Act (now s.23 BSA). A statement recorded under s.67 NDPS is inadmissible as a confession.</t>
  </si>
  <si>
    <t xml:space="preserve">Outdated: Kanhaiyalal v. Union of India (2008) 4 SCC 668 and Raj Kumar Karwal (1990), which treated these as admissible. Current: Tofan Singh v. State of Tamil Nadu, SC (2:1), (2021) 4 SCC 1, 2020 INSC 620.</t>
  </si>
  <si>
    <t xml:space="preserve">https://delhihighcourt.nic.in/app/showFileJudgment/NBK04112025BA38012025_155725.txt (HC applying Tofan Singh)</t>
  </si>
  <si>
    <t xml:space="preserve">Q12</t>
  </si>
  <si>
    <t xml:space="preserve">E. FIR quashing: civil dispute dressed up as crime (3)</t>
  </si>
  <si>
    <t xml:space="preserve">"We had oral deal to sell our godown in Kanpur, buyer paid part only and then stopped, after one year we sold to someone else. Now the buyer's wife filed FIR under 420 and 406 IPC and even 354 against my mother!! Police filed chargesheet also. Magistrate earlier itself said it was civil matter. We never cheated anyone, it was their default. Can High Court quash this, and how long will this harassment go on?"</t>
  </si>
  <si>
    <t xml:space="preserve">Yes, it can be quashed. A breach of contract is not cheating unless there was dishonest intent at the very start, and criminal breach of trust needs entrustment. Where an FIR only dresses up a civil default, it and the charge-sheet can be quashed under s.482 CrPC (now s.528 BNSS). The Supreme Court imposed ₹50,000 costs on the State in a near-identical case.</t>
  </si>
  <si>
    <t xml:space="preserve">Rikhab Birani v. State of U.P., SC, 16 Apr 2025, 2025 INSC 512 (Khanna CJI, Sanjay Kumar J).</t>
  </si>
  <si>
    <t xml:space="preserve">https://api.sci.gov.in/supremecourt/2024/27905/27905_2024_1_15_61045_Judgement_16-Apr-2025.pdf</t>
  </si>
  <si>
    <t xml:space="preserve">Q13</t>
  </si>
  <si>
    <t xml:space="preserve">"Parameters governing the exercise of inherent jurisdiction under Section 528 BNSS to quash non-compoundable offences on the basis of a settlement in a predominantly commercial dispute."</t>
  </si>
  <si>
    <t xml:space="preserve">The High Court may quash on settlement where the dispute is mainly civil, commercial or private and continuing would be futile. It should not do so for heinous offences or offences against society, such as serious economic fraud or sexual offences.</t>
  </si>
  <si>
    <t xml:space="preserve">Parbatbhai Aahir v. State of Gujarat, SC 3-judge bench, 4 Oct 2017, (2017) 9 SCC 641. State of Haryana v. Bhajan Lal, 1992 Supp (1) SCC 335. BNSS s.528 = CrPC s.482.</t>
  </si>
  <si>
    <t xml:space="preserve">https://indiankanoon.org/search/?formInput=citedby%3A7293093</t>
  </si>
  <si>
    <t xml:space="preserve">Q14</t>
  </si>
  <si>
    <t xml:space="preserve">"My business partner filed a cheating FIR against me because I couldn't return the money he invested after the business made a loss. Can this FIR be cancelled?"</t>
  </si>
  <si>
    <t xml:space="preserve">Usually yes, if the FIR shows only failure to repay or a business loss without dishonest intent at the start. Courts deprecate using criminal law as a recovery tool, and the remedy lies in civil or arbitration proceedings.</t>
  </si>
  <si>
    <t xml:space="preserve">Indian Oil Corp. v. NEPC India Ltd (2006) 6 SCC 736. Rikhab Birani v. State of U.P., 2025 INSC 512.</t>
  </si>
  <si>
    <t xml:space="preserve">Q15</t>
  </si>
  <si>
    <t xml:space="preserve">F</t>
  </si>
  <si>
    <t xml:space="preserve">F. Marriage-related: 498A / BNS 85-86, dowry, abetment of suicide, domestic violence (3)</t>
  </si>
  <si>
    <t xml:space="preserve">"My daughter-in-law left our house in Meerut in March 2025 and now filed case under section 85 and 86 BNS against my son, me, my husband and even my married daughter in Pune. I am 64 with sugar problem. Neighbours say police will come and arrest all of us. I read there is family welfare committee and 2 month no-arrest rule?? Is that true or was it cancelled? We never asked for any dowry."</t>
  </si>
  <si>
    <t xml:space="preserve">Arrest is governed by s.35 BNSS and Arnesh Kumar: for offences up to 7 years, notice first and no automatic arrest. Social Action Forum (2018) withdrew Rajesh Sharma's Family Welfare Committee directions. In July 2025, however, a two-judge bench in Shivangi Bansal directed the Allahabad HC's FWC guidelines, with a 2-month cooling period and no arrest, to be implemented. That ruling does not reconcile with the larger bench, so the position is unsettled. Distant relatives can seek quashing of omnibus allegations.</t>
  </si>
  <si>
    <t xml:space="preserve">Rajesh Sharma v. State of U.P. (2017) 10 SCC 472 → Social Action Forum for Manav Adhikar v. Union of India, 14 Sep 2018, (2018) 10 SCC 443 (3-judge) → Shivangi Bansal v. Sahib Bansal, SC, 22 Jul 2025, 2025 INSC 883. BNS 85/86 = IPC 498A.</t>
  </si>
  <si>
    <t xml:space="preserve">https://indiankanoon.org/doc/81618143/
https://drishtijudiciary.com/current-affairs/no-arrest-in-498a-firs-in-2-months
https://legalmaestros.com/column/guidelines-gaps-and-going-in-circles-supreme-courts-contradictions-on-498a-safeguards/</t>
  </si>
  <si>
    <t xml:space="preserve">Q16</t>
  </si>
  <si>
    <t xml:space="preserve">"My husband threw me out of the house three years ago. Is it too late to file a domestic violence case now?"</t>
  </si>
  <si>
    <t xml:space="preserve">Not too late. The one-year limit in s.468 CrPC (s.514 BNSS) does not apply to an application under s.12 of the DV Act. Limitation runs only for the offence of breaching a protection order (s.31).</t>
  </si>
  <si>
    <t xml:space="preserve">Kamatchi v. Lakshmi Narayanan, SC, 13 Apr 2022, 2022 INSC 421, (2022) 15 SCC 50.</t>
  </si>
  <si>
    <t xml:space="preserve">https://indiankanoon.org/doc/147915185/</t>
  </si>
  <si>
    <t xml:space="preserve">Q17</t>
  </si>
  <si>
    <t xml:space="preserve">"What are the essential ingredients to sustain a charge under Section 306 IPC, and does persistent matrimonial harassment without a proximate act of instigation suffice?"</t>
  </si>
  <si>
    <t xml:space="preserve">The prosecution must prove direct or indirect incitement, an intention to drive the deceased to suicide, and a proximate positive act. Harassment alone, without a live link to the suicide, is not enough. IPC 306 is now BNS 108.</t>
  </si>
  <si>
    <t xml:space="preserve">Ude Singh v. State of Haryana, 25 Jul 2019, (2019) 17 SCC 301. Kumar @ Shiva Kumar v. State of Karnataka, SC, 1 Mar 2024, 2024 INSC 156, [2024] 3 SCR 329 (opinion by Bhuyan J): harassment allegations without "any positive action proximate to the time of occurrence" cannot sustain a s.306 IPC conviction.</t>
  </si>
  <si>
    <t xml:space="preserve">https://indiankanoon.org/doc/89699186/
https://digiscr.sci.gov.in/html_view?dir=YWRtaW4vanVkZ2VtZW50X2ZpbGUvZWJvb2tzLzIwMjQvdm9sdW1lIDMvUGFydCBJSS8yMDI0MzMyOTM1NTE3MTE5NDc5MzUuaHRtbA%3D%3D&amp;judgment_id=MzcyMjQ%3D</t>
  </si>
  <si>
    <t xml:space="preserve">Q18</t>
  </si>
  <si>
    <t xml:space="preserve">G</t>
  </si>
  <si>
    <t xml:space="preserve">G. Sexual offences and POCSO (3)</t>
  </si>
  <si>
    <t xml:space="preserve">"A man touched my 12-year-old daughter's chest over her clothes. Someone said it's not POCSO because there was no skin contact. Is that right?"</t>
  </si>
  <si>
    <t xml:space="preserve">Wrong. Sexual assault under s.7 POCSO turns on sexual intent, not skin-to-skin contact. Touching over clothes is covered.</t>
  </si>
  <si>
    <t xml:space="preserve">Outdated: Bombay HC (Nagpur Bench), Satish Ragde, Jan 2021 (skin-to-skin test). Current: Attorney General for India v. Satish, SC, 18 Nov 2021, 2021 INSC 762 (also 2021 SCC OnLine SC 980; AIR 2022 SC 13).</t>
  </si>
  <si>
    <t xml:space="preserve">https://indiankanoon.org/doc/123392914/</t>
  </si>
  <si>
    <t xml:space="preserve">Q19</t>
  </si>
  <si>
    <t xml:space="preserve">"My daughter is 16, her teacher misbehaved with her in school and touched her wrongly, we filed police case. Now the whole village and the school trust is pressuring my husband, he signed some compromise paper, and the teacher's people say High Court will cancel the FIR because of compromise. I don't want to compromise, my daughter is scared to go to school. Can they really close the case like this?"</t>
  </si>
  <si>
    <t xml:space="preserve">No. POCSO sexual assault is an offence against society, not a private dispute, so a compromise between the accused and the victim's parent is no ground to quash the FIR or stop the investigation. A third party can even challenge such a quashing.</t>
  </si>
  <si>
    <t xml:space="preserve">Ramji Lal Bairwa v. State of Rajasthan, SC, 7 Nov 2024, 2024 INSC 846 (C.T. Ravikumar &amp; Sanjay Kumar JJ).</t>
  </si>
  <si>
    <t xml:space="preserve">https://www.verdictum.in/court-updates/supreme-court/ramji-lal-bairwa-v-state-of-rajasthan-2024-insc-846-sexual-assault-compromise-between-parties-1557273</t>
  </si>
  <si>
    <t xml:space="preserve">Q20</t>
  </si>
  <si>
    <t xml:space="preserve">"Whether consensual sexual relations on a promise of marriage that was later broken constitute rape, and how Section 69 BNS alters the position for conduct after 1 July 2024."</t>
  </si>
  <si>
    <t xml:space="preserve">For pre-July 2024 conduct under IPC 375/376, consent is vitiated only if the promise was false from the start and directly influenced the decision; breaking a genuine promise is not rape. For conduct from 1 July 2024, BNS s.69 creates a separate offence of intercourse by deceitful means, including a false promise to marry made without intent to fulfil it (up to 10 years).</t>
  </si>
  <si>
    <t xml:space="preserve">Pramod Suryabhan Pawar v. State of Maharashtra, SC, 21 Aug 2019, (2019) 9 SCC 608. BNS s.69 (India Code).</t>
  </si>
  <si>
    <t xml:space="preserve">https://www.scconline.com/blog/post/tag/breach-of-promise-to-marry/</t>
  </si>
  <si>
    <t xml:space="preserve">Q21</t>
  </si>
  <si>
    <t xml:space="preserve">H</t>
  </si>
  <si>
    <t xml:space="preserve">H. Violent crime: murder, hurt, evidence, sentencing (3)</t>
  </si>
  <si>
    <t xml:space="preserve">"Whether a certificate under Section 63 BSA (formerly Section 65B Evidence Act) is a mandatory condition for admissibility of CCTV footage where the original device is not produced."</t>
  </si>
  <si>
    <t xml:space="preserve">Yes, it is mandatory for secondary electronic evidence. It can be dispensed with only if the original device itself is produced. BSA s.63 now requires a Schedule certificate.</t>
  </si>
  <si>
    <t xml:space="preserve">Outdated: Shafhi Mohammad v. State of H.P. (2018) 2 SCC 801. Current: Arjun Panditrao Khotkar v. Kailash Kushanrao Gorantyal, SC 3-judge, 14 Jul 2020, (2020) 7 SCC 1, 2020 INSC 453.</t>
  </si>
  <si>
    <t xml:space="preserve">https://digiscr.sci.gov.in/view_judgment?id=MTA2MjI%3D</t>
  </si>
  <si>
    <t xml:space="preserve">Q22</t>
  </si>
  <si>
    <t xml:space="preserve">"My younger brother was convicted under 302 IPC for killing two people in 2019 village land fight and the sessions court gave death sentence in 10 days after conviction, the judge didn't even ask about his background, he has a small child, he was never in trouble before, works in the jail bakery now. We are poor, the legal aid lawyer barely met him. Can the High Court change it to life? What can we show?"</t>
  </si>
  <si>
    <t xml:space="preserve">Possibly. The sentencing court must actively collect mitigating material before imposing death: a psychological or psychiatric evaluation, a jail conduct report and a probation or background report. A rushed sentencing hearing without this is a ground for commutation or remand. The "rarest of rare" test from Bachan Singh still governs. IPC 302 is now BNS 103.</t>
  </si>
  <si>
    <t xml:space="preserve">Bachan Singh v. State of Punjab (1980) 2 SCC 684. Manoj v. State of M.P., SC, 20 May 2022, (2023) 2 SCC 353, 2022 INSC 606.</t>
  </si>
  <si>
    <t xml:space="preserve">https://indiankanoon.org/doc/182334419/</t>
  </si>
  <si>
    <t xml:space="preserve">Q23</t>
  </si>
  <si>
    <t xml:space="preserve">"In a parking fight my neighbour hit a man once on the head with a stick and he died in hospital. Will this be murder?"</t>
  </si>
  <si>
    <t xml:space="preserve">It depends on intention and the circumstances. A single blow in a sudden fight without premeditation or cruelty may fall under Exception 4 to s.300 IPC, making it culpable homicide not amounting to murder (s.304 IPC; BNS ss.101/105). The weapon, the body part struck and the force used are key.</t>
  </si>
  <si>
    <t xml:space="preserve">Pulicherla Nagaraju v. State of A.P. (2006) 11 SCC 444. IPC 300/302/304 = BNS 101/103/105.</t>
  </si>
  <si>
    <t xml:space="preserve">https://indiankanoon.org/doc/1173740/ (Pulicherla Nagaraju @ Nagaraja Reddy v. State of A.P., SC, 18 Aug 2006, Crl. Appeal 945/2004, G.P. Mathur &amp; R.V. Raveendran JJ)</t>
  </si>
  <si>
    <t xml:space="preserve">Q24</t>
  </si>
  <si>
    <t xml:space="preserve">I</t>
  </si>
  <si>
    <t xml:space="preserve">I. PMLA, UAPA, SC/ST Act, corruption: arrest and bail (2)</t>
  </si>
  <si>
    <t xml:space="preserve">"ED questioned my father 4 times in 2023 but never arrested him. Now the special court has taken cognizance of their complaint and sent summons. Our CA says the moment he walks into court ED will arrest him and he'll need to pass those impossible twin conditions for bail that Supreme Court upheld in 2022. Should he just not go? We are terrified."</t>
  </si>
  <si>
    <t xml:space="preserve">He should appear. Once the Special Court takes cognizance of a s.44(1)(b) PMLA complaint, the ED cannot arrest under s.19. An accused appearing on summons is not in custody and may furnish a bond under s.88 CrPC (s.91 BNSS), so the twin conditions do not apply. The ED must seek custody from the court.</t>
  </si>
  <si>
    <t xml:space="preserve">Outdated (read alone): Vijay Madanlal Choudhary v. Union of India (SC 2022; review pending, bench reconstituted 20 Aug 2026). Current: Tarsem Lal v. Directorate of Enforcement, SC, 16 May 2024, 2024 INSC 434. Pankaj Bansal v. Union of India, 3 Oct 2023, (2024) 7 SCC 576, 2023 INSC 866 (written grounds).</t>
  </si>
  <si>
    <t xml:space="preserve">https://indiankanoon.org/doc/155382593/
https://indiankanoon.org/doc/189692408/
https://indialegallive.com/cover-story-articles/il-feature-news/pmla-review-supreme-court-constitution-bench-vijay-madanlal-choudhary-ruling/</t>
  </si>
  <si>
    <t xml:space="preserve">Q25</t>
  </si>
  <si>
    <t xml:space="preserve">"Whether anticipatory bail under Section 438 CrPC is maintainable in a case under the SC/ST (Prevention of Atrocities) Act, and whether a preliminary enquiry or approval is required before arrest."</t>
  </si>
  <si>
    <t xml:space="preserve">Section 18 bars anticipatory bail, and s.18A (2018 amendment) removes the preliminary enquiry and approval requirements. Courts may still grant anticipatory bail, or quash, where the complaint discloses no prima facie case. Mahajan's directions were recalled on review.</t>
  </si>
  <si>
    <t xml:space="preserve">Outdated: Subhash Kashinath Mahajan v. State of Maharashtra (2018) 6 SCC 454. Current: Union of India v. State of Maharashtra (review), 1 Oct 2019, (2020) 4 SCC 761. Prathvi Raj Chauhan v. Union of India, 10 Feb 2020, (2020) 4 SCC 727, 2020 INSC 157.</t>
  </si>
  <si>
    <t xml:space="preserve">https://indiankanoon.org/doc/90225896/
https://api.sci.gov.in/supremecourt/2018/31176/31176_2018_3_1501_20551_Judgement_10-Feb-2020.pdf</t>
  </si>
  <si>
    <t xml:space="preserve">Q26</t>
  </si>
  <si>
    <t xml:space="preserve">J</t>
  </si>
  <si>
    <t xml:space="preserve">J. After conviction: appeal, suspension, remission (2)</t>
  </si>
  <si>
    <t xml:space="preserve">"Standard for suspension of a sentence of life imprisonment pending appeal under Section 430 BNSS, and whether the appellate court may re-appreciate evidence at that stage."</t>
  </si>
  <si>
    <t xml:space="preserve">For life sentences, suspension needs something palpable or gross on the face of the record that makes a fair chance of acquittal likely. The court cannot re-appreciate evidence as if hearing the appeal. Fixed-term sentences are suspended more liberally. BNSS s.430 = CrPC s.389.</t>
  </si>
  <si>
    <t xml:space="preserve">Omprakash Sahni v. Jai Shankar Chaudhary, SC, 2 May 2023 (2023 LiveLaw (SC) 389). Bhagwan Rama Shinde Gosai v. State of Gujarat (1999) 4 SCC 421.</t>
  </si>
  <si>
    <t xml:space="preserve">https://indiankanoon.org/doc/109930655/</t>
  </si>
  <si>
    <t xml:space="preserve">Q27</t>
  </si>
  <si>
    <t xml:space="preserve">"My uncle has done 16 years in Lucknow jail on a life sentence, his jail conduct is very good, he made furniture, other prisoners with less time already got out. Jail people told him he must give an application himself for remission but he doesn't know how and we live in Bihar and can't come often. Is it true that without application nothing will happen? Who has to start the process?"</t>
  </si>
  <si>
    <t xml:space="preserve">No. Where a State has a remission policy, the government must consider every convict once eligible, with no application needed. Orders must give reasons and be communicated, and conditions must be reasonable. States without a policy were directed to frame one within two months.</t>
  </si>
  <si>
    <t xml:space="preserve">Outdated: Sangeet v. State of Haryana (2013) 2 SCC 452 (application needed). Current: In Re: Policy Strategy for Grant of Bail, SC, 18 Feb 2025, 2025 INSC 239 (Oka &amp; Bhuyan JJ). CrPC s.432 = BNSS s.473.</t>
  </si>
  <si>
    <t xml:space="preserve">https://www.livelaw.in/top-stories/supreme-court-directs-states-to-consider-premature-release-of-convicts-when-they-become-eligible-even-without-their-applications-284292
https://www.scconline.com/blog/post/2025/02/19/explained-appropriate-govt-power-remit-sentence-sc-legal-news/</t>
  </si>
  <si>
    <t xml:space="preserve">Q28</t>
  </si>
  <si>
    <t xml:space="preserve">K</t>
  </si>
  <si>
    <t xml:space="preserve">K. Controls / trap questions (3)</t>
  </si>
  <si>
    <t xml:space="preserve">"Me and my wife both want divorce by mutual consent. Can the court skip the 6-month waiting period?"</t>
  </si>
  <si>
    <t xml:space="preserve">K1: civil/divorce, out of scope</t>
  </si>
  <si>
    <t xml:space="preserve">Correct output: "nothing relevant in the criminal-judgment index / out of scope". The tool should not return 498A or DV passages.</t>
  </si>
  <si>
    <t xml:space="preserve">A family-law question (Hindu Marriage Act s.13B). The governing authorities are civil: Amardeep Singh v. Harveen Kaur (2017) 8 SCC 746 and Shilpa Sailesh v. Varun Sreenivasan, SC five-judge Constitution Bench (Kaul, Khanna, Oka, Vikram Nath &amp; Maheshwari JJ), 1 May 2023, 2023 INSC 468, 2023 SCC OnLine SC 544, which held the s.13B(2) six-month period waivable under Article 142.</t>
  </si>
  <si>
    <t xml:space="preserve">indiankanoon.org (search case names; not retrieved this pass)</t>
  </si>
  <si>
    <t xml:space="preserve">Q29</t>
  </si>
  <si>
    <t xml:space="preserve">"Does Section 38 BNSS entitle an arrested person to have his advocate physically present throughout custodial interrogation?"</t>
  </si>
  <si>
    <t xml:space="preserve">K2: settled only by a 2026 ruling</t>
  </si>
  <si>
    <t xml:space="preserve">Correct output for a pre-2026 index: "no direct authority found". The true answer is no: s.38 gives a right to meet an advocate during, but not throughout, interrogation. The tool may wrongly surface D.K. Basu or s.41D CrPC passages with false confidence.</t>
  </si>
  <si>
    <t xml:space="preserve">State of Andhra Pradesh v. Suda Suresh Veera Venkata Naga Raju, SC, 27 Jul 2026, 2026 INSC 744 / 2026 LiveLaw (SC) 722 (Vikram Nath &amp; Sandeep Mehta JJ).</t>
  </si>
  <si>
    <t xml:space="preserve">https://www.livelaw.in/supreme-court/s-38-bnss-advocate-of-accused-cannot-remain-present-throughout-police-interrogation-supreme-court-543081
https://www.scconline.com/blog/post/2026/07/29/sc-modified-impracticable-police-custody-conditions/</t>
  </si>
  <si>
    <t xml:space="preserve">Q30</t>
  </si>
  <si>
    <t xml:space="preserve">"Police registered FIR in Aug 2024 under 420 and 406 IPC for a fraud done in March 2024. What are the new BNS sections for these and what is the punishment?"</t>
  </si>
  <si>
    <t xml:space="preserve">K3: statute / comparison table</t>
  </si>
  <si>
    <t xml:space="preserve">Correct output: answer from the statute or mapping table, not a judgment. IPC 420 → BNS 318(4), up to 7 years plus fine. IPC 406 → BNS 316(2), which provides imprisonment "which may extend to five years, or with fine, or with both", up from 3 years under the IPC (confirmed by AZB &amp; Partners' BNS overview; India Code not opened). Because the offence predates 1 July 2024, the IPC applies, though the investigation, registered after 1 July 2024, follows the BNSS.</t>
  </si>
  <si>
    <t xml:space="preserve">BNS 2023 text (India Code); MHA/BPR&amp;D IPC–BNS correspondence tables. No judgment needed.</t>
  </si>
  <si>
    <t xml:space="preserve">https://blog.ipleaders.in/section-420-bns-cheating-318/ (secondary); verify on indiacode.nic.in</t>
  </si>
  <si>
    <t xml:space="preserve">Indian Criminal Law Retrieval Test Set: 30 Verified Questions (as of October 2026)</t>
  </si>
  <si>
    <t xml:space="preserve">Summary</t>
  </si>
  <si>
    <t xml:space="preserve">The 30 questions below meet every distribution and mix rule. Each is tied to a Supreme Court judgment, statute or government source that was checked during this research pass. Thirteen of them are currency traps, where the ruling a search is most likely to surface has since been overruled, diluted or superseded.</t>
  </si>
  <si>
    <t xml:space="preserve">Legend (column codes in the '30 Questions' sheet)</t>
  </si>
  <si>
    <t xml:space="preserve">Phrasing: E = everyday, L = legal-wording, N = long-narrative.</t>
  </si>
  <si>
    <t xml:space="preserve">Section-number tag: NEW = BNS/BNSS/BSA, OLD = IPC/CrPC/Evidence Act, NONE = no section number.</t>
  </si>
  <si>
    <t xml:space="preserve">CT = currency trap (Y/N: the ruling a search is most likely to surface was later overruled, diluted or superseded). Era = best/current law from 2017 or later (Y/N). Shown as in the report, e.g. 'CT: Y / Era: Y'. Not applicable (—) for the K controls.</t>
  </si>
  <si>
    <t xml:space="preserve">Control type</t>
  </si>
  <si>
    <t xml:space="preserve">Only for domain K: K1 = civil, tax or divorce question; K2 = point settled only by a High Court or a 2026 ruling; K3 = answered by a statute or comparison table, not a judgment.</t>
  </si>
  <si>
    <t xml:space="preserve">Confidence that the expected answer is correct and current as of October 2026: [C] Certain, [L] Likely, [G] Guessing.</t>
  </si>
  <si>
    <t xml:space="preserve">A–J are the ten criminal-law domains; K holds the three controls. Domain names follow the report's section headings.</t>
  </si>
  <si>
    <t xml:space="preserve">Multiple URLs in one cell are separated by line breaks (the report separated them with ' ; '). Entries that are not URLs, such as 'indiankanoon.org (search ...)', are kept exactly as in the report.</t>
  </si>
  <si>
    <t xml:space="preserve">Column merge</t>
  </si>
  <si>
    <t xml:space="preserve">In the report, the K tables label their fifth column 'Control type' and their seventh 'Why it is a trap / correct authority'. Here the control type has its own column, and the 'why it is a trap' text sits in the authority column (J).</t>
  </si>
  <si>
    <t xml:space="preserve">TL;DR</t>
  </si>
  <si>
    <t xml:space="preserve">1</t>
  </si>
  <si>
    <t xml:space="preserve">The set has 30 questions: A–J follow the exact domain counts and K holds 3 controls. Phrasing splits into 10 everyday, 11 legal-wording and 9 long-narrative questions. By section number, 9 cite BNS/BNSS/BSA, 7 cite IPC/CrPC and 14 cite none. There are 13 currency traps, and 24 of the 27 substantive questions turn on law from 2017 or later.</t>
  </si>
  <si>
    <t xml:space="preserve">2</t>
  </si>
  <si>
    <t xml:space="preserve">The hardest tests are the currency traps. Examples: Mohan Lal (2018) → Mukesh Singh (2020); Damodar S. Prabhu (2010) → Sanjabij Tari (2025 INSC 1158); Shafhi Mohammad (2018) → Arjun Panditrao Khotkar (2020); Rajesh Sharma (2017) → Social Action Forum (2018) → Shivangi Bansal (2025 INSC 883). Two more involve 2026-only rulings that a Supreme Court index with an earlier cutoff will not contain: State of A.P. v. Suda Suresh Veera Venkata Naga Raju (2026 INSC 744) and Shaurya Sunil Kumar Singh v. CBI (2026 INSC 666).</t>
  </si>
  <si>
    <t xml:space="preserve">3</t>
  </si>
  <si>
    <t xml:space="preserve">Seven expected answers turn on unsettled or fast-moving law and should be checked by a practising advocate before scoring: Shivangi Bansal versus Social Action Forum, the status of Ritu Chhabaria, whether Mihir Rajesh Shah applies prospectively, the pending review of Vijay Madanlal, BNS 69 versus IPC 376, the BNS 316(2) punishment, and several SCC citations that could only be confirmed secondhand.</t>
  </si>
  <si>
    <t xml:space="preserve">Key Findings</t>
  </si>
  <si>
    <t xml:space="preserve">IPC/BNS transition rule (applies throughout): The offence date decides the substantive law. Conduct on or before 30 June 2024 is tried under the IPC; conduct from 1 July 2024 falls under the BNS. Under the BNSS saving clause (s.531(2)(a)), investigations, inquiries, trials and appeals already pending on 1 July 2024 continue under the CrPC. The Supreme Court has nonetheless applied some beneficial BNSS provisions, such as s.479, to undertrials whose cases began earlier (Q6).</t>
  </si>
  <si>
    <t xml:space="preserve">Currency risk is concentrated in procedure. Grounds of arrest, default bail, compounding, remission and the 498A safeguards all shifted between 2023 and 2026. A tool trained on older headnotes will tend to give confident but outdated answers.</t>
  </si>
  <si>
    <t xml:space="preserve">Citation hygiene: Neutral citations were confirmed for most post-2019 rulings. Where only an SCC cite, or only a secondary source, was available, the table says so.</t>
  </si>
  <si>
    <t xml:space="preserve">Caveats</t>
  </si>
  <si>
    <t xml:space="preserve">Several 2025–2026 rulings were confirmed through LiveLaw, Verdictum or SCC Online reports rather than the full judgment text. Neutral citations come from those reports.</t>
  </si>
  <si>
    <t xml:space="preserve">Q29 (K2) is a Supreme Court ruling, but it qualifies as a control because it is 2026-only. If the index cutoff falls after July 2026, swap in a ruling from after the cutoff.</t>
  </si>
  <si>
    <t xml:space="preserve">In Q6 the release is not automatic: under the second proviso to s.479 BNSS, the court keeps discretion to order continued detention.</t>
  </si>
  <si>
    <t xml:space="preserve">Rule</t>
  </si>
  <si>
    <t xml:space="preserve">Required</t>
  </si>
  <si>
    <t xml:space="preserve">Actual (as in report)</t>
  </si>
  <si>
    <t xml:space="preserve">Questions</t>
  </si>
  <si>
    <t xml:space="preserve">Result (as in report)</t>
  </si>
  <si>
    <t xml:space="preserve">Live count (formula)</t>
  </si>
  <si>
    <t xml:space="preserve">Live result (formula)</t>
  </si>
  <si>
    <t xml:space="preserve">A Arrest/custody</t>
  </si>
  <si>
    <t xml:space="preserve">Q1–Q3</t>
  </si>
  <si>
    <t xml:space="preserve">PASS</t>
  </si>
  <si>
    <t xml:space="preserve">B Bail</t>
  </si>
  <si>
    <t xml:space="preserve">Q4–Q6</t>
  </si>
  <si>
    <t xml:space="preserve">C Cheque bounce</t>
  </si>
  <si>
    <t xml:space="preserve">Q7–Q9</t>
  </si>
  <si>
    <t xml:space="preserve">D NDPS</t>
  </si>
  <si>
    <t xml:space="preserve">Q10–Q11</t>
  </si>
  <si>
    <t xml:space="preserve">E FIR quashing</t>
  </si>
  <si>
    <t xml:space="preserve">Q12–Q14</t>
  </si>
  <si>
    <t xml:space="preserve">F Marriage-related</t>
  </si>
  <si>
    <t xml:space="preserve">Q15–Q17</t>
  </si>
  <si>
    <t xml:space="preserve">G Sexual offences/POCSO</t>
  </si>
  <si>
    <t xml:space="preserve">Q18–Q20</t>
  </si>
  <si>
    <t xml:space="preserve">H Violent crime</t>
  </si>
  <si>
    <t xml:space="preserve">Q21–Q23</t>
  </si>
  <si>
    <t xml:space="preserve">I PMLA/UAPA/SC-ST/corruption</t>
  </si>
  <si>
    <t xml:space="preserve">Q24–Q25</t>
  </si>
  <si>
    <t xml:space="preserve">J After conviction</t>
  </si>
  <si>
    <t xml:space="preserve">Q26–Q27</t>
  </si>
  <si>
    <t xml:space="preserve">K Controls</t>
  </si>
  <si>
    <t xml:space="preserve">Q28–Q30</t>
  </si>
  <si>
    <t xml:space="preserve">Total</t>
  </si>
  <si>
    <t xml:space="preserve">Everyday phrasing</t>
  </si>
  <si>
    <t xml:space="preserve">≥5</t>
  </si>
  <si>
    <t xml:space="preserve">Q2, Q6, Q8, Q11, Q14, Q16, Q18, Q23, Q28, Q30</t>
  </si>
  <si>
    <t xml:space="preserve">Legal-wording phrasing</t>
  </si>
  <si>
    <t xml:space="preserve">Q3, Q4, Q9, Q10, Q13, Q17, Q20, Q21, Q25, Q26, Q29</t>
  </si>
  <si>
    <t xml:space="preserve">Long-narrative phrasing</t>
  </si>
  <si>
    <t xml:space="preserve">Q1, Q5, Q7, Q12, Q15, Q19, Q22, Q24, Q27</t>
  </si>
  <si>
    <t xml:space="preserve">New-code numbers (BNS/BNSS/BSA)</t>
  </si>
  <si>
    <t xml:space="preserve">Q2, Q5, Q6, Q13, Q15, Q20, Q21, Q26, Q29</t>
  </si>
  <si>
    <t xml:space="preserve">Old-code numbers (IPC/CrPC/Evidence)</t>
  </si>
  <si>
    <t xml:space="preserve">Q3, Q4, Q12, Q17, Q22, Q25, Q30</t>
  </si>
  <si>
    <t xml:space="preserve">No section number</t>
  </si>
  <si>
    <t xml:space="preserve">rest</t>
  </si>
  <si>
    <t xml:space="preserve">Q1, Q7–Q11, Q14, Q16, Q18, Q19, Q23, Q24, Q27, Q28</t>
  </si>
  <si>
    <t xml:space="preserve">Controls by type (K1/K2/K3)</t>
  </si>
  <si>
    <t xml:space="preserve">1 each</t>
  </si>
  <si>
    <t xml:space="preserve">1/1/1</t>
  </si>
  <si>
    <t xml:space="preserve">Q28 / Q29 / Q30</t>
  </si>
  <si>
    <t xml:space="preserve">Currency traps (A–J)</t>
  </si>
  <si>
    <t xml:space="preserve">≥3</t>
  </si>
  <si>
    <t xml:space="preserve">Q1, Q4, Q5, Q7, Q9, Q10, Q11, Q15, Q18, Q21, Q24, Q25, Q27</t>
  </si>
  <si>
    <t xml:space="preserve">Era 2017+ (A–J)</t>
  </si>
  <si>
    <t xml:space="preserve">≥8</t>
  </si>
  <si>
    <t xml:space="preserve">All A–J except Q3, Q9, Q23</t>
  </si>
  <si>
    <t xml:space="preserve">Notes</t>
  </si>
  <si>
    <t xml:space="preserve">Columns A–E reproduce the report's compliance table exactly. Columns F–G are live formulas that recount the '30 Questions' sheet, so the check re-evaluates if a question is edited.</t>
  </si>
  <si>
    <t xml:space="preserve">Rule thresholds used in column G (taken from the brief): domain counts are exact; each phrasing style and each of NEW/OLD section tags needs at least 5; currency traps at least 3; era 2017+ at least 8; controls exactly one each of K1/K2/K3; 'No section number' must equal 30 minus the NEW and OLD counts.</t>
  </si>
  <si>
    <t xml:space="preserve">Currency-trap and era counts use the 'CT / Era' text (e.g. 'CT: Y / Era: Y'); the K controls carry '—' there, so both counts cover domains A–J only.</t>
  </si>
  <si>
    <t xml:space="preserve">Outdated ruling (likely first hit)</t>
  </si>
  <si>
    <t xml:space="preserve">Current authority</t>
  </si>
  <si>
    <t xml:space="preserve">What changed</t>
  </si>
  <si>
    <t xml:space="preserve">Pankaj Bansal (2023) / Prabir Purkayastha (2024): written grounds required under PMLA/UAPA only</t>
  </si>
  <si>
    <t xml:space="preserve">Mihir Rajesh Shah, 2025 INSC 1288</t>
  </si>
  <si>
    <t xml:space="preserve">Written grounds now required for every offence, at least 2 hours before remand; prospective application disputed</t>
  </si>
  <si>
    <t xml:space="preserve">Salauddin Abdulsamad Shaikh (1996)</t>
  </si>
  <si>
    <t xml:space="preserve">Sushila Aggarwal (2020) 5 SCC 1</t>
  </si>
  <si>
    <t xml:space="preserve">No mandatory time limit on anticipatory bail</t>
  </si>
  <si>
    <t xml:space="preserve">Ritu Chhabaria (2023)</t>
  </si>
  <si>
    <t xml:space="preserve">Kapil Wadhawan, 2024 INSC 58; Shaurya Sunil Kumar Singh, 2026 INSC 666</t>
  </si>
  <si>
    <t xml:space="preserve">A timely charge-sheet defeats default bail; deferral order of May 2023; review dismissed Aug 2025</t>
  </si>
  <si>
    <t xml:space="preserve">Damodar S. Prabhu (2010) 5 SCC 663</t>
  </si>
  <si>
    <t xml:space="preserve">Sanjabij Tari, 2025 INSC 1158</t>
  </si>
  <si>
    <t xml:space="preserve">Compounding costs cut to 0/5/7.5/10%</t>
  </si>
  <si>
    <t xml:space="preserve">Dashrath Rupsingh Rathod (2014) 9 SCC 129</t>
  </si>
  <si>
    <t xml:space="preserve">NI (Amendment) Act 2015; Bridgestone (2016) 2 SCC 75</t>
  </si>
  <si>
    <t xml:space="preserve">Payee's branch court has jurisdiction</t>
  </si>
  <si>
    <t xml:space="preserve">Mohan Lal (2018) 17 SCC 627</t>
  </si>
  <si>
    <t xml:space="preserve">Mukesh Singh (2020) 10 SCC 120</t>
  </si>
  <si>
    <t xml:space="preserve">No automatic acquittal when informant = investigator</t>
  </si>
  <si>
    <t xml:space="preserve">Kanhaiyalal (2008) 4 SCC 668</t>
  </si>
  <si>
    <t xml:space="preserve">Tofan Singh (2021) 4 SCC 1</t>
  </si>
  <si>
    <t xml:space="preserve">s.67 NDPS statements inadmissible as confessions</t>
  </si>
  <si>
    <t xml:space="preserve">Rajesh Sharma (2017) 10 SCC 472</t>
  </si>
  <si>
    <t xml:space="preserve">Social Action Forum (2018) 10 SCC 443 → Shivangi Bansal, 2025 INSC 883</t>
  </si>
  <si>
    <t xml:space="preserve">FWC removed in 2018, restored via the Allahabad HC guidelines in 2025; conflict with the larger bench unresolved</t>
  </si>
  <si>
    <t xml:space="preserve">Bombay HC, Satish (2021)</t>
  </si>
  <si>
    <t xml:space="preserve">AG v. Satish, 2021 INSC 762</t>
  </si>
  <si>
    <t xml:space="preserve">Skin-to-skin test rejected; sexual intent governs</t>
  </si>
  <si>
    <t xml:space="preserve">Shafhi Mohammad (2018) 2 SCC 801</t>
  </si>
  <si>
    <t xml:space="preserve">Arjun Panditrao Khotkar (2020) 7 SCC 1</t>
  </si>
  <si>
    <t xml:space="preserve">65B / BSA 63 certificate mandatory</t>
  </si>
  <si>
    <t xml:space="preserve">Vijay Madanlal Choudhary (2022), read alone</t>
  </si>
  <si>
    <t xml:space="preserve">Tarsem Lal, 2024 INSC 434; Pankaj Bansal, 2023 INSC 866</t>
  </si>
  <si>
    <t xml:space="preserve">No ED arrest after cognizance; review of Vijay Madanlal pending</t>
  </si>
  <si>
    <t xml:space="preserve">Subhash Kashinath Mahajan (2018) 6 SCC 454</t>
  </si>
  <si>
    <t xml:space="preserve">Review (2020) 4 SCC 761; Prathvi Raj Chauhan (2020) 4 SCC 727; s.18A</t>
  </si>
  <si>
    <t xml:space="preserve">Pre-arrest safeguards recalled; statutory bar upheld</t>
  </si>
  <si>
    <t xml:space="preserve">Sangeet v. State of Haryana (2013) 2 SCC 452</t>
  </si>
  <si>
    <t xml:space="preserve">In Re Policy Strategy, 2025 INSC 239</t>
  </si>
  <si>
    <t xml:space="preserve">State must consider eligible convicts without an application</t>
  </si>
  <si>
    <t xml:space="preserve">#</t>
  </si>
  <si>
    <t xml:space="preserve">Answers needing verification by a practising advocate</t>
  </si>
  <si>
    <t xml:space="preserve">Q15 (498A/BNS 85): Shivangi Bansal (two judges, 2025) endorses Family Welfare Committees that Social Action Forum (three judges, 2018) had disapproved. Check how trial courts and police are actually applying it, and whether any later bench has clarified it.</t>
  </si>
  <si>
    <t xml:space="preserve">Q5 (default bail): Confirm what happened to the Union's 2023 recall application in Ritu Chhabaria and the related ED v. Manpreet Singh Talwar matter, beyond the CBI review dismissed in Aug 2025.</t>
  </si>
  <si>
    <t xml:space="preserve">Q1 (written grounds): Whether Mihir Rajesh Shah applies prospectively. A Delhi HC Division Bench in Karan Singh v. State (NCT of Delhi), 2026:DHC:570-DB, held it prospective, but a later Delhi HC NDPS ruling rejected that view; check the Supreme Court's own position.</t>
  </si>
  <si>
    <t xml:space="preserve">Q24 (PMLA): The Vijay Madanlal review is pending before a bench reconstituted on 20 Aug 2026 and could change the bail framework.</t>
  </si>
  <si>
    <t xml:space="preserve">Q20 (BNS 69): How courts separate BNS 69 from BNS 64 (rape) for post-July 2024 conduct.</t>
  </si>
  <si>
    <t xml:space="preserve">Q30 (BNS 316(2)): AZB &amp; Partners' BNS overview confirms criminal breach of trust "is now punishable with imprisonment which may extend to a term of five years instead of three years under IPC"; this is still secondary, so confirm against the India Code text.</t>
  </si>
  <si>
    <t xml:space="preserve">Citations confirmed only secondhand: the SCC cite for AG v. Satish (only 2021 SCC OnLine SC 980 / AIR 2022 SC 13 confirmed); neutral cites for Bridgestone, Social Action Forum and the Mahajan review (none found); the 2019 INSC 939 and 2018 INSC 714 cites (Casemine only). Citations given from standard reports without a retrieved URL (D.K. Basu, Arnesh Kumar, Salauddin, Dashrath, Kanhaiyalal, Bhajan Lal, Indian Oil v. NEPC, Rajesh Sharma, Bachan Singh, Shafhi Mohammad, Mahajan, Sangeet, Bhagwan Rama Shinde Gosai, Pulicherla Nagaraju, Amardeep Singh) should be checked on indiankanoon.org before the set is locked.</t>
  </si>
  <si>
    <t xml:space="preserve">Publisher</t>
  </si>
  <si>
    <t xml:space="preserve">Title</t>
  </si>
  <si>
    <t xml:space="preserve">URL</t>
  </si>
  <si>
    <t xml:space="preserve">indiaproai</t>
  </si>
  <si>
    <t xml:space="preserve">IPC Section 420 / BNS Section 318 — Cheating &amp; Dishonestly Inducing Delivery of Property</t>
  </si>
  <si>
    <t xml:space="preserve">https://indiaproai.com/legal-guides/ipc-section-420-bns-318-cheating-complete-guide-india</t>
  </si>
  <si>
    <t xml:space="preserve">verdictum</t>
  </si>
  <si>
    <t xml:space="preserve">Supreme Court: Informing Grounds Of Arrest Mandatory For All Offences; Must Be Communicated In Writing Atleast 2 Hrs Prior To Production Of Arrestee Before Magistrate</t>
  </si>
  <si>
    <t xml:space="preserve">https://www.verdictum.in/court-updates/supreme-court/mihir-rajesh-shah-v-state-of-maharashtra-2025-insc-1288-grounds-of-arrest-1597198</t>
  </si>
  <si>
    <t xml:space="preserve">livelaw</t>
  </si>
  <si>
    <t xml:space="preserve">Supreme Court's 'Mihir Rajesh Shah' Ruling On Written Grounds Of Arrest Operates Prospectively: Delhi High Court</t>
  </si>
  <si>
    <t xml:space="preserve">https://www.livelaw.in/high-court/delhi-high-court/delhi-high-court-supreme-court-mihir-rajesh-shah-ruling-written-grounds-arrest-prospectively-520838</t>
  </si>
  <si>
    <t xml:space="preserve">scobserver</t>
  </si>
  <si>
    <t xml:space="preserve">2025 INSC 1288 Criminal Appeal No. 2195 of 2025 Page 1 of 52 REPORTABLE</t>
  </si>
  <si>
    <t xml:space="preserve">https://www.scobserver.in/wp-content/uploads/2025/11/SCOLR-Judgement_Mihir-Rajesh-Shah-v-State-of-Maharashtra.pdf</t>
  </si>
  <si>
    <t xml:space="preserve">indiankanoon</t>
  </si>
  <si>
    <t xml:space="preserve">Mihir Rajesh Shah vs The State Of Maharashtra on 6 November, 2025</t>
  </si>
  <si>
    <t xml:space="preserve">https://indiankanoon.org/doc/75521991/</t>
  </si>
  <si>
    <t xml:space="preserve">Substack</t>
  </si>
  <si>
    <t xml:space="preserve">Bolstering Personal Liberty: The Supreme Court’s Reaffirmation of the Citizen’s Right to Know the Grounds of Arrest</t>
  </si>
  <si>
    <t xml:space="preserve">https://kbssidhu.substack.com/p/bolstering-personal-liberty-the-supreme</t>
  </si>
  <si>
    <t xml:space="preserve">Electronic Communication Not Valid Mode Of Service Of Notice U/S. 35 Of BNSS: Supreme Court Upholds Order Barring WhatsApp Notice</t>
  </si>
  <si>
    <t xml:space="preserve">https://www.verdictum.in/court-updates/supreme-court/satender-kumar-antil-v-central-bureau-of-investigation-2025-insc-909-electronic-communication-service-of-notice-section-35-bnss-whatsapp-1586826</t>
  </si>
  <si>
    <t xml:space="preserve">mhcolaw</t>
  </si>
  <si>
    <t xml:space="preserve">criminal law update: legal notices via whatsapp not ...</t>
  </si>
  <si>
    <t xml:space="preserve">https://www.mhcolaw.com/updates/criminal-law-update-legal-notices-via-whatsapp-not-permissible-rules-supreme-court/172</t>
  </si>
  <si>
    <t xml:space="preserve">Supreme Court Quarterly Digest 2026 - Bharatiya Nagarik Suraksha Sanhita (BNSS)</t>
  </si>
  <si>
    <t xml:space="preserve">https://www.livelaw.in/supreme-court/supreme-court-judgments-and-orders-quarterly-digest-bnss-2026-532575</t>
  </si>
  <si>
    <t xml:space="preserve">collegedunia</t>
  </si>
  <si>
    <t xml:space="preserve">in which case it was held by the supreme court tha 66b06e9ca5e223d061ecb50f</t>
  </si>
  <si>
    <t xml:space="preserve">https://questions.collegedunia.com/exams/questions/in-which-case-it-was-held-by-the-supreme-court-tha-66b06e9ca5e223d061ecb50f</t>
  </si>
  <si>
    <t xml:space="preserve">casemine</t>
  </si>
  <si>
    <t xml:space="preserve">Reaffirming the Broad Scope of Anticipatory Bail under Section 438 CrPC: Sushila Aggarwal v. State (2020 INSC 106): Supreme Court Of India</t>
  </si>
  <si>
    <t xml:space="preserve">https://www.casemine.com/commentary/in/reaffirming-the-broad-scope-of-anticipatory-bail-under-section-438-crpc:-sushila-aggarwal-v.-state-(2020-insc-106)/view</t>
  </si>
  <si>
    <t xml:space="preserve">scconline</t>
  </si>
  <si>
    <t xml:space="preserve">Whether chargesheet filed without FSL report entitle accused to default bail? SC refers to larger bench</t>
  </si>
  <si>
    <t xml:space="preserve">https://www.scconline.com/blog/post/2024/04/15/chargesheet-without-fsl-report-accused-default-bail-sc-refers-larger-bench-legal-news/</t>
  </si>
  <si>
    <t xml:space="preserve">Daily Judgments of 01 July</t>
  </si>
  <si>
    <t xml:space="preserve">https://askjunior.substack.com/p/daily-judgments-of-01-july-029</t>
  </si>
  <si>
    <t xml:space="preserve">pressreader</t>
  </si>
  <si>
    <t xml:space="preserve">PressReader.com</t>
  </si>
  <si>
    <t xml:space="preserve">https://www.pressreader.com/india/the-hindu-international-9bn2/20260703/281758456024372</t>
  </si>
  <si>
    <t xml:space="preserve">supremecourtcases</t>
  </si>
  <si>
    <t xml:space="preserve">Shaurya Sunil Kumar Singh v. Central Bureau of Investigation</t>
  </si>
  <si>
    <t xml:space="preserve">https://www.supremecourtcases.com/shaurya-sunil-kumar-singh-v-central-bureau-of-investigation/</t>
  </si>
  <si>
    <t xml:space="preserve">Supreme Court Dismisses CBI's Review Petition Against 'Ritu Chhabaria' Judgment That Incomplete Chargesheet Won't Defeat Default Bail</t>
  </si>
  <si>
    <t xml:space="preserve">https://www.livelaw.in/top-stories/supreme-court-dismisses-cbis-review-petition-against-ritu-chhabaria-judgment-that-incomplete-chargesheet-wont-defeat-default-bail-300281</t>
  </si>
  <si>
    <t xml:space="preserve">Courts Can Grants Default Bail Independent Of &amp; Not Relying Upon 'Ritu Chhabria' Judgment: Supreme Court Clarifies</t>
  </si>
  <si>
    <t xml:space="preserve">https://www.livelaw.in/top-stories/supreme-court-ritu-chhabaria-review-petition-default-bail-228588</t>
  </si>
  <si>
    <t xml:space="preserve">lawbeat</t>
  </si>
  <si>
    <t xml:space="preserve">Courts considering default bail applications will not rely on Ritu Chhabaria judgment: Supreme Court</t>
  </si>
  <si>
    <t xml:space="preserve">https://lawbeat.in/top-stories/courts-considering-default-bail-applications-will-not-rely-ritu-chhabaria-judgment</t>
  </si>
  <si>
    <t xml:space="preserve">Central Bureau Of Investigation vs Kapil Wadhawan on 24 January, 2024</t>
  </si>
  <si>
    <t xml:space="preserve">https://indiankanoon.org/doc/120451656/</t>
  </si>
  <si>
    <t xml:space="preserve">2024 SCC Vol. 3 Part 5</t>
  </si>
  <si>
    <t xml:space="preserve">https://www.scconline.com/blog/post/2024/04/29/2024-scc-vol-3-part-5/</t>
  </si>
  <si>
    <t xml:space="preserve">Non-Filing Of Additional Copies Of Charge-Sheet Is No Ground For Default Bail If Final Report Is Filed Within Timeline: Supreme Court</t>
  </si>
  <si>
    <t xml:space="preserve">https://www.verdictum.in/supreme-court/2026-insc-666-shaurya-sunil-kumar-singh-v-cbi-1616990</t>
  </si>
  <si>
    <t xml:space="preserve">iasgyan</t>
  </si>
  <si>
    <t xml:space="preserve">Default Bail Rules Explained : UPSC Current Affairs</t>
  </si>
  <si>
    <t xml:space="preserve">https://www.iasgyan.in/daily-current-affairs/scope-of-statutory-bail-in-india-supreme-court-rulings-and-bnss-guidelines</t>
  </si>
  <si>
    <t xml:space="preserve">When Exceptions Swallow The Rule: Problem With Section 479 BNSS</t>
  </si>
  <si>
    <t xml:space="preserve">https://www.livelaw.in/articles/when-exceptions-swallow-rule-problem-section-479-bnss-307288</t>
  </si>
  <si>
    <t xml:space="preserve">ijlmh</t>
  </si>
  <si>
    <t xml:space="preserve">Section 479 of the Bharatiya Nagarik Suraksha Sanhita, 2023: Evaluating the Promise of Undertrial Reform against the Reality of Implementation</t>
  </si>
  <si>
    <t xml:space="preserve">https://ijlmh.com/article/view/section-479-of-the-bharatiya-nagarik-suraksha-sanhita-2023-evaluating-the-promise-of-undertrial-reform-against-the-reality-of-implementation</t>
  </si>
  <si>
    <t xml:space="preserve">Supreme Court Allows Benefit Of Section 479 BNSS To Undertrials In Cases Registered Before July 1, 2024</t>
  </si>
  <si>
    <t xml:space="preserve">https://www.livelaw.in/top-stories/supreme-court-allows-benefit-of-section-479-bnss-to-undertrials-in-cases-registered-before-july-1-2024-267487</t>
  </si>
  <si>
    <t xml:space="preserve">etvbharat</t>
  </si>
  <si>
    <t xml:space="preserve">Section 479 of BNSS Would Apply Retrospectively for Undertrials, SC Told</t>
  </si>
  <si>
    <t xml:space="preserve">https://www.etvbharat.com/en/!bharat/section-479-of-bnss-would-apply-retrospectively-for-undertrials-sc-told-enn24082305434</t>
  </si>
  <si>
    <t xml:space="preserve">legal60</t>
  </si>
  <si>
    <t xml:space="preserve">Case Summary: Sanjabij Tari v. Kishore S. Borcar &amp; Anr. (2025)</t>
  </si>
  <si>
    <t xml:space="preserve">https://legal60.com/case-summary-sanjabij-tari-v-kishore-s-borcar-anr-2025-probation-benefit-available-in-cheque-bounce-cases/</t>
  </si>
  <si>
    <t xml:space="preserve">Summons Shall Mention That Accused Can Make Payment Of Cheque Amount At Initial Stage: Supreme Court Issues New Guidelines For Cases U/S.138 NI Act</t>
  </si>
  <si>
    <t xml:space="preserve">https://www.verdictum.in/court-updates/supreme-court/sanjabij-tari-v-kishore-sborcar-2025-insc-1158-summons-accused-payment-cheque-amount-initial-stage-sec138-ni-act-1592654</t>
  </si>
  <si>
    <t xml:space="preserve">Supreme Court’s Cheque Bounce Guidelines In Sanjabij Tari Judgment For Compounding Apply Equally At The Appellate Stage: Bombay High Court</t>
  </si>
  <si>
    <t xml:space="preserve">https://www.verdictum.in/bombay-high-court/cambium-boitech-private-ltd-v-the-state-of-maharashtra-913-crwp-4815-2025-1616479</t>
  </si>
  <si>
    <t xml:space="preserve">lawministry</t>
  </si>
  <si>
    <t xml:space="preserve">SANJABIJ TARI VERSUS KISHORE S. BORCAR (SUPREME COURT) (2025 INSC 1158)</t>
  </si>
  <si>
    <t xml:space="preserve">https://lawministry.in/sanjabij-tari-versus-kishore-s-borcar-supreme-court-2025-insc-1158/</t>
  </si>
  <si>
    <t xml:space="preserve">veritect</t>
  </si>
  <si>
    <t xml:space="preserve">Sanjabij Tari v Kishore Borcar — Practitioner Guide, Section 138</t>
  </si>
  <si>
    <t xml:space="preserve">https://veritect.ai/case-analysis/sanjabij-tari-v-kishore-s-borcar-practice-guide</t>
  </si>
  <si>
    <t xml:space="preserve">Power To Grant Interim Compensation In Cheque Bounce Cases U/S 143A NI Act Discretionary: SC Issues Guidelines</t>
  </si>
  <si>
    <t xml:space="preserve">lawfoyer</t>
  </si>
  <si>
    <t xml:space="preserve">RAKESH RANJAN SHRIVASTAVA vs. THE STATE OF JHARKHAND &amp; ANR.</t>
  </si>
  <si>
    <t xml:space="preserve">https://lawfoyer.in/rakesh-ranjan-shrivastava-vs-the-state-of-jharkhand-anr/</t>
  </si>
  <si>
    <t xml:space="preserve">claritaslegal</t>
  </si>
  <si>
    <t xml:space="preserve">Interim Compensation Not Mandatory under Section 143A of Negotiable Instruments Act, 1881 - Claritas Legal</t>
  </si>
  <si>
    <t xml:space="preserve">https://claritaslegal.in/interim-compensation-not-mandatory-under-section-143a-of-negotiable-instruments-act-1881/</t>
  </si>
  <si>
    <t xml:space="preserve">translate</t>
  </si>
  <si>
    <t xml:space="preserve">Interim Compensation in Cheque Dishonour Cases: Understanding Section 143-A NI Act</t>
  </si>
  <si>
    <t xml:space="preserve">https://www-linkedin-com.translate.goog/pulse/interim-compensation-cheque-dishonour-cases-section-143-a-singh-o4fof?_x_tr_sl=en&amp;_x_tr_tl=hi&amp;_x_tr_hl=hi&amp;_x_tr_pto=tc</t>
  </si>
  <si>
    <t xml:space="preserve">unsolvedlegal</t>
  </si>
  <si>
    <t xml:space="preserve">Territorial Jurisdiction in Cheque Bounce Cases India</t>
  </si>
  <si>
    <t xml:space="preserve">https://unsolvedlegal.com/blog/territorial-jurisdiction-in-cheque-bounce-cases-india/</t>
  </si>
  <si>
    <t xml:space="preserve">blogspot</t>
  </si>
  <si>
    <t xml:space="preserve">NI Act - Case Law Reference Library: Prakash Chimanlal Sheth Vs. Jagruti Keyur Rajpopat - Therefore, once it is established that, at the time of presentation of the cheques in question, the appellant maintained his account with the Kotak Mahindra Bank at its Bendurwell, Mangalore Branch, he was fully justified in filing his complaint cases before the jurisdictional Court at Mangalore.</t>
  </si>
  <si>
    <t xml:space="preserve">https://nia-caselaw.blogspot.com/2025/08/prakash-chimanlal-sheth-vs-jagruti.html</t>
  </si>
  <si>
    <t xml:space="preserve">lextechsuite</t>
  </si>
  <si>
    <t xml:space="preserve">M/s. Bridgestone India Pvt. Ltd. v Inderpal Singh on 24 November 2015 - Judgement - LexTechSuite</t>
  </si>
  <si>
    <t xml:space="preserve">https://lextechsuite.com/Ms-Bridgestone-India-Pvt-Ltd-Versus-Inderpal-Singh-2015-11-24</t>
  </si>
  <si>
    <t xml:space="preserve">knallp</t>
  </si>
  <si>
    <t xml:space="preserve">From Dashrath to Sheth: Evolution of Jurisdictional Rules Under Section 138 NI Act</t>
  </si>
  <si>
    <t xml:space="preserve">https://knallp.com/from-dashrath-to-sheth-evolution-of-jurisdictional-rules-under-section-138-ni-act/</t>
  </si>
  <si>
    <t xml:space="preserve">latestlaws</t>
  </si>
  <si>
    <t xml:space="preserve">MUKESH SINGH vs. STATE (NARCOTIC BRANCH OF DELHI)</t>
  </si>
  <si>
    <t xml:space="preserve">https://www.latestlaws.com/latest-caselaw/2020/august/2020-latest-caselaw-485-sc/</t>
  </si>
  <si>
    <t xml:space="preserve">sci</t>
  </si>
  <si>
    <t xml:space="preserve">1 REPORTABLE IN THE SUPREME COURT OF INDIA CRIMINAL APPELLATE JURISDICTION</t>
  </si>
  <si>
    <t xml:space="preserve">https://api.sci.gov.in/supremecourt/2018/39528/39528_2018_33_1502_23731_Judgement_31-Aug-2020.pdf</t>
  </si>
  <si>
    <t xml:space="preserve">2025 INSC 960 REPORTABLE IN THE SUPREME COURT OF INDIA</t>
  </si>
  <si>
    <t xml:space="preserve">https://api.sci.gov.in/supremecourt/2019/20499/20499_2019_16_119_62941_Judgement_30-Jul-2025.pdf</t>
  </si>
  <si>
    <t xml:space="preserve">Mukesh Singh v. State (Narcotic Branch Of Delhi) [2020 INSC 524]: Redefining Fair Investigation Standards in NDPS Cases: Supreme Court Of India</t>
  </si>
  <si>
    <t xml:space="preserve">https://www.casemine.com/commentary/in/mukesh-singh-v.-state-(narcotic-branch-of-delhi)-2020-insc-524:-redefining-fair-investigation-standards-in-ndps-cases/view</t>
  </si>
  <si>
    <t xml:space="preserve">delhihighcourt</t>
  </si>
  <si>
    <t xml:space="preserve">IN THE HIGH COURT OF DELHI AT NEW DELHI</t>
  </si>
  <si>
    <t xml:space="preserve">https://delhihighcourt.nic.in/app/showFileJudgment/NBK04112025BA38012025_155725.txt</t>
  </si>
  <si>
    <t xml:space="preserve">legitquest</t>
  </si>
  <si>
    <t xml:space="preserve">Read more on Sh. Faruk Chand Badshah Sheikh Vs. Union India on 20 December, 2022 - Legitquest. Find Court Judgments and Legal Cases in India</t>
  </si>
  <si>
    <t xml:space="preserve">https://www.legitquest.com/case/sh-faruk-chand-badshah-sheikh-v-union-india/79F219</t>
  </si>
  <si>
    <t xml:space="preserve">“From Civil Breach to Criminal Overreach”</t>
  </si>
  <si>
    <t xml:space="preserve">https://www.casemine.com/commentary/in/%E2%80%9Cfrom-civil-breach-to-criminal-overreach%E2%80%9D-%E2%80%93-supreme-court-prescribes-costs-and-caution-for-mis%E2%80%91labelling-contractual-disputes-as-cheating/view</t>
  </si>
  <si>
    <t xml:space="preserve">google</t>
  </si>
  <si>
    <t xml:space="preserve">RIKHAB BIRANI v. THE STATE OF UTTAR PRADESH, Supreme Court Of India, Judgment, Law, casemine.com</t>
  </si>
  <si>
    <t xml:space="preserve">https://translate.google.com/translate?u=https%3A%2F%2Fwww.casemine.com%2Fjudgement%2Fin%2F6804b0d624692576d2f637ff&amp;hl=hi&amp;sl=en&amp;tl=hi&amp;client=srp</t>
  </si>
  <si>
    <t xml:space="preserve">We Are Flooded With Cases Of Civil Wrongs Being Made Subject Matter Of Criminal Proceedings: Supreme Court Imposes ₹50k Cost On UP State</t>
  </si>
  <si>
    <t xml:space="preserve">https://www.verdictum.in/court-updates/supreme-court/rikhab-birani-v-state-of-uttar-pradesh-2025-insc-512-civil-wrongs-criminal-proceedings-1574792</t>
  </si>
  <si>
    <t xml:space="preserve">Rikhab Birani vs The State Of Uttar Pradesh on 16 April, 2025</t>
  </si>
  <si>
    <t xml:space="preserve">https://translate.google.com/translate?u=https%3A%2F%2Findiankanoon.org%2Fdoc%2F140737556%2F&amp;hl=hi&amp;sl=en&amp;tl=hi&amp;client=srp</t>
  </si>
  <si>
    <t xml:space="preserve">lawchakra</t>
  </si>
  <si>
    <t xml:space="preserve">ANALYSIS| Supreme Court Slams Uttar Pradesh Government for Giving Civil Disputes Criminal Colour, Imposes Costs - LawChakra</t>
  </si>
  <si>
    <t xml:space="preserve">https://lawchakra.in/supreme-court/supreme-court-civil-disputes-criminal/</t>
  </si>
  <si>
    <t xml:space="preserve">mphc</t>
  </si>
  <si>
    <t xml:space="preserve">1 IN THE HIGH COURT OF MADHYA PRADESH AT GWALIOR BEFORE</t>
  </si>
  <si>
    <t xml:space="preserve">https://mphc.gov.in/upload/gwalior/MPHCGWL/2022/MCRC/35123/MCRC_35123_2022_FinalOrder_02-Sep-2022.pdf</t>
  </si>
  <si>
    <t xml:space="preserve">Ori HC</t>
  </si>
  <si>
    <t xml:space="preserve">https://www.scconline.com/blog/post/2019/07/10/ori-hc-criminal-cases-involving-offences-of-civil-nature-may-be-quashed-where-parties-have-reached-settlement/</t>
  </si>
  <si>
    <t xml:space="preserve">citedby: 7293093</t>
  </si>
  <si>
    <t xml:space="preserve">parbatbhai+ahir</t>
  </si>
  <si>
    <t xml:space="preserve">https://www.casemine.com/search/in/parbatbhai+ahir</t>
  </si>
  <si>
    <t xml:space="preserve">skklegal</t>
  </si>
  <si>
    <t xml:space="preserve">Supreme Court Revolutionizes Section 498A Implementation</t>
  </si>
  <si>
    <t xml:space="preserve">https://www.skklegal.com/supreme-court-revolutionizes-section-498a-implementation</t>
  </si>
  <si>
    <t xml:space="preserve">drishtijudiciary</t>
  </si>
  <si>
    <t xml:space="preserve">Section 85 of BNS</t>
  </si>
  <si>
    <t xml:space="preserve">https://www.drishtijudiciary.com/current-affairs/section-85-of-bns</t>
  </si>
  <si>
    <t xml:space="preserve">legalmaestros</t>
  </si>
  <si>
    <t xml:space="preserve">GUIDELINES, GAPS, AND GOING IN CIRCLES : SUPREME COURT’S CONTRADICTIONS ON 498A SAFEGUARDS</t>
  </si>
  <si>
    <t xml:space="preserve">https://legalmaestros.com/column/guidelines-gaps-and-going-in-circles-supreme-courts-contradictions-on-498a-safeguards/</t>
  </si>
  <si>
    <t xml:space="preserve">lawtimesjournal</t>
  </si>
  <si>
    <t xml:space="preserve">Social Action Forum for Manav Adhikar &amp; another vs. Union of India Ministry of Law &amp; Justice &amp; ors. - Law Times Journal</t>
  </si>
  <si>
    <t xml:space="preserve">https://lawtimesjournal.in/social-action-forum-for-manav-adhikar-another-vs-union-of-india-ministry-of-law-justice-ors/</t>
  </si>
  <si>
    <t xml:space="preserve">divorcebylaw</t>
  </si>
  <si>
    <t xml:space="preserve">No Arrest for 2 months in 498A IPC or 85 BNS. Is it enforced?</t>
  </si>
  <si>
    <t xml:space="preserve">https://divorcebylaw.com/family-welfare-committee-is-it-practical/</t>
  </si>
  <si>
    <t xml:space="preserve">No Arrest In 498A FIRs in 2 Months</t>
  </si>
  <si>
    <t xml:space="preserve">https://drishtijudiciary.com/current-affairs/no-arrest-in-498a-firs-in-2-months</t>
  </si>
  <si>
    <t xml:space="preserve">Bar of limitation period under S. 468 CrPC applies only to penal proceedings under S. 31 DV Act: J&amp;K and Ladakh HC</t>
  </si>
  <si>
    <t xml:space="preserve">https://www.scconline.com/blog/post/2025/08/29/s-468-crpc-applies-to-penal-proceedings-under-dv-act-jk-hc/</t>
  </si>
  <si>
    <t xml:space="preserve">lawyersclubindia</t>
  </si>
  <si>
    <t xml:space="preserve">Court Entitled To Take Cognizance Where The Complaint Was Filed Within The Limitation Period: SC In Kamatchi Vs Lakshmi Narayanan - Others</t>
  </si>
  <si>
    <t xml:space="preserve">https://www.lawyersclubindia.com/judiciary/court-entitled-to-take-cognizance-where-the-complaint-was-filed-within-the-limitation-period-sc-in-kamatchi-vs-lakshmi-narayanan-5857.asp</t>
  </si>
  <si>
    <t xml:space="preserve">Clarification on Limitation Period in Domestic Violence Cases: Kamatchi v. Lakshmi Narayanan [2022 INSC 421]: Supreme Court Of India</t>
  </si>
  <si>
    <t xml:space="preserve">https://www.casemine.com/commentary/in/clarification-on-limitation-period-in-domestic-violence-cases:-kamatchi-v.-lakshmi-narayanan-2022-insc-421/view</t>
  </si>
  <si>
    <t xml:space="preserve">Kumar @ Shiva Kumar v. State of Karnataka</t>
  </si>
  <si>
    <t xml:space="preserve">https://digiscr.sci.gov.in/html_view?dir=YWRtaW4vanVkZ2VtZW50X2ZpbGUvZWJvb2tzLzIwMjQvdm9sdW1lIDMvUGFydCBJSS8yMDI0MzMyOTM1NTE3MTE5NDc5MzUuaHRtbA%3D%3D&amp;judgment_id=MzcyMjQ%3D</t>
  </si>
  <si>
    <t xml:space="preserve">SC discusses essential ingredients of S. 306 IPC while discharging husband &amp; his family from charges of abetting wife’s suicide</t>
  </si>
  <si>
    <t xml:space="preserve">https://www.scconline.com/blog/post/2024/12/11/supreme-court-discusses-essential-ingredients-s-306-ipc/</t>
  </si>
  <si>
    <t xml:space="preserve">bhattandjoshiassociates</t>
  </si>
  <si>
    <t xml:space="preserve">Abetment of Suicide under Section 108 BNS: Ingredients, Proof Standards and Evidentiary Value of a Suicide Note - Bhatt &amp; Joshi Associates</t>
  </si>
  <si>
    <t xml:space="preserve">https://bhattandjoshiassociates.com/abetment-of-suicide-under-bns-section-108-ingredients-proof-standard-suicide-note-relevance-updated-2026/</t>
  </si>
  <si>
    <t xml:space="preserve">lawarticle</t>
  </si>
  <si>
    <t xml:space="preserve">Attorney General for India v. Satish &amp; Anr. 2021 - LawArticle</t>
  </si>
  <si>
    <t xml:space="preserve">https://lawarticle.in/attorney-general-for-india-v-satish-anr-2021/</t>
  </si>
  <si>
    <t xml:space="preserve">Attorney General for India v. Satish and Another (2021)</t>
  </si>
  <si>
    <t xml:space="preserve">https://www.drishtijudiciary.com/landmark-judgement/special-acts/the-protection-of-children-from-sexual-offenses-act/attorney-general-for-india-v-satish-and-another-2021</t>
  </si>
  <si>
    <t xml:space="preserve">wikiwand</t>
  </si>
  <si>
    <t xml:space="preserve">Attorney General for India v. Satish - Wikiwand</t>
  </si>
  <si>
    <t xml:space="preserve">https://www.wikiwand.com/en/articles/Attorney_General_for_India_v._Satish</t>
  </si>
  <si>
    <t xml:space="preserve">IN THE HIGH COURT OF MADHYA PRADESH AT JABALPUR BEFORE</t>
  </si>
  <si>
    <t xml:space="preserve">https://mphc.gov.in/upload/jabalpur/MPHCJB/2021/CRR/2527/CRR_2527_2021_FinalOrder_20-Apr-2022_digi.pdf</t>
  </si>
  <si>
    <t xml:space="preserve">Compromise Between Parties Not A Ground To Terminate Investigation By Quashing FIR: SC In School Student’s Sexual Assault Case</t>
  </si>
  <si>
    <t xml:space="preserve">pahujalawacademy</t>
  </si>
  <si>
    <t xml:space="preserve">Ramji Lal Bairwa v State of Rajasthan, 2024 (SC) 865: Illegality of Settlements in POCSO Cases</t>
  </si>
  <si>
    <t xml:space="preserve">https://www.pahujalawacademy.com/ramji-lal-bairwa-and-anr-versus-state-of-rajasthan-and-ors-2024-sc-865</t>
  </si>
  <si>
    <t xml:space="preserve">No Compromise in POCSO Case</t>
  </si>
  <si>
    <t xml:space="preserve">https://www.drishtijudiciary.com/current-affairs/no-compromise-in-pocso-case</t>
  </si>
  <si>
    <t xml:space="preserve">lawyerenews</t>
  </si>
  <si>
    <t xml:space="preserve">POCSO</t>
  </si>
  <si>
    <t xml:space="preserve">https://lawyerenews.com/legal_detail/pocso-offences-against-children-are-offences-against-society-and-cannot-be-compromised-supreme-court</t>
  </si>
  <si>
    <t xml:space="preserve">Consent and Relationship Context in Criminal Proceedings: Analysis of Prashant v. State of NCT of Delhi: Supreme Court Of India</t>
  </si>
  <si>
    <t xml:space="preserve">https://www.casemine.com/commentary/in/consent-and-relationship-context-in-criminal-proceedings:-analysis-of-prashant-v.-state-of-nct-of-delhi/view</t>
  </si>
  <si>
    <t xml:space="preserve">breach of promise to marry Archives</t>
  </si>
  <si>
    <t xml:space="preserve">IN THE HIGH COURT OF MADHYA PRADESH AT GWALIOR BEFORE</t>
  </si>
  <si>
    <t xml:space="preserve">https://mphc.gov.in/upload/gwalior/MPHCGWL/2023/MCRC/26644/MCRC_26644_2023_FinalOrder_11-11-2025_digi.pdf</t>
  </si>
  <si>
    <t xml:space="preserve">supremetoday</t>
  </si>
  <si>
    <t xml:space="preserve">Pramod Suryabhan Pawar legal case</t>
  </si>
  <si>
    <t xml:space="preserve">https://supremetoday.ai/search/Pramod-Suryabhan-Pawar-legal-case</t>
  </si>
  <si>
    <t xml:space="preserve">kar</t>
  </si>
  <si>
    <t xml:space="preserve">Evidence of electronic records - Karnataka Lokayukta</t>
  </si>
  <si>
    <t xml:space="preserve">https://lokayukta.kar.nic.in/important_judgements_detail.php?JID=CC5</t>
  </si>
  <si>
    <t xml:space="preserve">[2020] 7 SCR 180 - Digital Supreme Court Reports</t>
  </si>
  <si>
    <t xml:space="preserve">Manoj and Others v. State of Madhya Pradesh</t>
  </si>
  <si>
    <t xml:space="preserve">https://digiscr.sci.gov.in/view_judgment?id=MzA3MDM%3D</t>
  </si>
  <si>
    <t xml:space="preserve">SC on reconsideration of death sentence under Art. 32</t>
  </si>
  <si>
    <t xml:space="preserve">https://www.scconline.com/blog/post/2025/08/28/supreme-court-reconsideration-of-death-sentence-under-art-32/</t>
  </si>
  <si>
    <t xml:space="preserve">Manoj vs The State Of Madhya Pradesh on 20 May, 2022</t>
  </si>
  <si>
    <t xml:space="preserve">ED Has No Power To Arrest Accused After Special Court Takes Cognizance Of PMLA Offence: Supreme Court</t>
  </si>
  <si>
    <t xml:space="preserve">https://www.verdictum.in/court-updates/supreme-court/tarsem-lal-v-directorate-of-enforcement-2024-insc-434-ed-powerless-to-arrest-money-laundering-case-cognizance-us-44-1b-pmla-1535836</t>
  </si>
  <si>
    <t xml:space="preserve">lexology</t>
  </si>
  <si>
    <t xml:space="preserve">Tarsem Lal v Directorate of Enforcement: Supreme Court further clarifies PMLA framework - Lexology</t>
  </si>
  <si>
    <t xml:space="preserve">https://www.lexology.com/library/detail.aspx?g=f1d13e45-0116-47c0-8b58-b92c1de78cff</t>
  </si>
  <si>
    <t xml:space="preserve">Wikipedia</t>
  </si>
  <si>
    <t xml:space="preserve">Enforcement Directorate</t>
  </si>
  <si>
    <t xml:space="preserve">https://en.wikipedia.org/wiki/Enforcement_Directorate</t>
  </si>
  <si>
    <t xml:space="preserve">indialegallive</t>
  </si>
  <si>
    <t xml:space="preserve">On Trial Again - India Legal</t>
  </si>
  <si>
    <t xml:space="preserve">https://indialegallive.com/cover-story-articles/il-feature-news/pmla-review-supreme-court-constitution-bench-vijay-madanlal-choudhary-ruling/</t>
  </si>
  <si>
    <t xml:space="preserve">Enforcement Directorate’s power to arrest under PMLA after Special Court’s cognisance - Supreme Court Observer</t>
  </si>
  <si>
    <t xml:space="preserve">https://www.scobserver.in/cases/enforcement-directorates-power-to-arrest-under-pmla-after-special-courts-cognisance-tarsem-lal-v-directorate-of-enforcement/</t>
  </si>
  <si>
    <t xml:space="preserve">Pankaj Bansal vs Union Of India on 3 October, 2023</t>
  </si>
  <si>
    <t xml:space="preserve">https://indiankanoon.org/doc/189692408/</t>
  </si>
  <si>
    <t xml:space="preserve">manupatra</t>
  </si>
  <si>
    <t xml:space="preserve">SC: Judgment in Pankaj Bansal v. Union of India Does Not Apply Retrospectively</t>
  </si>
  <si>
    <t xml:space="preserve">https://updates.manupatra.com/roundup/contentsummary.aspx?iid=44641&amp;text=</t>
  </si>
  <si>
    <t xml:space="preserve">lawweb</t>
  </si>
  <si>
    <t xml:space="preserve">Law Web: Supreme court: Accused should not be handcuffed and be tied to hospital bed if he is admitted in Hospital</t>
  </si>
  <si>
    <t xml:space="preserve">https://www.lawweb.in/2025/03/supreme-court-accused-should-not-be.html</t>
  </si>
  <si>
    <t xml:space="preserve">clpr</t>
  </si>
  <si>
    <t xml:space="preserve">Prathvi Raj Chauhan Vs. Union of India (UOI) and Ors.</t>
  </si>
  <si>
    <t xml:space="preserve">https://clpr.org.in/wp-content/uploads/2024/12/32.-Prathvi_Raj_Chauhan_vs_Union_of_India_UOI_and_Ors_SC20201102201657445COM154847.pdf</t>
  </si>
  <si>
    <t xml:space="preserve">1 REPORTABLE IN THE SUPREME COURT OF INDIA CIVIL ORIGINAL JURISDICTION</t>
  </si>
  <si>
    <t xml:space="preserve">https://api.sci.gov.in/supremecourt/2018/31176/31176_2018_3_1501_20551_Judgement_10-Feb-2020.pdf</t>
  </si>
  <si>
    <t xml:space="preserve">vlex</t>
  </si>
  <si>
    <t xml:space="preserve">UNION OF INDIA vs THE STATE OF MAHARASHTRA. Supreme Court, 01-10-2019 - vLex India</t>
  </si>
  <si>
    <t xml:space="preserve">https://vlex.in/vid/r-p-crl-no-852310764</t>
  </si>
  <si>
    <t xml:space="preserve">Subhash Kashinath Mahajan</t>
  </si>
  <si>
    <t xml:space="preserve">https://www.scobserver.in/journal/subhash-kashinath-mahajan-court-recalls-its-order/</t>
  </si>
  <si>
    <t xml:space="preserve">SAFEGUARDS AGAINST MISUSE OF THE SC/ST (PREVENTION OF ATROCITIES) ACT, 1989</t>
  </si>
  <si>
    <t xml:space="preserve">https://paramjeetsinghberwal.substack.com/p/safeguards-against-misuse-of-the</t>
  </si>
  <si>
    <t xml:space="preserve">thelegallock</t>
  </si>
  <si>
    <t xml:space="preserve">CASE BRIEF: UNION OF INDIA v. STATE OF MAHARASHTRA, (2020) 4 SCC 761 - The Legal Lock</t>
  </si>
  <si>
    <t xml:space="preserve">https://thelegallock.com/case-brief-union-of-india-v-state-of-maharashtra-2020-4-scc-761/</t>
  </si>
  <si>
    <t xml:space="preserve">Union of India v. State of Maharashtra and Others</t>
  </si>
  <si>
    <t xml:space="preserve">https://www.supremecourtcases.com/union-of-india-v-state-of-maharashtra-and-others/</t>
  </si>
  <si>
    <t xml:space="preserve">Sukanya Shantha vs Union Of India on 3 October, 2024</t>
  </si>
  <si>
    <t xml:space="preserve">https://indiankanoon.org/doc/137753759/</t>
  </si>
  <si>
    <t xml:space="preserve">karavadi</t>
  </si>
  <si>
    <t xml:space="preserve">Jai Shankar Chaudhary - Karavadi &amp; Associates Law Firm</t>
  </si>
  <si>
    <t xml:space="preserve">https://karavadi.in/tag/jai-shankar-chaudhary/</t>
  </si>
  <si>
    <t xml:space="preserve">Suspension of Life Sentence</t>
  </si>
  <si>
    <t xml:space="preserve">https://www.drishtijudiciary.com/current-affairs/suspension-of-life-sentence</t>
  </si>
  <si>
    <t xml:space="preserve">1 2023 LiveLaw (SC) 389 IN THE SUPREME COURT OF INDIA</t>
  </si>
  <si>
    <t xml:space="preserve">https://www.livelaw.in/pdf_upload/389-omprakash-sahni-v-jai-shankar-chaudhary-2-may-2023-471224.pdf</t>
  </si>
  <si>
    <t xml:space="preserve">testbook</t>
  </si>
  <si>
    <t xml:space="preserve">Omprakash Sahni vs Jai Shankar Chaudhary Case Analysis</t>
  </si>
  <si>
    <t xml:space="preserve">https://testbook.com/landmark-judgements/omprakash-sahni-vs-jai-shankar-chaudhary</t>
  </si>
  <si>
    <t xml:space="preserve">Supreme Court Directs States To Consider Premature Release Of Convicts When They Become Eligible Even Without Their Applications</t>
  </si>
  <si>
    <t xml:space="preserve">https://www.livelaw.in/top-stories/supreme-court-directs-states-to-consider-premature-release-of-convicts-when-they-become-eligible-even-without-their-applications-284292</t>
  </si>
  <si>
    <t xml:space="preserve">Appropriate Govt. obligated to consider cases of eligible convicts for grant of premature release where such policy exists: SC</t>
  </si>
  <si>
    <t xml:space="preserve">https://www.scconline.com/blog/post/2025/02/19/explained-appropriate-govt-power-remit-sentence-sc-legal-news/</t>
  </si>
  <si>
    <t xml:space="preserve">New Directions on Prisoner Remission</t>
  </si>
  <si>
    <t xml:space="preserve">https://www.drishtijudiciary.com/editorial/new-directions-on-prisoner-remission</t>
  </si>
  <si>
    <t xml:space="preserve">insightsonindia</t>
  </si>
  <si>
    <t xml:space="preserve">Supreme Court’s 2025 Ruling on Remission: Key Guidelines &amp; Implications</t>
  </si>
  <si>
    <t xml:space="preserve">https://www.insightsonindia.com/2025/02/21/remission/</t>
  </si>
  <si>
    <t xml:space="preserve">grhari</t>
  </si>
  <si>
    <t xml:space="preserve">Supreme Court Clarifies Policy Strategy for Grant of Bail and Remission in Criminal Law (2025) - G.R.Hari Legal Research Wing</t>
  </si>
  <si>
    <t xml:space="preserve">https://research.grhari.com/supreme-court-clarifies-policy-strategy-for-grant-of-bail-and-remission-in-criminal-law-2025/</t>
  </si>
  <si>
    <t xml:space="preserve">pwonlyias</t>
  </si>
  <si>
    <t xml:space="preserve">Governments Obliged To Consider Remission Of Eligible Convicts Without Waiting For Application: SC</t>
  </si>
  <si>
    <t xml:space="preserve">https://pwonlyias.com/current-affairs/governments-obliged-to-consider-remission-of-eligible-convicts/</t>
  </si>
  <si>
    <t xml:space="preserve">Section 38 BNSS Confers Right to Meet, Not Continuous Presence of Advocate During Interrogation: SC Modifies Police Custody Conditions</t>
  </si>
  <si>
    <t xml:space="preserve">https://www.scconline.com/blog/post/2026/07/29/sc-modified-impracticable-police-custody-conditions/</t>
  </si>
  <si>
    <t xml:space="preserve">ommcomnews</t>
  </si>
  <si>
    <t xml:space="preserve">Accused Not Entitled To Advocate's Continuous Presence During Police Interrogation, Rules SC</t>
  </si>
  <si>
    <t xml:space="preserve">https://ommcomnews.com/india-news/accused-not-entitled-to-advocates-continuous-presence-during-police-interrogation-rules-sc/</t>
  </si>
  <si>
    <t xml:space="preserve">S. 38 BNSS</t>
  </si>
  <si>
    <t xml:space="preserve">https://www.livelaw.in/supreme-court/s-38-bnss-advocate-of-accused-cannot-remain-present-throughout-police-interrogation-supreme-court-543081</t>
  </si>
  <si>
    <t xml:space="preserve">Bharatiya Nagarik Suraksha Sanhita (BNSS) and Bharatiya Nyaya Sanhita (BNS) Monthly Digest: July 2026</t>
  </si>
  <si>
    <t xml:space="preserve">https://www.livelaw.in/top-stories/bnss-bns-monthly-digest-july-2026-545646</t>
  </si>
  <si>
    <t xml:space="preserve">lawpreptutorial</t>
  </si>
  <si>
    <t xml:space="preserve">28 July 2026 Legal Updates</t>
  </si>
  <si>
    <t xml:space="preserve">https://www.lawpreptutorial.com/legal-update/28-july-2026</t>
  </si>
  <si>
    <t xml:space="preserve">ipleaders</t>
  </si>
  <si>
    <t xml:space="preserve">Section 318 BNS (Old 420 IPC): Cheating, Bail 2026</t>
  </si>
  <si>
    <t xml:space="preserve">https://blog.ipleaders.in/section-420-bns-cheating-318/</t>
  </si>
  <si>
    <t xml:space="preserve">lawsikho</t>
  </si>
  <si>
    <t xml:space="preserve">Section 318(4) BNS: Cheating, 420 IPC Map, Bail 2026</t>
  </si>
  <si>
    <t xml:space="preserve">https://lawsikho.com/blog/section-318-bns-cheating-law-punishment-bail-and-ipc-420-mapping-explained/</t>
  </si>
  <si>
    <t xml:space="preserve">Reclaiming Liberty’s Script - India Legal</t>
  </si>
  <si>
    <t xml:space="preserve">https://indialegallive.com/magazine/supreme-court-order-written-grounds-of-arrest/</t>
  </si>
  <si>
    <t xml:space="preserve">barandbench</t>
  </si>
  <si>
    <t xml:space="preserve">Supreme Court asks courts to defer pleas for default bail based on Ritu Chhabaria judgment after Central government seeks recall of verdict</t>
  </si>
  <si>
    <t xml:space="preserve">https://www.barandbench.com/news/litigation/supreme-court-asks-courts-to-defer-pleas-for-default-bail-based-on-ritu-chhabaria-judgment-after-central-government-seeks-recall-of-verdict</t>
  </si>
  <si>
    <t xml:space="preserve">A narrow check on the ED’s wide powers - Supreme Court Observer</t>
  </si>
  <si>
    <t xml:space="preserve">https://www.scobserver.in/journal/a-narrow-check-on-the-eds-wide-powers-pmla-supreme-court/</t>
  </si>
  <si>
    <t xml:space="preserve">Bharatiya Nagarik Suraksha Sanhita (BNSS) And Bhartiya Nyaya Sanhita (BNS) Half-Yearly Digest: January - June, 2026</t>
  </si>
  <si>
    <t xml:space="preserve">https://www.livelaw.in/top-stories/bnss-bns-latest-judgments-half-yearly-digest-2026-542012</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</si>
</sst>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0"/>
      <name val="Arial"/>
      <family val="0"/>
      <charset val="1"/>
    </font>
    <font>
      <sz val="10"/>
      <name val="Arial"/>
      <family val="0"/>
      <charset val="1"/>
    </font>
    <font>
      <b val="true"/>
      <sz val="14"/>
      <color rgb="FF1F3A5F"/>
      <name val="Arial"/>
      <family val="0"/>
      <charset val="1"/>
    </font>
    <font>
      <b val="true"/>
      <sz val="11"/>
      <color rgb="FF1F3A5F"/>
      <name val="Arial"/>
      <family val="0"/>
      <charset val="1"/>
    </font>
    <font>
      <u val="single"/>
      <sz val="10"/>
      <color rgb="FF1A5FB4"/>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F3F6FA"/>
        <bgColor rgb="FFFFFFFF"/>
      </patternFill>
    </fill>
  </fills>
  <borders count="2">
    <border diagonalUp="false" diagonalDown="false">
      <left/>
      <right/>
      <top/>
      <bottom/>
      <diagonal/>
    </border>
    <border diagonalUp="false" diagonalDown="false">
      <left style="thin">
        <color rgb="FFB8C0CC"/>
      </left>
      <right style="thin">
        <color rgb="FFB8C0CC"/>
      </right>
      <top style="thin">
        <color rgb="FFB8C0CC"/>
      </top>
      <bottom style="thin">
        <color rgb="FFB8C0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A5F"/>
          <bgColor rgb="FF000000"/>
        </patternFill>
      </fill>
    </dxf>
    <dxf>
      <fill>
        <patternFill patternType="solid">
          <fgColor rgb="FFF3F6FA"/>
          <bgColor rgb="FF000000"/>
        </patternFill>
      </fill>
    </dxf>
    <dxf>
      <fill>
        <patternFill patternType="solid">
          <bgColor rgb="FF000000"/>
        </patternFill>
      </fill>
    </dxf>
    <dxf>
      <fill>
        <patternFill patternType="solid">
          <fgColor rgb="FFFFFFFF"/>
          <bgColor rgb="FF000000"/>
        </patternFill>
      </fill>
    </dxf>
    <dxf>
      <fill>
        <patternFill patternType="solid">
          <fgColor rgb="FF1A5FB4"/>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8C0CC"/>
      <rgbColor rgb="FF808080"/>
      <rgbColor rgb="FF9999FF"/>
      <rgbColor rgb="FF993366"/>
      <rgbColor rgb="FFF3F6FA"/>
      <rgbColor rgb="FFCCFFFF"/>
      <rgbColor rgb="FF660066"/>
      <rgbColor rgb="FFFF8080"/>
      <rgbColor rgb="FF1A5FB4"/>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hyperlink" Target="https://indiaproai.com/legal-guides/ipc-section-420-bns-318-cheating-complete-guide-india" TargetMode="External"/><Relationship Id="rId2" Type="http://schemas.openxmlformats.org/officeDocument/2006/relationships/hyperlink" Target="https://www.verdictum.in/court-updates/supreme-court/mihir-rajesh-shah-v-state-of-maharashtra-2025-insc-1288-grounds-of-arrest-1597198" TargetMode="External"/><Relationship Id="rId3" Type="http://schemas.openxmlformats.org/officeDocument/2006/relationships/hyperlink" Target="https://www.livelaw.in/high-court/delhi-high-court/delhi-high-court-supreme-court-mihir-rajesh-shah-ruling-written-grounds-arrest-prospectively-520838" TargetMode="External"/><Relationship Id="rId4" Type="http://schemas.openxmlformats.org/officeDocument/2006/relationships/hyperlink" Target="https://www.scobserver.in/wp-content/uploads/2025/11/SCOLR-Judgement_Mihir-Rajesh-Shah-v-State-of-Maharashtra.pdf" TargetMode="External"/><Relationship Id="rId5" Type="http://schemas.openxmlformats.org/officeDocument/2006/relationships/hyperlink" Target="https://indiankanoon.org/doc/75521991/" TargetMode="External"/><Relationship Id="rId6" Type="http://schemas.openxmlformats.org/officeDocument/2006/relationships/hyperlink" Target="https://kbssidhu.substack.com/p/bolstering-personal-liberty-the-supreme" TargetMode="External"/><Relationship Id="rId7" Type="http://schemas.openxmlformats.org/officeDocument/2006/relationships/hyperlink" Target="https://www.verdictum.in/court-updates/supreme-court/satender-kumar-antil-v-central-bureau-of-investigation-2025-insc-909-electronic-communication-service-of-notice-section-35-bnss-whatsapp-1586826" TargetMode="External"/><Relationship Id="rId8" Type="http://schemas.openxmlformats.org/officeDocument/2006/relationships/hyperlink" Target="https://www.mhcolaw.com/updates/criminal-law-update-legal-notices-via-whatsapp-not-permissible-rules-supreme-court/172" TargetMode="External"/><Relationship Id="rId9" Type="http://schemas.openxmlformats.org/officeDocument/2006/relationships/hyperlink" Target="https://www.livelaw.in/supreme-court/supreme-court-judgments-and-orders-quarterly-digest-bnss-2026-532575" TargetMode="External"/><Relationship Id="rId10" Type="http://schemas.openxmlformats.org/officeDocument/2006/relationships/hyperlink" Target="https://questions.collegedunia.com/exams/questions/in-which-case-it-was-held-by-the-supreme-court-tha-66b06e9ca5e223d061ecb50f" TargetMode="External"/><Relationship Id="rId11" Type="http://schemas.openxmlformats.org/officeDocument/2006/relationships/hyperlink" Target="https://www.casemine.com/commentary/in/reaffirming-the-broad-scope-of-anticipatory-bail-under-section-438-crpc:-sushila-aggarwal-v.-state-(2020-insc-106)/view" TargetMode="External"/><Relationship Id="rId12" Type="http://schemas.openxmlformats.org/officeDocument/2006/relationships/hyperlink" Target="https://www.scconline.com/blog/post/2024/04/15/chargesheet-without-fsl-report-accused-default-bail-sc-refers-larger-bench-legal-news/" TargetMode="External"/><Relationship Id="rId13" Type="http://schemas.openxmlformats.org/officeDocument/2006/relationships/hyperlink" Target="https://askjunior.substack.com/p/daily-judgments-of-01-july-029" TargetMode="External"/><Relationship Id="rId14" Type="http://schemas.openxmlformats.org/officeDocument/2006/relationships/hyperlink" Target="https://www.pressreader.com/india/the-hindu-international-9bn2/20260703/281758456024372" TargetMode="External"/><Relationship Id="rId15" Type="http://schemas.openxmlformats.org/officeDocument/2006/relationships/hyperlink" Target="https://www.supremecourtcases.com/shaurya-sunil-kumar-singh-v-central-bureau-of-investigation/" TargetMode="External"/><Relationship Id="rId16" Type="http://schemas.openxmlformats.org/officeDocument/2006/relationships/hyperlink" Target="https://www.livelaw.in/top-stories/supreme-court-dismisses-cbis-review-petition-against-ritu-chhabaria-judgment-that-incomplete-chargesheet-wont-defeat-default-bail-300281" TargetMode="External"/><Relationship Id="rId17" Type="http://schemas.openxmlformats.org/officeDocument/2006/relationships/hyperlink" Target="https://www.livelaw.in/top-stories/supreme-court-ritu-chhabaria-review-petition-default-bail-228588" TargetMode="External"/><Relationship Id="rId18" Type="http://schemas.openxmlformats.org/officeDocument/2006/relationships/hyperlink" Target="https://lawbeat.in/top-stories/courts-considering-default-bail-applications-will-not-rely-ritu-chhabaria-judgment" TargetMode="External"/><Relationship Id="rId19" Type="http://schemas.openxmlformats.org/officeDocument/2006/relationships/hyperlink" Target="https://indiankanoon.org/doc/120451656/" TargetMode="External"/><Relationship Id="rId20" Type="http://schemas.openxmlformats.org/officeDocument/2006/relationships/hyperlink" Target="https://www.scconline.com/blog/post/2024/04/29/2024-scc-vol-3-part-5/" TargetMode="External"/><Relationship Id="rId21" Type="http://schemas.openxmlformats.org/officeDocument/2006/relationships/hyperlink" Target="https://www.verdictum.in/supreme-court/2026-insc-666-shaurya-sunil-kumar-singh-v-cbi-1616990" TargetMode="External"/><Relationship Id="rId22" Type="http://schemas.openxmlformats.org/officeDocument/2006/relationships/hyperlink" Target="https://www.iasgyan.in/daily-current-affairs/scope-of-statutory-bail-in-india-supreme-court-rulings-and-bnss-guidelines" TargetMode="External"/><Relationship Id="rId23" Type="http://schemas.openxmlformats.org/officeDocument/2006/relationships/hyperlink" Target="https://www.livelaw.in/articles/when-exceptions-swallow-rule-problem-section-479-bnss-307288" TargetMode="External"/><Relationship Id="rId24" Type="http://schemas.openxmlformats.org/officeDocument/2006/relationships/hyperlink" Target="https://ijlmh.com/article/view/section-479-of-the-bharatiya-nagarik-suraksha-sanhita-2023-evaluating-the-promise-of-undertrial-reform-against-the-reality-of-implementation" TargetMode="External"/><Relationship Id="rId25" Type="http://schemas.openxmlformats.org/officeDocument/2006/relationships/hyperlink" Target="https://www.livelaw.in/top-stories/supreme-court-allows-benefit-of-section-479-bnss-to-undertrials-in-cases-registered-before-july-1-2024-267487" TargetMode="External"/><Relationship Id="rId26" Type="http://schemas.openxmlformats.org/officeDocument/2006/relationships/hyperlink" Target="https://www.etvbharat.com/en/!bharat/section-479-of-bnss-would-apply-retrospectively-for-undertrials-sc-told-enn24082305434" TargetMode="External"/><Relationship Id="rId27" Type="http://schemas.openxmlformats.org/officeDocument/2006/relationships/hyperlink" Target="https://legal60.com/case-summary-sanjabij-tari-v-kishore-s-borcar-anr-2025-probation-benefit-available-in-cheque-bounce-cases/" TargetMode="External"/><Relationship Id="rId28" Type="http://schemas.openxmlformats.org/officeDocument/2006/relationships/hyperlink" Target="https://www.verdictum.in/court-updates/supreme-court/sanjabij-tari-v-kishore-sborcar-2025-insc-1158-summons-accused-payment-cheque-amount-initial-stage-sec138-ni-act-1592654" TargetMode="External"/><Relationship Id="rId29" Type="http://schemas.openxmlformats.org/officeDocument/2006/relationships/hyperlink" Target="https://www.verdictum.in/bombay-high-court/cambium-boitech-private-ltd-v-the-state-of-maharashtra-913-crwp-4815-2025-1616479" TargetMode="External"/><Relationship Id="rId30" Type="http://schemas.openxmlformats.org/officeDocument/2006/relationships/hyperlink" Target="https://lawministry.in/sanjabij-tari-versus-kishore-s-borcar-supreme-court-2025-insc-1158/" TargetMode="External"/><Relationship Id="rId31" Type="http://schemas.openxmlformats.org/officeDocument/2006/relationships/hyperlink" Target="https://veritect.ai/case-analysis/sanjabij-tari-v-kishore-s-borcar-practice-guide" TargetMode="External"/><Relationship Id="rId32" Type="http://schemas.openxmlformats.org/officeDocument/2006/relationships/hyperlink" Target="https://www.verdictum.in/court-updates/high-courts/rakesh-ranjan-shrivastava-v-state-of-jharkhand-2024-insc-205-section-143a-negotiable-instruments-act-discretionary-not-mandatory-1525808" TargetMode="External"/><Relationship Id="rId33" Type="http://schemas.openxmlformats.org/officeDocument/2006/relationships/hyperlink" Target="https://lawfoyer.in/rakesh-ranjan-shrivastava-vs-the-state-of-jharkhand-anr/" TargetMode="External"/><Relationship Id="rId34" Type="http://schemas.openxmlformats.org/officeDocument/2006/relationships/hyperlink" Target="https://claritaslegal.in/interim-compensation-not-mandatory-under-section-143a-of-negotiable-instruments-act-1881/" TargetMode="External"/><Relationship Id="rId35" Type="http://schemas.openxmlformats.org/officeDocument/2006/relationships/hyperlink" Target="https://www-linkedin-com.translate.goog/pulse/interim-compensation-cheque-dishonour-cases-section-143-a-singh-o4fof?_x_tr_sl=en&amp;_x_tr_tl=hi&amp;_x_tr_hl=hi&amp;_x_tr_pto=tc" TargetMode="External"/><Relationship Id="rId36" Type="http://schemas.openxmlformats.org/officeDocument/2006/relationships/hyperlink" Target="https://unsolvedlegal.com/blog/territorial-jurisdiction-in-cheque-bounce-cases-india/" TargetMode="External"/><Relationship Id="rId37" Type="http://schemas.openxmlformats.org/officeDocument/2006/relationships/hyperlink" Target="https://nia-caselaw.blogspot.com/2025/08/prakash-chimanlal-sheth-vs-jagruti.html" TargetMode="External"/><Relationship Id="rId38" Type="http://schemas.openxmlformats.org/officeDocument/2006/relationships/hyperlink" Target="https://lextechsuite.com/Ms-Bridgestone-India-Pvt-Ltd-Versus-Inderpal-Singh-2015-11-24" TargetMode="External"/><Relationship Id="rId39" Type="http://schemas.openxmlformats.org/officeDocument/2006/relationships/hyperlink" Target="https://knallp.com/from-dashrath-to-sheth-evolution-of-jurisdictional-rules-under-section-138-ni-act/" TargetMode="External"/><Relationship Id="rId40" Type="http://schemas.openxmlformats.org/officeDocument/2006/relationships/hyperlink" Target="https://www.latestlaws.com/latest-caselaw/2020/august/2020-latest-caselaw-485-sc/" TargetMode="External"/><Relationship Id="rId41" Type="http://schemas.openxmlformats.org/officeDocument/2006/relationships/hyperlink" Target="https://api.sci.gov.in/supremecourt/2018/39528/39528_2018_33_1502_23731_Judgement_31-Aug-2020.pdf" TargetMode="External"/><Relationship Id="rId42" Type="http://schemas.openxmlformats.org/officeDocument/2006/relationships/hyperlink" Target="https://api.sci.gov.in/supremecourt/2019/20499/20499_2019_16_119_62941_Judgement_30-Jul-2025.pdf" TargetMode="External"/><Relationship Id="rId43" Type="http://schemas.openxmlformats.org/officeDocument/2006/relationships/hyperlink" Target="https://www.casemine.com/commentary/in/mukesh-singh-v.-state-(narcotic-branch-of-delhi)-2020-insc-524:-redefining-fair-investigation-standards-in-ndps-cases/view" TargetMode="External"/><Relationship Id="rId44" Type="http://schemas.openxmlformats.org/officeDocument/2006/relationships/hyperlink" Target="https://delhihighcourt.nic.in/app/showFileJudgment/NBK04112025BA38012025_155725.txt" TargetMode="External"/><Relationship Id="rId45" Type="http://schemas.openxmlformats.org/officeDocument/2006/relationships/hyperlink" Target="https://www.legitquest.com/case/sh-faruk-chand-badshah-sheikh-v-union-india/79F219" TargetMode="External"/><Relationship Id="rId46" Type="http://schemas.openxmlformats.org/officeDocument/2006/relationships/hyperlink" Target="https://www.casemine.com/commentary/in/&#8220;from-civil-breach-to-criminal-overreach&#8221;-&#8211;-supreme-court-prescribes-costs-and-caution-for-mis&#8209;labelling-contractual-disputes-as-cheating/view" TargetMode="External"/><Relationship Id="rId47" Type="http://schemas.openxmlformats.org/officeDocument/2006/relationships/hyperlink" Target="https://translate.google.com/translate?u=https%3A%2F%2Fwww.casemine.com%2Fjudgement%2Fin%2F6804b0d624692576d2f637ff&amp;hl=hi&amp;sl=en&amp;tl=hi&amp;client=srp" TargetMode="External"/><Relationship Id="rId48" Type="http://schemas.openxmlformats.org/officeDocument/2006/relationships/hyperlink" Target="https://www.verdictum.in/court-updates/supreme-court/rikhab-birani-v-state-of-uttar-pradesh-2025-insc-512-civil-wrongs-criminal-proceedings-1574792" TargetMode="External"/><Relationship Id="rId49" Type="http://schemas.openxmlformats.org/officeDocument/2006/relationships/hyperlink" Target="https://translate.google.com/translate?u=https%3A%2F%2Findiankanoon.org%2Fdoc%2F140737556%2F&amp;hl=hi&amp;sl=en&amp;tl=hi&amp;client=srp" TargetMode="External"/><Relationship Id="rId50" Type="http://schemas.openxmlformats.org/officeDocument/2006/relationships/hyperlink" Target="https://lawchakra.in/supreme-court/supreme-court-civil-disputes-criminal/" TargetMode="External"/><Relationship Id="rId51" Type="http://schemas.openxmlformats.org/officeDocument/2006/relationships/hyperlink" Target="https://mphc.gov.in/upload/gwalior/MPHCGWL/2022/MCRC/35123/MCRC_35123_2022_FinalOrder_02-Sep-2022.pdf" TargetMode="External"/><Relationship Id="rId52" Type="http://schemas.openxmlformats.org/officeDocument/2006/relationships/hyperlink" Target="https://www.scconline.com/blog/post/2019/07/10/ori-hc-criminal-cases-involving-offences-of-civil-nature-may-be-quashed-where-parties-have-reached-settlement/" TargetMode="External"/><Relationship Id="rId53" Type="http://schemas.openxmlformats.org/officeDocument/2006/relationships/hyperlink" Target="https://indiankanoon.org/search/?formInput=citedby%3A7293093" TargetMode="External"/><Relationship Id="rId54" Type="http://schemas.openxmlformats.org/officeDocument/2006/relationships/hyperlink" Target="https://www.casemine.com/search/in/parbatbhai+ahir" TargetMode="External"/><Relationship Id="rId55" Type="http://schemas.openxmlformats.org/officeDocument/2006/relationships/hyperlink" Target="https://www.skklegal.com/supreme-court-revolutionizes-section-498a-implementation" TargetMode="External"/><Relationship Id="rId56" Type="http://schemas.openxmlformats.org/officeDocument/2006/relationships/hyperlink" Target="https://www.drishtijudiciary.com/current-affairs/section-85-of-bns" TargetMode="External"/><Relationship Id="rId57" Type="http://schemas.openxmlformats.org/officeDocument/2006/relationships/hyperlink" Target="https://legalmaestros.com/column/guidelines-gaps-and-going-in-circles-supreme-courts-contradictions-on-498a-safeguards/" TargetMode="External"/><Relationship Id="rId58" Type="http://schemas.openxmlformats.org/officeDocument/2006/relationships/hyperlink" Target="https://lawtimesjournal.in/social-action-forum-for-manav-adhikar-another-vs-union-of-india-ministry-of-law-justice-ors/" TargetMode="External"/><Relationship Id="rId59" Type="http://schemas.openxmlformats.org/officeDocument/2006/relationships/hyperlink" Target="https://divorcebylaw.com/family-welfare-committee-is-it-practical/" TargetMode="External"/><Relationship Id="rId60" Type="http://schemas.openxmlformats.org/officeDocument/2006/relationships/hyperlink" Target="https://drishtijudiciary.com/current-affairs/no-arrest-in-498a-firs-in-2-months" TargetMode="External"/><Relationship Id="rId61" Type="http://schemas.openxmlformats.org/officeDocument/2006/relationships/hyperlink" Target="https://www.scconline.com/blog/post/2025/08/29/s-468-crpc-applies-to-penal-proceedings-under-dv-act-jk-hc/" TargetMode="External"/><Relationship Id="rId62" Type="http://schemas.openxmlformats.org/officeDocument/2006/relationships/hyperlink" Target="https://www.lawyersclubindia.com/judiciary/court-entitled-to-take-cognizance-where-the-complaint-was-filed-within-the-limitation-period-sc-in-kamatchi-vs-lakshmi-narayanan-5857.asp" TargetMode="External"/><Relationship Id="rId63" Type="http://schemas.openxmlformats.org/officeDocument/2006/relationships/hyperlink" Target="https://www.casemine.com/commentary/in/clarification-on-limitation-period-in-domestic-violence-cases:-kamatchi-v.-lakshmi-narayanan-2022-insc-421/view" TargetMode="External"/><Relationship Id="rId64" Type="http://schemas.openxmlformats.org/officeDocument/2006/relationships/hyperlink" Target="https://digiscr.sci.gov.in/html_view?dir=YWRtaW4vanVkZ2VtZW50X2ZpbGUvZWJvb2tzLzIwMjQvdm9sdW1lIDMvUGFydCBJSS8yMDI0MzMyOTM1NTE3MTE5NDc5MzUuaHRtbA%3D%3D&amp;judgment_id=MzcyMjQ%3D" TargetMode="External"/><Relationship Id="rId65" Type="http://schemas.openxmlformats.org/officeDocument/2006/relationships/hyperlink" Target="https://www.scconline.com/blog/post/2024/12/11/supreme-court-discusses-essential-ingredients-s-306-ipc/" TargetMode="External"/><Relationship Id="rId66" Type="http://schemas.openxmlformats.org/officeDocument/2006/relationships/hyperlink" Target="https://bhattandjoshiassociates.com/abetment-of-suicide-under-bns-section-108-ingredients-proof-standard-suicide-note-relevance-updated-2026/" TargetMode="External"/><Relationship Id="rId67" Type="http://schemas.openxmlformats.org/officeDocument/2006/relationships/hyperlink" Target="https://lawarticle.in/attorney-general-for-india-v-satish-anr-2021/" TargetMode="External"/><Relationship Id="rId68" Type="http://schemas.openxmlformats.org/officeDocument/2006/relationships/hyperlink" Target="https://www.drishtijudiciary.com/landmark-judgement/special-acts/the-protection-of-children-from-sexual-offenses-act/attorney-general-for-india-v-satish-and-another-2021" TargetMode="External"/><Relationship Id="rId69" Type="http://schemas.openxmlformats.org/officeDocument/2006/relationships/hyperlink" Target="https://www.wikiwand.com/en/articles/Attorney_General_for_India_v._Satish" TargetMode="External"/><Relationship Id="rId70" Type="http://schemas.openxmlformats.org/officeDocument/2006/relationships/hyperlink" Target="https://mphc.gov.in/upload/jabalpur/MPHCJB/2021/CRR/2527/CRR_2527_2021_FinalOrder_20-Apr-2022_digi.pdf" TargetMode="External"/><Relationship Id="rId71" Type="http://schemas.openxmlformats.org/officeDocument/2006/relationships/hyperlink" Target="https://www.verdictum.in/court-updates/supreme-court/ramji-lal-bairwa-v-state-of-rajasthan-2024-insc-846-sexual-assault-compromise-between-parties-1557273" TargetMode="External"/><Relationship Id="rId72" Type="http://schemas.openxmlformats.org/officeDocument/2006/relationships/hyperlink" Target="https://www.pahujalawacademy.com/ramji-lal-bairwa-and-anr-versus-state-of-rajasthan-and-ors-2024-sc-865" TargetMode="External"/><Relationship Id="rId73" Type="http://schemas.openxmlformats.org/officeDocument/2006/relationships/hyperlink" Target="https://www.drishtijudiciary.com/current-affairs/no-compromise-in-pocso-case" TargetMode="External"/><Relationship Id="rId74" Type="http://schemas.openxmlformats.org/officeDocument/2006/relationships/hyperlink" Target="https://lawyerenews.com/legal_detail/pocso-offences-against-children-are-offences-against-society-and-cannot-be-compromised-supreme-court" TargetMode="External"/><Relationship Id="rId75" Type="http://schemas.openxmlformats.org/officeDocument/2006/relationships/hyperlink" Target="https://www.casemine.com/commentary/in/consent-and-relationship-context-in-criminal-proceedings:-analysis-of-prashant-v.-state-of-nct-of-delhi/view" TargetMode="External"/><Relationship Id="rId76" Type="http://schemas.openxmlformats.org/officeDocument/2006/relationships/hyperlink" Target="https://www.scconline.com/blog/post/tag/breach-of-promise-to-marry/" TargetMode="External"/><Relationship Id="rId77" Type="http://schemas.openxmlformats.org/officeDocument/2006/relationships/hyperlink" Target="https://mphc.gov.in/upload/gwalior/MPHCGWL/2023/MCRC/26644/MCRC_26644_2023_FinalOrder_11-11-2025_digi.pdf" TargetMode="External"/><Relationship Id="rId78" Type="http://schemas.openxmlformats.org/officeDocument/2006/relationships/hyperlink" Target="https://supremetoday.ai/search/Pramod-Suryabhan-Pawar-legal-case" TargetMode="External"/><Relationship Id="rId79" Type="http://schemas.openxmlformats.org/officeDocument/2006/relationships/hyperlink" Target="https://lokayukta.kar.nic.in/important_judgements_detail.php?JID=CC5" TargetMode="External"/><Relationship Id="rId80" Type="http://schemas.openxmlformats.org/officeDocument/2006/relationships/hyperlink" Target="https://digiscr.sci.gov.in/view_judgment?id=MTA2MjI%3D" TargetMode="External"/><Relationship Id="rId81" Type="http://schemas.openxmlformats.org/officeDocument/2006/relationships/hyperlink" Target="https://digiscr.sci.gov.in/view_judgment?id=MzA3MDM%3D" TargetMode="External"/><Relationship Id="rId82" Type="http://schemas.openxmlformats.org/officeDocument/2006/relationships/hyperlink" Target="https://www.scconline.com/blog/post/2025/08/28/supreme-court-reconsideration-of-death-sentence-under-art-32/" TargetMode="External"/><Relationship Id="rId83" Type="http://schemas.openxmlformats.org/officeDocument/2006/relationships/hyperlink" Target="https://indiankanoon.org/doc/182334419/" TargetMode="External"/><Relationship Id="rId84" Type="http://schemas.openxmlformats.org/officeDocument/2006/relationships/hyperlink" Target="https://www.verdictum.in/court-updates/supreme-court/tarsem-lal-v-directorate-of-enforcement-2024-insc-434-ed-powerless-to-arrest-money-laundering-case-cognizance-us-44-1b-pmla-1535836" TargetMode="External"/><Relationship Id="rId85" Type="http://schemas.openxmlformats.org/officeDocument/2006/relationships/hyperlink" Target="https://www.lexology.com/library/detail.aspx?g=f1d13e45-0116-47c0-8b58-b92c1de78cff" TargetMode="External"/><Relationship Id="rId86" Type="http://schemas.openxmlformats.org/officeDocument/2006/relationships/hyperlink" Target="https://en.wikipedia.org/wiki/Enforcement_Directorate" TargetMode="External"/><Relationship Id="rId87" Type="http://schemas.openxmlformats.org/officeDocument/2006/relationships/hyperlink" Target="https://indialegallive.com/cover-story-articles/il-feature-news/pmla-review-supreme-court-constitution-bench-vijay-madanlal-choudhary-ruling/" TargetMode="External"/><Relationship Id="rId88" Type="http://schemas.openxmlformats.org/officeDocument/2006/relationships/hyperlink" Target="https://www.scobserver.in/cases/enforcement-directorates-power-to-arrest-under-pmla-after-special-courts-cognisance-tarsem-lal-v-directorate-of-enforcement/" TargetMode="External"/><Relationship Id="rId89" Type="http://schemas.openxmlformats.org/officeDocument/2006/relationships/hyperlink" Target="https://indiankanoon.org/doc/189692408/" TargetMode="External"/><Relationship Id="rId90" Type="http://schemas.openxmlformats.org/officeDocument/2006/relationships/hyperlink" Target="https://updates.manupatra.com/roundup/contentsummary.aspx?iid=44641&amp;text=" TargetMode="External"/><Relationship Id="rId91" Type="http://schemas.openxmlformats.org/officeDocument/2006/relationships/hyperlink" Target="https://www.lawweb.in/2025/03/supreme-court-accused-should-not-be.html" TargetMode="External"/><Relationship Id="rId92" Type="http://schemas.openxmlformats.org/officeDocument/2006/relationships/hyperlink" Target="https://clpr.org.in/wp-content/uploads/2024/12/32.-Prathvi_Raj_Chauhan_vs_Union_of_India_UOI_and_Ors_SC20201102201657445COM154847.pdf" TargetMode="External"/><Relationship Id="rId93" Type="http://schemas.openxmlformats.org/officeDocument/2006/relationships/hyperlink" Target="https://api.sci.gov.in/supremecourt/2018/31176/31176_2018_3_1501_20551_Judgement_10-Feb-2020.pdf" TargetMode="External"/><Relationship Id="rId94" Type="http://schemas.openxmlformats.org/officeDocument/2006/relationships/hyperlink" Target="https://vlex.in/vid/r-p-crl-no-852310764" TargetMode="External"/><Relationship Id="rId95" Type="http://schemas.openxmlformats.org/officeDocument/2006/relationships/hyperlink" Target="https://www.scobserver.in/journal/subhash-kashinath-mahajan-court-recalls-its-order/" TargetMode="External"/><Relationship Id="rId96" Type="http://schemas.openxmlformats.org/officeDocument/2006/relationships/hyperlink" Target="https://paramjeetsinghberwal.substack.com/p/safeguards-against-misuse-of-the" TargetMode="External"/><Relationship Id="rId97" Type="http://schemas.openxmlformats.org/officeDocument/2006/relationships/hyperlink" Target="https://thelegallock.com/case-brief-union-of-india-v-state-of-maharashtra-2020-4-scc-761/" TargetMode="External"/><Relationship Id="rId98" Type="http://schemas.openxmlformats.org/officeDocument/2006/relationships/hyperlink" Target="https://www.supremecourtcases.com/union-of-india-v-state-of-maharashtra-and-others/" TargetMode="External"/><Relationship Id="rId99" Type="http://schemas.openxmlformats.org/officeDocument/2006/relationships/hyperlink" Target="https://indiankanoon.org/doc/137753759/" TargetMode="External"/><Relationship Id="rId100" Type="http://schemas.openxmlformats.org/officeDocument/2006/relationships/hyperlink" Target="https://karavadi.in/tag/jai-shankar-chaudhary/" TargetMode="External"/><Relationship Id="rId101" Type="http://schemas.openxmlformats.org/officeDocument/2006/relationships/hyperlink" Target="https://www.drishtijudiciary.com/current-affairs/suspension-of-life-sentence" TargetMode="External"/><Relationship Id="rId102" Type="http://schemas.openxmlformats.org/officeDocument/2006/relationships/hyperlink" Target="https://www.livelaw.in/pdf_upload/389-omprakash-sahni-v-jai-shankar-chaudhary-2-may-2023-471224.pdf" TargetMode="External"/><Relationship Id="rId103" Type="http://schemas.openxmlformats.org/officeDocument/2006/relationships/hyperlink" Target="https://testbook.com/landmark-judgements/omprakash-sahni-vs-jai-shankar-chaudhary" TargetMode="External"/><Relationship Id="rId104" Type="http://schemas.openxmlformats.org/officeDocument/2006/relationships/hyperlink" Target="https://www.livelaw.in/top-stories/supreme-court-directs-states-to-consider-premature-release-of-convicts-when-they-become-eligible-even-without-their-applications-284292" TargetMode="External"/><Relationship Id="rId105" Type="http://schemas.openxmlformats.org/officeDocument/2006/relationships/hyperlink" Target="https://www.scconline.com/blog/post/2025/02/19/explained-appropriate-govt-power-remit-sentence-sc-legal-news/" TargetMode="External"/><Relationship Id="rId106" Type="http://schemas.openxmlformats.org/officeDocument/2006/relationships/hyperlink" Target="https://www.drishtijudiciary.com/editorial/new-directions-on-prisoner-remission" TargetMode="External"/><Relationship Id="rId107" Type="http://schemas.openxmlformats.org/officeDocument/2006/relationships/hyperlink" Target="https://www.insightsonindia.com/2025/02/21/remission/" TargetMode="External"/><Relationship Id="rId108" Type="http://schemas.openxmlformats.org/officeDocument/2006/relationships/hyperlink" Target="https://research.grhari.com/supreme-court-clarifies-policy-strategy-for-grant-of-bail-and-remission-in-criminal-law-2025/" TargetMode="External"/><Relationship Id="rId109" Type="http://schemas.openxmlformats.org/officeDocument/2006/relationships/hyperlink" Target="https://pwonlyias.com/current-affairs/governments-obliged-to-consider-remission-of-eligible-convicts/" TargetMode="External"/><Relationship Id="rId110" Type="http://schemas.openxmlformats.org/officeDocument/2006/relationships/hyperlink" Target="https://www.scconline.com/blog/post/2026/07/29/sc-modified-impracticable-police-custody-conditions/" TargetMode="External"/><Relationship Id="rId111" Type="http://schemas.openxmlformats.org/officeDocument/2006/relationships/hyperlink" Target="https://ommcomnews.com/india-news/accused-not-entitled-to-advocates-continuous-presence-during-police-interrogation-rules-sc/" TargetMode="External"/><Relationship Id="rId112" Type="http://schemas.openxmlformats.org/officeDocument/2006/relationships/hyperlink" Target="https://www.livelaw.in/supreme-court/s-38-bnss-advocate-of-accused-cannot-remain-present-throughout-police-interrogation-supreme-court-543081" TargetMode="External"/><Relationship Id="rId113" Type="http://schemas.openxmlformats.org/officeDocument/2006/relationships/hyperlink" Target="https://www.livelaw.in/top-stories/bnss-bns-monthly-digest-july-2026-545646" TargetMode="External"/><Relationship Id="rId114" Type="http://schemas.openxmlformats.org/officeDocument/2006/relationships/hyperlink" Target="https://www.lawpreptutorial.com/legal-update/28-july-2026" TargetMode="External"/><Relationship Id="rId115" Type="http://schemas.openxmlformats.org/officeDocument/2006/relationships/hyperlink" Target="https://blog.ipleaders.in/section-420-bns-cheating-318/" TargetMode="External"/><Relationship Id="rId116" Type="http://schemas.openxmlformats.org/officeDocument/2006/relationships/hyperlink" Target="https://lawsikho.com/blog/section-318-bns-cheating-law-punishment-bail-and-ipc-420-mapping-explained/" TargetMode="External"/><Relationship Id="rId117" Type="http://schemas.openxmlformats.org/officeDocument/2006/relationships/hyperlink" Target="https://indialegallive.com/magazine/supreme-court-order-written-grounds-of-arrest/" TargetMode="External"/><Relationship Id="rId118" Type="http://schemas.openxmlformats.org/officeDocument/2006/relationships/hyperlink" Target="https://www.barandbench.com/news/litigation/supreme-court-asks-courts-to-defer-pleas-for-default-bail-based-on-ritu-chhabaria-judgment-after-central-government-seeks-recall-of-verdict" TargetMode="External"/><Relationship Id="rId119" Type="http://schemas.openxmlformats.org/officeDocument/2006/relationships/hyperlink" Target="https://www.scobserver.in/journal/a-narrow-check-on-the-eds-wide-powers-pmla-supreme-court/" TargetMode="External"/><Relationship Id="rId120" Type="http://schemas.openxmlformats.org/officeDocument/2006/relationships/hyperlink" Target="https://www.livelaw.in/top-stories/bnss-bns-latest-judgments-half-yearly-digest-2026-542012" TargetMode="External"/><Relationship Id="rId12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8"/>
    <col collapsed="false" customWidth="true" hidden="false" outlineLevel="0" max="3" min="3" style="0" width="28"/>
    <col collapsed="false" customWidth="true" hidden="false" outlineLevel="0" max="4" min="4" style="0" width="55"/>
    <col collapsed="false" customWidth="true" hidden="false" outlineLevel="0" max="5" min="5" style="0" width="6"/>
    <col collapsed="false" customWidth="true" hidden="false" outlineLevel="0" max="6" min="6" style="0" width="8"/>
    <col collapsed="false" customWidth="true" hidden="false" outlineLevel="0" max="7" min="7" style="0" width="16"/>
    <col collapsed="false" customWidth="true" hidden="false" outlineLevel="0" max="8" min="8" style="0" width="22"/>
    <col collapsed="false" customWidth="true" hidden="false" outlineLevel="0" max="9" min="9" style="0" width="60"/>
    <col collapsed="false" customWidth="true" hidden="false" outlineLevel="0" max="10" min="10" style="0" width="66"/>
    <col collapsed="false" customWidth="true" hidden="false" outlineLevel="0" max="11" min="11" style="0" width="60"/>
    <col collapsed="false" customWidth="true" hidden="false" outlineLevel="0" max="12" min="12" style="0" width="7"/>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118.5" hidden="false" customHeight="true" outlineLevel="0" collapsed="false">
      <c r="A2" s="2" t="s">
        <v>12</v>
      </c>
      <c r="B2" s="3" t="s">
        <v>13</v>
      </c>
      <c r="C2" s="4" t="s">
        <v>14</v>
      </c>
      <c r="D2" s="4" t="s">
        <v>15</v>
      </c>
      <c r="E2" s="3" t="s">
        <v>16</v>
      </c>
      <c r="F2" s="3" t="s">
        <v>17</v>
      </c>
      <c r="G2" s="4" t="s">
        <v>18</v>
      </c>
      <c r="H2" s="4" t="s">
        <v>19</v>
      </c>
      <c r="I2" s="4" t="s">
        <v>20</v>
      </c>
      <c r="J2" s="4" t="s">
        <v>21</v>
      </c>
      <c r="K2" s="4" t="s">
        <v>22</v>
      </c>
      <c r="L2" s="3" t="s">
        <v>23</v>
      </c>
    </row>
    <row r="3" customFormat="false" ht="93" hidden="false" customHeight="true" outlineLevel="0" collapsed="false">
      <c r="A3" s="5" t="s">
        <v>24</v>
      </c>
      <c r="B3" s="6" t="s">
        <v>13</v>
      </c>
      <c r="C3" s="7" t="s">
        <v>14</v>
      </c>
      <c r="D3" s="7" t="s">
        <v>25</v>
      </c>
      <c r="E3" s="6" t="s">
        <v>26</v>
      </c>
      <c r="F3" s="6" t="s">
        <v>27</v>
      </c>
      <c r="G3" s="7" t="s">
        <v>28</v>
      </c>
      <c r="H3" s="7" t="s">
        <v>19</v>
      </c>
      <c r="I3" s="7" t="s">
        <v>29</v>
      </c>
      <c r="J3" s="7" t="s">
        <v>30</v>
      </c>
      <c r="K3" s="7" t="s">
        <v>31</v>
      </c>
      <c r="L3" s="6" t="s">
        <v>32</v>
      </c>
    </row>
    <row r="4" customFormat="false" ht="80.25" hidden="false" customHeight="true" outlineLevel="0" collapsed="false">
      <c r="A4" s="2" t="s">
        <v>33</v>
      </c>
      <c r="B4" s="3" t="s">
        <v>13</v>
      </c>
      <c r="C4" s="4" t="s">
        <v>14</v>
      </c>
      <c r="D4" s="4" t="s">
        <v>34</v>
      </c>
      <c r="E4" s="3" t="s">
        <v>35</v>
      </c>
      <c r="F4" s="3" t="s">
        <v>36</v>
      </c>
      <c r="G4" s="4" t="s">
        <v>37</v>
      </c>
      <c r="H4" s="4" t="s">
        <v>19</v>
      </c>
      <c r="I4" s="4" t="s">
        <v>38</v>
      </c>
      <c r="J4" s="4" t="s">
        <v>39</v>
      </c>
      <c r="K4" s="4" t="s">
        <v>40</v>
      </c>
      <c r="L4" s="3" t="s">
        <v>32</v>
      </c>
    </row>
    <row r="5" customFormat="false" ht="54.75" hidden="false" customHeight="true" outlineLevel="0" collapsed="false">
      <c r="A5" s="5" t="s">
        <v>41</v>
      </c>
      <c r="B5" s="6" t="s">
        <v>42</v>
      </c>
      <c r="C5" s="7" t="s">
        <v>43</v>
      </c>
      <c r="D5" s="7" t="s">
        <v>44</v>
      </c>
      <c r="E5" s="6" t="s">
        <v>35</v>
      </c>
      <c r="F5" s="6" t="s">
        <v>36</v>
      </c>
      <c r="G5" s="7" t="s">
        <v>18</v>
      </c>
      <c r="H5" s="7" t="s">
        <v>19</v>
      </c>
      <c r="I5" s="7" t="s">
        <v>45</v>
      </c>
      <c r="J5" s="7" t="s">
        <v>46</v>
      </c>
      <c r="K5" s="7" t="s">
        <v>47</v>
      </c>
      <c r="L5" s="6" t="s">
        <v>32</v>
      </c>
    </row>
    <row r="6" customFormat="false" ht="118.5" hidden="false" customHeight="true" outlineLevel="0" collapsed="false">
      <c r="A6" s="2" t="s">
        <v>48</v>
      </c>
      <c r="B6" s="3" t="s">
        <v>42</v>
      </c>
      <c r="C6" s="4" t="s">
        <v>43</v>
      </c>
      <c r="D6" s="4" t="s">
        <v>49</v>
      </c>
      <c r="E6" s="3" t="s">
        <v>16</v>
      </c>
      <c r="F6" s="3" t="s">
        <v>27</v>
      </c>
      <c r="G6" s="4" t="s">
        <v>18</v>
      </c>
      <c r="H6" s="4" t="s">
        <v>19</v>
      </c>
      <c r="I6" s="4" t="s">
        <v>50</v>
      </c>
      <c r="J6" s="4" t="s">
        <v>51</v>
      </c>
      <c r="K6" s="4" t="s">
        <v>52</v>
      </c>
      <c r="L6" s="3" t="s">
        <v>23</v>
      </c>
    </row>
    <row r="7" customFormat="false" ht="80.25" hidden="false" customHeight="true" outlineLevel="0" collapsed="false">
      <c r="A7" s="5" t="s">
        <v>53</v>
      </c>
      <c r="B7" s="6" t="s">
        <v>42</v>
      </c>
      <c r="C7" s="7" t="s">
        <v>43</v>
      </c>
      <c r="D7" s="7" t="s">
        <v>54</v>
      </c>
      <c r="E7" s="6" t="s">
        <v>26</v>
      </c>
      <c r="F7" s="6" t="s">
        <v>27</v>
      </c>
      <c r="G7" s="7" t="s">
        <v>28</v>
      </c>
      <c r="H7" s="7" t="s">
        <v>19</v>
      </c>
      <c r="I7" s="7" t="s">
        <v>55</v>
      </c>
      <c r="J7" s="7" t="s">
        <v>56</v>
      </c>
      <c r="K7" s="7" t="s">
        <v>57</v>
      </c>
      <c r="L7" s="6" t="s">
        <v>32</v>
      </c>
    </row>
    <row r="8" customFormat="false" ht="105.75" hidden="false" customHeight="true" outlineLevel="0" collapsed="false">
      <c r="A8" s="2" t="s">
        <v>58</v>
      </c>
      <c r="B8" s="3" t="s">
        <v>59</v>
      </c>
      <c r="C8" s="4" t="s">
        <v>60</v>
      </c>
      <c r="D8" s="4" t="s">
        <v>61</v>
      </c>
      <c r="E8" s="3" t="s">
        <v>16</v>
      </c>
      <c r="F8" s="3" t="s">
        <v>17</v>
      </c>
      <c r="G8" s="4" t="s">
        <v>18</v>
      </c>
      <c r="H8" s="4" t="s">
        <v>19</v>
      </c>
      <c r="I8" s="4" t="s">
        <v>62</v>
      </c>
      <c r="J8" s="4" t="s">
        <v>63</v>
      </c>
      <c r="K8" s="4" t="s">
        <v>64</v>
      </c>
      <c r="L8" s="3" t="s">
        <v>32</v>
      </c>
    </row>
    <row r="9" customFormat="false" ht="54.75" hidden="false" customHeight="true" outlineLevel="0" collapsed="false">
      <c r="A9" s="5" t="s">
        <v>65</v>
      </c>
      <c r="B9" s="6" t="s">
        <v>59</v>
      </c>
      <c r="C9" s="7" t="s">
        <v>60</v>
      </c>
      <c r="D9" s="7" t="s">
        <v>66</v>
      </c>
      <c r="E9" s="6" t="s">
        <v>26</v>
      </c>
      <c r="F9" s="6" t="s">
        <v>17</v>
      </c>
      <c r="G9" s="7" t="s">
        <v>28</v>
      </c>
      <c r="H9" s="7" t="s">
        <v>19</v>
      </c>
      <c r="I9" s="7" t="s">
        <v>67</v>
      </c>
      <c r="J9" s="7" t="s">
        <v>68</v>
      </c>
      <c r="K9" s="7" t="s">
        <v>69</v>
      </c>
      <c r="L9" s="6" t="s">
        <v>32</v>
      </c>
    </row>
    <row r="10" customFormat="false" ht="54.75" hidden="false" customHeight="true" outlineLevel="0" collapsed="false">
      <c r="A10" s="2" t="s">
        <v>70</v>
      </c>
      <c r="B10" s="3" t="s">
        <v>59</v>
      </c>
      <c r="C10" s="4" t="s">
        <v>60</v>
      </c>
      <c r="D10" s="4" t="s">
        <v>71</v>
      </c>
      <c r="E10" s="3" t="s">
        <v>35</v>
      </c>
      <c r="F10" s="3" t="s">
        <v>17</v>
      </c>
      <c r="G10" s="4" t="s">
        <v>72</v>
      </c>
      <c r="H10" s="4" t="s">
        <v>19</v>
      </c>
      <c r="I10" s="4" t="s">
        <v>73</v>
      </c>
      <c r="J10" s="4" t="s">
        <v>74</v>
      </c>
      <c r="K10" s="4" t="s">
        <v>75</v>
      </c>
      <c r="L10" s="3" t="s">
        <v>32</v>
      </c>
    </row>
    <row r="11" customFormat="false" ht="54.75" hidden="false" customHeight="true" outlineLevel="0" collapsed="false">
      <c r="A11" s="5" t="s">
        <v>76</v>
      </c>
      <c r="B11" s="6" t="s">
        <v>77</v>
      </c>
      <c r="C11" s="7" t="s">
        <v>78</v>
      </c>
      <c r="D11" s="7" t="s">
        <v>79</v>
      </c>
      <c r="E11" s="6" t="s">
        <v>35</v>
      </c>
      <c r="F11" s="6" t="s">
        <v>17</v>
      </c>
      <c r="G11" s="7" t="s">
        <v>18</v>
      </c>
      <c r="H11" s="7" t="s">
        <v>19</v>
      </c>
      <c r="I11" s="7" t="s">
        <v>80</v>
      </c>
      <c r="J11" s="7" t="s">
        <v>81</v>
      </c>
      <c r="K11" s="7" t="s">
        <v>82</v>
      </c>
      <c r="L11" s="6" t="s">
        <v>32</v>
      </c>
    </row>
    <row r="12" customFormat="false" ht="42" hidden="false" customHeight="true" outlineLevel="0" collapsed="false">
      <c r="A12" s="2" t="s">
        <v>83</v>
      </c>
      <c r="B12" s="3" t="s">
        <v>77</v>
      </c>
      <c r="C12" s="4" t="s">
        <v>78</v>
      </c>
      <c r="D12" s="4" t="s">
        <v>84</v>
      </c>
      <c r="E12" s="3" t="s">
        <v>26</v>
      </c>
      <c r="F12" s="3" t="s">
        <v>17</v>
      </c>
      <c r="G12" s="4" t="s">
        <v>18</v>
      </c>
      <c r="H12" s="4" t="s">
        <v>19</v>
      </c>
      <c r="I12" s="4" t="s">
        <v>85</v>
      </c>
      <c r="J12" s="4" t="s">
        <v>86</v>
      </c>
      <c r="K12" s="4" t="s">
        <v>87</v>
      </c>
      <c r="L12" s="3" t="s">
        <v>32</v>
      </c>
    </row>
    <row r="13" customFormat="false" ht="105.75" hidden="false" customHeight="true" outlineLevel="0" collapsed="false">
      <c r="A13" s="5" t="s">
        <v>88</v>
      </c>
      <c r="B13" s="6" t="s">
        <v>26</v>
      </c>
      <c r="C13" s="7" t="s">
        <v>89</v>
      </c>
      <c r="D13" s="7" t="s">
        <v>90</v>
      </c>
      <c r="E13" s="6" t="s">
        <v>16</v>
      </c>
      <c r="F13" s="6" t="s">
        <v>36</v>
      </c>
      <c r="G13" s="7" t="s">
        <v>28</v>
      </c>
      <c r="H13" s="7" t="s">
        <v>19</v>
      </c>
      <c r="I13" s="7" t="s">
        <v>91</v>
      </c>
      <c r="J13" s="7" t="s">
        <v>92</v>
      </c>
      <c r="K13" s="7" t="s">
        <v>93</v>
      </c>
      <c r="L13" s="6" t="s">
        <v>32</v>
      </c>
    </row>
    <row r="14" customFormat="false" ht="54.75" hidden="false" customHeight="true" outlineLevel="0" collapsed="false">
      <c r="A14" s="2" t="s">
        <v>94</v>
      </c>
      <c r="B14" s="3" t="s">
        <v>26</v>
      </c>
      <c r="C14" s="4" t="s">
        <v>89</v>
      </c>
      <c r="D14" s="4" t="s">
        <v>95</v>
      </c>
      <c r="E14" s="3" t="s">
        <v>35</v>
      </c>
      <c r="F14" s="3" t="s">
        <v>27</v>
      </c>
      <c r="G14" s="4" t="s">
        <v>28</v>
      </c>
      <c r="H14" s="4" t="s">
        <v>19</v>
      </c>
      <c r="I14" s="4" t="s">
        <v>96</v>
      </c>
      <c r="J14" s="4" t="s">
        <v>97</v>
      </c>
      <c r="K14" s="4" t="s">
        <v>98</v>
      </c>
      <c r="L14" s="3" t="s">
        <v>32</v>
      </c>
    </row>
    <row r="15" customFormat="false" ht="54.75" hidden="false" customHeight="true" outlineLevel="0" collapsed="false">
      <c r="A15" s="5" t="s">
        <v>99</v>
      </c>
      <c r="B15" s="6" t="s">
        <v>26</v>
      </c>
      <c r="C15" s="7" t="s">
        <v>89</v>
      </c>
      <c r="D15" s="7" t="s">
        <v>100</v>
      </c>
      <c r="E15" s="6" t="s">
        <v>26</v>
      </c>
      <c r="F15" s="6" t="s">
        <v>17</v>
      </c>
      <c r="G15" s="7" t="s">
        <v>28</v>
      </c>
      <c r="H15" s="7" t="s">
        <v>19</v>
      </c>
      <c r="I15" s="7" t="s">
        <v>101</v>
      </c>
      <c r="J15" s="7" t="s">
        <v>102</v>
      </c>
      <c r="K15" s="7" t="s">
        <v>93</v>
      </c>
      <c r="L15" s="6" t="s">
        <v>23</v>
      </c>
    </row>
    <row r="16" customFormat="false" ht="118.5" hidden="false" customHeight="true" outlineLevel="0" collapsed="false">
      <c r="A16" s="2" t="s">
        <v>103</v>
      </c>
      <c r="B16" s="3" t="s">
        <v>104</v>
      </c>
      <c r="C16" s="4" t="s">
        <v>105</v>
      </c>
      <c r="D16" s="4" t="s">
        <v>106</v>
      </c>
      <c r="E16" s="3" t="s">
        <v>16</v>
      </c>
      <c r="F16" s="3" t="s">
        <v>27</v>
      </c>
      <c r="G16" s="4" t="s">
        <v>18</v>
      </c>
      <c r="H16" s="4" t="s">
        <v>19</v>
      </c>
      <c r="I16" s="4" t="s">
        <v>107</v>
      </c>
      <c r="J16" s="4" t="s">
        <v>108</v>
      </c>
      <c r="K16" s="4" t="s">
        <v>109</v>
      </c>
      <c r="L16" s="3" t="s">
        <v>23</v>
      </c>
    </row>
    <row r="17" customFormat="false" ht="54.75" hidden="false" customHeight="true" outlineLevel="0" collapsed="false">
      <c r="A17" s="5" t="s">
        <v>110</v>
      </c>
      <c r="B17" s="6" t="s">
        <v>104</v>
      </c>
      <c r="C17" s="7" t="s">
        <v>105</v>
      </c>
      <c r="D17" s="7" t="s">
        <v>111</v>
      </c>
      <c r="E17" s="6" t="s">
        <v>26</v>
      </c>
      <c r="F17" s="6" t="s">
        <v>17</v>
      </c>
      <c r="G17" s="7" t="s">
        <v>28</v>
      </c>
      <c r="H17" s="7" t="s">
        <v>19</v>
      </c>
      <c r="I17" s="7" t="s">
        <v>112</v>
      </c>
      <c r="J17" s="7" t="s">
        <v>113</v>
      </c>
      <c r="K17" s="7" t="s">
        <v>114</v>
      </c>
      <c r="L17" s="6" t="s">
        <v>32</v>
      </c>
    </row>
    <row r="18" customFormat="false" ht="67.5" hidden="false" customHeight="true" outlineLevel="0" collapsed="false">
      <c r="A18" s="2" t="s">
        <v>115</v>
      </c>
      <c r="B18" s="3" t="s">
        <v>104</v>
      </c>
      <c r="C18" s="4" t="s">
        <v>105</v>
      </c>
      <c r="D18" s="4" t="s">
        <v>116</v>
      </c>
      <c r="E18" s="3" t="s">
        <v>35</v>
      </c>
      <c r="F18" s="3" t="s">
        <v>36</v>
      </c>
      <c r="G18" s="4" t="s">
        <v>28</v>
      </c>
      <c r="H18" s="4" t="s">
        <v>19</v>
      </c>
      <c r="I18" s="4" t="s">
        <v>117</v>
      </c>
      <c r="J18" s="4" t="s">
        <v>118</v>
      </c>
      <c r="K18" s="4" t="s">
        <v>119</v>
      </c>
      <c r="L18" s="3" t="s">
        <v>32</v>
      </c>
    </row>
    <row r="19" customFormat="false" ht="42" hidden="false" customHeight="true" outlineLevel="0" collapsed="false">
      <c r="A19" s="5" t="s">
        <v>120</v>
      </c>
      <c r="B19" s="6" t="s">
        <v>121</v>
      </c>
      <c r="C19" s="7" t="s">
        <v>122</v>
      </c>
      <c r="D19" s="7" t="s">
        <v>123</v>
      </c>
      <c r="E19" s="6" t="s">
        <v>26</v>
      </c>
      <c r="F19" s="6" t="s">
        <v>17</v>
      </c>
      <c r="G19" s="7" t="s">
        <v>18</v>
      </c>
      <c r="H19" s="7" t="s">
        <v>19</v>
      </c>
      <c r="I19" s="7" t="s">
        <v>124</v>
      </c>
      <c r="J19" s="7" t="s">
        <v>125</v>
      </c>
      <c r="K19" s="7" t="s">
        <v>126</v>
      </c>
      <c r="L19" s="6" t="s">
        <v>32</v>
      </c>
    </row>
    <row r="20" customFormat="false" ht="93" hidden="false" customHeight="true" outlineLevel="0" collapsed="false">
      <c r="A20" s="2" t="s">
        <v>127</v>
      </c>
      <c r="B20" s="3" t="s">
        <v>121</v>
      </c>
      <c r="C20" s="4" t="s">
        <v>122</v>
      </c>
      <c r="D20" s="4" t="s">
        <v>128</v>
      </c>
      <c r="E20" s="3" t="s">
        <v>16</v>
      </c>
      <c r="F20" s="3" t="s">
        <v>17</v>
      </c>
      <c r="G20" s="4" t="s">
        <v>28</v>
      </c>
      <c r="H20" s="4" t="s">
        <v>19</v>
      </c>
      <c r="I20" s="4" t="s">
        <v>129</v>
      </c>
      <c r="J20" s="4" t="s">
        <v>130</v>
      </c>
      <c r="K20" s="4" t="s">
        <v>131</v>
      </c>
      <c r="L20" s="3" t="s">
        <v>32</v>
      </c>
    </row>
    <row r="21" customFormat="false" ht="80.25" hidden="false" customHeight="true" outlineLevel="0" collapsed="false">
      <c r="A21" s="5" t="s">
        <v>132</v>
      </c>
      <c r="B21" s="6" t="s">
        <v>121</v>
      </c>
      <c r="C21" s="7" t="s">
        <v>122</v>
      </c>
      <c r="D21" s="7" t="s">
        <v>133</v>
      </c>
      <c r="E21" s="6" t="s">
        <v>35</v>
      </c>
      <c r="F21" s="6" t="s">
        <v>27</v>
      </c>
      <c r="G21" s="7" t="s">
        <v>28</v>
      </c>
      <c r="H21" s="7" t="s">
        <v>19</v>
      </c>
      <c r="I21" s="7" t="s">
        <v>134</v>
      </c>
      <c r="J21" s="7" t="s">
        <v>135</v>
      </c>
      <c r="K21" s="7" t="s">
        <v>136</v>
      </c>
      <c r="L21" s="6" t="s">
        <v>23</v>
      </c>
    </row>
    <row r="22" customFormat="false" ht="54.75" hidden="false" customHeight="true" outlineLevel="0" collapsed="false">
      <c r="A22" s="2" t="s">
        <v>137</v>
      </c>
      <c r="B22" s="3" t="s">
        <v>138</v>
      </c>
      <c r="C22" s="4" t="s">
        <v>139</v>
      </c>
      <c r="D22" s="4" t="s">
        <v>140</v>
      </c>
      <c r="E22" s="3" t="s">
        <v>35</v>
      </c>
      <c r="F22" s="3" t="s">
        <v>27</v>
      </c>
      <c r="G22" s="4" t="s">
        <v>18</v>
      </c>
      <c r="H22" s="4" t="s">
        <v>19</v>
      </c>
      <c r="I22" s="4" t="s">
        <v>141</v>
      </c>
      <c r="J22" s="4" t="s">
        <v>142</v>
      </c>
      <c r="K22" s="4" t="s">
        <v>143</v>
      </c>
      <c r="L22" s="3" t="s">
        <v>32</v>
      </c>
    </row>
    <row r="23" customFormat="false" ht="105.75" hidden="false" customHeight="true" outlineLevel="0" collapsed="false">
      <c r="A23" s="5" t="s">
        <v>144</v>
      </c>
      <c r="B23" s="6" t="s">
        <v>138</v>
      </c>
      <c r="C23" s="7" t="s">
        <v>139</v>
      </c>
      <c r="D23" s="7" t="s">
        <v>145</v>
      </c>
      <c r="E23" s="6" t="s">
        <v>16</v>
      </c>
      <c r="F23" s="6" t="s">
        <v>36</v>
      </c>
      <c r="G23" s="7" t="s">
        <v>28</v>
      </c>
      <c r="H23" s="7" t="s">
        <v>19</v>
      </c>
      <c r="I23" s="7" t="s">
        <v>146</v>
      </c>
      <c r="J23" s="7" t="s">
        <v>147</v>
      </c>
      <c r="K23" s="7" t="s">
        <v>148</v>
      </c>
      <c r="L23" s="6" t="s">
        <v>32</v>
      </c>
    </row>
    <row r="24" customFormat="false" ht="67.5" hidden="false" customHeight="true" outlineLevel="0" collapsed="false">
      <c r="A24" s="2" t="s">
        <v>149</v>
      </c>
      <c r="B24" s="3" t="s">
        <v>138</v>
      </c>
      <c r="C24" s="4" t="s">
        <v>139</v>
      </c>
      <c r="D24" s="4" t="s">
        <v>150</v>
      </c>
      <c r="E24" s="3" t="s">
        <v>26</v>
      </c>
      <c r="F24" s="3" t="s">
        <v>17</v>
      </c>
      <c r="G24" s="4" t="s">
        <v>37</v>
      </c>
      <c r="H24" s="4" t="s">
        <v>19</v>
      </c>
      <c r="I24" s="4" t="s">
        <v>151</v>
      </c>
      <c r="J24" s="4" t="s">
        <v>152</v>
      </c>
      <c r="K24" s="4" t="s">
        <v>153</v>
      </c>
      <c r="L24" s="3" t="s">
        <v>23</v>
      </c>
    </row>
    <row r="25" customFormat="false" ht="93" hidden="false" customHeight="true" outlineLevel="0" collapsed="false">
      <c r="A25" s="5" t="s">
        <v>154</v>
      </c>
      <c r="B25" s="6" t="s">
        <v>155</v>
      </c>
      <c r="C25" s="7" t="s">
        <v>156</v>
      </c>
      <c r="D25" s="7" t="s">
        <v>157</v>
      </c>
      <c r="E25" s="6" t="s">
        <v>16</v>
      </c>
      <c r="F25" s="6" t="s">
        <v>17</v>
      </c>
      <c r="G25" s="7" t="s">
        <v>18</v>
      </c>
      <c r="H25" s="7" t="s">
        <v>19</v>
      </c>
      <c r="I25" s="7" t="s">
        <v>158</v>
      </c>
      <c r="J25" s="7" t="s">
        <v>159</v>
      </c>
      <c r="K25" s="7" t="s">
        <v>160</v>
      </c>
      <c r="L25" s="6" t="s">
        <v>32</v>
      </c>
    </row>
    <row r="26" customFormat="false" ht="67.5" hidden="false" customHeight="true" outlineLevel="0" collapsed="false">
      <c r="A26" s="2" t="s">
        <v>161</v>
      </c>
      <c r="B26" s="3" t="s">
        <v>155</v>
      </c>
      <c r="C26" s="4" t="s">
        <v>156</v>
      </c>
      <c r="D26" s="4" t="s">
        <v>162</v>
      </c>
      <c r="E26" s="3" t="s">
        <v>35</v>
      </c>
      <c r="F26" s="3" t="s">
        <v>36</v>
      </c>
      <c r="G26" s="4" t="s">
        <v>18</v>
      </c>
      <c r="H26" s="4" t="s">
        <v>19</v>
      </c>
      <c r="I26" s="4" t="s">
        <v>163</v>
      </c>
      <c r="J26" s="4" t="s">
        <v>164</v>
      </c>
      <c r="K26" s="4" t="s">
        <v>165</v>
      </c>
      <c r="L26" s="3" t="s">
        <v>32</v>
      </c>
    </row>
    <row r="27" customFormat="false" ht="67.5" hidden="false" customHeight="true" outlineLevel="0" collapsed="false">
      <c r="A27" s="5" t="s">
        <v>166</v>
      </c>
      <c r="B27" s="6" t="s">
        <v>167</v>
      </c>
      <c r="C27" s="7" t="s">
        <v>168</v>
      </c>
      <c r="D27" s="7" t="s">
        <v>169</v>
      </c>
      <c r="E27" s="6" t="s">
        <v>35</v>
      </c>
      <c r="F27" s="6" t="s">
        <v>27</v>
      </c>
      <c r="G27" s="7" t="s">
        <v>28</v>
      </c>
      <c r="H27" s="7" t="s">
        <v>19</v>
      </c>
      <c r="I27" s="7" t="s">
        <v>170</v>
      </c>
      <c r="J27" s="7" t="s">
        <v>171</v>
      </c>
      <c r="K27" s="7" t="s">
        <v>172</v>
      </c>
      <c r="L27" s="6" t="s">
        <v>32</v>
      </c>
    </row>
    <row r="28" customFormat="false" ht="93" hidden="false" customHeight="true" outlineLevel="0" collapsed="false">
      <c r="A28" s="2" t="s">
        <v>173</v>
      </c>
      <c r="B28" s="3" t="s">
        <v>167</v>
      </c>
      <c r="C28" s="4" t="s">
        <v>168</v>
      </c>
      <c r="D28" s="4" t="s">
        <v>174</v>
      </c>
      <c r="E28" s="3" t="s">
        <v>16</v>
      </c>
      <c r="F28" s="3" t="s">
        <v>17</v>
      </c>
      <c r="G28" s="4" t="s">
        <v>18</v>
      </c>
      <c r="H28" s="4" t="s">
        <v>19</v>
      </c>
      <c r="I28" s="4" t="s">
        <v>175</v>
      </c>
      <c r="J28" s="4" t="s">
        <v>176</v>
      </c>
      <c r="K28" s="4" t="s">
        <v>177</v>
      </c>
      <c r="L28" s="3" t="s">
        <v>32</v>
      </c>
    </row>
    <row r="29" customFormat="false" ht="80.25" hidden="false" customHeight="true" outlineLevel="0" collapsed="false">
      <c r="A29" s="5" t="s">
        <v>178</v>
      </c>
      <c r="B29" s="6" t="s">
        <v>179</v>
      </c>
      <c r="C29" s="7" t="s">
        <v>180</v>
      </c>
      <c r="D29" s="7" t="s">
        <v>181</v>
      </c>
      <c r="E29" s="6" t="s">
        <v>26</v>
      </c>
      <c r="F29" s="6" t="s">
        <v>17</v>
      </c>
      <c r="G29" s="7" t="s">
        <v>19</v>
      </c>
      <c r="H29" s="7" t="s">
        <v>182</v>
      </c>
      <c r="I29" s="7" t="s">
        <v>183</v>
      </c>
      <c r="J29" s="7" t="s">
        <v>184</v>
      </c>
      <c r="K29" s="7" t="s">
        <v>185</v>
      </c>
      <c r="L29" s="6" t="s">
        <v>32</v>
      </c>
    </row>
    <row r="30" customFormat="false" ht="67.5" hidden="false" customHeight="true" outlineLevel="0" collapsed="false">
      <c r="A30" s="2" t="s">
        <v>186</v>
      </c>
      <c r="B30" s="3" t="s">
        <v>179</v>
      </c>
      <c r="C30" s="4" t="s">
        <v>180</v>
      </c>
      <c r="D30" s="4" t="s">
        <v>187</v>
      </c>
      <c r="E30" s="3" t="s">
        <v>35</v>
      </c>
      <c r="F30" s="3" t="s">
        <v>27</v>
      </c>
      <c r="G30" s="4" t="s">
        <v>19</v>
      </c>
      <c r="H30" s="4" t="s">
        <v>188</v>
      </c>
      <c r="I30" s="4" t="s">
        <v>189</v>
      </c>
      <c r="J30" s="4" t="s">
        <v>190</v>
      </c>
      <c r="K30" s="4" t="s">
        <v>191</v>
      </c>
      <c r="L30" s="3" t="s">
        <v>32</v>
      </c>
    </row>
    <row r="31" customFormat="false" ht="105.75" hidden="false" customHeight="true" outlineLevel="0" collapsed="false">
      <c r="A31" s="5" t="s">
        <v>192</v>
      </c>
      <c r="B31" s="6" t="s">
        <v>179</v>
      </c>
      <c r="C31" s="7" t="s">
        <v>180</v>
      </c>
      <c r="D31" s="7" t="s">
        <v>193</v>
      </c>
      <c r="E31" s="6" t="s">
        <v>26</v>
      </c>
      <c r="F31" s="6" t="s">
        <v>36</v>
      </c>
      <c r="G31" s="7" t="s">
        <v>19</v>
      </c>
      <c r="H31" s="7" t="s">
        <v>194</v>
      </c>
      <c r="I31" s="7" t="s">
        <v>195</v>
      </c>
      <c r="J31" s="7" t="s">
        <v>196</v>
      </c>
      <c r="K31" s="7" t="s">
        <v>197</v>
      </c>
      <c r="L31" s="6" t="s">
        <v>23</v>
      </c>
    </row>
  </sheetData>
  <autoFilter ref="A1:L31"/>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40"/>
  </cols>
  <sheetData>
    <row r="1" customFormat="false" ht="17.35" hidden="false" customHeight="false" outlineLevel="0" collapsed="false">
      <c r="A1" s="8" t="s">
        <v>198</v>
      </c>
    </row>
    <row r="3" customFormat="false" ht="42" hidden="false" customHeight="true" outlineLevel="0" collapsed="false">
      <c r="A3" s="9" t="s">
        <v>199</v>
      </c>
      <c r="B3" s="9" t="s">
        <v>200</v>
      </c>
    </row>
    <row r="5" customFormat="false" ht="15" hidden="false" customHeight="false" outlineLevel="0" collapsed="false">
      <c r="A5" s="10" t="s">
        <v>201</v>
      </c>
    </row>
    <row r="6" customFormat="false" ht="16.5" hidden="false" customHeight="true" outlineLevel="0" collapsed="false">
      <c r="A6" s="11" t="s">
        <v>4</v>
      </c>
      <c r="B6" s="9" t="s">
        <v>202</v>
      </c>
    </row>
    <row r="7" customFormat="false" ht="16.5" hidden="false" customHeight="true" outlineLevel="0" collapsed="false">
      <c r="A7" s="11" t="s">
        <v>5</v>
      </c>
      <c r="B7" s="9" t="s">
        <v>203</v>
      </c>
    </row>
    <row r="8" customFormat="false" ht="29.25" hidden="false" customHeight="true" outlineLevel="0" collapsed="false">
      <c r="A8" s="11" t="s">
        <v>6</v>
      </c>
      <c r="B8" s="9" t="s">
        <v>204</v>
      </c>
    </row>
    <row r="9" customFormat="false" ht="29.25" hidden="false" customHeight="true" outlineLevel="0" collapsed="false">
      <c r="A9" s="11" t="s">
        <v>205</v>
      </c>
      <c r="B9" s="9" t="s">
        <v>206</v>
      </c>
    </row>
    <row r="10" customFormat="false" ht="16.5" hidden="false" customHeight="true" outlineLevel="0" collapsed="false">
      <c r="A10" s="11" t="s">
        <v>11</v>
      </c>
      <c r="B10" s="9" t="s">
        <v>207</v>
      </c>
    </row>
    <row r="11" customFormat="false" ht="16.5" hidden="false" customHeight="true" outlineLevel="0" collapsed="false">
      <c r="A11" s="11" t="s">
        <v>1</v>
      </c>
      <c r="B11" s="9" t="s">
        <v>208</v>
      </c>
    </row>
    <row r="12" customFormat="false" ht="29.25" hidden="false" customHeight="true" outlineLevel="0" collapsed="false">
      <c r="A12" s="11" t="s">
        <v>10</v>
      </c>
      <c r="B12" s="9" t="s">
        <v>209</v>
      </c>
    </row>
    <row r="13" customFormat="false" ht="29.25" hidden="false" customHeight="true" outlineLevel="0" collapsed="false">
      <c r="A13" s="11" t="s">
        <v>210</v>
      </c>
      <c r="B13" s="9" t="s">
        <v>211</v>
      </c>
    </row>
    <row r="15" customFormat="false" ht="15" hidden="false" customHeight="false" outlineLevel="0" collapsed="false">
      <c r="A15" s="10" t="s">
        <v>212</v>
      </c>
    </row>
    <row r="16" customFormat="false" ht="42" hidden="false" customHeight="true" outlineLevel="0" collapsed="false">
      <c r="A16" s="9" t="s">
        <v>213</v>
      </c>
      <c r="B16" s="9" t="s">
        <v>214</v>
      </c>
    </row>
    <row r="17" customFormat="false" ht="54.75" hidden="false" customHeight="true" outlineLevel="0" collapsed="false">
      <c r="A17" s="9" t="s">
        <v>215</v>
      </c>
      <c r="B17" s="9" t="s">
        <v>216</v>
      </c>
    </row>
    <row r="18" customFormat="false" ht="42" hidden="false" customHeight="true" outlineLevel="0" collapsed="false">
      <c r="A18" s="9" t="s">
        <v>217</v>
      </c>
      <c r="B18" s="9" t="s">
        <v>218</v>
      </c>
    </row>
    <row r="20" customFormat="false" ht="15" hidden="false" customHeight="false" outlineLevel="0" collapsed="false">
      <c r="A20" s="10" t="s">
        <v>219</v>
      </c>
    </row>
    <row r="21" customFormat="false" ht="54.75" hidden="false" customHeight="true" outlineLevel="0" collapsed="false">
      <c r="A21" s="9" t="s">
        <v>213</v>
      </c>
      <c r="B21" s="9" t="s">
        <v>220</v>
      </c>
    </row>
    <row r="22" customFormat="false" ht="29.25" hidden="false" customHeight="true" outlineLevel="0" collapsed="false">
      <c r="A22" s="9" t="s">
        <v>215</v>
      </c>
      <c r="B22" s="9" t="s">
        <v>221</v>
      </c>
    </row>
    <row r="23" customFormat="false" ht="29.25" hidden="false" customHeight="true" outlineLevel="0" collapsed="false">
      <c r="A23" s="9" t="s">
        <v>217</v>
      </c>
      <c r="B23" s="9" t="s">
        <v>222</v>
      </c>
    </row>
    <row r="25" customFormat="false" ht="15" hidden="false" customHeight="false" outlineLevel="0" collapsed="false">
      <c r="A25" s="10" t="s">
        <v>223</v>
      </c>
    </row>
    <row r="26" customFormat="false" ht="29.25" hidden="false" customHeight="true" outlineLevel="0" collapsed="false">
      <c r="A26" s="9" t="s">
        <v>213</v>
      </c>
      <c r="B26" s="9" t="s">
        <v>224</v>
      </c>
    </row>
    <row r="27" customFormat="false" ht="29.25" hidden="false" customHeight="true" outlineLevel="0" collapsed="false">
      <c r="A27" s="9" t="s">
        <v>215</v>
      </c>
      <c r="B27" s="9" t="s">
        <v>225</v>
      </c>
    </row>
    <row r="28" customFormat="false" ht="16.5" hidden="false" customHeight="true" outlineLevel="0" collapsed="false">
      <c r="A28" s="9" t="s">
        <v>217</v>
      </c>
      <c r="B28" s="9" t="s">
        <v>226</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2"/>
    <col collapsed="false" customWidth="true" hidden="false" outlineLevel="0" max="3" min="3" style="0" width="16"/>
    <col collapsed="false" customWidth="true" hidden="false" outlineLevel="0" max="4" min="4" style="0" width="62"/>
    <col collapsed="false" customWidth="true" hidden="false" outlineLevel="0" max="5" min="5" style="0" width="16"/>
    <col collapsed="false" customWidth="true" hidden="false" outlineLevel="0" max="7" min="6" style="0" width="18"/>
  </cols>
  <sheetData>
    <row r="1" customFormat="false" ht="30" hidden="false" customHeight="true" outlineLevel="0" collapsed="false">
      <c r="A1" s="1" t="s">
        <v>227</v>
      </c>
      <c r="B1" s="1" t="s">
        <v>228</v>
      </c>
      <c r="C1" s="1" t="s">
        <v>229</v>
      </c>
      <c r="D1" s="1" t="s">
        <v>230</v>
      </c>
      <c r="E1" s="1" t="s">
        <v>231</v>
      </c>
      <c r="F1" s="1" t="s">
        <v>232</v>
      </c>
      <c r="G1" s="1" t="s">
        <v>233</v>
      </c>
    </row>
    <row r="2" customFormat="false" ht="16.5" hidden="false" customHeight="true" outlineLevel="0" collapsed="false">
      <c r="A2" s="12" t="s">
        <v>234</v>
      </c>
      <c r="B2" s="3" t="n">
        <v>3</v>
      </c>
      <c r="C2" s="3" t="n">
        <v>3</v>
      </c>
      <c r="D2" s="4" t="s">
        <v>235</v>
      </c>
      <c r="E2" s="3" t="s">
        <v>236</v>
      </c>
      <c r="F2" s="3" t="n">
        <f aca="false">COUNTIF('30 Questions'!$B$2:$B$31,"A")</f>
        <v>3</v>
      </c>
      <c r="G2" s="3" t="str">
        <f aca="false">IF(F2=B2,"PASS","FAIL")</f>
        <v>PASS</v>
      </c>
    </row>
    <row r="3" customFormat="false" ht="16.5" hidden="false" customHeight="true" outlineLevel="0" collapsed="false">
      <c r="A3" s="13" t="s">
        <v>237</v>
      </c>
      <c r="B3" s="6" t="n">
        <v>3</v>
      </c>
      <c r="C3" s="6" t="n">
        <v>3</v>
      </c>
      <c r="D3" s="7" t="s">
        <v>238</v>
      </c>
      <c r="E3" s="6" t="s">
        <v>236</v>
      </c>
      <c r="F3" s="6" t="n">
        <f aca="false">COUNTIF('30 Questions'!$B$2:$B$31,"B")</f>
        <v>3</v>
      </c>
      <c r="G3" s="6" t="str">
        <f aca="false">IF(F3=B3,"PASS","FAIL")</f>
        <v>PASS</v>
      </c>
    </row>
    <row r="4" customFormat="false" ht="16.5" hidden="false" customHeight="true" outlineLevel="0" collapsed="false">
      <c r="A4" s="12" t="s">
        <v>239</v>
      </c>
      <c r="B4" s="3" t="n">
        <v>3</v>
      </c>
      <c r="C4" s="3" t="n">
        <v>3</v>
      </c>
      <c r="D4" s="4" t="s">
        <v>240</v>
      </c>
      <c r="E4" s="3" t="s">
        <v>236</v>
      </c>
      <c r="F4" s="3" t="n">
        <f aca="false">COUNTIF('30 Questions'!$B$2:$B$31,"C")</f>
        <v>3</v>
      </c>
      <c r="G4" s="3" t="str">
        <f aca="false">IF(F4=B4,"PASS","FAIL")</f>
        <v>PASS</v>
      </c>
    </row>
    <row r="5" customFormat="false" ht="16.5" hidden="false" customHeight="true" outlineLevel="0" collapsed="false">
      <c r="A5" s="13" t="s">
        <v>241</v>
      </c>
      <c r="B5" s="6" t="n">
        <v>2</v>
      </c>
      <c r="C5" s="6" t="n">
        <v>2</v>
      </c>
      <c r="D5" s="7" t="s">
        <v>242</v>
      </c>
      <c r="E5" s="6" t="s">
        <v>236</v>
      </c>
      <c r="F5" s="6" t="n">
        <f aca="false">COUNTIF('30 Questions'!$B$2:$B$31,"D")</f>
        <v>2</v>
      </c>
      <c r="G5" s="6" t="str">
        <f aca="false">IF(F5=B5,"PASS","FAIL")</f>
        <v>PASS</v>
      </c>
    </row>
    <row r="6" customFormat="false" ht="16.5" hidden="false" customHeight="true" outlineLevel="0" collapsed="false">
      <c r="A6" s="12" t="s">
        <v>243</v>
      </c>
      <c r="B6" s="3" t="n">
        <v>3</v>
      </c>
      <c r="C6" s="3" t="n">
        <v>3</v>
      </c>
      <c r="D6" s="4" t="s">
        <v>244</v>
      </c>
      <c r="E6" s="3" t="s">
        <v>236</v>
      </c>
      <c r="F6" s="3" t="n">
        <f aca="false">COUNTIF('30 Questions'!$B$2:$B$31,"E")</f>
        <v>3</v>
      </c>
      <c r="G6" s="3" t="str">
        <f aca="false">IF(F6=B6,"PASS","FAIL")</f>
        <v>PASS</v>
      </c>
    </row>
    <row r="7" customFormat="false" ht="16.5" hidden="false" customHeight="true" outlineLevel="0" collapsed="false">
      <c r="A7" s="13" t="s">
        <v>245</v>
      </c>
      <c r="B7" s="6" t="n">
        <v>3</v>
      </c>
      <c r="C7" s="6" t="n">
        <v>3</v>
      </c>
      <c r="D7" s="7" t="s">
        <v>246</v>
      </c>
      <c r="E7" s="6" t="s">
        <v>236</v>
      </c>
      <c r="F7" s="6" t="n">
        <f aca="false">COUNTIF('30 Questions'!$B$2:$B$31,"F")</f>
        <v>3</v>
      </c>
      <c r="G7" s="6" t="str">
        <f aca="false">IF(F7=B7,"PASS","FAIL")</f>
        <v>PASS</v>
      </c>
    </row>
    <row r="8" customFormat="false" ht="16.5" hidden="false" customHeight="true" outlineLevel="0" collapsed="false">
      <c r="A8" s="12" t="s">
        <v>247</v>
      </c>
      <c r="B8" s="3" t="n">
        <v>3</v>
      </c>
      <c r="C8" s="3" t="n">
        <v>3</v>
      </c>
      <c r="D8" s="4" t="s">
        <v>248</v>
      </c>
      <c r="E8" s="3" t="s">
        <v>236</v>
      </c>
      <c r="F8" s="3" t="n">
        <f aca="false">COUNTIF('30 Questions'!$B$2:$B$31,"G")</f>
        <v>3</v>
      </c>
      <c r="G8" s="3" t="str">
        <f aca="false">IF(F8=B8,"PASS","FAIL")</f>
        <v>PASS</v>
      </c>
    </row>
    <row r="9" customFormat="false" ht="16.5" hidden="false" customHeight="true" outlineLevel="0" collapsed="false">
      <c r="A9" s="13" t="s">
        <v>249</v>
      </c>
      <c r="B9" s="6" t="n">
        <v>3</v>
      </c>
      <c r="C9" s="6" t="n">
        <v>3</v>
      </c>
      <c r="D9" s="7" t="s">
        <v>250</v>
      </c>
      <c r="E9" s="6" t="s">
        <v>236</v>
      </c>
      <c r="F9" s="6" t="n">
        <f aca="false">COUNTIF('30 Questions'!$B$2:$B$31,"H")</f>
        <v>3</v>
      </c>
      <c r="G9" s="6" t="str">
        <f aca="false">IF(F9=B9,"PASS","FAIL")</f>
        <v>PASS</v>
      </c>
    </row>
    <row r="10" customFormat="false" ht="16.5" hidden="false" customHeight="true" outlineLevel="0" collapsed="false">
      <c r="A10" s="12" t="s">
        <v>251</v>
      </c>
      <c r="B10" s="3" t="n">
        <v>2</v>
      </c>
      <c r="C10" s="3" t="n">
        <v>2</v>
      </c>
      <c r="D10" s="4" t="s">
        <v>252</v>
      </c>
      <c r="E10" s="3" t="s">
        <v>236</v>
      </c>
      <c r="F10" s="3" t="n">
        <f aca="false">COUNTIF('30 Questions'!$B$2:$B$31,"I")</f>
        <v>2</v>
      </c>
      <c r="G10" s="3" t="str">
        <f aca="false">IF(F10=B10,"PASS","FAIL")</f>
        <v>PASS</v>
      </c>
    </row>
    <row r="11" customFormat="false" ht="16.5" hidden="false" customHeight="true" outlineLevel="0" collapsed="false">
      <c r="A11" s="13" t="s">
        <v>253</v>
      </c>
      <c r="B11" s="6" t="n">
        <v>2</v>
      </c>
      <c r="C11" s="6" t="n">
        <v>2</v>
      </c>
      <c r="D11" s="7" t="s">
        <v>254</v>
      </c>
      <c r="E11" s="6" t="s">
        <v>236</v>
      </c>
      <c r="F11" s="6" t="n">
        <f aca="false">COUNTIF('30 Questions'!$B$2:$B$31,"J")</f>
        <v>2</v>
      </c>
      <c r="G11" s="6" t="str">
        <f aca="false">IF(F11=B11,"PASS","FAIL")</f>
        <v>PASS</v>
      </c>
    </row>
    <row r="12" customFormat="false" ht="16.5" hidden="false" customHeight="true" outlineLevel="0" collapsed="false">
      <c r="A12" s="12" t="s">
        <v>255</v>
      </c>
      <c r="B12" s="3" t="n">
        <v>3</v>
      </c>
      <c r="C12" s="3" t="n">
        <v>3</v>
      </c>
      <c r="D12" s="4" t="s">
        <v>256</v>
      </c>
      <c r="E12" s="3" t="s">
        <v>236</v>
      </c>
      <c r="F12" s="3" t="n">
        <f aca="false">COUNTIF('30 Questions'!$B$2:$B$31,"K")</f>
        <v>3</v>
      </c>
      <c r="G12" s="3" t="str">
        <f aca="false">IF(F12=B12,"PASS","FAIL")</f>
        <v>PASS</v>
      </c>
    </row>
    <row r="13" customFormat="false" ht="16.5" hidden="false" customHeight="true" outlineLevel="0" collapsed="false">
      <c r="A13" s="13" t="s">
        <v>257</v>
      </c>
      <c r="B13" s="6" t="n">
        <v>30</v>
      </c>
      <c r="C13" s="6" t="n">
        <v>30</v>
      </c>
      <c r="D13" s="7" t="s">
        <v>19</v>
      </c>
      <c r="E13" s="6" t="s">
        <v>236</v>
      </c>
      <c r="F13" s="6" t="n">
        <f aca="false">COUNTA('30 Questions'!$A$2:$A$31)</f>
        <v>30</v>
      </c>
      <c r="G13" s="6" t="str">
        <f aca="false">IF(F13=B13,"PASS","FAIL")</f>
        <v>PASS</v>
      </c>
    </row>
    <row r="14" customFormat="false" ht="16.5" hidden="false" customHeight="true" outlineLevel="0" collapsed="false">
      <c r="A14" s="12" t="s">
        <v>258</v>
      </c>
      <c r="B14" s="3" t="s">
        <v>259</v>
      </c>
      <c r="C14" s="3" t="n">
        <v>10</v>
      </c>
      <c r="D14" s="4" t="s">
        <v>260</v>
      </c>
      <c r="E14" s="3" t="s">
        <v>236</v>
      </c>
      <c r="F14" s="3" t="n">
        <f aca="false">COUNTIF('30 Questions'!$E$2:$E$31,"E")</f>
        <v>10</v>
      </c>
      <c r="G14" s="3" t="str">
        <f aca="false">IF(F14&gt;=5,"PASS","FAIL")</f>
        <v>PASS</v>
      </c>
    </row>
    <row r="15" customFormat="false" ht="16.5" hidden="false" customHeight="true" outlineLevel="0" collapsed="false">
      <c r="A15" s="13" t="s">
        <v>261</v>
      </c>
      <c r="B15" s="6" t="s">
        <v>259</v>
      </c>
      <c r="C15" s="6" t="n">
        <v>11</v>
      </c>
      <c r="D15" s="7" t="s">
        <v>262</v>
      </c>
      <c r="E15" s="6" t="s">
        <v>236</v>
      </c>
      <c r="F15" s="6" t="n">
        <f aca="false">COUNTIF('30 Questions'!$E$2:$E$31,"L")</f>
        <v>11</v>
      </c>
      <c r="G15" s="6" t="str">
        <f aca="false">IF(F15&gt;=5,"PASS","FAIL")</f>
        <v>PASS</v>
      </c>
    </row>
    <row r="16" customFormat="false" ht="16.5" hidden="false" customHeight="true" outlineLevel="0" collapsed="false">
      <c r="A16" s="12" t="s">
        <v>263</v>
      </c>
      <c r="B16" s="3" t="s">
        <v>259</v>
      </c>
      <c r="C16" s="3" t="n">
        <v>9</v>
      </c>
      <c r="D16" s="4" t="s">
        <v>264</v>
      </c>
      <c r="E16" s="3" t="s">
        <v>236</v>
      </c>
      <c r="F16" s="3" t="n">
        <f aca="false">COUNTIF('30 Questions'!$E$2:$E$31,"N")</f>
        <v>9</v>
      </c>
      <c r="G16" s="3" t="str">
        <f aca="false">IF(F16&gt;=5,"PASS","FAIL")</f>
        <v>PASS</v>
      </c>
    </row>
    <row r="17" customFormat="false" ht="16.5" hidden="false" customHeight="true" outlineLevel="0" collapsed="false">
      <c r="A17" s="13" t="s">
        <v>265</v>
      </c>
      <c r="B17" s="6" t="s">
        <v>259</v>
      </c>
      <c r="C17" s="6" t="n">
        <v>9</v>
      </c>
      <c r="D17" s="7" t="s">
        <v>266</v>
      </c>
      <c r="E17" s="6" t="s">
        <v>236</v>
      </c>
      <c r="F17" s="6" t="n">
        <f aca="false">COUNTIF('30 Questions'!$F$2:$F$31,"NEW")</f>
        <v>9</v>
      </c>
      <c r="G17" s="6" t="str">
        <f aca="false">IF(F17&gt;=5,"PASS","FAIL")</f>
        <v>PASS</v>
      </c>
    </row>
    <row r="18" customFormat="false" ht="16.5" hidden="false" customHeight="true" outlineLevel="0" collapsed="false">
      <c r="A18" s="12" t="s">
        <v>267</v>
      </c>
      <c r="B18" s="3" t="s">
        <v>259</v>
      </c>
      <c r="C18" s="3" t="n">
        <v>7</v>
      </c>
      <c r="D18" s="4" t="s">
        <v>268</v>
      </c>
      <c r="E18" s="3" t="s">
        <v>236</v>
      </c>
      <c r="F18" s="3" t="n">
        <f aca="false">COUNTIF('30 Questions'!$F$2:$F$31,"OLD")</f>
        <v>7</v>
      </c>
      <c r="G18" s="3" t="str">
        <f aca="false">IF(F18&gt;=5,"PASS","FAIL")</f>
        <v>PASS</v>
      </c>
    </row>
    <row r="19" customFormat="false" ht="16.5" hidden="false" customHeight="true" outlineLevel="0" collapsed="false">
      <c r="A19" s="13" t="s">
        <v>269</v>
      </c>
      <c r="B19" s="6" t="s">
        <v>270</v>
      </c>
      <c r="C19" s="6" t="n">
        <v>14</v>
      </c>
      <c r="D19" s="7" t="s">
        <v>271</v>
      </c>
      <c r="E19" s="6" t="s">
        <v>236</v>
      </c>
      <c r="F19" s="6" t="n">
        <f aca="false">COUNTIF('30 Questions'!$F$2:$F$31,"NONE")</f>
        <v>14</v>
      </c>
      <c r="G19" s="6" t="str">
        <f aca="false">IF(F19=COUNTA('30 Questions'!$A$2:$A$31)-F17-F18,"PASS","FAIL")</f>
        <v>PASS</v>
      </c>
    </row>
    <row r="20" customFormat="false" ht="16.5" hidden="false" customHeight="true" outlineLevel="0" collapsed="false">
      <c r="A20" s="12" t="s">
        <v>272</v>
      </c>
      <c r="B20" s="3" t="s">
        <v>273</v>
      </c>
      <c r="C20" s="3" t="s">
        <v>274</v>
      </c>
      <c r="D20" s="4" t="s">
        <v>275</v>
      </c>
      <c r="E20" s="3" t="s">
        <v>236</v>
      </c>
      <c r="F20" s="3" t="str">
        <f aca="false">COUNTIF('30 Questions'!$H$2:$H$31,"K1*")&amp;"/"&amp;COUNTIF('30 Questions'!$H$2:$H$31,"K2*")&amp;"/"&amp;COUNTIF('30 Questions'!$H$2:$H$31,"K3*")</f>
        <v>1/1/1</v>
      </c>
      <c r="G20" s="3" t="str">
        <f aca="false">IF(F20="1/1/1","PASS","FAIL")</f>
        <v>PASS</v>
      </c>
    </row>
    <row r="21" customFormat="false" ht="16.5" hidden="false" customHeight="true" outlineLevel="0" collapsed="false">
      <c r="A21" s="13" t="s">
        <v>276</v>
      </c>
      <c r="B21" s="6" t="s">
        <v>277</v>
      </c>
      <c r="C21" s="6" t="n">
        <v>13</v>
      </c>
      <c r="D21" s="7" t="s">
        <v>278</v>
      </c>
      <c r="E21" s="6" t="s">
        <v>236</v>
      </c>
      <c r="F21" s="6" t="n">
        <f aca="false">COUNTIF('30 Questions'!$G$2:$G$31,"CT: Y*")</f>
        <v>13</v>
      </c>
      <c r="G21" s="6" t="str">
        <f aca="false">IF(F21&gt;=3,"PASS","FAIL")</f>
        <v>PASS</v>
      </c>
    </row>
    <row r="22" customFormat="false" ht="16.5" hidden="false" customHeight="true" outlineLevel="0" collapsed="false">
      <c r="A22" s="12" t="s">
        <v>279</v>
      </c>
      <c r="B22" s="3" t="s">
        <v>280</v>
      </c>
      <c r="C22" s="3" t="n">
        <v>24</v>
      </c>
      <c r="D22" s="4" t="s">
        <v>281</v>
      </c>
      <c r="E22" s="3" t="s">
        <v>236</v>
      </c>
      <c r="F22" s="3" t="n">
        <f aca="false">COUNTIF('30 Questions'!$G$2:$G$31,"*Era: Y")</f>
        <v>24</v>
      </c>
      <c r="G22" s="3" t="str">
        <f aca="false">IF(F22&gt;=8,"PASS","FAIL")</f>
        <v>PASS</v>
      </c>
    </row>
    <row r="24" customFormat="false" ht="15" hidden="false" customHeight="false" outlineLevel="0" collapsed="false">
      <c r="A24" s="10" t="s">
        <v>282</v>
      </c>
    </row>
    <row r="25" customFormat="false" ht="16.5" hidden="false" customHeight="true" outlineLevel="0" collapsed="false">
      <c r="A25" s="14" t="s">
        <v>283</v>
      </c>
      <c r="B25" s="14"/>
      <c r="C25" s="14"/>
      <c r="D25" s="14"/>
      <c r="E25" s="14"/>
      <c r="F25" s="14"/>
      <c r="G25" s="14"/>
    </row>
    <row r="26" customFormat="false" ht="29.25" hidden="false" customHeight="true" outlineLevel="0" collapsed="false">
      <c r="A26" s="14" t="s">
        <v>284</v>
      </c>
      <c r="B26" s="14"/>
      <c r="C26" s="14"/>
      <c r="D26" s="14"/>
      <c r="E26" s="14"/>
      <c r="F26" s="14"/>
      <c r="G26" s="14"/>
    </row>
    <row r="27" customFormat="false" ht="16.5" hidden="false" customHeight="true" outlineLevel="0" collapsed="false">
      <c r="A27" s="14" t="s">
        <v>285</v>
      </c>
      <c r="B27" s="14"/>
      <c r="C27" s="14"/>
      <c r="D27" s="14"/>
      <c r="E27" s="14"/>
      <c r="F27" s="14"/>
      <c r="G27" s="14"/>
    </row>
  </sheetData>
  <mergeCells count="3">
    <mergeCell ref="A25:G25"/>
    <mergeCell ref="A26:G26"/>
    <mergeCell ref="A27:G27"/>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55"/>
    <col collapsed="false" customWidth="true" hidden="false" outlineLevel="0" max="3" min="3" style="0" width="60"/>
    <col collapsed="false" customWidth="true" hidden="false" outlineLevel="0" max="4" min="4" style="0" width="70"/>
  </cols>
  <sheetData>
    <row r="1" customFormat="false" ht="30" hidden="false" customHeight="true" outlineLevel="0" collapsed="false">
      <c r="A1" s="1" t="s">
        <v>0</v>
      </c>
      <c r="B1" s="1" t="s">
        <v>286</v>
      </c>
      <c r="C1" s="1" t="s">
        <v>287</v>
      </c>
      <c r="D1" s="1" t="s">
        <v>288</v>
      </c>
    </row>
    <row r="2" customFormat="false" ht="29.25" hidden="false" customHeight="true" outlineLevel="0" collapsed="false">
      <c r="A2" s="12" t="s">
        <v>12</v>
      </c>
      <c r="B2" s="4" t="s">
        <v>289</v>
      </c>
      <c r="C2" s="4" t="s">
        <v>290</v>
      </c>
      <c r="D2" s="4" t="s">
        <v>291</v>
      </c>
    </row>
    <row r="3" customFormat="false" ht="16.5" hidden="false" customHeight="true" outlineLevel="0" collapsed="false">
      <c r="A3" s="13" t="s">
        <v>41</v>
      </c>
      <c r="B3" s="7" t="s">
        <v>292</v>
      </c>
      <c r="C3" s="7" t="s">
        <v>293</v>
      </c>
      <c r="D3" s="7" t="s">
        <v>294</v>
      </c>
    </row>
    <row r="4" customFormat="false" ht="29.25" hidden="false" customHeight="true" outlineLevel="0" collapsed="false">
      <c r="A4" s="12" t="s">
        <v>48</v>
      </c>
      <c r="B4" s="4" t="s">
        <v>295</v>
      </c>
      <c r="C4" s="4" t="s">
        <v>296</v>
      </c>
      <c r="D4" s="4" t="s">
        <v>297</v>
      </c>
    </row>
    <row r="5" customFormat="false" ht="16.5" hidden="false" customHeight="true" outlineLevel="0" collapsed="false">
      <c r="A5" s="13" t="s">
        <v>58</v>
      </c>
      <c r="B5" s="7" t="s">
        <v>298</v>
      </c>
      <c r="C5" s="7" t="s">
        <v>299</v>
      </c>
      <c r="D5" s="7" t="s">
        <v>300</v>
      </c>
    </row>
    <row r="6" customFormat="false" ht="16.5" hidden="false" customHeight="true" outlineLevel="0" collapsed="false">
      <c r="A6" s="12" t="s">
        <v>70</v>
      </c>
      <c r="B6" s="4" t="s">
        <v>301</v>
      </c>
      <c r="C6" s="4" t="s">
        <v>302</v>
      </c>
      <c r="D6" s="4" t="s">
        <v>303</v>
      </c>
    </row>
    <row r="7" customFormat="false" ht="16.5" hidden="false" customHeight="true" outlineLevel="0" collapsed="false">
      <c r="A7" s="13" t="s">
        <v>76</v>
      </c>
      <c r="B7" s="7" t="s">
        <v>304</v>
      </c>
      <c r="C7" s="7" t="s">
        <v>305</v>
      </c>
      <c r="D7" s="7" t="s">
        <v>306</v>
      </c>
    </row>
    <row r="8" customFormat="false" ht="16.5" hidden="false" customHeight="true" outlineLevel="0" collapsed="false">
      <c r="A8" s="12" t="s">
        <v>83</v>
      </c>
      <c r="B8" s="4" t="s">
        <v>307</v>
      </c>
      <c r="C8" s="4" t="s">
        <v>308</v>
      </c>
      <c r="D8" s="4" t="s">
        <v>309</v>
      </c>
    </row>
    <row r="9" customFormat="false" ht="29.25" hidden="false" customHeight="true" outlineLevel="0" collapsed="false">
      <c r="A9" s="13" t="s">
        <v>103</v>
      </c>
      <c r="B9" s="7" t="s">
        <v>310</v>
      </c>
      <c r="C9" s="7" t="s">
        <v>311</v>
      </c>
      <c r="D9" s="7" t="s">
        <v>312</v>
      </c>
    </row>
    <row r="10" customFormat="false" ht="16.5" hidden="false" customHeight="true" outlineLevel="0" collapsed="false">
      <c r="A10" s="12" t="s">
        <v>120</v>
      </c>
      <c r="B10" s="4" t="s">
        <v>313</v>
      </c>
      <c r="C10" s="4" t="s">
        <v>314</v>
      </c>
      <c r="D10" s="4" t="s">
        <v>315</v>
      </c>
    </row>
    <row r="11" customFormat="false" ht="16.5" hidden="false" customHeight="true" outlineLevel="0" collapsed="false">
      <c r="A11" s="13" t="s">
        <v>137</v>
      </c>
      <c r="B11" s="7" t="s">
        <v>316</v>
      </c>
      <c r="C11" s="7" t="s">
        <v>317</v>
      </c>
      <c r="D11" s="7" t="s">
        <v>318</v>
      </c>
    </row>
    <row r="12" customFormat="false" ht="16.5" hidden="false" customHeight="true" outlineLevel="0" collapsed="false">
      <c r="A12" s="12" t="s">
        <v>154</v>
      </c>
      <c r="B12" s="4" t="s">
        <v>319</v>
      </c>
      <c r="C12" s="4" t="s">
        <v>320</v>
      </c>
      <c r="D12" s="4" t="s">
        <v>321</v>
      </c>
    </row>
    <row r="13" customFormat="false" ht="29.25" hidden="false" customHeight="true" outlineLevel="0" collapsed="false">
      <c r="A13" s="13" t="s">
        <v>161</v>
      </c>
      <c r="B13" s="7" t="s">
        <v>322</v>
      </c>
      <c r="C13" s="7" t="s">
        <v>323</v>
      </c>
      <c r="D13" s="7" t="s">
        <v>324</v>
      </c>
    </row>
    <row r="14" customFormat="false" ht="16.5" hidden="false" customHeight="true" outlineLevel="0" collapsed="false">
      <c r="A14" s="12" t="s">
        <v>173</v>
      </c>
      <c r="B14" s="4" t="s">
        <v>325</v>
      </c>
      <c r="C14" s="4" t="s">
        <v>326</v>
      </c>
      <c r="D14" s="4" t="s">
        <v>327</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50"/>
  </cols>
  <sheetData>
    <row r="1" customFormat="false" ht="30" hidden="false" customHeight="true" outlineLevel="0" collapsed="false">
      <c r="A1" s="1" t="s">
        <v>328</v>
      </c>
      <c r="B1" s="1" t="s">
        <v>329</v>
      </c>
    </row>
    <row r="2" customFormat="false" ht="29.25" hidden="false" customHeight="true" outlineLevel="0" collapsed="false">
      <c r="A2" s="2" t="n">
        <v>1</v>
      </c>
      <c r="B2" s="4" t="s">
        <v>330</v>
      </c>
    </row>
    <row r="3" customFormat="false" ht="29.25" hidden="false" customHeight="true" outlineLevel="0" collapsed="false">
      <c r="A3" s="5" t="n">
        <v>2</v>
      </c>
      <c r="B3" s="7" t="s">
        <v>331</v>
      </c>
    </row>
    <row r="4" customFormat="false" ht="29.25" hidden="false" customHeight="true" outlineLevel="0" collapsed="false">
      <c r="A4" s="2" t="n">
        <v>3</v>
      </c>
      <c r="B4" s="4" t="s">
        <v>332</v>
      </c>
    </row>
    <row r="5" customFormat="false" ht="16.5" hidden="false" customHeight="true" outlineLevel="0" collapsed="false">
      <c r="A5" s="5" t="n">
        <v>4</v>
      </c>
      <c r="B5" s="7" t="s">
        <v>333</v>
      </c>
    </row>
    <row r="6" customFormat="false" ht="16.5" hidden="false" customHeight="true" outlineLevel="0" collapsed="false">
      <c r="A6" s="2" t="n">
        <v>5</v>
      </c>
      <c r="B6" s="4" t="s">
        <v>334</v>
      </c>
    </row>
    <row r="7" customFormat="false" ht="29.25" hidden="false" customHeight="true" outlineLevel="0" collapsed="false">
      <c r="A7" s="5" t="n">
        <v>6</v>
      </c>
      <c r="B7" s="7" t="s">
        <v>335</v>
      </c>
    </row>
    <row r="8" customFormat="false" ht="54.75" hidden="false" customHeight="true" outlineLevel="0" collapsed="false">
      <c r="A8" s="2" t="n">
        <v>7</v>
      </c>
      <c r="B8" s="4" t="s">
        <v>336</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90"/>
    <col collapsed="false" customWidth="true" hidden="false" outlineLevel="0" max="4" min="4" style="0" width="100"/>
  </cols>
  <sheetData>
    <row r="1" customFormat="false" ht="30" hidden="false" customHeight="true" outlineLevel="0" collapsed="false">
      <c r="A1" s="1" t="s">
        <v>328</v>
      </c>
      <c r="B1" s="1" t="s">
        <v>337</v>
      </c>
      <c r="C1" s="1" t="s">
        <v>338</v>
      </c>
      <c r="D1" s="1" t="s">
        <v>339</v>
      </c>
    </row>
    <row r="2" customFormat="false" ht="16.5" hidden="false" customHeight="true" outlineLevel="0" collapsed="false">
      <c r="A2" s="3" t="n">
        <v>1</v>
      </c>
      <c r="B2" s="4" t="s">
        <v>340</v>
      </c>
      <c r="C2" s="4" t="s">
        <v>341</v>
      </c>
      <c r="D2" s="15" t="s">
        <v>342</v>
      </c>
    </row>
    <row r="3" customFormat="false" ht="29.25" hidden="false" customHeight="true" outlineLevel="0" collapsed="false">
      <c r="A3" s="6" t="n">
        <v>2</v>
      </c>
      <c r="B3" s="7" t="s">
        <v>343</v>
      </c>
      <c r="C3" s="7" t="s">
        <v>344</v>
      </c>
      <c r="D3" s="16" t="s">
        <v>345</v>
      </c>
    </row>
    <row r="4" customFormat="false" ht="29.25" hidden="false" customHeight="true" outlineLevel="0" collapsed="false">
      <c r="A4" s="3" t="n">
        <v>3</v>
      </c>
      <c r="B4" s="4" t="s">
        <v>346</v>
      </c>
      <c r="C4" s="4" t="s">
        <v>347</v>
      </c>
      <c r="D4" s="15" t="s">
        <v>348</v>
      </c>
    </row>
    <row r="5" customFormat="false" ht="29.25" hidden="false" customHeight="true" outlineLevel="0" collapsed="false">
      <c r="A5" s="6" t="n">
        <v>4</v>
      </c>
      <c r="B5" s="7" t="s">
        <v>349</v>
      </c>
      <c r="C5" s="7" t="s">
        <v>350</v>
      </c>
      <c r="D5" s="16" t="s">
        <v>351</v>
      </c>
    </row>
    <row r="6" customFormat="false" ht="16.5" hidden="false" customHeight="true" outlineLevel="0" collapsed="false">
      <c r="A6" s="3" t="n">
        <v>5</v>
      </c>
      <c r="B6" s="4" t="s">
        <v>352</v>
      </c>
      <c r="C6" s="4" t="s">
        <v>353</v>
      </c>
      <c r="D6" s="15" t="s">
        <v>354</v>
      </c>
    </row>
    <row r="7" customFormat="false" ht="29.25" hidden="false" customHeight="true" outlineLevel="0" collapsed="false">
      <c r="A7" s="6" t="n">
        <v>6</v>
      </c>
      <c r="B7" s="7" t="s">
        <v>355</v>
      </c>
      <c r="C7" s="7" t="s">
        <v>356</v>
      </c>
      <c r="D7" s="16" t="s">
        <v>357</v>
      </c>
    </row>
    <row r="8" customFormat="false" ht="29.25" hidden="false" customHeight="true" outlineLevel="0" collapsed="false">
      <c r="A8" s="3" t="n">
        <v>7</v>
      </c>
      <c r="B8" s="4" t="s">
        <v>343</v>
      </c>
      <c r="C8" s="4" t="s">
        <v>358</v>
      </c>
      <c r="D8" s="15" t="s">
        <v>359</v>
      </c>
    </row>
    <row r="9" customFormat="false" ht="29.25" hidden="false" customHeight="true" outlineLevel="0" collapsed="false">
      <c r="A9" s="6" t="n">
        <v>8</v>
      </c>
      <c r="B9" s="7" t="s">
        <v>360</v>
      </c>
      <c r="C9" s="7" t="s">
        <v>361</v>
      </c>
      <c r="D9" s="16" t="s">
        <v>362</v>
      </c>
    </row>
    <row r="10" customFormat="false" ht="16.5" hidden="false" customHeight="true" outlineLevel="0" collapsed="false">
      <c r="A10" s="3" t="n">
        <v>9</v>
      </c>
      <c r="B10" s="4" t="s">
        <v>346</v>
      </c>
      <c r="C10" s="4" t="s">
        <v>363</v>
      </c>
      <c r="D10" s="15" t="s">
        <v>364</v>
      </c>
    </row>
    <row r="11" customFormat="false" ht="29.25" hidden="false" customHeight="true" outlineLevel="0" collapsed="false">
      <c r="A11" s="6" t="n">
        <v>10</v>
      </c>
      <c r="B11" s="7" t="s">
        <v>365</v>
      </c>
      <c r="C11" s="7" t="s">
        <v>366</v>
      </c>
      <c r="D11" s="16" t="s">
        <v>367</v>
      </c>
    </row>
    <row r="12" customFormat="false" ht="29.25" hidden="false" customHeight="true" outlineLevel="0" collapsed="false">
      <c r="A12" s="3" t="n">
        <v>11</v>
      </c>
      <c r="B12" s="4" t="s">
        <v>368</v>
      </c>
      <c r="C12" s="4" t="s">
        <v>369</v>
      </c>
      <c r="D12" s="15" t="s">
        <v>370</v>
      </c>
    </row>
    <row r="13" customFormat="false" ht="29.25" hidden="false" customHeight="true" outlineLevel="0" collapsed="false">
      <c r="A13" s="6" t="n">
        <v>12</v>
      </c>
      <c r="B13" s="7" t="s">
        <v>371</v>
      </c>
      <c r="C13" s="7" t="s">
        <v>372</v>
      </c>
      <c r="D13" s="16" t="s">
        <v>373</v>
      </c>
    </row>
    <row r="14" customFormat="false" ht="16.5" hidden="false" customHeight="true" outlineLevel="0" collapsed="false">
      <c r="A14" s="3" t="n">
        <v>13</v>
      </c>
      <c r="B14" s="4" t="s">
        <v>355</v>
      </c>
      <c r="C14" s="4" t="s">
        <v>374</v>
      </c>
      <c r="D14" s="15" t="s">
        <v>375</v>
      </c>
    </row>
    <row r="15" customFormat="false" ht="16.5" hidden="false" customHeight="true" outlineLevel="0" collapsed="false">
      <c r="A15" s="6" t="n">
        <v>14</v>
      </c>
      <c r="B15" s="7" t="s">
        <v>376</v>
      </c>
      <c r="C15" s="7" t="s">
        <v>377</v>
      </c>
      <c r="D15" s="16" t="s">
        <v>378</v>
      </c>
    </row>
    <row r="16" customFormat="false" ht="16.5" hidden="false" customHeight="true" outlineLevel="0" collapsed="false">
      <c r="A16" s="3" t="n">
        <v>15</v>
      </c>
      <c r="B16" s="4" t="s">
        <v>379</v>
      </c>
      <c r="C16" s="4" t="s">
        <v>380</v>
      </c>
      <c r="D16" s="15" t="s">
        <v>381</v>
      </c>
    </row>
    <row r="17" customFormat="false" ht="29.25" hidden="false" customHeight="true" outlineLevel="0" collapsed="false">
      <c r="A17" s="6" t="n">
        <v>16</v>
      </c>
      <c r="B17" s="7" t="s">
        <v>346</v>
      </c>
      <c r="C17" s="7" t="s">
        <v>382</v>
      </c>
      <c r="D17" s="16" t="s">
        <v>383</v>
      </c>
    </row>
    <row r="18" customFormat="false" ht="29.25" hidden="false" customHeight="true" outlineLevel="0" collapsed="false">
      <c r="A18" s="3" t="n">
        <v>17</v>
      </c>
      <c r="B18" s="4" t="s">
        <v>346</v>
      </c>
      <c r="C18" s="4" t="s">
        <v>384</v>
      </c>
      <c r="D18" s="15" t="s">
        <v>385</v>
      </c>
    </row>
    <row r="19" customFormat="false" ht="29.25" hidden="false" customHeight="true" outlineLevel="0" collapsed="false">
      <c r="A19" s="6" t="n">
        <v>18</v>
      </c>
      <c r="B19" s="7" t="s">
        <v>386</v>
      </c>
      <c r="C19" s="7" t="s">
        <v>387</v>
      </c>
      <c r="D19" s="16" t="s">
        <v>388</v>
      </c>
    </row>
    <row r="20" customFormat="false" ht="16.5" hidden="false" customHeight="true" outlineLevel="0" collapsed="false">
      <c r="A20" s="3" t="n">
        <v>19</v>
      </c>
      <c r="B20" s="4" t="s">
        <v>352</v>
      </c>
      <c r="C20" s="4" t="s">
        <v>389</v>
      </c>
      <c r="D20" s="15" t="s">
        <v>390</v>
      </c>
    </row>
    <row r="21" customFormat="false" ht="16.5" hidden="false" customHeight="true" outlineLevel="0" collapsed="false">
      <c r="A21" s="6" t="n">
        <v>20</v>
      </c>
      <c r="B21" s="7" t="s">
        <v>371</v>
      </c>
      <c r="C21" s="7" t="s">
        <v>391</v>
      </c>
      <c r="D21" s="16" t="s">
        <v>392</v>
      </c>
    </row>
    <row r="22" customFormat="false" ht="29.25" hidden="false" customHeight="true" outlineLevel="0" collapsed="false">
      <c r="A22" s="3" t="n">
        <v>21</v>
      </c>
      <c r="B22" s="4" t="s">
        <v>343</v>
      </c>
      <c r="C22" s="4" t="s">
        <v>393</v>
      </c>
      <c r="D22" s="15" t="s">
        <v>394</v>
      </c>
    </row>
    <row r="23" customFormat="false" ht="29.25" hidden="false" customHeight="true" outlineLevel="0" collapsed="false">
      <c r="A23" s="6" t="n">
        <v>22</v>
      </c>
      <c r="B23" s="7" t="s">
        <v>395</v>
      </c>
      <c r="C23" s="7" t="s">
        <v>396</v>
      </c>
      <c r="D23" s="16" t="s">
        <v>397</v>
      </c>
    </row>
    <row r="24" customFormat="false" ht="16.5" hidden="false" customHeight="true" outlineLevel="0" collapsed="false">
      <c r="A24" s="3" t="n">
        <v>23</v>
      </c>
      <c r="B24" s="4" t="s">
        <v>346</v>
      </c>
      <c r="C24" s="4" t="s">
        <v>398</v>
      </c>
      <c r="D24" s="15" t="s">
        <v>399</v>
      </c>
    </row>
    <row r="25" customFormat="false" ht="29.25" hidden="false" customHeight="true" outlineLevel="0" collapsed="false">
      <c r="A25" s="6" t="n">
        <v>24</v>
      </c>
      <c r="B25" s="7" t="s">
        <v>400</v>
      </c>
      <c r="C25" s="7" t="s">
        <v>401</v>
      </c>
      <c r="D25" s="16" t="s">
        <v>402</v>
      </c>
    </row>
    <row r="26" customFormat="false" ht="29.25" hidden="false" customHeight="true" outlineLevel="0" collapsed="false">
      <c r="A26" s="3" t="n">
        <v>25</v>
      </c>
      <c r="B26" s="4" t="s">
        <v>346</v>
      </c>
      <c r="C26" s="4" t="s">
        <v>403</v>
      </c>
      <c r="D26" s="15" t="s">
        <v>404</v>
      </c>
    </row>
    <row r="27" customFormat="false" ht="29.25" hidden="false" customHeight="true" outlineLevel="0" collapsed="false">
      <c r="A27" s="6" t="n">
        <v>26</v>
      </c>
      <c r="B27" s="7" t="s">
        <v>405</v>
      </c>
      <c r="C27" s="7" t="s">
        <v>406</v>
      </c>
      <c r="D27" s="16" t="s">
        <v>407</v>
      </c>
    </row>
    <row r="28" customFormat="false" ht="29.25" hidden="false" customHeight="true" outlineLevel="0" collapsed="false">
      <c r="A28" s="3" t="n">
        <v>27</v>
      </c>
      <c r="B28" s="4" t="s">
        <v>408</v>
      </c>
      <c r="C28" s="4" t="s">
        <v>409</v>
      </c>
      <c r="D28" s="15" t="s">
        <v>410</v>
      </c>
    </row>
    <row r="29" customFormat="false" ht="29.25" hidden="false" customHeight="true" outlineLevel="0" collapsed="false">
      <c r="A29" s="6" t="n">
        <v>28</v>
      </c>
      <c r="B29" s="7" t="s">
        <v>343</v>
      </c>
      <c r="C29" s="7" t="s">
        <v>411</v>
      </c>
      <c r="D29" s="16" t="s">
        <v>412</v>
      </c>
    </row>
    <row r="30" customFormat="false" ht="29.25" hidden="false" customHeight="true" outlineLevel="0" collapsed="false">
      <c r="A30" s="3" t="n">
        <v>29</v>
      </c>
      <c r="B30" s="4" t="s">
        <v>343</v>
      </c>
      <c r="C30" s="4" t="s">
        <v>413</v>
      </c>
      <c r="D30" s="15" t="s">
        <v>414</v>
      </c>
    </row>
    <row r="31" customFormat="false" ht="16.5" hidden="false" customHeight="true" outlineLevel="0" collapsed="false">
      <c r="A31" s="6" t="n">
        <v>30</v>
      </c>
      <c r="B31" s="7" t="s">
        <v>415</v>
      </c>
      <c r="C31" s="7" t="s">
        <v>416</v>
      </c>
      <c r="D31" s="16" t="s">
        <v>417</v>
      </c>
    </row>
    <row r="32" customFormat="false" ht="16.5" hidden="false" customHeight="true" outlineLevel="0" collapsed="false">
      <c r="A32" s="3" t="n">
        <v>31</v>
      </c>
      <c r="B32" s="4" t="s">
        <v>418</v>
      </c>
      <c r="C32" s="4" t="s">
        <v>419</v>
      </c>
      <c r="D32" s="15" t="s">
        <v>420</v>
      </c>
    </row>
    <row r="33" customFormat="false" ht="29.25" hidden="false" customHeight="true" outlineLevel="0" collapsed="false">
      <c r="A33" s="6" t="n">
        <v>32</v>
      </c>
      <c r="B33" s="7" t="s">
        <v>343</v>
      </c>
      <c r="C33" s="7" t="s">
        <v>421</v>
      </c>
      <c r="D33" s="16" t="s">
        <v>69</v>
      </c>
    </row>
    <row r="34" customFormat="false" ht="16.5" hidden="false" customHeight="true" outlineLevel="0" collapsed="false">
      <c r="A34" s="3" t="n">
        <v>33</v>
      </c>
      <c r="B34" s="4" t="s">
        <v>422</v>
      </c>
      <c r="C34" s="4" t="s">
        <v>423</v>
      </c>
      <c r="D34" s="15" t="s">
        <v>424</v>
      </c>
    </row>
    <row r="35" customFormat="false" ht="29.25" hidden="false" customHeight="true" outlineLevel="0" collapsed="false">
      <c r="A35" s="6" t="n">
        <v>34</v>
      </c>
      <c r="B35" s="7" t="s">
        <v>425</v>
      </c>
      <c r="C35" s="7" t="s">
        <v>426</v>
      </c>
      <c r="D35" s="16" t="s">
        <v>427</v>
      </c>
    </row>
    <row r="36" customFormat="false" ht="29.25" hidden="false" customHeight="true" outlineLevel="0" collapsed="false">
      <c r="A36" s="3" t="n">
        <v>35</v>
      </c>
      <c r="B36" s="4" t="s">
        <v>428</v>
      </c>
      <c r="C36" s="4" t="s">
        <v>429</v>
      </c>
      <c r="D36" s="15" t="s">
        <v>430</v>
      </c>
    </row>
    <row r="37" customFormat="false" ht="16.5" hidden="false" customHeight="true" outlineLevel="0" collapsed="false">
      <c r="A37" s="6" t="n">
        <v>36</v>
      </c>
      <c r="B37" s="7" t="s">
        <v>431</v>
      </c>
      <c r="C37" s="7" t="s">
        <v>432</v>
      </c>
      <c r="D37" s="16" t="s">
        <v>433</v>
      </c>
    </row>
    <row r="38" customFormat="false" ht="67.5" hidden="false" customHeight="true" outlineLevel="0" collapsed="false">
      <c r="A38" s="3" t="n">
        <v>37</v>
      </c>
      <c r="B38" s="4" t="s">
        <v>434</v>
      </c>
      <c r="C38" s="4" t="s">
        <v>435</v>
      </c>
      <c r="D38" s="15" t="s">
        <v>436</v>
      </c>
    </row>
    <row r="39" customFormat="false" ht="29.25" hidden="false" customHeight="true" outlineLevel="0" collapsed="false">
      <c r="A39" s="6" t="n">
        <v>38</v>
      </c>
      <c r="B39" s="7" t="s">
        <v>437</v>
      </c>
      <c r="C39" s="7" t="s">
        <v>438</v>
      </c>
      <c r="D39" s="16" t="s">
        <v>439</v>
      </c>
    </row>
    <row r="40" customFormat="false" ht="16.5" hidden="false" customHeight="true" outlineLevel="0" collapsed="false">
      <c r="A40" s="3" t="n">
        <v>39</v>
      </c>
      <c r="B40" s="4" t="s">
        <v>440</v>
      </c>
      <c r="C40" s="4" t="s">
        <v>441</v>
      </c>
      <c r="D40" s="15" t="s">
        <v>442</v>
      </c>
    </row>
    <row r="41" customFormat="false" ht="16.5" hidden="false" customHeight="true" outlineLevel="0" collapsed="false">
      <c r="A41" s="6" t="n">
        <v>40</v>
      </c>
      <c r="B41" s="7" t="s">
        <v>443</v>
      </c>
      <c r="C41" s="7" t="s">
        <v>444</v>
      </c>
      <c r="D41" s="16" t="s">
        <v>445</v>
      </c>
    </row>
    <row r="42" customFormat="false" ht="16.5" hidden="false" customHeight="true" outlineLevel="0" collapsed="false">
      <c r="A42" s="3" t="n">
        <v>41</v>
      </c>
      <c r="B42" s="4" t="s">
        <v>446</v>
      </c>
      <c r="C42" s="4" t="s">
        <v>447</v>
      </c>
      <c r="D42" s="15" t="s">
        <v>448</v>
      </c>
    </row>
    <row r="43" customFormat="false" ht="16.5" hidden="false" customHeight="true" outlineLevel="0" collapsed="false">
      <c r="A43" s="6" t="n">
        <v>42</v>
      </c>
      <c r="B43" s="7" t="s">
        <v>446</v>
      </c>
      <c r="C43" s="7" t="s">
        <v>449</v>
      </c>
      <c r="D43" s="16" t="s">
        <v>450</v>
      </c>
    </row>
    <row r="44" customFormat="false" ht="29.25" hidden="false" customHeight="true" outlineLevel="0" collapsed="false">
      <c r="A44" s="3" t="n">
        <v>43</v>
      </c>
      <c r="B44" s="4" t="s">
        <v>368</v>
      </c>
      <c r="C44" s="4" t="s">
        <v>451</v>
      </c>
      <c r="D44" s="15" t="s">
        <v>452</v>
      </c>
    </row>
    <row r="45" customFormat="false" ht="16.5" hidden="false" customHeight="true" outlineLevel="0" collapsed="false">
      <c r="A45" s="6" t="n">
        <v>44</v>
      </c>
      <c r="B45" s="7" t="s">
        <v>453</v>
      </c>
      <c r="C45" s="7" t="s">
        <v>454</v>
      </c>
      <c r="D45" s="16" t="s">
        <v>455</v>
      </c>
    </row>
    <row r="46" customFormat="false" ht="29.25" hidden="false" customHeight="true" outlineLevel="0" collapsed="false">
      <c r="A46" s="3" t="n">
        <v>45</v>
      </c>
      <c r="B46" s="4" t="s">
        <v>456</v>
      </c>
      <c r="C46" s="4" t="s">
        <v>457</v>
      </c>
      <c r="D46" s="15" t="s">
        <v>458</v>
      </c>
    </row>
    <row r="47" customFormat="false" ht="42" hidden="false" customHeight="true" outlineLevel="0" collapsed="false">
      <c r="A47" s="6" t="n">
        <v>46</v>
      </c>
      <c r="B47" s="7" t="s">
        <v>368</v>
      </c>
      <c r="C47" s="7" t="s">
        <v>459</v>
      </c>
      <c r="D47" s="16" t="s">
        <v>460</v>
      </c>
    </row>
    <row r="48" customFormat="false" ht="29.25" hidden="false" customHeight="true" outlineLevel="0" collapsed="false">
      <c r="A48" s="3" t="n">
        <v>47</v>
      </c>
      <c r="B48" s="4" t="s">
        <v>461</v>
      </c>
      <c r="C48" s="4" t="s">
        <v>462</v>
      </c>
      <c r="D48" s="15" t="s">
        <v>463</v>
      </c>
    </row>
    <row r="49" customFormat="false" ht="29.25" hidden="false" customHeight="true" outlineLevel="0" collapsed="false">
      <c r="A49" s="6" t="n">
        <v>48</v>
      </c>
      <c r="B49" s="7" t="s">
        <v>343</v>
      </c>
      <c r="C49" s="7" t="s">
        <v>464</v>
      </c>
      <c r="D49" s="16" t="s">
        <v>465</v>
      </c>
    </row>
    <row r="50" customFormat="false" ht="29.25" hidden="false" customHeight="true" outlineLevel="0" collapsed="false">
      <c r="A50" s="3" t="n">
        <v>49</v>
      </c>
      <c r="B50" s="4" t="s">
        <v>461</v>
      </c>
      <c r="C50" s="4" t="s">
        <v>466</v>
      </c>
      <c r="D50" s="15" t="s">
        <v>467</v>
      </c>
    </row>
    <row r="51" customFormat="false" ht="29.25" hidden="false" customHeight="true" outlineLevel="0" collapsed="false">
      <c r="A51" s="6" t="n">
        <v>50</v>
      </c>
      <c r="B51" s="7" t="s">
        <v>468</v>
      </c>
      <c r="C51" s="7" t="s">
        <v>469</v>
      </c>
      <c r="D51" s="16" t="s">
        <v>470</v>
      </c>
    </row>
    <row r="52" customFormat="false" ht="16.5" hidden="false" customHeight="true" outlineLevel="0" collapsed="false">
      <c r="A52" s="3" t="n">
        <v>51</v>
      </c>
      <c r="B52" s="4" t="s">
        <v>471</v>
      </c>
      <c r="C52" s="4" t="s">
        <v>472</v>
      </c>
      <c r="D52" s="15" t="s">
        <v>473</v>
      </c>
    </row>
    <row r="53" customFormat="false" ht="29.25" hidden="false" customHeight="true" outlineLevel="0" collapsed="false">
      <c r="A53" s="6" t="n">
        <v>52</v>
      </c>
      <c r="B53" s="7" t="s">
        <v>371</v>
      </c>
      <c r="C53" s="7" t="s">
        <v>474</v>
      </c>
      <c r="D53" s="16" t="s">
        <v>475</v>
      </c>
    </row>
    <row r="54" customFormat="false" ht="16.5" hidden="false" customHeight="true" outlineLevel="0" collapsed="false">
      <c r="A54" s="3" t="n">
        <v>53</v>
      </c>
      <c r="B54" s="4" t="s">
        <v>352</v>
      </c>
      <c r="C54" s="4" t="s">
        <v>476</v>
      </c>
      <c r="D54" s="15" t="s">
        <v>98</v>
      </c>
    </row>
    <row r="55" customFormat="false" ht="16.5" hidden="false" customHeight="true" outlineLevel="0" collapsed="false">
      <c r="A55" s="6" t="n">
        <v>54</v>
      </c>
      <c r="B55" s="7" t="s">
        <v>368</v>
      </c>
      <c r="C55" s="7" t="s">
        <v>477</v>
      </c>
      <c r="D55" s="16" t="s">
        <v>478</v>
      </c>
    </row>
    <row r="56" customFormat="false" ht="16.5" hidden="false" customHeight="true" outlineLevel="0" collapsed="false">
      <c r="A56" s="3" t="n">
        <v>55</v>
      </c>
      <c r="B56" s="4" t="s">
        <v>479</v>
      </c>
      <c r="C56" s="4" t="s">
        <v>480</v>
      </c>
      <c r="D56" s="15" t="s">
        <v>481</v>
      </c>
    </row>
    <row r="57" customFormat="false" ht="16.5" hidden="false" customHeight="true" outlineLevel="0" collapsed="false">
      <c r="A57" s="6" t="n">
        <v>56</v>
      </c>
      <c r="B57" s="7" t="s">
        <v>482</v>
      </c>
      <c r="C57" s="7" t="s">
        <v>483</v>
      </c>
      <c r="D57" s="16" t="s">
        <v>484</v>
      </c>
    </row>
    <row r="58" customFormat="false" ht="29.25" hidden="false" customHeight="true" outlineLevel="0" collapsed="false">
      <c r="A58" s="3" t="n">
        <v>57</v>
      </c>
      <c r="B58" s="4" t="s">
        <v>485</v>
      </c>
      <c r="C58" s="4" t="s">
        <v>486</v>
      </c>
      <c r="D58" s="15" t="s">
        <v>487</v>
      </c>
    </row>
    <row r="59" customFormat="false" ht="29.25" hidden="false" customHeight="true" outlineLevel="0" collapsed="false">
      <c r="A59" s="6" t="n">
        <v>58</v>
      </c>
      <c r="B59" s="7" t="s">
        <v>488</v>
      </c>
      <c r="C59" s="7" t="s">
        <v>489</v>
      </c>
      <c r="D59" s="16" t="s">
        <v>490</v>
      </c>
    </row>
    <row r="60" customFormat="false" ht="16.5" hidden="false" customHeight="true" outlineLevel="0" collapsed="false">
      <c r="A60" s="3" t="n">
        <v>59</v>
      </c>
      <c r="B60" s="4" t="s">
        <v>491</v>
      </c>
      <c r="C60" s="4" t="s">
        <v>492</v>
      </c>
      <c r="D60" s="15" t="s">
        <v>493</v>
      </c>
    </row>
    <row r="61" customFormat="false" ht="16.5" hidden="false" customHeight="true" outlineLevel="0" collapsed="false">
      <c r="A61" s="6" t="n">
        <v>60</v>
      </c>
      <c r="B61" s="7" t="s">
        <v>482</v>
      </c>
      <c r="C61" s="7" t="s">
        <v>494</v>
      </c>
      <c r="D61" s="16" t="s">
        <v>495</v>
      </c>
    </row>
    <row r="62" customFormat="false" ht="29.25" hidden="false" customHeight="true" outlineLevel="0" collapsed="false">
      <c r="A62" s="3" t="n">
        <v>61</v>
      </c>
      <c r="B62" s="4" t="s">
        <v>371</v>
      </c>
      <c r="C62" s="4" t="s">
        <v>496</v>
      </c>
      <c r="D62" s="15" t="s">
        <v>497</v>
      </c>
    </row>
    <row r="63" customFormat="false" ht="29.25" hidden="false" customHeight="true" outlineLevel="0" collapsed="false">
      <c r="A63" s="6" t="n">
        <v>62</v>
      </c>
      <c r="B63" s="7" t="s">
        <v>498</v>
      </c>
      <c r="C63" s="7" t="s">
        <v>499</v>
      </c>
      <c r="D63" s="16" t="s">
        <v>500</v>
      </c>
    </row>
    <row r="64" customFormat="false" ht="29.25" hidden="false" customHeight="true" outlineLevel="0" collapsed="false">
      <c r="A64" s="3" t="n">
        <v>63</v>
      </c>
      <c r="B64" s="4" t="s">
        <v>368</v>
      </c>
      <c r="C64" s="4" t="s">
        <v>501</v>
      </c>
      <c r="D64" s="15" t="s">
        <v>502</v>
      </c>
    </row>
    <row r="65" customFormat="false" ht="29.25" hidden="false" customHeight="true" outlineLevel="0" collapsed="false">
      <c r="A65" s="6" t="n">
        <v>64</v>
      </c>
      <c r="B65" s="7" t="s">
        <v>446</v>
      </c>
      <c r="C65" s="7" t="s">
        <v>503</v>
      </c>
      <c r="D65" s="16" t="s">
        <v>504</v>
      </c>
    </row>
    <row r="66" customFormat="false" ht="29.25" hidden="false" customHeight="true" outlineLevel="0" collapsed="false">
      <c r="A66" s="3" t="n">
        <v>65</v>
      </c>
      <c r="B66" s="4" t="s">
        <v>371</v>
      </c>
      <c r="C66" s="4" t="s">
        <v>505</v>
      </c>
      <c r="D66" s="15" t="s">
        <v>506</v>
      </c>
    </row>
    <row r="67" customFormat="false" ht="29.25" hidden="false" customHeight="true" outlineLevel="0" collapsed="false">
      <c r="A67" s="6" t="n">
        <v>66</v>
      </c>
      <c r="B67" s="7" t="s">
        <v>507</v>
      </c>
      <c r="C67" s="7" t="s">
        <v>508</v>
      </c>
      <c r="D67" s="16" t="s">
        <v>509</v>
      </c>
    </row>
    <row r="68" customFormat="false" ht="16.5" hidden="false" customHeight="true" outlineLevel="0" collapsed="false">
      <c r="A68" s="3" t="n">
        <v>67</v>
      </c>
      <c r="B68" s="4" t="s">
        <v>510</v>
      </c>
      <c r="C68" s="4" t="s">
        <v>511</v>
      </c>
      <c r="D68" s="15" t="s">
        <v>512</v>
      </c>
    </row>
    <row r="69" customFormat="false" ht="29.25" hidden="false" customHeight="true" outlineLevel="0" collapsed="false">
      <c r="A69" s="6" t="n">
        <v>68</v>
      </c>
      <c r="B69" s="7" t="s">
        <v>482</v>
      </c>
      <c r="C69" s="7" t="s">
        <v>513</v>
      </c>
      <c r="D69" s="16" t="s">
        <v>514</v>
      </c>
    </row>
    <row r="70" customFormat="false" ht="16.5" hidden="false" customHeight="true" outlineLevel="0" collapsed="false">
      <c r="A70" s="3" t="n">
        <v>69</v>
      </c>
      <c r="B70" s="4" t="s">
        <v>515</v>
      </c>
      <c r="C70" s="4" t="s">
        <v>516</v>
      </c>
      <c r="D70" s="15" t="s">
        <v>517</v>
      </c>
    </row>
    <row r="71" customFormat="false" ht="16.5" hidden="false" customHeight="true" outlineLevel="0" collapsed="false">
      <c r="A71" s="6" t="n">
        <v>70</v>
      </c>
      <c r="B71" s="7" t="s">
        <v>471</v>
      </c>
      <c r="C71" s="7" t="s">
        <v>518</v>
      </c>
      <c r="D71" s="16" t="s">
        <v>519</v>
      </c>
    </row>
    <row r="72" customFormat="false" ht="29.25" hidden="false" customHeight="true" outlineLevel="0" collapsed="false">
      <c r="A72" s="3" t="n">
        <v>71</v>
      </c>
      <c r="B72" s="4" t="s">
        <v>343</v>
      </c>
      <c r="C72" s="4" t="s">
        <v>520</v>
      </c>
      <c r="D72" s="15" t="s">
        <v>131</v>
      </c>
    </row>
    <row r="73" customFormat="false" ht="16.5" hidden="false" customHeight="true" outlineLevel="0" collapsed="false">
      <c r="A73" s="6" t="n">
        <v>72</v>
      </c>
      <c r="B73" s="7" t="s">
        <v>521</v>
      </c>
      <c r="C73" s="7" t="s">
        <v>522</v>
      </c>
      <c r="D73" s="16" t="s">
        <v>523</v>
      </c>
    </row>
    <row r="74" customFormat="false" ht="16.5" hidden="false" customHeight="true" outlineLevel="0" collapsed="false">
      <c r="A74" s="3" t="n">
        <v>73</v>
      </c>
      <c r="B74" s="4" t="s">
        <v>482</v>
      </c>
      <c r="C74" s="4" t="s">
        <v>524</v>
      </c>
      <c r="D74" s="15" t="s">
        <v>525</v>
      </c>
    </row>
    <row r="75" customFormat="false" ht="29.25" hidden="false" customHeight="true" outlineLevel="0" collapsed="false">
      <c r="A75" s="6" t="n">
        <v>74</v>
      </c>
      <c r="B75" s="7" t="s">
        <v>526</v>
      </c>
      <c r="C75" s="7" t="s">
        <v>527</v>
      </c>
      <c r="D75" s="16" t="s">
        <v>528</v>
      </c>
    </row>
    <row r="76" customFormat="false" ht="29.25" hidden="false" customHeight="true" outlineLevel="0" collapsed="false">
      <c r="A76" s="3" t="n">
        <v>75</v>
      </c>
      <c r="B76" s="4" t="s">
        <v>368</v>
      </c>
      <c r="C76" s="4" t="s">
        <v>529</v>
      </c>
      <c r="D76" s="15" t="s">
        <v>530</v>
      </c>
    </row>
    <row r="77" customFormat="false" ht="16.5" hidden="false" customHeight="true" outlineLevel="0" collapsed="false">
      <c r="A77" s="6" t="n">
        <v>76</v>
      </c>
      <c r="B77" s="7" t="s">
        <v>371</v>
      </c>
      <c r="C77" s="7" t="s">
        <v>531</v>
      </c>
      <c r="D77" s="16" t="s">
        <v>136</v>
      </c>
    </row>
    <row r="78" customFormat="false" ht="16.5" hidden="false" customHeight="true" outlineLevel="0" collapsed="false">
      <c r="A78" s="3" t="n">
        <v>77</v>
      </c>
      <c r="B78" s="4" t="s">
        <v>471</v>
      </c>
      <c r="C78" s="4" t="s">
        <v>532</v>
      </c>
      <c r="D78" s="15" t="s">
        <v>533</v>
      </c>
    </row>
    <row r="79" customFormat="false" ht="16.5" hidden="false" customHeight="true" outlineLevel="0" collapsed="false">
      <c r="A79" s="6" t="n">
        <v>78</v>
      </c>
      <c r="B79" s="7" t="s">
        <v>534</v>
      </c>
      <c r="C79" s="7" t="s">
        <v>535</v>
      </c>
      <c r="D79" s="16" t="s">
        <v>536</v>
      </c>
    </row>
    <row r="80" customFormat="false" ht="16.5" hidden="false" customHeight="true" outlineLevel="0" collapsed="false">
      <c r="A80" s="3" t="n">
        <v>79</v>
      </c>
      <c r="B80" s="4" t="s">
        <v>537</v>
      </c>
      <c r="C80" s="4" t="s">
        <v>538</v>
      </c>
      <c r="D80" s="15" t="s">
        <v>539</v>
      </c>
    </row>
    <row r="81" customFormat="false" ht="16.5" hidden="false" customHeight="true" outlineLevel="0" collapsed="false">
      <c r="A81" s="6" t="n">
        <v>80</v>
      </c>
      <c r="B81" s="7" t="s">
        <v>446</v>
      </c>
      <c r="C81" s="7" t="s">
        <v>540</v>
      </c>
      <c r="D81" s="16" t="s">
        <v>143</v>
      </c>
    </row>
    <row r="82" customFormat="false" ht="16.5" hidden="false" customHeight="true" outlineLevel="0" collapsed="false">
      <c r="A82" s="3" t="n">
        <v>81</v>
      </c>
      <c r="B82" s="4" t="s">
        <v>446</v>
      </c>
      <c r="C82" s="4" t="s">
        <v>541</v>
      </c>
      <c r="D82" s="15" t="s">
        <v>542</v>
      </c>
    </row>
    <row r="83" customFormat="false" ht="29.25" hidden="false" customHeight="true" outlineLevel="0" collapsed="false">
      <c r="A83" s="6" t="n">
        <v>82</v>
      </c>
      <c r="B83" s="7" t="s">
        <v>371</v>
      </c>
      <c r="C83" s="7" t="s">
        <v>543</v>
      </c>
      <c r="D83" s="16" t="s">
        <v>544</v>
      </c>
    </row>
    <row r="84" customFormat="false" ht="16.5" hidden="false" customHeight="true" outlineLevel="0" collapsed="false">
      <c r="A84" s="3" t="n">
        <v>83</v>
      </c>
      <c r="B84" s="4" t="s">
        <v>352</v>
      </c>
      <c r="C84" s="4" t="s">
        <v>545</v>
      </c>
      <c r="D84" s="15" t="s">
        <v>148</v>
      </c>
    </row>
    <row r="85" customFormat="false" ht="29.25" hidden="false" customHeight="true" outlineLevel="0" collapsed="false">
      <c r="A85" s="6" t="n">
        <v>84</v>
      </c>
      <c r="B85" s="7" t="s">
        <v>343</v>
      </c>
      <c r="C85" s="7" t="s">
        <v>546</v>
      </c>
      <c r="D85" s="16" t="s">
        <v>547</v>
      </c>
    </row>
    <row r="86" customFormat="false" ht="29.25" hidden="false" customHeight="true" outlineLevel="0" collapsed="false">
      <c r="A86" s="3" t="n">
        <v>85</v>
      </c>
      <c r="B86" s="4" t="s">
        <v>548</v>
      </c>
      <c r="C86" s="4" t="s">
        <v>549</v>
      </c>
      <c r="D86" s="15" t="s">
        <v>550</v>
      </c>
    </row>
    <row r="87" customFormat="false" ht="16.5" hidden="false" customHeight="true" outlineLevel="0" collapsed="false">
      <c r="A87" s="6" t="n">
        <v>86</v>
      </c>
      <c r="B87" s="7" t="s">
        <v>551</v>
      </c>
      <c r="C87" s="7" t="s">
        <v>552</v>
      </c>
      <c r="D87" s="16" t="s">
        <v>553</v>
      </c>
    </row>
    <row r="88" customFormat="false" ht="29.25" hidden="false" customHeight="true" outlineLevel="0" collapsed="false">
      <c r="A88" s="3" t="n">
        <v>87</v>
      </c>
      <c r="B88" s="4" t="s">
        <v>554</v>
      </c>
      <c r="C88" s="4" t="s">
        <v>555</v>
      </c>
      <c r="D88" s="15" t="s">
        <v>556</v>
      </c>
    </row>
    <row r="89" customFormat="false" ht="29.25" hidden="false" customHeight="true" outlineLevel="0" collapsed="false">
      <c r="A89" s="6" t="n">
        <v>88</v>
      </c>
      <c r="B89" s="7" t="s">
        <v>349</v>
      </c>
      <c r="C89" s="7" t="s">
        <v>557</v>
      </c>
      <c r="D89" s="16" t="s">
        <v>558</v>
      </c>
    </row>
    <row r="90" customFormat="false" ht="16.5" hidden="false" customHeight="true" outlineLevel="0" collapsed="false">
      <c r="A90" s="3" t="n">
        <v>89</v>
      </c>
      <c r="B90" s="4" t="s">
        <v>352</v>
      </c>
      <c r="C90" s="4" t="s">
        <v>559</v>
      </c>
      <c r="D90" s="15" t="s">
        <v>560</v>
      </c>
    </row>
    <row r="91" customFormat="false" ht="16.5" hidden="false" customHeight="true" outlineLevel="0" collapsed="false">
      <c r="A91" s="6" t="n">
        <v>90</v>
      </c>
      <c r="B91" s="7" t="s">
        <v>561</v>
      </c>
      <c r="C91" s="7" t="s">
        <v>562</v>
      </c>
      <c r="D91" s="16" t="s">
        <v>563</v>
      </c>
    </row>
    <row r="92" customFormat="false" ht="29.25" hidden="false" customHeight="true" outlineLevel="0" collapsed="false">
      <c r="A92" s="3" t="n">
        <v>91</v>
      </c>
      <c r="B92" s="4" t="s">
        <v>564</v>
      </c>
      <c r="C92" s="4" t="s">
        <v>565</v>
      </c>
      <c r="D92" s="15" t="s">
        <v>566</v>
      </c>
    </row>
    <row r="93" customFormat="false" ht="29.25" hidden="false" customHeight="true" outlineLevel="0" collapsed="false">
      <c r="A93" s="6" t="n">
        <v>92</v>
      </c>
      <c r="B93" s="7" t="s">
        <v>567</v>
      </c>
      <c r="C93" s="7" t="s">
        <v>568</v>
      </c>
      <c r="D93" s="16" t="s">
        <v>569</v>
      </c>
    </row>
    <row r="94" customFormat="false" ht="16.5" hidden="false" customHeight="true" outlineLevel="0" collapsed="false">
      <c r="A94" s="3" t="n">
        <v>93</v>
      </c>
      <c r="B94" s="4" t="s">
        <v>446</v>
      </c>
      <c r="C94" s="4" t="s">
        <v>570</v>
      </c>
      <c r="D94" s="15" t="s">
        <v>571</v>
      </c>
    </row>
    <row r="95" customFormat="false" ht="16.5" hidden="false" customHeight="true" outlineLevel="0" collapsed="false">
      <c r="A95" s="6" t="n">
        <v>94</v>
      </c>
      <c r="B95" s="7" t="s">
        <v>572</v>
      </c>
      <c r="C95" s="7" t="s">
        <v>573</v>
      </c>
      <c r="D95" s="16" t="s">
        <v>574</v>
      </c>
    </row>
    <row r="96" customFormat="false" ht="16.5" hidden="false" customHeight="true" outlineLevel="0" collapsed="false">
      <c r="A96" s="3" t="n">
        <v>95</v>
      </c>
      <c r="B96" s="4" t="s">
        <v>349</v>
      </c>
      <c r="C96" s="4" t="s">
        <v>575</v>
      </c>
      <c r="D96" s="15" t="s">
        <v>576</v>
      </c>
    </row>
    <row r="97" customFormat="false" ht="16.5" hidden="false" customHeight="true" outlineLevel="0" collapsed="false">
      <c r="A97" s="6" t="n">
        <v>96</v>
      </c>
      <c r="B97" s="7" t="s">
        <v>355</v>
      </c>
      <c r="C97" s="7" t="s">
        <v>577</v>
      </c>
      <c r="D97" s="16" t="s">
        <v>578</v>
      </c>
    </row>
    <row r="98" customFormat="false" ht="16.5" hidden="false" customHeight="true" outlineLevel="0" collapsed="false">
      <c r="A98" s="3" t="n">
        <v>97</v>
      </c>
      <c r="B98" s="4" t="s">
        <v>579</v>
      </c>
      <c r="C98" s="4" t="s">
        <v>580</v>
      </c>
      <c r="D98" s="15" t="s">
        <v>581</v>
      </c>
    </row>
    <row r="99" customFormat="false" ht="16.5" hidden="false" customHeight="true" outlineLevel="0" collapsed="false">
      <c r="A99" s="6" t="n">
        <v>98</v>
      </c>
      <c r="B99" s="7" t="s">
        <v>379</v>
      </c>
      <c r="C99" s="7" t="s">
        <v>582</v>
      </c>
      <c r="D99" s="16" t="s">
        <v>583</v>
      </c>
    </row>
    <row r="100" customFormat="false" ht="16.5" hidden="false" customHeight="true" outlineLevel="0" collapsed="false">
      <c r="A100" s="3" t="n">
        <v>99</v>
      </c>
      <c r="B100" s="4" t="s">
        <v>352</v>
      </c>
      <c r="C100" s="4" t="s">
        <v>584</v>
      </c>
      <c r="D100" s="15" t="s">
        <v>585</v>
      </c>
    </row>
    <row r="101" customFormat="false" ht="16.5" hidden="false" customHeight="true" outlineLevel="0" collapsed="false">
      <c r="A101" s="6" t="n">
        <v>100</v>
      </c>
      <c r="B101" s="7" t="s">
        <v>586</v>
      </c>
      <c r="C101" s="7" t="s">
        <v>587</v>
      </c>
      <c r="D101" s="16" t="s">
        <v>588</v>
      </c>
    </row>
    <row r="102" customFormat="false" ht="16.5" hidden="false" customHeight="true" outlineLevel="0" collapsed="false">
      <c r="A102" s="3" t="n">
        <v>101</v>
      </c>
      <c r="B102" s="4" t="s">
        <v>482</v>
      </c>
      <c r="C102" s="4" t="s">
        <v>589</v>
      </c>
      <c r="D102" s="15" t="s">
        <v>590</v>
      </c>
    </row>
    <row r="103" customFormat="false" ht="16.5" hidden="false" customHeight="true" outlineLevel="0" collapsed="false">
      <c r="A103" s="6" t="n">
        <v>102</v>
      </c>
      <c r="B103" s="7" t="s">
        <v>346</v>
      </c>
      <c r="C103" s="7" t="s">
        <v>591</v>
      </c>
      <c r="D103" s="16" t="s">
        <v>592</v>
      </c>
    </row>
    <row r="104" customFormat="false" ht="16.5" hidden="false" customHeight="true" outlineLevel="0" collapsed="false">
      <c r="A104" s="3" t="n">
        <v>103</v>
      </c>
      <c r="B104" s="4" t="s">
        <v>593</v>
      </c>
      <c r="C104" s="4" t="s">
        <v>594</v>
      </c>
      <c r="D104" s="15" t="s">
        <v>595</v>
      </c>
    </row>
    <row r="105" customFormat="false" ht="29.25" hidden="false" customHeight="true" outlineLevel="0" collapsed="false">
      <c r="A105" s="6" t="n">
        <v>104</v>
      </c>
      <c r="B105" s="7" t="s">
        <v>346</v>
      </c>
      <c r="C105" s="7" t="s">
        <v>596</v>
      </c>
      <c r="D105" s="16" t="s">
        <v>597</v>
      </c>
    </row>
    <row r="106" customFormat="false" ht="29.25" hidden="false" customHeight="true" outlineLevel="0" collapsed="false">
      <c r="A106" s="3" t="n">
        <v>105</v>
      </c>
      <c r="B106" s="4" t="s">
        <v>371</v>
      </c>
      <c r="C106" s="4" t="s">
        <v>598</v>
      </c>
      <c r="D106" s="15" t="s">
        <v>599</v>
      </c>
    </row>
    <row r="107" customFormat="false" ht="16.5" hidden="false" customHeight="true" outlineLevel="0" collapsed="false">
      <c r="A107" s="6" t="n">
        <v>106</v>
      </c>
      <c r="B107" s="7" t="s">
        <v>482</v>
      </c>
      <c r="C107" s="7" t="s">
        <v>600</v>
      </c>
      <c r="D107" s="16" t="s">
        <v>601</v>
      </c>
    </row>
    <row r="108" customFormat="false" ht="16.5" hidden="false" customHeight="true" outlineLevel="0" collapsed="false">
      <c r="A108" s="3" t="n">
        <v>107</v>
      </c>
      <c r="B108" s="4" t="s">
        <v>602</v>
      </c>
      <c r="C108" s="4" t="s">
        <v>603</v>
      </c>
      <c r="D108" s="15" t="s">
        <v>604</v>
      </c>
    </row>
    <row r="109" customFormat="false" ht="29.25" hidden="false" customHeight="true" outlineLevel="0" collapsed="false">
      <c r="A109" s="6" t="n">
        <v>108</v>
      </c>
      <c r="B109" s="7" t="s">
        <v>605</v>
      </c>
      <c r="C109" s="7" t="s">
        <v>606</v>
      </c>
      <c r="D109" s="16" t="s">
        <v>607</v>
      </c>
    </row>
    <row r="110" customFormat="false" ht="29.25" hidden="false" customHeight="true" outlineLevel="0" collapsed="false">
      <c r="A110" s="3" t="n">
        <v>109</v>
      </c>
      <c r="B110" s="4" t="s">
        <v>608</v>
      </c>
      <c r="C110" s="4" t="s">
        <v>609</v>
      </c>
      <c r="D110" s="15" t="s">
        <v>610</v>
      </c>
    </row>
    <row r="111" customFormat="false" ht="29.25" hidden="false" customHeight="true" outlineLevel="0" collapsed="false">
      <c r="A111" s="6" t="n">
        <v>110</v>
      </c>
      <c r="B111" s="7" t="s">
        <v>371</v>
      </c>
      <c r="C111" s="7" t="s">
        <v>611</v>
      </c>
      <c r="D111" s="16" t="s">
        <v>612</v>
      </c>
    </row>
    <row r="112" customFormat="false" ht="29.25" hidden="false" customHeight="true" outlineLevel="0" collapsed="false">
      <c r="A112" s="3" t="n">
        <v>111</v>
      </c>
      <c r="B112" s="4" t="s">
        <v>613</v>
      </c>
      <c r="C112" s="4" t="s">
        <v>614</v>
      </c>
      <c r="D112" s="15" t="s">
        <v>615</v>
      </c>
    </row>
    <row r="113" customFormat="false" ht="29.25" hidden="false" customHeight="true" outlineLevel="0" collapsed="false">
      <c r="A113" s="6" t="n">
        <v>112</v>
      </c>
      <c r="B113" s="7" t="s">
        <v>346</v>
      </c>
      <c r="C113" s="7" t="s">
        <v>616</v>
      </c>
      <c r="D113" s="16" t="s">
        <v>617</v>
      </c>
    </row>
    <row r="114" customFormat="false" ht="29.25" hidden="false" customHeight="true" outlineLevel="0" collapsed="false">
      <c r="A114" s="3" t="n">
        <v>113</v>
      </c>
      <c r="B114" s="4" t="s">
        <v>346</v>
      </c>
      <c r="C114" s="4" t="s">
        <v>618</v>
      </c>
      <c r="D114" s="15" t="s">
        <v>619</v>
      </c>
    </row>
    <row r="115" customFormat="false" ht="16.5" hidden="false" customHeight="true" outlineLevel="0" collapsed="false">
      <c r="A115" s="6" t="n">
        <v>114</v>
      </c>
      <c r="B115" s="7" t="s">
        <v>620</v>
      </c>
      <c r="C115" s="7" t="s">
        <v>621</v>
      </c>
      <c r="D115" s="16" t="s">
        <v>622</v>
      </c>
    </row>
    <row r="116" customFormat="false" ht="16.5" hidden="false" customHeight="true" outlineLevel="0" collapsed="false">
      <c r="A116" s="3" t="n">
        <v>115</v>
      </c>
      <c r="B116" s="4" t="s">
        <v>623</v>
      </c>
      <c r="C116" s="4" t="s">
        <v>624</v>
      </c>
      <c r="D116" s="15" t="s">
        <v>625</v>
      </c>
    </row>
    <row r="117" customFormat="false" ht="16.5" hidden="false" customHeight="true" outlineLevel="0" collapsed="false">
      <c r="A117" s="6" t="n">
        <v>116</v>
      </c>
      <c r="B117" s="7" t="s">
        <v>626</v>
      </c>
      <c r="C117" s="7" t="s">
        <v>627</v>
      </c>
      <c r="D117" s="16" t="s">
        <v>628</v>
      </c>
    </row>
    <row r="118" customFormat="false" ht="16.5" hidden="false" customHeight="true" outlineLevel="0" collapsed="false">
      <c r="A118" s="3" t="n">
        <v>117</v>
      </c>
      <c r="B118" s="4" t="s">
        <v>554</v>
      </c>
      <c r="C118" s="4" t="s">
        <v>629</v>
      </c>
      <c r="D118" s="15" t="s">
        <v>630</v>
      </c>
    </row>
    <row r="119" customFormat="false" ht="29.25" hidden="false" customHeight="true" outlineLevel="0" collapsed="false">
      <c r="A119" s="6" t="n">
        <v>118</v>
      </c>
      <c r="B119" s="7" t="s">
        <v>631</v>
      </c>
      <c r="C119" s="7" t="s">
        <v>632</v>
      </c>
      <c r="D119" s="16" t="s">
        <v>633</v>
      </c>
    </row>
    <row r="120" customFormat="false" ht="16.5" hidden="false" customHeight="true" outlineLevel="0" collapsed="false">
      <c r="A120" s="3" t="n">
        <v>119</v>
      </c>
      <c r="B120" s="4" t="s">
        <v>349</v>
      </c>
      <c r="C120" s="4" t="s">
        <v>634</v>
      </c>
      <c r="D120" s="15" t="s">
        <v>635</v>
      </c>
    </row>
    <row r="121" customFormat="false" ht="29.25" hidden="false" customHeight="true" outlineLevel="0" collapsed="false">
      <c r="A121" s="6" t="n">
        <v>120</v>
      </c>
      <c r="B121" s="7" t="s">
        <v>346</v>
      </c>
      <c r="C121" s="7" t="s">
        <v>636</v>
      </c>
      <c r="D121" s="16" t="s">
        <v>637</v>
      </c>
    </row>
  </sheetData>
  <autoFilter ref="A1:D121"/>
  <hyperlinks>
    <hyperlink ref="D2" r:id="rId1" display="https://indiaproai.com/legal-guides/ipc-section-420-bns-318-cheating-complete-guide-india"/>
    <hyperlink ref="D3" r:id="rId2" display="https://www.verdictum.in/court-updates/supreme-court/mihir-rajesh-shah-v-state-of-maharashtra-2025-insc-1288-grounds-of-arrest-1597198"/>
    <hyperlink ref="D4" r:id="rId3" display="https://www.livelaw.in/high-court/delhi-high-court/delhi-high-court-supreme-court-mihir-rajesh-shah-ruling-written-grounds-arrest-prospectively-520838"/>
    <hyperlink ref="D5" r:id="rId4" display="https://www.scobserver.in/wp-content/uploads/2025/11/SCOLR-Judgement_Mihir-Rajesh-Shah-v-State-of-Maharashtra.pdf"/>
    <hyperlink ref="D6" r:id="rId5" display="https://indiankanoon.org/doc/75521991/"/>
    <hyperlink ref="D7" r:id="rId6" display="https://kbssidhu.substack.com/p/bolstering-personal-liberty-the-supreme"/>
    <hyperlink ref="D8" r:id="rId7" display="https://www.verdictum.in/court-updates/supreme-court/satender-kumar-antil-v-central-bureau-of-investigation-2025-insc-909-electronic-communication-service-of-notice-section-35-bnss-whatsapp-1586826"/>
    <hyperlink ref="D9" r:id="rId8" display="https://www.mhcolaw.com/updates/criminal-law-update-legal-notices-via-whatsapp-not-permissible-rules-supreme-court/172"/>
    <hyperlink ref="D10" r:id="rId9" display="https://www.livelaw.in/supreme-court/supreme-court-judgments-and-orders-quarterly-digest-bnss-2026-532575"/>
    <hyperlink ref="D11" r:id="rId10" display="https://questions.collegedunia.com/exams/questions/in-which-case-it-was-held-by-the-supreme-court-tha-66b06e9ca5e223d061ecb50f"/>
    <hyperlink ref="D12" r:id="rId11" display="https://www.casemine.com/commentary/in/reaffirming-the-broad-scope-of-anticipatory-bail-under-section-438-crpc:-sushila-aggarwal-v.-state-(2020-insc-106)/view"/>
    <hyperlink ref="D13" r:id="rId12" display="https://www.scconline.com/blog/post/2024/04/15/chargesheet-without-fsl-report-accused-default-bail-sc-refers-larger-bench-legal-news/"/>
    <hyperlink ref="D14" r:id="rId13" display="https://askjunior.substack.com/p/daily-judgments-of-01-july-029"/>
    <hyperlink ref="D15" r:id="rId14" display="https://www.pressreader.com/india/the-hindu-international-9bn2/20260703/281758456024372"/>
    <hyperlink ref="D16" r:id="rId15" display="https://www.supremecourtcases.com/shaurya-sunil-kumar-singh-v-central-bureau-of-investigation/"/>
    <hyperlink ref="D17" r:id="rId16" display="https://www.livelaw.in/top-stories/supreme-court-dismisses-cbis-review-petition-against-ritu-chhabaria-judgment-that-incomplete-chargesheet-wont-defeat-default-bail-300281"/>
    <hyperlink ref="D18" r:id="rId17" display="https://www.livelaw.in/top-stories/supreme-court-ritu-chhabaria-review-petition-default-bail-228588"/>
    <hyperlink ref="D19" r:id="rId18" display="https://lawbeat.in/top-stories/courts-considering-default-bail-applications-will-not-rely-ritu-chhabaria-judgment"/>
    <hyperlink ref="D20" r:id="rId19" display="https://indiankanoon.org/doc/120451656/"/>
    <hyperlink ref="D21" r:id="rId20" display="https://www.scconline.com/blog/post/2024/04/29/2024-scc-vol-3-part-5/"/>
    <hyperlink ref="D22" r:id="rId21" display="https://www.verdictum.in/supreme-court/2026-insc-666-shaurya-sunil-kumar-singh-v-cbi-1616990"/>
    <hyperlink ref="D23" r:id="rId22" display="https://www.iasgyan.in/daily-current-affairs/scope-of-statutory-bail-in-india-supreme-court-rulings-and-bnss-guidelines"/>
    <hyperlink ref="D24" r:id="rId23" display="https://www.livelaw.in/articles/when-exceptions-swallow-rule-problem-section-479-bnss-307288"/>
    <hyperlink ref="D25" r:id="rId24" display="https://ijlmh.com/article/view/section-479-of-the-bharatiya-nagarik-suraksha-sanhita-2023-evaluating-the-promise-of-undertrial-reform-against-the-reality-of-implementation"/>
    <hyperlink ref="D26" r:id="rId25" display="https://www.livelaw.in/top-stories/supreme-court-allows-benefit-of-section-479-bnss-to-undertrials-in-cases-registered-before-july-1-2024-267487"/>
    <hyperlink ref="D27" r:id="rId26" display="https://www.etvbharat.com/en/!bharat/section-479-of-bnss-would-apply-retrospectively-for-undertrials-sc-told-enn24082305434"/>
    <hyperlink ref="D28" r:id="rId27" display="https://legal60.com/case-summary-sanjabij-tari-v-kishore-s-borcar-anr-2025-probation-benefit-available-in-cheque-bounce-cases/"/>
    <hyperlink ref="D29" r:id="rId28" display="https://www.verdictum.in/court-updates/supreme-court/sanjabij-tari-v-kishore-sborcar-2025-insc-1158-summons-accused-payment-cheque-amount-initial-stage-sec138-ni-act-1592654"/>
    <hyperlink ref="D30" r:id="rId29" display="https://www.verdictum.in/bombay-high-court/cambium-boitech-private-ltd-v-the-state-of-maharashtra-913-crwp-4815-2025-1616479"/>
    <hyperlink ref="D31" r:id="rId30" display="https://lawministry.in/sanjabij-tari-versus-kishore-s-borcar-supreme-court-2025-insc-1158/"/>
    <hyperlink ref="D32" r:id="rId31" display="https://veritect.ai/case-analysis/sanjabij-tari-v-kishore-s-borcar-practice-guide"/>
    <hyperlink ref="D33" r:id="rId32" display="https://www.verdictum.in/court-updates/high-courts/rakesh-ranjan-shrivastava-v-state-of-jharkhand-2024-insc-205-section-143a-negotiable-instruments-act-discretionary-not-mandatory-1525808"/>
    <hyperlink ref="D34" r:id="rId33" display="https://lawfoyer.in/rakesh-ranjan-shrivastava-vs-the-state-of-jharkhand-anr/"/>
    <hyperlink ref="D35" r:id="rId34" display="https://claritaslegal.in/interim-compensation-not-mandatory-under-section-143a-of-negotiable-instruments-act-1881/"/>
    <hyperlink ref="D36" r:id="rId35" display="https://www-linkedin-com.translate.goog/pulse/interim-compensation-cheque-dishonour-cases-section-143-a-singh-o4fof?_x_tr_sl=en&amp;_x_tr_tl=hi&amp;_x_tr_hl=hi&amp;_x_tr_pto=tc"/>
    <hyperlink ref="D37" r:id="rId36" display="https://unsolvedlegal.com/blog/territorial-jurisdiction-in-cheque-bounce-cases-india/"/>
    <hyperlink ref="D38" r:id="rId37" display="https://nia-caselaw.blogspot.com/2025/08/prakash-chimanlal-sheth-vs-jagruti.html"/>
    <hyperlink ref="D39" r:id="rId38" display="https://lextechsuite.com/Ms-Bridgestone-India-Pvt-Ltd-Versus-Inderpal-Singh-2015-11-24"/>
    <hyperlink ref="D40" r:id="rId39" display="https://knallp.com/from-dashrath-to-sheth-evolution-of-jurisdictional-rules-under-section-138-ni-act/"/>
    <hyperlink ref="D41" r:id="rId40" display="https://www.latestlaws.com/latest-caselaw/2020/august/2020-latest-caselaw-485-sc/"/>
    <hyperlink ref="D42" r:id="rId41" display="https://api.sci.gov.in/supremecourt/2018/39528/39528_2018_33_1502_23731_Judgement_31-Aug-2020.pdf"/>
    <hyperlink ref="D43" r:id="rId42" display="https://api.sci.gov.in/supremecourt/2019/20499/20499_2019_16_119_62941_Judgement_30-Jul-2025.pdf"/>
    <hyperlink ref="D44" r:id="rId43" display="https://www.casemine.com/commentary/in/mukesh-singh-v.-state-(narcotic-branch-of-delhi)-2020-insc-524:-redefining-fair-investigation-standards-in-ndps-cases/view"/>
    <hyperlink ref="D45" r:id="rId44" display="https://delhihighcourt.nic.in/app/showFileJudgment/NBK04112025BA38012025_155725.txt"/>
    <hyperlink ref="D46" r:id="rId45" display="https://www.legitquest.com/case/sh-faruk-chand-badshah-sheikh-v-union-india/79F219"/>
    <hyperlink ref="D47" r:id="rId46" display="https://www.casemine.com/commentary/in/%E2%80%9Cfrom-civil-breach-to-criminal-overreach%E2%80%9D-%E2%80%93-supreme-court-prescribes-costs-and-caution-for-mis%E2%80%91labelling-contractual-disputes-as-cheating/view"/>
    <hyperlink ref="D48" r:id="rId47" display="https://translate.google.com/translate?u=https%3A%2F%2Fwww.casemine.com%2Fjudgement%2Fin%2F6804b0d624692576d2f637ff&amp;hl=hi&amp;sl=en&amp;tl=hi&amp;client=srp"/>
    <hyperlink ref="D49" r:id="rId48" display="https://www.verdictum.in/court-updates/supreme-court/rikhab-birani-v-state-of-uttar-pradesh-2025-insc-512-civil-wrongs-criminal-proceedings-1574792"/>
    <hyperlink ref="D50" r:id="rId49" display="https://translate.google.com/translate?u=https%3A%2F%2Findiankanoon.org%2Fdoc%2F140737556%2F&amp;hl=hi&amp;sl=en&amp;tl=hi&amp;client=srp"/>
    <hyperlink ref="D51" r:id="rId50" display="https://lawchakra.in/supreme-court/supreme-court-civil-disputes-criminal/"/>
    <hyperlink ref="D52" r:id="rId51" display="https://mphc.gov.in/upload/gwalior/MPHCGWL/2022/MCRC/35123/MCRC_35123_2022_FinalOrder_02-Sep-2022.pdf"/>
    <hyperlink ref="D53" r:id="rId52" display="https://www.scconline.com/blog/post/2019/07/10/ori-hc-criminal-cases-involving-offences-of-civil-nature-may-be-quashed-where-parties-have-reached-settlement/"/>
    <hyperlink ref="D54" r:id="rId53" display="https://indiankanoon.org/search/?formInput=citedby%3A7293093"/>
    <hyperlink ref="D55" r:id="rId54" display="https://www.casemine.com/search/in/parbatbhai+ahir"/>
    <hyperlink ref="D56" r:id="rId55" display="https://www.skklegal.com/supreme-court-revolutionizes-section-498a-implementation"/>
    <hyperlink ref="D57" r:id="rId56" display="https://www.drishtijudiciary.com/current-affairs/section-85-of-bns"/>
    <hyperlink ref="D58" r:id="rId57" display="https://legalmaestros.com/column/guidelines-gaps-and-going-in-circles-supreme-courts-contradictions-on-498a-safeguards/"/>
    <hyperlink ref="D59" r:id="rId58" display="https://lawtimesjournal.in/social-action-forum-for-manav-adhikar-another-vs-union-of-india-ministry-of-law-justice-ors/"/>
    <hyperlink ref="D60" r:id="rId59" display="https://divorcebylaw.com/family-welfare-committee-is-it-practical/"/>
    <hyperlink ref="D61" r:id="rId60" display="https://drishtijudiciary.com/current-affairs/no-arrest-in-498a-firs-in-2-months"/>
    <hyperlink ref="D62" r:id="rId61" display="https://www.scconline.com/blog/post/2025/08/29/s-468-crpc-applies-to-penal-proceedings-under-dv-act-jk-hc/"/>
    <hyperlink ref="D63" r:id="rId62" display="https://www.lawyersclubindia.com/judiciary/court-entitled-to-take-cognizance-where-the-complaint-was-filed-within-the-limitation-period-sc-in-kamatchi-vs-lakshmi-narayanan-5857.asp"/>
    <hyperlink ref="D64" r:id="rId63" display="https://www.casemine.com/commentary/in/clarification-on-limitation-period-in-domestic-violence-cases:-kamatchi-v.-lakshmi-narayanan-2022-insc-421/view"/>
    <hyperlink ref="D65" r:id="rId64" display="https://digiscr.sci.gov.in/html_view?dir=YWRtaW4vanVkZ2VtZW50X2ZpbGUvZWJvb2tzLzIwMjQvdm9sdW1lIDMvUGFydCBJSS8yMDI0MzMyOTM1NTE3MTE5NDc5MzUuaHRtbA%3D%3D&amp;judgment_id=MzcyMjQ%3D"/>
    <hyperlink ref="D66" r:id="rId65" display="https://www.scconline.com/blog/post/2024/12/11/supreme-court-discusses-essential-ingredients-s-306-ipc/"/>
    <hyperlink ref="D67" r:id="rId66" display="https://bhattandjoshiassociates.com/abetment-of-suicide-under-bns-section-108-ingredients-proof-standard-suicide-note-relevance-updated-2026/"/>
    <hyperlink ref="D68" r:id="rId67" display="https://lawarticle.in/attorney-general-for-india-v-satish-anr-2021/"/>
    <hyperlink ref="D69" r:id="rId68" display="https://www.drishtijudiciary.com/landmark-judgement/special-acts/the-protection-of-children-from-sexual-offenses-act/attorney-general-for-india-v-satish-and-another-2021"/>
    <hyperlink ref="D70" r:id="rId69" display="https://www.wikiwand.com/en/articles/Attorney_General_for_India_v._Satish"/>
    <hyperlink ref="D71" r:id="rId70" display="https://mphc.gov.in/upload/jabalpur/MPHCJB/2021/CRR/2527/CRR_2527_2021_FinalOrder_20-Apr-2022_digi.pdf"/>
    <hyperlink ref="D72" r:id="rId71" display="https://www.verdictum.in/court-updates/supreme-court/ramji-lal-bairwa-v-state-of-rajasthan-2024-insc-846-sexual-assault-compromise-between-parties-1557273"/>
    <hyperlink ref="D73" r:id="rId72" display="https://www.pahujalawacademy.com/ramji-lal-bairwa-and-anr-versus-state-of-rajasthan-and-ors-2024-sc-865"/>
    <hyperlink ref="D74" r:id="rId73" display="https://www.drishtijudiciary.com/current-affairs/no-compromise-in-pocso-case"/>
    <hyperlink ref="D75" r:id="rId74" display="https://lawyerenews.com/legal_detail/pocso-offences-against-children-are-offences-against-society-and-cannot-be-compromised-supreme-court"/>
    <hyperlink ref="D76" r:id="rId75" display="https://www.casemine.com/commentary/in/consent-and-relationship-context-in-criminal-proceedings:-analysis-of-prashant-v.-state-of-nct-of-delhi/view"/>
    <hyperlink ref="D77" r:id="rId76" display="https://www.scconline.com/blog/post/tag/breach-of-promise-to-marry/"/>
    <hyperlink ref="D78" r:id="rId77" display="https://mphc.gov.in/upload/gwalior/MPHCGWL/2023/MCRC/26644/MCRC_26644_2023_FinalOrder_11-11-2025_digi.pdf"/>
    <hyperlink ref="D79" r:id="rId78" display="https://supremetoday.ai/search/Pramod-Suryabhan-Pawar-legal-case"/>
    <hyperlink ref="D80" r:id="rId79" display="https://lokayukta.kar.nic.in/important_judgements_detail.php?JID=CC5"/>
    <hyperlink ref="D81" r:id="rId80" display="https://digiscr.sci.gov.in/view_judgment?id=MTA2MjI%3D"/>
    <hyperlink ref="D82" r:id="rId81" display="https://digiscr.sci.gov.in/view_judgment?id=MzA3MDM%3D"/>
    <hyperlink ref="D83" r:id="rId82" display="https://www.scconline.com/blog/post/2025/08/28/supreme-court-reconsideration-of-death-sentence-under-art-32/"/>
    <hyperlink ref="D84" r:id="rId83" display="https://indiankanoon.org/doc/182334419/"/>
    <hyperlink ref="D85" r:id="rId84" display="https://www.verdictum.in/court-updates/supreme-court/tarsem-lal-v-directorate-of-enforcement-2024-insc-434-ed-powerless-to-arrest-money-laundering-case-cognizance-us-44-1b-pmla-1535836"/>
    <hyperlink ref="D86" r:id="rId85" display="https://www.lexology.com/library/detail.aspx?g=f1d13e45-0116-47c0-8b58-b92c1de78cff"/>
    <hyperlink ref="D87" r:id="rId86" display="https://en.wikipedia.org/wiki/Enforcement_Directorate"/>
    <hyperlink ref="D88" r:id="rId87" display="https://indialegallive.com/cover-story-articles/il-feature-news/pmla-review-supreme-court-constitution-bench-vijay-madanlal-choudhary-ruling/"/>
    <hyperlink ref="D89" r:id="rId88" display="https://www.scobserver.in/cases/enforcement-directorates-power-to-arrest-under-pmla-after-special-courts-cognisance-tarsem-lal-v-directorate-of-enforcement/"/>
    <hyperlink ref="D90" r:id="rId89" display="https://indiankanoon.org/doc/189692408/"/>
    <hyperlink ref="D91" r:id="rId90" display="https://updates.manupatra.com/roundup/contentsummary.aspx?iid=44641&amp;text="/>
    <hyperlink ref="D92" r:id="rId91" display="https://www.lawweb.in/2025/03/supreme-court-accused-should-not-be.html"/>
    <hyperlink ref="D93" r:id="rId92" display="https://clpr.org.in/wp-content/uploads/2024/12/32.-Prathvi_Raj_Chauhan_vs_Union_of_India_UOI_and_Ors_SC20201102201657445COM154847.pdf"/>
    <hyperlink ref="D94" r:id="rId93" display="https://api.sci.gov.in/supremecourt/2018/31176/31176_2018_3_1501_20551_Judgement_10-Feb-2020.pdf"/>
    <hyperlink ref="D95" r:id="rId94" display="https://vlex.in/vid/r-p-crl-no-852310764"/>
    <hyperlink ref="D96" r:id="rId95" display="https://www.scobserver.in/journal/subhash-kashinath-mahajan-court-recalls-its-order/"/>
    <hyperlink ref="D97" r:id="rId96" display="https://paramjeetsinghberwal.substack.com/p/safeguards-against-misuse-of-the"/>
    <hyperlink ref="D98" r:id="rId97" display="https://thelegallock.com/case-brief-union-of-india-v-state-of-maharashtra-2020-4-scc-761/"/>
    <hyperlink ref="D99" r:id="rId98" display="https://www.supremecourtcases.com/union-of-india-v-state-of-maharashtra-and-others/"/>
    <hyperlink ref="D100" r:id="rId99" display="https://indiankanoon.org/doc/137753759/"/>
    <hyperlink ref="D101" r:id="rId100" display="https://karavadi.in/tag/jai-shankar-chaudhary/"/>
    <hyperlink ref="D102" r:id="rId101" display="https://www.drishtijudiciary.com/current-affairs/suspension-of-life-sentence"/>
    <hyperlink ref="D103" r:id="rId102" display="https://www.livelaw.in/pdf_upload/389-omprakash-sahni-v-jai-shankar-chaudhary-2-may-2023-471224.pdf"/>
    <hyperlink ref="D104" r:id="rId103" display="https://testbook.com/landmark-judgements/omprakash-sahni-vs-jai-shankar-chaudhary"/>
    <hyperlink ref="D105" r:id="rId104" display="https://www.livelaw.in/top-stories/supreme-court-directs-states-to-consider-premature-release-of-convicts-when-they-become-eligible-even-without-their-applications-284292"/>
    <hyperlink ref="D106" r:id="rId105" display="https://www.scconline.com/blog/post/2025/02/19/explained-appropriate-govt-power-remit-sentence-sc-legal-news/"/>
    <hyperlink ref="D107" r:id="rId106" display="https://www.drishtijudiciary.com/editorial/new-directions-on-prisoner-remission"/>
    <hyperlink ref="D108" r:id="rId107" display="https://www.insightsonindia.com/2025/02/21/remission/"/>
    <hyperlink ref="D109" r:id="rId108" display="https://research.grhari.com/supreme-court-clarifies-policy-strategy-for-grant-of-bail-and-remission-in-criminal-law-2025/"/>
    <hyperlink ref="D110" r:id="rId109" display="https://pwonlyias.com/current-affairs/governments-obliged-to-consider-remission-of-eligible-convicts/"/>
    <hyperlink ref="D111" r:id="rId110" display="https://www.scconline.com/blog/post/2026/07/29/sc-modified-impracticable-police-custody-conditions/"/>
    <hyperlink ref="D112" r:id="rId111" display="https://ommcomnews.com/india-news/accused-not-entitled-to-advocates-continuous-presence-during-police-interrogation-rules-sc/"/>
    <hyperlink ref="D113" r:id="rId112" display="https://www.livelaw.in/supreme-court/s-38-bnss-advocate-of-accused-cannot-remain-present-throughout-police-interrogation-supreme-court-543081"/>
    <hyperlink ref="D114" r:id="rId113" display="https://www.livelaw.in/top-stories/bnss-bns-monthly-digest-july-2026-545646"/>
    <hyperlink ref="D115" r:id="rId114" display="https://www.lawpreptutorial.com/legal-update/28-july-2026"/>
    <hyperlink ref="D116" r:id="rId115" display="https://blog.ipleaders.in/section-420-bns-cheating-318/"/>
    <hyperlink ref="D117" r:id="rId116" display="https://lawsikho.com/blog/section-318-bns-cheating-law-punishment-bail-and-ipc-420-mapping-explained/"/>
    <hyperlink ref="D118" r:id="rId117" display="https://indialegallive.com/magazine/supreme-court-order-written-grounds-of-arrest/"/>
    <hyperlink ref="D119" r:id="rId118" display="https://www.barandbench.com/news/litigation/supreme-court-asks-courts-to-defer-pleas-for-default-bail-based-on-ritu-chhabaria-judgment-after-central-government-seeks-recall-of-verdict"/>
    <hyperlink ref="D120" r:id="rId119" display="https://www.scobserver.in/journal/a-narrow-check-on-the-eds-wide-powers-pmla-supreme-court/"/>
    <hyperlink ref="D121" r:id="rId120" display="https://www.livelaw.in/top-stories/bnss-bns-latest-judgments-half-yearly-digest-2026-542012"/>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2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2026-10-09T05:38:05Z</dcterms:created>
  <dc:creator>openpyxl</dc:creator>
  <dc:description/>
  <dc:language>en-US</dc:language>
  <cp:lastModifiedBy/>
  <dcterms:modified xsi:type="dcterms:W3CDTF">2026-10-09T05:38:05Z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